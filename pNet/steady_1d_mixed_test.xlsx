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0_Python\pyHydraulics\pNet\"/>
    </mc:Choice>
  </mc:AlternateContent>
  <xr:revisionPtr revIDLastSave="0" documentId="8_{B05FA62E-2C78-4431-ACF1-17B3D669286D}" xr6:coauthVersionLast="47" xr6:coauthVersionMax="47" xr10:uidLastSave="{00000000-0000-0000-0000-000000000000}"/>
  <bookViews>
    <workbookView xWindow="-110" yWindow="-110" windowWidth="25820" windowHeight="14620" xr2:uid="{00000000-000D-0000-FFFF-FFFF00000000}"/>
  </bookViews>
  <sheets>
    <sheet name="1D" sheetId="1" r:id="rId1"/>
  </sheets>
  <definedNames>
    <definedName name="_xlnm._FilterDatabase" localSheetId="0" hidden="1">'1D'!$A$30:$X$36</definedName>
  </definedNames>
  <calcPr calcId="191029" iterate="1" iterateCount="250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694" i="1" l="1"/>
  <c r="J1694" i="1"/>
  <c r="AK1693" i="1"/>
  <c r="J1693" i="1"/>
  <c r="AK1692" i="1"/>
  <c r="J1692" i="1"/>
  <c r="AK1691" i="1"/>
  <c r="J1691" i="1"/>
  <c r="AK1690" i="1"/>
  <c r="J1690" i="1"/>
  <c r="AK1689" i="1"/>
  <c r="J1689" i="1"/>
  <c r="AK1688" i="1"/>
  <c r="J1688" i="1"/>
  <c r="AK1687" i="1"/>
  <c r="J1687" i="1"/>
  <c r="AK1686" i="1"/>
  <c r="J1686" i="1"/>
  <c r="AK1685" i="1"/>
  <c r="J1685" i="1"/>
  <c r="AK1684" i="1"/>
  <c r="J1684" i="1"/>
  <c r="AK1683" i="1"/>
  <c r="J1683" i="1"/>
  <c r="AK1682" i="1"/>
  <c r="J1682" i="1"/>
  <c r="AK1681" i="1"/>
  <c r="J1681" i="1"/>
  <c r="AK1680" i="1"/>
  <c r="J1680" i="1"/>
  <c r="AK1679" i="1"/>
  <c r="J1679" i="1"/>
  <c r="AK1678" i="1"/>
  <c r="J1678" i="1"/>
  <c r="AK1677" i="1"/>
  <c r="J1677" i="1"/>
  <c r="AK1676" i="1"/>
  <c r="J1676" i="1"/>
  <c r="AK1675" i="1"/>
  <c r="J1675" i="1"/>
  <c r="AK1674" i="1"/>
  <c r="J1674" i="1"/>
  <c r="AK1673" i="1"/>
  <c r="J1673" i="1"/>
  <c r="AK1672" i="1"/>
  <c r="J1672" i="1"/>
  <c r="AK1671" i="1"/>
  <c r="J1671" i="1"/>
  <c r="AK1670" i="1"/>
  <c r="J1670" i="1"/>
  <c r="AK1669" i="1"/>
  <c r="J1669" i="1"/>
  <c r="AK1668" i="1"/>
  <c r="J1668" i="1"/>
  <c r="AK1667" i="1"/>
  <c r="J1667" i="1"/>
  <c r="AK1666" i="1"/>
  <c r="J1666" i="1"/>
  <c r="AK1665" i="1"/>
  <c r="J1665" i="1"/>
  <c r="AK1664" i="1"/>
  <c r="J1664" i="1"/>
  <c r="AK1663" i="1"/>
  <c r="J1663" i="1"/>
  <c r="AK1662" i="1"/>
  <c r="J1662" i="1"/>
  <c r="AK1661" i="1"/>
  <c r="J1661" i="1"/>
  <c r="AK1660" i="1"/>
  <c r="J1660" i="1"/>
  <c r="AK1659" i="1"/>
  <c r="J1659" i="1"/>
  <c r="AK1658" i="1"/>
  <c r="J1658" i="1"/>
  <c r="AK1657" i="1"/>
  <c r="J1657" i="1"/>
  <c r="AK1656" i="1"/>
  <c r="J1656" i="1"/>
  <c r="AK1655" i="1"/>
  <c r="J1655" i="1"/>
  <c r="AK1654" i="1"/>
  <c r="J1654" i="1"/>
  <c r="AK1653" i="1"/>
  <c r="J1653" i="1"/>
  <c r="AK1652" i="1"/>
  <c r="J1652" i="1"/>
  <c r="AK1651" i="1"/>
  <c r="J1651" i="1"/>
  <c r="AK1650" i="1"/>
  <c r="J1650" i="1"/>
  <c r="AK1649" i="1"/>
  <c r="J1649" i="1"/>
  <c r="AK1648" i="1"/>
  <c r="AL1648" i="1" s="1"/>
  <c r="K1645" i="1"/>
  <c r="E1645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AK1615" i="1"/>
  <c r="J1615" i="1"/>
  <c r="AK1614" i="1"/>
  <c r="J1614" i="1"/>
  <c r="AK1613" i="1"/>
  <c r="J1613" i="1"/>
  <c r="AK1612" i="1"/>
  <c r="J1612" i="1"/>
  <c r="AK1611" i="1"/>
  <c r="J1611" i="1"/>
  <c r="AK1610" i="1"/>
  <c r="J1610" i="1"/>
  <c r="AK1609" i="1"/>
  <c r="J1609" i="1"/>
  <c r="AK1608" i="1"/>
  <c r="J1608" i="1"/>
  <c r="AK1607" i="1"/>
  <c r="AL1607" i="1" s="1"/>
  <c r="AL1608" i="1" s="1"/>
  <c r="AL1609" i="1" s="1"/>
  <c r="K1604" i="1"/>
  <c r="E1604" i="1"/>
  <c r="AK1601" i="1"/>
  <c r="J1601" i="1"/>
  <c r="AK1600" i="1"/>
  <c r="J1600" i="1"/>
  <c r="AK1599" i="1"/>
  <c r="J1599" i="1"/>
  <c r="AK1598" i="1"/>
  <c r="J1598" i="1"/>
  <c r="AK1597" i="1"/>
  <c r="J1597" i="1"/>
  <c r="AK1596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AK1569" i="1"/>
  <c r="J1569" i="1"/>
  <c r="AK1568" i="1"/>
  <c r="J1568" i="1"/>
  <c r="AK1567" i="1"/>
  <c r="J1567" i="1"/>
  <c r="AK1566" i="1"/>
  <c r="J1566" i="1"/>
  <c r="AK1565" i="1"/>
  <c r="J1565" i="1"/>
  <c r="AK1564" i="1"/>
  <c r="J1564" i="1"/>
  <c r="AK1563" i="1"/>
  <c r="AL1563" i="1" s="1"/>
  <c r="K1560" i="1"/>
  <c r="E1560" i="1"/>
  <c r="AK1557" i="1"/>
  <c r="J1557" i="1"/>
  <c r="AK1556" i="1"/>
  <c r="J1556" i="1"/>
  <c r="AK1555" i="1"/>
  <c r="J1555" i="1"/>
  <c r="AK1554" i="1"/>
  <c r="J1554" i="1"/>
  <c r="AK1553" i="1"/>
  <c r="J1553" i="1"/>
  <c r="AK1552" i="1"/>
  <c r="J1552" i="1"/>
  <c r="AK1551" i="1"/>
  <c r="J1551" i="1"/>
  <c r="AK1550" i="1"/>
  <c r="J1550" i="1"/>
  <c r="AK1549" i="1"/>
  <c r="J1549" i="1"/>
  <c r="AK1548" i="1"/>
  <c r="J1548" i="1"/>
  <c r="AK1547" i="1"/>
  <c r="J1547" i="1"/>
  <c r="AK1546" i="1"/>
  <c r="J1546" i="1"/>
  <c r="AK1545" i="1"/>
  <c r="J1545" i="1"/>
  <c r="AK1544" i="1"/>
  <c r="J1544" i="1"/>
  <c r="AK1543" i="1"/>
  <c r="J1543" i="1"/>
  <c r="AK1542" i="1"/>
  <c r="J1542" i="1"/>
  <c r="AK1541" i="1"/>
  <c r="J1541" i="1"/>
  <c r="AK1540" i="1"/>
  <c r="J1540" i="1"/>
  <c r="AK1539" i="1"/>
  <c r="AL1539" i="1" s="1"/>
  <c r="AL1540" i="1" s="1"/>
  <c r="K1536" i="1"/>
  <c r="E1536" i="1"/>
  <c r="AK1533" i="1"/>
  <c r="J1533" i="1"/>
  <c r="AK1532" i="1"/>
  <c r="J1532" i="1"/>
  <c r="AK1531" i="1"/>
  <c r="J1531" i="1"/>
  <c r="AK1530" i="1"/>
  <c r="J1530" i="1"/>
  <c r="AK1529" i="1"/>
  <c r="J1529" i="1"/>
  <c r="AK1528" i="1"/>
  <c r="J1528" i="1"/>
  <c r="AK1527" i="1"/>
  <c r="J1527" i="1"/>
  <c r="AK1526" i="1"/>
  <c r="J1526" i="1"/>
  <c r="AK1525" i="1"/>
  <c r="J1525" i="1"/>
  <c r="AK1524" i="1"/>
  <c r="J1524" i="1"/>
  <c r="AK1523" i="1"/>
  <c r="J1523" i="1"/>
  <c r="AK1522" i="1"/>
  <c r="J1522" i="1"/>
  <c r="AK1521" i="1"/>
  <c r="J1521" i="1"/>
  <c r="AK1520" i="1"/>
  <c r="J1520" i="1"/>
  <c r="AK1519" i="1"/>
  <c r="J1519" i="1"/>
  <c r="AK1518" i="1"/>
  <c r="J1518" i="1"/>
  <c r="AK1517" i="1"/>
  <c r="J1517" i="1"/>
  <c r="AK1516" i="1"/>
  <c r="J1516" i="1"/>
  <c r="AK1515" i="1"/>
  <c r="J1515" i="1"/>
  <c r="AK1514" i="1"/>
  <c r="J1514" i="1"/>
  <c r="AK1513" i="1"/>
  <c r="J1513" i="1"/>
  <c r="AK1512" i="1"/>
  <c r="J1512" i="1"/>
  <c r="AK1511" i="1"/>
  <c r="J1511" i="1"/>
  <c r="AK1510" i="1"/>
  <c r="J1510" i="1"/>
  <c r="AK1509" i="1"/>
  <c r="J1509" i="1"/>
  <c r="AK1508" i="1"/>
  <c r="J1508" i="1"/>
  <c r="AK1507" i="1"/>
  <c r="J1507" i="1"/>
  <c r="AK1506" i="1"/>
  <c r="J1506" i="1"/>
  <c r="AK1505" i="1"/>
  <c r="J1505" i="1"/>
  <c r="AK1504" i="1"/>
  <c r="J1504" i="1"/>
  <c r="AK1503" i="1"/>
  <c r="J1503" i="1"/>
  <c r="AK1502" i="1"/>
  <c r="J1502" i="1"/>
  <c r="AK1501" i="1"/>
  <c r="J1501" i="1"/>
  <c r="AK1500" i="1"/>
  <c r="J1500" i="1"/>
  <c r="AK1499" i="1"/>
  <c r="J1499" i="1"/>
  <c r="AK1498" i="1"/>
  <c r="J1498" i="1"/>
  <c r="AK1497" i="1"/>
  <c r="J1497" i="1"/>
  <c r="AK1496" i="1"/>
  <c r="J1496" i="1"/>
  <c r="AK1495" i="1"/>
  <c r="J1495" i="1"/>
  <c r="AK1494" i="1"/>
  <c r="J1494" i="1"/>
  <c r="AK1493" i="1"/>
  <c r="J1493" i="1"/>
  <c r="AK1492" i="1"/>
  <c r="J1492" i="1"/>
  <c r="AK1491" i="1"/>
  <c r="J1491" i="1"/>
  <c r="AK1490" i="1"/>
  <c r="J1490" i="1"/>
  <c r="AK1489" i="1"/>
  <c r="J1489" i="1"/>
  <c r="AK1488" i="1"/>
  <c r="J1488" i="1"/>
  <c r="AK1487" i="1"/>
  <c r="J1487" i="1"/>
  <c r="AK1486" i="1"/>
  <c r="J1486" i="1"/>
  <c r="AK1485" i="1"/>
  <c r="J1485" i="1"/>
  <c r="AK1484" i="1"/>
  <c r="J1484" i="1"/>
  <c r="AK1483" i="1"/>
  <c r="J1483" i="1"/>
  <c r="AK1482" i="1"/>
  <c r="J1482" i="1"/>
  <c r="AK1481" i="1"/>
  <c r="J1481" i="1"/>
  <c r="AK1480" i="1"/>
  <c r="J1480" i="1"/>
  <c r="AK1479" i="1"/>
  <c r="J1479" i="1"/>
  <c r="AK1478" i="1"/>
  <c r="J1478" i="1"/>
  <c r="AK1477" i="1"/>
  <c r="J1477" i="1"/>
  <c r="AK1476" i="1"/>
  <c r="J1476" i="1"/>
  <c r="AK1475" i="1"/>
  <c r="J1475" i="1"/>
  <c r="AK1474" i="1"/>
  <c r="J1474" i="1"/>
  <c r="AK1473" i="1"/>
  <c r="J1473" i="1"/>
  <c r="AK1472" i="1"/>
  <c r="J1472" i="1"/>
  <c r="AK1471" i="1"/>
  <c r="J1471" i="1"/>
  <c r="AK1470" i="1"/>
  <c r="J1470" i="1"/>
  <c r="AK1469" i="1"/>
  <c r="J1469" i="1"/>
  <c r="AK1468" i="1"/>
  <c r="J1468" i="1"/>
  <c r="AK1467" i="1"/>
  <c r="J1467" i="1"/>
  <c r="AK1466" i="1"/>
  <c r="J1466" i="1"/>
  <c r="AK1465" i="1"/>
  <c r="J1465" i="1"/>
  <c r="AK1464" i="1"/>
  <c r="J1464" i="1"/>
  <c r="AK1463" i="1"/>
  <c r="J1463" i="1"/>
  <c r="AK1462" i="1"/>
  <c r="J1462" i="1"/>
  <c r="AK1461" i="1"/>
  <c r="J1461" i="1"/>
  <c r="AK1460" i="1"/>
  <c r="J1460" i="1"/>
  <c r="AK1459" i="1"/>
  <c r="J1459" i="1"/>
  <c r="AK1458" i="1"/>
  <c r="J1458" i="1"/>
  <c r="AK1457" i="1"/>
  <c r="J1457" i="1"/>
  <c r="AK1456" i="1"/>
  <c r="J1456" i="1"/>
  <c r="AK1455" i="1"/>
  <c r="J1455" i="1"/>
  <c r="AK1454" i="1"/>
  <c r="J1454" i="1"/>
  <c r="AK1453" i="1"/>
  <c r="J1453" i="1"/>
  <c r="AK1452" i="1"/>
  <c r="J1452" i="1"/>
  <c r="AK1451" i="1"/>
  <c r="J1451" i="1"/>
  <c r="AK1450" i="1"/>
  <c r="J1450" i="1"/>
  <c r="AK1449" i="1"/>
  <c r="J1449" i="1"/>
  <c r="AK1448" i="1"/>
  <c r="J1448" i="1"/>
  <c r="AK1447" i="1"/>
  <c r="J1447" i="1"/>
  <c r="AK1446" i="1"/>
  <c r="J1446" i="1"/>
  <c r="AK1445" i="1"/>
  <c r="J1445" i="1"/>
  <c r="AK1444" i="1"/>
  <c r="J1444" i="1"/>
  <c r="AK1443" i="1"/>
  <c r="J1443" i="1"/>
  <c r="AK1442" i="1"/>
  <c r="J1442" i="1"/>
  <c r="AK1441" i="1"/>
  <c r="J1441" i="1"/>
  <c r="AK1440" i="1"/>
  <c r="J1440" i="1"/>
  <c r="AK1439" i="1"/>
  <c r="J1439" i="1"/>
  <c r="AK1438" i="1"/>
  <c r="J1438" i="1"/>
  <c r="AK1437" i="1"/>
  <c r="J1437" i="1"/>
  <c r="AK1436" i="1"/>
  <c r="J1436" i="1"/>
  <c r="AK1435" i="1"/>
  <c r="J1435" i="1"/>
  <c r="AK1434" i="1"/>
  <c r="J1434" i="1"/>
  <c r="AK1433" i="1"/>
  <c r="J1433" i="1"/>
  <c r="AK1432" i="1"/>
  <c r="J1432" i="1"/>
  <c r="AK1431" i="1"/>
  <c r="J1431" i="1"/>
  <c r="AK1430" i="1"/>
  <c r="J1430" i="1"/>
  <c r="AK1429" i="1"/>
  <c r="J1429" i="1"/>
  <c r="AK1428" i="1"/>
  <c r="J1428" i="1"/>
  <c r="AK1427" i="1"/>
  <c r="J1427" i="1"/>
  <c r="AK1426" i="1"/>
  <c r="J1426" i="1"/>
  <c r="AK1425" i="1"/>
  <c r="J1425" i="1"/>
  <c r="AK1424" i="1"/>
  <c r="J1424" i="1"/>
  <c r="AK1423" i="1"/>
  <c r="J1423" i="1"/>
  <c r="AK1422" i="1"/>
  <c r="J1422" i="1"/>
  <c r="AK1421" i="1"/>
  <c r="J1421" i="1"/>
  <c r="AK1420" i="1"/>
  <c r="J1420" i="1"/>
  <c r="AK1419" i="1"/>
  <c r="J1419" i="1"/>
  <c r="AK1418" i="1"/>
  <c r="J1418" i="1"/>
  <c r="AK1417" i="1"/>
  <c r="J1417" i="1"/>
  <c r="AK1416" i="1"/>
  <c r="J1416" i="1"/>
  <c r="AK1415" i="1"/>
  <c r="J1415" i="1"/>
  <c r="AK1414" i="1"/>
  <c r="J1414" i="1"/>
  <c r="AK1413" i="1"/>
  <c r="J1413" i="1"/>
  <c r="AK1412" i="1"/>
  <c r="J1412" i="1"/>
  <c r="AK1411" i="1"/>
  <c r="J1411" i="1"/>
  <c r="AK1410" i="1"/>
  <c r="J1410" i="1"/>
  <c r="AK1409" i="1"/>
  <c r="J1409" i="1"/>
  <c r="AK1408" i="1"/>
  <c r="J1408" i="1"/>
  <c r="AK1407" i="1"/>
  <c r="J1407" i="1"/>
  <c r="AK1406" i="1"/>
  <c r="J1406" i="1"/>
  <c r="AK1405" i="1"/>
  <c r="J1405" i="1"/>
  <c r="AK1404" i="1"/>
  <c r="J1404" i="1"/>
  <c r="AK1403" i="1"/>
  <c r="J1403" i="1"/>
  <c r="AK1402" i="1"/>
  <c r="J1402" i="1"/>
  <c r="AK1401" i="1"/>
  <c r="J1401" i="1"/>
  <c r="AK1400" i="1"/>
  <c r="J1400" i="1"/>
  <c r="AK1399" i="1"/>
  <c r="J1399" i="1"/>
  <c r="AK1398" i="1"/>
  <c r="J1398" i="1"/>
  <c r="AK1397" i="1"/>
  <c r="J1397" i="1"/>
  <c r="AK1396" i="1"/>
  <c r="J1396" i="1"/>
  <c r="AK1395" i="1"/>
  <c r="J1395" i="1"/>
  <c r="AK1394" i="1"/>
  <c r="J1394" i="1"/>
  <c r="AK1393" i="1"/>
  <c r="J1393" i="1"/>
  <c r="AK1392" i="1"/>
  <c r="J1392" i="1"/>
  <c r="AK1391" i="1"/>
  <c r="J1391" i="1"/>
  <c r="AK1390" i="1"/>
  <c r="J1390" i="1"/>
  <c r="AK1389" i="1"/>
  <c r="J1389" i="1"/>
  <c r="AK1388" i="1"/>
  <c r="J1388" i="1"/>
  <c r="AK1387" i="1"/>
  <c r="J1387" i="1"/>
  <c r="AK1386" i="1"/>
  <c r="J1386" i="1"/>
  <c r="AK1385" i="1"/>
  <c r="J1385" i="1"/>
  <c r="AK1384" i="1"/>
  <c r="J1384" i="1"/>
  <c r="AK1383" i="1"/>
  <c r="J1383" i="1"/>
  <c r="AK1382" i="1"/>
  <c r="J1382" i="1"/>
  <c r="AK1381" i="1"/>
  <c r="J1381" i="1"/>
  <c r="AK1380" i="1"/>
  <c r="J1380" i="1"/>
  <c r="AK1379" i="1"/>
  <c r="J1379" i="1"/>
  <c r="AK1378" i="1"/>
  <c r="J1378" i="1"/>
  <c r="AK1377" i="1"/>
  <c r="J1377" i="1"/>
  <c r="AK1376" i="1"/>
  <c r="J1376" i="1"/>
  <c r="AK1375" i="1"/>
  <c r="J1375" i="1"/>
  <c r="AK1374" i="1"/>
  <c r="J1374" i="1"/>
  <c r="AK1373" i="1"/>
  <c r="J1373" i="1"/>
  <c r="AK1372" i="1"/>
  <c r="J1372" i="1"/>
  <c r="AK1371" i="1"/>
  <c r="J1371" i="1"/>
  <c r="AK1370" i="1"/>
  <c r="J1370" i="1"/>
  <c r="AK1369" i="1"/>
  <c r="J1369" i="1"/>
  <c r="AK1368" i="1"/>
  <c r="J1368" i="1"/>
  <c r="AK1367" i="1"/>
  <c r="J1367" i="1"/>
  <c r="AK1366" i="1"/>
  <c r="J1366" i="1"/>
  <c r="AK1365" i="1"/>
  <c r="J1365" i="1"/>
  <c r="AK1364" i="1"/>
  <c r="J1364" i="1"/>
  <c r="AK1363" i="1"/>
  <c r="J1363" i="1"/>
  <c r="AK1362" i="1"/>
  <c r="J1362" i="1"/>
  <c r="AK1361" i="1"/>
  <c r="J1361" i="1"/>
  <c r="AK1360" i="1"/>
  <c r="J1360" i="1"/>
  <c r="AK1359" i="1"/>
  <c r="J1359" i="1"/>
  <c r="AK1358" i="1"/>
  <c r="J1358" i="1"/>
  <c r="AK1357" i="1"/>
  <c r="J1357" i="1"/>
  <c r="AK1356" i="1"/>
  <c r="J1356" i="1"/>
  <c r="AK1355" i="1"/>
  <c r="J1355" i="1"/>
  <c r="AK1354" i="1"/>
  <c r="J1354" i="1"/>
  <c r="AK1353" i="1"/>
  <c r="J1353" i="1"/>
  <c r="AK1352" i="1"/>
  <c r="J1352" i="1"/>
  <c r="AK1351" i="1"/>
  <c r="J1351" i="1"/>
  <c r="AK1350" i="1"/>
  <c r="J1350" i="1"/>
  <c r="AK1349" i="1"/>
  <c r="J1349" i="1"/>
  <c r="AK1348" i="1"/>
  <c r="J1348" i="1"/>
  <c r="AK1347" i="1"/>
  <c r="J1347" i="1"/>
  <c r="AK1346" i="1"/>
  <c r="J1346" i="1"/>
  <c r="AK1345" i="1"/>
  <c r="J1345" i="1"/>
  <c r="AK1344" i="1"/>
  <c r="J1344" i="1"/>
  <c r="AK1343" i="1"/>
  <c r="J1343" i="1"/>
  <c r="AK1342" i="1"/>
  <c r="J1342" i="1"/>
  <c r="AK1341" i="1"/>
  <c r="J1341" i="1"/>
  <c r="AK1340" i="1"/>
  <c r="J1340" i="1"/>
  <c r="AK1339" i="1"/>
  <c r="J1339" i="1"/>
  <c r="AK1338" i="1"/>
  <c r="J1338" i="1"/>
  <c r="AK1337" i="1"/>
  <c r="J1337" i="1"/>
  <c r="AK1336" i="1"/>
  <c r="J1336" i="1"/>
  <c r="AK1335" i="1"/>
  <c r="J1335" i="1"/>
  <c r="AK1334" i="1"/>
  <c r="J1334" i="1"/>
  <c r="AK1333" i="1"/>
  <c r="J1333" i="1"/>
  <c r="AK1332" i="1"/>
  <c r="J1332" i="1"/>
  <c r="AK1331" i="1"/>
  <c r="J1331" i="1"/>
  <c r="AK1330" i="1"/>
  <c r="J1330" i="1"/>
  <c r="AK1329" i="1"/>
  <c r="J1329" i="1"/>
  <c r="AK1328" i="1"/>
  <c r="J1328" i="1"/>
  <c r="AK1327" i="1"/>
  <c r="J1327" i="1"/>
  <c r="AK1326" i="1"/>
  <c r="J1326" i="1"/>
  <c r="AK1325" i="1"/>
  <c r="J1325" i="1"/>
  <c r="AK1324" i="1"/>
  <c r="J1324" i="1"/>
  <c r="AK1323" i="1"/>
  <c r="J1323" i="1"/>
  <c r="AK1322" i="1"/>
  <c r="J1322" i="1"/>
  <c r="AK1321" i="1"/>
  <c r="J1321" i="1"/>
  <c r="AK1320" i="1"/>
  <c r="J1320" i="1"/>
  <c r="AK1319" i="1"/>
  <c r="J1319" i="1"/>
  <c r="AK1318" i="1"/>
  <c r="J1318" i="1"/>
  <c r="AK1317" i="1"/>
  <c r="J1317" i="1"/>
  <c r="AK1316" i="1"/>
  <c r="J1316" i="1"/>
  <c r="AK1315" i="1"/>
  <c r="J1315" i="1"/>
  <c r="AK1314" i="1"/>
  <c r="J1314" i="1"/>
  <c r="AK1313" i="1"/>
  <c r="J1313" i="1"/>
  <c r="AK1312" i="1"/>
  <c r="J1312" i="1"/>
  <c r="AK1311" i="1"/>
  <c r="J1311" i="1"/>
  <c r="AK1310" i="1"/>
  <c r="J1310" i="1"/>
  <c r="AK1309" i="1"/>
  <c r="J1309" i="1"/>
  <c r="AK1308" i="1"/>
  <c r="J1308" i="1"/>
  <c r="AK1307" i="1"/>
  <c r="J1307" i="1"/>
  <c r="AK1306" i="1"/>
  <c r="J1306" i="1"/>
  <c r="AK1305" i="1"/>
  <c r="J1305" i="1"/>
  <c r="AK1304" i="1"/>
  <c r="J1304" i="1"/>
  <c r="AK1303" i="1"/>
  <c r="J1303" i="1"/>
  <c r="AK1302" i="1"/>
  <c r="J1302" i="1"/>
  <c r="AK1301" i="1"/>
  <c r="J1301" i="1"/>
  <c r="AK1300" i="1"/>
  <c r="J1300" i="1"/>
  <c r="AK1299" i="1"/>
  <c r="J1299" i="1"/>
  <c r="AK1298" i="1"/>
  <c r="J1298" i="1"/>
  <c r="AK1297" i="1"/>
  <c r="J1297" i="1"/>
  <c r="AK1296" i="1"/>
  <c r="J1296" i="1"/>
  <c r="AK1295" i="1"/>
  <c r="J1295" i="1"/>
  <c r="AK1294" i="1"/>
  <c r="J1294" i="1"/>
  <c r="AK1293" i="1"/>
  <c r="J1293" i="1"/>
  <c r="AK1292" i="1"/>
  <c r="J1292" i="1"/>
  <c r="AK1291" i="1"/>
  <c r="J1291" i="1"/>
  <c r="AK1290" i="1"/>
  <c r="J1290" i="1"/>
  <c r="AK1289" i="1"/>
  <c r="J1289" i="1"/>
  <c r="AK1288" i="1"/>
  <c r="J1288" i="1"/>
  <c r="AK1287" i="1"/>
  <c r="J1287" i="1"/>
  <c r="AK1286" i="1"/>
  <c r="J1286" i="1"/>
  <c r="AK1285" i="1"/>
  <c r="J1285" i="1"/>
  <c r="AK1284" i="1"/>
  <c r="J1284" i="1"/>
  <c r="AK1283" i="1"/>
  <c r="J1283" i="1"/>
  <c r="AK1282" i="1"/>
  <c r="J1282" i="1"/>
  <c r="AK1281" i="1"/>
  <c r="J1281" i="1"/>
  <c r="AK1280" i="1"/>
  <c r="J1280" i="1"/>
  <c r="AK1279" i="1"/>
  <c r="J1279" i="1"/>
  <c r="AK1278" i="1"/>
  <c r="J1278" i="1"/>
  <c r="AK1277" i="1"/>
  <c r="J1277" i="1"/>
  <c r="AK1276" i="1"/>
  <c r="J1276" i="1"/>
  <c r="AK1275" i="1"/>
  <c r="J1275" i="1"/>
  <c r="AK1274" i="1"/>
  <c r="J1274" i="1"/>
  <c r="AK1273" i="1"/>
  <c r="J1273" i="1"/>
  <c r="AK1272" i="1"/>
  <c r="J1272" i="1"/>
  <c r="AK1271" i="1"/>
  <c r="J1271" i="1"/>
  <c r="AK1270" i="1"/>
  <c r="J1270" i="1"/>
  <c r="AK1269" i="1"/>
  <c r="J1269" i="1"/>
  <c r="AK1268" i="1"/>
  <c r="J1268" i="1"/>
  <c r="AK1267" i="1"/>
  <c r="J1267" i="1"/>
  <c r="AK1266" i="1"/>
  <c r="J1266" i="1"/>
  <c r="AK1265" i="1"/>
  <c r="J1265" i="1"/>
  <c r="AK1264" i="1"/>
  <c r="J1264" i="1"/>
  <c r="AK1263" i="1"/>
  <c r="J1263" i="1"/>
  <c r="AK1262" i="1"/>
  <c r="J1262" i="1"/>
  <c r="AK1261" i="1"/>
  <c r="J1261" i="1"/>
  <c r="AK1260" i="1"/>
  <c r="J1260" i="1"/>
  <c r="AK1259" i="1"/>
  <c r="J1259" i="1"/>
  <c r="AK1258" i="1"/>
  <c r="J1258" i="1"/>
  <c r="AK1257" i="1"/>
  <c r="J1257" i="1"/>
  <c r="AK1256" i="1"/>
  <c r="J1256" i="1"/>
  <c r="AK1255" i="1"/>
  <c r="J1255" i="1"/>
  <c r="AK1254" i="1"/>
  <c r="J1254" i="1"/>
  <c r="AK1253" i="1"/>
  <c r="J1253" i="1"/>
  <c r="AK1252" i="1"/>
  <c r="J1252" i="1"/>
  <c r="AK1251" i="1"/>
  <c r="J1251" i="1"/>
  <c r="AK1250" i="1"/>
  <c r="J1250" i="1"/>
  <c r="AK1249" i="1"/>
  <c r="J1249" i="1"/>
  <c r="AK1248" i="1"/>
  <c r="J1248" i="1"/>
  <c r="AK1247" i="1"/>
  <c r="J1247" i="1"/>
  <c r="AK1246" i="1"/>
  <c r="J1246" i="1"/>
  <c r="AK1245" i="1"/>
  <c r="J1245" i="1"/>
  <c r="AK1244" i="1"/>
  <c r="J1244" i="1"/>
  <c r="AK1243" i="1"/>
  <c r="J1243" i="1"/>
  <c r="AK1242" i="1"/>
  <c r="J1242" i="1"/>
  <c r="AK1241" i="1"/>
  <c r="J1241" i="1"/>
  <c r="AK1240" i="1"/>
  <c r="J1240" i="1"/>
  <c r="AK1239" i="1"/>
  <c r="J1239" i="1"/>
  <c r="AK1238" i="1"/>
  <c r="J1238" i="1"/>
  <c r="AK1237" i="1"/>
  <c r="J1237" i="1"/>
  <c r="AK1236" i="1"/>
  <c r="J1236" i="1"/>
  <c r="AK1235" i="1"/>
  <c r="J1235" i="1"/>
  <c r="AK1234" i="1"/>
  <c r="J1234" i="1"/>
  <c r="AK1233" i="1"/>
  <c r="J1233" i="1"/>
  <c r="AK1232" i="1"/>
  <c r="J1232" i="1"/>
  <c r="AK1231" i="1"/>
  <c r="J1231" i="1"/>
  <c r="AK1230" i="1"/>
  <c r="J1230" i="1"/>
  <c r="AK1229" i="1"/>
  <c r="J1229" i="1"/>
  <c r="AK1228" i="1"/>
  <c r="J1228" i="1"/>
  <c r="AK1227" i="1"/>
  <c r="J1227" i="1"/>
  <c r="AK1226" i="1"/>
  <c r="J1226" i="1"/>
  <c r="AK1225" i="1"/>
  <c r="J1225" i="1"/>
  <c r="AK1224" i="1"/>
  <c r="J1224" i="1"/>
  <c r="AK1223" i="1"/>
  <c r="J1223" i="1"/>
  <c r="AK1222" i="1"/>
  <c r="J1222" i="1"/>
  <c r="AK1221" i="1"/>
  <c r="J1221" i="1"/>
  <c r="AK1220" i="1"/>
  <c r="J1220" i="1"/>
  <c r="AK1219" i="1"/>
  <c r="J1219" i="1"/>
  <c r="AK1218" i="1"/>
  <c r="J1218" i="1"/>
  <c r="AK1217" i="1"/>
  <c r="J1217" i="1"/>
  <c r="AK1216" i="1"/>
  <c r="J1216" i="1"/>
  <c r="AK1215" i="1"/>
  <c r="J1215" i="1"/>
  <c r="AK1214" i="1"/>
  <c r="J1214" i="1"/>
  <c r="AK1213" i="1"/>
  <c r="J1213" i="1"/>
  <c r="AK1212" i="1"/>
  <c r="J1212" i="1"/>
  <c r="AK1211" i="1"/>
  <c r="J1211" i="1"/>
  <c r="AK1210" i="1"/>
  <c r="J1210" i="1"/>
  <c r="AK1209" i="1"/>
  <c r="J1209" i="1"/>
  <c r="AK1208" i="1"/>
  <c r="J1208" i="1"/>
  <c r="AK1207" i="1"/>
  <c r="J1207" i="1"/>
  <c r="AK1206" i="1"/>
  <c r="J1206" i="1"/>
  <c r="AK1205" i="1"/>
  <c r="J1205" i="1"/>
  <c r="AK1204" i="1"/>
  <c r="J1204" i="1"/>
  <c r="AK1203" i="1"/>
  <c r="J1203" i="1"/>
  <c r="AK1202" i="1"/>
  <c r="J1202" i="1"/>
  <c r="AK1201" i="1"/>
  <c r="J1201" i="1"/>
  <c r="AK1200" i="1"/>
  <c r="J1200" i="1"/>
  <c r="AK1199" i="1"/>
  <c r="J1199" i="1"/>
  <c r="AK1198" i="1"/>
  <c r="J1198" i="1"/>
  <c r="AK1197" i="1"/>
  <c r="J1197" i="1"/>
  <c r="AK1196" i="1"/>
  <c r="J1196" i="1"/>
  <c r="AK1195" i="1"/>
  <c r="J1195" i="1"/>
  <c r="AK1194" i="1"/>
  <c r="J1194" i="1"/>
  <c r="AK1193" i="1"/>
  <c r="J1193" i="1"/>
  <c r="AK1192" i="1"/>
  <c r="J1192" i="1"/>
  <c r="AK1191" i="1"/>
  <c r="J1191" i="1"/>
  <c r="AK1190" i="1"/>
  <c r="J1190" i="1"/>
  <c r="AK1189" i="1"/>
  <c r="J1189" i="1"/>
  <c r="AK1188" i="1"/>
  <c r="J1188" i="1"/>
  <c r="AK1187" i="1"/>
  <c r="J1187" i="1"/>
  <c r="AK1186" i="1"/>
  <c r="J1186" i="1"/>
  <c r="AK1185" i="1"/>
  <c r="J1185" i="1"/>
  <c r="AK1184" i="1"/>
  <c r="J1184" i="1"/>
  <c r="AK1183" i="1"/>
  <c r="J1183" i="1"/>
  <c r="AK1182" i="1"/>
  <c r="J1182" i="1"/>
  <c r="AK1181" i="1"/>
  <c r="J1181" i="1"/>
  <c r="AK1180" i="1"/>
  <c r="J1180" i="1"/>
  <c r="AK1179" i="1"/>
  <c r="J1179" i="1"/>
  <c r="AK1178" i="1"/>
  <c r="J1178" i="1"/>
  <c r="AK1177" i="1"/>
  <c r="J1177" i="1"/>
  <c r="AK1176" i="1"/>
  <c r="J1176" i="1"/>
  <c r="AK1175" i="1"/>
  <c r="J1175" i="1"/>
  <c r="AK1174" i="1"/>
  <c r="J1174" i="1"/>
  <c r="AK1173" i="1"/>
  <c r="J1173" i="1"/>
  <c r="AK1172" i="1"/>
  <c r="J1172" i="1"/>
  <c r="AK1171" i="1"/>
  <c r="J1171" i="1"/>
  <c r="AK1170" i="1"/>
  <c r="J1170" i="1"/>
  <c r="AK1169" i="1"/>
  <c r="J1169" i="1"/>
  <c r="AK1168" i="1"/>
  <c r="J1168" i="1"/>
  <c r="AK1167" i="1"/>
  <c r="J1167" i="1"/>
  <c r="AK1166" i="1"/>
  <c r="J1166" i="1"/>
  <c r="AK1165" i="1"/>
  <c r="J1165" i="1"/>
  <c r="AK1164" i="1"/>
  <c r="J1164" i="1"/>
  <c r="AK1163" i="1"/>
  <c r="J1163" i="1"/>
  <c r="AK1162" i="1"/>
  <c r="J1162" i="1"/>
  <c r="AK1161" i="1"/>
  <c r="J1161" i="1"/>
  <c r="AK1160" i="1"/>
  <c r="J1160" i="1"/>
  <c r="AK1159" i="1"/>
  <c r="J1159" i="1"/>
  <c r="AK1158" i="1"/>
  <c r="J1158" i="1"/>
  <c r="AK1157" i="1"/>
  <c r="J1157" i="1"/>
  <c r="AK1156" i="1"/>
  <c r="J1156" i="1"/>
  <c r="AK1155" i="1"/>
  <c r="J1155" i="1"/>
  <c r="AK1154" i="1"/>
  <c r="J1154" i="1"/>
  <c r="AK1153" i="1"/>
  <c r="J1153" i="1"/>
  <c r="AK1152" i="1"/>
  <c r="J1152" i="1"/>
  <c r="AK1151" i="1"/>
  <c r="J1151" i="1"/>
  <c r="AK1150" i="1"/>
  <c r="J1150" i="1"/>
  <c r="AK1149" i="1"/>
  <c r="J1149" i="1"/>
  <c r="AK1148" i="1"/>
  <c r="J1148" i="1"/>
  <c r="AK1147" i="1"/>
  <c r="J1147" i="1"/>
  <c r="AK1146" i="1"/>
  <c r="J1146" i="1"/>
  <c r="AK1145" i="1"/>
  <c r="J1145" i="1"/>
  <c r="AK1144" i="1"/>
  <c r="J1144" i="1"/>
  <c r="AK1143" i="1"/>
  <c r="J1143" i="1"/>
  <c r="AK1142" i="1"/>
  <c r="J1142" i="1"/>
  <c r="AK1141" i="1"/>
  <c r="J1141" i="1"/>
  <c r="AK1140" i="1"/>
  <c r="J1140" i="1"/>
  <c r="AK1139" i="1"/>
  <c r="J1139" i="1"/>
  <c r="AK1138" i="1"/>
  <c r="J1138" i="1"/>
  <c r="AK1137" i="1"/>
  <c r="J1137" i="1"/>
  <c r="AK1136" i="1"/>
  <c r="J1136" i="1"/>
  <c r="AK1135" i="1"/>
  <c r="J1135" i="1"/>
  <c r="AK1134" i="1"/>
  <c r="J1134" i="1"/>
  <c r="AK1133" i="1"/>
  <c r="J1133" i="1"/>
  <c r="AK1132" i="1"/>
  <c r="J1132" i="1"/>
  <c r="AK1131" i="1"/>
  <c r="J1131" i="1"/>
  <c r="AK1130" i="1"/>
  <c r="J1130" i="1"/>
  <c r="AK1129" i="1"/>
  <c r="J1129" i="1"/>
  <c r="AK1128" i="1"/>
  <c r="J1128" i="1"/>
  <c r="AK1127" i="1"/>
  <c r="J1127" i="1"/>
  <c r="AK1126" i="1"/>
  <c r="J1126" i="1"/>
  <c r="AK1125" i="1"/>
  <c r="J1125" i="1"/>
  <c r="AK1124" i="1"/>
  <c r="J1124" i="1"/>
  <c r="AK1123" i="1"/>
  <c r="J1123" i="1"/>
  <c r="AK1122" i="1"/>
  <c r="J1122" i="1"/>
  <c r="AK1121" i="1"/>
  <c r="J1121" i="1"/>
  <c r="AK1120" i="1"/>
  <c r="J1120" i="1"/>
  <c r="AK1119" i="1"/>
  <c r="J1119" i="1"/>
  <c r="AK1118" i="1"/>
  <c r="J1118" i="1"/>
  <c r="AK1117" i="1"/>
  <c r="J1117" i="1"/>
  <c r="AK1116" i="1"/>
  <c r="J1116" i="1"/>
  <c r="AK1115" i="1"/>
  <c r="J1115" i="1"/>
  <c r="AK1114" i="1"/>
  <c r="J1114" i="1"/>
  <c r="AK1113" i="1"/>
  <c r="J1113" i="1"/>
  <c r="AK1112" i="1"/>
  <c r="J1112" i="1"/>
  <c r="AK1111" i="1"/>
  <c r="J1111" i="1"/>
  <c r="AK1110" i="1"/>
  <c r="J1110" i="1"/>
  <c r="AK1109" i="1"/>
  <c r="J1109" i="1"/>
  <c r="AK1108" i="1"/>
  <c r="J1108" i="1"/>
  <c r="AK1107" i="1"/>
  <c r="J1107" i="1"/>
  <c r="AK1106" i="1"/>
  <c r="J1106" i="1"/>
  <c r="AK1105" i="1"/>
  <c r="J1105" i="1"/>
  <c r="AK1104" i="1"/>
  <c r="J1104" i="1"/>
  <c r="AK1103" i="1"/>
  <c r="J1103" i="1"/>
  <c r="AK1102" i="1"/>
  <c r="J1102" i="1"/>
  <c r="AK1101" i="1"/>
  <c r="J1101" i="1"/>
  <c r="AK1100" i="1"/>
  <c r="J1100" i="1"/>
  <c r="AK1099" i="1"/>
  <c r="J1099" i="1"/>
  <c r="AK1098" i="1"/>
  <c r="J1098" i="1"/>
  <c r="AK1097" i="1"/>
  <c r="J1097" i="1"/>
  <c r="AK1096" i="1"/>
  <c r="J1096" i="1"/>
  <c r="AK1095" i="1"/>
  <c r="J1095" i="1"/>
  <c r="AK1094" i="1"/>
  <c r="J1094" i="1"/>
  <c r="AK1093" i="1"/>
  <c r="J1093" i="1"/>
  <c r="AK1092" i="1"/>
  <c r="J1092" i="1"/>
  <c r="AK1091" i="1"/>
  <c r="J1091" i="1"/>
  <c r="AK1090" i="1"/>
  <c r="J1090" i="1"/>
  <c r="AK1089" i="1"/>
  <c r="J1089" i="1"/>
  <c r="AK1088" i="1"/>
  <c r="J1088" i="1"/>
  <c r="AK1087" i="1"/>
  <c r="J1087" i="1"/>
  <c r="AK1086" i="1"/>
  <c r="J1086" i="1"/>
  <c r="AK1085" i="1"/>
  <c r="J1085" i="1"/>
  <c r="AK1084" i="1"/>
  <c r="J1084" i="1"/>
  <c r="AK1083" i="1"/>
  <c r="J1083" i="1"/>
  <c r="AK1082" i="1"/>
  <c r="J1082" i="1"/>
  <c r="AK1081" i="1"/>
  <c r="J1081" i="1"/>
  <c r="AK1080" i="1"/>
  <c r="J1080" i="1"/>
  <c r="AK1079" i="1"/>
  <c r="J1079" i="1"/>
  <c r="AK1078" i="1"/>
  <c r="J1078" i="1"/>
  <c r="AK1077" i="1"/>
  <c r="J1077" i="1"/>
  <c r="AK1076" i="1"/>
  <c r="J1076" i="1"/>
  <c r="AK1075" i="1"/>
  <c r="J1075" i="1"/>
  <c r="AK1074" i="1"/>
  <c r="J1074" i="1"/>
  <c r="AK1073" i="1"/>
  <c r="J1073" i="1"/>
  <c r="AK1072" i="1"/>
  <c r="J1072" i="1"/>
  <c r="AK1071" i="1"/>
  <c r="J1071" i="1"/>
  <c r="AK1070" i="1"/>
  <c r="J1070" i="1"/>
  <c r="AK1069" i="1"/>
  <c r="J1069" i="1"/>
  <c r="AK1068" i="1"/>
  <c r="J1068" i="1"/>
  <c r="AK1067" i="1"/>
  <c r="J1067" i="1"/>
  <c r="AK1066" i="1"/>
  <c r="J1066" i="1"/>
  <c r="AK1065" i="1"/>
  <c r="J1065" i="1"/>
  <c r="AK1064" i="1"/>
  <c r="J1064" i="1"/>
  <c r="AK1063" i="1"/>
  <c r="J1063" i="1"/>
  <c r="AK1062" i="1"/>
  <c r="J1062" i="1"/>
  <c r="AK1061" i="1"/>
  <c r="J1061" i="1"/>
  <c r="AK1060" i="1"/>
  <c r="J1060" i="1"/>
  <c r="AK1059" i="1"/>
  <c r="J1059" i="1"/>
  <c r="AK1058" i="1"/>
  <c r="J1058" i="1"/>
  <c r="AK1057" i="1"/>
  <c r="J1057" i="1"/>
  <c r="AK1056" i="1"/>
  <c r="J1056" i="1"/>
  <c r="AK1055" i="1"/>
  <c r="J1055" i="1"/>
  <c r="AK1054" i="1"/>
  <c r="J1054" i="1"/>
  <c r="AK1053" i="1"/>
  <c r="J1053" i="1"/>
  <c r="AK1052" i="1"/>
  <c r="J1052" i="1"/>
  <c r="AK1051" i="1"/>
  <c r="J1051" i="1"/>
  <c r="AK1050" i="1"/>
  <c r="J1050" i="1"/>
  <c r="AK1049" i="1"/>
  <c r="J1049" i="1"/>
  <c r="AK1048" i="1"/>
  <c r="J1048" i="1"/>
  <c r="AK1047" i="1"/>
  <c r="J1047" i="1"/>
  <c r="AK1046" i="1"/>
  <c r="J1046" i="1"/>
  <c r="AK1045" i="1"/>
  <c r="J1045" i="1"/>
  <c r="AK1044" i="1"/>
  <c r="J1044" i="1"/>
  <c r="AK1043" i="1"/>
  <c r="J1043" i="1"/>
  <c r="AK1042" i="1"/>
  <c r="J1042" i="1"/>
  <c r="AK1041" i="1"/>
  <c r="J1041" i="1"/>
  <c r="AK1040" i="1"/>
  <c r="J1040" i="1"/>
  <c r="AK1039" i="1"/>
  <c r="J1039" i="1"/>
  <c r="AK1038" i="1"/>
  <c r="J1038" i="1"/>
  <c r="AK1037" i="1"/>
  <c r="J1037" i="1"/>
  <c r="AK1036" i="1"/>
  <c r="J1036" i="1"/>
  <c r="AK1035" i="1"/>
  <c r="J1035" i="1"/>
  <c r="AK1034" i="1"/>
  <c r="J1034" i="1"/>
  <c r="AK1033" i="1"/>
  <c r="J1033" i="1"/>
  <c r="AK1032" i="1"/>
  <c r="J1032" i="1"/>
  <c r="AK1031" i="1"/>
  <c r="J1031" i="1"/>
  <c r="AK1030" i="1"/>
  <c r="J1030" i="1"/>
  <c r="AK1029" i="1"/>
  <c r="J1029" i="1"/>
  <c r="AK1028" i="1"/>
  <c r="J1028" i="1"/>
  <c r="AK1027" i="1"/>
  <c r="J1027" i="1"/>
  <c r="AK1026" i="1"/>
  <c r="J1026" i="1"/>
  <c r="AK1025" i="1"/>
  <c r="J1025" i="1"/>
  <c r="AK1024" i="1"/>
  <c r="J1024" i="1"/>
  <c r="AK1023" i="1"/>
  <c r="J1023" i="1"/>
  <c r="AK1022" i="1"/>
  <c r="J1022" i="1"/>
  <c r="AK1021" i="1"/>
  <c r="J1021" i="1"/>
  <c r="AK1020" i="1"/>
  <c r="J1020" i="1"/>
  <c r="AK1019" i="1"/>
  <c r="J1019" i="1"/>
  <c r="AK1018" i="1"/>
  <c r="J1018" i="1"/>
  <c r="AK1017" i="1"/>
  <c r="J1017" i="1"/>
  <c r="AK1016" i="1"/>
  <c r="J1016" i="1"/>
  <c r="AK1015" i="1"/>
  <c r="J1015" i="1"/>
  <c r="AK1014" i="1"/>
  <c r="J1014" i="1"/>
  <c r="AK1013" i="1"/>
  <c r="J1013" i="1"/>
  <c r="AK1012" i="1"/>
  <c r="J1012" i="1"/>
  <c r="AK1011" i="1"/>
  <c r="J1011" i="1"/>
  <c r="AK1010" i="1"/>
  <c r="J1010" i="1"/>
  <c r="AK1009" i="1"/>
  <c r="J1009" i="1"/>
  <c r="AK1008" i="1"/>
  <c r="J1008" i="1"/>
  <c r="AK1007" i="1"/>
  <c r="J1007" i="1"/>
  <c r="AK1006" i="1"/>
  <c r="J1006" i="1"/>
  <c r="AK1005" i="1"/>
  <c r="J1005" i="1"/>
  <c r="AK1004" i="1"/>
  <c r="J1004" i="1"/>
  <c r="AK1003" i="1"/>
  <c r="J1003" i="1"/>
  <c r="AK1002" i="1"/>
  <c r="J1002" i="1"/>
  <c r="AK1001" i="1"/>
  <c r="J1001" i="1"/>
  <c r="AK1000" i="1"/>
  <c r="J1000" i="1"/>
  <c r="AK999" i="1"/>
  <c r="J999" i="1"/>
  <c r="AK998" i="1"/>
  <c r="J998" i="1"/>
  <c r="AK997" i="1"/>
  <c r="J997" i="1"/>
  <c r="AK996" i="1"/>
  <c r="J996" i="1"/>
  <c r="AK995" i="1"/>
  <c r="J995" i="1"/>
  <c r="AK994" i="1"/>
  <c r="J994" i="1"/>
  <c r="AK993" i="1"/>
  <c r="J993" i="1"/>
  <c r="AK992" i="1"/>
  <c r="J992" i="1"/>
  <c r="AK991" i="1"/>
  <c r="J991" i="1"/>
  <c r="AK990" i="1"/>
  <c r="J990" i="1"/>
  <c r="AK989" i="1"/>
  <c r="J989" i="1"/>
  <c r="AK988" i="1"/>
  <c r="J988" i="1"/>
  <c r="AK987" i="1"/>
  <c r="J987" i="1"/>
  <c r="AK986" i="1"/>
  <c r="J986" i="1"/>
  <c r="AK985" i="1"/>
  <c r="J985" i="1"/>
  <c r="AK984" i="1"/>
  <c r="J984" i="1"/>
  <c r="AK983" i="1"/>
  <c r="J983" i="1"/>
  <c r="AK982" i="1"/>
  <c r="J982" i="1"/>
  <c r="AK981" i="1"/>
  <c r="J981" i="1"/>
  <c r="AK980" i="1"/>
  <c r="J980" i="1"/>
  <c r="AK979" i="1"/>
  <c r="J979" i="1"/>
  <c r="AK978" i="1"/>
  <c r="J978" i="1"/>
  <c r="AK977" i="1"/>
  <c r="J977" i="1"/>
  <c r="AK976" i="1"/>
  <c r="J976" i="1"/>
  <c r="AK975" i="1"/>
  <c r="J975" i="1"/>
  <c r="AK974" i="1"/>
  <c r="J974" i="1"/>
  <c r="AK973" i="1"/>
  <c r="J973" i="1"/>
  <c r="AK972" i="1"/>
  <c r="J972" i="1"/>
  <c r="AK971" i="1"/>
  <c r="J971" i="1"/>
  <c r="AK970" i="1"/>
  <c r="J970" i="1"/>
  <c r="AK969" i="1"/>
  <c r="J969" i="1"/>
  <c r="AK968" i="1"/>
  <c r="J968" i="1"/>
  <c r="AK967" i="1"/>
  <c r="J967" i="1"/>
  <c r="AK966" i="1"/>
  <c r="J966" i="1"/>
  <c r="AK965" i="1"/>
  <c r="J965" i="1"/>
  <c r="AK964" i="1"/>
  <c r="J964" i="1"/>
  <c r="AK963" i="1"/>
  <c r="J963" i="1"/>
  <c r="AK962" i="1"/>
  <c r="J962" i="1"/>
  <c r="AK961" i="1"/>
  <c r="J961" i="1"/>
  <c r="AK960" i="1"/>
  <c r="J960" i="1"/>
  <c r="AK959" i="1"/>
  <c r="J959" i="1"/>
  <c r="AK958" i="1"/>
  <c r="J958" i="1"/>
  <c r="AK957" i="1"/>
  <c r="J957" i="1"/>
  <c r="AK956" i="1"/>
  <c r="J956" i="1"/>
  <c r="AK955" i="1"/>
  <c r="J955" i="1"/>
  <c r="AK954" i="1"/>
  <c r="J954" i="1"/>
  <c r="AK953" i="1"/>
  <c r="J953" i="1"/>
  <c r="AK952" i="1"/>
  <c r="J952" i="1"/>
  <c r="AK951" i="1"/>
  <c r="J951" i="1"/>
  <c r="AK950" i="1"/>
  <c r="J950" i="1"/>
  <c r="AK949" i="1"/>
  <c r="J949" i="1"/>
  <c r="AK948" i="1"/>
  <c r="J948" i="1"/>
  <c r="AK947" i="1"/>
  <c r="J947" i="1"/>
  <c r="AK946" i="1"/>
  <c r="J946" i="1"/>
  <c r="AK945" i="1"/>
  <c r="J945" i="1"/>
  <c r="AK944" i="1"/>
  <c r="J944" i="1"/>
  <c r="AK943" i="1"/>
  <c r="J943" i="1"/>
  <c r="AK942" i="1"/>
  <c r="J942" i="1"/>
  <c r="AK941" i="1"/>
  <c r="J941" i="1"/>
  <c r="AK940" i="1"/>
  <c r="J940" i="1"/>
  <c r="AK939" i="1"/>
  <c r="J939" i="1"/>
  <c r="AK938" i="1"/>
  <c r="J938" i="1"/>
  <c r="AK937" i="1"/>
  <c r="J937" i="1"/>
  <c r="AK936" i="1"/>
  <c r="J936" i="1"/>
  <c r="AK935" i="1"/>
  <c r="J935" i="1"/>
  <c r="AK934" i="1"/>
  <c r="J934" i="1"/>
  <c r="AK933" i="1"/>
  <c r="J933" i="1"/>
  <c r="AK932" i="1"/>
  <c r="J932" i="1"/>
  <c r="AK931" i="1"/>
  <c r="J931" i="1"/>
  <c r="AK930" i="1"/>
  <c r="J930" i="1"/>
  <c r="AK929" i="1"/>
  <c r="J929" i="1"/>
  <c r="AK928" i="1"/>
  <c r="J928" i="1"/>
  <c r="AK927" i="1"/>
  <c r="J927" i="1"/>
  <c r="AK926" i="1"/>
  <c r="J926" i="1"/>
  <c r="AK925" i="1"/>
  <c r="J925" i="1"/>
  <c r="AK924" i="1"/>
  <c r="J924" i="1"/>
  <c r="AK923" i="1"/>
  <c r="J923" i="1"/>
  <c r="AK922" i="1"/>
  <c r="J922" i="1"/>
  <c r="AK921" i="1"/>
  <c r="J921" i="1"/>
  <c r="AK920" i="1"/>
  <c r="J920" i="1"/>
  <c r="AK919" i="1"/>
  <c r="J919" i="1"/>
  <c r="AK918" i="1"/>
  <c r="J918" i="1"/>
  <c r="AK917" i="1"/>
  <c r="J917" i="1"/>
  <c r="AK916" i="1"/>
  <c r="J916" i="1"/>
  <c r="AK915" i="1"/>
  <c r="J915" i="1"/>
  <c r="AK914" i="1"/>
  <c r="J914" i="1"/>
  <c r="AK913" i="1"/>
  <c r="J913" i="1"/>
  <c r="AK912" i="1"/>
  <c r="J912" i="1"/>
  <c r="AK911" i="1"/>
  <c r="J911" i="1"/>
  <c r="AK910" i="1"/>
  <c r="J910" i="1"/>
  <c r="AK909" i="1"/>
  <c r="J909" i="1"/>
  <c r="AK908" i="1"/>
  <c r="J908" i="1"/>
  <c r="AK907" i="1"/>
  <c r="J907" i="1"/>
  <c r="AK906" i="1"/>
  <c r="J906" i="1"/>
  <c r="AK905" i="1"/>
  <c r="J905" i="1"/>
  <c r="AK904" i="1"/>
  <c r="J904" i="1"/>
  <c r="AK903" i="1"/>
  <c r="J903" i="1"/>
  <c r="AK902" i="1"/>
  <c r="J902" i="1"/>
  <c r="AK901" i="1"/>
  <c r="J901" i="1"/>
  <c r="AK900" i="1"/>
  <c r="J900" i="1"/>
  <c r="AK899" i="1"/>
  <c r="J899" i="1"/>
  <c r="AK898" i="1"/>
  <c r="J898" i="1"/>
  <c r="AK897" i="1"/>
  <c r="J897" i="1"/>
  <c r="AK896" i="1"/>
  <c r="J896" i="1"/>
  <c r="AK895" i="1"/>
  <c r="J895" i="1"/>
  <c r="AK894" i="1"/>
  <c r="J894" i="1"/>
  <c r="AK893" i="1"/>
  <c r="J893" i="1"/>
  <c r="AK892" i="1"/>
  <c r="J892" i="1"/>
  <c r="AK891" i="1"/>
  <c r="J891" i="1"/>
  <c r="AK890" i="1"/>
  <c r="J890" i="1"/>
  <c r="AK889" i="1"/>
  <c r="J889" i="1"/>
  <c r="AK888" i="1"/>
  <c r="J888" i="1"/>
  <c r="AK887" i="1"/>
  <c r="J887" i="1"/>
  <c r="AK886" i="1"/>
  <c r="J886" i="1"/>
  <c r="AK885" i="1"/>
  <c r="J885" i="1"/>
  <c r="AK884" i="1"/>
  <c r="J884" i="1"/>
  <c r="AK883" i="1"/>
  <c r="J883" i="1"/>
  <c r="AK882" i="1"/>
  <c r="J882" i="1"/>
  <c r="AK881" i="1"/>
  <c r="J881" i="1"/>
  <c r="AK880" i="1"/>
  <c r="J880" i="1"/>
  <c r="AK879" i="1"/>
  <c r="J879" i="1"/>
  <c r="AK878" i="1"/>
  <c r="J878" i="1"/>
  <c r="AK877" i="1"/>
  <c r="J877" i="1"/>
  <c r="AK876" i="1"/>
  <c r="J876" i="1"/>
  <c r="AK875" i="1"/>
  <c r="J875" i="1"/>
  <c r="AK874" i="1"/>
  <c r="J874" i="1"/>
  <c r="AK873" i="1"/>
  <c r="J873" i="1"/>
  <c r="AK872" i="1"/>
  <c r="J872" i="1"/>
  <c r="AK871" i="1"/>
  <c r="J871" i="1"/>
  <c r="AK870" i="1"/>
  <c r="J870" i="1"/>
  <c r="AK869" i="1"/>
  <c r="J869" i="1"/>
  <c r="AK868" i="1"/>
  <c r="J868" i="1"/>
  <c r="AK867" i="1"/>
  <c r="J867" i="1"/>
  <c r="AK866" i="1"/>
  <c r="J866" i="1"/>
  <c r="AK865" i="1"/>
  <c r="J865" i="1"/>
  <c r="AK864" i="1"/>
  <c r="J864" i="1"/>
  <c r="AK863" i="1"/>
  <c r="J863" i="1"/>
  <c r="AK862" i="1"/>
  <c r="J862" i="1"/>
  <c r="AK861" i="1"/>
  <c r="J861" i="1"/>
  <c r="AK860" i="1"/>
  <c r="J860" i="1"/>
  <c r="AK859" i="1"/>
  <c r="J859" i="1"/>
  <c r="AK858" i="1"/>
  <c r="J858" i="1"/>
  <c r="AK857" i="1"/>
  <c r="J857" i="1"/>
  <c r="AK856" i="1"/>
  <c r="J856" i="1"/>
  <c r="AK855" i="1"/>
  <c r="J855" i="1"/>
  <c r="AK854" i="1"/>
  <c r="J854" i="1"/>
  <c r="AK853" i="1"/>
  <c r="J853" i="1"/>
  <c r="AK852" i="1"/>
  <c r="J852" i="1"/>
  <c r="AK851" i="1"/>
  <c r="J851" i="1"/>
  <c r="AK850" i="1"/>
  <c r="J850" i="1"/>
  <c r="AK849" i="1"/>
  <c r="J849" i="1"/>
  <c r="AK848" i="1"/>
  <c r="J848" i="1"/>
  <c r="AK847" i="1"/>
  <c r="J847" i="1"/>
  <c r="AK846" i="1"/>
  <c r="J846" i="1"/>
  <c r="AK845" i="1"/>
  <c r="J845" i="1"/>
  <c r="AK844" i="1"/>
  <c r="J844" i="1"/>
  <c r="AK843" i="1"/>
  <c r="J843" i="1"/>
  <c r="AK842" i="1"/>
  <c r="J842" i="1"/>
  <c r="AK841" i="1"/>
  <c r="J841" i="1"/>
  <c r="AK840" i="1"/>
  <c r="J840" i="1"/>
  <c r="AK839" i="1"/>
  <c r="J839" i="1"/>
  <c r="AK838" i="1"/>
  <c r="J838" i="1"/>
  <c r="AK837" i="1"/>
  <c r="J837" i="1"/>
  <c r="AK836" i="1"/>
  <c r="J836" i="1"/>
  <c r="AK835" i="1"/>
  <c r="J835" i="1"/>
  <c r="AK834" i="1"/>
  <c r="J834" i="1"/>
  <c r="AK833" i="1"/>
  <c r="J833" i="1"/>
  <c r="AK832" i="1"/>
  <c r="J832" i="1"/>
  <c r="AK831" i="1"/>
  <c r="J831" i="1"/>
  <c r="AK830" i="1"/>
  <c r="J830" i="1"/>
  <c r="AK829" i="1"/>
  <c r="J829" i="1"/>
  <c r="AK828" i="1"/>
  <c r="J828" i="1"/>
  <c r="AK827" i="1"/>
  <c r="J827" i="1"/>
  <c r="AK826" i="1"/>
  <c r="J826" i="1"/>
  <c r="AK825" i="1"/>
  <c r="J825" i="1"/>
  <c r="AK824" i="1"/>
  <c r="J824" i="1"/>
  <c r="AK823" i="1"/>
  <c r="J823" i="1"/>
  <c r="AK822" i="1"/>
  <c r="J822" i="1"/>
  <c r="AK821" i="1"/>
  <c r="J821" i="1"/>
  <c r="AK820" i="1"/>
  <c r="J820" i="1"/>
  <c r="AK819" i="1"/>
  <c r="J819" i="1"/>
  <c r="AK818" i="1"/>
  <c r="J818" i="1"/>
  <c r="AK817" i="1"/>
  <c r="J817" i="1"/>
  <c r="AK816" i="1"/>
  <c r="J816" i="1"/>
  <c r="AK815" i="1"/>
  <c r="J815" i="1"/>
  <c r="AK814" i="1"/>
  <c r="J814" i="1"/>
  <c r="AK813" i="1"/>
  <c r="J813" i="1"/>
  <c r="AK812" i="1"/>
  <c r="J812" i="1"/>
  <c r="AK811" i="1"/>
  <c r="J811" i="1"/>
  <c r="AK810" i="1"/>
  <c r="J810" i="1"/>
  <c r="AK809" i="1"/>
  <c r="J809" i="1"/>
  <c r="AK808" i="1"/>
  <c r="J808" i="1"/>
  <c r="AK807" i="1"/>
  <c r="J807" i="1"/>
  <c r="AK806" i="1"/>
  <c r="J806" i="1"/>
  <c r="AK805" i="1"/>
  <c r="J805" i="1"/>
  <c r="AK804" i="1"/>
  <c r="J804" i="1"/>
  <c r="AK803" i="1"/>
  <c r="J803" i="1"/>
  <c r="AK802" i="1"/>
  <c r="J802" i="1"/>
  <c r="AK801" i="1"/>
  <c r="J801" i="1"/>
  <c r="AK800" i="1"/>
  <c r="J800" i="1"/>
  <c r="AK799" i="1"/>
  <c r="J799" i="1"/>
  <c r="AK798" i="1"/>
  <c r="J798" i="1"/>
  <c r="AK797" i="1"/>
  <c r="J797" i="1"/>
  <c r="AK796" i="1"/>
  <c r="J796" i="1"/>
  <c r="AK795" i="1"/>
  <c r="J795" i="1"/>
  <c r="AK794" i="1"/>
  <c r="J794" i="1"/>
  <c r="AK793" i="1"/>
  <c r="J793" i="1"/>
  <c r="AK792" i="1"/>
  <c r="J792" i="1"/>
  <c r="AK791" i="1"/>
  <c r="J791" i="1"/>
  <c r="AK790" i="1"/>
  <c r="J790" i="1"/>
  <c r="AK789" i="1"/>
  <c r="J789" i="1"/>
  <c r="AK788" i="1"/>
  <c r="J788" i="1"/>
  <c r="AK787" i="1"/>
  <c r="J787" i="1"/>
  <c r="AK786" i="1"/>
  <c r="J786" i="1"/>
  <c r="AK785" i="1"/>
  <c r="J785" i="1"/>
  <c r="AK784" i="1"/>
  <c r="J784" i="1"/>
  <c r="AK783" i="1"/>
  <c r="J783" i="1"/>
  <c r="AK782" i="1"/>
  <c r="J782" i="1"/>
  <c r="AK781" i="1"/>
  <c r="J781" i="1"/>
  <c r="AK780" i="1"/>
  <c r="J780" i="1"/>
  <c r="AK779" i="1"/>
  <c r="J779" i="1"/>
  <c r="AK778" i="1"/>
  <c r="J778" i="1"/>
  <c r="AK777" i="1"/>
  <c r="J777" i="1"/>
  <c r="AK776" i="1"/>
  <c r="J776" i="1"/>
  <c r="AK775" i="1"/>
  <c r="J775" i="1"/>
  <c r="AK774" i="1"/>
  <c r="J774" i="1"/>
  <c r="AK773" i="1"/>
  <c r="J773" i="1"/>
  <c r="AK772" i="1"/>
  <c r="J772" i="1"/>
  <c r="AK771" i="1"/>
  <c r="J771" i="1"/>
  <c r="AK770" i="1"/>
  <c r="J770" i="1"/>
  <c r="AK769" i="1"/>
  <c r="J769" i="1"/>
  <c r="AK768" i="1"/>
  <c r="J768" i="1"/>
  <c r="AK767" i="1"/>
  <c r="J767" i="1"/>
  <c r="AK766" i="1"/>
  <c r="J766" i="1"/>
  <c r="AK765" i="1"/>
  <c r="J765" i="1"/>
  <c r="AK764" i="1"/>
  <c r="J764" i="1"/>
  <c r="AK763" i="1"/>
  <c r="J763" i="1"/>
  <c r="AK762" i="1"/>
  <c r="J762" i="1"/>
  <c r="AK761" i="1"/>
  <c r="J761" i="1"/>
  <c r="AK760" i="1"/>
  <c r="J760" i="1"/>
  <c r="AK759" i="1"/>
  <c r="J759" i="1"/>
  <c r="AK758" i="1"/>
  <c r="J758" i="1"/>
  <c r="AK757" i="1"/>
  <c r="J757" i="1"/>
  <c r="AK756" i="1"/>
  <c r="J756" i="1"/>
  <c r="AK755" i="1"/>
  <c r="J755" i="1"/>
  <c r="AK754" i="1"/>
  <c r="J754" i="1"/>
  <c r="AK753" i="1"/>
  <c r="J753" i="1"/>
  <c r="AK752" i="1"/>
  <c r="J752" i="1"/>
  <c r="AK751" i="1"/>
  <c r="J751" i="1"/>
  <c r="AK750" i="1"/>
  <c r="J750" i="1"/>
  <c r="AK749" i="1"/>
  <c r="J749" i="1"/>
  <c r="AK748" i="1"/>
  <c r="J748" i="1"/>
  <c r="AK747" i="1"/>
  <c r="J747" i="1"/>
  <c r="AK746" i="1"/>
  <c r="J746" i="1"/>
  <c r="AK745" i="1"/>
  <c r="J745" i="1"/>
  <c r="AK744" i="1"/>
  <c r="J744" i="1"/>
  <c r="AK743" i="1"/>
  <c r="J743" i="1"/>
  <c r="AK742" i="1"/>
  <c r="J742" i="1"/>
  <c r="AK741" i="1"/>
  <c r="J741" i="1"/>
  <c r="AK740" i="1"/>
  <c r="J740" i="1"/>
  <c r="AK739" i="1"/>
  <c r="J739" i="1"/>
  <c r="AK738" i="1"/>
  <c r="J738" i="1"/>
  <c r="AK737" i="1"/>
  <c r="J737" i="1"/>
  <c r="AK736" i="1"/>
  <c r="J736" i="1"/>
  <c r="AK735" i="1"/>
  <c r="J735" i="1"/>
  <c r="AK734" i="1"/>
  <c r="J734" i="1"/>
  <c r="AK733" i="1"/>
  <c r="J733" i="1"/>
  <c r="AK732" i="1"/>
  <c r="J732" i="1"/>
  <c r="AK731" i="1"/>
  <c r="J731" i="1"/>
  <c r="AK730" i="1"/>
  <c r="J730" i="1"/>
  <c r="AK729" i="1"/>
  <c r="J729" i="1"/>
  <c r="AK728" i="1"/>
  <c r="J728" i="1"/>
  <c r="AK727" i="1"/>
  <c r="J727" i="1"/>
  <c r="AK726" i="1"/>
  <c r="J726" i="1"/>
  <c r="AK725" i="1"/>
  <c r="J725" i="1"/>
  <c r="AK724" i="1"/>
  <c r="J724" i="1"/>
  <c r="AK723" i="1"/>
  <c r="J723" i="1"/>
  <c r="AK722" i="1"/>
  <c r="J722" i="1"/>
  <c r="AK721" i="1"/>
  <c r="J721" i="1"/>
  <c r="AK720" i="1"/>
  <c r="J720" i="1"/>
  <c r="AK719" i="1"/>
  <c r="J719" i="1"/>
  <c r="AK718" i="1"/>
  <c r="J718" i="1"/>
  <c r="AK717" i="1"/>
  <c r="J717" i="1"/>
  <c r="AK716" i="1"/>
  <c r="J716" i="1"/>
  <c r="AK715" i="1"/>
  <c r="J715" i="1"/>
  <c r="AK714" i="1"/>
  <c r="J714" i="1"/>
  <c r="AK713" i="1"/>
  <c r="J713" i="1"/>
  <c r="AK712" i="1"/>
  <c r="J712" i="1"/>
  <c r="AK711" i="1"/>
  <c r="J711" i="1"/>
  <c r="AK710" i="1"/>
  <c r="J710" i="1"/>
  <c r="AK709" i="1"/>
  <c r="J709" i="1"/>
  <c r="AK708" i="1"/>
  <c r="J708" i="1"/>
  <c r="AK707" i="1"/>
  <c r="J707" i="1"/>
  <c r="AK706" i="1"/>
  <c r="J706" i="1"/>
  <c r="AK705" i="1"/>
  <c r="J705" i="1"/>
  <c r="AK704" i="1"/>
  <c r="J704" i="1"/>
  <c r="AK703" i="1"/>
  <c r="J703" i="1"/>
  <c r="AK702" i="1"/>
  <c r="J702" i="1"/>
  <c r="AK701" i="1"/>
  <c r="J701" i="1"/>
  <c r="AK700" i="1"/>
  <c r="J700" i="1"/>
  <c r="AK699" i="1"/>
  <c r="J699" i="1"/>
  <c r="AK698" i="1"/>
  <c r="J698" i="1"/>
  <c r="AK697" i="1"/>
  <c r="J697" i="1"/>
  <c r="AK696" i="1"/>
  <c r="J696" i="1"/>
  <c r="AK695" i="1"/>
  <c r="J695" i="1"/>
  <c r="AK694" i="1"/>
  <c r="J694" i="1"/>
  <c r="AK693" i="1"/>
  <c r="J693" i="1"/>
  <c r="AK692" i="1"/>
  <c r="J692" i="1"/>
  <c r="AK691" i="1"/>
  <c r="J691" i="1"/>
  <c r="AK690" i="1"/>
  <c r="J690" i="1"/>
  <c r="AK689" i="1"/>
  <c r="J689" i="1"/>
  <c r="AK688" i="1"/>
  <c r="J688" i="1"/>
  <c r="AK687" i="1"/>
  <c r="J687" i="1"/>
  <c r="AK686" i="1"/>
  <c r="J686" i="1"/>
  <c r="AK685" i="1"/>
  <c r="J685" i="1"/>
  <c r="AK684" i="1"/>
  <c r="J684" i="1"/>
  <c r="AK683" i="1"/>
  <c r="J683" i="1"/>
  <c r="AK682" i="1"/>
  <c r="J682" i="1"/>
  <c r="AK681" i="1"/>
  <c r="J681" i="1"/>
  <c r="AK680" i="1"/>
  <c r="J680" i="1"/>
  <c r="AK679" i="1"/>
  <c r="J679" i="1"/>
  <c r="AK678" i="1"/>
  <c r="J678" i="1"/>
  <c r="AK677" i="1"/>
  <c r="J677" i="1"/>
  <c r="AK676" i="1"/>
  <c r="J676" i="1"/>
  <c r="AK675" i="1"/>
  <c r="J675" i="1"/>
  <c r="AK674" i="1"/>
  <c r="J674" i="1"/>
  <c r="AK673" i="1"/>
  <c r="J673" i="1"/>
  <c r="AK672" i="1"/>
  <c r="J672" i="1"/>
  <c r="AK671" i="1"/>
  <c r="J671" i="1"/>
  <c r="AK670" i="1"/>
  <c r="J670" i="1"/>
  <c r="AK669" i="1"/>
  <c r="J669" i="1"/>
  <c r="AK668" i="1"/>
  <c r="J668" i="1"/>
  <c r="AK667" i="1"/>
  <c r="J667" i="1"/>
  <c r="AK666" i="1"/>
  <c r="J666" i="1"/>
  <c r="AK665" i="1"/>
  <c r="J665" i="1"/>
  <c r="AK664" i="1"/>
  <c r="J664" i="1"/>
  <c r="AK663" i="1"/>
  <c r="J663" i="1"/>
  <c r="AK662" i="1"/>
  <c r="J662" i="1"/>
  <c r="AK661" i="1"/>
  <c r="J661" i="1"/>
  <c r="AK660" i="1"/>
  <c r="J660" i="1"/>
  <c r="AK659" i="1"/>
  <c r="J659" i="1"/>
  <c r="AK658" i="1"/>
  <c r="J658" i="1"/>
  <c r="AK657" i="1"/>
  <c r="J657" i="1"/>
  <c r="AK656" i="1"/>
  <c r="J656" i="1"/>
  <c r="AK655" i="1"/>
  <c r="J655" i="1"/>
  <c r="AK654" i="1"/>
  <c r="J654" i="1"/>
  <c r="AK653" i="1"/>
  <c r="J653" i="1"/>
  <c r="AK652" i="1"/>
  <c r="J652" i="1"/>
  <c r="AK651" i="1"/>
  <c r="J651" i="1"/>
  <c r="AK650" i="1"/>
  <c r="J650" i="1"/>
  <c r="AK649" i="1"/>
  <c r="J649" i="1"/>
  <c r="AK648" i="1"/>
  <c r="J648" i="1"/>
  <c r="AK647" i="1"/>
  <c r="J647" i="1"/>
  <c r="AK646" i="1"/>
  <c r="J646" i="1"/>
  <c r="AK645" i="1"/>
  <c r="J645" i="1"/>
  <c r="AK644" i="1"/>
  <c r="J644" i="1"/>
  <c r="AK643" i="1"/>
  <c r="J643" i="1"/>
  <c r="AK642" i="1"/>
  <c r="J642" i="1"/>
  <c r="AK641" i="1"/>
  <c r="J641" i="1"/>
  <c r="AK640" i="1"/>
  <c r="J640" i="1"/>
  <c r="AK639" i="1"/>
  <c r="J639" i="1"/>
  <c r="AK638" i="1"/>
  <c r="J638" i="1"/>
  <c r="AK637" i="1"/>
  <c r="J637" i="1"/>
  <c r="AK636" i="1"/>
  <c r="J636" i="1"/>
  <c r="AK635" i="1"/>
  <c r="J635" i="1"/>
  <c r="AK634" i="1"/>
  <c r="J634" i="1"/>
  <c r="AK633" i="1"/>
  <c r="J633" i="1"/>
  <c r="AK632" i="1"/>
  <c r="J632" i="1"/>
  <c r="AK631" i="1"/>
  <c r="J631" i="1"/>
  <c r="AK630" i="1"/>
  <c r="J630" i="1"/>
  <c r="AK629" i="1"/>
  <c r="J629" i="1"/>
  <c r="AK628" i="1"/>
  <c r="J628" i="1"/>
  <c r="AK627" i="1"/>
  <c r="J627" i="1"/>
  <c r="AK626" i="1"/>
  <c r="J626" i="1"/>
  <c r="AK625" i="1"/>
  <c r="J625" i="1"/>
  <c r="AK624" i="1"/>
  <c r="J624" i="1"/>
  <c r="AK623" i="1"/>
  <c r="J623" i="1"/>
  <c r="AK622" i="1"/>
  <c r="J622" i="1"/>
  <c r="AK621" i="1"/>
  <c r="J621" i="1"/>
  <c r="AK620" i="1"/>
  <c r="J620" i="1"/>
  <c r="AK619" i="1"/>
  <c r="J619" i="1"/>
  <c r="AK618" i="1"/>
  <c r="J618" i="1"/>
  <c r="AK617" i="1"/>
  <c r="J617" i="1"/>
  <c r="AK616" i="1"/>
  <c r="J616" i="1"/>
  <c r="AK615" i="1"/>
  <c r="J615" i="1"/>
  <c r="AK614" i="1"/>
  <c r="J614" i="1"/>
  <c r="AK613" i="1"/>
  <c r="J613" i="1"/>
  <c r="AK612" i="1"/>
  <c r="J612" i="1"/>
  <c r="AK611" i="1"/>
  <c r="J611" i="1"/>
  <c r="AK610" i="1"/>
  <c r="J610" i="1"/>
  <c r="AK609" i="1"/>
  <c r="J609" i="1"/>
  <c r="AK608" i="1"/>
  <c r="J608" i="1"/>
  <c r="AK607" i="1"/>
  <c r="J607" i="1"/>
  <c r="AK606" i="1"/>
  <c r="J606" i="1"/>
  <c r="AK605" i="1"/>
  <c r="J605" i="1"/>
  <c r="AK604" i="1"/>
  <c r="J604" i="1"/>
  <c r="AK603" i="1"/>
  <c r="J603" i="1"/>
  <c r="AK602" i="1"/>
  <c r="J602" i="1"/>
  <c r="AK601" i="1"/>
  <c r="J601" i="1"/>
  <c r="AK600" i="1"/>
  <c r="J600" i="1"/>
  <c r="AK599" i="1"/>
  <c r="J599" i="1"/>
  <c r="AK598" i="1"/>
  <c r="J598" i="1"/>
  <c r="AK597" i="1"/>
  <c r="J597" i="1"/>
  <c r="AK596" i="1"/>
  <c r="J596" i="1"/>
  <c r="AK595" i="1"/>
  <c r="J595" i="1"/>
  <c r="AK594" i="1"/>
  <c r="J594" i="1"/>
  <c r="AK593" i="1"/>
  <c r="J593" i="1"/>
  <c r="AK592" i="1"/>
  <c r="J592" i="1"/>
  <c r="AK591" i="1"/>
  <c r="J591" i="1"/>
  <c r="AK590" i="1"/>
  <c r="J590" i="1"/>
  <c r="AK589" i="1"/>
  <c r="J589" i="1"/>
  <c r="AK588" i="1"/>
  <c r="J588" i="1"/>
  <c r="AK587" i="1"/>
  <c r="J587" i="1"/>
  <c r="AK586" i="1"/>
  <c r="J586" i="1"/>
  <c r="AK585" i="1"/>
  <c r="J585" i="1"/>
  <c r="AK584" i="1"/>
  <c r="J584" i="1"/>
  <c r="AK583" i="1"/>
  <c r="J583" i="1"/>
  <c r="AK582" i="1"/>
  <c r="J582" i="1"/>
  <c r="AK581" i="1"/>
  <c r="J581" i="1"/>
  <c r="AK580" i="1"/>
  <c r="J580" i="1"/>
  <c r="AK579" i="1"/>
  <c r="J579" i="1"/>
  <c r="AK578" i="1"/>
  <c r="J578" i="1"/>
  <c r="AK577" i="1"/>
  <c r="J577" i="1"/>
  <c r="AK576" i="1"/>
  <c r="J576" i="1"/>
  <c r="AK575" i="1"/>
  <c r="J575" i="1"/>
  <c r="AK574" i="1"/>
  <c r="J574" i="1"/>
  <c r="AK573" i="1"/>
  <c r="J573" i="1"/>
  <c r="AK572" i="1"/>
  <c r="J572" i="1"/>
  <c r="AK571" i="1"/>
  <c r="J571" i="1"/>
  <c r="AK570" i="1"/>
  <c r="J570" i="1"/>
  <c r="AK569" i="1"/>
  <c r="J569" i="1"/>
  <c r="AK568" i="1"/>
  <c r="J568" i="1"/>
  <c r="AK567" i="1"/>
  <c r="J567" i="1"/>
  <c r="AK566" i="1"/>
  <c r="J566" i="1"/>
  <c r="AK565" i="1"/>
  <c r="J565" i="1"/>
  <c r="AK564" i="1"/>
  <c r="J564" i="1"/>
  <c r="AK563" i="1"/>
  <c r="J563" i="1"/>
  <c r="AK562" i="1"/>
  <c r="J562" i="1"/>
  <c r="AK561" i="1"/>
  <c r="J561" i="1"/>
  <c r="AK560" i="1"/>
  <c r="J560" i="1"/>
  <c r="AK559" i="1"/>
  <c r="J559" i="1"/>
  <c r="AK558" i="1"/>
  <c r="J558" i="1"/>
  <c r="AK557" i="1"/>
  <c r="J557" i="1"/>
  <c r="AK556" i="1"/>
  <c r="J556" i="1"/>
  <c r="AK555" i="1"/>
  <c r="J555" i="1"/>
  <c r="AK554" i="1"/>
  <c r="J554" i="1"/>
  <c r="AK553" i="1"/>
  <c r="J553" i="1"/>
  <c r="AK552" i="1"/>
  <c r="J552" i="1"/>
  <c r="AK551" i="1"/>
  <c r="J551" i="1"/>
  <c r="AK550" i="1"/>
  <c r="J550" i="1"/>
  <c r="AK549" i="1"/>
  <c r="J549" i="1"/>
  <c r="AK548" i="1"/>
  <c r="J548" i="1"/>
  <c r="AK547" i="1"/>
  <c r="J547" i="1"/>
  <c r="AK546" i="1"/>
  <c r="J546" i="1"/>
  <c r="AK545" i="1"/>
  <c r="J545" i="1"/>
  <c r="AK544" i="1"/>
  <c r="J544" i="1"/>
  <c r="AK543" i="1"/>
  <c r="J543" i="1"/>
  <c r="AK542" i="1"/>
  <c r="J542" i="1"/>
  <c r="AK541" i="1"/>
  <c r="J541" i="1"/>
  <c r="AK540" i="1"/>
  <c r="J540" i="1"/>
  <c r="AK539" i="1"/>
  <c r="J539" i="1"/>
  <c r="AK538" i="1"/>
  <c r="J538" i="1"/>
  <c r="AK537" i="1"/>
  <c r="J537" i="1"/>
  <c r="AK536" i="1"/>
  <c r="J536" i="1"/>
  <c r="AK535" i="1"/>
  <c r="J535" i="1"/>
  <c r="AK534" i="1"/>
  <c r="J534" i="1"/>
  <c r="AK533" i="1"/>
  <c r="J533" i="1"/>
  <c r="AK532" i="1"/>
  <c r="J532" i="1"/>
  <c r="AK531" i="1"/>
  <c r="J531" i="1"/>
  <c r="AK530" i="1"/>
  <c r="J530" i="1"/>
  <c r="AK529" i="1"/>
  <c r="J529" i="1"/>
  <c r="AK528" i="1"/>
  <c r="J528" i="1"/>
  <c r="AK527" i="1"/>
  <c r="J527" i="1"/>
  <c r="AK526" i="1"/>
  <c r="J526" i="1"/>
  <c r="AK525" i="1"/>
  <c r="J525" i="1"/>
  <c r="AK524" i="1"/>
  <c r="J524" i="1"/>
  <c r="AK523" i="1"/>
  <c r="J523" i="1"/>
  <c r="AK522" i="1"/>
  <c r="J522" i="1"/>
  <c r="AK521" i="1"/>
  <c r="J521" i="1"/>
  <c r="AK520" i="1"/>
  <c r="J520" i="1"/>
  <c r="AK519" i="1"/>
  <c r="J519" i="1"/>
  <c r="AK518" i="1"/>
  <c r="J518" i="1"/>
  <c r="AK517" i="1"/>
  <c r="J517" i="1"/>
  <c r="AK516" i="1"/>
  <c r="J516" i="1"/>
  <c r="AK515" i="1"/>
  <c r="J515" i="1"/>
  <c r="AK514" i="1"/>
  <c r="J514" i="1"/>
  <c r="AK513" i="1"/>
  <c r="J513" i="1"/>
  <c r="AK512" i="1"/>
  <c r="J512" i="1"/>
  <c r="AK511" i="1"/>
  <c r="J511" i="1"/>
  <c r="AK510" i="1"/>
  <c r="J510" i="1"/>
  <c r="AK509" i="1"/>
  <c r="J509" i="1"/>
  <c r="AK508" i="1"/>
  <c r="J508" i="1"/>
  <c r="AK507" i="1"/>
  <c r="J507" i="1"/>
  <c r="AK506" i="1"/>
  <c r="J506" i="1"/>
  <c r="AK505" i="1"/>
  <c r="J505" i="1"/>
  <c r="AK504" i="1"/>
  <c r="J504" i="1"/>
  <c r="AK503" i="1"/>
  <c r="J503" i="1"/>
  <c r="AK502" i="1"/>
  <c r="J502" i="1"/>
  <c r="AK501" i="1"/>
  <c r="J501" i="1"/>
  <c r="AK500" i="1"/>
  <c r="J500" i="1"/>
  <c r="AK499" i="1"/>
  <c r="J499" i="1"/>
  <c r="AK498" i="1"/>
  <c r="J498" i="1"/>
  <c r="AK497" i="1"/>
  <c r="J497" i="1"/>
  <c r="AK496" i="1"/>
  <c r="J496" i="1"/>
  <c r="AK495" i="1"/>
  <c r="J495" i="1"/>
  <c r="AK494" i="1"/>
  <c r="J494" i="1"/>
  <c r="AK493" i="1"/>
  <c r="J493" i="1"/>
  <c r="AK492" i="1"/>
  <c r="J492" i="1"/>
  <c r="AK491" i="1"/>
  <c r="J491" i="1"/>
  <c r="AK490" i="1"/>
  <c r="J490" i="1"/>
  <c r="AK489" i="1"/>
  <c r="J489" i="1"/>
  <c r="AK488" i="1"/>
  <c r="J488" i="1"/>
  <c r="AK487" i="1"/>
  <c r="J487" i="1"/>
  <c r="AK486" i="1"/>
  <c r="J486" i="1"/>
  <c r="AK485" i="1"/>
  <c r="J485" i="1"/>
  <c r="AK484" i="1"/>
  <c r="J484" i="1"/>
  <c r="AK483" i="1"/>
  <c r="J483" i="1"/>
  <c r="AK482" i="1"/>
  <c r="J482" i="1"/>
  <c r="AK481" i="1"/>
  <c r="J481" i="1"/>
  <c r="AK480" i="1"/>
  <c r="J480" i="1"/>
  <c r="AK479" i="1"/>
  <c r="J479" i="1"/>
  <c r="AK478" i="1"/>
  <c r="J478" i="1"/>
  <c r="AK477" i="1"/>
  <c r="J477" i="1"/>
  <c r="AK476" i="1"/>
  <c r="J476" i="1"/>
  <c r="AK475" i="1"/>
  <c r="J475" i="1"/>
  <c r="AK474" i="1"/>
  <c r="J474" i="1"/>
  <c r="AK473" i="1"/>
  <c r="J473" i="1"/>
  <c r="AK472" i="1"/>
  <c r="J472" i="1"/>
  <c r="AK471" i="1"/>
  <c r="J471" i="1"/>
  <c r="AK470" i="1"/>
  <c r="J470" i="1"/>
  <c r="AK469" i="1"/>
  <c r="J469" i="1"/>
  <c r="AK468" i="1"/>
  <c r="J468" i="1"/>
  <c r="AK467" i="1"/>
  <c r="J467" i="1"/>
  <c r="AK466" i="1"/>
  <c r="J466" i="1"/>
  <c r="AK465" i="1"/>
  <c r="J465" i="1"/>
  <c r="AK464" i="1"/>
  <c r="J464" i="1"/>
  <c r="AK463" i="1"/>
  <c r="J463" i="1"/>
  <c r="AK462" i="1"/>
  <c r="J462" i="1"/>
  <c r="AK461" i="1"/>
  <c r="J461" i="1"/>
  <c r="AK460" i="1"/>
  <c r="J460" i="1"/>
  <c r="AK459" i="1"/>
  <c r="J459" i="1"/>
  <c r="AK458" i="1"/>
  <c r="J458" i="1"/>
  <c r="AK457" i="1"/>
  <c r="J457" i="1"/>
  <c r="AK456" i="1"/>
  <c r="J456" i="1"/>
  <c r="AK455" i="1"/>
  <c r="J455" i="1"/>
  <c r="AK454" i="1"/>
  <c r="J454" i="1"/>
  <c r="AK453" i="1"/>
  <c r="J453" i="1"/>
  <c r="AK452" i="1"/>
  <c r="J452" i="1"/>
  <c r="AK451" i="1"/>
  <c r="J451" i="1"/>
  <c r="AK450" i="1"/>
  <c r="J450" i="1"/>
  <c r="AK449" i="1"/>
  <c r="J449" i="1"/>
  <c r="AK448" i="1"/>
  <c r="J448" i="1"/>
  <c r="AK447" i="1"/>
  <c r="J447" i="1"/>
  <c r="AK446" i="1"/>
  <c r="J446" i="1"/>
  <c r="AK445" i="1"/>
  <c r="J445" i="1"/>
  <c r="AK444" i="1"/>
  <c r="J444" i="1"/>
  <c r="AK443" i="1"/>
  <c r="J443" i="1"/>
  <c r="AK442" i="1"/>
  <c r="J442" i="1"/>
  <c r="AK441" i="1"/>
  <c r="J441" i="1"/>
  <c r="AK440" i="1"/>
  <c r="J440" i="1"/>
  <c r="AK439" i="1"/>
  <c r="J439" i="1"/>
  <c r="AK438" i="1"/>
  <c r="J438" i="1"/>
  <c r="AK437" i="1"/>
  <c r="J437" i="1"/>
  <c r="AK436" i="1"/>
  <c r="J436" i="1"/>
  <c r="AK435" i="1"/>
  <c r="J435" i="1"/>
  <c r="AK434" i="1"/>
  <c r="J434" i="1"/>
  <c r="AK433" i="1"/>
  <c r="J433" i="1"/>
  <c r="AK432" i="1"/>
  <c r="J432" i="1"/>
  <c r="AK431" i="1"/>
  <c r="J431" i="1"/>
  <c r="AK430" i="1"/>
  <c r="J430" i="1"/>
  <c r="AK429" i="1"/>
  <c r="J429" i="1"/>
  <c r="AK428" i="1"/>
  <c r="J428" i="1"/>
  <c r="AK427" i="1"/>
  <c r="J427" i="1"/>
  <c r="AK426" i="1"/>
  <c r="J426" i="1"/>
  <c r="AK425" i="1"/>
  <c r="J425" i="1"/>
  <c r="AK424" i="1"/>
  <c r="J424" i="1"/>
  <c r="AK423" i="1"/>
  <c r="J423" i="1"/>
  <c r="AK422" i="1"/>
  <c r="J422" i="1"/>
  <c r="AK421" i="1"/>
  <c r="J421" i="1"/>
  <c r="AK420" i="1"/>
  <c r="J420" i="1"/>
  <c r="AK419" i="1"/>
  <c r="J419" i="1"/>
  <c r="AK418" i="1"/>
  <c r="J418" i="1"/>
  <c r="AK417" i="1"/>
  <c r="J417" i="1"/>
  <c r="AK416" i="1"/>
  <c r="J416" i="1"/>
  <c r="AK415" i="1"/>
  <c r="J415" i="1"/>
  <c r="AK414" i="1"/>
  <c r="J414" i="1"/>
  <c r="AK413" i="1"/>
  <c r="J413" i="1"/>
  <c r="AK412" i="1"/>
  <c r="J412" i="1"/>
  <c r="AK411" i="1"/>
  <c r="J411" i="1"/>
  <c r="AK410" i="1"/>
  <c r="J410" i="1"/>
  <c r="AK409" i="1"/>
  <c r="J409" i="1"/>
  <c r="AK408" i="1"/>
  <c r="J408" i="1"/>
  <c r="AK407" i="1"/>
  <c r="J407" i="1"/>
  <c r="AK406" i="1"/>
  <c r="J406" i="1"/>
  <c r="AK405" i="1"/>
  <c r="J405" i="1"/>
  <c r="AK404" i="1"/>
  <c r="J404" i="1"/>
  <c r="AK403" i="1"/>
  <c r="J403" i="1"/>
  <c r="AK402" i="1"/>
  <c r="J402" i="1"/>
  <c r="AK401" i="1"/>
  <c r="J401" i="1"/>
  <c r="AK400" i="1"/>
  <c r="J400" i="1"/>
  <c r="AK399" i="1"/>
  <c r="J399" i="1"/>
  <c r="AK398" i="1"/>
  <c r="J398" i="1"/>
  <c r="AK397" i="1"/>
  <c r="J397" i="1"/>
  <c r="AK396" i="1"/>
  <c r="J396" i="1"/>
  <c r="AK395" i="1"/>
  <c r="J395" i="1"/>
  <c r="AK394" i="1"/>
  <c r="J394" i="1"/>
  <c r="AK393" i="1"/>
  <c r="J393" i="1"/>
  <c r="AK392" i="1"/>
  <c r="J392" i="1"/>
  <c r="AK391" i="1"/>
  <c r="J391" i="1"/>
  <c r="AK390" i="1"/>
  <c r="J390" i="1"/>
  <c r="AK389" i="1"/>
  <c r="J389" i="1"/>
  <c r="AK388" i="1"/>
  <c r="J388" i="1"/>
  <c r="AK387" i="1"/>
  <c r="J387" i="1"/>
  <c r="AK386" i="1"/>
  <c r="J386" i="1"/>
  <c r="AK385" i="1"/>
  <c r="J385" i="1"/>
  <c r="AK384" i="1"/>
  <c r="J384" i="1"/>
  <c r="AK383" i="1"/>
  <c r="J383" i="1"/>
  <c r="AK382" i="1"/>
  <c r="J382" i="1"/>
  <c r="AK381" i="1"/>
  <c r="J381" i="1"/>
  <c r="AK380" i="1"/>
  <c r="J380" i="1"/>
  <c r="AK379" i="1"/>
  <c r="J379" i="1"/>
  <c r="AK378" i="1"/>
  <c r="J378" i="1"/>
  <c r="AK377" i="1"/>
  <c r="J377" i="1"/>
  <c r="AK376" i="1"/>
  <c r="J376" i="1"/>
  <c r="AK375" i="1"/>
  <c r="J375" i="1"/>
  <c r="AK374" i="1"/>
  <c r="J374" i="1"/>
  <c r="AK373" i="1"/>
  <c r="J373" i="1"/>
  <c r="AK372" i="1"/>
  <c r="J372" i="1"/>
  <c r="AK371" i="1"/>
  <c r="J371" i="1"/>
  <c r="AK370" i="1"/>
  <c r="J370" i="1"/>
  <c r="AK369" i="1"/>
  <c r="J369" i="1"/>
  <c r="AK368" i="1"/>
  <c r="J368" i="1"/>
  <c r="AK367" i="1"/>
  <c r="J367" i="1"/>
  <c r="AK366" i="1"/>
  <c r="J366" i="1"/>
  <c r="AK365" i="1"/>
  <c r="J365" i="1"/>
  <c r="AK364" i="1"/>
  <c r="J364" i="1"/>
  <c r="AK363" i="1"/>
  <c r="J363" i="1"/>
  <c r="AK362" i="1"/>
  <c r="J362" i="1"/>
  <c r="AK361" i="1"/>
  <c r="J361" i="1"/>
  <c r="AK360" i="1"/>
  <c r="J360" i="1"/>
  <c r="AK359" i="1"/>
  <c r="J359" i="1"/>
  <c r="AK358" i="1"/>
  <c r="J358" i="1"/>
  <c r="AK357" i="1"/>
  <c r="J357" i="1"/>
  <c r="AK356" i="1"/>
  <c r="J356" i="1"/>
  <c r="AK355" i="1"/>
  <c r="J355" i="1"/>
  <c r="AK354" i="1"/>
  <c r="J354" i="1"/>
  <c r="AK353" i="1"/>
  <c r="J353" i="1"/>
  <c r="AK352" i="1"/>
  <c r="J352" i="1"/>
  <c r="AK351" i="1"/>
  <c r="J351" i="1"/>
  <c r="AK350" i="1"/>
  <c r="J350" i="1"/>
  <c r="AK349" i="1"/>
  <c r="J349" i="1"/>
  <c r="AK348" i="1"/>
  <c r="J348" i="1"/>
  <c r="AK347" i="1"/>
  <c r="J347" i="1"/>
  <c r="AK346" i="1"/>
  <c r="J346" i="1"/>
  <c r="AK345" i="1"/>
  <c r="J345" i="1"/>
  <c r="AK344" i="1"/>
  <c r="J344" i="1"/>
  <c r="AK343" i="1"/>
  <c r="J343" i="1"/>
  <c r="AK342" i="1"/>
  <c r="J342" i="1"/>
  <c r="AK341" i="1"/>
  <c r="J341" i="1"/>
  <c r="AK340" i="1"/>
  <c r="J340" i="1"/>
  <c r="AK339" i="1"/>
  <c r="J339" i="1"/>
  <c r="AK338" i="1"/>
  <c r="J338" i="1"/>
  <c r="AK337" i="1"/>
  <c r="J337" i="1"/>
  <c r="AK336" i="1"/>
  <c r="J336" i="1"/>
  <c r="AK335" i="1"/>
  <c r="J335" i="1"/>
  <c r="AK334" i="1"/>
  <c r="J334" i="1"/>
  <c r="AK333" i="1"/>
  <c r="J333" i="1"/>
  <c r="AK332" i="1"/>
  <c r="J332" i="1"/>
  <c r="AK331" i="1"/>
  <c r="J331" i="1"/>
  <c r="AK330" i="1"/>
  <c r="J330" i="1"/>
  <c r="AK329" i="1"/>
  <c r="J329" i="1"/>
  <c r="AK328" i="1"/>
  <c r="J328" i="1"/>
  <c r="AK327" i="1"/>
  <c r="J327" i="1"/>
  <c r="AK326" i="1"/>
  <c r="J326" i="1"/>
  <c r="AK325" i="1"/>
  <c r="J325" i="1"/>
  <c r="AK324" i="1"/>
  <c r="J324" i="1"/>
  <c r="AK323" i="1"/>
  <c r="J323" i="1"/>
  <c r="AK322" i="1"/>
  <c r="J322" i="1"/>
  <c r="AK321" i="1"/>
  <c r="J321" i="1"/>
  <c r="AK320" i="1"/>
  <c r="J320" i="1"/>
  <c r="AK319" i="1"/>
  <c r="J319" i="1"/>
  <c r="AK318" i="1"/>
  <c r="J318" i="1"/>
  <c r="AK317" i="1"/>
  <c r="J317" i="1"/>
  <c r="AK316" i="1"/>
  <c r="J316" i="1"/>
  <c r="AK315" i="1"/>
  <c r="J315" i="1"/>
  <c r="AK314" i="1"/>
  <c r="J314" i="1"/>
  <c r="AK313" i="1"/>
  <c r="J313" i="1"/>
  <c r="AK312" i="1"/>
  <c r="J312" i="1"/>
  <c r="AK311" i="1"/>
  <c r="J311" i="1"/>
  <c r="AK310" i="1"/>
  <c r="J310" i="1"/>
  <c r="AK309" i="1"/>
  <c r="J309" i="1"/>
  <c r="AK308" i="1"/>
  <c r="J308" i="1"/>
  <c r="AK307" i="1"/>
  <c r="J307" i="1"/>
  <c r="AK306" i="1"/>
  <c r="J306" i="1"/>
  <c r="AK305" i="1"/>
  <c r="J305" i="1"/>
  <c r="AK304" i="1"/>
  <c r="J304" i="1"/>
  <c r="AK303" i="1"/>
  <c r="J303" i="1"/>
  <c r="AK302" i="1"/>
  <c r="J302" i="1"/>
  <c r="AK301" i="1"/>
  <c r="J301" i="1"/>
  <c r="AK300" i="1"/>
  <c r="J300" i="1"/>
  <c r="AK299" i="1"/>
  <c r="J299" i="1"/>
  <c r="AK298" i="1"/>
  <c r="J298" i="1"/>
  <c r="AK297" i="1"/>
  <c r="J297" i="1"/>
  <c r="AK296" i="1"/>
  <c r="J296" i="1"/>
  <c r="AK295" i="1"/>
  <c r="J295" i="1"/>
  <c r="AK294" i="1"/>
  <c r="J294" i="1"/>
  <c r="AK293" i="1"/>
  <c r="J293" i="1"/>
  <c r="AK292" i="1"/>
  <c r="J292" i="1"/>
  <c r="AK291" i="1"/>
  <c r="J291" i="1"/>
  <c r="AK290" i="1"/>
  <c r="J290" i="1"/>
  <c r="AK289" i="1"/>
  <c r="J289" i="1"/>
  <c r="AK288" i="1"/>
  <c r="J288" i="1"/>
  <c r="AK287" i="1"/>
  <c r="J287" i="1"/>
  <c r="AK286" i="1"/>
  <c r="J286" i="1"/>
  <c r="AK285" i="1"/>
  <c r="J285" i="1"/>
  <c r="AK284" i="1"/>
  <c r="J284" i="1"/>
  <c r="AK283" i="1"/>
  <c r="J283" i="1"/>
  <c r="AK282" i="1"/>
  <c r="J282" i="1"/>
  <c r="AK281" i="1"/>
  <c r="J281" i="1"/>
  <c r="AK280" i="1"/>
  <c r="J280" i="1"/>
  <c r="AK279" i="1"/>
  <c r="J279" i="1"/>
  <c r="AK278" i="1"/>
  <c r="J278" i="1"/>
  <c r="AK277" i="1"/>
  <c r="J277" i="1"/>
  <c r="AK276" i="1"/>
  <c r="J276" i="1"/>
  <c r="AK275" i="1"/>
  <c r="J275" i="1"/>
  <c r="AK274" i="1"/>
  <c r="J274" i="1"/>
  <c r="AK273" i="1"/>
  <c r="J273" i="1"/>
  <c r="AK272" i="1"/>
  <c r="J272" i="1"/>
  <c r="AK271" i="1"/>
  <c r="J271" i="1"/>
  <c r="AK270" i="1"/>
  <c r="J270" i="1"/>
  <c r="AK269" i="1"/>
  <c r="J269" i="1"/>
  <c r="AK268" i="1"/>
  <c r="J268" i="1"/>
  <c r="AK267" i="1"/>
  <c r="J267" i="1"/>
  <c r="AK266" i="1"/>
  <c r="J266" i="1"/>
  <c r="AK265" i="1"/>
  <c r="J265" i="1"/>
  <c r="AK264" i="1"/>
  <c r="J264" i="1"/>
  <c r="AK263" i="1"/>
  <c r="J263" i="1"/>
  <c r="AK262" i="1"/>
  <c r="J262" i="1"/>
  <c r="AK261" i="1"/>
  <c r="J261" i="1"/>
  <c r="AK260" i="1"/>
  <c r="J260" i="1"/>
  <c r="AK259" i="1"/>
  <c r="J259" i="1"/>
  <c r="AK258" i="1"/>
  <c r="J258" i="1"/>
  <c r="AK257" i="1"/>
  <c r="J257" i="1"/>
  <c r="AK256" i="1"/>
  <c r="J256" i="1"/>
  <c r="AK255" i="1"/>
  <c r="J255" i="1"/>
  <c r="AK254" i="1"/>
  <c r="J254" i="1"/>
  <c r="AK253" i="1"/>
  <c r="J253" i="1"/>
  <c r="AK252" i="1"/>
  <c r="J252" i="1"/>
  <c r="AK251" i="1"/>
  <c r="J251" i="1"/>
  <c r="AK250" i="1"/>
  <c r="J250" i="1"/>
  <c r="AK249" i="1"/>
  <c r="J249" i="1"/>
  <c r="AK248" i="1"/>
  <c r="J248" i="1"/>
  <c r="AK247" i="1"/>
  <c r="J247" i="1"/>
  <c r="AK246" i="1"/>
  <c r="J246" i="1"/>
  <c r="AK245" i="1"/>
  <c r="J245" i="1"/>
  <c r="AK244" i="1"/>
  <c r="J244" i="1"/>
  <c r="AK243" i="1"/>
  <c r="J243" i="1"/>
  <c r="AK242" i="1"/>
  <c r="J242" i="1"/>
  <c r="AK241" i="1"/>
  <c r="J241" i="1"/>
  <c r="AK240" i="1"/>
  <c r="J240" i="1"/>
  <c r="AK239" i="1"/>
  <c r="J239" i="1"/>
  <c r="AK238" i="1"/>
  <c r="J238" i="1"/>
  <c r="AK237" i="1"/>
  <c r="J237" i="1"/>
  <c r="AK236" i="1"/>
  <c r="J236" i="1"/>
  <c r="AK235" i="1"/>
  <c r="J235" i="1"/>
  <c r="AK234" i="1"/>
  <c r="J234" i="1"/>
  <c r="AK233" i="1"/>
  <c r="J233" i="1"/>
  <c r="AK232" i="1"/>
  <c r="J232" i="1"/>
  <c r="AK231" i="1"/>
  <c r="J231" i="1"/>
  <c r="AK230" i="1"/>
  <c r="J230" i="1"/>
  <c r="AK229" i="1"/>
  <c r="J229" i="1"/>
  <c r="AK228" i="1"/>
  <c r="J228" i="1"/>
  <c r="AK227" i="1"/>
  <c r="J227" i="1"/>
  <c r="AK226" i="1"/>
  <c r="J226" i="1"/>
  <c r="AK225" i="1"/>
  <c r="J225" i="1"/>
  <c r="AK224" i="1"/>
  <c r="J224" i="1"/>
  <c r="AK223" i="1"/>
  <c r="J223" i="1"/>
  <c r="AK222" i="1"/>
  <c r="J222" i="1"/>
  <c r="AK221" i="1"/>
  <c r="J221" i="1"/>
  <c r="AK220" i="1"/>
  <c r="J220" i="1"/>
  <c r="AK219" i="1"/>
  <c r="J219" i="1"/>
  <c r="AK218" i="1"/>
  <c r="J218" i="1"/>
  <c r="AK217" i="1"/>
  <c r="J217" i="1"/>
  <c r="AK216" i="1"/>
  <c r="J216" i="1"/>
  <c r="AK215" i="1"/>
  <c r="J215" i="1"/>
  <c r="AK214" i="1"/>
  <c r="J214" i="1"/>
  <c r="AK213" i="1"/>
  <c r="J213" i="1"/>
  <c r="AK212" i="1"/>
  <c r="J212" i="1"/>
  <c r="AK211" i="1"/>
  <c r="J211" i="1"/>
  <c r="AK210" i="1"/>
  <c r="J210" i="1"/>
  <c r="AK209" i="1"/>
  <c r="J209" i="1"/>
  <c r="AK208" i="1"/>
  <c r="J208" i="1"/>
  <c r="AK207" i="1"/>
  <c r="J207" i="1"/>
  <c r="AK206" i="1"/>
  <c r="J206" i="1"/>
  <c r="AK205" i="1"/>
  <c r="J205" i="1"/>
  <c r="AK204" i="1"/>
  <c r="J204" i="1"/>
  <c r="AK203" i="1"/>
  <c r="J203" i="1"/>
  <c r="AK202" i="1"/>
  <c r="J202" i="1"/>
  <c r="AK201" i="1"/>
  <c r="J201" i="1"/>
  <c r="AK200" i="1"/>
  <c r="J200" i="1"/>
  <c r="AK199" i="1"/>
  <c r="J199" i="1"/>
  <c r="AK198" i="1"/>
  <c r="J198" i="1"/>
  <c r="AK197" i="1"/>
  <c r="J197" i="1"/>
  <c r="AK196" i="1"/>
  <c r="J196" i="1"/>
  <c r="AK195" i="1"/>
  <c r="J195" i="1"/>
  <c r="AK194" i="1"/>
  <c r="J194" i="1"/>
  <c r="AK193" i="1"/>
  <c r="J193" i="1"/>
  <c r="AK192" i="1"/>
  <c r="J192" i="1"/>
  <c r="AK191" i="1"/>
  <c r="J191" i="1"/>
  <c r="AK190" i="1"/>
  <c r="J190" i="1"/>
  <c r="AK189" i="1"/>
  <c r="J189" i="1"/>
  <c r="AK188" i="1"/>
  <c r="J188" i="1"/>
  <c r="AK187" i="1"/>
  <c r="J187" i="1"/>
  <c r="AK186" i="1"/>
  <c r="J186" i="1"/>
  <c r="AK185" i="1"/>
  <c r="J185" i="1"/>
  <c r="AK184" i="1"/>
  <c r="J184" i="1"/>
  <c r="AK183" i="1"/>
  <c r="J183" i="1"/>
  <c r="AK182" i="1"/>
  <c r="J182" i="1"/>
  <c r="AK181" i="1"/>
  <c r="J181" i="1"/>
  <c r="AK180" i="1"/>
  <c r="J180" i="1"/>
  <c r="AK179" i="1"/>
  <c r="J179" i="1"/>
  <c r="AK178" i="1"/>
  <c r="J178" i="1"/>
  <c r="AK177" i="1"/>
  <c r="J177" i="1"/>
  <c r="AK176" i="1"/>
  <c r="J176" i="1"/>
  <c r="AK175" i="1"/>
  <c r="J175" i="1"/>
  <c r="AK174" i="1"/>
  <c r="J174" i="1"/>
  <c r="AK173" i="1"/>
  <c r="J173" i="1"/>
  <c r="AK172" i="1"/>
  <c r="J172" i="1"/>
  <c r="AK171" i="1"/>
  <c r="J171" i="1"/>
  <c r="AK170" i="1"/>
  <c r="J170" i="1"/>
  <c r="AK169" i="1"/>
  <c r="J169" i="1"/>
  <c r="AK168" i="1"/>
  <c r="J168" i="1"/>
  <c r="AK167" i="1"/>
  <c r="J167" i="1"/>
  <c r="AK166" i="1"/>
  <c r="J166" i="1"/>
  <c r="AK165" i="1"/>
  <c r="J165" i="1"/>
  <c r="AK164" i="1"/>
  <c r="J164" i="1"/>
  <c r="AK163" i="1"/>
  <c r="J163" i="1"/>
  <c r="AK162" i="1"/>
  <c r="J162" i="1"/>
  <c r="AK161" i="1"/>
  <c r="J161" i="1"/>
  <c r="AK160" i="1"/>
  <c r="J160" i="1"/>
  <c r="AK159" i="1"/>
  <c r="J159" i="1"/>
  <c r="AK158" i="1"/>
  <c r="J158" i="1"/>
  <c r="AK157" i="1"/>
  <c r="J157" i="1"/>
  <c r="AK156" i="1"/>
  <c r="J156" i="1"/>
  <c r="AK155" i="1"/>
  <c r="J155" i="1"/>
  <c r="AK154" i="1"/>
  <c r="J154" i="1"/>
  <c r="AK153" i="1"/>
  <c r="J153" i="1"/>
  <c r="AK152" i="1"/>
  <c r="J152" i="1"/>
  <c r="AK151" i="1"/>
  <c r="J151" i="1"/>
  <c r="AK150" i="1"/>
  <c r="AL150" i="1" s="1"/>
  <c r="K147" i="1"/>
  <c r="E147" i="1"/>
  <c r="AK144" i="1"/>
  <c r="J144" i="1"/>
  <c r="AK143" i="1"/>
  <c r="J143" i="1"/>
  <c r="AK142" i="1"/>
  <c r="J142" i="1"/>
  <c r="AK141" i="1"/>
  <c r="J141" i="1"/>
  <c r="AK140" i="1"/>
  <c r="J140" i="1"/>
  <c r="AK139" i="1"/>
  <c r="J139" i="1"/>
  <c r="AK138" i="1"/>
  <c r="J138" i="1"/>
  <c r="AK137" i="1"/>
  <c r="J137" i="1"/>
  <c r="AK136" i="1"/>
  <c r="J136" i="1"/>
  <c r="AK135" i="1"/>
  <c r="J135" i="1"/>
  <c r="AK134" i="1"/>
  <c r="J134" i="1"/>
  <c r="AK133" i="1"/>
  <c r="AL133" i="1" s="1"/>
  <c r="AL134" i="1" s="1"/>
  <c r="K130" i="1"/>
  <c r="E130" i="1"/>
  <c r="H122" i="1"/>
  <c r="F122" i="1"/>
  <c r="G122" i="1" s="1"/>
  <c r="C122" i="1"/>
  <c r="B122" i="1"/>
  <c r="H121" i="1"/>
  <c r="F121" i="1"/>
  <c r="G121" i="1" s="1"/>
  <c r="C121" i="1"/>
  <c r="B121" i="1"/>
  <c r="H120" i="1"/>
  <c r="F120" i="1"/>
  <c r="G120" i="1" s="1"/>
  <c r="C120" i="1"/>
  <c r="B120" i="1"/>
  <c r="H119" i="1"/>
  <c r="F119" i="1"/>
  <c r="G119" i="1" s="1"/>
  <c r="I119" i="1" s="1"/>
  <c r="C119" i="1"/>
  <c r="B119" i="1"/>
  <c r="H118" i="1"/>
  <c r="F118" i="1"/>
  <c r="G118" i="1" s="1"/>
  <c r="C118" i="1"/>
  <c r="B118" i="1"/>
  <c r="H117" i="1"/>
  <c r="F117" i="1"/>
  <c r="G117" i="1" s="1"/>
  <c r="C117" i="1"/>
  <c r="B117" i="1"/>
  <c r="H116" i="1"/>
  <c r="F116" i="1"/>
  <c r="G116" i="1" s="1"/>
  <c r="C116" i="1"/>
  <c r="B116" i="1"/>
  <c r="H115" i="1"/>
  <c r="F115" i="1"/>
  <c r="G115" i="1" s="1"/>
  <c r="C115" i="1"/>
  <c r="B115" i="1"/>
  <c r="H114" i="1"/>
  <c r="F114" i="1"/>
  <c r="G114" i="1" s="1"/>
  <c r="C114" i="1"/>
  <c r="B114" i="1"/>
  <c r="H113" i="1"/>
  <c r="F113" i="1"/>
  <c r="G113" i="1" s="1"/>
  <c r="C113" i="1"/>
  <c r="B113" i="1"/>
  <c r="H112" i="1"/>
  <c r="F112" i="1"/>
  <c r="G112" i="1" s="1"/>
  <c r="C112" i="1"/>
  <c r="B112" i="1"/>
  <c r="H111" i="1"/>
  <c r="F111" i="1"/>
  <c r="G111" i="1" s="1"/>
  <c r="C111" i="1"/>
  <c r="B111" i="1"/>
  <c r="H110" i="1"/>
  <c r="F110" i="1"/>
  <c r="G110" i="1" s="1"/>
  <c r="C110" i="1"/>
  <c r="B110" i="1"/>
  <c r="H109" i="1"/>
  <c r="F109" i="1"/>
  <c r="G109" i="1" s="1"/>
  <c r="C109" i="1"/>
  <c r="B109" i="1"/>
  <c r="H108" i="1"/>
  <c r="F108" i="1"/>
  <c r="G108" i="1" s="1"/>
  <c r="C108" i="1"/>
  <c r="B108" i="1"/>
  <c r="H107" i="1"/>
  <c r="F107" i="1"/>
  <c r="G107" i="1" s="1"/>
  <c r="C107" i="1"/>
  <c r="B107" i="1"/>
  <c r="H106" i="1"/>
  <c r="F106" i="1"/>
  <c r="G106" i="1" s="1"/>
  <c r="C106" i="1"/>
  <c r="B106" i="1"/>
  <c r="H105" i="1"/>
  <c r="F105" i="1"/>
  <c r="G105" i="1" s="1"/>
  <c r="C105" i="1"/>
  <c r="B105" i="1"/>
  <c r="H104" i="1"/>
  <c r="F104" i="1"/>
  <c r="G104" i="1" s="1"/>
  <c r="C104" i="1"/>
  <c r="B104" i="1"/>
  <c r="H103" i="1"/>
  <c r="F103" i="1"/>
  <c r="G103" i="1" s="1"/>
  <c r="C103" i="1"/>
  <c r="B103" i="1"/>
  <c r="H102" i="1"/>
  <c r="F102" i="1"/>
  <c r="G102" i="1" s="1"/>
  <c r="C102" i="1"/>
  <c r="B102" i="1"/>
  <c r="H101" i="1"/>
  <c r="F101" i="1"/>
  <c r="G101" i="1" s="1"/>
  <c r="C101" i="1"/>
  <c r="B101" i="1"/>
  <c r="H100" i="1"/>
  <c r="F100" i="1"/>
  <c r="G100" i="1" s="1"/>
  <c r="C100" i="1"/>
  <c r="B100" i="1"/>
  <c r="H99" i="1"/>
  <c r="F99" i="1"/>
  <c r="G99" i="1" s="1"/>
  <c r="C99" i="1"/>
  <c r="B99" i="1"/>
  <c r="H98" i="1"/>
  <c r="F98" i="1"/>
  <c r="G98" i="1" s="1"/>
  <c r="I98" i="1" s="1"/>
  <c r="C98" i="1"/>
  <c r="B98" i="1"/>
  <c r="H97" i="1"/>
  <c r="F97" i="1"/>
  <c r="G97" i="1" s="1"/>
  <c r="C97" i="1"/>
  <c r="B97" i="1"/>
  <c r="H96" i="1"/>
  <c r="F96" i="1"/>
  <c r="G96" i="1" s="1"/>
  <c r="C96" i="1"/>
  <c r="B96" i="1"/>
  <c r="H95" i="1"/>
  <c r="F95" i="1"/>
  <c r="G95" i="1" s="1"/>
  <c r="C95" i="1"/>
  <c r="B95" i="1"/>
  <c r="H94" i="1"/>
  <c r="F94" i="1"/>
  <c r="G94" i="1" s="1"/>
  <c r="C94" i="1"/>
  <c r="B94" i="1"/>
  <c r="H93" i="1"/>
  <c r="F93" i="1"/>
  <c r="G93" i="1" s="1"/>
  <c r="C93" i="1"/>
  <c r="B93" i="1"/>
  <c r="H92" i="1"/>
  <c r="F92" i="1"/>
  <c r="G92" i="1" s="1"/>
  <c r="C92" i="1"/>
  <c r="B92" i="1"/>
  <c r="H91" i="1"/>
  <c r="F91" i="1"/>
  <c r="G91" i="1" s="1"/>
  <c r="C91" i="1"/>
  <c r="B91" i="1"/>
  <c r="H90" i="1"/>
  <c r="F90" i="1"/>
  <c r="G90" i="1" s="1"/>
  <c r="C90" i="1"/>
  <c r="B90" i="1"/>
  <c r="H89" i="1"/>
  <c r="F89" i="1"/>
  <c r="G89" i="1" s="1"/>
  <c r="C89" i="1"/>
  <c r="B89" i="1"/>
  <c r="H88" i="1"/>
  <c r="F88" i="1"/>
  <c r="G88" i="1" s="1"/>
  <c r="C88" i="1"/>
  <c r="B88" i="1"/>
  <c r="H87" i="1"/>
  <c r="F87" i="1"/>
  <c r="G87" i="1" s="1"/>
  <c r="C87" i="1"/>
  <c r="B87" i="1"/>
  <c r="H86" i="1"/>
  <c r="F86" i="1"/>
  <c r="G86" i="1" s="1"/>
  <c r="C86" i="1"/>
  <c r="B86" i="1"/>
  <c r="H85" i="1"/>
  <c r="F85" i="1"/>
  <c r="G85" i="1" s="1"/>
  <c r="C85" i="1"/>
  <c r="B85" i="1"/>
  <c r="H84" i="1"/>
  <c r="F84" i="1"/>
  <c r="G84" i="1" s="1"/>
  <c r="C84" i="1"/>
  <c r="B84" i="1"/>
  <c r="H83" i="1"/>
  <c r="F83" i="1"/>
  <c r="G83" i="1" s="1"/>
  <c r="C83" i="1"/>
  <c r="B83" i="1"/>
  <c r="H82" i="1"/>
  <c r="F82" i="1"/>
  <c r="G82" i="1" s="1"/>
  <c r="C82" i="1"/>
  <c r="B82" i="1"/>
  <c r="H81" i="1"/>
  <c r="F81" i="1"/>
  <c r="G81" i="1" s="1"/>
  <c r="C81" i="1"/>
  <c r="B81" i="1"/>
  <c r="H80" i="1"/>
  <c r="F80" i="1"/>
  <c r="G80" i="1" s="1"/>
  <c r="C80" i="1"/>
  <c r="B80" i="1"/>
  <c r="H79" i="1"/>
  <c r="F79" i="1"/>
  <c r="G79" i="1" s="1"/>
  <c r="C79" i="1"/>
  <c r="B79" i="1"/>
  <c r="H78" i="1"/>
  <c r="F78" i="1"/>
  <c r="G78" i="1" s="1"/>
  <c r="C78" i="1"/>
  <c r="B78" i="1"/>
  <c r="H77" i="1"/>
  <c r="F77" i="1"/>
  <c r="G77" i="1" s="1"/>
  <c r="C77" i="1"/>
  <c r="B77" i="1"/>
  <c r="H76" i="1"/>
  <c r="F76" i="1"/>
  <c r="G76" i="1" s="1"/>
  <c r="C76" i="1"/>
  <c r="B76" i="1"/>
  <c r="H75" i="1"/>
  <c r="F75" i="1"/>
  <c r="G75" i="1" s="1"/>
  <c r="C75" i="1"/>
  <c r="B75" i="1"/>
  <c r="H74" i="1"/>
  <c r="F74" i="1"/>
  <c r="G74" i="1" s="1"/>
  <c r="C74" i="1"/>
  <c r="B74" i="1"/>
  <c r="H73" i="1"/>
  <c r="F73" i="1"/>
  <c r="G73" i="1" s="1"/>
  <c r="C73" i="1"/>
  <c r="B73" i="1"/>
  <c r="H72" i="1"/>
  <c r="F72" i="1"/>
  <c r="G72" i="1" s="1"/>
  <c r="C72" i="1"/>
  <c r="B72" i="1"/>
  <c r="H71" i="1"/>
  <c r="F71" i="1"/>
  <c r="G71" i="1" s="1"/>
  <c r="C71" i="1"/>
  <c r="B71" i="1"/>
  <c r="H70" i="1"/>
  <c r="F70" i="1"/>
  <c r="G70" i="1" s="1"/>
  <c r="C70" i="1"/>
  <c r="B70" i="1"/>
  <c r="H69" i="1"/>
  <c r="F69" i="1"/>
  <c r="G69" i="1" s="1"/>
  <c r="C69" i="1"/>
  <c r="B69" i="1"/>
  <c r="H68" i="1"/>
  <c r="F68" i="1"/>
  <c r="G68" i="1" s="1"/>
  <c r="C68" i="1"/>
  <c r="B68" i="1"/>
  <c r="H67" i="1"/>
  <c r="F67" i="1"/>
  <c r="G67" i="1" s="1"/>
  <c r="C67" i="1"/>
  <c r="B67" i="1"/>
  <c r="H66" i="1"/>
  <c r="F66" i="1"/>
  <c r="G66" i="1" s="1"/>
  <c r="C66" i="1"/>
  <c r="B66" i="1"/>
  <c r="H65" i="1"/>
  <c r="F65" i="1"/>
  <c r="G65" i="1" s="1"/>
  <c r="C65" i="1"/>
  <c r="B65" i="1"/>
  <c r="H64" i="1"/>
  <c r="F64" i="1"/>
  <c r="G64" i="1" s="1"/>
  <c r="C64" i="1"/>
  <c r="B64" i="1"/>
  <c r="H63" i="1"/>
  <c r="F63" i="1"/>
  <c r="G63" i="1" s="1"/>
  <c r="C63" i="1"/>
  <c r="B63" i="1"/>
  <c r="H62" i="1"/>
  <c r="F62" i="1"/>
  <c r="G62" i="1" s="1"/>
  <c r="C62" i="1"/>
  <c r="B62" i="1"/>
  <c r="H61" i="1"/>
  <c r="F61" i="1"/>
  <c r="G61" i="1" s="1"/>
  <c r="C61" i="1"/>
  <c r="B61" i="1"/>
  <c r="H60" i="1"/>
  <c r="F60" i="1"/>
  <c r="G60" i="1" s="1"/>
  <c r="C60" i="1"/>
  <c r="B60" i="1"/>
  <c r="H59" i="1"/>
  <c r="F59" i="1"/>
  <c r="G59" i="1" s="1"/>
  <c r="C59" i="1"/>
  <c r="B59" i="1"/>
  <c r="H58" i="1"/>
  <c r="F58" i="1"/>
  <c r="G58" i="1" s="1"/>
  <c r="C58" i="1"/>
  <c r="B58" i="1"/>
  <c r="H57" i="1"/>
  <c r="F57" i="1"/>
  <c r="G57" i="1" s="1"/>
  <c r="C57" i="1"/>
  <c r="B57" i="1"/>
  <c r="H56" i="1"/>
  <c r="F56" i="1"/>
  <c r="G56" i="1" s="1"/>
  <c r="C56" i="1"/>
  <c r="B56" i="1"/>
  <c r="H55" i="1"/>
  <c r="F55" i="1"/>
  <c r="G55" i="1" s="1"/>
  <c r="C55" i="1"/>
  <c r="B55" i="1"/>
  <c r="H54" i="1"/>
  <c r="F54" i="1"/>
  <c r="G54" i="1" s="1"/>
  <c r="C54" i="1"/>
  <c r="B54" i="1"/>
  <c r="H53" i="1"/>
  <c r="F53" i="1"/>
  <c r="G53" i="1" s="1"/>
  <c r="C53" i="1"/>
  <c r="B53" i="1"/>
  <c r="H52" i="1"/>
  <c r="F52" i="1"/>
  <c r="G52" i="1" s="1"/>
  <c r="C52" i="1"/>
  <c r="B52" i="1"/>
  <c r="H51" i="1"/>
  <c r="F51" i="1"/>
  <c r="G51" i="1" s="1"/>
  <c r="C51" i="1"/>
  <c r="B51" i="1"/>
  <c r="H50" i="1"/>
  <c r="F50" i="1"/>
  <c r="G50" i="1" s="1"/>
  <c r="C50" i="1"/>
  <c r="B50" i="1"/>
  <c r="H49" i="1"/>
  <c r="F49" i="1"/>
  <c r="G49" i="1" s="1"/>
  <c r="C49" i="1"/>
  <c r="B49" i="1"/>
  <c r="H48" i="1"/>
  <c r="F48" i="1"/>
  <c r="G48" i="1" s="1"/>
  <c r="C48" i="1"/>
  <c r="B48" i="1"/>
  <c r="H47" i="1"/>
  <c r="F47" i="1"/>
  <c r="G47" i="1" s="1"/>
  <c r="C47" i="1"/>
  <c r="B47" i="1"/>
  <c r="H46" i="1"/>
  <c r="F46" i="1"/>
  <c r="G46" i="1" s="1"/>
  <c r="C46" i="1"/>
  <c r="B46" i="1"/>
  <c r="H45" i="1"/>
  <c r="F45" i="1"/>
  <c r="G45" i="1" s="1"/>
  <c r="C45" i="1"/>
  <c r="B45" i="1"/>
  <c r="H44" i="1"/>
  <c r="F44" i="1"/>
  <c r="G44" i="1" s="1"/>
  <c r="C44" i="1"/>
  <c r="B44" i="1"/>
  <c r="H43" i="1"/>
  <c r="F43" i="1"/>
  <c r="G43" i="1" s="1"/>
  <c r="E43" i="1"/>
  <c r="D43" i="1"/>
  <c r="C43" i="1"/>
  <c r="B43" i="1"/>
  <c r="T34" i="1"/>
  <c r="N33" i="1"/>
  <c r="N32" i="1"/>
  <c r="N31" i="1"/>
  <c r="I12" i="1"/>
  <c r="I11" i="1"/>
  <c r="P10" i="1"/>
  <c r="U1694" i="1" s="1"/>
  <c r="P9" i="1"/>
  <c r="L1648" i="1" s="1"/>
  <c r="P8" i="1"/>
  <c r="N103" i="1" s="1"/>
  <c r="P7" i="1"/>
  <c r="M116" i="1" s="1"/>
  <c r="P6" i="1"/>
  <c r="L84" i="1" s="1"/>
  <c r="P5" i="1"/>
  <c r="K94" i="1" s="1"/>
  <c r="AL1610" i="1" l="1"/>
  <c r="AL1611" i="1" s="1"/>
  <c r="AL1612" i="1" s="1"/>
  <c r="AL1613" i="1" s="1"/>
  <c r="AL1614" i="1" s="1"/>
  <c r="AL1615" i="1" s="1"/>
  <c r="I57" i="1"/>
  <c r="J57" i="1" s="1"/>
  <c r="M82" i="1"/>
  <c r="I67" i="1"/>
  <c r="I52" i="1"/>
  <c r="J52" i="1" s="1"/>
  <c r="I118" i="1"/>
  <c r="J118" i="1" s="1"/>
  <c r="N43" i="1"/>
  <c r="I82" i="1"/>
  <c r="O31" i="1"/>
  <c r="N97" i="1"/>
  <c r="AL1564" i="1"/>
  <c r="AL1565" i="1" s="1"/>
  <c r="I117" i="1"/>
  <c r="J117" i="1" s="1"/>
  <c r="I93" i="1"/>
  <c r="J93" i="1" s="1"/>
  <c r="L55" i="1"/>
  <c r="O33" i="1"/>
  <c r="I80" i="1"/>
  <c r="J80" i="1" s="1"/>
  <c r="N56" i="1"/>
  <c r="M80" i="1"/>
  <c r="I99" i="1"/>
  <c r="J99" i="1" s="1"/>
  <c r="N61" i="1"/>
  <c r="I81" i="1"/>
  <c r="J81" i="1" s="1"/>
  <c r="I101" i="1"/>
  <c r="J101" i="1" s="1"/>
  <c r="I59" i="1"/>
  <c r="J59" i="1" s="1"/>
  <c r="I50" i="1"/>
  <c r="J50" i="1" s="1"/>
  <c r="I79" i="1"/>
  <c r="J79" i="1" s="1"/>
  <c r="I61" i="1"/>
  <c r="J61" i="1" s="1"/>
  <c r="I113" i="1"/>
  <c r="I100" i="1"/>
  <c r="J100" i="1" s="1"/>
  <c r="AL1649" i="1"/>
  <c r="AL1650" i="1" s="1"/>
  <c r="AL1651" i="1" s="1"/>
  <c r="AL1652" i="1" s="1"/>
  <c r="AL1653" i="1" s="1"/>
  <c r="AL1654" i="1" s="1"/>
  <c r="AL1655" i="1" s="1"/>
  <c r="AL1656" i="1" s="1"/>
  <c r="AL1657" i="1" s="1"/>
  <c r="AL1658" i="1" s="1"/>
  <c r="AL1659" i="1" s="1"/>
  <c r="AL1660" i="1" s="1"/>
  <c r="AL1661" i="1" s="1"/>
  <c r="AL1662" i="1" s="1"/>
  <c r="AL1663" i="1" s="1"/>
  <c r="AL1664" i="1" s="1"/>
  <c r="AL1665" i="1" s="1"/>
  <c r="AL1666" i="1" s="1"/>
  <c r="AL1667" i="1" s="1"/>
  <c r="AL1668" i="1" s="1"/>
  <c r="AL1669" i="1" s="1"/>
  <c r="AL1670" i="1" s="1"/>
  <c r="AL1671" i="1" s="1"/>
  <c r="AL1672" i="1" s="1"/>
  <c r="AL1673" i="1" s="1"/>
  <c r="AL1674" i="1" s="1"/>
  <c r="AL1675" i="1" s="1"/>
  <c r="AL1676" i="1" s="1"/>
  <c r="AL1677" i="1" s="1"/>
  <c r="AL1678" i="1" s="1"/>
  <c r="AL1679" i="1" s="1"/>
  <c r="AL1680" i="1" s="1"/>
  <c r="AL1681" i="1" s="1"/>
  <c r="AL1682" i="1" s="1"/>
  <c r="AL1683" i="1" s="1"/>
  <c r="AL1684" i="1" s="1"/>
  <c r="AL1685" i="1" s="1"/>
  <c r="AL1686" i="1" s="1"/>
  <c r="AL1687" i="1" s="1"/>
  <c r="AL1688" i="1" s="1"/>
  <c r="AL1689" i="1" s="1"/>
  <c r="AL1690" i="1" s="1"/>
  <c r="AL1691" i="1" s="1"/>
  <c r="AL1692" i="1" s="1"/>
  <c r="AL1693" i="1" s="1"/>
  <c r="AL1694" i="1" s="1"/>
  <c r="I62" i="1"/>
  <c r="J62" i="1" s="1"/>
  <c r="M96" i="1"/>
  <c r="L52" i="1"/>
  <c r="L62" i="1"/>
  <c r="L79" i="1"/>
  <c r="AL1541" i="1"/>
  <c r="AL1542" i="1" s="1"/>
  <c r="AL1543" i="1" s="1"/>
  <c r="AL1544" i="1" s="1"/>
  <c r="AL1545" i="1" s="1"/>
  <c r="AL1546" i="1" s="1"/>
  <c r="AL1547" i="1" s="1"/>
  <c r="AL1548" i="1" s="1"/>
  <c r="AL1549" i="1" s="1"/>
  <c r="AL1550" i="1" s="1"/>
  <c r="AL1551" i="1" s="1"/>
  <c r="AL1552" i="1" s="1"/>
  <c r="AL1553" i="1" s="1"/>
  <c r="AL1554" i="1" s="1"/>
  <c r="AL1555" i="1" s="1"/>
  <c r="AL1556" i="1" s="1"/>
  <c r="AL1557" i="1" s="1"/>
  <c r="L44" i="1"/>
  <c r="O32" i="1"/>
  <c r="AL1566" i="1"/>
  <c r="AL1567" i="1" s="1"/>
  <c r="AL1568" i="1" s="1"/>
  <c r="AL1569" i="1" s="1"/>
  <c r="L59" i="1"/>
  <c r="K77" i="1"/>
  <c r="M101" i="1"/>
  <c r="L115" i="1"/>
  <c r="I60" i="1"/>
  <c r="J60" i="1" s="1"/>
  <c r="AL135" i="1"/>
  <c r="AL136" i="1" s="1"/>
  <c r="AL137" i="1" s="1"/>
  <c r="AL138" i="1" s="1"/>
  <c r="AL139" i="1" s="1"/>
  <c r="AL140" i="1" s="1"/>
  <c r="AL141" i="1" s="1"/>
  <c r="AL142" i="1" s="1"/>
  <c r="AL143" i="1" s="1"/>
  <c r="AL144" i="1" s="1"/>
  <c r="M45" i="1"/>
  <c r="K57" i="1"/>
  <c r="J98" i="1"/>
  <c r="K54" i="1"/>
  <c r="L57" i="1"/>
  <c r="AL151" i="1"/>
  <c r="AL152" i="1" s="1"/>
  <c r="AL153" i="1" s="1"/>
  <c r="AL154" i="1" s="1"/>
  <c r="AL155" i="1" s="1"/>
  <c r="AL156" i="1" s="1"/>
  <c r="AL157" i="1" s="1"/>
  <c r="AL158" i="1" s="1"/>
  <c r="AL159" i="1" s="1"/>
  <c r="AL160" i="1" s="1"/>
  <c r="AL161" i="1" s="1"/>
  <c r="AL162" i="1" s="1"/>
  <c r="AL163" i="1" s="1"/>
  <c r="AL164" i="1" s="1"/>
  <c r="AL165" i="1" s="1"/>
  <c r="AL166" i="1" s="1"/>
  <c r="AL167" i="1" s="1"/>
  <c r="AL168" i="1" s="1"/>
  <c r="AL169" i="1" s="1"/>
  <c r="AL170" i="1" s="1"/>
  <c r="AL171" i="1" s="1"/>
  <c r="AL172" i="1" s="1"/>
  <c r="AL173" i="1" s="1"/>
  <c r="AL174" i="1" s="1"/>
  <c r="AL175" i="1" s="1"/>
  <c r="AL176" i="1" s="1"/>
  <c r="AL177" i="1" s="1"/>
  <c r="AL178" i="1" s="1"/>
  <c r="AL179" i="1" s="1"/>
  <c r="AL180" i="1" s="1"/>
  <c r="AL181" i="1" s="1"/>
  <c r="AL182" i="1" s="1"/>
  <c r="AL183" i="1" s="1"/>
  <c r="AL184" i="1" s="1"/>
  <c r="AL185" i="1" s="1"/>
  <c r="AL186" i="1" s="1"/>
  <c r="AL187" i="1" s="1"/>
  <c r="AL188" i="1" s="1"/>
  <c r="AL189" i="1" s="1"/>
  <c r="AL190" i="1" s="1"/>
  <c r="AL191" i="1" s="1"/>
  <c r="AL192" i="1" s="1"/>
  <c r="AL193" i="1" s="1"/>
  <c r="AL194" i="1" s="1"/>
  <c r="AL195" i="1" s="1"/>
  <c r="AL196" i="1" s="1"/>
  <c r="AL197" i="1" s="1"/>
  <c r="AL198" i="1" s="1"/>
  <c r="AL199" i="1" s="1"/>
  <c r="AL200" i="1" s="1"/>
  <c r="AL201" i="1" s="1"/>
  <c r="AL202" i="1" s="1"/>
  <c r="AL203" i="1" s="1"/>
  <c r="AL204" i="1" s="1"/>
  <c r="AL205" i="1" s="1"/>
  <c r="AL206" i="1" s="1"/>
  <c r="AL207" i="1" s="1"/>
  <c r="AL208" i="1" s="1"/>
  <c r="AL209" i="1" s="1"/>
  <c r="AL210" i="1" s="1"/>
  <c r="AL211" i="1" s="1"/>
  <c r="AL212" i="1" s="1"/>
  <c r="AL213" i="1" s="1"/>
  <c r="AL214" i="1" s="1"/>
  <c r="AL215" i="1" s="1"/>
  <c r="AL216" i="1" s="1"/>
  <c r="AL217" i="1" s="1"/>
  <c r="AL218" i="1" s="1"/>
  <c r="AL219" i="1" s="1"/>
  <c r="AL220" i="1" s="1"/>
  <c r="AL221" i="1" s="1"/>
  <c r="AL222" i="1" s="1"/>
  <c r="AL223" i="1" s="1"/>
  <c r="AL224" i="1" s="1"/>
  <c r="AL225" i="1" s="1"/>
  <c r="AL226" i="1" s="1"/>
  <c r="AL227" i="1" s="1"/>
  <c r="AL228" i="1" s="1"/>
  <c r="AL229" i="1" s="1"/>
  <c r="AL230" i="1" s="1"/>
  <c r="AL231" i="1" s="1"/>
  <c r="AL232" i="1" s="1"/>
  <c r="AL233" i="1" s="1"/>
  <c r="AL234" i="1" s="1"/>
  <c r="AL235" i="1" s="1"/>
  <c r="AL236" i="1" s="1"/>
  <c r="AL237" i="1" s="1"/>
  <c r="AL238" i="1" s="1"/>
  <c r="AL239" i="1" s="1"/>
  <c r="AL240" i="1" s="1"/>
  <c r="AL241" i="1" s="1"/>
  <c r="AL242" i="1" s="1"/>
  <c r="AL243" i="1" s="1"/>
  <c r="AL244" i="1" s="1"/>
  <c r="AL245" i="1" s="1"/>
  <c r="AL246" i="1" s="1"/>
  <c r="AL247" i="1" s="1"/>
  <c r="AL248" i="1" s="1"/>
  <c r="AL249" i="1" s="1"/>
  <c r="AL250" i="1" s="1"/>
  <c r="AL251" i="1" s="1"/>
  <c r="AL252" i="1" s="1"/>
  <c r="AL253" i="1" s="1"/>
  <c r="AL254" i="1" s="1"/>
  <c r="AL255" i="1" s="1"/>
  <c r="AL256" i="1" s="1"/>
  <c r="AL257" i="1" s="1"/>
  <c r="AL258" i="1" s="1"/>
  <c r="AL259" i="1" s="1"/>
  <c r="AL260" i="1" s="1"/>
  <c r="AL261" i="1" s="1"/>
  <c r="AL262" i="1" s="1"/>
  <c r="AL263" i="1" s="1"/>
  <c r="AL264" i="1" s="1"/>
  <c r="AL265" i="1" s="1"/>
  <c r="AL266" i="1" s="1"/>
  <c r="AL267" i="1" s="1"/>
  <c r="AL268" i="1" s="1"/>
  <c r="AL269" i="1" s="1"/>
  <c r="AL270" i="1" s="1"/>
  <c r="AL271" i="1" s="1"/>
  <c r="AL272" i="1" s="1"/>
  <c r="AL273" i="1" s="1"/>
  <c r="AL274" i="1" s="1"/>
  <c r="AL275" i="1" s="1"/>
  <c r="AL276" i="1" s="1"/>
  <c r="AL277" i="1" s="1"/>
  <c r="AL278" i="1" s="1"/>
  <c r="AL279" i="1" s="1"/>
  <c r="AL280" i="1" s="1"/>
  <c r="AL281" i="1" s="1"/>
  <c r="AL282" i="1" s="1"/>
  <c r="AL283" i="1" s="1"/>
  <c r="AL284" i="1" s="1"/>
  <c r="AL285" i="1" s="1"/>
  <c r="AL286" i="1" s="1"/>
  <c r="AL287" i="1" s="1"/>
  <c r="AL288" i="1" s="1"/>
  <c r="AL289" i="1" s="1"/>
  <c r="AL290" i="1" s="1"/>
  <c r="AL291" i="1" s="1"/>
  <c r="AL292" i="1" s="1"/>
  <c r="AL293" i="1" s="1"/>
  <c r="AL294" i="1" s="1"/>
  <c r="AL295" i="1" s="1"/>
  <c r="AL296" i="1" s="1"/>
  <c r="AL297" i="1" s="1"/>
  <c r="AL298" i="1" s="1"/>
  <c r="AL299" i="1" s="1"/>
  <c r="AL300" i="1" s="1"/>
  <c r="AL301" i="1" s="1"/>
  <c r="AL302" i="1" s="1"/>
  <c r="AL303" i="1" s="1"/>
  <c r="AL304" i="1" s="1"/>
  <c r="AL305" i="1" s="1"/>
  <c r="AL306" i="1" s="1"/>
  <c r="AL307" i="1" s="1"/>
  <c r="AL308" i="1" s="1"/>
  <c r="AL309" i="1" s="1"/>
  <c r="AL310" i="1" s="1"/>
  <c r="AL311" i="1" s="1"/>
  <c r="AL312" i="1" s="1"/>
  <c r="AL313" i="1" s="1"/>
  <c r="AL314" i="1" s="1"/>
  <c r="AL315" i="1" s="1"/>
  <c r="AL316" i="1" s="1"/>
  <c r="AL317" i="1" s="1"/>
  <c r="AL318" i="1" s="1"/>
  <c r="AL319" i="1" s="1"/>
  <c r="AL320" i="1" s="1"/>
  <c r="AL321" i="1" s="1"/>
  <c r="AL322" i="1" s="1"/>
  <c r="AL323" i="1" s="1"/>
  <c r="AL324" i="1" s="1"/>
  <c r="AL325" i="1" s="1"/>
  <c r="AL326" i="1" s="1"/>
  <c r="AL327" i="1" s="1"/>
  <c r="AL328" i="1" s="1"/>
  <c r="AL329" i="1" s="1"/>
  <c r="AL330" i="1" s="1"/>
  <c r="AL331" i="1" s="1"/>
  <c r="AL332" i="1" s="1"/>
  <c r="AL333" i="1" s="1"/>
  <c r="AL334" i="1" s="1"/>
  <c r="AL335" i="1" s="1"/>
  <c r="AL336" i="1" s="1"/>
  <c r="AL337" i="1" s="1"/>
  <c r="AL338" i="1" s="1"/>
  <c r="AL339" i="1" s="1"/>
  <c r="AL340" i="1" s="1"/>
  <c r="AL341" i="1" s="1"/>
  <c r="AL342" i="1" s="1"/>
  <c r="AL343" i="1" s="1"/>
  <c r="AL344" i="1" s="1"/>
  <c r="AL345" i="1" s="1"/>
  <c r="AL346" i="1" s="1"/>
  <c r="AL347" i="1" s="1"/>
  <c r="AL348" i="1" s="1"/>
  <c r="AL349" i="1" s="1"/>
  <c r="AL350" i="1" s="1"/>
  <c r="AL351" i="1" s="1"/>
  <c r="AL352" i="1" s="1"/>
  <c r="AL353" i="1" s="1"/>
  <c r="AL354" i="1" s="1"/>
  <c r="AL355" i="1" s="1"/>
  <c r="AL356" i="1" s="1"/>
  <c r="AL357" i="1" s="1"/>
  <c r="AL358" i="1" s="1"/>
  <c r="AL359" i="1" s="1"/>
  <c r="AL360" i="1" s="1"/>
  <c r="AL361" i="1" s="1"/>
  <c r="AL362" i="1" s="1"/>
  <c r="AL363" i="1" s="1"/>
  <c r="AL364" i="1" s="1"/>
  <c r="AL365" i="1" s="1"/>
  <c r="AL366" i="1" s="1"/>
  <c r="AL367" i="1" s="1"/>
  <c r="AL368" i="1" s="1"/>
  <c r="AL369" i="1" s="1"/>
  <c r="AL370" i="1" s="1"/>
  <c r="AL371" i="1" s="1"/>
  <c r="AL372" i="1" s="1"/>
  <c r="AL373" i="1" s="1"/>
  <c r="AL374" i="1" s="1"/>
  <c r="AL375" i="1" s="1"/>
  <c r="AL376" i="1" s="1"/>
  <c r="AL377" i="1" s="1"/>
  <c r="AL378" i="1" s="1"/>
  <c r="AL379" i="1" s="1"/>
  <c r="AL380" i="1" s="1"/>
  <c r="AL381" i="1" s="1"/>
  <c r="AL382" i="1" s="1"/>
  <c r="AL383" i="1" s="1"/>
  <c r="AL384" i="1" s="1"/>
  <c r="AL385" i="1" s="1"/>
  <c r="AL386" i="1" s="1"/>
  <c r="AL387" i="1" s="1"/>
  <c r="AL388" i="1" s="1"/>
  <c r="AL389" i="1" s="1"/>
  <c r="AL390" i="1" s="1"/>
  <c r="AL391" i="1" s="1"/>
  <c r="AL392" i="1" s="1"/>
  <c r="AL393" i="1" s="1"/>
  <c r="AL394" i="1" s="1"/>
  <c r="AL395" i="1" s="1"/>
  <c r="AL396" i="1" s="1"/>
  <c r="AL397" i="1" s="1"/>
  <c r="AL398" i="1" s="1"/>
  <c r="AL399" i="1" s="1"/>
  <c r="AL400" i="1" s="1"/>
  <c r="AL401" i="1" s="1"/>
  <c r="AL402" i="1" s="1"/>
  <c r="AL403" i="1" s="1"/>
  <c r="AL404" i="1" s="1"/>
  <c r="AL405" i="1" s="1"/>
  <c r="AL406" i="1" s="1"/>
  <c r="AL407" i="1" s="1"/>
  <c r="AL408" i="1" s="1"/>
  <c r="AL409" i="1" s="1"/>
  <c r="AL410" i="1" s="1"/>
  <c r="AL411" i="1" s="1"/>
  <c r="AL412" i="1" s="1"/>
  <c r="AL413" i="1" s="1"/>
  <c r="AL414" i="1" s="1"/>
  <c r="AL415" i="1" s="1"/>
  <c r="AL416" i="1" s="1"/>
  <c r="AL417" i="1" s="1"/>
  <c r="AL418" i="1" s="1"/>
  <c r="AL419" i="1" s="1"/>
  <c r="AL420" i="1" s="1"/>
  <c r="AL421" i="1" s="1"/>
  <c r="AL422" i="1" s="1"/>
  <c r="AL423" i="1" s="1"/>
  <c r="AL424" i="1" s="1"/>
  <c r="AL425" i="1" s="1"/>
  <c r="AL426" i="1" s="1"/>
  <c r="AL427" i="1" s="1"/>
  <c r="AL428" i="1" s="1"/>
  <c r="AL429" i="1" s="1"/>
  <c r="AL430" i="1" s="1"/>
  <c r="AL431" i="1" s="1"/>
  <c r="AL432" i="1" s="1"/>
  <c r="AL433" i="1" s="1"/>
  <c r="AL434" i="1" s="1"/>
  <c r="AL435" i="1" s="1"/>
  <c r="AL436" i="1" s="1"/>
  <c r="AL437" i="1" s="1"/>
  <c r="AL438" i="1" s="1"/>
  <c r="AL439" i="1" s="1"/>
  <c r="AL440" i="1" s="1"/>
  <c r="AL441" i="1" s="1"/>
  <c r="AL442" i="1" s="1"/>
  <c r="AL443" i="1" s="1"/>
  <c r="AL444" i="1" s="1"/>
  <c r="AL445" i="1" s="1"/>
  <c r="AL446" i="1" s="1"/>
  <c r="AL447" i="1" s="1"/>
  <c r="AL448" i="1" s="1"/>
  <c r="AL449" i="1" s="1"/>
  <c r="AL450" i="1" s="1"/>
  <c r="AL451" i="1" s="1"/>
  <c r="AL452" i="1" s="1"/>
  <c r="AL453" i="1" s="1"/>
  <c r="AL454" i="1" s="1"/>
  <c r="AL455" i="1" s="1"/>
  <c r="AL456" i="1" s="1"/>
  <c r="AL457" i="1" s="1"/>
  <c r="AL458" i="1" s="1"/>
  <c r="AL459" i="1" s="1"/>
  <c r="AL460" i="1" s="1"/>
  <c r="AL461" i="1" s="1"/>
  <c r="AL462" i="1" s="1"/>
  <c r="AL463" i="1" s="1"/>
  <c r="AL464" i="1" s="1"/>
  <c r="AL465" i="1" s="1"/>
  <c r="AL466" i="1" s="1"/>
  <c r="AL467" i="1" s="1"/>
  <c r="AL468" i="1" s="1"/>
  <c r="AL469" i="1" s="1"/>
  <c r="AL470" i="1" s="1"/>
  <c r="AL471" i="1" s="1"/>
  <c r="AL472" i="1" s="1"/>
  <c r="AL473" i="1" s="1"/>
  <c r="AL474" i="1" s="1"/>
  <c r="AL475" i="1" s="1"/>
  <c r="AL476" i="1" s="1"/>
  <c r="AL477" i="1" s="1"/>
  <c r="AL478" i="1" s="1"/>
  <c r="AL479" i="1" s="1"/>
  <c r="AL480" i="1" s="1"/>
  <c r="AL481" i="1" s="1"/>
  <c r="AL482" i="1" s="1"/>
  <c r="AL483" i="1" s="1"/>
  <c r="AL484" i="1" s="1"/>
  <c r="AL485" i="1" s="1"/>
  <c r="AL486" i="1" s="1"/>
  <c r="AL487" i="1" s="1"/>
  <c r="AL488" i="1" s="1"/>
  <c r="AL489" i="1" s="1"/>
  <c r="AL490" i="1" s="1"/>
  <c r="AL491" i="1" s="1"/>
  <c r="AL492" i="1" s="1"/>
  <c r="AL493" i="1" s="1"/>
  <c r="AL494" i="1" s="1"/>
  <c r="AL495" i="1" s="1"/>
  <c r="AL496" i="1" s="1"/>
  <c r="AL497" i="1" s="1"/>
  <c r="AL498" i="1" s="1"/>
  <c r="AL499" i="1" s="1"/>
  <c r="AL500" i="1" s="1"/>
  <c r="AL501" i="1" s="1"/>
  <c r="AL502" i="1" s="1"/>
  <c r="AL503" i="1" s="1"/>
  <c r="AL504" i="1" s="1"/>
  <c r="AL505" i="1" s="1"/>
  <c r="AL506" i="1" s="1"/>
  <c r="AL507" i="1" s="1"/>
  <c r="AL508" i="1" s="1"/>
  <c r="AL509" i="1" s="1"/>
  <c r="AL510" i="1" s="1"/>
  <c r="AL511" i="1" s="1"/>
  <c r="AL512" i="1" s="1"/>
  <c r="AL513" i="1" s="1"/>
  <c r="AL514" i="1" s="1"/>
  <c r="AL515" i="1" s="1"/>
  <c r="AL516" i="1" s="1"/>
  <c r="AL517" i="1" s="1"/>
  <c r="AL518" i="1" s="1"/>
  <c r="AL519" i="1" s="1"/>
  <c r="AL520" i="1" s="1"/>
  <c r="AL521" i="1" s="1"/>
  <c r="AL522" i="1" s="1"/>
  <c r="AL523" i="1" s="1"/>
  <c r="AL524" i="1" s="1"/>
  <c r="AL525" i="1" s="1"/>
  <c r="AL526" i="1" s="1"/>
  <c r="AL527" i="1" s="1"/>
  <c r="AL528" i="1" s="1"/>
  <c r="AL529" i="1" s="1"/>
  <c r="AL530" i="1" s="1"/>
  <c r="AL531" i="1" s="1"/>
  <c r="AL532" i="1" s="1"/>
  <c r="AL533" i="1" s="1"/>
  <c r="AL534" i="1" s="1"/>
  <c r="AL535" i="1" s="1"/>
  <c r="AL536" i="1" s="1"/>
  <c r="AL537" i="1" s="1"/>
  <c r="AL538" i="1" s="1"/>
  <c r="AL539" i="1" s="1"/>
  <c r="AL540" i="1" s="1"/>
  <c r="AL541" i="1" s="1"/>
  <c r="AL542" i="1" s="1"/>
  <c r="AL543" i="1" s="1"/>
  <c r="AL544" i="1" s="1"/>
  <c r="AL545" i="1" s="1"/>
  <c r="AL546" i="1" s="1"/>
  <c r="AL547" i="1" s="1"/>
  <c r="AL548" i="1" s="1"/>
  <c r="AL549" i="1" s="1"/>
  <c r="AL550" i="1" s="1"/>
  <c r="AL551" i="1" s="1"/>
  <c r="AL552" i="1" s="1"/>
  <c r="AL553" i="1" s="1"/>
  <c r="AL554" i="1" s="1"/>
  <c r="AL555" i="1" s="1"/>
  <c r="AL556" i="1" s="1"/>
  <c r="AL557" i="1" s="1"/>
  <c r="AL558" i="1" s="1"/>
  <c r="AL559" i="1" s="1"/>
  <c r="AL560" i="1" s="1"/>
  <c r="AL561" i="1" s="1"/>
  <c r="AL562" i="1" s="1"/>
  <c r="AL563" i="1" s="1"/>
  <c r="AL564" i="1" s="1"/>
  <c r="AL565" i="1" s="1"/>
  <c r="AL566" i="1" s="1"/>
  <c r="AL567" i="1" s="1"/>
  <c r="AL568" i="1" s="1"/>
  <c r="AL569" i="1" s="1"/>
  <c r="AL570" i="1" s="1"/>
  <c r="AL571" i="1" s="1"/>
  <c r="AL572" i="1" s="1"/>
  <c r="AL573" i="1" s="1"/>
  <c r="AL574" i="1" s="1"/>
  <c r="AL575" i="1" s="1"/>
  <c r="AL576" i="1" s="1"/>
  <c r="AL577" i="1" s="1"/>
  <c r="AL578" i="1" s="1"/>
  <c r="AL579" i="1" s="1"/>
  <c r="AL580" i="1" s="1"/>
  <c r="AL581" i="1" s="1"/>
  <c r="AL582" i="1" s="1"/>
  <c r="AL583" i="1" s="1"/>
  <c r="AL584" i="1" s="1"/>
  <c r="AL585" i="1" s="1"/>
  <c r="AL586" i="1" s="1"/>
  <c r="AL587" i="1" s="1"/>
  <c r="AL588" i="1" s="1"/>
  <c r="AL589" i="1" s="1"/>
  <c r="AL590" i="1" s="1"/>
  <c r="AL591" i="1" s="1"/>
  <c r="AL592" i="1" s="1"/>
  <c r="AL593" i="1" s="1"/>
  <c r="AL594" i="1" s="1"/>
  <c r="AL595" i="1" s="1"/>
  <c r="AL596" i="1" s="1"/>
  <c r="AL597" i="1" s="1"/>
  <c r="AL598" i="1" s="1"/>
  <c r="AL599" i="1" s="1"/>
  <c r="AL600" i="1" s="1"/>
  <c r="AL601" i="1" s="1"/>
  <c r="AL602" i="1" s="1"/>
  <c r="AL603" i="1" s="1"/>
  <c r="AL604" i="1" s="1"/>
  <c r="AL605" i="1" s="1"/>
  <c r="AL606" i="1" s="1"/>
  <c r="AL607" i="1" s="1"/>
  <c r="AL608" i="1" s="1"/>
  <c r="AL609" i="1" s="1"/>
  <c r="AL610" i="1" s="1"/>
  <c r="AL611" i="1" s="1"/>
  <c r="AL612" i="1" s="1"/>
  <c r="AL613" i="1" s="1"/>
  <c r="AL614" i="1" s="1"/>
  <c r="AL615" i="1" s="1"/>
  <c r="AL616" i="1" s="1"/>
  <c r="AL617" i="1" s="1"/>
  <c r="AL618" i="1" s="1"/>
  <c r="AL619" i="1" s="1"/>
  <c r="AL620" i="1" s="1"/>
  <c r="AL621" i="1" s="1"/>
  <c r="AL622" i="1" s="1"/>
  <c r="AL623" i="1" s="1"/>
  <c r="AL624" i="1" s="1"/>
  <c r="AL625" i="1" s="1"/>
  <c r="AL626" i="1" s="1"/>
  <c r="AL627" i="1" s="1"/>
  <c r="AL628" i="1" s="1"/>
  <c r="AL629" i="1" s="1"/>
  <c r="AL630" i="1" s="1"/>
  <c r="AL631" i="1" s="1"/>
  <c r="AL632" i="1" s="1"/>
  <c r="AL633" i="1" s="1"/>
  <c r="AL634" i="1" s="1"/>
  <c r="AL635" i="1" s="1"/>
  <c r="AL636" i="1" s="1"/>
  <c r="AL637" i="1" s="1"/>
  <c r="AL638" i="1" s="1"/>
  <c r="AL639" i="1" s="1"/>
  <c r="AL640" i="1" s="1"/>
  <c r="AL641" i="1" s="1"/>
  <c r="AL642" i="1" s="1"/>
  <c r="AL643" i="1" s="1"/>
  <c r="AL644" i="1" s="1"/>
  <c r="AL645" i="1" s="1"/>
  <c r="AL646" i="1" s="1"/>
  <c r="AL647" i="1" s="1"/>
  <c r="AL648" i="1" s="1"/>
  <c r="AL649" i="1" s="1"/>
  <c r="AL650" i="1" s="1"/>
  <c r="AL651" i="1" s="1"/>
  <c r="AL652" i="1" s="1"/>
  <c r="AL653" i="1" s="1"/>
  <c r="AL654" i="1" s="1"/>
  <c r="AL655" i="1" s="1"/>
  <c r="AL656" i="1" s="1"/>
  <c r="AL657" i="1" s="1"/>
  <c r="AL658" i="1" s="1"/>
  <c r="AL659" i="1" s="1"/>
  <c r="AL660" i="1" s="1"/>
  <c r="AL661" i="1" s="1"/>
  <c r="AL662" i="1" s="1"/>
  <c r="AL663" i="1" s="1"/>
  <c r="AL664" i="1" s="1"/>
  <c r="AL665" i="1" s="1"/>
  <c r="AL666" i="1" s="1"/>
  <c r="AL667" i="1" s="1"/>
  <c r="AL668" i="1" s="1"/>
  <c r="AL669" i="1" s="1"/>
  <c r="AL670" i="1" s="1"/>
  <c r="AL671" i="1" s="1"/>
  <c r="AL672" i="1" s="1"/>
  <c r="AL673" i="1" s="1"/>
  <c r="AL674" i="1" s="1"/>
  <c r="AL675" i="1" s="1"/>
  <c r="AL676" i="1" s="1"/>
  <c r="AL677" i="1" s="1"/>
  <c r="AL678" i="1" s="1"/>
  <c r="AL679" i="1" s="1"/>
  <c r="AL680" i="1" s="1"/>
  <c r="AL681" i="1" s="1"/>
  <c r="AL682" i="1" s="1"/>
  <c r="AL683" i="1" s="1"/>
  <c r="AL684" i="1" s="1"/>
  <c r="AL685" i="1" s="1"/>
  <c r="AL686" i="1" s="1"/>
  <c r="AL687" i="1" s="1"/>
  <c r="AL688" i="1" s="1"/>
  <c r="AL689" i="1" s="1"/>
  <c r="AL690" i="1" s="1"/>
  <c r="AL691" i="1" s="1"/>
  <c r="AL692" i="1" s="1"/>
  <c r="AL693" i="1" s="1"/>
  <c r="AL694" i="1" s="1"/>
  <c r="AL695" i="1" s="1"/>
  <c r="AL696" i="1" s="1"/>
  <c r="AL697" i="1" s="1"/>
  <c r="AL698" i="1" s="1"/>
  <c r="AL699" i="1" s="1"/>
  <c r="AL700" i="1" s="1"/>
  <c r="AL701" i="1" s="1"/>
  <c r="AL702" i="1" s="1"/>
  <c r="AL703" i="1" s="1"/>
  <c r="AL704" i="1" s="1"/>
  <c r="AL705" i="1" s="1"/>
  <c r="AL706" i="1" s="1"/>
  <c r="AL707" i="1" s="1"/>
  <c r="AL708" i="1" s="1"/>
  <c r="AL709" i="1" s="1"/>
  <c r="AL710" i="1" s="1"/>
  <c r="AL711" i="1" s="1"/>
  <c r="AL712" i="1" s="1"/>
  <c r="AL713" i="1" s="1"/>
  <c r="AL714" i="1" s="1"/>
  <c r="AL715" i="1" s="1"/>
  <c r="AL716" i="1" s="1"/>
  <c r="AL717" i="1" s="1"/>
  <c r="AL718" i="1" s="1"/>
  <c r="AL719" i="1" s="1"/>
  <c r="AL720" i="1" s="1"/>
  <c r="AL721" i="1" s="1"/>
  <c r="AL722" i="1" s="1"/>
  <c r="AL723" i="1" s="1"/>
  <c r="AL724" i="1" s="1"/>
  <c r="AL725" i="1" s="1"/>
  <c r="AL726" i="1" s="1"/>
  <c r="AL727" i="1" s="1"/>
  <c r="AL728" i="1" s="1"/>
  <c r="AL729" i="1" s="1"/>
  <c r="AL730" i="1" s="1"/>
  <c r="AL731" i="1" s="1"/>
  <c r="AL732" i="1" s="1"/>
  <c r="AL733" i="1" s="1"/>
  <c r="AL734" i="1" s="1"/>
  <c r="AL735" i="1" s="1"/>
  <c r="AL736" i="1" s="1"/>
  <c r="AL737" i="1" s="1"/>
  <c r="AL738" i="1" s="1"/>
  <c r="AL739" i="1" s="1"/>
  <c r="AL740" i="1" s="1"/>
  <c r="AL741" i="1" s="1"/>
  <c r="AL742" i="1" s="1"/>
  <c r="AL743" i="1" s="1"/>
  <c r="AL744" i="1" s="1"/>
  <c r="AL745" i="1" s="1"/>
  <c r="AL746" i="1" s="1"/>
  <c r="AL747" i="1" s="1"/>
  <c r="AL748" i="1" s="1"/>
  <c r="AL749" i="1" s="1"/>
  <c r="AL750" i="1" s="1"/>
  <c r="AL751" i="1" s="1"/>
  <c r="AL752" i="1" s="1"/>
  <c r="AL753" i="1" s="1"/>
  <c r="AL754" i="1" s="1"/>
  <c r="AL755" i="1" s="1"/>
  <c r="AL756" i="1" s="1"/>
  <c r="AL757" i="1" s="1"/>
  <c r="AL758" i="1" s="1"/>
  <c r="AL759" i="1" s="1"/>
  <c r="AL760" i="1" s="1"/>
  <c r="AL761" i="1" s="1"/>
  <c r="AL762" i="1" s="1"/>
  <c r="AL763" i="1" s="1"/>
  <c r="AL764" i="1" s="1"/>
  <c r="AL765" i="1" s="1"/>
  <c r="AL766" i="1" s="1"/>
  <c r="AL767" i="1" s="1"/>
  <c r="AL768" i="1" s="1"/>
  <c r="AL769" i="1" s="1"/>
  <c r="AL770" i="1" s="1"/>
  <c r="AL771" i="1" s="1"/>
  <c r="AL772" i="1" s="1"/>
  <c r="AL773" i="1" s="1"/>
  <c r="AL774" i="1" s="1"/>
  <c r="AL775" i="1" s="1"/>
  <c r="AL776" i="1" s="1"/>
  <c r="AL777" i="1" s="1"/>
  <c r="AL778" i="1" s="1"/>
  <c r="AL779" i="1" s="1"/>
  <c r="AL780" i="1" s="1"/>
  <c r="AL781" i="1" s="1"/>
  <c r="AL782" i="1" s="1"/>
  <c r="AL783" i="1" s="1"/>
  <c r="AL784" i="1" s="1"/>
  <c r="AL785" i="1" s="1"/>
  <c r="AL786" i="1" s="1"/>
  <c r="AL787" i="1" s="1"/>
  <c r="AL788" i="1" s="1"/>
  <c r="AL789" i="1" s="1"/>
  <c r="AL790" i="1" s="1"/>
  <c r="AL791" i="1" s="1"/>
  <c r="AL792" i="1" s="1"/>
  <c r="AL793" i="1" s="1"/>
  <c r="AL794" i="1" s="1"/>
  <c r="AL795" i="1" s="1"/>
  <c r="AL796" i="1" s="1"/>
  <c r="AL797" i="1" s="1"/>
  <c r="AL798" i="1" s="1"/>
  <c r="AL799" i="1" s="1"/>
  <c r="AL800" i="1" s="1"/>
  <c r="AL801" i="1" s="1"/>
  <c r="AL802" i="1" s="1"/>
  <c r="AL803" i="1" s="1"/>
  <c r="AL804" i="1" s="1"/>
  <c r="AL805" i="1" s="1"/>
  <c r="AL806" i="1" s="1"/>
  <c r="AL807" i="1" s="1"/>
  <c r="AL808" i="1" s="1"/>
  <c r="AL809" i="1" s="1"/>
  <c r="AL810" i="1" s="1"/>
  <c r="AL811" i="1" s="1"/>
  <c r="AL812" i="1" s="1"/>
  <c r="AL813" i="1" s="1"/>
  <c r="AL814" i="1" s="1"/>
  <c r="AL815" i="1" s="1"/>
  <c r="AL816" i="1" s="1"/>
  <c r="AL817" i="1" s="1"/>
  <c r="AL818" i="1" s="1"/>
  <c r="AL819" i="1" s="1"/>
  <c r="AL820" i="1" s="1"/>
  <c r="AL821" i="1" s="1"/>
  <c r="AL822" i="1" s="1"/>
  <c r="AL823" i="1" s="1"/>
  <c r="AL824" i="1" s="1"/>
  <c r="AL825" i="1" s="1"/>
  <c r="AL826" i="1" s="1"/>
  <c r="AL827" i="1" s="1"/>
  <c r="AL828" i="1" s="1"/>
  <c r="AL829" i="1" s="1"/>
  <c r="AL830" i="1" s="1"/>
  <c r="AL831" i="1" s="1"/>
  <c r="AL832" i="1" s="1"/>
  <c r="AL833" i="1" s="1"/>
  <c r="AL834" i="1" s="1"/>
  <c r="AL835" i="1" s="1"/>
  <c r="AL836" i="1" s="1"/>
  <c r="AL837" i="1" s="1"/>
  <c r="AL838" i="1" s="1"/>
  <c r="AL839" i="1" s="1"/>
  <c r="AL840" i="1" s="1"/>
  <c r="AL841" i="1" s="1"/>
  <c r="AL842" i="1" s="1"/>
  <c r="AL843" i="1" s="1"/>
  <c r="AL844" i="1" s="1"/>
  <c r="AL845" i="1" s="1"/>
  <c r="AL846" i="1" s="1"/>
  <c r="AL847" i="1" s="1"/>
  <c r="AL848" i="1" s="1"/>
  <c r="AL849" i="1" s="1"/>
  <c r="AL850" i="1" s="1"/>
  <c r="AL851" i="1" s="1"/>
  <c r="AL852" i="1" s="1"/>
  <c r="AL853" i="1" s="1"/>
  <c r="AL854" i="1" s="1"/>
  <c r="AL855" i="1" s="1"/>
  <c r="AL856" i="1" s="1"/>
  <c r="AL857" i="1" s="1"/>
  <c r="AL858" i="1" s="1"/>
  <c r="AL859" i="1" s="1"/>
  <c r="AL860" i="1" s="1"/>
  <c r="AL861" i="1" s="1"/>
  <c r="AL862" i="1" s="1"/>
  <c r="AL863" i="1" s="1"/>
  <c r="AL864" i="1" s="1"/>
  <c r="AL865" i="1" s="1"/>
  <c r="AL866" i="1" s="1"/>
  <c r="AL867" i="1" s="1"/>
  <c r="AL868" i="1" s="1"/>
  <c r="AL869" i="1" s="1"/>
  <c r="AL870" i="1" s="1"/>
  <c r="AL871" i="1" s="1"/>
  <c r="AL872" i="1" s="1"/>
  <c r="AL873" i="1" s="1"/>
  <c r="AL874" i="1" s="1"/>
  <c r="AL875" i="1" s="1"/>
  <c r="AL876" i="1" s="1"/>
  <c r="AL877" i="1" s="1"/>
  <c r="AL878" i="1" s="1"/>
  <c r="AL879" i="1" s="1"/>
  <c r="AL880" i="1" s="1"/>
  <c r="AL881" i="1" s="1"/>
  <c r="AL882" i="1" s="1"/>
  <c r="AL883" i="1" s="1"/>
  <c r="AL884" i="1" s="1"/>
  <c r="AL885" i="1" s="1"/>
  <c r="AL886" i="1" s="1"/>
  <c r="AL887" i="1" s="1"/>
  <c r="AL888" i="1" s="1"/>
  <c r="AL889" i="1" s="1"/>
  <c r="AL890" i="1" s="1"/>
  <c r="AL891" i="1" s="1"/>
  <c r="AL892" i="1" s="1"/>
  <c r="AL893" i="1" s="1"/>
  <c r="AL894" i="1" s="1"/>
  <c r="AL895" i="1" s="1"/>
  <c r="AL896" i="1" s="1"/>
  <c r="AL897" i="1" s="1"/>
  <c r="AL898" i="1" s="1"/>
  <c r="AL899" i="1" s="1"/>
  <c r="AL900" i="1" s="1"/>
  <c r="AL901" i="1" s="1"/>
  <c r="AL902" i="1" s="1"/>
  <c r="AL903" i="1" s="1"/>
  <c r="AL904" i="1" s="1"/>
  <c r="AL905" i="1" s="1"/>
  <c r="AL906" i="1" s="1"/>
  <c r="AL907" i="1" s="1"/>
  <c r="AL908" i="1" s="1"/>
  <c r="AL909" i="1" s="1"/>
  <c r="AL910" i="1" s="1"/>
  <c r="AL911" i="1" s="1"/>
  <c r="AL912" i="1" s="1"/>
  <c r="AL913" i="1" s="1"/>
  <c r="AL914" i="1" s="1"/>
  <c r="AL915" i="1" s="1"/>
  <c r="AL916" i="1" s="1"/>
  <c r="AL917" i="1" s="1"/>
  <c r="AL918" i="1" s="1"/>
  <c r="AL919" i="1" s="1"/>
  <c r="AL920" i="1" s="1"/>
  <c r="AL921" i="1" s="1"/>
  <c r="AL922" i="1" s="1"/>
  <c r="AL923" i="1" s="1"/>
  <c r="AL924" i="1" s="1"/>
  <c r="AL925" i="1" s="1"/>
  <c r="AL926" i="1" s="1"/>
  <c r="AL927" i="1" s="1"/>
  <c r="AL928" i="1" s="1"/>
  <c r="AL929" i="1" s="1"/>
  <c r="AL930" i="1" s="1"/>
  <c r="AL931" i="1" s="1"/>
  <c r="AL932" i="1" s="1"/>
  <c r="AL933" i="1" s="1"/>
  <c r="AL934" i="1" s="1"/>
  <c r="AL935" i="1" s="1"/>
  <c r="AL936" i="1" s="1"/>
  <c r="AL937" i="1" s="1"/>
  <c r="AL938" i="1" s="1"/>
  <c r="AL939" i="1" s="1"/>
  <c r="AL940" i="1" s="1"/>
  <c r="AL941" i="1" s="1"/>
  <c r="AL942" i="1" s="1"/>
  <c r="AL943" i="1" s="1"/>
  <c r="AL944" i="1" s="1"/>
  <c r="AL945" i="1" s="1"/>
  <c r="AL946" i="1" s="1"/>
  <c r="AL947" i="1" s="1"/>
  <c r="AL948" i="1" s="1"/>
  <c r="AL949" i="1" s="1"/>
  <c r="AL950" i="1" s="1"/>
  <c r="AL951" i="1" s="1"/>
  <c r="AL952" i="1" s="1"/>
  <c r="AL953" i="1" s="1"/>
  <c r="AL954" i="1" s="1"/>
  <c r="AL955" i="1" s="1"/>
  <c r="AL956" i="1" s="1"/>
  <c r="AL957" i="1" s="1"/>
  <c r="AL958" i="1" s="1"/>
  <c r="AL959" i="1" s="1"/>
  <c r="AL960" i="1" s="1"/>
  <c r="AL961" i="1" s="1"/>
  <c r="AL962" i="1" s="1"/>
  <c r="AL963" i="1" s="1"/>
  <c r="AL964" i="1" s="1"/>
  <c r="AL965" i="1" s="1"/>
  <c r="AL966" i="1" s="1"/>
  <c r="AL967" i="1" s="1"/>
  <c r="AL968" i="1" s="1"/>
  <c r="AL969" i="1" s="1"/>
  <c r="AL970" i="1" s="1"/>
  <c r="AL971" i="1" s="1"/>
  <c r="AL972" i="1" s="1"/>
  <c r="AL973" i="1" s="1"/>
  <c r="AL974" i="1" s="1"/>
  <c r="AL975" i="1" s="1"/>
  <c r="AL976" i="1" s="1"/>
  <c r="AL977" i="1" s="1"/>
  <c r="AL978" i="1" s="1"/>
  <c r="AL979" i="1" s="1"/>
  <c r="AL980" i="1" s="1"/>
  <c r="AL981" i="1" s="1"/>
  <c r="AL982" i="1" s="1"/>
  <c r="AL983" i="1" s="1"/>
  <c r="AL984" i="1" s="1"/>
  <c r="AL985" i="1" s="1"/>
  <c r="AL986" i="1" s="1"/>
  <c r="AL987" i="1" s="1"/>
  <c r="AL988" i="1" s="1"/>
  <c r="AL989" i="1" s="1"/>
  <c r="AL990" i="1" s="1"/>
  <c r="AL991" i="1" s="1"/>
  <c r="AL992" i="1" s="1"/>
  <c r="AL993" i="1" s="1"/>
  <c r="AL994" i="1" s="1"/>
  <c r="AL995" i="1" s="1"/>
  <c r="AL996" i="1" s="1"/>
  <c r="AL997" i="1" s="1"/>
  <c r="AL998" i="1" s="1"/>
  <c r="AL999" i="1" s="1"/>
  <c r="AL1000" i="1" s="1"/>
  <c r="AL1001" i="1" s="1"/>
  <c r="AL1002" i="1" s="1"/>
  <c r="AL1003" i="1" s="1"/>
  <c r="AL1004" i="1" s="1"/>
  <c r="AL1005" i="1" s="1"/>
  <c r="AL1006" i="1" s="1"/>
  <c r="AL1007" i="1" s="1"/>
  <c r="AL1008" i="1" s="1"/>
  <c r="AL1009" i="1" s="1"/>
  <c r="AL1010" i="1" s="1"/>
  <c r="AL1011" i="1" s="1"/>
  <c r="AL1012" i="1" s="1"/>
  <c r="AL1013" i="1" s="1"/>
  <c r="AL1014" i="1" s="1"/>
  <c r="AL1015" i="1" s="1"/>
  <c r="AL1016" i="1" s="1"/>
  <c r="AL1017" i="1" s="1"/>
  <c r="AL1018" i="1" s="1"/>
  <c r="AL1019" i="1" s="1"/>
  <c r="AL1020" i="1" s="1"/>
  <c r="AL1021" i="1" s="1"/>
  <c r="AL1022" i="1" s="1"/>
  <c r="AL1023" i="1" s="1"/>
  <c r="AL1024" i="1" s="1"/>
  <c r="AL1025" i="1" s="1"/>
  <c r="AL1026" i="1" s="1"/>
  <c r="AL1027" i="1" s="1"/>
  <c r="AL1028" i="1" s="1"/>
  <c r="AL1029" i="1" s="1"/>
  <c r="AL1030" i="1" s="1"/>
  <c r="AL1031" i="1" s="1"/>
  <c r="AL1032" i="1" s="1"/>
  <c r="AL1033" i="1" s="1"/>
  <c r="AL1034" i="1" s="1"/>
  <c r="AL1035" i="1" s="1"/>
  <c r="AL1036" i="1" s="1"/>
  <c r="AL1037" i="1" s="1"/>
  <c r="AL1038" i="1" s="1"/>
  <c r="AL1039" i="1" s="1"/>
  <c r="AL1040" i="1" s="1"/>
  <c r="AL1041" i="1" s="1"/>
  <c r="AL1042" i="1" s="1"/>
  <c r="AL1043" i="1" s="1"/>
  <c r="AL1044" i="1" s="1"/>
  <c r="AL1045" i="1" s="1"/>
  <c r="AL1046" i="1" s="1"/>
  <c r="AL1047" i="1" s="1"/>
  <c r="AL1048" i="1" s="1"/>
  <c r="AL1049" i="1" s="1"/>
  <c r="AL1050" i="1" s="1"/>
  <c r="AL1051" i="1" s="1"/>
  <c r="AL1052" i="1" s="1"/>
  <c r="AL1053" i="1" s="1"/>
  <c r="AL1054" i="1" s="1"/>
  <c r="AL1055" i="1" s="1"/>
  <c r="AL1056" i="1" s="1"/>
  <c r="AL1057" i="1" s="1"/>
  <c r="AL1058" i="1" s="1"/>
  <c r="AL1059" i="1" s="1"/>
  <c r="AL1060" i="1" s="1"/>
  <c r="AL1061" i="1" s="1"/>
  <c r="AL1062" i="1" s="1"/>
  <c r="AL1063" i="1" s="1"/>
  <c r="AL1064" i="1" s="1"/>
  <c r="AL1065" i="1" s="1"/>
  <c r="AL1066" i="1" s="1"/>
  <c r="AL1067" i="1" s="1"/>
  <c r="AL1068" i="1" s="1"/>
  <c r="AL1069" i="1" s="1"/>
  <c r="AL1070" i="1" s="1"/>
  <c r="AL1071" i="1" s="1"/>
  <c r="AL1072" i="1" s="1"/>
  <c r="AL1073" i="1" s="1"/>
  <c r="AL1074" i="1" s="1"/>
  <c r="AL1075" i="1" s="1"/>
  <c r="AL1076" i="1" s="1"/>
  <c r="AL1077" i="1" s="1"/>
  <c r="AL1078" i="1" s="1"/>
  <c r="AL1079" i="1" s="1"/>
  <c r="AL1080" i="1" s="1"/>
  <c r="AL1081" i="1" s="1"/>
  <c r="AL1082" i="1" s="1"/>
  <c r="AL1083" i="1" s="1"/>
  <c r="AL1084" i="1" s="1"/>
  <c r="AL1085" i="1" s="1"/>
  <c r="AL1086" i="1" s="1"/>
  <c r="AL1087" i="1" s="1"/>
  <c r="AL1088" i="1" s="1"/>
  <c r="AL1089" i="1" s="1"/>
  <c r="AL1090" i="1" s="1"/>
  <c r="AL1091" i="1" s="1"/>
  <c r="AL1092" i="1" s="1"/>
  <c r="AL1093" i="1" s="1"/>
  <c r="AL1094" i="1" s="1"/>
  <c r="AL1095" i="1" s="1"/>
  <c r="AL1096" i="1" s="1"/>
  <c r="AL1097" i="1" s="1"/>
  <c r="AL1098" i="1" s="1"/>
  <c r="AL1099" i="1" s="1"/>
  <c r="AL1100" i="1" s="1"/>
  <c r="AL1101" i="1" s="1"/>
  <c r="AL1102" i="1" s="1"/>
  <c r="AL1103" i="1" s="1"/>
  <c r="AL1104" i="1" s="1"/>
  <c r="AL1105" i="1" s="1"/>
  <c r="AL1106" i="1" s="1"/>
  <c r="AL1107" i="1" s="1"/>
  <c r="AL1108" i="1" s="1"/>
  <c r="AL1109" i="1" s="1"/>
  <c r="AL1110" i="1" s="1"/>
  <c r="AL1111" i="1" s="1"/>
  <c r="AL1112" i="1" s="1"/>
  <c r="AL1113" i="1" s="1"/>
  <c r="AL1114" i="1" s="1"/>
  <c r="AL1115" i="1" s="1"/>
  <c r="AL1116" i="1" s="1"/>
  <c r="AL1117" i="1" s="1"/>
  <c r="AL1118" i="1" s="1"/>
  <c r="AL1119" i="1" s="1"/>
  <c r="AL1120" i="1" s="1"/>
  <c r="AL1121" i="1" s="1"/>
  <c r="AL1122" i="1" s="1"/>
  <c r="AL1123" i="1" s="1"/>
  <c r="AL1124" i="1" s="1"/>
  <c r="AL1125" i="1" s="1"/>
  <c r="AL1126" i="1" s="1"/>
  <c r="AL1127" i="1" s="1"/>
  <c r="AL1128" i="1" s="1"/>
  <c r="AL1129" i="1" s="1"/>
  <c r="AL1130" i="1" s="1"/>
  <c r="AL1131" i="1" s="1"/>
  <c r="AL1132" i="1" s="1"/>
  <c r="AL1133" i="1" s="1"/>
  <c r="AL1134" i="1" s="1"/>
  <c r="AL1135" i="1" s="1"/>
  <c r="AL1136" i="1" s="1"/>
  <c r="AL1137" i="1" s="1"/>
  <c r="AL1138" i="1" s="1"/>
  <c r="AL1139" i="1" s="1"/>
  <c r="AL1140" i="1" s="1"/>
  <c r="AL1141" i="1" s="1"/>
  <c r="AL1142" i="1" s="1"/>
  <c r="AL1143" i="1" s="1"/>
  <c r="AL1144" i="1" s="1"/>
  <c r="AL1145" i="1" s="1"/>
  <c r="AL1146" i="1" s="1"/>
  <c r="AL1147" i="1" s="1"/>
  <c r="AL1148" i="1" s="1"/>
  <c r="AL1149" i="1" s="1"/>
  <c r="AL1150" i="1" s="1"/>
  <c r="AL1151" i="1" s="1"/>
  <c r="AL1152" i="1" s="1"/>
  <c r="AL1153" i="1" s="1"/>
  <c r="AL1154" i="1" s="1"/>
  <c r="AL1155" i="1" s="1"/>
  <c r="AL1156" i="1" s="1"/>
  <c r="AL1157" i="1" s="1"/>
  <c r="AL1158" i="1" s="1"/>
  <c r="AL1159" i="1" s="1"/>
  <c r="AL1160" i="1" s="1"/>
  <c r="AL1161" i="1" s="1"/>
  <c r="AL1162" i="1" s="1"/>
  <c r="AL1163" i="1" s="1"/>
  <c r="AL1164" i="1" s="1"/>
  <c r="AL1165" i="1" s="1"/>
  <c r="AL1166" i="1" s="1"/>
  <c r="AL1167" i="1" s="1"/>
  <c r="AL1168" i="1" s="1"/>
  <c r="AL1169" i="1" s="1"/>
  <c r="AL1170" i="1" s="1"/>
  <c r="AL1171" i="1" s="1"/>
  <c r="AL1172" i="1" s="1"/>
  <c r="AL1173" i="1" s="1"/>
  <c r="AL1174" i="1" s="1"/>
  <c r="AL1175" i="1" s="1"/>
  <c r="AL1176" i="1" s="1"/>
  <c r="AL1177" i="1" s="1"/>
  <c r="AL1178" i="1" s="1"/>
  <c r="AL1179" i="1" s="1"/>
  <c r="AL1180" i="1" s="1"/>
  <c r="AL1181" i="1" s="1"/>
  <c r="AL1182" i="1" s="1"/>
  <c r="AL1183" i="1" s="1"/>
  <c r="AL1184" i="1" s="1"/>
  <c r="AL1185" i="1" s="1"/>
  <c r="AL1186" i="1" s="1"/>
  <c r="AL1187" i="1" s="1"/>
  <c r="AL1188" i="1" s="1"/>
  <c r="AL1189" i="1" s="1"/>
  <c r="AL1190" i="1" s="1"/>
  <c r="AL1191" i="1" s="1"/>
  <c r="AL1192" i="1" s="1"/>
  <c r="AL1193" i="1" s="1"/>
  <c r="AL1194" i="1" s="1"/>
  <c r="AL1195" i="1" s="1"/>
  <c r="AL1196" i="1" s="1"/>
  <c r="AL1197" i="1" s="1"/>
  <c r="AL1198" i="1" s="1"/>
  <c r="AL1199" i="1" s="1"/>
  <c r="AL1200" i="1" s="1"/>
  <c r="AL1201" i="1" s="1"/>
  <c r="AL1202" i="1" s="1"/>
  <c r="AL1203" i="1" s="1"/>
  <c r="AL1204" i="1" s="1"/>
  <c r="AL1205" i="1" s="1"/>
  <c r="AL1206" i="1" s="1"/>
  <c r="AL1207" i="1" s="1"/>
  <c r="AL1208" i="1" s="1"/>
  <c r="AL1209" i="1" s="1"/>
  <c r="AL1210" i="1" s="1"/>
  <c r="AL1211" i="1" s="1"/>
  <c r="AL1212" i="1" s="1"/>
  <c r="AL1213" i="1" s="1"/>
  <c r="AL1214" i="1" s="1"/>
  <c r="AL1215" i="1" s="1"/>
  <c r="AL1216" i="1" s="1"/>
  <c r="AL1217" i="1" s="1"/>
  <c r="AL1218" i="1" s="1"/>
  <c r="AL1219" i="1" s="1"/>
  <c r="AL1220" i="1" s="1"/>
  <c r="AL1221" i="1" s="1"/>
  <c r="AL1222" i="1" s="1"/>
  <c r="AL1223" i="1" s="1"/>
  <c r="AL1224" i="1" s="1"/>
  <c r="AL1225" i="1" s="1"/>
  <c r="AL1226" i="1" s="1"/>
  <c r="AL1227" i="1" s="1"/>
  <c r="AL1228" i="1" s="1"/>
  <c r="AL1229" i="1" s="1"/>
  <c r="AL1230" i="1" s="1"/>
  <c r="AL1231" i="1" s="1"/>
  <c r="AL1232" i="1" s="1"/>
  <c r="AL1233" i="1" s="1"/>
  <c r="AL1234" i="1" s="1"/>
  <c r="AL1235" i="1" s="1"/>
  <c r="AL1236" i="1" s="1"/>
  <c r="AL1237" i="1" s="1"/>
  <c r="AL1238" i="1" s="1"/>
  <c r="AL1239" i="1" s="1"/>
  <c r="AL1240" i="1" s="1"/>
  <c r="AL1241" i="1" s="1"/>
  <c r="AL1242" i="1" s="1"/>
  <c r="AL1243" i="1" s="1"/>
  <c r="AL1244" i="1" s="1"/>
  <c r="AL1245" i="1" s="1"/>
  <c r="AL1246" i="1" s="1"/>
  <c r="AL1247" i="1" s="1"/>
  <c r="AL1248" i="1" s="1"/>
  <c r="AL1249" i="1" s="1"/>
  <c r="AL1250" i="1" s="1"/>
  <c r="AL1251" i="1" s="1"/>
  <c r="AL1252" i="1" s="1"/>
  <c r="AL1253" i="1" s="1"/>
  <c r="AL1254" i="1" s="1"/>
  <c r="AL1255" i="1" s="1"/>
  <c r="AL1256" i="1" s="1"/>
  <c r="AL1257" i="1" s="1"/>
  <c r="AL1258" i="1" s="1"/>
  <c r="AL1259" i="1" s="1"/>
  <c r="AL1260" i="1" s="1"/>
  <c r="AL1261" i="1" s="1"/>
  <c r="AL1262" i="1" s="1"/>
  <c r="AL1263" i="1" s="1"/>
  <c r="AL1264" i="1" s="1"/>
  <c r="AL1265" i="1" s="1"/>
  <c r="AL1266" i="1" s="1"/>
  <c r="AL1267" i="1" s="1"/>
  <c r="AL1268" i="1" s="1"/>
  <c r="AL1269" i="1" s="1"/>
  <c r="AL1270" i="1" s="1"/>
  <c r="AL1271" i="1" s="1"/>
  <c r="AL1272" i="1" s="1"/>
  <c r="AL1273" i="1" s="1"/>
  <c r="AL1274" i="1" s="1"/>
  <c r="AL1275" i="1" s="1"/>
  <c r="AL1276" i="1" s="1"/>
  <c r="AL1277" i="1" s="1"/>
  <c r="AL1278" i="1" s="1"/>
  <c r="AL1279" i="1" s="1"/>
  <c r="AL1280" i="1" s="1"/>
  <c r="AL1281" i="1" s="1"/>
  <c r="AL1282" i="1" s="1"/>
  <c r="AL1283" i="1" s="1"/>
  <c r="AL1284" i="1" s="1"/>
  <c r="AL1285" i="1" s="1"/>
  <c r="AL1286" i="1" s="1"/>
  <c r="AL1287" i="1" s="1"/>
  <c r="AL1288" i="1" s="1"/>
  <c r="AL1289" i="1" s="1"/>
  <c r="AL1290" i="1" s="1"/>
  <c r="AL1291" i="1" s="1"/>
  <c r="AL1292" i="1" s="1"/>
  <c r="AL1293" i="1" s="1"/>
  <c r="AL1294" i="1" s="1"/>
  <c r="AL1295" i="1" s="1"/>
  <c r="AL1296" i="1" s="1"/>
  <c r="AL1297" i="1" s="1"/>
  <c r="AL1298" i="1" s="1"/>
  <c r="AL1299" i="1" s="1"/>
  <c r="AL1300" i="1" s="1"/>
  <c r="AL1301" i="1" s="1"/>
  <c r="AL1302" i="1" s="1"/>
  <c r="AL1303" i="1" s="1"/>
  <c r="AL1304" i="1" s="1"/>
  <c r="AL1305" i="1" s="1"/>
  <c r="AL1306" i="1" s="1"/>
  <c r="AL1307" i="1" s="1"/>
  <c r="AL1308" i="1" s="1"/>
  <c r="AL1309" i="1" s="1"/>
  <c r="AL1310" i="1" s="1"/>
  <c r="AL1311" i="1" s="1"/>
  <c r="AL1312" i="1" s="1"/>
  <c r="AL1313" i="1" s="1"/>
  <c r="AL1314" i="1" s="1"/>
  <c r="AL1315" i="1" s="1"/>
  <c r="AL1316" i="1" s="1"/>
  <c r="AL1317" i="1" s="1"/>
  <c r="AL1318" i="1" s="1"/>
  <c r="AL1319" i="1" s="1"/>
  <c r="AL1320" i="1" s="1"/>
  <c r="AL1321" i="1" s="1"/>
  <c r="AL1322" i="1" s="1"/>
  <c r="AL1323" i="1" s="1"/>
  <c r="AL1324" i="1" s="1"/>
  <c r="AL1325" i="1" s="1"/>
  <c r="AL1326" i="1" s="1"/>
  <c r="AL1327" i="1" s="1"/>
  <c r="AL1328" i="1" s="1"/>
  <c r="AL1329" i="1" s="1"/>
  <c r="AL1330" i="1" s="1"/>
  <c r="AL1331" i="1" s="1"/>
  <c r="AL1332" i="1" s="1"/>
  <c r="AL1333" i="1" s="1"/>
  <c r="AL1334" i="1" s="1"/>
  <c r="AL1335" i="1" s="1"/>
  <c r="AL1336" i="1" s="1"/>
  <c r="AL1337" i="1" s="1"/>
  <c r="AL1338" i="1" s="1"/>
  <c r="AL1339" i="1" s="1"/>
  <c r="AL1340" i="1" s="1"/>
  <c r="AL1341" i="1" s="1"/>
  <c r="AL1342" i="1" s="1"/>
  <c r="AL1343" i="1" s="1"/>
  <c r="AL1344" i="1" s="1"/>
  <c r="AL1345" i="1" s="1"/>
  <c r="AL1346" i="1" s="1"/>
  <c r="AL1347" i="1" s="1"/>
  <c r="AL1348" i="1" s="1"/>
  <c r="AL1349" i="1" s="1"/>
  <c r="AL1350" i="1" s="1"/>
  <c r="AL1351" i="1" s="1"/>
  <c r="AL1352" i="1" s="1"/>
  <c r="AL1353" i="1" s="1"/>
  <c r="AL1354" i="1" s="1"/>
  <c r="AL1355" i="1" s="1"/>
  <c r="AL1356" i="1" s="1"/>
  <c r="AL1357" i="1" s="1"/>
  <c r="AL1358" i="1" s="1"/>
  <c r="AL1359" i="1" s="1"/>
  <c r="AL1360" i="1" s="1"/>
  <c r="AL1361" i="1" s="1"/>
  <c r="AL1362" i="1" s="1"/>
  <c r="AL1363" i="1" s="1"/>
  <c r="AL1364" i="1" s="1"/>
  <c r="AL1365" i="1" s="1"/>
  <c r="AL1366" i="1" s="1"/>
  <c r="AL1367" i="1" s="1"/>
  <c r="AL1368" i="1" s="1"/>
  <c r="AL1369" i="1" s="1"/>
  <c r="AL1370" i="1" s="1"/>
  <c r="AL1371" i="1" s="1"/>
  <c r="AL1372" i="1" s="1"/>
  <c r="AL1373" i="1" s="1"/>
  <c r="AL1374" i="1" s="1"/>
  <c r="AL1375" i="1" s="1"/>
  <c r="AL1376" i="1" s="1"/>
  <c r="AL1377" i="1" s="1"/>
  <c r="AL1378" i="1" s="1"/>
  <c r="AL1379" i="1" s="1"/>
  <c r="AL1380" i="1" s="1"/>
  <c r="AL1381" i="1" s="1"/>
  <c r="AL1382" i="1" s="1"/>
  <c r="AL1383" i="1" s="1"/>
  <c r="AL1384" i="1" s="1"/>
  <c r="AL1385" i="1" s="1"/>
  <c r="AL1386" i="1" s="1"/>
  <c r="AL1387" i="1" s="1"/>
  <c r="AL1388" i="1" s="1"/>
  <c r="AL1389" i="1" s="1"/>
  <c r="AL1390" i="1" s="1"/>
  <c r="AL1391" i="1" s="1"/>
  <c r="AL1392" i="1" s="1"/>
  <c r="AL1393" i="1" s="1"/>
  <c r="AL1394" i="1" s="1"/>
  <c r="AL1395" i="1" s="1"/>
  <c r="AL1396" i="1" s="1"/>
  <c r="AL1397" i="1" s="1"/>
  <c r="AL1398" i="1" s="1"/>
  <c r="AL1399" i="1" s="1"/>
  <c r="AL1400" i="1" s="1"/>
  <c r="AL1401" i="1" s="1"/>
  <c r="AL1402" i="1" s="1"/>
  <c r="AL1403" i="1" s="1"/>
  <c r="AL1404" i="1" s="1"/>
  <c r="AL1405" i="1" s="1"/>
  <c r="AL1406" i="1" s="1"/>
  <c r="AL1407" i="1" s="1"/>
  <c r="AL1408" i="1" s="1"/>
  <c r="AL1409" i="1" s="1"/>
  <c r="AL1410" i="1" s="1"/>
  <c r="AL1411" i="1" s="1"/>
  <c r="AL1412" i="1" s="1"/>
  <c r="AL1413" i="1" s="1"/>
  <c r="AL1414" i="1" s="1"/>
  <c r="AL1415" i="1" s="1"/>
  <c r="AL1416" i="1" s="1"/>
  <c r="AL1417" i="1" s="1"/>
  <c r="AL1418" i="1" s="1"/>
  <c r="AL1419" i="1" s="1"/>
  <c r="AL1420" i="1" s="1"/>
  <c r="AL1421" i="1" s="1"/>
  <c r="AL1422" i="1" s="1"/>
  <c r="AL1423" i="1" s="1"/>
  <c r="AL1424" i="1" s="1"/>
  <c r="AL1425" i="1" s="1"/>
  <c r="AL1426" i="1" s="1"/>
  <c r="AL1427" i="1" s="1"/>
  <c r="AL1428" i="1" s="1"/>
  <c r="AL1429" i="1" s="1"/>
  <c r="AL1430" i="1" s="1"/>
  <c r="AL1431" i="1" s="1"/>
  <c r="AL1432" i="1" s="1"/>
  <c r="AL1433" i="1" s="1"/>
  <c r="AL1434" i="1" s="1"/>
  <c r="AL1435" i="1" s="1"/>
  <c r="AL1436" i="1" s="1"/>
  <c r="AL1437" i="1" s="1"/>
  <c r="AL1438" i="1" s="1"/>
  <c r="AL1439" i="1" s="1"/>
  <c r="AL1440" i="1" s="1"/>
  <c r="AL1441" i="1" s="1"/>
  <c r="AL1442" i="1" s="1"/>
  <c r="AL1443" i="1" s="1"/>
  <c r="AL1444" i="1" s="1"/>
  <c r="AL1445" i="1" s="1"/>
  <c r="AL1446" i="1" s="1"/>
  <c r="AL1447" i="1" s="1"/>
  <c r="AL1448" i="1" s="1"/>
  <c r="AL1449" i="1" s="1"/>
  <c r="AL1450" i="1" s="1"/>
  <c r="AL1451" i="1" s="1"/>
  <c r="AL1452" i="1" s="1"/>
  <c r="AL1453" i="1" s="1"/>
  <c r="AL1454" i="1" s="1"/>
  <c r="AL1455" i="1" s="1"/>
  <c r="AL1456" i="1" s="1"/>
  <c r="AL1457" i="1" s="1"/>
  <c r="AL1458" i="1" s="1"/>
  <c r="AL1459" i="1" s="1"/>
  <c r="AL1460" i="1" s="1"/>
  <c r="AL1461" i="1" s="1"/>
  <c r="AL1462" i="1" s="1"/>
  <c r="AL1463" i="1" s="1"/>
  <c r="AL1464" i="1" s="1"/>
  <c r="AL1465" i="1" s="1"/>
  <c r="AL1466" i="1" s="1"/>
  <c r="AL1467" i="1" s="1"/>
  <c r="AL1468" i="1" s="1"/>
  <c r="AL1469" i="1" s="1"/>
  <c r="AL1470" i="1" s="1"/>
  <c r="AL1471" i="1" s="1"/>
  <c r="AL1472" i="1" s="1"/>
  <c r="AL1473" i="1" s="1"/>
  <c r="AL1474" i="1" s="1"/>
  <c r="AL1475" i="1" s="1"/>
  <c r="AL1476" i="1" s="1"/>
  <c r="AL1477" i="1" s="1"/>
  <c r="AL1478" i="1" s="1"/>
  <c r="AL1479" i="1" s="1"/>
  <c r="AL1480" i="1" s="1"/>
  <c r="AL1481" i="1" s="1"/>
  <c r="AL1482" i="1" s="1"/>
  <c r="AL1483" i="1" s="1"/>
  <c r="AL1484" i="1" s="1"/>
  <c r="AL1485" i="1" s="1"/>
  <c r="AL1486" i="1" s="1"/>
  <c r="AL1487" i="1" s="1"/>
  <c r="AL1488" i="1" s="1"/>
  <c r="AL1489" i="1" s="1"/>
  <c r="AL1490" i="1" s="1"/>
  <c r="AL1491" i="1" s="1"/>
  <c r="AL1492" i="1" s="1"/>
  <c r="AL1493" i="1" s="1"/>
  <c r="AL1494" i="1" s="1"/>
  <c r="AL1495" i="1" s="1"/>
  <c r="AL1496" i="1" s="1"/>
  <c r="AL1497" i="1" s="1"/>
  <c r="AL1498" i="1" s="1"/>
  <c r="AL1499" i="1" s="1"/>
  <c r="AL1500" i="1" s="1"/>
  <c r="AL1501" i="1" s="1"/>
  <c r="AL1502" i="1" s="1"/>
  <c r="AL1503" i="1" s="1"/>
  <c r="AL1504" i="1" s="1"/>
  <c r="AL1505" i="1" s="1"/>
  <c r="AL1506" i="1" s="1"/>
  <c r="AL1507" i="1" s="1"/>
  <c r="AL1508" i="1" s="1"/>
  <c r="AL1509" i="1" s="1"/>
  <c r="AL1510" i="1" s="1"/>
  <c r="AL1511" i="1" s="1"/>
  <c r="AL1512" i="1" s="1"/>
  <c r="AL1513" i="1" s="1"/>
  <c r="AL1514" i="1" s="1"/>
  <c r="AL1515" i="1" s="1"/>
  <c r="AL1516" i="1" s="1"/>
  <c r="AL1517" i="1" s="1"/>
  <c r="AL1518" i="1" s="1"/>
  <c r="AL1519" i="1" s="1"/>
  <c r="AL1520" i="1" s="1"/>
  <c r="AL1521" i="1" s="1"/>
  <c r="AL1522" i="1" s="1"/>
  <c r="AL1523" i="1" s="1"/>
  <c r="AL1524" i="1" s="1"/>
  <c r="AL1525" i="1" s="1"/>
  <c r="AL1526" i="1" s="1"/>
  <c r="AL1527" i="1" s="1"/>
  <c r="AL1528" i="1" s="1"/>
  <c r="AL1529" i="1" s="1"/>
  <c r="AL1530" i="1" s="1"/>
  <c r="AL1531" i="1" s="1"/>
  <c r="AL1532" i="1" s="1"/>
  <c r="AL1533" i="1" s="1"/>
  <c r="N34" i="1"/>
  <c r="K1563" i="1" s="1"/>
  <c r="L46" i="1"/>
  <c r="I78" i="1"/>
  <c r="J78" i="1" s="1"/>
  <c r="L81" i="1"/>
  <c r="M102" i="1"/>
  <c r="M58" i="1"/>
  <c r="L61" i="1"/>
  <c r="I112" i="1"/>
  <c r="J112" i="1" s="1"/>
  <c r="I47" i="1"/>
  <c r="J47" i="1" s="1"/>
  <c r="I48" i="1"/>
  <c r="J48" i="1" s="1"/>
  <c r="I72" i="1"/>
  <c r="J72" i="1" s="1"/>
  <c r="I75" i="1"/>
  <c r="J75" i="1" s="1"/>
  <c r="I53" i="1"/>
  <c r="J53" i="1" s="1"/>
  <c r="I94" i="1"/>
  <c r="J94" i="1" s="1"/>
  <c r="I49" i="1"/>
  <c r="J49" i="1" s="1"/>
  <c r="I115" i="1"/>
  <c r="J115" i="1" s="1"/>
  <c r="I116" i="1"/>
  <c r="J116" i="1" s="1"/>
  <c r="I73" i="1"/>
  <c r="J73" i="1" s="1"/>
  <c r="I54" i="1"/>
  <c r="J54" i="1" s="1"/>
  <c r="I51" i="1"/>
  <c r="J51" i="1" s="1"/>
  <c r="M61" i="1"/>
  <c r="N77" i="1"/>
  <c r="N82" i="1"/>
  <c r="N86" i="1"/>
  <c r="N102" i="1"/>
  <c r="I104" i="1"/>
  <c r="J104" i="1" s="1"/>
  <c r="I71" i="1"/>
  <c r="J71" i="1" s="1"/>
  <c r="I76" i="1"/>
  <c r="J76" i="1" s="1"/>
  <c r="J113" i="1"/>
  <c r="K133" i="1"/>
  <c r="H130" i="1"/>
  <c r="K45" i="1"/>
  <c r="N48" i="1"/>
  <c r="K81" i="1"/>
  <c r="I92" i="1"/>
  <c r="J92" i="1" s="1"/>
  <c r="K99" i="1"/>
  <c r="N104" i="1"/>
  <c r="I106" i="1"/>
  <c r="J106" i="1" s="1"/>
  <c r="M57" i="1"/>
  <c r="M62" i="1"/>
  <c r="I58" i="1"/>
  <c r="N62" i="1"/>
  <c r="M81" i="1"/>
  <c r="N117" i="1"/>
  <c r="N57" i="1"/>
  <c r="M53" i="1"/>
  <c r="K63" i="1"/>
  <c r="I70" i="1"/>
  <c r="J70" i="1" s="1"/>
  <c r="N81" i="1"/>
  <c r="M85" i="1"/>
  <c r="I89" i="1"/>
  <c r="J89" i="1" s="1"/>
  <c r="I63" i="1"/>
  <c r="J63" i="1" s="1"/>
  <c r="K53" i="1"/>
  <c r="I43" i="1"/>
  <c r="K80" i="1"/>
  <c r="I96" i="1"/>
  <c r="K101" i="1"/>
  <c r="K119" i="1"/>
  <c r="I109" i="1"/>
  <c r="J109" i="1" s="1"/>
  <c r="I111" i="1"/>
  <c r="J111" i="1" s="1"/>
  <c r="M76" i="1"/>
  <c r="K43" i="1"/>
  <c r="O43" i="1" s="1"/>
  <c r="AE43" i="1" s="1"/>
  <c r="AH43" i="1" s="1"/>
  <c r="K58" i="1"/>
  <c r="M63" i="1"/>
  <c r="M43" i="1"/>
  <c r="I46" i="1"/>
  <c r="J46" i="1" s="1"/>
  <c r="L58" i="1"/>
  <c r="N63" i="1"/>
  <c r="I64" i="1"/>
  <c r="J64" i="1" s="1"/>
  <c r="I69" i="1"/>
  <c r="J69" i="1" s="1"/>
  <c r="L75" i="1"/>
  <c r="L80" i="1"/>
  <c r="I84" i="1"/>
  <c r="J84" i="1" s="1"/>
  <c r="L101" i="1"/>
  <c r="L119" i="1"/>
  <c r="I103" i="1"/>
  <c r="J103" i="1" s="1"/>
  <c r="I108" i="1"/>
  <c r="J108" i="1" s="1"/>
  <c r="L54" i="1"/>
  <c r="N58" i="1"/>
  <c r="L64" i="1"/>
  <c r="I91" i="1"/>
  <c r="J91" i="1" s="1"/>
  <c r="N46" i="1"/>
  <c r="I55" i="1"/>
  <c r="J55" i="1" s="1"/>
  <c r="N64" i="1"/>
  <c r="I68" i="1"/>
  <c r="J68" i="1" s="1"/>
  <c r="I74" i="1"/>
  <c r="J74" i="1" s="1"/>
  <c r="N84" i="1"/>
  <c r="M103" i="1"/>
  <c r="I114" i="1"/>
  <c r="J114" i="1" s="1"/>
  <c r="K150" i="1"/>
  <c r="H147" i="1"/>
  <c r="K120" i="1"/>
  <c r="K121" i="1"/>
  <c r="L133" i="1"/>
  <c r="K102" i="1"/>
  <c r="K82" i="1"/>
  <c r="K62" i="1"/>
  <c r="K103" i="1"/>
  <c r="K104" i="1"/>
  <c r="K84" i="1"/>
  <c r="K64" i="1"/>
  <c r="K44" i="1"/>
  <c r="K105" i="1"/>
  <c r="K85" i="1"/>
  <c r="K65" i="1"/>
  <c r="K106" i="1"/>
  <c r="K86" i="1"/>
  <c r="K66" i="1"/>
  <c r="K46" i="1"/>
  <c r="K107" i="1"/>
  <c r="K87" i="1"/>
  <c r="K67" i="1"/>
  <c r="K47" i="1"/>
  <c r="K48" i="1"/>
  <c r="K108" i="1"/>
  <c r="K88" i="1"/>
  <c r="K68" i="1"/>
  <c r="K69" i="1"/>
  <c r="K109" i="1"/>
  <c r="K89" i="1"/>
  <c r="K49" i="1"/>
  <c r="K110" i="1"/>
  <c r="K90" i="1"/>
  <c r="K70" i="1"/>
  <c r="K50" i="1"/>
  <c r="K91" i="1"/>
  <c r="K71" i="1"/>
  <c r="K111" i="1"/>
  <c r="K112" i="1"/>
  <c r="K92" i="1"/>
  <c r="K72" i="1"/>
  <c r="K52" i="1"/>
  <c r="K113" i="1"/>
  <c r="K93" i="1"/>
  <c r="K73" i="1"/>
  <c r="K115" i="1"/>
  <c r="K95" i="1"/>
  <c r="K75" i="1"/>
  <c r="K122" i="1"/>
  <c r="K116" i="1"/>
  <c r="K96" i="1"/>
  <c r="K76" i="1"/>
  <c r="K117" i="1"/>
  <c r="K97" i="1"/>
  <c r="K118" i="1"/>
  <c r="K98" i="1"/>
  <c r="P43" i="1"/>
  <c r="N54" i="1"/>
  <c r="I110" i="1"/>
  <c r="J110" i="1" s="1"/>
  <c r="U1557" i="1"/>
  <c r="L121" i="1"/>
  <c r="L122" i="1"/>
  <c r="L103" i="1"/>
  <c r="L83" i="1"/>
  <c r="L63" i="1"/>
  <c r="L43" i="1"/>
  <c r="Q43" i="1" s="1"/>
  <c r="L120" i="1"/>
  <c r="L104" i="1"/>
  <c r="L105" i="1"/>
  <c r="L85" i="1"/>
  <c r="L65" i="1"/>
  <c r="L45" i="1"/>
  <c r="L106" i="1"/>
  <c r="L86" i="1"/>
  <c r="L66" i="1"/>
  <c r="L107" i="1"/>
  <c r="L87" i="1"/>
  <c r="L67" i="1"/>
  <c r="L47" i="1"/>
  <c r="L50" i="1"/>
  <c r="L108" i="1"/>
  <c r="L88" i="1"/>
  <c r="L68" i="1"/>
  <c r="L48" i="1"/>
  <c r="L109" i="1"/>
  <c r="L89" i="1"/>
  <c r="L69" i="1"/>
  <c r="L49" i="1"/>
  <c r="L70" i="1"/>
  <c r="L110" i="1"/>
  <c r="L90" i="1"/>
  <c r="L111" i="1"/>
  <c r="L91" i="1"/>
  <c r="L71" i="1"/>
  <c r="L51" i="1"/>
  <c r="L92" i="1"/>
  <c r="L72" i="1"/>
  <c r="L112" i="1"/>
  <c r="L113" i="1"/>
  <c r="L93" i="1"/>
  <c r="L73" i="1"/>
  <c r="L53" i="1"/>
  <c r="L114" i="1"/>
  <c r="L94" i="1"/>
  <c r="L74" i="1"/>
  <c r="L116" i="1"/>
  <c r="L96" i="1"/>
  <c r="L76" i="1"/>
  <c r="L117" i="1"/>
  <c r="L97" i="1"/>
  <c r="L77" i="1"/>
  <c r="L118" i="1"/>
  <c r="L98" i="1"/>
  <c r="L99" i="1"/>
  <c r="I44" i="1"/>
  <c r="J44" i="1" s="1"/>
  <c r="K59" i="1"/>
  <c r="K79" i="1"/>
  <c r="I83" i="1"/>
  <c r="J83" i="1" s="1"/>
  <c r="I88" i="1"/>
  <c r="J88" i="1" s="1"/>
  <c r="K55" i="1"/>
  <c r="I66" i="1"/>
  <c r="J66" i="1" s="1"/>
  <c r="K74" i="1"/>
  <c r="K114" i="1"/>
  <c r="M59" i="1"/>
  <c r="M79" i="1"/>
  <c r="K83" i="1"/>
  <c r="K100" i="1"/>
  <c r="U1601" i="1"/>
  <c r="M122" i="1"/>
  <c r="M120" i="1"/>
  <c r="M104" i="1"/>
  <c r="M84" i="1"/>
  <c r="M64" i="1"/>
  <c r="M44" i="1"/>
  <c r="M105" i="1"/>
  <c r="M106" i="1"/>
  <c r="M86" i="1"/>
  <c r="M66" i="1"/>
  <c r="M46" i="1"/>
  <c r="M107" i="1"/>
  <c r="M87" i="1"/>
  <c r="M67" i="1"/>
  <c r="M108" i="1"/>
  <c r="M88" i="1"/>
  <c r="M68" i="1"/>
  <c r="M48" i="1"/>
  <c r="M71" i="1"/>
  <c r="M121" i="1"/>
  <c r="M109" i="1"/>
  <c r="M89" i="1"/>
  <c r="M69" i="1"/>
  <c r="M49" i="1"/>
  <c r="M50" i="1"/>
  <c r="M51" i="1"/>
  <c r="M110" i="1"/>
  <c r="M90" i="1"/>
  <c r="M70" i="1"/>
  <c r="M111" i="1"/>
  <c r="M91" i="1"/>
  <c r="M112" i="1"/>
  <c r="M92" i="1"/>
  <c r="M72" i="1"/>
  <c r="M52" i="1"/>
  <c r="M93" i="1"/>
  <c r="M73" i="1"/>
  <c r="M113" i="1"/>
  <c r="M114" i="1"/>
  <c r="M94" i="1"/>
  <c r="M74" i="1"/>
  <c r="M54" i="1"/>
  <c r="M115" i="1"/>
  <c r="M95" i="1"/>
  <c r="M75" i="1"/>
  <c r="M117" i="1"/>
  <c r="M97" i="1"/>
  <c r="M77" i="1"/>
  <c r="M118" i="1"/>
  <c r="M98" i="1"/>
  <c r="M78" i="1"/>
  <c r="M99" i="1"/>
  <c r="M119" i="1"/>
  <c r="M100" i="1"/>
  <c r="U1642" i="1"/>
  <c r="N105" i="1"/>
  <c r="N85" i="1"/>
  <c r="N65" i="1"/>
  <c r="N45" i="1"/>
  <c r="N106" i="1"/>
  <c r="N107" i="1"/>
  <c r="N87" i="1"/>
  <c r="N67" i="1"/>
  <c r="N47" i="1"/>
  <c r="N108" i="1"/>
  <c r="N88" i="1"/>
  <c r="N68" i="1"/>
  <c r="N121" i="1"/>
  <c r="N109" i="1"/>
  <c r="N89" i="1"/>
  <c r="N69" i="1"/>
  <c r="N49" i="1"/>
  <c r="N52" i="1"/>
  <c r="N110" i="1"/>
  <c r="N90" i="1"/>
  <c r="N70" i="1"/>
  <c r="N50" i="1"/>
  <c r="N72" i="1"/>
  <c r="N111" i="1"/>
  <c r="N91" i="1"/>
  <c r="N71" i="1"/>
  <c r="N51" i="1"/>
  <c r="N112" i="1"/>
  <c r="N92" i="1"/>
  <c r="N113" i="1"/>
  <c r="N93" i="1"/>
  <c r="N73" i="1"/>
  <c r="N53" i="1"/>
  <c r="N94" i="1"/>
  <c r="N74" i="1"/>
  <c r="N114" i="1"/>
  <c r="N115" i="1"/>
  <c r="N95" i="1"/>
  <c r="N75" i="1"/>
  <c r="N55" i="1"/>
  <c r="N116" i="1"/>
  <c r="N96" i="1"/>
  <c r="N76" i="1"/>
  <c r="N122" i="1"/>
  <c r="N118" i="1"/>
  <c r="N98" i="1"/>
  <c r="N78" i="1"/>
  <c r="N99" i="1"/>
  <c r="N79" i="1"/>
  <c r="N119" i="1"/>
  <c r="N100" i="1"/>
  <c r="N80" i="1"/>
  <c r="N101" i="1"/>
  <c r="R1648" i="1"/>
  <c r="P1648" i="1"/>
  <c r="Q1648" i="1" s="1"/>
  <c r="N1648" i="1"/>
  <c r="O1648" i="1"/>
  <c r="M1648" i="1"/>
  <c r="I56" i="1"/>
  <c r="J56" i="1" s="1"/>
  <c r="N59" i="1"/>
  <c r="M65" i="1"/>
  <c r="K78" i="1"/>
  <c r="M83" i="1"/>
  <c r="L100" i="1"/>
  <c r="M55" i="1"/>
  <c r="K60" i="1"/>
  <c r="N66" i="1"/>
  <c r="W1694" i="1"/>
  <c r="Y1694" i="1"/>
  <c r="V1694" i="1"/>
  <c r="U43" i="1"/>
  <c r="N44" i="1"/>
  <c r="L60" i="1"/>
  <c r="L78" i="1"/>
  <c r="N83" i="1"/>
  <c r="I120" i="1"/>
  <c r="J120" i="1" s="1"/>
  <c r="R43" i="1"/>
  <c r="AF43" i="1" s="1"/>
  <c r="AJ43" i="1" s="1"/>
  <c r="K51" i="1"/>
  <c r="M60" i="1"/>
  <c r="I95" i="1"/>
  <c r="J95" i="1" s="1"/>
  <c r="I102" i="1"/>
  <c r="J102" i="1" s="1"/>
  <c r="I122" i="1"/>
  <c r="J122" i="1" s="1"/>
  <c r="M47" i="1"/>
  <c r="K56" i="1"/>
  <c r="I77" i="1"/>
  <c r="J77" i="1" s="1"/>
  <c r="J82" i="1"/>
  <c r="N120" i="1"/>
  <c r="L56" i="1"/>
  <c r="N60" i="1"/>
  <c r="M56" i="1"/>
  <c r="K61" i="1"/>
  <c r="L82" i="1"/>
  <c r="I86" i="1"/>
  <c r="J86" i="1" s="1"/>
  <c r="I90" i="1"/>
  <c r="J90" i="1" s="1"/>
  <c r="L95" i="1"/>
  <c r="I97" i="1"/>
  <c r="J97" i="1" s="1"/>
  <c r="L102" i="1"/>
  <c r="I87" i="1"/>
  <c r="J87" i="1" s="1"/>
  <c r="I107" i="1"/>
  <c r="J107" i="1" s="1"/>
  <c r="I121" i="1"/>
  <c r="J121" i="1" s="1"/>
  <c r="J67" i="1"/>
  <c r="I45" i="1"/>
  <c r="J45" i="1" s="1"/>
  <c r="I65" i="1"/>
  <c r="J65" i="1" s="1"/>
  <c r="I85" i="1"/>
  <c r="J85" i="1" s="1"/>
  <c r="I105" i="1"/>
  <c r="J105" i="1" s="1"/>
  <c r="H1536" i="1"/>
  <c r="K1539" i="1"/>
  <c r="J119" i="1"/>
  <c r="N35" i="1" l="1"/>
  <c r="K1607" i="1" s="1"/>
  <c r="H1560" i="1"/>
  <c r="K151" i="1"/>
  <c r="S43" i="1"/>
  <c r="J43" i="1"/>
  <c r="T43" i="1" s="1"/>
  <c r="J96" i="1"/>
  <c r="J58" i="1"/>
  <c r="AC43" i="1"/>
  <c r="W43" i="1"/>
  <c r="K1540" i="1"/>
  <c r="K1564" i="1"/>
  <c r="Y1642" i="1"/>
  <c r="V1642" i="1"/>
  <c r="W1642" i="1"/>
  <c r="P133" i="1"/>
  <c r="Q133" i="1" s="1"/>
  <c r="N133" i="1"/>
  <c r="M133" i="1"/>
  <c r="Y1557" i="1"/>
  <c r="V1557" i="1"/>
  <c r="W1557" i="1"/>
  <c r="W1601" i="1"/>
  <c r="V1601" i="1"/>
  <c r="Y1601" i="1"/>
  <c r="O133" i="1"/>
  <c r="R133" i="1"/>
  <c r="K134" i="1"/>
  <c r="H1604" i="1" l="1"/>
  <c r="V43" i="1"/>
  <c r="AD43" i="1"/>
  <c r="X43" i="1"/>
  <c r="AA43" i="1"/>
  <c r="AG43" i="1"/>
  <c r="AK43" i="1" s="1"/>
  <c r="K1541" i="1"/>
  <c r="K1608" i="1"/>
  <c r="K152" i="1"/>
  <c r="K1565" i="1"/>
  <c r="K135" i="1"/>
  <c r="K1566" i="1" l="1"/>
  <c r="K1609" i="1"/>
  <c r="K136" i="1"/>
  <c r="AO43" i="1"/>
  <c r="AM43" i="1"/>
  <c r="D44" i="1" s="1"/>
  <c r="K1542" i="1"/>
  <c r="AI43" i="1"/>
  <c r="AL43" i="1" s="1"/>
  <c r="AB43" i="1"/>
  <c r="K153" i="1"/>
  <c r="K154" i="1" l="1"/>
  <c r="U44" i="1"/>
  <c r="Q44" i="1"/>
  <c r="O44" i="1"/>
  <c r="AE44" i="1" s="1"/>
  <c r="AH44" i="1" s="1"/>
  <c r="K137" i="1"/>
  <c r="K1610" i="1"/>
  <c r="AP43" i="1"/>
  <c r="AN43" i="1"/>
  <c r="E44" i="1" s="1"/>
  <c r="R44" i="1" s="1"/>
  <c r="AF44" i="1" s="1"/>
  <c r="AJ44" i="1" s="1"/>
  <c r="K1543" i="1"/>
  <c r="K1567" i="1"/>
  <c r="K138" i="1" l="1"/>
  <c r="K1568" i="1"/>
  <c r="P44" i="1"/>
  <c r="V44" i="1"/>
  <c r="S44" i="1"/>
  <c r="T44" i="1"/>
  <c r="K155" i="1"/>
  <c r="K1544" i="1"/>
  <c r="K1611" i="1"/>
  <c r="AC44" i="1" l="1"/>
  <c r="W44" i="1"/>
  <c r="K1569" i="1"/>
  <c r="AD44" i="1"/>
  <c r="X44" i="1"/>
  <c r="K1612" i="1"/>
  <c r="K1545" i="1"/>
  <c r="K156" i="1"/>
  <c r="K139" i="1"/>
  <c r="K1613" i="1" l="1"/>
  <c r="K1546" i="1"/>
  <c r="AI44" i="1"/>
  <c r="AL44" i="1" s="1"/>
  <c r="AB44" i="1"/>
  <c r="K1570" i="1"/>
  <c r="K140" i="1"/>
  <c r="K157" i="1"/>
  <c r="AG44" i="1"/>
  <c r="AK44" i="1" s="1"/>
  <c r="AA44" i="1"/>
  <c r="AO44" i="1" l="1"/>
  <c r="AM44" i="1"/>
  <c r="D45" i="1" s="1"/>
  <c r="K158" i="1"/>
  <c r="K1547" i="1"/>
  <c r="AP44" i="1"/>
  <c r="AN44" i="1"/>
  <c r="E45" i="1" s="1"/>
  <c r="K141" i="1"/>
  <c r="K1614" i="1"/>
  <c r="K1615" i="1" l="1"/>
  <c r="K142" i="1"/>
  <c r="V45" i="1"/>
  <c r="P45" i="1"/>
  <c r="S45" i="1"/>
  <c r="T45" i="1"/>
  <c r="K159" i="1"/>
  <c r="K1548" i="1"/>
  <c r="U45" i="1"/>
  <c r="R45" i="1"/>
  <c r="AF45" i="1" s="1"/>
  <c r="AJ45" i="1" s="1"/>
  <c r="O45" i="1"/>
  <c r="AE45" i="1" s="1"/>
  <c r="AH45" i="1" s="1"/>
  <c r="Q45" i="1"/>
  <c r="AC45" i="1" l="1"/>
  <c r="W45" i="1"/>
  <c r="AD45" i="1"/>
  <c r="X45" i="1"/>
  <c r="K143" i="1"/>
  <c r="K1549" i="1"/>
  <c r="K1616" i="1"/>
  <c r="K160" i="1"/>
  <c r="K161" i="1" l="1"/>
  <c r="AI45" i="1"/>
  <c r="AL45" i="1" s="1"/>
  <c r="AB45" i="1"/>
  <c r="K1550" i="1"/>
  <c r="K144" i="1"/>
  <c r="AG45" i="1"/>
  <c r="AK45" i="1" s="1"/>
  <c r="AA45" i="1"/>
  <c r="AP45" i="1" l="1"/>
  <c r="AN45" i="1"/>
  <c r="E46" i="1" s="1"/>
  <c r="K162" i="1"/>
  <c r="AO45" i="1"/>
  <c r="AM45" i="1"/>
  <c r="D46" i="1" s="1"/>
  <c r="P31" i="1"/>
  <c r="K1551" i="1"/>
  <c r="K1552" i="1" l="1"/>
  <c r="U46" i="1"/>
  <c r="R46" i="1"/>
  <c r="AF46" i="1" s="1"/>
  <c r="AJ46" i="1" s="1"/>
  <c r="Q46" i="1"/>
  <c r="O46" i="1"/>
  <c r="AE46" i="1" s="1"/>
  <c r="AH46" i="1" s="1"/>
  <c r="K163" i="1"/>
  <c r="V46" i="1"/>
  <c r="P46" i="1"/>
  <c r="S46" i="1"/>
  <c r="T46" i="1"/>
  <c r="K164" i="1" l="1"/>
  <c r="K1553" i="1"/>
  <c r="AD46" i="1"/>
  <c r="X46" i="1"/>
  <c r="AC46" i="1"/>
  <c r="W46" i="1"/>
  <c r="K1554" i="1" l="1"/>
  <c r="AG46" i="1"/>
  <c r="AK46" i="1" s="1"/>
  <c r="AA46" i="1"/>
  <c r="AI46" i="1"/>
  <c r="AL46" i="1" s="1"/>
  <c r="AB46" i="1"/>
  <c r="K165" i="1"/>
  <c r="AO46" i="1" l="1"/>
  <c r="AM46" i="1"/>
  <c r="D47" i="1" s="1"/>
  <c r="AP46" i="1"/>
  <c r="AN46" i="1"/>
  <c r="E47" i="1" s="1"/>
  <c r="K1555" i="1"/>
  <c r="K166" i="1"/>
  <c r="P47" i="1" l="1"/>
  <c r="V47" i="1"/>
  <c r="S47" i="1"/>
  <c r="T47" i="1"/>
  <c r="K167" i="1"/>
  <c r="K1556" i="1"/>
  <c r="R47" i="1"/>
  <c r="AF47" i="1" s="1"/>
  <c r="AJ47" i="1" s="1"/>
  <c r="U47" i="1"/>
  <c r="Q47" i="1"/>
  <c r="O47" i="1"/>
  <c r="AE47" i="1" s="1"/>
  <c r="AH47" i="1" s="1"/>
  <c r="K1557" i="1" l="1"/>
  <c r="AD47" i="1"/>
  <c r="X47" i="1"/>
  <c r="K168" i="1"/>
  <c r="AC47" i="1"/>
  <c r="W47" i="1"/>
  <c r="AG47" i="1" l="1"/>
  <c r="AK47" i="1" s="1"/>
  <c r="AA47" i="1"/>
  <c r="K169" i="1"/>
  <c r="AI47" i="1"/>
  <c r="AL47" i="1" s="1"/>
  <c r="AB47" i="1"/>
  <c r="AA1557" i="1"/>
  <c r="X1557" i="1"/>
  <c r="Z1557" i="1"/>
  <c r="AP47" i="1" l="1"/>
  <c r="AN47" i="1"/>
  <c r="E48" i="1" s="1"/>
  <c r="K170" i="1"/>
  <c r="AO47" i="1"/>
  <c r="AM47" i="1"/>
  <c r="D48" i="1" s="1"/>
  <c r="U48" i="1" l="1"/>
  <c r="R48" i="1"/>
  <c r="AF48" i="1" s="1"/>
  <c r="AJ48" i="1" s="1"/>
  <c r="O48" i="1"/>
  <c r="AE48" i="1" s="1"/>
  <c r="AH48" i="1" s="1"/>
  <c r="Q48" i="1"/>
  <c r="V48" i="1"/>
  <c r="P48" i="1"/>
  <c r="S48" i="1"/>
  <c r="T48" i="1"/>
  <c r="K171" i="1"/>
  <c r="K172" i="1" l="1"/>
  <c r="AD48" i="1"/>
  <c r="X48" i="1"/>
  <c r="AC48" i="1"/>
  <c r="W48" i="1"/>
  <c r="AG48" i="1" l="1"/>
  <c r="AK48" i="1" s="1"/>
  <c r="AA48" i="1"/>
  <c r="AI48" i="1"/>
  <c r="AL48" i="1" s="1"/>
  <c r="AB48" i="1"/>
  <c r="K173" i="1"/>
  <c r="K174" i="1" l="1"/>
  <c r="AP48" i="1"/>
  <c r="AN48" i="1"/>
  <c r="E49" i="1" s="1"/>
  <c r="AO48" i="1"/>
  <c r="AM48" i="1"/>
  <c r="D49" i="1" s="1"/>
  <c r="R49" i="1" l="1"/>
  <c r="AF49" i="1" s="1"/>
  <c r="AJ49" i="1" s="1"/>
  <c r="U49" i="1"/>
  <c r="O49" i="1"/>
  <c r="AE49" i="1" s="1"/>
  <c r="AH49" i="1" s="1"/>
  <c r="Q49" i="1"/>
  <c r="P49" i="1"/>
  <c r="V49" i="1"/>
  <c r="T49" i="1"/>
  <c r="S49" i="1"/>
  <c r="K175" i="1"/>
  <c r="X49" i="1" l="1"/>
  <c r="AD49" i="1"/>
  <c r="AC49" i="1"/>
  <c r="W49" i="1"/>
  <c r="K176" i="1"/>
  <c r="K177" i="1" l="1"/>
  <c r="AG49" i="1"/>
  <c r="AK49" i="1" s="1"/>
  <c r="AA49" i="1"/>
  <c r="AI49" i="1"/>
  <c r="AL49" i="1" s="1"/>
  <c r="AB49" i="1"/>
  <c r="AP49" i="1" l="1"/>
  <c r="AN49" i="1"/>
  <c r="E50" i="1" s="1"/>
  <c r="AO49" i="1"/>
  <c r="AM49" i="1"/>
  <c r="D50" i="1" s="1"/>
  <c r="K178" i="1"/>
  <c r="K179" i="1" l="1"/>
  <c r="U50" i="1"/>
  <c r="R50" i="1"/>
  <c r="AF50" i="1" s="1"/>
  <c r="AJ50" i="1" s="1"/>
  <c r="O50" i="1"/>
  <c r="AE50" i="1" s="1"/>
  <c r="AH50" i="1" s="1"/>
  <c r="Q50" i="1"/>
  <c r="V50" i="1"/>
  <c r="P50" i="1"/>
  <c r="S50" i="1"/>
  <c r="T50" i="1"/>
  <c r="W50" i="1" l="1"/>
  <c r="AC50" i="1"/>
  <c r="AD50" i="1"/>
  <c r="X50" i="1"/>
  <c r="K180" i="1"/>
  <c r="K181" i="1" l="1"/>
  <c r="AI50" i="1"/>
  <c r="AL50" i="1" s="1"/>
  <c r="AB50" i="1"/>
  <c r="AG50" i="1"/>
  <c r="AK50" i="1" s="1"/>
  <c r="AA50" i="1"/>
  <c r="AP50" i="1" l="1"/>
  <c r="AN50" i="1"/>
  <c r="E51" i="1" s="1"/>
  <c r="AO50" i="1"/>
  <c r="AM50" i="1"/>
  <c r="D51" i="1" s="1"/>
  <c r="K182" i="1"/>
  <c r="K183" i="1" l="1"/>
  <c r="P51" i="1"/>
  <c r="V51" i="1"/>
  <c r="S51" i="1"/>
  <c r="T51" i="1"/>
  <c r="R51" i="1"/>
  <c r="AF51" i="1" s="1"/>
  <c r="AJ51" i="1" s="1"/>
  <c r="U51" i="1"/>
  <c r="Q51" i="1"/>
  <c r="O51" i="1"/>
  <c r="AE51" i="1" s="1"/>
  <c r="AH51" i="1" s="1"/>
  <c r="K184" i="1" l="1"/>
  <c r="AC51" i="1"/>
  <c r="W51" i="1"/>
  <c r="AD51" i="1"/>
  <c r="X51" i="1"/>
  <c r="AI51" i="1" l="1"/>
  <c r="AL51" i="1" s="1"/>
  <c r="AB51" i="1"/>
  <c r="AG51" i="1"/>
  <c r="AK51" i="1" s="1"/>
  <c r="AA51" i="1"/>
  <c r="K185" i="1"/>
  <c r="K186" i="1" l="1"/>
  <c r="AO51" i="1"/>
  <c r="AM51" i="1"/>
  <c r="D52" i="1" s="1"/>
  <c r="AP51" i="1"/>
  <c r="AN51" i="1"/>
  <c r="E52" i="1" s="1"/>
  <c r="U52" i="1" l="1"/>
  <c r="R52" i="1"/>
  <c r="AF52" i="1" s="1"/>
  <c r="AJ52" i="1" s="1"/>
  <c r="Q52" i="1"/>
  <c r="O52" i="1"/>
  <c r="AE52" i="1" s="1"/>
  <c r="AH52" i="1" s="1"/>
  <c r="P52" i="1"/>
  <c r="V52" i="1"/>
  <c r="S52" i="1"/>
  <c r="T52" i="1"/>
  <c r="K187" i="1"/>
  <c r="AD52" i="1" l="1"/>
  <c r="X52" i="1"/>
  <c r="K188" i="1"/>
  <c r="AC52" i="1"/>
  <c r="W52" i="1"/>
  <c r="K189" i="1" l="1"/>
  <c r="AG52" i="1"/>
  <c r="AK52" i="1" s="1"/>
  <c r="AA52" i="1"/>
  <c r="AI52" i="1"/>
  <c r="AL52" i="1" s="1"/>
  <c r="AB52" i="1"/>
  <c r="AP52" i="1" l="1"/>
  <c r="AN52" i="1"/>
  <c r="E53" i="1" s="1"/>
  <c r="AO52" i="1"/>
  <c r="AM52" i="1"/>
  <c r="D53" i="1" s="1"/>
  <c r="K190" i="1"/>
  <c r="K191" i="1" l="1"/>
  <c r="V53" i="1"/>
  <c r="P53" i="1"/>
  <c r="T53" i="1"/>
  <c r="S53" i="1"/>
  <c r="R53" i="1"/>
  <c r="AF53" i="1" s="1"/>
  <c r="AJ53" i="1" s="1"/>
  <c r="U53" i="1"/>
  <c r="Q53" i="1"/>
  <c r="O53" i="1"/>
  <c r="AE53" i="1" s="1"/>
  <c r="AH53" i="1" s="1"/>
  <c r="AD53" i="1" l="1"/>
  <c r="X53" i="1"/>
  <c r="AC53" i="1"/>
  <c r="W53" i="1"/>
  <c r="K192" i="1"/>
  <c r="K193" i="1" l="1"/>
  <c r="AG53" i="1"/>
  <c r="AK53" i="1" s="1"/>
  <c r="AA53" i="1"/>
  <c r="AI53" i="1"/>
  <c r="AL53" i="1" s="1"/>
  <c r="AB53" i="1"/>
  <c r="AP53" i="1" l="1"/>
  <c r="AN53" i="1"/>
  <c r="E54" i="1" s="1"/>
  <c r="AO53" i="1"/>
  <c r="AM53" i="1"/>
  <c r="D54" i="1" s="1"/>
  <c r="K194" i="1"/>
  <c r="P54" i="1" l="1"/>
  <c r="V54" i="1"/>
  <c r="T54" i="1"/>
  <c r="S54" i="1"/>
  <c r="K195" i="1"/>
  <c r="U54" i="1"/>
  <c r="R54" i="1"/>
  <c r="AF54" i="1" s="1"/>
  <c r="AJ54" i="1" s="1"/>
  <c r="O54" i="1"/>
  <c r="AE54" i="1" s="1"/>
  <c r="AH54" i="1" s="1"/>
  <c r="Q54" i="1"/>
  <c r="AD54" i="1" l="1"/>
  <c r="X54" i="1"/>
  <c r="K196" i="1"/>
  <c r="W54" i="1"/>
  <c r="AC54" i="1"/>
  <c r="AG54" i="1" l="1"/>
  <c r="AK54" i="1" s="1"/>
  <c r="AA54" i="1"/>
  <c r="K197" i="1"/>
  <c r="AI54" i="1"/>
  <c r="AL54" i="1" s="1"/>
  <c r="AB54" i="1"/>
  <c r="AP54" i="1" l="1"/>
  <c r="AN54" i="1"/>
  <c r="E55" i="1" s="1"/>
  <c r="K198" i="1"/>
  <c r="AO54" i="1"/>
  <c r="AM54" i="1"/>
  <c r="D55" i="1" s="1"/>
  <c r="R55" i="1" l="1"/>
  <c r="AF55" i="1" s="1"/>
  <c r="AJ55" i="1" s="1"/>
  <c r="U55" i="1"/>
  <c r="Q55" i="1"/>
  <c r="O55" i="1"/>
  <c r="AE55" i="1" s="1"/>
  <c r="AH55" i="1" s="1"/>
  <c r="K199" i="1"/>
  <c r="V55" i="1"/>
  <c r="P55" i="1"/>
  <c r="T55" i="1"/>
  <c r="S55" i="1"/>
  <c r="X55" i="1" l="1"/>
  <c r="AD55" i="1"/>
  <c r="W55" i="1"/>
  <c r="AC55" i="1"/>
  <c r="K200" i="1"/>
  <c r="K201" i="1" l="1"/>
  <c r="AG55" i="1"/>
  <c r="AK55" i="1" s="1"/>
  <c r="AA55" i="1"/>
  <c r="AI55" i="1"/>
  <c r="AL55" i="1" s="1"/>
  <c r="AB55" i="1"/>
  <c r="AP55" i="1" l="1"/>
  <c r="AN55" i="1"/>
  <c r="E56" i="1" s="1"/>
  <c r="AO55" i="1"/>
  <c r="AM55" i="1"/>
  <c r="D56" i="1" s="1"/>
  <c r="K202" i="1"/>
  <c r="K203" i="1" l="1"/>
  <c r="U56" i="1"/>
  <c r="R56" i="1"/>
  <c r="AF56" i="1" s="1"/>
  <c r="AJ56" i="1" s="1"/>
  <c r="Q56" i="1"/>
  <c r="O56" i="1"/>
  <c r="AE56" i="1" s="1"/>
  <c r="AH56" i="1" s="1"/>
  <c r="V56" i="1"/>
  <c r="P56" i="1"/>
  <c r="T56" i="1"/>
  <c r="S56" i="1"/>
  <c r="W56" i="1" l="1"/>
  <c r="AC56" i="1"/>
  <c r="AD56" i="1"/>
  <c r="X56" i="1"/>
  <c r="K204" i="1"/>
  <c r="AI56" i="1" l="1"/>
  <c r="AL56" i="1" s="1"/>
  <c r="AB56" i="1"/>
  <c r="K205" i="1"/>
  <c r="AG56" i="1"/>
  <c r="AK56" i="1" s="1"/>
  <c r="AA56" i="1"/>
  <c r="K206" i="1" l="1"/>
  <c r="AO56" i="1"/>
  <c r="AM56" i="1"/>
  <c r="D57" i="1" s="1"/>
  <c r="AP56" i="1"/>
  <c r="AN56" i="1"/>
  <c r="E57" i="1" s="1"/>
  <c r="V57" i="1" l="1"/>
  <c r="P57" i="1"/>
  <c r="S57" i="1"/>
  <c r="T57" i="1"/>
  <c r="U57" i="1"/>
  <c r="R57" i="1"/>
  <c r="AF57" i="1" s="1"/>
  <c r="AJ57" i="1" s="1"/>
  <c r="Q57" i="1"/>
  <c r="O57" i="1"/>
  <c r="AE57" i="1" s="1"/>
  <c r="AH57" i="1" s="1"/>
  <c r="K207" i="1"/>
  <c r="K208" i="1" l="1"/>
  <c r="AC57" i="1"/>
  <c r="W57" i="1"/>
  <c r="X57" i="1"/>
  <c r="AD57" i="1"/>
  <c r="AI57" i="1" l="1"/>
  <c r="AL57" i="1" s="1"/>
  <c r="AB57" i="1"/>
  <c r="AG57" i="1"/>
  <c r="AK57" i="1" s="1"/>
  <c r="AA57" i="1"/>
  <c r="K209" i="1"/>
  <c r="K210" i="1" l="1"/>
  <c r="AO57" i="1"/>
  <c r="AM57" i="1"/>
  <c r="D58" i="1" s="1"/>
  <c r="AP57" i="1"/>
  <c r="AN57" i="1"/>
  <c r="E58" i="1" s="1"/>
  <c r="V58" i="1" l="1"/>
  <c r="P58" i="1"/>
  <c r="S58" i="1"/>
  <c r="T58" i="1"/>
  <c r="U58" i="1"/>
  <c r="R58" i="1"/>
  <c r="AF58" i="1" s="1"/>
  <c r="AJ58" i="1" s="1"/>
  <c r="O58" i="1"/>
  <c r="AE58" i="1" s="1"/>
  <c r="AH58" i="1" s="1"/>
  <c r="Q58" i="1"/>
  <c r="K211" i="1"/>
  <c r="K212" i="1" l="1"/>
  <c r="AD58" i="1"/>
  <c r="X58" i="1"/>
  <c r="AC58" i="1"/>
  <c r="W58" i="1"/>
  <c r="AI58" i="1" l="1"/>
  <c r="AL58" i="1" s="1"/>
  <c r="AB58" i="1"/>
  <c r="AG58" i="1"/>
  <c r="AK58" i="1" s="1"/>
  <c r="AA58" i="1"/>
  <c r="K213" i="1"/>
  <c r="AO58" i="1" l="1"/>
  <c r="AM58" i="1"/>
  <c r="D59" i="1" s="1"/>
  <c r="K214" i="1"/>
  <c r="AP58" i="1"/>
  <c r="AN58" i="1"/>
  <c r="E59" i="1" s="1"/>
  <c r="V59" i="1" l="1"/>
  <c r="P59" i="1"/>
  <c r="S59" i="1"/>
  <c r="T59" i="1"/>
  <c r="K215" i="1"/>
  <c r="U59" i="1"/>
  <c r="R59" i="1"/>
  <c r="AF59" i="1" s="1"/>
  <c r="AJ59" i="1" s="1"/>
  <c r="Q59" i="1"/>
  <c r="O59" i="1"/>
  <c r="AE59" i="1" s="1"/>
  <c r="AH59" i="1" s="1"/>
  <c r="K216" i="1" l="1"/>
  <c r="W59" i="1"/>
  <c r="AC59" i="1"/>
  <c r="AD59" i="1"/>
  <c r="X59" i="1"/>
  <c r="AG59" i="1" l="1"/>
  <c r="AK59" i="1" s="1"/>
  <c r="AA59" i="1"/>
  <c r="K217" i="1"/>
  <c r="AI59" i="1"/>
  <c r="AL59" i="1" s="1"/>
  <c r="AB59" i="1"/>
  <c r="AP59" i="1" l="1"/>
  <c r="AN59" i="1"/>
  <c r="E60" i="1" s="1"/>
  <c r="K218" i="1"/>
  <c r="AO59" i="1"/>
  <c r="AM59" i="1"/>
  <c r="D60" i="1" s="1"/>
  <c r="U60" i="1" l="1"/>
  <c r="R60" i="1"/>
  <c r="AF60" i="1" s="1"/>
  <c r="AJ60" i="1" s="1"/>
  <c r="Q60" i="1"/>
  <c r="O60" i="1"/>
  <c r="AE60" i="1" s="1"/>
  <c r="AH60" i="1" s="1"/>
  <c r="K219" i="1"/>
  <c r="V60" i="1"/>
  <c r="P60" i="1"/>
  <c r="S60" i="1"/>
  <c r="T60" i="1"/>
  <c r="AC60" i="1" l="1"/>
  <c r="W60" i="1"/>
  <c r="X60" i="1"/>
  <c r="AD60" i="1"/>
  <c r="K220" i="1"/>
  <c r="AI60" i="1" l="1"/>
  <c r="AL60" i="1" s="1"/>
  <c r="AB60" i="1"/>
  <c r="K221" i="1"/>
  <c r="AG60" i="1"/>
  <c r="AK60" i="1" s="1"/>
  <c r="AA60" i="1"/>
  <c r="AO60" i="1" l="1"/>
  <c r="AM60" i="1"/>
  <c r="D61" i="1" s="1"/>
  <c r="K222" i="1"/>
  <c r="AP60" i="1"/>
  <c r="AN60" i="1"/>
  <c r="E61" i="1" s="1"/>
  <c r="V61" i="1" l="1"/>
  <c r="P61" i="1"/>
  <c r="T61" i="1"/>
  <c r="S61" i="1"/>
  <c r="K223" i="1"/>
  <c r="U61" i="1"/>
  <c r="R61" i="1"/>
  <c r="AF61" i="1" s="1"/>
  <c r="AJ61" i="1" s="1"/>
  <c r="Q61" i="1"/>
  <c r="O61" i="1"/>
  <c r="AE61" i="1" s="1"/>
  <c r="AH61" i="1" s="1"/>
  <c r="AD61" i="1" l="1"/>
  <c r="X61" i="1"/>
  <c r="K224" i="1"/>
  <c r="AC61" i="1"/>
  <c r="W61" i="1"/>
  <c r="AG61" i="1" l="1"/>
  <c r="AK61" i="1" s="1"/>
  <c r="AA61" i="1"/>
  <c r="K225" i="1"/>
  <c r="AI61" i="1"/>
  <c r="AL61" i="1" s="1"/>
  <c r="AB61" i="1"/>
  <c r="AP61" i="1" l="1"/>
  <c r="AN61" i="1"/>
  <c r="E62" i="1" s="1"/>
  <c r="K226" i="1"/>
  <c r="AO61" i="1"/>
  <c r="AM61" i="1"/>
  <c r="D62" i="1" s="1"/>
  <c r="U62" i="1" l="1"/>
  <c r="R62" i="1"/>
  <c r="AF62" i="1" s="1"/>
  <c r="AJ62" i="1" s="1"/>
  <c r="Q62" i="1"/>
  <c r="O62" i="1"/>
  <c r="AE62" i="1" s="1"/>
  <c r="AH62" i="1" s="1"/>
  <c r="K227" i="1"/>
  <c r="V62" i="1"/>
  <c r="P62" i="1"/>
  <c r="S62" i="1"/>
  <c r="T62" i="1"/>
  <c r="AD62" i="1" l="1"/>
  <c r="X62" i="1"/>
  <c r="AC62" i="1"/>
  <c r="W62" i="1"/>
  <c r="K228" i="1"/>
  <c r="AG62" i="1" l="1"/>
  <c r="AK62" i="1" s="1"/>
  <c r="AA62" i="1"/>
  <c r="K229" i="1"/>
  <c r="AI62" i="1"/>
  <c r="AL62" i="1" s="1"/>
  <c r="AB62" i="1"/>
  <c r="K230" i="1" l="1"/>
  <c r="AP62" i="1"/>
  <c r="AN62" i="1"/>
  <c r="E63" i="1" s="1"/>
  <c r="AO62" i="1"/>
  <c r="AM62" i="1"/>
  <c r="D63" i="1" s="1"/>
  <c r="U63" i="1" l="1"/>
  <c r="R63" i="1"/>
  <c r="AF63" i="1" s="1"/>
  <c r="AJ63" i="1" s="1"/>
  <c r="Q63" i="1"/>
  <c r="O63" i="1"/>
  <c r="AE63" i="1" s="1"/>
  <c r="AH63" i="1" s="1"/>
  <c r="V63" i="1"/>
  <c r="P63" i="1"/>
  <c r="T63" i="1"/>
  <c r="S63" i="1"/>
  <c r="K231" i="1"/>
  <c r="AC63" i="1" l="1"/>
  <c r="W63" i="1"/>
  <c r="AD63" i="1"/>
  <c r="X63" i="1"/>
  <c r="K232" i="1"/>
  <c r="K233" i="1" l="1"/>
  <c r="AI63" i="1"/>
  <c r="AL63" i="1" s="1"/>
  <c r="AB63" i="1"/>
  <c r="AG63" i="1"/>
  <c r="AK63" i="1" s="1"/>
  <c r="AA63" i="1"/>
  <c r="AO63" i="1" l="1"/>
  <c r="AM63" i="1"/>
  <c r="D64" i="1" s="1"/>
  <c r="AP63" i="1"/>
  <c r="AN63" i="1"/>
  <c r="E64" i="1" s="1"/>
  <c r="K234" i="1"/>
  <c r="K235" i="1" l="1"/>
  <c r="V64" i="1"/>
  <c r="P64" i="1"/>
  <c r="T64" i="1"/>
  <c r="S64" i="1"/>
  <c r="U64" i="1"/>
  <c r="R64" i="1"/>
  <c r="AF64" i="1" s="1"/>
  <c r="AJ64" i="1" s="1"/>
  <c r="O64" i="1"/>
  <c r="AE64" i="1" s="1"/>
  <c r="AH64" i="1" s="1"/>
  <c r="Q64" i="1"/>
  <c r="AD64" i="1" l="1"/>
  <c r="X64" i="1"/>
  <c r="AC64" i="1"/>
  <c r="W64" i="1"/>
  <c r="K236" i="1"/>
  <c r="K237" i="1" l="1"/>
  <c r="AG64" i="1"/>
  <c r="AK64" i="1" s="1"/>
  <c r="AA64" i="1"/>
  <c r="AI64" i="1"/>
  <c r="AL64" i="1" s="1"/>
  <c r="AB64" i="1"/>
  <c r="AP64" i="1" l="1"/>
  <c r="AN64" i="1"/>
  <c r="E65" i="1" s="1"/>
  <c r="AO64" i="1"/>
  <c r="AM64" i="1"/>
  <c r="D65" i="1" s="1"/>
  <c r="K238" i="1"/>
  <c r="K239" i="1" l="1"/>
  <c r="R65" i="1"/>
  <c r="AF65" i="1" s="1"/>
  <c r="AJ65" i="1" s="1"/>
  <c r="U65" i="1"/>
  <c r="O65" i="1"/>
  <c r="AE65" i="1" s="1"/>
  <c r="AH65" i="1" s="1"/>
  <c r="Q65" i="1"/>
  <c r="P65" i="1"/>
  <c r="V65" i="1"/>
  <c r="T65" i="1"/>
  <c r="S65" i="1"/>
  <c r="AC65" i="1" l="1"/>
  <c r="W65" i="1"/>
  <c r="AD65" i="1"/>
  <c r="X65" i="1"/>
  <c r="K240" i="1"/>
  <c r="K241" i="1" l="1"/>
  <c r="AI65" i="1"/>
  <c r="AL65" i="1" s="1"/>
  <c r="AB65" i="1"/>
  <c r="AG65" i="1"/>
  <c r="AK65" i="1" s="1"/>
  <c r="AA65" i="1"/>
  <c r="AP65" i="1" l="1"/>
  <c r="AN65" i="1"/>
  <c r="E66" i="1" s="1"/>
  <c r="AO65" i="1"/>
  <c r="AM65" i="1"/>
  <c r="D66" i="1" s="1"/>
  <c r="K242" i="1"/>
  <c r="K243" i="1" l="1"/>
  <c r="R66" i="1"/>
  <c r="AF66" i="1" s="1"/>
  <c r="AJ66" i="1" s="1"/>
  <c r="U66" i="1"/>
  <c r="Q66" i="1"/>
  <c r="O66" i="1"/>
  <c r="AE66" i="1" s="1"/>
  <c r="AH66" i="1" s="1"/>
  <c r="V66" i="1"/>
  <c r="P66" i="1"/>
  <c r="T66" i="1"/>
  <c r="S66" i="1"/>
  <c r="AC66" i="1" l="1"/>
  <c r="W66" i="1"/>
  <c r="AD66" i="1"/>
  <c r="X66" i="1"/>
  <c r="K244" i="1"/>
  <c r="K245" i="1" l="1"/>
  <c r="AI66" i="1"/>
  <c r="AL66" i="1" s="1"/>
  <c r="AB66" i="1"/>
  <c r="AG66" i="1"/>
  <c r="AK66" i="1" s="1"/>
  <c r="AA66" i="1"/>
  <c r="AP66" i="1" l="1"/>
  <c r="AN66" i="1"/>
  <c r="E67" i="1" s="1"/>
  <c r="AO66" i="1"/>
  <c r="AM66" i="1"/>
  <c r="D67" i="1" s="1"/>
  <c r="K246" i="1"/>
  <c r="K247" i="1" l="1"/>
  <c r="P67" i="1"/>
  <c r="V67" i="1"/>
  <c r="S67" i="1"/>
  <c r="T67" i="1"/>
  <c r="R67" i="1"/>
  <c r="AF67" i="1" s="1"/>
  <c r="AJ67" i="1" s="1"/>
  <c r="U67" i="1"/>
  <c r="Q67" i="1"/>
  <c r="O67" i="1"/>
  <c r="AE67" i="1" s="1"/>
  <c r="AH67" i="1" s="1"/>
  <c r="AC67" i="1" l="1"/>
  <c r="W67" i="1"/>
  <c r="AD67" i="1"/>
  <c r="X67" i="1"/>
  <c r="K248" i="1"/>
  <c r="K249" i="1" l="1"/>
  <c r="AI67" i="1"/>
  <c r="AL67" i="1" s="1"/>
  <c r="AB67" i="1"/>
  <c r="AG67" i="1"/>
  <c r="AK67" i="1" s="1"/>
  <c r="AA67" i="1"/>
  <c r="AO67" i="1" l="1"/>
  <c r="AM67" i="1"/>
  <c r="D68" i="1" s="1"/>
  <c r="AP67" i="1"/>
  <c r="AN67" i="1"/>
  <c r="E68" i="1" s="1"/>
  <c r="K250" i="1"/>
  <c r="U68" i="1" l="1"/>
  <c r="R68" i="1"/>
  <c r="AF68" i="1" s="1"/>
  <c r="AJ68" i="1" s="1"/>
  <c r="Q68" i="1"/>
  <c r="O68" i="1"/>
  <c r="AE68" i="1" s="1"/>
  <c r="AH68" i="1" s="1"/>
  <c r="K251" i="1"/>
  <c r="V68" i="1"/>
  <c r="P68" i="1"/>
  <c r="S68" i="1"/>
  <c r="T68" i="1"/>
  <c r="AD68" i="1" l="1"/>
  <c r="X68" i="1"/>
  <c r="AC68" i="1"/>
  <c r="W68" i="1"/>
  <c r="K252" i="1"/>
  <c r="K253" i="1" l="1"/>
  <c r="AG68" i="1"/>
  <c r="AK68" i="1" s="1"/>
  <c r="AA68" i="1"/>
  <c r="AI68" i="1"/>
  <c r="AL68" i="1" s="1"/>
  <c r="AB68" i="1"/>
  <c r="AO68" i="1" l="1"/>
  <c r="AM68" i="1"/>
  <c r="D69" i="1" s="1"/>
  <c r="AP68" i="1"/>
  <c r="AN68" i="1"/>
  <c r="E69" i="1" s="1"/>
  <c r="K254" i="1"/>
  <c r="R69" i="1" l="1"/>
  <c r="AF69" i="1" s="1"/>
  <c r="AJ69" i="1" s="1"/>
  <c r="U69" i="1"/>
  <c r="O69" i="1"/>
  <c r="AE69" i="1" s="1"/>
  <c r="AH69" i="1" s="1"/>
  <c r="Q69" i="1"/>
  <c r="K255" i="1"/>
  <c r="P69" i="1"/>
  <c r="V69" i="1"/>
  <c r="S69" i="1"/>
  <c r="T69" i="1"/>
  <c r="AD69" i="1" l="1"/>
  <c r="X69" i="1"/>
  <c r="AC69" i="1"/>
  <c r="W69" i="1"/>
  <c r="K256" i="1"/>
  <c r="K257" i="1" l="1"/>
  <c r="AG69" i="1"/>
  <c r="AK69" i="1" s="1"/>
  <c r="AA69" i="1"/>
  <c r="AI69" i="1"/>
  <c r="AL69" i="1" s="1"/>
  <c r="AB69" i="1"/>
  <c r="AP69" i="1" l="1"/>
  <c r="AN69" i="1"/>
  <c r="E70" i="1" s="1"/>
  <c r="AO69" i="1"/>
  <c r="AM69" i="1"/>
  <c r="D70" i="1" s="1"/>
  <c r="K258" i="1"/>
  <c r="P70" i="1" l="1"/>
  <c r="V70" i="1"/>
  <c r="S70" i="1"/>
  <c r="T70" i="1"/>
  <c r="K259" i="1"/>
  <c r="U70" i="1"/>
  <c r="R70" i="1"/>
  <c r="AF70" i="1" s="1"/>
  <c r="AJ70" i="1" s="1"/>
  <c r="Q70" i="1"/>
  <c r="O70" i="1"/>
  <c r="AE70" i="1" s="1"/>
  <c r="AH70" i="1" s="1"/>
  <c r="AD70" i="1" l="1"/>
  <c r="X70" i="1"/>
  <c r="K260" i="1"/>
  <c r="AC70" i="1"/>
  <c r="W70" i="1"/>
  <c r="K261" i="1" l="1"/>
  <c r="AG70" i="1"/>
  <c r="AK70" i="1" s="1"/>
  <c r="AA70" i="1"/>
  <c r="AI70" i="1"/>
  <c r="AL70" i="1" s="1"/>
  <c r="AB70" i="1"/>
  <c r="AP70" i="1" l="1"/>
  <c r="AN70" i="1"/>
  <c r="E71" i="1" s="1"/>
  <c r="AO70" i="1"/>
  <c r="AM70" i="1"/>
  <c r="D71" i="1" s="1"/>
  <c r="K262" i="1"/>
  <c r="K263" i="1" l="1"/>
  <c r="R71" i="1"/>
  <c r="AF71" i="1" s="1"/>
  <c r="AJ71" i="1" s="1"/>
  <c r="U71" i="1"/>
  <c r="O71" i="1"/>
  <c r="AE71" i="1" s="1"/>
  <c r="AH71" i="1" s="1"/>
  <c r="Q71" i="1"/>
  <c r="P71" i="1"/>
  <c r="V71" i="1"/>
  <c r="S71" i="1"/>
  <c r="T71" i="1"/>
  <c r="AD71" i="1" l="1"/>
  <c r="X71" i="1"/>
  <c r="AC71" i="1"/>
  <c r="W71" i="1"/>
  <c r="K264" i="1"/>
  <c r="K265" i="1" l="1"/>
  <c r="AG71" i="1"/>
  <c r="AK71" i="1" s="1"/>
  <c r="AA71" i="1"/>
  <c r="AI71" i="1"/>
  <c r="AL71" i="1" s="1"/>
  <c r="AB71" i="1"/>
  <c r="AP71" i="1" l="1"/>
  <c r="AN71" i="1"/>
  <c r="E72" i="1" s="1"/>
  <c r="AO71" i="1"/>
  <c r="AM71" i="1"/>
  <c r="D72" i="1" s="1"/>
  <c r="K266" i="1"/>
  <c r="K267" i="1" l="1"/>
  <c r="P72" i="1"/>
  <c r="V72" i="1"/>
  <c r="S72" i="1"/>
  <c r="T72" i="1"/>
  <c r="U72" i="1"/>
  <c r="R72" i="1"/>
  <c r="AF72" i="1" s="1"/>
  <c r="AJ72" i="1" s="1"/>
  <c r="O72" i="1"/>
  <c r="AE72" i="1" s="1"/>
  <c r="AH72" i="1" s="1"/>
  <c r="Q72" i="1"/>
  <c r="AD72" i="1" l="1"/>
  <c r="X72" i="1"/>
  <c r="AC72" i="1"/>
  <c r="W72" i="1"/>
  <c r="K268" i="1"/>
  <c r="K269" i="1" l="1"/>
  <c r="AG72" i="1"/>
  <c r="AK72" i="1" s="1"/>
  <c r="AA72" i="1"/>
  <c r="AI72" i="1"/>
  <c r="AL72" i="1" s="1"/>
  <c r="AB72" i="1"/>
  <c r="AO72" i="1" l="1"/>
  <c r="AM72" i="1"/>
  <c r="D73" i="1" s="1"/>
  <c r="AP72" i="1"/>
  <c r="AN72" i="1"/>
  <c r="E73" i="1" s="1"/>
  <c r="K270" i="1"/>
  <c r="V73" i="1" l="1"/>
  <c r="P73" i="1"/>
  <c r="S73" i="1"/>
  <c r="T73" i="1"/>
  <c r="R73" i="1"/>
  <c r="AF73" i="1" s="1"/>
  <c r="AJ73" i="1" s="1"/>
  <c r="U73" i="1"/>
  <c r="O73" i="1"/>
  <c r="AE73" i="1" s="1"/>
  <c r="AH73" i="1" s="1"/>
  <c r="Q73" i="1"/>
  <c r="K271" i="1"/>
  <c r="K272" i="1" l="1"/>
  <c r="W73" i="1"/>
  <c r="AC73" i="1"/>
  <c r="X73" i="1"/>
  <c r="AD73" i="1"/>
  <c r="AG73" i="1" l="1"/>
  <c r="AK73" i="1" s="1"/>
  <c r="AA73" i="1"/>
  <c r="AI73" i="1"/>
  <c r="AL73" i="1" s="1"/>
  <c r="AB73" i="1"/>
  <c r="K273" i="1"/>
  <c r="AP73" i="1" l="1"/>
  <c r="AN73" i="1"/>
  <c r="E74" i="1" s="1"/>
  <c r="K274" i="1"/>
  <c r="AO73" i="1"/>
  <c r="AM73" i="1"/>
  <c r="D74" i="1" s="1"/>
  <c r="K275" i="1" l="1"/>
  <c r="U74" i="1"/>
  <c r="R74" i="1"/>
  <c r="AF74" i="1" s="1"/>
  <c r="AJ74" i="1" s="1"/>
  <c r="Q74" i="1"/>
  <c r="O74" i="1"/>
  <c r="AE74" i="1" s="1"/>
  <c r="AH74" i="1" s="1"/>
  <c r="P74" i="1"/>
  <c r="V74" i="1"/>
  <c r="S74" i="1"/>
  <c r="T74" i="1"/>
  <c r="W74" i="1" l="1"/>
  <c r="AC74" i="1"/>
  <c r="AD74" i="1"/>
  <c r="X74" i="1"/>
  <c r="K276" i="1"/>
  <c r="K277" i="1" l="1"/>
  <c r="AG74" i="1"/>
  <c r="AK74" i="1" s="1"/>
  <c r="AA74" i="1"/>
  <c r="AI74" i="1"/>
  <c r="AL74" i="1" s="1"/>
  <c r="AB74" i="1"/>
  <c r="AP74" i="1" l="1"/>
  <c r="AN74" i="1"/>
  <c r="E75" i="1" s="1"/>
  <c r="AO74" i="1"/>
  <c r="AM74" i="1"/>
  <c r="D75" i="1" s="1"/>
  <c r="K278" i="1"/>
  <c r="U75" i="1" l="1"/>
  <c r="R75" i="1"/>
  <c r="AF75" i="1" s="1"/>
  <c r="AJ75" i="1" s="1"/>
  <c r="Q75" i="1"/>
  <c r="O75" i="1"/>
  <c r="AE75" i="1" s="1"/>
  <c r="AH75" i="1" s="1"/>
  <c r="V75" i="1"/>
  <c r="P75" i="1"/>
  <c r="S75" i="1"/>
  <c r="T75" i="1"/>
  <c r="K279" i="1"/>
  <c r="X75" i="1" l="1"/>
  <c r="AD75" i="1"/>
  <c r="AC75" i="1"/>
  <c r="W75" i="1"/>
  <c r="K280" i="1"/>
  <c r="K281" i="1" l="1"/>
  <c r="AG75" i="1"/>
  <c r="AK75" i="1" s="1"/>
  <c r="AA75" i="1"/>
  <c r="AI75" i="1"/>
  <c r="AL75" i="1" s="1"/>
  <c r="AB75" i="1"/>
  <c r="AO75" i="1" l="1"/>
  <c r="AM75" i="1"/>
  <c r="D76" i="1" s="1"/>
  <c r="AP75" i="1"/>
  <c r="AN75" i="1"/>
  <c r="E76" i="1" s="1"/>
  <c r="K282" i="1"/>
  <c r="U76" i="1" l="1"/>
  <c r="R76" i="1"/>
  <c r="AF76" i="1" s="1"/>
  <c r="AJ76" i="1" s="1"/>
  <c r="O76" i="1"/>
  <c r="AE76" i="1" s="1"/>
  <c r="AH76" i="1" s="1"/>
  <c r="Q76" i="1"/>
  <c r="K283" i="1"/>
  <c r="V76" i="1"/>
  <c r="P76" i="1"/>
  <c r="S76" i="1"/>
  <c r="T76" i="1"/>
  <c r="K284" i="1" l="1"/>
  <c r="AD76" i="1"/>
  <c r="X76" i="1"/>
  <c r="W76" i="1"/>
  <c r="AC76" i="1"/>
  <c r="AG76" i="1" l="1"/>
  <c r="AK76" i="1" s="1"/>
  <c r="AA76" i="1"/>
  <c r="AI76" i="1"/>
  <c r="AL76" i="1" s="1"/>
  <c r="AB76" i="1"/>
  <c r="K285" i="1"/>
  <c r="K286" i="1" l="1"/>
  <c r="AP76" i="1"/>
  <c r="AN76" i="1"/>
  <c r="E77" i="1" s="1"/>
  <c r="AO76" i="1"/>
  <c r="AM76" i="1"/>
  <c r="D77" i="1" s="1"/>
  <c r="V77" i="1" l="1"/>
  <c r="P77" i="1"/>
  <c r="S77" i="1"/>
  <c r="T77" i="1"/>
  <c r="U77" i="1"/>
  <c r="R77" i="1"/>
  <c r="AF77" i="1" s="1"/>
  <c r="AJ77" i="1" s="1"/>
  <c r="O77" i="1"/>
  <c r="AE77" i="1" s="1"/>
  <c r="AH77" i="1" s="1"/>
  <c r="Q77" i="1"/>
  <c r="K287" i="1"/>
  <c r="K288" i="1" l="1"/>
  <c r="X77" i="1"/>
  <c r="AD77" i="1"/>
  <c r="W77" i="1"/>
  <c r="AC77" i="1"/>
  <c r="AG77" i="1" l="1"/>
  <c r="AK77" i="1" s="1"/>
  <c r="AA77" i="1"/>
  <c r="AI77" i="1"/>
  <c r="AL77" i="1" s="1"/>
  <c r="AB77" i="1"/>
  <c r="K289" i="1"/>
  <c r="AP77" i="1" l="1"/>
  <c r="AN77" i="1"/>
  <c r="E78" i="1" s="1"/>
  <c r="K290" i="1"/>
  <c r="AO77" i="1"/>
  <c r="AM77" i="1"/>
  <c r="D78" i="1" s="1"/>
  <c r="U78" i="1" l="1"/>
  <c r="R78" i="1"/>
  <c r="AF78" i="1" s="1"/>
  <c r="AJ78" i="1" s="1"/>
  <c r="Q78" i="1"/>
  <c r="O78" i="1"/>
  <c r="AE78" i="1" s="1"/>
  <c r="AH78" i="1" s="1"/>
  <c r="V78" i="1"/>
  <c r="P78" i="1"/>
  <c r="T78" i="1"/>
  <c r="S78" i="1"/>
  <c r="K291" i="1"/>
  <c r="K292" i="1" l="1"/>
  <c r="AC78" i="1"/>
  <c r="W78" i="1"/>
  <c r="X78" i="1"/>
  <c r="AD78" i="1"/>
  <c r="AI78" i="1" l="1"/>
  <c r="AL78" i="1" s="1"/>
  <c r="AB78" i="1"/>
  <c r="K293" i="1"/>
  <c r="AG78" i="1"/>
  <c r="AK78" i="1" s="1"/>
  <c r="AA78" i="1"/>
  <c r="K294" i="1" l="1"/>
  <c r="AO78" i="1"/>
  <c r="AM78" i="1"/>
  <c r="D79" i="1" s="1"/>
  <c r="AP78" i="1"/>
  <c r="AN78" i="1"/>
  <c r="E79" i="1" s="1"/>
  <c r="V79" i="1" l="1"/>
  <c r="P79" i="1"/>
  <c r="T79" i="1"/>
  <c r="S79" i="1"/>
  <c r="U79" i="1"/>
  <c r="R79" i="1"/>
  <c r="AF79" i="1" s="1"/>
  <c r="AJ79" i="1" s="1"/>
  <c r="Q79" i="1"/>
  <c r="O79" i="1"/>
  <c r="AE79" i="1" s="1"/>
  <c r="AH79" i="1" s="1"/>
  <c r="K295" i="1"/>
  <c r="K296" i="1" l="1"/>
  <c r="AD79" i="1"/>
  <c r="X79" i="1"/>
  <c r="W79" i="1"/>
  <c r="AC79" i="1"/>
  <c r="AG79" i="1" l="1"/>
  <c r="AK79" i="1" s="1"/>
  <c r="AA79" i="1"/>
  <c r="AI79" i="1"/>
  <c r="AL79" i="1" s="1"/>
  <c r="AB79" i="1"/>
  <c r="K297" i="1"/>
  <c r="AP79" i="1" l="1"/>
  <c r="AN79" i="1"/>
  <c r="E80" i="1" s="1"/>
  <c r="K298" i="1"/>
  <c r="AO79" i="1"/>
  <c r="AM79" i="1"/>
  <c r="D80" i="1" s="1"/>
  <c r="K299" i="1" l="1"/>
  <c r="V80" i="1"/>
  <c r="P80" i="1"/>
  <c r="S80" i="1"/>
  <c r="T80" i="1"/>
  <c r="U80" i="1"/>
  <c r="R80" i="1"/>
  <c r="AF80" i="1" s="1"/>
  <c r="AJ80" i="1" s="1"/>
  <c r="Q80" i="1"/>
  <c r="O80" i="1"/>
  <c r="AE80" i="1" s="1"/>
  <c r="AH80" i="1" s="1"/>
  <c r="AC80" i="1" l="1"/>
  <c r="W80" i="1"/>
  <c r="X80" i="1"/>
  <c r="AD80" i="1"/>
  <c r="K300" i="1"/>
  <c r="AI80" i="1" l="1"/>
  <c r="AL80" i="1" s="1"/>
  <c r="AB80" i="1"/>
  <c r="K301" i="1"/>
  <c r="AG80" i="1"/>
  <c r="AK80" i="1" s="1"/>
  <c r="AA80" i="1"/>
  <c r="AO80" i="1" l="1"/>
  <c r="AM80" i="1"/>
  <c r="D81" i="1" s="1"/>
  <c r="K302" i="1"/>
  <c r="AP80" i="1"/>
  <c r="AN80" i="1"/>
  <c r="E81" i="1" s="1"/>
  <c r="V81" i="1" l="1"/>
  <c r="P81" i="1"/>
  <c r="S81" i="1"/>
  <c r="T81" i="1"/>
  <c r="K303" i="1"/>
  <c r="U81" i="1"/>
  <c r="R81" i="1"/>
  <c r="AF81" i="1" s="1"/>
  <c r="AJ81" i="1" s="1"/>
  <c r="Q81" i="1"/>
  <c r="O81" i="1"/>
  <c r="AE81" i="1" s="1"/>
  <c r="AH81" i="1" s="1"/>
  <c r="AD81" i="1" l="1"/>
  <c r="X81" i="1"/>
  <c r="AC81" i="1"/>
  <c r="W81" i="1"/>
  <c r="K304" i="1"/>
  <c r="K305" i="1" l="1"/>
  <c r="AG81" i="1"/>
  <c r="AK81" i="1" s="1"/>
  <c r="AA81" i="1"/>
  <c r="AI81" i="1"/>
  <c r="AL81" i="1" s="1"/>
  <c r="AB81" i="1"/>
  <c r="AO81" i="1" l="1"/>
  <c r="AM81" i="1"/>
  <c r="D82" i="1" s="1"/>
  <c r="AP81" i="1"/>
  <c r="AN81" i="1"/>
  <c r="E82" i="1" s="1"/>
  <c r="K306" i="1"/>
  <c r="K307" i="1" l="1"/>
  <c r="U82" i="1"/>
  <c r="R82" i="1"/>
  <c r="AF82" i="1" s="1"/>
  <c r="AJ82" i="1" s="1"/>
  <c r="O82" i="1"/>
  <c r="AE82" i="1" s="1"/>
  <c r="AH82" i="1" s="1"/>
  <c r="Q82" i="1"/>
  <c r="V82" i="1"/>
  <c r="P82" i="1"/>
  <c r="S82" i="1"/>
  <c r="T82" i="1"/>
  <c r="AD82" i="1" l="1"/>
  <c r="X82" i="1"/>
  <c r="AC82" i="1"/>
  <c r="W82" i="1"/>
  <c r="K308" i="1"/>
  <c r="K309" i="1" l="1"/>
  <c r="AG82" i="1"/>
  <c r="AK82" i="1" s="1"/>
  <c r="AA82" i="1"/>
  <c r="AI82" i="1"/>
  <c r="AL82" i="1" s="1"/>
  <c r="AB82" i="1"/>
  <c r="AO82" i="1" l="1"/>
  <c r="AM82" i="1"/>
  <c r="D83" i="1" s="1"/>
  <c r="AP82" i="1"/>
  <c r="AN82" i="1"/>
  <c r="E83" i="1" s="1"/>
  <c r="K310" i="1"/>
  <c r="K311" i="1" l="1"/>
  <c r="U83" i="1"/>
  <c r="R83" i="1"/>
  <c r="AF83" i="1" s="1"/>
  <c r="AJ83" i="1" s="1"/>
  <c r="O83" i="1"/>
  <c r="AE83" i="1" s="1"/>
  <c r="AH83" i="1" s="1"/>
  <c r="Q83" i="1"/>
  <c r="V83" i="1"/>
  <c r="P83" i="1"/>
  <c r="T83" i="1"/>
  <c r="S83" i="1"/>
  <c r="AC83" i="1" l="1"/>
  <c r="W83" i="1"/>
  <c r="K312" i="1"/>
  <c r="AD83" i="1"/>
  <c r="X83" i="1"/>
  <c r="AI83" i="1" l="1"/>
  <c r="AL83" i="1" s="1"/>
  <c r="AB83" i="1"/>
  <c r="K313" i="1"/>
  <c r="AG83" i="1"/>
  <c r="AK83" i="1" s="1"/>
  <c r="AA83" i="1"/>
  <c r="K314" i="1" l="1"/>
  <c r="AO83" i="1"/>
  <c r="AM83" i="1"/>
  <c r="D84" i="1" s="1"/>
  <c r="AP83" i="1"/>
  <c r="AN83" i="1"/>
  <c r="E84" i="1" s="1"/>
  <c r="V84" i="1" l="1"/>
  <c r="P84" i="1"/>
  <c r="T84" i="1"/>
  <c r="S84" i="1"/>
  <c r="R84" i="1"/>
  <c r="AF84" i="1" s="1"/>
  <c r="AJ84" i="1" s="1"/>
  <c r="U84" i="1"/>
  <c r="Q84" i="1"/>
  <c r="O84" i="1"/>
  <c r="AE84" i="1" s="1"/>
  <c r="AH84" i="1" s="1"/>
  <c r="K315" i="1"/>
  <c r="AD84" i="1" l="1"/>
  <c r="X84" i="1"/>
  <c r="K316" i="1"/>
  <c r="AC84" i="1"/>
  <c r="W84" i="1"/>
  <c r="AG84" i="1" l="1"/>
  <c r="AK84" i="1" s="1"/>
  <c r="AA84" i="1"/>
  <c r="K317" i="1"/>
  <c r="AI84" i="1"/>
  <c r="AL84" i="1" s="1"/>
  <c r="AB84" i="1"/>
  <c r="AP84" i="1" l="1"/>
  <c r="AN84" i="1"/>
  <c r="E85" i="1" s="1"/>
  <c r="K318" i="1"/>
  <c r="AO84" i="1"/>
  <c r="AM84" i="1"/>
  <c r="D85" i="1" s="1"/>
  <c r="U85" i="1" l="1"/>
  <c r="R85" i="1"/>
  <c r="AF85" i="1" s="1"/>
  <c r="AJ85" i="1" s="1"/>
  <c r="O85" i="1"/>
  <c r="AE85" i="1" s="1"/>
  <c r="AH85" i="1" s="1"/>
  <c r="Q85" i="1"/>
  <c r="K319" i="1"/>
  <c r="V85" i="1"/>
  <c r="P85" i="1"/>
  <c r="S85" i="1"/>
  <c r="T85" i="1"/>
  <c r="AD85" i="1" l="1"/>
  <c r="X85" i="1"/>
  <c r="K320" i="1"/>
  <c r="AC85" i="1"/>
  <c r="W85" i="1"/>
  <c r="AG85" i="1" l="1"/>
  <c r="AK85" i="1" s="1"/>
  <c r="AA85" i="1"/>
  <c r="K321" i="1"/>
  <c r="AI85" i="1"/>
  <c r="AL85" i="1" s="1"/>
  <c r="AB85" i="1"/>
  <c r="K322" i="1" l="1"/>
  <c r="AP85" i="1"/>
  <c r="AN85" i="1"/>
  <c r="E86" i="1" s="1"/>
  <c r="AO85" i="1"/>
  <c r="AM85" i="1"/>
  <c r="D86" i="1" s="1"/>
  <c r="U86" i="1" l="1"/>
  <c r="R86" i="1"/>
  <c r="AF86" i="1" s="1"/>
  <c r="AJ86" i="1" s="1"/>
  <c r="O86" i="1"/>
  <c r="AE86" i="1" s="1"/>
  <c r="AH86" i="1" s="1"/>
  <c r="Q86" i="1"/>
  <c r="V86" i="1"/>
  <c r="P86" i="1"/>
  <c r="T86" i="1"/>
  <c r="S86" i="1"/>
  <c r="K323" i="1"/>
  <c r="K324" i="1" l="1"/>
  <c r="AC86" i="1"/>
  <c r="W86" i="1"/>
  <c r="AD86" i="1"/>
  <c r="X86" i="1"/>
  <c r="AI86" i="1" l="1"/>
  <c r="AL86" i="1" s="1"/>
  <c r="AB86" i="1"/>
  <c r="AG86" i="1"/>
  <c r="AK86" i="1" s="1"/>
  <c r="AA86" i="1"/>
  <c r="K325" i="1"/>
  <c r="K326" i="1" l="1"/>
  <c r="AO86" i="1"/>
  <c r="AM86" i="1"/>
  <c r="D87" i="1" s="1"/>
  <c r="AP86" i="1"/>
  <c r="AN86" i="1"/>
  <c r="E87" i="1" s="1"/>
  <c r="P87" i="1" l="1"/>
  <c r="V87" i="1"/>
  <c r="S87" i="1"/>
  <c r="T87" i="1"/>
  <c r="U87" i="1"/>
  <c r="R87" i="1"/>
  <c r="AF87" i="1" s="1"/>
  <c r="AJ87" i="1" s="1"/>
  <c r="Q87" i="1"/>
  <c r="O87" i="1"/>
  <c r="AE87" i="1" s="1"/>
  <c r="AH87" i="1" s="1"/>
  <c r="K327" i="1"/>
  <c r="AD87" i="1" l="1"/>
  <c r="X87" i="1"/>
  <c r="K328" i="1"/>
  <c r="AC87" i="1"/>
  <c r="W87" i="1"/>
  <c r="AG87" i="1" l="1"/>
  <c r="AK87" i="1" s="1"/>
  <c r="AA87" i="1"/>
  <c r="K329" i="1"/>
  <c r="AI87" i="1"/>
  <c r="AL87" i="1" s="1"/>
  <c r="AB87" i="1"/>
  <c r="AP87" i="1" l="1"/>
  <c r="AN87" i="1"/>
  <c r="E88" i="1" s="1"/>
  <c r="K330" i="1"/>
  <c r="AO87" i="1"/>
  <c r="AM87" i="1"/>
  <c r="D88" i="1" s="1"/>
  <c r="K331" i="1" l="1"/>
  <c r="U88" i="1"/>
  <c r="R88" i="1"/>
  <c r="AF88" i="1" s="1"/>
  <c r="AJ88" i="1" s="1"/>
  <c r="Q88" i="1"/>
  <c r="O88" i="1"/>
  <c r="AE88" i="1" s="1"/>
  <c r="AH88" i="1" s="1"/>
  <c r="V88" i="1"/>
  <c r="P88" i="1"/>
  <c r="T88" i="1"/>
  <c r="S88" i="1"/>
  <c r="AD88" i="1" l="1"/>
  <c r="X88" i="1"/>
  <c r="AC88" i="1"/>
  <c r="W88" i="1"/>
  <c r="K332" i="1"/>
  <c r="K333" i="1" l="1"/>
  <c r="AG88" i="1"/>
  <c r="AK88" i="1" s="1"/>
  <c r="AA88" i="1"/>
  <c r="AI88" i="1"/>
  <c r="AL88" i="1" s="1"/>
  <c r="AB88" i="1"/>
  <c r="AO88" i="1" l="1"/>
  <c r="AM88" i="1"/>
  <c r="D89" i="1" s="1"/>
  <c r="AP88" i="1"/>
  <c r="AN88" i="1"/>
  <c r="E89" i="1" s="1"/>
  <c r="K334" i="1"/>
  <c r="P89" i="1" l="1"/>
  <c r="V89" i="1"/>
  <c r="S89" i="1"/>
  <c r="T89" i="1"/>
  <c r="K335" i="1"/>
  <c r="R89" i="1"/>
  <c r="AF89" i="1" s="1"/>
  <c r="AJ89" i="1" s="1"/>
  <c r="U89" i="1"/>
  <c r="Q89" i="1"/>
  <c r="O89" i="1"/>
  <c r="AE89" i="1" s="1"/>
  <c r="AH89" i="1" s="1"/>
  <c r="AD89" i="1" l="1"/>
  <c r="X89" i="1"/>
  <c r="K336" i="1"/>
  <c r="AC89" i="1"/>
  <c r="W89" i="1"/>
  <c r="AG89" i="1" l="1"/>
  <c r="AK89" i="1" s="1"/>
  <c r="AA89" i="1"/>
  <c r="K337" i="1"/>
  <c r="AI89" i="1"/>
  <c r="AL89" i="1" s="1"/>
  <c r="AB89" i="1"/>
  <c r="AP89" i="1" l="1"/>
  <c r="AN89" i="1"/>
  <c r="E90" i="1" s="1"/>
  <c r="K338" i="1"/>
  <c r="AO89" i="1"/>
  <c r="AM89" i="1"/>
  <c r="D90" i="1" s="1"/>
  <c r="R90" i="1" l="1"/>
  <c r="AF90" i="1" s="1"/>
  <c r="AJ90" i="1" s="1"/>
  <c r="U90" i="1"/>
  <c r="O90" i="1"/>
  <c r="AE90" i="1" s="1"/>
  <c r="AH90" i="1" s="1"/>
  <c r="Q90" i="1"/>
  <c r="K339" i="1"/>
  <c r="P90" i="1"/>
  <c r="V90" i="1"/>
  <c r="S90" i="1"/>
  <c r="T90" i="1"/>
  <c r="AC90" i="1" l="1"/>
  <c r="W90" i="1"/>
  <c r="AD90" i="1"/>
  <c r="X90" i="1"/>
  <c r="K340" i="1"/>
  <c r="K341" i="1" l="1"/>
  <c r="AI90" i="1"/>
  <c r="AL90" i="1" s="1"/>
  <c r="AB90" i="1"/>
  <c r="AG90" i="1"/>
  <c r="AK90" i="1" s="1"/>
  <c r="AA90" i="1"/>
  <c r="AO90" i="1" l="1"/>
  <c r="AM90" i="1"/>
  <c r="D91" i="1" s="1"/>
  <c r="AP90" i="1"/>
  <c r="AN90" i="1"/>
  <c r="E91" i="1" s="1"/>
  <c r="K342" i="1"/>
  <c r="K343" i="1" l="1"/>
  <c r="P91" i="1"/>
  <c r="V91" i="1"/>
  <c r="T91" i="1"/>
  <c r="S91" i="1"/>
  <c r="R91" i="1"/>
  <c r="AF91" i="1" s="1"/>
  <c r="AJ91" i="1" s="1"/>
  <c r="U91" i="1"/>
  <c r="Q91" i="1"/>
  <c r="O91" i="1"/>
  <c r="AE91" i="1" s="1"/>
  <c r="AH91" i="1" s="1"/>
  <c r="AD91" i="1" l="1"/>
  <c r="X91" i="1"/>
  <c r="K344" i="1"/>
  <c r="AC91" i="1"/>
  <c r="W91" i="1"/>
  <c r="AG91" i="1" l="1"/>
  <c r="AK91" i="1" s="1"/>
  <c r="AA91" i="1"/>
  <c r="K345" i="1"/>
  <c r="AI91" i="1"/>
  <c r="AL91" i="1" s="1"/>
  <c r="AB91" i="1"/>
  <c r="K346" i="1" l="1"/>
  <c r="AP91" i="1"/>
  <c r="AN91" i="1"/>
  <c r="E92" i="1" s="1"/>
  <c r="AO91" i="1"/>
  <c r="AM91" i="1"/>
  <c r="D92" i="1" s="1"/>
  <c r="U92" i="1" l="1"/>
  <c r="R92" i="1"/>
  <c r="AF92" i="1" s="1"/>
  <c r="AJ92" i="1" s="1"/>
  <c r="O92" i="1"/>
  <c r="AE92" i="1" s="1"/>
  <c r="AH92" i="1" s="1"/>
  <c r="Q92" i="1"/>
  <c r="P92" i="1"/>
  <c r="V92" i="1"/>
  <c r="T92" i="1"/>
  <c r="S92" i="1"/>
  <c r="K347" i="1"/>
  <c r="AD92" i="1" l="1"/>
  <c r="X92" i="1"/>
  <c r="AC92" i="1"/>
  <c r="W92" i="1"/>
  <c r="K348" i="1"/>
  <c r="K349" i="1" l="1"/>
  <c r="AG92" i="1"/>
  <c r="AK92" i="1" s="1"/>
  <c r="AA92" i="1"/>
  <c r="AI92" i="1"/>
  <c r="AL92" i="1" s="1"/>
  <c r="AB92" i="1"/>
  <c r="AP92" i="1" l="1"/>
  <c r="AN92" i="1"/>
  <c r="E93" i="1" s="1"/>
  <c r="AO92" i="1"/>
  <c r="AM92" i="1"/>
  <c r="D93" i="1" s="1"/>
  <c r="K350" i="1"/>
  <c r="K351" i="1" l="1"/>
  <c r="V93" i="1"/>
  <c r="P93" i="1"/>
  <c r="T93" i="1"/>
  <c r="S93" i="1"/>
  <c r="U93" i="1"/>
  <c r="R93" i="1"/>
  <c r="AF93" i="1" s="1"/>
  <c r="AJ93" i="1" s="1"/>
  <c r="O93" i="1"/>
  <c r="AE93" i="1" s="1"/>
  <c r="AH93" i="1" s="1"/>
  <c r="Q93" i="1"/>
  <c r="AD93" i="1" l="1"/>
  <c r="X93" i="1"/>
  <c r="AC93" i="1"/>
  <c r="W93" i="1"/>
  <c r="K352" i="1"/>
  <c r="K353" i="1" l="1"/>
  <c r="AG93" i="1"/>
  <c r="AK93" i="1" s="1"/>
  <c r="AA93" i="1"/>
  <c r="AI93" i="1"/>
  <c r="AL93" i="1" s="1"/>
  <c r="AB93" i="1"/>
  <c r="AP93" i="1" l="1"/>
  <c r="AN93" i="1"/>
  <c r="E94" i="1" s="1"/>
  <c r="AO93" i="1"/>
  <c r="AM93" i="1"/>
  <c r="D94" i="1" s="1"/>
  <c r="K354" i="1"/>
  <c r="U94" i="1" l="1"/>
  <c r="R94" i="1"/>
  <c r="AF94" i="1" s="1"/>
  <c r="AJ94" i="1" s="1"/>
  <c r="O94" i="1"/>
  <c r="AE94" i="1" s="1"/>
  <c r="AH94" i="1" s="1"/>
  <c r="Q94" i="1"/>
  <c r="V94" i="1"/>
  <c r="P94" i="1"/>
  <c r="S94" i="1"/>
  <c r="T94" i="1"/>
  <c r="K355" i="1"/>
  <c r="W94" i="1" l="1"/>
  <c r="AC94" i="1"/>
  <c r="AD94" i="1"/>
  <c r="X94" i="1"/>
  <c r="K356" i="1"/>
  <c r="K357" i="1" l="1"/>
  <c r="AI94" i="1"/>
  <c r="AL94" i="1" s="1"/>
  <c r="AB94" i="1"/>
  <c r="AG94" i="1"/>
  <c r="AK94" i="1" s="1"/>
  <c r="AA94" i="1"/>
  <c r="AP94" i="1" l="1"/>
  <c r="AN94" i="1"/>
  <c r="E95" i="1" s="1"/>
  <c r="AO94" i="1"/>
  <c r="AM94" i="1"/>
  <c r="D95" i="1" s="1"/>
  <c r="K358" i="1"/>
  <c r="K359" i="1" l="1"/>
  <c r="U95" i="1"/>
  <c r="R95" i="1"/>
  <c r="AF95" i="1" s="1"/>
  <c r="AJ95" i="1" s="1"/>
  <c r="Q95" i="1"/>
  <c r="O95" i="1"/>
  <c r="AE95" i="1" s="1"/>
  <c r="AH95" i="1" s="1"/>
  <c r="V95" i="1"/>
  <c r="P95" i="1"/>
  <c r="S95" i="1"/>
  <c r="T95" i="1"/>
  <c r="X95" i="1" l="1"/>
  <c r="AD95" i="1"/>
  <c r="W95" i="1"/>
  <c r="AC95" i="1"/>
  <c r="K360" i="1"/>
  <c r="K361" i="1" l="1"/>
  <c r="AG95" i="1"/>
  <c r="AK95" i="1" s="1"/>
  <c r="AA95" i="1"/>
  <c r="AI95" i="1"/>
  <c r="AL95" i="1" s="1"/>
  <c r="AB95" i="1"/>
  <c r="AP95" i="1" l="1"/>
  <c r="AN95" i="1"/>
  <c r="E96" i="1" s="1"/>
  <c r="AO95" i="1"/>
  <c r="AM95" i="1"/>
  <c r="D96" i="1" s="1"/>
  <c r="K362" i="1"/>
  <c r="U96" i="1" l="1"/>
  <c r="R96" i="1"/>
  <c r="AF96" i="1" s="1"/>
  <c r="AJ96" i="1" s="1"/>
  <c r="O96" i="1"/>
  <c r="AE96" i="1" s="1"/>
  <c r="AH96" i="1" s="1"/>
  <c r="Q96" i="1"/>
  <c r="V96" i="1"/>
  <c r="P96" i="1"/>
  <c r="S96" i="1"/>
  <c r="T96" i="1"/>
  <c r="K363" i="1"/>
  <c r="K364" i="1" l="1"/>
  <c r="W96" i="1"/>
  <c r="AC96" i="1"/>
  <c r="X96" i="1"/>
  <c r="AD96" i="1"/>
  <c r="AI96" i="1" l="1"/>
  <c r="AL96" i="1" s="1"/>
  <c r="AB96" i="1"/>
  <c r="AG96" i="1"/>
  <c r="AK96" i="1" s="1"/>
  <c r="AA96" i="1"/>
  <c r="K365" i="1"/>
  <c r="AO96" i="1" l="1"/>
  <c r="AM96" i="1"/>
  <c r="D97" i="1" s="1"/>
  <c r="K366" i="1"/>
  <c r="AP96" i="1"/>
  <c r="AN96" i="1"/>
  <c r="E97" i="1" s="1"/>
  <c r="K367" i="1" l="1"/>
  <c r="V97" i="1"/>
  <c r="P97" i="1"/>
  <c r="T97" i="1"/>
  <c r="S97" i="1"/>
  <c r="U97" i="1"/>
  <c r="R97" i="1"/>
  <c r="AF97" i="1" s="1"/>
  <c r="AJ97" i="1" s="1"/>
  <c r="O97" i="1"/>
  <c r="AE97" i="1" s="1"/>
  <c r="AH97" i="1" s="1"/>
  <c r="Q97" i="1"/>
  <c r="X97" i="1" l="1"/>
  <c r="AD97" i="1"/>
  <c r="W97" i="1"/>
  <c r="AC97" i="1"/>
  <c r="K368" i="1"/>
  <c r="K369" i="1" l="1"/>
  <c r="AG97" i="1"/>
  <c r="AK97" i="1" s="1"/>
  <c r="AA97" i="1"/>
  <c r="AI97" i="1"/>
  <c r="AL97" i="1" s="1"/>
  <c r="AB97" i="1"/>
  <c r="AP97" i="1" l="1"/>
  <c r="AN97" i="1"/>
  <c r="E98" i="1" s="1"/>
  <c r="AO97" i="1"/>
  <c r="AM97" i="1"/>
  <c r="D98" i="1" s="1"/>
  <c r="K370" i="1"/>
  <c r="U98" i="1" l="1"/>
  <c r="R98" i="1"/>
  <c r="AF98" i="1" s="1"/>
  <c r="AJ98" i="1" s="1"/>
  <c r="Q98" i="1"/>
  <c r="O98" i="1"/>
  <c r="AE98" i="1" s="1"/>
  <c r="AH98" i="1" s="1"/>
  <c r="K371" i="1"/>
  <c r="V98" i="1"/>
  <c r="P98" i="1"/>
  <c r="S98" i="1"/>
  <c r="T98" i="1"/>
  <c r="AC98" i="1" l="1"/>
  <c r="W98" i="1"/>
  <c r="K372" i="1"/>
  <c r="X98" i="1"/>
  <c r="AD98" i="1"/>
  <c r="AI98" i="1" l="1"/>
  <c r="AL98" i="1" s="1"/>
  <c r="AB98" i="1"/>
  <c r="K373" i="1"/>
  <c r="AG98" i="1"/>
  <c r="AK98" i="1" s="1"/>
  <c r="AA98" i="1"/>
  <c r="AO98" i="1" l="1"/>
  <c r="AM98" i="1"/>
  <c r="D99" i="1" s="1"/>
  <c r="K374" i="1"/>
  <c r="AP98" i="1"/>
  <c r="AN98" i="1"/>
  <c r="E99" i="1" s="1"/>
  <c r="U99" i="1" l="1"/>
  <c r="R99" i="1"/>
  <c r="AF99" i="1" s="1"/>
  <c r="AJ99" i="1" s="1"/>
  <c r="Q99" i="1"/>
  <c r="O99" i="1"/>
  <c r="AE99" i="1" s="1"/>
  <c r="AH99" i="1" s="1"/>
  <c r="V99" i="1"/>
  <c r="P99" i="1"/>
  <c r="T99" i="1"/>
  <c r="S99" i="1"/>
  <c r="K375" i="1"/>
  <c r="K376" i="1" l="1"/>
  <c r="AC99" i="1"/>
  <c r="W99" i="1"/>
  <c r="AD99" i="1"/>
  <c r="X99" i="1"/>
  <c r="AI99" i="1" l="1"/>
  <c r="AL99" i="1" s="1"/>
  <c r="AB99" i="1"/>
  <c r="AG99" i="1"/>
  <c r="AK99" i="1" s="1"/>
  <c r="AA99" i="1"/>
  <c r="K377" i="1"/>
  <c r="AO99" i="1" l="1"/>
  <c r="AM99" i="1"/>
  <c r="D100" i="1" s="1"/>
  <c r="K378" i="1"/>
  <c r="AP99" i="1"/>
  <c r="AN99" i="1"/>
  <c r="E100" i="1" s="1"/>
  <c r="U100" i="1" l="1"/>
  <c r="R100" i="1"/>
  <c r="AF100" i="1" s="1"/>
  <c r="AJ100" i="1" s="1"/>
  <c r="Q100" i="1"/>
  <c r="O100" i="1"/>
  <c r="AE100" i="1" s="1"/>
  <c r="AH100" i="1" s="1"/>
  <c r="V100" i="1"/>
  <c r="P100" i="1"/>
  <c r="S100" i="1"/>
  <c r="T100" i="1"/>
  <c r="K379" i="1"/>
  <c r="AC100" i="1" l="1"/>
  <c r="W100" i="1"/>
  <c r="AD100" i="1"/>
  <c r="X100" i="1"/>
  <c r="K380" i="1"/>
  <c r="K381" i="1" l="1"/>
  <c r="AI100" i="1"/>
  <c r="AL100" i="1" s="1"/>
  <c r="AB100" i="1"/>
  <c r="AG100" i="1"/>
  <c r="AK100" i="1" s="1"/>
  <c r="AA100" i="1"/>
  <c r="AP100" i="1" l="1"/>
  <c r="AN100" i="1"/>
  <c r="E101" i="1" s="1"/>
  <c r="AO100" i="1"/>
  <c r="AM100" i="1"/>
  <c r="D101" i="1" s="1"/>
  <c r="K382" i="1"/>
  <c r="V101" i="1" l="1"/>
  <c r="P101" i="1"/>
  <c r="S101" i="1"/>
  <c r="T101" i="1"/>
  <c r="K383" i="1"/>
  <c r="U101" i="1"/>
  <c r="R101" i="1"/>
  <c r="AF101" i="1" s="1"/>
  <c r="AJ101" i="1" s="1"/>
  <c r="Q101" i="1"/>
  <c r="O101" i="1"/>
  <c r="AE101" i="1" s="1"/>
  <c r="AH101" i="1" s="1"/>
  <c r="K384" i="1" l="1"/>
  <c r="AD101" i="1"/>
  <c r="X101" i="1"/>
  <c r="AC101" i="1"/>
  <c r="W101" i="1"/>
  <c r="AG101" i="1" l="1"/>
  <c r="AK101" i="1" s="1"/>
  <c r="AA101" i="1"/>
  <c r="AI101" i="1"/>
  <c r="AL101" i="1" s="1"/>
  <c r="AB101" i="1"/>
  <c r="K385" i="1"/>
  <c r="AP101" i="1" l="1"/>
  <c r="AN101" i="1"/>
  <c r="E102" i="1" s="1"/>
  <c r="K386" i="1"/>
  <c r="AO101" i="1"/>
  <c r="AM101" i="1"/>
  <c r="D102" i="1" s="1"/>
  <c r="V102" i="1" l="1"/>
  <c r="P102" i="1"/>
  <c r="S102" i="1"/>
  <c r="T102" i="1"/>
  <c r="U102" i="1"/>
  <c r="R102" i="1"/>
  <c r="AF102" i="1" s="1"/>
  <c r="AJ102" i="1" s="1"/>
  <c r="Q102" i="1"/>
  <c r="O102" i="1"/>
  <c r="AE102" i="1" s="1"/>
  <c r="AH102" i="1" s="1"/>
  <c r="K387" i="1"/>
  <c r="K388" i="1" l="1"/>
  <c r="AC102" i="1"/>
  <c r="W102" i="1"/>
  <c r="AD102" i="1"/>
  <c r="X102" i="1"/>
  <c r="AG102" i="1" l="1"/>
  <c r="AK102" i="1" s="1"/>
  <c r="AA102" i="1"/>
  <c r="AI102" i="1"/>
  <c r="AL102" i="1" s="1"/>
  <c r="AB102" i="1"/>
  <c r="K389" i="1"/>
  <c r="AP102" i="1" l="1"/>
  <c r="AN102" i="1"/>
  <c r="E103" i="1" s="1"/>
  <c r="K390" i="1"/>
  <c r="AO102" i="1"/>
  <c r="AM102" i="1"/>
  <c r="D103" i="1" s="1"/>
  <c r="K391" i="1" l="1"/>
  <c r="U103" i="1"/>
  <c r="R103" i="1"/>
  <c r="AF103" i="1" s="1"/>
  <c r="AJ103" i="1" s="1"/>
  <c r="Q103" i="1"/>
  <c r="O103" i="1"/>
  <c r="AE103" i="1" s="1"/>
  <c r="AH103" i="1" s="1"/>
  <c r="V103" i="1"/>
  <c r="P103" i="1"/>
  <c r="T103" i="1"/>
  <c r="S103" i="1"/>
  <c r="AD103" i="1" l="1"/>
  <c r="X103" i="1"/>
  <c r="AC103" i="1"/>
  <c r="W103" i="1"/>
  <c r="K392" i="1"/>
  <c r="K393" i="1" l="1"/>
  <c r="AG103" i="1"/>
  <c r="AK103" i="1" s="1"/>
  <c r="AA103" i="1"/>
  <c r="AI103" i="1"/>
  <c r="AL103" i="1" s="1"/>
  <c r="AB103" i="1"/>
  <c r="AP103" i="1" l="1"/>
  <c r="AN103" i="1"/>
  <c r="E104" i="1" s="1"/>
  <c r="K394" i="1"/>
  <c r="AO103" i="1"/>
  <c r="AM103" i="1"/>
  <c r="D104" i="1" s="1"/>
  <c r="R104" i="1" l="1"/>
  <c r="AF104" i="1" s="1"/>
  <c r="AJ104" i="1" s="1"/>
  <c r="U104" i="1"/>
  <c r="Q104" i="1"/>
  <c r="O104" i="1"/>
  <c r="AE104" i="1" s="1"/>
  <c r="AH104" i="1" s="1"/>
  <c r="V104" i="1"/>
  <c r="P104" i="1"/>
  <c r="T104" i="1"/>
  <c r="S104" i="1"/>
  <c r="K395" i="1"/>
  <c r="AD104" i="1" l="1"/>
  <c r="X104" i="1"/>
  <c r="AC104" i="1"/>
  <c r="W104" i="1"/>
  <c r="K396" i="1"/>
  <c r="K397" i="1" l="1"/>
  <c r="AG104" i="1"/>
  <c r="AK104" i="1" s="1"/>
  <c r="AA104" i="1"/>
  <c r="AI104" i="1"/>
  <c r="AL104" i="1" s="1"/>
  <c r="AB104" i="1"/>
  <c r="AP104" i="1" l="1"/>
  <c r="AN104" i="1"/>
  <c r="E105" i="1" s="1"/>
  <c r="AO104" i="1"/>
  <c r="AM104" i="1"/>
  <c r="D105" i="1" s="1"/>
  <c r="K398" i="1"/>
  <c r="K399" i="1" l="1"/>
  <c r="U105" i="1"/>
  <c r="R105" i="1"/>
  <c r="AF105" i="1" s="1"/>
  <c r="AJ105" i="1" s="1"/>
  <c r="O105" i="1"/>
  <c r="AE105" i="1" s="1"/>
  <c r="AH105" i="1" s="1"/>
  <c r="Q105" i="1"/>
  <c r="V105" i="1"/>
  <c r="P105" i="1"/>
  <c r="S105" i="1"/>
  <c r="T105" i="1"/>
  <c r="AD105" i="1" l="1"/>
  <c r="X105" i="1"/>
  <c r="AC105" i="1"/>
  <c r="W105" i="1"/>
  <c r="K400" i="1"/>
  <c r="K401" i="1" l="1"/>
  <c r="AG105" i="1"/>
  <c r="AK105" i="1" s="1"/>
  <c r="AA105" i="1"/>
  <c r="AI105" i="1"/>
  <c r="AL105" i="1" s="1"/>
  <c r="AB105" i="1"/>
  <c r="AO105" i="1" l="1"/>
  <c r="AM105" i="1"/>
  <c r="D106" i="1" s="1"/>
  <c r="AP105" i="1"/>
  <c r="AN105" i="1"/>
  <c r="E106" i="1" s="1"/>
  <c r="K402" i="1"/>
  <c r="K403" i="1" l="1"/>
  <c r="U106" i="1"/>
  <c r="R106" i="1"/>
  <c r="AF106" i="1" s="1"/>
  <c r="AJ106" i="1" s="1"/>
  <c r="O106" i="1"/>
  <c r="AE106" i="1" s="1"/>
  <c r="AH106" i="1" s="1"/>
  <c r="Q106" i="1"/>
  <c r="V106" i="1"/>
  <c r="P106" i="1"/>
  <c r="T106" i="1"/>
  <c r="S106" i="1"/>
  <c r="AD106" i="1" l="1"/>
  <c r="X106" i="1"/>
  <c r="AC106" i="1"/>
  <c r="W106" i="1"/>
  <c r="K404" i="1"/>
  <c r="K405" i="1" l="1"/>
  <c r="AG106" i="1"/>
  <c r="AK106" i="1" s="1"/>
  <c r="AA106" i="1"/>
  <c r="AI106" i="1"/>
  <c r="AL106" i="1" s="1"/>
  <c r="AB106" i="1"/>
  <c r="AP106" i="1" l="1"/>
  <c r="AN106" i="1"/>
  <c r="E107" i="1" s="1"/>
  <c r="AO106" i="1"/>
  <c r="AM106" i="1"/>
  <c r="D107" i="1" s="1"/>
  <c r="K406" i="1"/>
  <c r="K407" i="1" l="1"/>
  <c r="P107" i="1"/>
  <c r="V107" i="1"/>
  <c r="T107" i="1"/>
  <c r="S107" i="1"/>
  <c r="U107" i="1"/>
  <c r="R107" i="1"/>
  <c r="AF107" i="1" s="1"/>
  <c r="AJ107" i="1" s="1"/>
  <c r="O107" i="1"/>
  <c r="AE107" i="1" s="1"/>
  <c r="AH107" i="1" s="1"/>
  <c r="Q107" i="1"/>
  <c r="AD107" i="1" l="1"/>
  <c r="X107" i="1"/>
  <c r="AC107" i="1"/>
  <c r="W107" i="1"/>
  <c r="K408" i="1"/>
  <c r="K409" i="1" l="1"/>
  <c r="AG107" i="1"/>
  <c r="AK107" i="1" s="1"/>
  <c r="AA107" i="1"/>
  <c r="AI107" i="1"/>
  <c r="AL107" i="1" s="1"/>
  <c r="AB107" i="1"/>
  <c r="AP107" i="1" l="1"/>
  <c r="AN107" i="1"/>
  <c r="E108" i="1" s="1"/>
  <c r="AO107" i="1"/>
  <c r="AM107" i="1"/>
  <c r="D108" i="1" s="1"/>
  <c r="K410" i="1"/>
  <c r="U108" i="1" l="1"/>
  <c r="R108" i="1"/>
  <c r="AF108" i="1" s="1"/>
  <c r="AJ108" i="1" s="1"/>
  <c r="O108" i="1"/>
  <c r="AE108" i="1" s="1"/>
  <c r="AH108" i="1" s="1"/>
  <c r="Q108" i="1"/>
  <c r="K411" i="1"/>
  <c r="P108" i="1"/>
  <c r="V108" i="1"/>
  <c r="S108" i="1"/>
  <c r="T108" i="1"/>
  <c r="AD108" i="1" l="1"/>
  <c r="X108" i="1"/>
  <c r="K412" i="1"/>
  <c r="AC108" i="1"/>
  <c r="W108" i="1"/>
  <c r="AG108" i="1" l="1"/>
  <c r="AK108" i="1" s="1"/>
  <c r="AA108" i="1"/>
  <c r="K413" i="1"/>
  <c r="AI108" i="1"/>
  <c r="AL108" i="1" s="1"/>
  <c r="AB108" i="1"/>
  <c r="K414" i="1" l="1"/>
  <c r="AP108" i="1"/>
  <c r="AN108" i="1"/>
  <c r="E109" i="1" s="1"/>
  <c r="AO108" i="1"/>
  <c r="AM108" i="1"/>
  <c r="D109" i="1" s="1"/>
  <c r="P109" i="1" l="1"/>
  <c r="V109" i="1"/>
  <c r="T109" i="1"/>
  <c r="S109" i="1"/>
  <c r="R109" i="1"/>
  <c r="AF109" i="1" s="1"/>
  <c r="AJ109" i="1" s="1"/>
  <c r="U109" i="1"/>
  <c r="O109" i="1"/>
  <c r="AE109" i="1" s="1"/>
  <c r="AH109" i="1" s="1"/>
  <c r="Q109" i="1"/>
  <c r="K415" i="1"/>
  <c r="K416" i="1" l="1"/>
  <c r="AD109" i="1"/>
  <c r="X109" i="1"/>
  <c r="AC109" i="1"/>
  <c r="W109" i="1"/>
  <c r="AI109" i="1" l="1"/>
  <c r="AL109" i="1" s="1"/>
  <c r="AB109" i="1"/>
  <c r="AG109" i="1"/>
  <c r="AK109" i="1" s="1"/>
  <c r="AA109" i="1"/>
  <c r="K417" i="1"/>
  <c r="AO109" i="1" l="1"/>
  <c r="AM109" i="1"/>
  <c r="D110" i="1" s="1"/>
  <c r="K418" i="1"/>
  <c r="AP109" i="1"/>
  <c r="AN109" i="1"/>
  <c r="E110" i="1" s="1"/>
  <c r="P110" i="1" l="1"/>
  <c r="V110" i="1"/>
  <c r="S110" i="1"/>
  <c r="T110" i="1"/>
  <c r="R110" i="1"/>
  <c r="AF110" i="1" s="1"/>
  <c r="AJ110" i="1" s="1"/>
  <c r="U110" i="1"/>
  <c r="Q110" i="1"/>
  <c r="O110" i="1"/>
  <c r="AE110" i="1" s="1"/>
  <c r="AH110" i="1" s="1"/>
  <c r="K419" i="1"/>
  <c r="K420" i="1" l="1"/>
  <c r="AD110" i="1"/>
  <c r="X110" i="1"/>
  <c r="W110" i="1"/>
  <c r="AC110" i="1"/>
  <c r="AG110" i="1" l="1"/>
  <c r="AK110" i="1" s="1"/>
  <c r="AA110" i="1"/>
  <c r="AI110" i="1"/>
  <c r="AL110" i="1" s="1"/>
  <c r="AB110" i="1"/>
  <c r="K421" i="1"/>
  <c r="K422" i="1" l="1"/>
  <c r="AP110" i="1"/>
  <c r="AN110" i="1"/>
  <c r="E111" i="1" s="1"/>
  <c r="AO110" i="1"/>
  <c r="AM110" i="1"/>
  <c r="D111" i="1" s="1"/>
  <c r="R111" i="1" l="1"/>
  <c r="AF111" i="1" s="1"/>
  <c r="AJ111" i="1" s="1"/>
  <c r="U111" i="1"/>
  <c r="O111" i="1"/>
  <c r="AE111" i="1" s="1"/>
  <c r="AH111" i="1" s="1"/>
  <c r="Q111" i="1"/>
  <c r="P111" i="1"/>
  <c r="V111" i="1"/>
  <c r="T111" i="1"/>
  <c r="S111" i="1"/>
  <c r="K423" i="1"/>
  <c r="X111" i="1" l="1"/>
  <c r="AD111" i="1"/>
  <c r="AC111" i="1"/>
  <c r="W111" i="1"/>
  <c r="K424" i="1"/>
  <c r="K425" i="1" l="1"/>
  <c r="AI111" i="1"/>
  <c r="AL111" i="1" s="1"/>
  <c r="AB111" i="1"/>
  <c r="AG111" i="1"/>
  <c r="AK111" i="1" s="1"/>
  <c r="AA111" i="1"/>
  <c r="AO111" i="1" l="1"/>
  <c r="AM111" i="1"/>
  <c r="D112" i="1" s="1"/>
  <c r="AP111" i="1"/>
  <c r="AN111" i="1"/>
  <c r="E112" i="1" s="1"/>
  <c r="K426" i="1"/>
  <c r="P112" i="1" l="1"/>
  <c r="V112" i="1"/>
  <c r="S112" i="1"/>
  <c r="T112" i="1"/>
  <c r="K427" i="1"/>
  <c r="U112" i="1"/>
  <c r="R112" i="1"/>
  <c r="AF112" i="1" s="1"/>
  <c r="AJ112" i="1" s="1"/>
  <c r="O112" i="1"/>
  <c r="AE112" i="1" s="1"/>
  <c r="AH112" i="1" s="1"/>
  <c r="Q112" i="1"/>
  <c r="AD112" i="1" l="1"/>
  <c r="X112" i="1"/>
  <c r="K428" i="1"/>
  <c r="AC112" i="1"/>
  <c r="W112" i="1"/>
  <c r="K429" i="1" l="1"/>
  <c r="AG112" i="1"/>
  <c r="AK112" i="1" s="1"/>
  <c r="AA112" i="1"/>
  <c r="AI112" i="1"/>
  <c r="AL112" i="1" s="1"/>
  <c r="AB112" i="1"/>
  <c r="AP112" i="1" l="1"/>
  <c r="AN112" i="1"/>
  <c r="E113" i="1" s="1"/>
  <c r="AO112" i="1"/>
  <c r="AM112" i="1"/>
  <c r="D113" i="1" s="1"/>
  <c r="K430" i="1"/>
  <c r="K431" i="1" l="1"/>
  <c r="U113" i="1"/>
  <c r="R113" i="1"/>
  <c r="AF113" i="1" s="1"/>
  <c r="AJ113" i="1" s="1"/>
  <c r="Q113" i="1"/>
  <c r="O113" i="1"/>
  <c r="AE113" i="1" s="1"/>
  <c r="AH113" i="1" s="1"/>
  <c r="V113" i="1"/>
  <c r="P113" i="1"/>
  <c r="T113" i="1"/>
  <c r="S113" i="1"/>
  <c r="AD113" i="1" l="1"/>
  <c r="X113" i="1"/>
  <c r="AC113" i="1"/>
  <c r="W113" i="1"/>
  <c r="K432" i="1"/>
  <c r="K433" i="1" l="1"/>
  <c r="AG113" i="1"/>
  <c r="AK113" i="1" s="1"/>
  <c r="AA113" i="1"/>
  <c r="AI113" i="1"/>
  <c r="AL113" i="1" s="1"/>
  <c r="AB113" i="1"/>
  <c r="AO113" i="1" l="1"/>
  <c r="AM113" i="1"/>
  <c r="D114" i="1" s="1"/>
  <c r="AP113" i="1"/>
  <c r="AN113" i="1"/>
  <c r="E114" i="1" s="1"/>
  <c r="K434" i="1"/>
  <c r="V114" i="1" l="1"/>
  <c r="P114" i="1"/>
  <c r="S114" i="1"/>
  <c r="T114" i="1"/>
  <c r="K435" i="1"/>
  <c r="U114" i="1"/>
  <c r="R114" i="1"/>
  <c r="AF114" i="1" s="1"/>
  <c r="AJ114" i="1" s="1"/>
  <c r="O114" i="1"/>
  <c r="AE114" i="1" s="1"/>
  <c r="AH114" i="1" s="1"/>
  <c r="Q114" i="1"/>
  <c r="K436" i="1" l="1"/>
  <c r="W114" i="1"/>
  <c r="AC114" i="1"/>
  <c r="AD114" i="1"/>
  <c r="X114" i="1"/>
  <c r="AG114" i="1" l="1"/>
  <c r="AK114" i="1" s="1"/>
  <c r="AA114" i="1"/>
  <c r="AI114" i="1"/>
  <c r="AL114" i="1" s="1"/>
  <c r="AB114" i="1"/>
  <c r="K437" i="1"/>
  <c r="AP114" i="1" l="1"/>
  <c r="AN114" i="1"/>
  <c r="E115" i="1" s="1"/>
  <c r="K438" i="1"/>
  <c r="AO114" i="1"/>
  <c r="AM114" i="1"/>
  <c r="D115" i="1" s="1"/>
  <c r="K439" i="1" l="1"/>
  <c r="U115" i="1"/>
  <c r="R115" i="1"/>
  <c r="AF115" i="1" s="1"/>
  <c r="AJ115" i="1" s="1"/>
  <c r="Q115" i="1"/>
  <c r="O115" i="1"/>
  <c r="AE115" i="1" s="1"/>
  <c r="AH115" i="1" s="1"/>
  <c r="V115" i="1"/>
  <c r="P115" i="1"/>
  <c r="S115" i="1"/>
  <c r="T115" i="1"/>
  <c r="W115" i="1" l="1"/>
  <c r="AC115" i="1"/>
  <c r="X115" i="1"/>
  <c r="AD115" i="1"/>
  <c r="K440" i="1"/>
  <c r="K441" i="1" l="1"/>
  <c r="AI115" i="1"/>
  <c r="AL115" i="1" s="1"/>
  <c r="AB115" i="1"/>
  <c r="AG115" i="1"/>
  <c r="AK115" i="1" s="1"/>
  <c r="AA115" i="1"/>
  <c r="AP115" i="1" l="1"/>
  <c r="AN115" i="1"/>
  <c r="E116" i="1" s="1"/>
  <c r="AO115" i="1"/>
  <c r="AM115" i="1"/>
  <c r="D116" i="1" s="1"/>
  <c r="K442" i="1"/>
  <c r="V116" i="1" l="1"/>
  <c r="P116" i="1"/>
  <c r="T116" i="1"/>
  <c r="S116" i="1"/>
  <c r="K443" i="1"/>
  <c r="U116" i="1"/>
  <c r="R116" i="1"/>
  <c r="AF116" i="1" s="1"/>
  <c r="AJ116" i="1" s="1"/>
  <c r="O116" i="1"/>
  <c r="AE116" i="1" s="1"/>
  <c r="AH116" i="1" s="1"/>
  <c r="Q116" i="1"/>
  <c r="K444" i="1" l="1"/>
  <c r="W116" i="1"/>
  <c r="AC116" i="1"/>
  <c r="X116" i="1"/>
  <c r="AD116" i="1"/>
  <c r="AG116" i="1" l="1"/>
  <c r="AK116" i="1" s="1"/>
  <c r="AA116" i="1"/>
  <c r="AI116" i="1"/>
  <c r="AL116" i="1" s="1"/>
  <c r="AB116" i="1"/>
  <c r="K445" i="1"/>
  <c r="AP116" i="1" l="1"/>
  <c r="AN116" i="1"/>
  <c r="E117" i="1" s="1"/>
  <c r="K446" i="1"/>
  <c r="AO116" i="1"/>
  <c r="AM116" i="1"/>
  <c r="D117" i="1" s="1"/>
  <c r="K447" i="1" l="1"/>
  <c r="U117" i="1"/>
  <c r="R117" i="1"/>
  <c r="AF117" i="1" s="1"/>
  <c r="AJ117" i="1" s="1"/>
  <c r="O117" i="1"/>
  <c r="AE117" i="1" s="1"/>
  <c r="AH117" i="1" s="1"/>
  <c r="Q117" i="1"/>
  <c r="V117" i="1"/>
  <c r="P117" i="1"/>
  <c r="T117" i="1"/>
  <c r="S117" i="1"/>
  <c r="X117" i="1" l="1"/>
  <c r="AD117" i="1"/>
  <c r="W117" i="1"/>
  <c r="AC117" i="1"/>
  <c r="K448" i="1"/>
  <c r="K449" i="1" l="1"/>
  <c r="AG117" i="1"/>
  <c r="AK117" i="1" s="1"/>
  <c r="AA117" i="1"/>
  <c r="AI117" i="1"/>
  <c r="AL117" i="1" s="1"/>
  <c r="AB117" i="1"/>
  <c r="AO117" i="1" l="1"/>
  <c r="AM117" i="1"/>
  <c r="D118" i="1" s="1"/>
  <c r="AP117" i="1"/>
  <c r="AN117" i="1"/>
  <c r="E118" i="1" s="1"/>
  <c r="K450" i="1"/>
  <c r="K451" i="1" l="1"/>
  <c r="V118" i="1"/>
  <c r="P118" i="1"/>
  <c r="T118" i="1"/>
  <c r="S118" i="1"/>
  <c r="U118" i="1"/>
  <c r="R118" i="1"/>
  <c r="AF118" i="1" s="1"/>
  <c r="AJ118" i="1" s="1"/>
  <c r="O118" i="1"/>
  <c r="AE118" i="1" s="1"/>
  <c r="AH118" i="1" s="1"/>
  <c r="Q118" i="1"/>
  <c r="AC118" i="1" l="1"/>
  <c r="W118" i="1"/>
  <c r="X118" i="1"/>
  <c r="AD118" i="1"/>
  <c r="K452" i="1"/>
  <c r="AI118" i="1" l="1"/>
  <c r="AL118" i="1" s="1"/>
  <c r="AB118" i="1"/>
  <c r="K453" i="1"/>
  <c r="AG118" i="1"/>
  <c r="AK118" i="1" s="1"/>
  <c r="AA118" i="1"/>
  <c r="K454" i="1" l="1"/>
  <c r="AO118" i="1"/>
  <c r="AM118" i="1"/>
  <c r="D119" i="1" s="1"/>
  <c r="AP118" i="1"/>
  <c r="AN118" i="1"/>
  <c r="E119" i="1" s="1"/>
  <c r="U119" i="1" l="1"/>
  <c r="R119" i="1"/>
  <c r="AF119" i="1" s="1"/>
  <c r="AJ119" i="1" s="1"/>
  <c r="O119" i="1"/>
  <c r="AE119" i="1" s="1"/>
  <c r="AH119" i="1" s="1"/>
  <c r="Q119" i="1"/>
  <c r="V119" i="1"/>
  <c r="P119" i="1"/>
  <c r="S119" i="1"/>
  <c r="T119" i="1"/>
  <c r="K455" i="1"/>
  <c r="AD119" i="1" l="1"/>
  <c r="X119" i="1"/>
  <c r="AC119" i="1"/>
  <c r="W119" i="1"/>
  <c r="K456" i="1"/>
  <c r="AG119" i="1" l="1"/>
  <c r="AK119" i="1" s="1"/>
  <c r="AA119" i="1"/>
  <c r="K457" i="1"/>
  <c r="AI119" i="1"/>
  <c r="AL119" i="1" s="1"/>
  <c r="AB119" i="1"/>
  <c r="K458" i="1" l="1"/>
  <c r="AP119" i="1"/>
  <c r="AN119" i="1"/>
  <c r="E120" i="1" s="1"/>
  <c r="AO119" i="1"/>
  <c r="AM119" i="1"/>
  <c r="D120" i="1" s="1"/>
  <c r="V120" i="1" l="1"/>
  <c r="P120" i="1"/>
  <c r="S120" i="1"/>
  <c r="T120" i="1"/>
  <c r="R120" i="1"/>
  <c r="AF120" i="1" s="1"/>
  <c r="AJ120" i="1" s="1"/>
  <c r="U120" i="1"/>
  <c r="O120" i="1"/>
  <c r="AE120" i="1" s="1"/>
  <c r="AH120" i="1" s="1"/>
  <c r="Q120" i="1"/>
  <c r="K459" i="1"/>
  <c r="K460" i="1" l="1"/>
  <c r="AC120" i="1"/>
  <c r="W120" i="1"/>
  <c r="AD120" i="1"/>
  <c r="X120" i="1"/>
  <c r="AI120" i="1" l="1"/>
  <c r="AL120" i="1" s="1"/>
  <c r="AB120" i="1"/>
  <c r="AG120" i="1"/>
  <c r="AK120" i="1" s="1"/>
  <c r="AA120" i="1"/>
  <c r="K461" i="1"/>
  <c r="AO120" i="1" l="1"/>
  <c r="AM120" i="1"/>
  <c r="D121" i="1" s="1"/>
  <c r="K462" i="1"/>
  <c r="AP120" i="1"/>
  <c r="AN120" i="1"/>
  <c r="E121" i="1" s="1"/>
  <c r="P121" i="1" l="1"/>
  <c r="V121" i="1"/>
  <c r="S121" i="1"/>
  <c r="T121" i="1"/>
  <c r="R121" i="1"/>
  <c r="AF121" i="1" s="1"/>
  <c r="AJ121" i="1" s="1"/>
  <c r="U121" i="1"/>
  <c r="Q121" i="1"/>
  <c r="O121" i="1"/>
  <c r="AE121" i="1" s="1"/>
  <c r="AH121" i="1" s="1"/>
  <c r="K463" i="1"/>
  <c r="K464" i="1" l="1"/>
  <c r="X121" i="1"/>
  <c r="AD121" i="1"/>
  <c r="AC121" i="1"/>
  <c r="W121" i="1"/>
  <c r="AI121" i="1" l="1"/>
  <c r="AL121" i="1" s="1"/>
  <c r="AB121" i="1"/>
  <c r="AG121" i="1"/>
  <c r="AK121" i="1" s="1"/>
  <c r="AA121" i="1"/>
  <c r="K465" i="1"/>
  <c r="AO121" i="1" l="1"/>
  <c r="AM121" i="1"/>
  <c r="D122" i="1" s="1"/>
  <c r="K466" i="1"/>
  <c r="AP121" i="1"/>
  <c r="AN121" i="1"/>
  <c r="E122" i="1" s="1"/>
  <c r="V122" i="1" l="1"/>
  <c r="P122" i="1"/>
  <c r="T122" i="1"/>
  <c r="S122" i="1"/>
  <c r="U122" i="1"/>
  <c r="R122" i="1"/>
  <c r="AF122" i="1" s="1"/>
  <c r="AJ122" i="1" s="1"/>
  <c r="O122" i="1"/>
  <c r="AE122" i="1" s="1"/>
  <c r="AH122" i="1" s="1"/>
  <c r="Q122" i="1"/>
  <c r="K467" i="1"/>
  <c r="K468" i="1" l="1"/>
  <c r="AC122" i="1"/>
  <c r="W122" i="1"/>
  <c r="AD122" i="1"/>
  <c r="X122" i="1"/>
  <c r="K469" i="1" l="1"/>
  <c r="AI122" i="1"/>
  <c r="AL122" i="1" s="1"/>
  <c r="AB122" i="1"/>
  <c r="AG122" i="1"/>
  <c r="AK122" i="1" s="1"/>
  <c r="AA122" i="1"/>
  <c r="AO122" i="1" l="1"/>
  <c r="I16" i="1" s="1"/>
  <c r="AM122" i="1"/>
  <c r="I13" i="1" s="1"/>
  <c r="AP122" i="1"/>
  <c r="I17" i="1" s="1"/>
  <c r="AN122" i="1"/>
  <c r="I14" i="1" s="1"/>
  <c r="K470" i="1"/>
  <c r="K471" i="1" l="1"/>
  <c r="L1539" i="1"/>
  <c r="U144" i="1"/>
  <c r="L150" i="1"/>
  <c r="T33" i="1"/>
  <c r="T32" i="1"/>
  <c r="L1607" i="1"/>
  <c r="U1533" i="1"/>
  <c r="L1563" i="1"/>
  <c r="T35" i="1"/>
  <c r="P1563" i="1" l="1"/>
  <c r="Q1563" i="1" s="1"/>
  <c r="M1563" i="1"/>
  <c r="N1563" i="1"/>
  <c r="O1563" i="1"/>
  <c r="R1563" i="1"/>
  <c r="V1533" i="1"/>
  <c r="Y1533" i="1"/>
  <c r="W1533" i="1"/>
  <c r="P1607" i="1"/>
  <c r="Q1607" i="1" s="1"/>
  <c r="N1607" i="1"/>
  <c r="M1607" i="1"/>
  <c r="O1607" i="1"/>
  <c r="R1607" i="1"/>
  <c r="N150" i="1"/>
  <c r="P150" i="1"/>
  <c r="Q150" i="1" s="1"/>
  <c r="M150" i="1"/>
  <c r="O150" i="1"/>
  <c r="R150" i="1"/>
  <c r="N1539" i="1"/>
  <c r="P1539" i="1"/>
  <c r="Q1539" i="1" s="1"/>
  <c r="M1539" i="1"/>
  <c r="R1539" i="1"/>
  <c r="O1539" i="1"/>
  <c r="V144" i="1"/>
  <c r="W144" i="1"/>
  <c r="Y144" i="1"/>
  <c r="Z144" i="1" s="1"/>
  <c r="AA144" i="1"/>
  <c r="X144" i="1"/>
  <c r="K472" i="1"/>
  <c r="K473" i="1" l="1"/>
  <c r="K474" i="1" l="1"/>
  <c r="K475" i="1" l="1"/>
  <c r="K476" i="1" l="1"/>
  <c r="K477" i="1" l="1"/>
  <c r="K478" i="1" l="1"/>
  <c r="K479" i="1" l="1"/>
  <c r="K480" i="1" l="1"/>
  <c r="K481" i="1" l="1"/>
  <c r="K482" i="1" l="1"/>
  <c r="K483" i="1" l="1"/>
  <c r="K484" i="1" l="1"/>
  <c r="K485" i="1" l="1"/>
  <c r="K486" i="1" l="1"/>
  <c r="K487" i="1" l="1"/>
  <c r="K488" i="1" l="1"/>
  <c r="K489" i="1" l="1"/>
  <c r="K490" i="1" l="1"/>
  <c r="K491" i="1" l="1"/>
  <c r="K492" i="1" l="1"/>
  <c r="K493" i="1" l="1"/>
  <c r="K494" i="1" l="1"/>
  <c r="K495" i="1" l="1"/>
  <c r="K496" i="1" l="1"/>
  <c r="K497" i="1" l="1"/>
  <c r="K498" i="1" l="1"/>
  <c r="K499" i="1" l="1"/>
  <c r="K500" i="1" l="1"/>
  <c r="K501" i="1" l="1"/>
  <c r="K502" i="1" l="1"/>
  <c r="K503" i="1" l="1"/>
  <c r="K504" i="1" l="1"/>
  <c r="K505" i="1" l="1"/>
  <c r="K506" i="1" l="1"/>
  <c r="K507" i="1" l="1"/>
  <c r="K508" i="1" l="1"/>
  <c r="K509" i="1" l="1"/>
  <c r="K510" i="1" l="1"/>
  <c r="K511" i="1" l="1"/>
  <c r="K512" i="1" l="1"/>
  <c r="K513" i="1" l="1"/>
  <c r="K514" i="1" l="1"/>
  <c r="K515" i="1" l="1"/>
  <c r="K516" i="1" l="1"/>
  <c r="K517" i="1" l="1"/>
  <c r="K518" i="1" l="1"/>
  <c r="K519" i="1" l="1"/>
  <c r="K520" i="1" l="1"/>
  <c r="K521" i="1" l="1"/>
  <c r="K522" i="1" l="1"/>
  <c r="K523" i="1" l="1"/>
  <c r="K524" i="1" l="1"/>
  <c r="K525" i="1" l="1"/>
  <c r="K526" i="1" l="1"/>
  <c r="K527" i="1" l="1"/>
  <c r="K528" i="1" l="1"/>
  <c r="K529" i="1" l="1"/>
  <c r="K530" i="1" l="1"/>
  <c r="K531" i="1" l="1"/>
  <c r="K532" i="1" l="1"/>
  <c r="K533" i="1" l="1"/>
  <c r="K534" i="1" l="1"/>
  <c r="K535" i="1" l="1"/>
  <c r="K536" i="1" l="1"/>
  <c r="K537" i="1" l="1"/>
  <c r="K538" i="1" l="1"/>
  <c r="K539" i="1" l="1"/>
  <c r="K540" i="1" l="1"/>
  <c r="K541" i="1" l="1"/>
  <c r="K542" i="1" l="1"/>
  <c r="K543" i="1" l="1"/>
  <c r="K544" i="1" l="1"/>
  <c r="K545" i="1" l="1"/>
  <c r="K546" i="1" l="1"/>
  <c r="K547" i="1" l="1"/>
  <c r="K548" i="1" l="1"/>
  <c r="K549" i="1" l="1"/>
  <c r="K550" i="1" l="1"/>
  <c r="K551" i="1" l="1"/>
  <c r="K552" i="1" l="1"/>
  <c r="K553" i="1" l="1"/>
  <c r="K554" i="1" l="1"/>
  <c r="K555" i="1" l="1"/>
  <c r="K556" i="1" l="1"/>
  <c r="K557" i="1" l="1"/>
  <c r="K558" i="1" l="1"/>
  <c r="K559" i="1" l="1"/>
  <c r="K560" i="1" l="1"/>
  <c r="K561" i="1" l="1"/>
  <c r="K562" i="1" l="1"/>
  <c r="K563" i="1" l="1"/>
  <c r="K564" i="1" l="1"/>
  <c r="K565" i="1" l="1"/>
  <c r="K566" i="1" l="1"/>
  <c r="K567" i="1" l="1"/>
  <c r="K568" i="1" l="1"/>
  <c r="K569" i="1" l="1"/>
  <c r="K570" i="1" l="1"/>
  <c r="K571" i="1" l="1"/>
  <c r="K572" i="1" l="1"/>
  <c r="K573" i="1" l="1"/>
  <c r="K574" i="1" l="1"/>
  <c r="K575" i="1" l="1"/>
  <c r="K576" i="1" l="1"/>
  <c r="K577" i="1" l="1"/>
  <c r="K578" i="1" l="1"/>
  <c r="K579" i="1" l="1"/>
  <c r="K580" i="1" l="1"/>
  <c r="K581" i="1" l="1"/>
  <c r="K582" i="1" l="1"/>
  <c r="K583" i="1" l="1"/>
  <c r="K584" i="1" l="1"/>
  <c r="K585" i="1" l="1"/>
  <c r="K586" i="1" l="1"/>
  <c r="K587" i="1" l="1"/>
  <c r="K588" i="1" l="1"/>
  <c r="K589" i="1" l="1"/>
  <c r="K590" i="1" l="1"/>
  <c r="K591" i="1" l="1"/>
  <c r="K592" i="1" l="1"/>
  <c r="K593" i="1" l="1"/>
  <c r="K594" i="1" l="1"/>
  <c r="K595" i="1" l="1"/>
  <c r="K596" i="1" l="1"/>
  <c r="K597" i="1" l="1"/>
  <c r="K598" i="1" l="1"/>
  <c r="K599" i="1" l="1"/>
  <c r="K600" i="1" l="1"/>
  <c r="K601" i="1" l="1"/>
  <c r="K602" i="1" l="1"/>
  <c r="K603" i="1" l="1"/>
  <c r="K604" i="1" l="1"/>
  <c r="K605" i="1" l="1"/>
  <c r="K606" i="1" l="1"/>
  <c r="K607" i="1" l="1"/>
  <c r="K608" i="1" l="1"/>
  <c r="K609" i="1" l="1"/>
  <c r="K610" i="1" l="1"/>
  <c r="K611" i="1" l="1"/>
  <c r="K612" i="1" l="1"/>
  <c r="K613" i="1" l="1"/>
  <c r="K614" i="1" l="1"/>
  <c r="K615" i="1" l="1"/>
  <c r="K616" i="1" l="1"/>
  <c r="K617" i="1" l="1"/>
  <c r="K618" i="1" l="1"/>
  <c r="K619" i="1" l="1"/>
  <c r="K620" i="1" l="1"/>
  <c r="K621" i="1" l="1"/>
  <c r="K622" i="1" l="1"/>
  <c r="K623" i="1" l="1"/>
  <c r="K624" i="1" l="1"/>
  <c r="K625" i="1" l="1"/>
  <c r="K626" i="1" l="1"/>
  <c r="K627" i="1" l="1"/>
  <c r="K628" i="1" l="1"/>
  <c r="K629" i="1" l="1"/>
  <c r="K630" i="1" l="1"/>
  <c r="K631" i="1" l="1"/>
  <c r="K632" i="1" l="1"/>
  <c r="K633" i="1" l="1"/>
  <c r="K634" i="1" l="1"/>
  <c r="K635" i="1" l="1"/>
  <c r="K636" i="1" l="1"/>
  <c r="K637" i="1" l="1"/>
  <c r="K638" i="1" l="1"/>
  <c r="K639" i="1" l="1"/>
  <c r="K640" i="1" l="1"/>
  <c r="K641" i="1" l="1"/>
  <c r="K642" i="1" l="1"/>
  <c r="K643" i="1" l="1"/>
  <c r="K644" i="1" l="1"/>
  <c r="K645" i="1" l="1"/>
  <c r="K646" i="1" l="1"/>
  <c r="K647" i="1" l="1"/>
  <c r="K648" i="1" l="1"/>
  <c r="K649" i="1" l="1"/>
  <c r="K650" i="1" l="1"/>
  <c r="K651" i="1" l="1"/>
  <c r="K652" i="1" l="1"/>
  <c r="K653" i="1" l="1"/>
  <c r="K654" i="1" l="1"/>
  <c r="K655" i="1" l="1"/>
  <c r="K656" i="1" l="1"/>
  <c r="K657" i="1" l="1"/>
  <c r="K658" i="1" l="1"/>
  <c r="K659" i="1" l="1"/>
  <c r="K660" i="1" l="1"/>
  <c r="K661" i="1" l="1"/>
  <c r="K662" i="1" l="1"/>
  <c r="K663" i="1" l="1"/>
  <c r="K664" i="1" l="1"/>
  <c r="K665" i="1" l="1"/>
  <c r="K666" i="1" l="1"/>
  <c r="K667" i="1" l="1"/>
  <c r="K668" i="1" l="1"/>
  <c r="K669" i="1" l="1"/>
  <c r="K670" i="1" l="1"/>
  <c r="K671" i="1" l="1"/>
  <c r="K672" i="1" l="1"/>
  <c r="K673" i="1" l="1"/>
  <c r="K674" i="1" l="1"/>
  <c r="K675" i="1" l="1"/>
  <c r="K676" i="1" l="1"/>
  <c r="K677" i="1" l="1"/>
  <c r="K678" i="1" l="1"/>
  <c r="K679" i="1" l="1"/>
  <c r="K680" i="1" l="1"/>
  <c r="K681" i="1" l="1"/>
  <c r="K682" i="1" l="1"/>
  <c r="K683" i="1" l="1"/>
  <c r="K684" i="1" l="1"/>
  <c r="K685" i="1" l="1"/>
  <c r="K686" i="1" l="1"/>
  <c r="K687" i="1" l="1"/>
  <c r="K688" i="1" l="1"/>
  <c r="K689" i="1" l="1"/>
  <c r="K690" i="1" l="1"/>
  <c r="K691" i="1" l="1"/>
  <c r="K692" i="1" l="1"/>
  <c r="K693" i="1" l="1"/>
  <c r="K694" i="1" l="1"/>
  <c r="K695" i="1" l="1"/>
  <c r="K696" i="1" l="1"/>
  <c r="K697" i="1" l="1"/>
  <c r="K698" i="1" l="1"/>
  <c r="K699" i="1" l="1"/>
  <c r="K700" i="1" l="1"/>
  <c r="K701" i="1" l="1"/>
  <c r="K702" i="1" l="1"/>
  <c r="K703" i="1" l="1"/>
  <c r="K704" i="1" l="1"/>
  <c r="K705" i="1" l="1"/>
  <c r="K706" i="1" l="1"/>
  <c r="K707" i="1" l="1"/>
  <c r="K708" i="1" l="1"/>
  <c r="K709" i="1" l="1"/>
  <c r="K710" i="1" l="1"/>
  <c r="K711" i="1" l="1"/>
  <c r="K712" i="1" l="1"/>
  <c r="K713" i="1" l="1"/>
  <c r="K714" i="1" l="1"/>
  <c r="K715" i="1" l="1"/>
  <c r="K716" i="1" l="1"/>
  <c r="K717" i="1" l="1"/>
  <c r="K718" i="1" l="1"/>
  <c r="K719" i="1" l="1"/>
  <c r="K720" i="1" l="1"/>
  <c r="K721" i="1" l="1"/>
  <c r="K722" i="1" l="1"/>
  <c r="K723" i="1" l="1"/>
  <c r="K724" i="1" l="1"/>
  <c r="K725" i="1" l="1"/>
  <c r="K726" i="1" l="1"/>
  <c r="K727" i="1" l="1"/>
  <c r="K728" i="1" l="1"/>
  <c r="K729" i="1" l="1"/>
  <c r="K730" i="1" l="1"/>
  <c r="K731" i="1" l="1"/>
  <c r="K732" i="1" l="1"/>
  <c r="K733" i="1" l="1"/>
  <c r="K734" i="1" l="1"/>
  <c r="K735" i="1" l="1"/>
  <c r="K736" i="1" l="1"/>
  <c r="K737" i="1" l="1"/>
  <c r="K738" i="1" l="1"/>
  <c r="K739" i="1" l="1"/>
  <c r="K740" i="1" l="1"/>
  <c r="K741" i="1" l="1"/>
  <c r="K742" i="1" l="1"/>
  <c r="K743" i="1" l="1"/>
  <c r="K744" i="1" l="1"/>
  <c r="K745" i="1" l="1"/>
  <c r="K746" i="1" l="1"/>
  <c r="K747" i="1" l="1"/>
  <c r="K748" i="1" l="1"/>
  <c r="K749" i="1" l="1"/>
  <c r="K750" i="1" l="1"/>
  <c r="K751" i="1" l="1"/>
  <c r="K752" i="1" l="1"/>
  <c r="K753" i="1" l="1"/>
  <c r="K754" i="1" l="1"/>
  <c r="K755" i="1" l="1"/>
  <c r="K756" i="1" l="1"/>
  <c r="K757" i="1" l="1"/>
  <c r="K758" i="1" l="1"/>
  <c r="K759" i="1" l="1"/>
  <c r="K760" i="1" l="1"/>
  <c r="K761" i="1" l="1"/>
  <c r="K762" i="1" l="1"/>
  <c r="K763" i="1" l="1"/>
  <c r="K764" i="1" l="1"/>
  <c r="K765" i="1" l="1"/>
  <c r="K766" i="1" l="1"/>
  <c r="K767" i="1" l="1"/>
  <c r="K768" i="1" l="1"/>
  <c r="K769" i="1" l="1"/>
  <c r="K770" i="1" l="1"/>
  <c r="K771" i="1" l="1"/>
  <c r="K772" i="1" l="1"/>
  <c r="K773" i="1" l="1"/>
  <c r="K774" i="1" l="1"/>
  <c r="K775" i="1" l="1"/>
  <c r="K776" i="1" l="1"/>
  <c r="K777" i="1" l="1"/>
  <c r="K778" i="1" l="1"/>
  <c r="K779" i="1" l="1"/>
  <c r="K780" i="1" l="1"/>
  <c r="K781" i="1" l="1"/>
  <c r="K782" i="1" l="1"/>
  <c r="K783" i="1" l="1"/>
  <c r="K784" i="1" l="1"/>
  <c r="K785" i="1" l="1"/>
  <c r="K786" i="1" l="1"/>
  <c r="K787" i="1" l="1"/>
  <c r="K788" i="1" l="1"/>
  <c r="K789" i="1" l="1"/>
  <c r="K790" i="1" l="1"/>
  <c r="K791" i="1" l="1"/>
  <c r="K792" i="1" l="1"/>
  <c r="K793" i="1" l="1"/>
  <c r="K794" i="1" l="1"/>
  <c r="K795" i="1" l="1"/>
  <c r="K796" i="1" l="1"/>
  <c r="K797" i="1" l="1"/>
  <c r="K798" i="1" l="1"/>
  <c r="K799" i="1" l="1"/>
  <c r="K800" i="1" l="1"/>
  <c r="K801" i="1" l="1"/>
  <c r="K802" i="1" l="1"/>
  <c r="K803" i="1" l="1"/>
  <c r="K804" i="1" l="1"/>
  <c r="K805" i="1" l="1"/>
  <c r="K806" i="1" l="1"/>
  <c r="K807" i="1" l="1"/>
  <c r="K808" i="1" l="1"/>
  <c r="K809" i="1" l="1"/>
  <c r="K810" i="1" l="1"/>
  <c r="K811" i="1" l="1"/>
  <c r="K812" i="1" l="1"/>
  <c r="K813" i="1" l="1"/>
  <c r="K814" i="1" l="1"/>
  <c r="K815" i="1" l="1"/>
  <c r="K816" i="1" l="1"/>
  <c r="K817" i="1" l="1"/>
  <c r="K818" i="1" l="1"/>
  <c r="K819" i="1" l="1"/>
  <c r="K820" i="1" l="1"/>
  <c r="K821" i="1" l="1"/>
  <c r="K822" i="1" l="1"/>
  <c r="K823" i="1" l="1"/>
  <c r="K824" i="1" l="1"/>
  <c r="K825" i="1" l="1"/>
  <c r="K826" i="1" l="1"/>
  <c r="K827" i="1" l="1"/>
  <c r="K828" i="1" l="1"/>
  <c r="K829" i="1" l="1"/>
  <c r="K830" i="1" l="1"/>
  <c r="K831" i="1" l="1"/>
  <c r="K832" i="1" l="1"/>
  <c r="K833" i="1" l="1"/>
  <c r="K834" i="1" l="1"/>
  <c r="K835" i="1" l="1"/>
  <c r="K836" i="1" l="1"/>
  <c r="K837" i="1" l="1"/>
  <c r="K838" i="1" l="1"/>
  <c r="K839" i="1" l="1"/>
  <c r="K840" i="1" l="1"/>
  <c r="K841" i="1" l="1"/>
  <c r="K842" i="1" l="1"/>
  <c r="K843" i="1" l="1"/>
  <c r="K844" i="1" l="1"/>
  <c r="K845" i="1" l="1"/>
  <c r="K846" i="1" l="1"/>
  <c r="K847" i="1" l="1"/>
  <c r="K848" i="1" l="1"/>
  <c r="K849" i="1" l="1"/>
  <c r="K850" i="1" l="1"/>
  <c r="K851" i="1" l="1"/>
  <c r="K852" i="1" l="1"/>
  <c r="K853" i="1" l="1"/>
  <c r="K854" i="1" l="1"/>
  <c r="K855" i="1" l="1"/>
  <c r="K856" i="1" l="1"/>
  <c r="K857" i="1" l="1"/>
  <c r="K858" i="1" l="1"/>
  <c r="K859" i="1" l="1"/>
  <c r="K860" i="1" l="1"/>
  <c r="K861" i="1" l="1"/>
  <c r="K862" i="1" l="1"/>
  <c r="K863" i="1" l="1"/>
  <c r="K864" i="1" l="1"/>
  <c r="K865" i="1" l="1"/>
  <c r="K866" i="1" l="1"/>
  <c r="K867" i="1" l="1"/>
  <c r="K868" i="1" l="1"/>
  <c r="K869" i="1" l="1"/>
  <c r="K870" i="1" l="1"/>
  <c r="K871" i="1" l="1"/>
  <c r="K872" i="1" l="1"/>
  <c r="K873" i="1" l="1"/>
  <c r="K874" i="1" l="1"/>
  <c r="K875" i="1" l="1"/>
  <c r="K876" i="1" l="1"/>
  <c r="K877" i="1" l="1"/>
  <c r="K878" i="1" l="1"/>
  <c r="K879" i="1" l="1"/>
  <c r="K880" i="1" l="1"/>
  <c r="K881" i="1" l="1"/>
  <c r="K882" i="1" l="1"/>
  <c r="K883" i="1" l="1"/>
  <c r="K884" i="1" l="1"/>
  <c r="K885" i="1" l="1"/>
  <c r="K886" i="1" l="1"/>
  <c r="K887" i="1" l="1"/>
  <c r="K888" i="1" l="1"/>
  <c r="K889" i="1" l="1"/>
  <c r="K890" i="1" l="1"/>
  <c r="K891" i="1" l="1"/>
  <c r="K892" i="1" l="1"/>
  <c r="K893" i="1" l="1"/>
  <c r="K894" i="1" l="1"/>
  <c r="K895" i="1" l="1"/>
  <c r="K896" i="1" l="1"/>
  <c r="K897" i="1" l="1"/>
  <c r="K898" i="1" l="1"/>
  <c r="K899" i="1" l="1"/>
  <c r="K900" i="1" l="1"/>
  <c r="K901" i="1" l="1"/>
  <c r="K902" i="1" l="1"/>
  <c r="K903" i="1" l="1"/>
  <c r="K904" i="1" l="1"/>
  <c r="K905" i="1" l="1"/>
  <c r="K906" i="1" l="1"/>
  <c r="K907" i="1" l="1"/>
  <c r="K908" i="1" l="1"/>
  <c r="K909" i="1" l="1"/>
  <c r="K910" i="1" l="1"/>
  <c r="K911" i="1" l="1"/>
  <c r="K912" i="1" l="1"/>
  <c r="K913" i="1" l="1"/>
  <c r="K914" i="1" l="1"/>
  <c r="K915" i="1" l="1"/>
  <c r="K916" i="1" l="1"/>
  <c r="K917" i="1" l="1"/>
  <c r="K918" i="1" l="1"/>
  <c r="K919" i="1" l="1"/>
  <c r="K920" i="1" l="1"/>
  <c r="K921" i="1" l="1"/>
  <c r="K922" i="1" l="1"/>
  <c r="K923" i="1" l="1"/>
  <c r="K924" i="1" l="1"/>
  <c r="K925" i="1" l="1"/>
  <c r="K926" i="1" l="1"/>
  <c r="K927" i="1" l="1"/>
  <c r="K928" i="1" l="1"/>
  <c r="K929" i="1" l="1"/>
  <c r="K930" i="1" l="1"/>
  <c r="K931" i="1" l="1"/>
  <c r="K932" i="1" l="1"/>
  <c r="K933" i="1" l="1"/>
  <c r="K934" i="1" l="1"/>
  <c r="K935" i="1" l="1"/>
  <c r="K936" i="1" l="1"/>
  <c r="K937" i="1" l="1"/>
  <c r="K938" i="1" l="1"/>
  <c r="K939" i="1" l="1"/>
  <c r="K940" i="1" l="1"/>
  <c r="K941" i="1" l="1"/>
  <c r="K942" i="1" l="1"/>
  <c r="K943" i="1" l="1"/>
  <c r="K944" i="1" l="1"/>
  <c r="K945" i="1" l="1"/>
  <c r="K946" i="1" l="1"/>
  <c r="K947" i="1" l="1"/>
  <c r="K948" i="1" l="1"/>
  <c r="K949" i="1" l="1"/>
  <c r="K950" i="1" l="1"/>
  <c r="K951" i="1" l="1"/>
  <c r="K952" i="1" l="1"/>
  <c r="K953" i="1" l="1"/>
  <c r="K954" i="1" l="1"/>
  <c r="K955" i="1" l="1"/>
  <c r="K956" i="1" l="1"/>
  <c r="K957" i="1" l="1"/>
  <c r="K958" i="1" l="1"/>
  <c r="K959" i="1" l="1"/>
  <c r="K960" i="1" l="1"/>
  <c r="K961" i="1" l="1"/>
  <c r="K962" i="1" l="1"/>
  <c r="K963" i="1" l="1"/>
  <c r="K964" i="1" l="1"/>
  <c r="K965" i="1" l="1"/>
  <c r="K966" i="1" l="1"/>
  <c r="K967" i="1" l="1"/>
  <c r="K968" i="1" l="1"/>
  <c r="K969" i="1" l="1"/>
  <c r="K970" i="1" l="1"/>
  <c r="K971" i="1" l="1"/>
  <c r="K972" i="1" l="1"/>
  <c r="K973" i="1" l="1"/>
  <c r="K974" i="1" l="1"/>
  <c r="K975" i="1" l="1"/>
  <c r="K976" i="1" l="1"/>
  <c r="K977" i="1" l="1"/>
  <c r="K978" i="1" l="1"/>
  <c r="K979" i="1" l="1"/>
  <c r="K980" i="1" l="1"/>
  <c r="K981" i="1" l="1"/>
  <c r="K982" i="1" l="1"/>
  <c r="K983" i="1" l="1"/>
  <c r="K984" i="1" l="1"/>
  <c r="K985" i="1" l="1"/>
  <c r="K986" i="1" l="1"/>
  <c r="K987" i="1" l="1"/>
  <c r="K988" i="1" l="1"/>
  <c r="K989" i="1" l="1"/>
  <c r="K990" i="1" l="1"/>
  <c r="K991" i="1" l="1"/>
  <c r="K992" i="1" l="1"/>
  <c r="K993" i="1" l="1"/>
  <c r="K994" i="1" l="1"/>
  <c r="K995" i="1" l="1"/>
  <c r="K996" i="1" l="1"/>
  <c r="K997" i="1" l="1"/>
  <c r="K998" i="1" l="1"/>
  <c r="K999" i="1" l="1"/>
  <c r="K1000" i="1" l="1"/>
  <c r="K1001" i="1" l="1"/>
  <c r="K1002" i="1" l="1"/>
  <c r="K1003" i="1" l="1"/>
  <c r="K1004" i="1" l="1"/>
  <c r="K1005" i="1" l="1"/>
  <c r="K1006" i="1" l="1"/>
  <c r="K1007" i="1" l="1"/>
  <c r="K1008" i="1" l="1"/>
  <c r="K1009" i="1" l="1"/>
  <c r="K1010" i="1" l="1"/>
  <c r="K1011" i="1" l="1"/>
  <c r="K1012" i="1" l="1"/>
  <c r="K1013" i="1" l="1"/>
  <c r="K1014" i="1" l="1"/>
  <c r="K1015" i="1" l="1"/>
  <c r="K1016" i="1" l="1"/>
  <c r="K1017" i="1" l="1"/>
  <c r="K1018" i="1" l="1"/>
  <c r="K1019" i="1" l="1"/>
  <c r="K1020" i="1" l="1"/>
  <c r="K1021" i="1" l="1"/>
  <c r="K1022" i="1" l="1"/>
  <c r="K1023" i="1" l="1"/>
  <c r="K1024" i="1" l="1"/>
  <c r="K1025" i="1" l="1"/>
  <c r="K1026" i="1" l="1"/>
  <c r="K1027" i="1" l="1"/>
  <c r="K1028" i="1" l="1"/>
  <c r="K1029" i="1" l="1"/>
  <c r="K1030" i="1" l="1"/>
  <c r="K1031" i="1" l="1"/>
  <c r="K1032" i="1" l="1"/>
  <c r="K1033" i="1" l="1"/>
  <c r="K1034" i="1" l="1"/>
  <c r="K1035" i="1" l="1"/>
  <c r="K1036" i="1" l="1"/>
  <c r="K1037" i="1" l="1"/>
  <c r="K1038" i="1" l="1"/>
  <c r="K1039" i="1" l="1"/>
  <c r="K1040" i="1" l="1"/>
  <c r="K1041" i="1" l="1"/>
  <c r="K1042" i="1" l="1"/>
  <c r="K1043" i="1" l="1"/>
  <c r="K1044" i="1" l="1"/>
  <c r="K1045" i="1" l="1"/>
  <c r="K1046" i="1" l="1"/>
  <c r="K1047" i="1" l="1"/>
  <c r="K1048" i="1" l="1"/>
  <c r="K1049" i="1" l="1"/>
  <c r="K1050" i="1" l="1"/>
  <c r="K1051" i="1" l="1"/>
  <c r="K1052" i="1" l="1"/>
  <c r="K1053" i="1" l="1"/>
  <c r="K1054" i="1" l="1"/>
  <c r="K1055" i="1" l="1"/>
  <c r="K1056" i="1" l="1"/>
  <c r="K1057" i="1" l="1"/>
  <c r="K1058" i="1" l="1"/>
  <c r="K1059" i="1" l="1"/>
  <c r="K1060" i="1" l="1"/>
  <c r="K1061" i="1" l="1"/>
  <c r="K1062" i="1" l="1"/>
  <c r="K1063" i="1" l="1"/>
  <c r="K1064" i="1" l="1"/>
  <c r="K1065" i="1" l="1"/>
  <c r="K1066" i="1" l="1"/>
  <c r="K1067" i="1" l="1"/>
  <c r="K1068" i="1" l="1"/>
  <c r="K1069" i="1" l="1"/>
  <c r="K1070" i="1" l="1"/>
  <c r="K1071" i="1" l="1"/>
  <c r="K1072" i="1" l="1"/>
  <c r="K1073" i="1" l="1"/>
  <c r="K1074" i="1" l="1"/>
  <c r="K1075" i="1" l="1"/>
  <c r="K1076" i="1" l="1"/>
  <c r="K1077" i="1" l="1"/>
  <c r="K1078" i="1" l="1"/>
  <c r="K1079" i="1" l="1"/>
  <c r="K1080" i="1" l="1"/>
  <c r="K1081" i="1" l="1"/>
  <c r="K1082" i="1" l="1"/>
  <c r="K1083" i="1" l="1"/>
  <c r="K1084" i="1" l="1"/>
  <c r="K1085" i="1" l="1"/>
  <c r="K1086" i="1" l="1"/>
  <c r="K1087" i="1" l="1"/>
  <c r="K1088" i="1" l="1"/>
  <c r="K1089" i="1" l="1"/>
  <c r="K1090" i="1" l="1"/>
  <c r="K1091" i="1" l="1"/>
  <c r="K1092" i="1" l="1"/>
  <c r="K1093" i="1" l="1"/>
  <c r="K1094" i="1" l="1"/>
  <c r="K1095" i="1" l="1"/>
  <c r="K1096" i="1" l="1"/>
  <c r="K1097" i="1" l="1"/>
  <c r="K1098" i="1" l="1"/>
  <c r="K1099" i="1" l="1"/>
  <c r="K1100" i="1" l="1"/>
  <c r="K1101" i="1" l="1"/>
  <c r="K1102" i="1" l="1"/>
  <c r="K1103" i="1" l="1"/>
  <c r="K1104" i="1" l="1"/>
  <c r="K1105" i="1" l="1"/>
  <c r="K1106" i="1" l="1"/>
  <c r="K1107" i="1" l="1"/>
  <c r="K1108" i="1" l="1"/>
  <c r="K1109" i="1" l="1"/>
  <c r="K1110" i="1" l="1"/>
  <c r="K1111" i="1" l="1"/>
  <c r="K1112" i="1" l="1"/>
  <c r="K1113" i="1" l="1"/>
  <c r="K1114" i="1" l="1"/>
  <c r="K1115" i="1" l="1"/>
  <c r="K1116" i="1" l="1"/>
  <c r="K1117" i="1" l="1"/>
  <c r="K1118" i="1" l="1"/>
  <c r="K1119" i="1" l="1"/>
  <c r="K1120" i="1" l="1"/>
  <c r="K1121" i="1" l="1"/>
  <c r="K1122" i="1" l="1"/>
  <c r="K1123" i="1" l="1"/>
  <c r="K1124" i="1" l="1"/>
  <c r="K1125" i="1" l="1"/>
  <c r="K1126" i="1" l="1"/>
  <c r="K1127" i="1" l="1"/>
  <c r="K1128" i="1" l="1"/>
  <c r="K1129" i="1" l="1"/>
  <c r="K1130" i="1" l="1"/>
  <c r="K1131" i="1" l="1"/>
  <c r="K1132" i="1" l="1"/>
  <c r="K1133" i="1" l="1"/>
  <c r="K1134" i="1" l="1"/>
  <c r="K1135" i="1" l="1"/>
  <c r="K1136" i="1" l="1"/>
  <c r="K1137" i="1" l="1"/>
  <c r="K1138" i="1" l="1"/>
  <c r="K1139" i="1" l="1"/>
  <c r="K1140" i="1" l="1"/>
  <c r="K1141" i="1" l="1"/>
  <c r="K1142" i="1" l="1"/>
  <c r="K1143" i="1" l="1"/>
  <c r="K1144" i="1" l="1"/>
  <c r="K1145" i="1" l="1"/>
  <c r="K1146" i="1" l="1"/>
  <c r="K1147" i="1" l="1"/>
  <c r="K1148" i="1" l="1"/>
  <c r="K1149" i="1" l="1"/>
  <c r="K1150" i="1" l="1"/>
  <c r="K1151" i="1" l="1"/>
  <c r="K1152" i="1" l="1"/>
  <c r="K1153" i="1" l="1"/>
  <c r="K1154" i="1" l="1"/>
  <c r="K1155" i="1" l="1"/>
  <c r="K1156" i="1" l="1"/>
  <c r="K1157" i="1" l="1"/>
  <c r="K1158" i="1" l="1"/>
  <c r="K1159" i="1" l="1"/>
  <c r="K1160" i="1" l="1"/>
  <c r="K1161" i="1" l="1"/>
  <c r="K1162" i="1" l="1"/>
  <c r="K1163" i="1" l="1"/>
  <c r="K1164" i="1" l="1"/>
  <c r="K1165" i="1" l="1"/>
  <c r="K1166" i="1" l="1"/>
  <c r="K1167" i="1" l="1"/>
  <c r="K1168" i="1" l="1"/>
  <c r="K1169" i="1" l="1"/>
  <c r="K1170" i="1" l="1"/>
  <c r="K1171" i="1" l="1"/>
  <c r="K1172" i="1" l="1"/>
  <c r="K1173" i="1" l="1"/>
  <c r="K1174" i="1" l="1"/>
  <c r="K1175" i="1" l="1"/>
  <c r="K1176" i="1" l="1"/>
  <c r="K1177" i="1" l="1"/>
  <c r="K1178" i="1" l="1"/>
  <c r="K1179" i="1" l="1"/>
  <c r="K1180" i="1" l="1"/>
  <c r="K1181" i="1" l="1"/>
  <c r="K1182" i="1" l="1"/>
  <c r="K1183" i="1" l="1"/>
  <c r="K1184" i="1" l="1"/>
  <c r="K1185" i="1" l="1"/>
  <c r="K1186" i="1" l="1"/>
  <c r="K1187" i="1" l="1"/>
  <c r="K1188" i="1" l="1"/>
  <c r="K1189" i="1" l="1"/>
  <c r="K1190" i="1" l="1"/>
  <c r="K1191" i="1" l="1"/>
  <c r="K1192" i="1" l="1"/>
  <c r="K1193" i="1" l="1"/>
  <c r="K1194" i="1" l="1"/>
  <c r="K1195" i="1" l="1"/>
  <c r="K1196" i="1" l="1"/>
  <c r="K1197" i="1" l="1"/>
  <c r="K1198" i="1" l="1"/>
  <c r="K1199" i="1" l="1"/>
  <c r="K1200" i="1" l="1"/>
  <c r="K1201" i="1" l="1"/>
  <c r="K1202" i="1" l="1"/>
  <c r="K1203" i="1" l="1"/>
  <c r="K1204" i="1" l="1"/>
  <c r="K1205" i="1" l="1"/>
  <c r="K1206" i="1" l="1"/>
  <c r="K1207" i="1" l="1"/>
  <c r="K1208" i="1" l="1"/>
  <c r="K1209" i="1" l="1"/>
  <c r="K1210" i="1" l="1"/>
  <c r="K1211" i="1" l="1"/>
  <c r="K1212" i="1" l="1"/>
  <c r="K1213" i="1" l="1"/>
  <c r="K1214" i="1" l="1"/>
  <c r="K1215" i="1" l="1"/>
  <c r="K1216" i="1" l="1"/>
  <c r="K1217" i="1" l="1"/>
  <c r="K1218" i="1" l="1"/>
  <c r="K1219" i="1" l="1"/>
  <c r="K1220" i="1" l="1"/>
  <c r="K1221" i="1" l="1"/>
  <c r="K1222" i="1" l="1"/>
  <c r="K1223" i="1" l="1"/>
  <c r="K1224" i="1" l="1"/>
  <c r="K1225" i="1" l="1"/>
  <c r="K1226" i="1" l="1"/>
  <c r="K1227" i="1" l="1"/>
  <c r="K1228" i="1" l="1"/>
  <c r="K1229" i="1" l="1"/>
  <c r="K1230" i="1" l="1"/>
  <c r="K1231" i="1" l="1"/>
  <c r="K1232" i="1" l="1"/>
  <c r="K1233" i="1" l="1"/>
  <c r="K1234" i="1" l="1"/>
  <c r="K1235" i="1" l="1"/>
  <c r="K1236" i="1" l="1"/>
  <c r="K1237" i="1" l="1"/>
  <c r="K1238" i="1" l="1"/>
  <c r="K1239" i="1" l="1"/>
  <c r="K1240" i="1" l="1"/>
  <c r="K1241" i="1" l="1"/>
  <c r="K1242" i="1" l="1"/>
  <c r="K1243" i="1" l="1"/>
  <c r="K1244" i="1" l="1"/>
  <c r="K1245" i="1" l="1"/>
  <c r="K1246" i="1" l="1"/>
  <c r="K1247" i="1" l="1"/>
  <c r="K1248" i="1" l="1"/>
  <c r="K1249" i="1" l="1"/>
  <c r="K1250" i="1" l="1"/>
  <c r="K1251" i="1" l="1"/>
  <c r="K1252" i="1" l="1"/>
  <c r="K1253" i="1" l="1"/>
  <c r="K1254" i="1" l="1"/>
  <c r="K1255" i="1" l="1"/>
  <c r="K1256" i="1" l="1"/>
  <c r="K1257" i="1" l="1"/>
  <c r="K1258" i="1" l="1"/>
  <c r="K1259" i="1" l="1"/>
  <c r="K1260" i="1" l="1"/>
  <c r="K1261" i="1" l="1"/>
  <c r="K1262" i="1" l="1"/>
  <c r="K1263" i="1" l="1"/>
  <c r="K1264" i="1" l="1"/>
  <c r="K1265" i="1" l="1"/>
  <c r="K1266" i="1" l="1"/>
  <c r="K1267" i="1" l="1"/>
  <c r="K1268" i="1" l="1"/>
  <c r="K1269" i="1" l="1"/>
  <c r="K1270" i="1" l="1"/>
  <c r="K1271" i="1" l="1"/>
  <c r="K1272" i="1" l="1"/>
  <c r="K1273" i="1" l="1"/>
  <c r="K1274" i="1" l="1"/>
  <c r="K1275" i="1" l="1"/>
  <c r="K1276" i="1" l="1"/>
  <c r="K1277" i="1" l="1"/>
  <c r="K1278" i="1" l="1"/>
  <c r="K1279" i="1" l="1"/>
  <c r="K1280" i="1" l="1"/>
  <c r="K1281" i="1" l="1"/>
  <c r="K1282" i="1" l="1"/>
  <c r="K1283" i="1" l="1"/>
  <c r="K1284" i="1" l="1"/>
  <c r="K1285" i="1" l="1"/>
  <c r="K1286" i="1" l="1"/>
  <c r="K1287" i="1" l="1"/>
  <c r="K1288" i="1" l="1"/>
  <c r="K1289" i="1" l="1"/>
  <c r="K1290" i="1" l="1"/>
  <c r="K1291" i="1" l="1"/>
  <c r="K1292" i="1" l="1"/>
  <c r="K1293" i="1" l="1"/>
  <c r="K1294" i="1" l="1"/>
  <c r="K1295" i="1" l="1"/>
  <c r="K1296" i="1" l="1"/>
  <c r="K1297" i="1" l="1"/>
  <c r="K1298" i="1" l="1"/>
  <c r="K1299" i="1" l="1"/>
  <c r="K1300" i="1" l="1"/>
  <c r="K1301" i="1" l="1"/>
  <c r="K1302" i="1" l="1"/>
  <c r="K1303" i="1" l="1"/>
  <c r="K1304" i="1" l="1"/>
  <c r="K1305" i="1" l="1"/>
  <c r="K1306" i="1" l="1"/>
  <c r="K1307" i="1" l="1"/>
  <c r="K1308" i="1" l="1"/>
  <c r="K1309" i="1" l="1"/>
  <c r="K1310" i="1" l="1"/>
  <c r="K1311" i="1" l="1"/>
  <c r="K1312" i="1" l="1"/>
  <c r="K1313" i="1" l="1"/>
  <c r="K1314" i="1" l="1"/>
  <c r="K1315" i="1" l="1"/>
  <c r="K1316" i="1" l="1"/>
  <c r="K1317" i="1" l="1"/>
  <c r="K1318" i="1" l="1"/>
  <c r="K1319" i="1" l="1"/>
  <c r="K1320" i="1" l="1"/>
  <c r="K1321" i="1" l="1"/>
  <c r="K1322" i="1" l="1"/>
  <c r="K1323" i="1" l="1"/>
  <c r="K1324" i="1" l="1"/>
  <c r="K1325" i="1" l="1"/>
  <c r="K1326" i="1" l="1"/>
  <c r="K1327" i="1" l="1"/>
  <c r="K1328" i="1" l="1"/>
  <c r="K1329" i="1" l="1"/>
  <c r="K1330" i="1" l="1"/>
  <c r="K1331" i="1" l="1"/>
  <c r="K1332" i="1" l="1"/>
  <c r="K1333" i="1" l="1"/>
  <c r="K1334" i="1" l="1"/>
  <c r="K1335" i="1" l="1"/>
  <c r="K1336" i="1" l="1"/>
  <c r="K1337" i="1" l="1"/>
  <c r="K1338" i="1" l="1"/>
  <c r="K1339" i="1" l="1"/>
  <c r="K1340" i="1" l="1"/>
  <c r="K1341" i="1" l="1"/>
  <c r="K1342" i="1" l="1"/>
  <c r="K1343" i="1" l="1"/>
  <c r="K1344" i="1" l="1"/>
  <c r="K1345" i="1" l="1"/>
  <c r="K1346" i="1" l="1"/>
  <c r="K1347" i="1" l="1"/>
  <c r="K1348" i="1" l="1"/>
  <c r="K1349" i="1" l="1"/>
  <c r="K1350" i="1" l="1"/>
  <c r="K1351" i="1" l="1"/>
  <c r="K1352" i="1" l="1"/>
  <c r="K1353" i="1" l="1"/>
  <c r="K1354" i="1" l="1"/>
  <c r="K1355" i="1" l="1"/>
  <c r="K1356" i="1" l="1"/>
  <c r="K1357" i="1" l="1"/>
  <c r="K1358" i="1" l="1"/>
  <c r="K1359" i="1" l="1"/>
  <c r="K1360" i="1" l="1"/>
  <c r="K1361" i="1" l="1"/>
  <c r="K1362" i="1" l="1"/>
  <c r="K1363" i="1" l="1"/>
  <c r="K1364" i="1" l="1"/>
  <c r="K1365" i="1" l="1"/>
  <c r="K1366" i="1" l="1"/>
  <c r="K1367" i="1" l="1"/>
  <c r="K1368" i="1" l="1"/>
  <c r="K1369" i="1" l="1"/>
  <c r="K1370" i="1" l="1"/>
  <c r="K1371" i="1" l="1"/>
  <c r="K1372" i="1" l="1"/>
  <c r="K1373" i="1" l="1"/>
  <c r="K1374" i="1" l="1"/>
  <c r="K1375" i="1" l="1"/>
  <c r="K1376" i="1" l="1"/>
  <c r="K1377" i="1" l="1"/>
  <c r="K1378" i="1" l="1"/>
  <c r="K1379" i="1" l="1"/>
  <c r="K1380" i="1" l="1"/>
  <c r="K1381" i="1" l="1"/>
  <c r="K1382" i="1" l="1"/>
  <c r="K1383" i="1" l="1"/>
  <c r="K1384" i="1" l="1"/>
  <c r="K1385" i="1" l="1"/>
  <c r="K1386" i="1" l="1"/>
  <c r="K1387" i="1" l="1"/>
  <c r="K1388" i="1" l="1"/>
  <c r="K1389" i="1" l="1"/>
  <c r="K1390" i="1" l="1"/>
  <c r="K1391" i="1" l="1"/>
  <c r="K1392" i="1" l="1"/>
  <c r="K1393" i="1" l="1"/>
  <c r="K1394" i="1" l="1"/>
  <c r="K1395" i="1" l="1"/>
  <c r="K1396" i="1" l="1"/>
  <c r="K1397" i="1" l="1"/>
  <c r="K1398" i="1" l="1"/>
  <c r="K1399" i="1" l="1"/>
  <c r="K1400" i="1" l="1"/>
  <c r="K1401" i="1" l="1"/>
  <c r="K1402" i="1" l="1"/>
  <c r="K1403" i="1" l="1"/>
  <c r="K1404" i="1" l="1"/>
  <c r="K1405" i="1" l="1"/>
  <c r="K1406" i="1" l="1"/>
  <c r="K1407" i="1" l="1"/>
  <c r="K1408" i="1" l="1"/>
  <c r="K1409" i="1" l="1"/>
  <c r="K1410" i="1" l="1"/>
  <c r="K1411" i="1" l="1"/>
  <c r="K1412" i="1" l="1"/>
  <c r="K1413" i="1" l="1"/>
  <c r="K1414" i="1" l="1"/>
  <c r="K1415" i="1" l="1"/>
  <c r="K1416" i="1" l="1"/>
  <c r="K1417" i="1" l="1"/>
  <c r="K1418" i="1" l="1"/>
  <c r="K1419" i="1" l="1"/>
  <c r="K1420" i="1" l="1"/>
  <c r="K1421" i="1" l="1"/>
  <c r="K1422" i="1" l="1"/>
  <c r="K1423" i="1" l="1"/>
  <c r="K1424" i="1" l="1"/>
  <c r="K1425" i="1" l="1"/>
  <c r="K1426" i="1" l="1"/>
  <c r="K1427" i="1" l="1"/>
  <c r="K1428" i="1" l="1"/>
  <c r="K1429" i="1" l="1"/>
  <c r="K1430" i="1" l="1"/>
  <c r="K1431" i="1" l="1"/>
  <c r="K1432" i="1" l="1"/>
  <c r="K1433" i="1" l="1"/>
  <c r="K1434" i="1" l="1"/>
  <c r="K1435" i="1" l="1"/>
  <c r="K1436" i="1" l="1"/>
  <c r="K1437" i="1" l="1"/>
  <c r="K1438" i="1" l="1"/>
  <c r="K1439" i="1" l="1"/>
  <c r="K1440" i="1" l="1"/>
  <c r="K1441" i="1" l="1"/>
  <c r="K1442" i="1" l="1"/>
  <c r="K1443" i="1" l="1"/>
  <c r="K1444" i="1" l="1"/>
  <c r="K1445" i="1" l="1"/>
  <c r="K1446" i="1" l="1"/>
  <c r="K1447" i="1" l="1"/>
  <c r="K1448" i="1" l="1"/>
  <c r="K1449" i="1" l="1"/>
  <c r="K1450" i="1" l="1"/>
  <c r="K1451" i="1" l="1"/>
  <c r="K1452" i="1" l="1"/>
  <c r="K1453" i="1" l="1"/>
  <c r="K1454" i="1" l="1"/>
  <c r="K1455" i="1" l="1"/>
  <c r="K1456" i="1" l="1"/>
  <c r="K1457" i="1" l="1"/>
  <c r="K1458" i="1" l="1"/>
  <c r="K1459" i="1" l="1"/>
  <c r="K1460" i="1" l="1"/>
  <c r="K1461" i="1" l="1"/>
  <c r="K1462" i="1" l="1"/>
  <c r="K1463" i="1" l="1"/>
  <c r="K1464" i="1" l="1"/>
  <c r="K1465" i="1" l="1"/>
  <c r="K1466" i="1" l="1"/>
  <c r="K1467" i="1" l="1"/>
  <c r="K1468" i="1" l="1"/>
  <c r="K1469" i="1" l="1"/>
  <c r="K1470" i="1" l="1"/>
  <c r="K1471" i="1" l="1"/>
  <c r="K1472" i="1" l="1"/>
  <c r="K1473" i="1" l="1"/>
  <c r="K1474" i="1" l="1"/>
  <c r="K1475" i="1" l="1"/>
  <c r="K1476" i="1" l="1"/>
  <c r="K1477" i="1" l="1"/>
  <c r="K1478" i="1" l="1"/>
  <c r="K1479" i="1" l="1"/>
  <c r="K1480" i="1" l="1"/>
  <c r="K1481" i="1" l="1"/>
  <c r="K1482" i="1" l="1"/>
  <c r="K1483" i="1" l="1"/>
  <c r="K1484" i="1" l="1"/>
  <c r="K1485" i="1" l="1"/>
  <c r="K1486" i="1" l="1"/>
  <c r="K1487" i="1" l="1"/>
  <c r="K1488" i="1" l="1"/>
  <c r="K1489" i="1" l="1"/>
  <c r="K1490" i="1" l="1"/>
  <c r="K1491" i="1" l="1"/>
  <c r="K1492" i="1" l="1"/>
  <c r="K1493" i="1" l="1"/>
  <c r="K1494" i="1" l="1"/>
  <c r="K1495" i="1" l="1"/>
  <c r="K1496" i="1" l="1"/>
  <c r="K1497" i="1" l="1"/>
  <c r="K1498" i="1" l="1"/>
  <c r="K1499" i="1" l="1"/>
  <c r="K1500" i="1" l="1"/>
  <c r="K1501" i="1" l="1"/>
  <c r="K1502" i="1" l="1"/>
  <c r="K1503" i="1" l="1"/>
  <c r="K1504" i="1" l="1"/>
  <c r="K1505" i="1" l="1"/>
  <c r="K1506" i="1" l="1"/>
  <c r="K1507" i="1" l="1"/>
  <c r="K1508" i="1" l="1"/>
  <c r="K1509" i="1" l="1"/>
  <c r="K1510" i="1" l="1"/>
  <c r="K1511" i="1" l="1"/>
  <c r="K1512" i="1" l="1"/>
  <c r="K1513" i="1" l="1"/>
  <c r="K1514" i="1" l="1"/>
  <c r="K1515" i="1" l="1"/>
  <c r="K1516" i="1" l="1"/>
  <c r="K1517" i="1" l="1"/>
  <c r="K1518" i="1" l="1"/>
  <c r="K1519" i="1" l="1"/>
  <c r="K1520" i="1" l="1"/>
  <c r="K1521" i="1" l="1"/>
  <c r="K1522" i="1" l="1"/>
  <c r="K1523" i="1" l="1"/>
  <c r="K1524" i="1" l="1"/>
  <c r="K1525" i="1" l="1"/>
  <c r="K1526" i="1" l="1"/>
  <c r="K1527" i="1" l="1"/>
  <c r="K1528" i="1" l="1"/>
  <c r="K1529" i="1" l="1"/>
  <c r="K1530" i="1" l="1"/>
  <c r="K1531" i="1" l="1"/>
  <c r="K1532" i="1" l="1"/>
  <c r="K1533" i="1" l="1"/>
  <c r="AA1533" i="1" l="1"/>
  <c r="X1533" i="1"/>
  <c r="P32" i="1"/>
  <c r="Z1533" i="1"/>
  <c r="I15" i="1"/>
  <c r="L31" i="1"/>
  <c r="M31" i="1"/>
  <c r="Q31" i="1"/>
  <c r="R31" i="1"/>
  <c r="S31" i="1"/>
  <c r="U31" i="1"/>
  <c r="L32" i="1"/>
  <c r="M32" i="1"/>
  <c r="Q32" i="1"/>
  <c r="R32" i="1"/>
  <c r="S32" i="1"/>
  <c r="U32" i="1"/>
  <c r="L33" i="1"/>
  <c r="M33" i="1"/>
  <c r="Q33" i="1"/>
  <c r="R33" i="1"/>
  <c r="S33" i="1"/>
  <c r="U33" i="1"/>
  <c r="L34" i="1"/>
  <c r="M34" i="1"/>
  <c r="O34" i="1"/>
  <c r="P34" i="1"/>
  <c r="Q34" i="1"/>
  <c r="R34" i="1"/>
  <c r="S34" i="1"/>
  <c r="U34" i="1"/>
  <c r="L35" i="1"/>
  <c r="M35" i="1"/>
  <c r="O35" i="1"/>
  <c r="Q35" i="1"/>
  <c r="R35" i="1"/>
  <c r="S35" i="1"/>
  <c r="U35" i="1"/>
  <c r="L36" i="1"/>
  <c r="M36" i="1"/>
  <c r="N36" i="1"/>
  <c r="P36" i="1"/>
  <c r="Q36" i="1"/>
  <c r="R36" i="1"/>
  <c r="S36" i="1"/>
  <c r="U36" i="1"/>
  <c r="U133" i="1"/>
  <c r="V133" i="1"/>
  <c r="W133" i="1"/>
  <c r="X133" i="1"/>
  <c r="Y133" i="1"/>
  <c r="Z133" i="1"/>
  <c r="AA133" i="1"/>
  <c r="AB133" i="1"/>
  <c r="AC133" i="1"/>
  <c r="AD133" i="1"/>
  <c r="AE133" i="1"/>
  <c r="AF133" i="1"/>
  <c r="AM133" i="1"/>
  <c r="AN133" i="1"/>
  <c r="AO133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Z134" i="1"/>
  <c r="AA134" i="1"/>
  <c r="AB134" i="1"/>
  <c r="AC134" i="1"/>
  <c r="AD134" i="1"/>
  <c r="AE134" i="1"/>
  <c r="AF134" i="1"/>
  <c r="AM134" i="1"/>
  <c r="AN134" i="1"/>
  <c r="AO134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M135" i="1"/>
  <c r="AN135" i="1"/>
  <c r="AO135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M136" i="1"/>
  <c r="AN136" i="1"/>
  <c r="AO136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Z137" i="1"/>
  <c r="AA137" i="1"/>
  <c r="AB137" i="1"/>
  <c r="AC137" i="1"/>
  <c r="AD137" i="1"/>
  <c r="AE137" i="1"/>
  <c r="AF137" i="1"/>
  <c r="AM137" i="1"/>
  <c r="AN137" i="1"/>
  <c r="AO137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Z138" i="1"/>
  <c r="AA138" i="1"/>
  <c r="AB138" i="1"/>
  <c r="AC138" i="1"/>
  <c r="AD138" i="1"/>
  <c r="AE138" i="1"/>
  <c r="AF138" i="1"/>
  <c r="AM138" i="1"/>
  <c r="AN138" i="1"/>
  <c r="AO138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Z139" i="1"/>
  <c r="AA139" i="1"/>
  <c r="AB139" i="1"/>
  <c r="AC139" i="1"/>
  <c r="AD139" i="1"/>
  <c r="AE139" i="1"/>
  <c r="AF139" i="1"/>
  <c r="AM139" i="1"/>
  <c r="AN139" i="1"/>
  <c r="AO139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M140" i="1"/>
  <c r="AN140" i="1"/>
  <c r="AO140" i="1"/>
  <c r="L141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Y141" i="1"/>
  <c r="Z141" i="1"/>
  <c r="AA141" i="1"/>
  <c r="AB141" i="1"/>
  <c r="AC141" i="1"/>
  <c r="AD141" i="1"/>
  <c r="AE141" i="1"/>
  <c r="AF141" i="1"/>
  <c r="AM141" i="1"/>
  <c r="AN141" i="1"/>
  <c r="AO141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Z142" i="1"/>
  <c r="AA142" i="1"/>
  <c r="AB142" i="1"/>
  <c r="AC142" i="1"/>
  <c r="AD142" i="1"/>
  <c r="AE142" i="1"/>
  <c r="AF142" i="1"/>
  <c r="AM142" i="1"/>
  <c r="AN142" i="1"/>
  <c r="AO142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M143" i="1"/>
  <c r="AN143" i="1"/>
  <c r="AO143" i="1"/>
  <c r="L144" i="1"/>
  <c r="M144" i="1"/>
  <c r="N144" i="1"/>
  <c r="O144" i="1"/>
  <c r="P144" i="1"/>
  <c r="Q144" i="1"/>
  <c r="R144" i="1"/>
  <c r="S144" i="1"/>
  <c r="T144" i="1"/>
  <c r="AD144" i="1"/>
  <c r="AE144" i="1"/>
  <c r="AF144" i="1"/>
  <c r="AM144" i="1"/>
  <c r="AN144" i="1"/>
  <c r="AO144" i="1"/>
  <c r="U150" i="1"/>
  <c r="V150" i="1"/>
  <c r="W150" i="1"/>
  <c r="X150" i="1"/>
  <c r="Y150" i="1"/>
  <c r="Z150" i="1"/>
  <c r="AA150" i="1"/>
  <c r="AB150" i="1"/>
  <c r="AC150" i="1"/>
  <c r="AD150" i="1"/>
  <c r="AE150" i="1"/>
  <c r="AF150" i="1"/>
  <c r="AM150" i="1"/>
  <c r="AN150" i="1"/>
  <c r="AO150" i="1"/>
  <c r="L151" i="1"/>
  <c r="M151" i="1"/>
  <c r="N151" i="1"/>
  <c r="O151" i="1"/>
  <c r="P151" i="1"/>
  <c r="Q151" i="1"/>
  <c r="R151" i="1"/>
  <c r="S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M151" i="1"/>
  <c r="AN151" i="1"/>
  <c r="AO151" i="1"/>
  <c r="L152" i="1"/>
  <c r="M152" i="1"/>
  <c r="N152" i="1"/>
  <c r="O152" i="1"/>
  <c r="P152" i="1"/>
  <c r="Q152" i="1"/>
  <c r="R152" i="1"/>
  <c r="S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M152" i="1"/>
  <c r="AN152" i="1"/>
  <c r="AO152" i="1"/>
  <c r="L153" i="1"/>
  <c r="M153" i="1"/>
  <c r="N153" i="1"/>
  <c r="O153" i="1"/>
  <c r="P153" i="1"/>
  <c r="Q153" i="1"/>
  <c r="R153" i="1"/>
  <c r="S153" i="1"/>
  <c r="T153" i="1"/>
  <c r="U153" i="1"/>
  <c r="V153" i="1"/>
  <c r="W153" i="1"/>
  <c r="X153" i="1"/>
  <c r="Y153" i="1"/>
  <c r="Z153" i="1"/>
  <c r="AA153" i="1"/>
  <c r="AB153" i="1"/>
  <c r="AC153" i="1"/>
  <c r="AD153" i="1"/>
  <c r="AE153" i="1"/>
  <c r="AF153" i="1"/>
  <c r="AM153" i="1"/>
  <c r="AN153" i="1"/>
  <c r="AO153" i="1"/>
  <c r="L154" i="1"/>
  <c r="M154" i="1"/>
  <c r="N154" i="1"/>
  <c r="O154" i="1"/>
  <c r="P154" i="1"/>
  <c r="Q154" i="1"/>
  <c r="R154" i="1"/>
  <c r="S154" i="1"/>
  <c r="T154" i="1"/>
  <c r="U154" i="1"/>
  <c r="V154" i="1"/>
  <c r="W154" i="1"/>
  <c r="X154" i="1"/>
  <c r="Y154" i="1"/>
  <c r="Z154" i="1"/>
  <c r="AA154" i="1"/>
  <c r="AB154" i="1"/>
  <c r="AC154" i="1"/>
  <c r="AD154" i="1"/>
  <c r="AE154" i="1"/>
  <c r="AF154" i="1"/>
  <c r="AM154" i="1"/>
  <c r="AN154" i="1"/>
  <c r="AO154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Y155" i="1"/>
  <c r="Z155" i="1"/>
  <c r="AA155" i="1"/>
  <c r="AB155" i="1"/>
  <c r="AC155" i="1"/>
  <c r="AD155" i="1"/>
  <c r="AE155" i="1"/>
  <c r="AF155" i="1"/>
  <c r="AM155" i="1"/>
  <c r="AN155" i="1"/>
  <c r="AO155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M156" i="1"/>
  <c r="AN156" i="1"/>
  <c r="AO156" i="1"/>
  <c r="L157" i="1"/>
  <c r="M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A157" i="1"/>
  <c r="AB157" i="1"/>
  <c r="AC157" i="1"/>
  <c r="AD157" i="1"/>
  <c r="AE157" i="1"/>
  <c r="AF157" i="1"/>
  <c r="AM157" i="1"/>
  <c r="AN157" i="1"/>
  <c r="AO157" i="1"/>
  <c r="L158" i="1"/>
  <c r="M158" i="1"/>
  <c r="N158" i="1"/>
  <c r="O158" i="1"/>
  <c r="P158" i="1"/>
  <c r="Q158" i="1"/>
  <c r="R158" i="1"/>
  <c r="S158" i="1"/>
  <c r="T158" i="1"/>
  <c r="U158" i="1"/>
  <c r="V158" i="1"/>
  <c r="W158" i="1"/>
  <c r="X158" i="1"/>
  <c r="Y158" i="1"/>
  <c r="Z158" i="1"/>
  <c r="AA158" i="1"/>
  <c r="AB158" i="1"/>
  <c r="AC158" i="1"/>
  <c r="AD158" i="1"/>
  <c r="AE158" i="1"/>
  <c r="AF158" i="1"/>
  <c r="AM158" i="1"/>
  <c r="AN158" i="1"/>
  <c r="AO158" i="1"/>
  <c r="L159" i="1"/>
  <c r="M159" i="1"/>
  <c r="N159" i="1"/>
  <c r="O159" i="1"/>
  <c r="P159" i="1"/>
  <c r="Q159" i="1"/>
  <c r="R159" i="1"/>
  <c r="S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M159" i="1"/>
  <c r="AN159" i="1"/>
  <c r="AO159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M160" i="1"/>
  <c r="AN160" i="1"/>
  <c r="AO160" i="1"/>
  <c r="L161" i="1"/>
  <c r="M161" i="1"/>
  <c r="N161" i="1"/>
  <c r="O161" i="1"/>
  <c r="P161" i="1"/>
  <c r="Q161" i="1"/>
  <c r="R161" i="1"/>
  <c r="S161" i="1"/>
  <c r="T161" i="1"/>
  <c r="U161" i="1"/>
  <c r="V161" i="1"/>
  <c r="W161" i="1"/>
  <c r="X161" i="1"/>
  <c r="Y161" i="1"/>
  <c r="Z161" i="1"/>
  <c r="AA161" i="1"/>
  <c r="AB161" i="1"/>
  <c r="AC161" i="1"/>
  <c r="AD161" i="1"/>
  <c r="AE161" i="1"/>
  <c r="AF161" i="1"/>
  <c r="AM161" i="1"/>
  <c r="AN161" i="1"/>
  <c r="AO161" i="1"/>
  <c r="L162" i="1"/>
  <c r="M162" i="1"/>
  <c r="N162" i="1"/>
  <c r="O162" i="1"/>
  <c r="P162" i="1"/>
  <c r="Q162" i="1"/>
  <c r="R162" i="1"/>
  <c r="S162" i="1"/>
  <c r="T162" i="1"/>
  <c r="U162" i="1"/>
  <c r="V162" i="1"/>
  <c r="W162" i="1"/>
  <c r="X162" i="1"/>
  <c r="Y162" i="1"/>
  <c r="Z162" i="1"/>
  <c r="AA162" i="1"/>
  <c r="AB162" i="1"/>
  <c r="AC162" i="1"/>
  <c r="AD162" i="1"/>
  <c r="AE162" i="1"/>
  <c r="AF162" i="1"/>
  <c r="AM162" i="1"/>
  <c r="AN162" i="1"/>
  <c r="AO162" i="1"/>
  <c r="L163" i="1"/>
  <c r="M163" i="1"/>
  <c r="N163" i="1"/>
  <c r="O163" i="1"/>
  <c r="P163" i="1"/>
  <c r="Q163" i="1"/>
  <c r="R163" i="1"/>
  <c r="S163" i="1"/>
  <c r="T163" i="1"/>
  <c r="U163" i="1"/>
  <c r="V163" i="1"/>
  <c r="W163" i="1"/>
  <c r="X163" i="1"/>
  <c r="Y163" i="1"/>
  <c r="Z163" i="1"/>
  <c r="AA163" i="1"/>
  <c r="AB163" i="1"/>
  <c r="AC163" i="1"/>
  <c r="AD163" i="1"/>
  <c r="AE163" i="1"/>
  <c r="AF163" i="1"/>
  <c r="AM163" i="1"/>
  <c r="AN163" i="1"/>
  <c r="AO163" i="1"/>
  <c r="L164" i="1"/>
  <c r="M164" i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M164" i="1"/>
  <c r="AN164" i="1"/>
  <c r="AO164" i="1"/>
  <c r="L165" i="1"/>
  <c r="M165" i="1"/>
  <c r="N165" i="1"/>
  <c r="O165" i="1"/>
  <c r="P165" i="1"/>
  <c r="Q165" i="1"/>
  <c r="R165" i="1"/>
  <c r="S165" i="1"/>
  <c r="T165" i="1"/>
  <c r="U165" i="1"/>
  <c r="V165" i="1"/>
  <c r="W165" i="1"/>
  <c r="X165" i="1"/>
  <c r="Y165" i="1"/>
  <c r="Z165" i="1"/>
  <c r="AA165" i="1"/>
  <c r="AB165" i="1"/>
  <c r="AC165" i="1"/>
  <c r="AD165" i="1"/>
  <c r="AE165" i="1"/>
  <c r="AF165" i="1"/>
  <c r="AM165" i="1"/>
  <c r="AN165" i="1"/>
  <c r="AO165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Y166" i="1"/>
  <c r="Z166" i="1"/>
  <c r="AA166" i="1"/>
  <c r="AB166" i="1"/>
  <c r="AC166" i="1"/>
  <c r="AD166" i="1"/>
  <c r="AE166" i="1"/>
  <c r="AF166" i="1"/>
  <c r="AM166" i="1"/>
  <c r="AN166" i="1"/>
  <c r="AO166" i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M167" i="1"/>
  <c r="AN167" i="1"/>
  <c r="AO167" i="1"/>
  <c r="L168" i="1"/>
  <c r="M168" i="1"/>
  <c r="N168" i="1"/>
  <c r="O168" i="1"/>
  <c r="P168" i="1"/>
  <c r="Q168" i="1"/>
  <c r="R168" i="1"/>
  <c r="S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M168" i="1"/>
  <c r="AN168" i="1"/>
  <c r="AO168" i="1"/>
  <c r="L169" i="1"/>
  <c r="M169" i="1"/>
  <c r="N169" i="1"/>
  <c r="O169" i="1"/>
  <c r="P169" i="1"/>
  <c r="Q169" i="1"/>
  <c r="R169" i="1"/>
  <c r="S169" i="1"/>
  <c r="T169" i="1"/>
  <c r="U169" i="1"/>
  <c r="V169" i="1"/>
  <c r="W169" i="1"/>
  <c r="X169" i="1"/>
  <c r="Y169" i="1"/>
  <c r="Z169" i="1"/>
  <c r="AA169" i="1"/>
  <c r="AB169" i="1"/>
  <c r="AC169" i="1"/>
  <c r="AD169" i="1"/>
  <c r="AE169" i="1"/>
  <c r="AF169" i="1"/>
  <c r="AM169" i="1"/>
  <c r="AN169" i="1"/>
  <c r="AO169" i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A170" i="1"/>
  <c r="AB170" i="1"/>
  <c r="AC170" i="1"/>
  <c r="AD170" i="1"/>
  <c r="AE170" i="1"/>
  <c r="AF170" i="1"/>
  <c r="AM170" i="1"/>
  <c r="AN170" i="1"/>
  <c r="AO170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Y171" i="1"/>
  <c r="Z171" i="1"/>
  <c r="AA171" i="1"/>
  <c r="AB171" i="1"/>
  <c r="AC171" i="1"/>
  <c r="AD171" i="1"/>
  <c r="AE171" i="1"/>
  <c r="AF171" i="1"/>
  <c r="AM171" i="1"/>
  <c r="AN171" i="1"/>
  <c r="AO171" i="1"/>
  <c r="L172" i="1"/>
  <c r="M172" i="1"/>
  <c r="N172" i="1"/>
  <c r="O172" i="1"/>
  <c r="P172" i="1"/>
  <c r="Q172" i="1"/>
  <c r="R172" i="1"/>
  <c r="S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M172" i="1"/>
  <c r="AN172" i="1"/>
  <c r="AO172" i="1"/>
  <c r="L173" i="1"/>
  <c r="M173" i="1"/>
  <c r="N173" i="1"/>
  <c r="O173" i="1"/>
  <c r="P173" i="1"/>
  <c r="Q173" i="1"/>
  <c r="R173" i="1"/>
  <c r="S173" i="1"/>
  <c r="T173" i="1"/>
  <c r="U173" i="1"/>
  <c r="V173" i="1"/>
  <c r="W173" i="1"/>
  <c r="X173" i="1"/>
  <c r="Y173" i="1"/>
  <c r="Z173" i="1"/>
  <c r="AA173" i="1"/>
  <c r="AB173" i="1"/>
  <c r="AC173" i="1"/>
  <c r="AD173" i="1"/>
  <c r="AE173" i="1"/>
  <c r="AF173" i="1"/>
  <c r="AM173" i="1"/>
  <c r="AN173" i="1"/>
  <c r="AO173" i="1"/>
  <c r="L174" i="1"/>
  <c r="M174" i="1"/>
  <c r="N174" i="1"/>
  <c r="O174" i="1"/>
  <c r="P174" i="1"/>
  <c r="Q174" i="1"/>
  <c r="R174" i="1"/>
  <c r="S174" i="1"/>
  <c r="T174" i="1"/>
  <c r="U174" i="1"/>
  <c r="V174" i="1"/>
  <c r="W174" i="1"/>
  <c r="X174" i="1"/>
  <c r="Y174" i="1"/>
  <c r="Z174" i="1"/>
  <c r="AA174" i="1"/>
  <c r="AB174" i="1"/>
  <c r="AC174" i="1"/>
  <c r="AD174" i="1"/>
  <c r="AE174" i="1"/>
  <c r="AF174" i="1"/>
  <c r="AM174" i="1"/>
  <c r="AN174" i="1"/>
  <c r="AO174" i="1"/>
  <c r="L175" i="1"/>
  <c r="M175" i="1"/>
  <c r="N175" i="1"/>
  <c r="O175" i="1"/>
  <c r="P175" i="1"/>
  <c r="Q175" i="1"/>
  <c r="R175" i="1"/>
  <c r="S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M175" i="1"/>
  <c r="AN175" i="1"/>
  <c r="AO175" i="1"/>
  <c r="L176" i="1"/>
  <c r="M176" i="1"/>
  <c r="N176" i="1"/>
  <c r="O176" i="1"/>
  <c r="P176" i="1"/>
  <c r="Q176" i="1"/>
  <c r="R176" i="1"/>
  <c r="S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M176" i="1"/>
  <c r="AN176" i="1"/>
  <c r="AO176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Y177" i="1"/>
  <c r="Z177" i="1"/>
  <c r="AA177" i="1"/>
  <c r="AB177" i="1"/>
  <c r="AC177" i="1"/>
  <c r="AD177" i="1"/>
  <c r="AE177" i="1"/>
  <c r="AF177" i="1"/>
  <c r="AM177" i="1"/>
  <c r="AN177" i="1"/>
  <c r="AO177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Y178" i="1"/>
  <c r="Z178" i="1"/>
  <c r="AA178" i="1"/>
  <c r="AB178" i="1"/>
  <c r="AC178" i="1"/>
  <c r="AD178" i="1"/>
  <c r="AE178" i="1"/>
  <c r="AF178" i="1"/>
  <c r="AM178" i="1"/>
  <c r="AN178" i="1"/>
  <c r="AO178" i="1"/>
  <c r="L179" i="1"/>
  <c r="M179" i="1"/>
  <c r="N179" i="1"/>
  <c r="O179" i="1"/>
  <c r="P179" i="1"/>
  <c r="Q179" i="1"/>
  <c r="R179" i="1"/>
  <c r="S179" i="1"/>
  <c r="T179" i="1"/>
  <c r="U179" i="1"/>
  <c r="V179" i="1"/>
  <c r="W179" i="1"/>
  <c r="X179" i="1"/>
  <c r="Y179" i="1"/>
  <c r="Z179" i="1"/>
  <c r="AA179" i="1"/>
  <c r="AB179" i="1"/>
  <c r="AC179" i="1"/>
  <c r="AD179" i="1"/>
  <c r="AE179" i="1"/>
  <c r="AF179" i="1"/>
  <c r="AM179" i="1"/>
  <c r="AN179" i="1"/>
  <c r="AO179" i="1"/>
  <c r="L180" i="1"/>
  <c r="M180" i="1"/>
  <c r="N180" i="1"/>
  <c r="O180" i="1"/>
  <c r="P180" i="1"/>
  <c r="Q180" i="1"/>
  <c r="R180" i="1"/>
  <c r="S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M180" i="1"/>
  <c r="AN180" i="1"/>
  <c r="AO180" i="1"/>
  <c r="L181" i="1"/>
  <c r="M181" i="1"/>
  <c r="N181" i="1"/>
  <c r="O181" i="1"/>
  <c r="P181" i="1"/>
  <c r="Q181" i="1"/>
  <c r="R181" i="1"/>
  <c r="S181" i="1"/>
  <c r="T181" i="1"/>
  <c r="U181" i="1"/>
  <c r="V181" i="1"/>
  <c r="W181" i="1"/>
  <c r="X181" i="1"/>
  <c r="Y181" i="1"/>
  <c r="Z181" i="1"/>
  <c r="AA181" i="1"/>
  <c r="AB181" i="1"/>
  <c r="AC181" i="1"/>
  <c r="AD181" i="1"/>
  <c r="AE181" i="1"/>
  <c r="AF181" i="1"/>
  <c r="AM181" i="1"/>
  <c r="AN181" i="1"/>
  <c r="AO181" i="1"/>
  <c r="L182" i="1"/>
  <c r="M182" i="1"/>
  <c r="N182" i="1"/>
  <c r="O182" i="1"/>
  <c r="P182" i="1"/>
  <c r="Q182" i="1"/>
  <c r="R182" i="1"/>
  <c r="S182" i="1"/>
  <c r="T182" i="1"/>
  <c r="U182" i="1"/>
  <c r="V182" i="1"/>
  <c r="W182" i="1"/>
  <c r="X182" i="1"/>
  <c r="Y182" i="1"/>
  <c r="Z182" i="1"/>
  <c r="AA182" i="1"/>
  <c r="AB182" i="1"/>
  <c r="AC182" i="1"/>
  <c r="AD182" i="1"/>
  <c r="AE182" i="1"/>
  <c r="AF182" i="1"/>
  <c r="AM182" i="1"/>
  <c r="AN182" i="1"/>
  <c r="AO182" i="1"/>
  <c r="L183" i="1"/>
  <c r="M183" i="1"/>
  <c r="N183" i="1"/>
  <c r="O183" i="1"/>
  <c r="P183" i="1"/>
  <c r="Q183" i="1"/>
  <c r="R183" i="1"/>
  <c r="S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M183" i="1"/>
  <c r="AN183" i="1"/>
  <c r="AO183" i="1"/>
  <c r="L184" i="1"/>
  <c r="M184" i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M184" i="1"/>
  <c r="AN184" i="1"/>
  <c r="AO184" i="1"/>
  <c r="L185" i="1"/>
  <c r="M185" i="1"/>
  <c r="N185" i="1"/>
  <c r="O185" i="1"/>
  <c r="P185" i="1"/>
  <c r="Q185" i="1"/>
  <c r="R185" i="1"/>
  <c r="S185" i="1"/>
  <c r="T185" i="1"/>
  <c r="U185" i="1"/>
  <c r="V185" i="1"/>
  <c r="W185" i="1"/>
  <c r="X185" i="1"/>
  <c r="Y185" i="1"/>
  <c r="Z185" i="1"/>
  <c r="AA185" i="1"/>
  <c r="AB185" i="1"/>
  <c r="AC185" i="1"/>
  <c r="AD185" i="1"/>
  <c r="AE185" i="1"/>
  <c r="AF185" i="1"/>
  <c r="AM185" i="1"/>
  <c r="AN185" i="1"/>
  <c r="AO185" i="1"/>
  <c r="L186" i="1"/>
  <c r="M186" i="1"/>
  <c r="N186" i="1"/>
  <c r="O186" i="1"/>
  <c r="P186" i="1"/>
  <c r="Q186" i="1"/>
  <c r="R186" i="1"/>
  <c r="S186" i="1"/>
  <c r="T186" i="1"/>
  <c r="U186" i="1"/>
  <c r="V186" i="1"/>
  <c r="W186" i="1"/>
  <c r="X186" i="1"/>
  <c r="Y186" i="1"/>
  <c r="Z186" i="1"/>
  <c r="AA186" i="1"/>
  <c r="AB186" i="1"/>
  <c r="AC186" i="1"/>
  <c r="AD186" i="1"/>
  <c r="AE186" i="1"/>
  <c r="AF186" i="1"/>
  <c r="AM186" i="1"/>
  <c r="AN186" i="1"/>
  <c r="AO186" i="1"/>
  <c r="L187" i="1"/>
  <c r="M187" i="1"/>
  <c r="N187" i="1"/>
  <c r="O187" i="1"/>
  <c r="P187" i="1"/>
  <c r="Q187" i="1"/>
  <c r="R187" i="1"/>
  <c r="S187" i="1"/>
  <c r="T187" i="1"/>
  <c r="U187" i="1"/>
  <c r="V187" i="1"/>
  <c r="W187" i="1"/>
  <c r="X187" i="1"/>
  <c r="Y187" i="1"/>
  <c r="Z187" i="1"/>
  <c r="AA187" i="1"/>
  <c r="AB187" i="1"/>
  <c r="AC187" i="1"/>
  <c r="AD187" i="1"/>
  <c r="AE187" i="1"/>
  <c r="AF187" i="1"/>
  <c r="AM187" i="1"/>
  <c r="AN187" i="1"/>
  <c r="AO187" i="1"/>
  <c r="L188" i="1"/>
  <c r="M188" i="1"/>
  <c r="N188" i="1"/>
  <c r="O188" i="1"/>
  <c r="P188" i="1"/>
  <c r="Q188" i="1"/>
  <c r="R188" i="1"/>
  <c r="S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M188" i="1"/>
  <c r="AN188" i="1"/>
  <c r="AO188" i="1"/>
  <c r="L189" i="1"/>
  <c r="M189" i="1"/>
  <c r="N189" i="1"/>
  <c r="O189" i="1"/>
  <c r="P189" i="1"/>
  <c r="Q189" i="1"/>
  <c r="R189" i="1"/>
  <c r="S189" i="1"/>
  <c r="T189" i="1"/>
  <c r="U189" i="1"/>
  <c r="V189" i="1"/>
  <c r="W189" i="1"/>
  <c r="X189" i="1"/>
  <c r="Y189" i="1"/>
  <c r="Z189" i="1"/>
  <c r="AA189" i="1"/>
  <c r="AB189" i="1"/>
  <c r="AC189" i="1"/>
  <c r="AD189" i="1"/>
  <c r="AE189" i="1"/>
  <c r="AF189" i="1"/>
  <c r="AM189" i="1"/>
  <c r="AN189" i="1"/>
  <c r="AO189" i="1"/>
  <c r="L190" i="1"/>
  <c r="M190" i="1"/>
  <c r="N190" i="1"/>
  <c r="O190" i="1"/>
  <c r="P190" i="1"/>
  <c r="Q190" i="1"/>
  <c r="R190" i="1"/>
  <c r="S190" i="1"/>
  <c r="T190" i="1"/>
  <c r="U190" i="1"/>
  <c r="V190" i="1"/>
  <c r="W190" i="1"/>
  <c r="X190" i="1"/>
  <c r="Y190" i="1"/>
  <c r="Z190" i="1"/>
  <c r="AA190" i="1"/>
  <c r="AB190" i="1"/>
  <c r="AC190" i="1"/>
  <c r="AD190" i="1"/>
  <c r="AE190" i="1"/>
  <c r="AF190" i="1"/>
  <c r="AM190" i="1"/>
  <c r="AN190" i="1"/>
  <c r="AO190" i="1"/>
  <c r="L191" i="1"/>
  <c r="M191" i="1"/>
  <c r="N191" i="1"/>
  <c r="O191" i="1"/>
  <c r="P191" i="1"/>
  <c r="Q191" i="1"/>
  <c r="R191" i="1"/>
  <c r="S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M191" i="1"/>
  <c r="AN191" i="1"/>
  <c r="AO191" i="1"/>
  <c r="L192" i="1"/>
  <c r="M192" i="1"/>
  <c r="N192" i="1"/>
  <c r="O192" i="1"/>
  <c r="P192" i="1"/>
  <c r="Q192" i="1"/>
  <c r="R192" i="1"/>
  <c r="S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M192" i="1"/>
  <c r="AN192" i="1"/>
  <c r="AO192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A193" i="1"/>
  <c r="AB193" i="1"/>
  <c r="AC193" i="1"/>
  <c r="AD193" i="1"/>
  <c r="AE193" i="1"/>
  <c r="AF193" i="1"/>
  <c r="AM193" i="1"/>
  <c r="AN193" i="1"/>
  <c r="AO193" i="1"/>
  <c r="L194" i="1"/>
  <c r="M194" i="1"/>
  <c r="N194" i="1"/>
  <c r="O194" i="1"/>
  <c r="P194" i="1"/>
  <c r="Q194" i="1"/>
  <c r="R194" i="1"/>
  <c r="S194" i="1"/>
  <c r="T194" i="1"/>
  <c r="U194" i="1"/>
  <c r="V194" i="1"/>
  <c r="W194" i="1"/>
  <c r="X194" i="1"/>
  <c r="Y194" i="1"/>
  <c r="Z194" i="1"/>
  <c r="AA194" i="1"/>
  <c r="AB194" i="1"/>
  <c r="AC194" i="1"/>
  <c r="AD194" i="1"/>
  <c r="AE194" i="1"/>
  <c r="AF194" i="1"/>
  <c r="AM194" i="1"/>
  <c r="AN194" i="1"/>
  <c r="AO194" i="1"/>
  <c r="L195" i="1"/>
  <c r="M195" i="1"/>
  <c r="N195" i="1"/>
  <c r="O195" i="1"/>
  <c r="P195" i="1"/>
  <c r="Q195" i="1"/>
  <c r="R195" i="1"/>
  <c r="S195" i="1"/>
  <c r="T195" i="1"/>
  <c r="U195" i="1"/>
  <c r="V195" i="1"/>
  <c r="W195" i="1"/>
  <c r="X195" i="1"/>
  <c r="Y195" i="1"/>
  <c r="Z195" i="1"/>
  <c r="AA195" i="1"/>
  <c r="AB195" i="1"/>
  <c r="AC195" i="1"/>
  <c r="AD195" i="1"/>
  <c r="AE195" i="1"/>
  <c r="AF195" i="1"/>
  <c r="AM195" i="1"/>
  <c r="AN195" i="1"/>
  <c r="AO195" i="1"/>
  <c r="L196" i="1"/>
  <c r="M196" i="1"/>
  <c r="N196" i="1"/>
  <c r="O196" i="1"/>
  <c r="P196" i="1"/>
  <c r="Q196" i="1"/>
  <c r="R196" i="1"/>
  <c r="S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M196" i="1"/>
  <c r="AN196" i="1"/>
  <c r="AO196" i="1"/>
  <c r="L197" i="1"/>
  <c r="M197" i="1"/>
  <c r="N197" i="1"/>
  <c r="O197" i="1"/>
  <c r="P197" i="1"/>
  <c r="Q197" i="1"/>
  <c r="R197" i="1"/>
  <c r="S197" i="1"/>
  <c r="T197" i="1"/>
  <c r="U197" i="1"/>
  <c r="V197" i="1"/>
  <c r="W197" i="1"/>
  <c r="X197" i="1"/>
  <c r="Y197" i="1"/>
  <c r="Z197" i="1"/>
  <c r="AA197" i="1"/>
  <c r="AB197" i="1"/>
  <c r="AC197" i="1"/>
  <c r="AD197" i="1"/>
  <c r="AE197" i="1"/>
  <c r="AF197" i="1"/>
  <c r="AM197" i="1"/>
  <c r="AN197" i="1"/>
  <c r="AO197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A198" i="1"/>
  <c r="AB198" i="1"/>
  <c r="AC198" i="1"/>
  <c r="AD198" i="1"/>
  <c r="AE198" i="1"/>
  <c r="AF198" i="1"/>
  <c r="AM198" i="1"/>
  <c r="AN198" i="1"/>
  <c r="AO198" i="1"/>
  <c r="L199" i="1"/>
  <c r="M199" i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M199" i="1"/>
  <c r="AN199" i="1"/>
  <c r="AO199" i="1"/>
  <c r="L200" i="1"/>
  <c r="M200" i="1"/>
  <c r="N200" i="1"/>
  <c r="O200" i="1"/>
  <c r="P200" i="1"/>
  <c r="Q200" i="1"/>
  <c r="R200" i="1"/>
  <c r="S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M200" i="1"/>
  <c r="AN200" i="1"/>
  <c r="AO200" i="1"/>
  <c r="L201" i="1"/>
  <c r="M201" i="1"/>
  <c r="N201" i="1"/>
  <c r="O201" i="1"/>
  <c r="P201" i="1"/>
  <c r="Q201" i="1"/>
  <c r="R201" i="1"/>
  <c r="S201" i="1"/>
  <c r="T201" i="1"/>
  <c r="U201" i="1"/>
  <c r="V201" i="1"/>
  <c r="W201" i="1"/>
  <c r="X201" i="1"/>
  <c r="Y201" i="1"/>
  <c r="Z201" i="1"/>
  <c r="AA201" i="1"/>
  <c r="AB201" i="1"/>
  <c r="AC201" i="1"/>
  <c r="AD201" i="1"/>
  <c r="AE201" i="1"/>
  <c r="AF201" i="1"/>
  <c r="AM201" i="1"/>
  <c r="AN201" i="1"/>
  <c r="AO201" i="1"/>
  <c r="L202" i="1"/>
  <c r="M202" i="1"/>
  <c r="N202" i="1"/>
  <c r="O202" i="1"/>
  <c r="P202" i="1"/>
  <c r="Q202" i="1"/>
  <c r="R202" i="1"/>
  <c r="S202" i="1"/>
  <c r="T202" i="1"/>
  <c r="U202" i="1"/>
  <c r="V202" i="1"/>
  <c r="W202" i="1"/>
  <c r="X202" i="1"/>
  <c r="Y202" i="1"/>
  <c r="Z202" i="1"/>
  <c r="AA202" i="1"/>
  <c r="AB202" i="1"/>
  <c r="AC202" i="1"/>
  <c r="AD202" i="1"/>
  <c r="AE202" i="1"/>
  <c r="AF202" i="1"/>
  <c r="AM202" i="1"/>
  <c r="AN202" i="1"/>
  <c r="AO202" i="1"/>
  <c r="L203" i="1"/>
  <c r="M203" i="1"/>
  <c r="N203" i="1"/>
  <c r="O203" i="1"/>
  <c r="P203" i="1"/>
  <c r="Q203" i="1"/>
  <c r="R203" i="1"/>
  <c r="S203" i="1"/>
  <c r="T203" i="1"/>
  <c r="U203" i="1"/>
  <c r="V203" i="1"/>
  <c r="W203" i="1"/>
  <c r="X203" i="1"/>
  <c r="Y203" i="1"/>
  <c r="Z203" i="1"/>
  <c r="AA203" i="1"/>
  <c r="AB203" i="1"/>
  <c r="AC203" i="1"/>
  <c r="AD203" i="1"/>
  <c r="AE203" i="1"/>
  <c r="AF203" i="1"/>
  <c r="AM203" i="1"/>
  <c r="AN203" i="1"/>
  <c r="AO203" i="1"/>
  <c r="L204" i="1"/>
  <c r="M204" i="1"/>
  <c r="N204" i="1"/>
  <c r="O204" i="1"/>
  <c r="P204" i="1"/>
  <c r="Q204" i="1"/>
  <c r="R204" i="1"/>
  <c r="S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M204" i="1"/>
  <c r="AN204" i="1"/>
  <c r="AO204" i="1"/>
  <c r="L205" i="1"/>
  <c r="M205" i="1"/>
  <c r="N205" i="1"/>
  <c r="O205" i="1"/>
  <c r="P205" i="1"/>
  <c r="Q205" i="1"/>
  <c r="R205" i="1"/>
  <c r="S205" i="1"/>
  <c r="T205" i="1"/>
  <c r="U205" i="1"/>
  <c r="V205" i="1"/>
  <c r="W205" i="1"/>
  <c r="X205" i="1"/>
  <c r="Y205" i="1"/>
  <c r="Z205" i="1"/>
  <c r="AA205" i="1"/>
  <c r="AB205" i="1"/>
  <c r="AC205" i="1"/>
  <c r="AD205" i="1"/>
  <c r="AE205" i="1"/>
  <c r="AF205" i="1"/>
  <c r="AM205" i="1"/>
  <c r="AN205" i="1"/>
  <c r="AO205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A206" i="1"/>
  <c r="AB206" i="1"/>
  <c r="AC206" i="1"/>
  <c r="AD206" i="1"/>
  <c r="AE206" i="1"/>
  <c r="AF206" i="1"/>
  <c r="AM206" i="1"/>
  <c r="AN206" i="1"/>
  <c r="AO206" i="1"/>
  <c r="L207" i="1"/>
  <c r="M207" i="1"/>
  <c r="N207" i="1"/>
  <c r="O207" i="1"/>
  <c r="P207" i="1"/>
  <c r="Q207" i="1"/>
  <c r="R207" i="1"/>
  <c r="S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M207" i="1"/>
  <c r="AN207" i="1"/>
  <c r="AO207" i="1"/>
  <c r="L208" i="1"/>
  <c r="M208" i="1"/>
  <c r="N208" i="1"/>
  <c r="O208" i="1"/>
  <c r="P208" i="1"/>
  <c r="Q208" i="1"/>
  <c r="R208" i="1"/>
  <c r="S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M208" i="1"/>
  <c r="AN208" i="1"/>
  <c r="AO208" i="1"/>
  <c r="L209" i="1"/>
  <c r="M209" i="1"/>
  <c r="N209" i="1"/>
  <c r="O209" i="1"/>
  <c r="P209" i="1"/>
  <c r="Q209" i="1"/>
  <c r="R209" i="1"/>
  <c r="S209" i="1"/>
  <c r="T209" i="1"/>
  <c r="U209" i="1"/>
  <c r="V209" i="1"/>
  <c r="W209" i="1"/>
  <c r="X209" i="1"/>
  <c r="Y209" i="1"/>
  <c r="Z209" i="1"/>
  <c r="AA209" i="1"/>
  <c r="AB209" i="1"/>
  <c r="AC209" i="1"/>
  <c r="AD209" i="1"/>
  <c r="AE209" i="1"/>
  <c r="AF209" i="1"/>
  <c r="AM209" i="1"/>
  <c r="AN209" i="1"/>
  <c r="AO209" i="1"/>
  <c r="L210" i="1"/>
  <c r="M210" i="1"/>
  <c r="N210" i="1"/>
  <c r="O210" i="1"/>
  <c r="P210" i="1"/>
  <c r="Q210" i="1"/>
  <c r="R210" i="1"/>
  <c r="S210" i="1"/>
  <c r="T210" i="1"/>
  <c r="U210" i="1"/>
  <c r="V210" i="1"/>
  <c r="W210" i="1"/>
  <c r="X210" i="1"/>
  <c r="Y210" i="1"/>
  <c r="Z210" i="1"/>
  <c r="AA210" i="1"/>
  <c r="AB210" i="1"/>
  <c r="AC210" i="1"/>
  <c r="AD210" i="1"/>
  <c r="AE210" i="1"/>
  <c r="AF210" i="1"/>
  <c r="AM210" i="1"/>
  <c r="AN210" i="1"/>
  <c r="AO210" i="1"/>
  <c r="L211" i="1"/>
  <c r="M211" i="1"/>
  <c r="N211" i="1"/>
  <c r="O211" i="1"/>
  <c r="P211" i="1"/>
  <c r="Q211" i="1"/>
  <c r="R211" i="1"/>
  <c r="S211" i="1"/>
  <c r="T211" i="1"/>
  <c r="U211" i="1"/>
  <c r="V211" i="1"/>
  <c r="W211" i="1"/>
  <c r="X211" i="1"/>
  <c r="Y211" i="1"/>
  <c r="Z211" i="1"/>
  <c r="AA211" i="1"/>
  <c r="AB211" i="1"/>
  <c r="AC211" i="1"/>
  <c r="AD211" i="1"/>
  <c r="AE211" i="1"/>
  <c r="AF211" i="1"/>
  <c r="AM211" i="1"/>
  <c r="AN211" i="1"/>
  <c r="AO211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M212" i="1"/>
  <c r="AN212" i="1"/>
  <c r="AO212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A213" i="1"/>
  <c r="AB213" i="1"/>
  <c r="AC213" i="1"/>
  <c r="AD213" i="1"/>
  <c r="AE213" i="1"/>
  <c r="AF213" i="1"/>
  <c r="AM213" i="1"/>
  <c r="AN213" i="1"/>
  <c r="AO213" i="1"/>
  <c r="L214" i="1"/>
  <c r="M214" i="1"/>
  <c r="N214" i="1"/>
  <c r="O214" i="1"/>
  <c r="P214" i="1"/>
  <c r="Q214" i="1"/>
  <c r="R214" i="1"/>
  <c r="S214" i="1"/>
  <c r="T214" i="1"/>
  <c r="U214" i="1"/>
  <c r="V214" i="1"/>
  <c r="W214" i="1"/>
  <c r="X214" i="1"/>
  <c r="Y214" i="1"/>
  <c r="Z214" i="1"/>
  <c r="AA214" i="1"/>
  <c r="AB214" i="1"/>
  <c r="AC214" i="1"/>
  <c r="AD214" i="1"/>
  <c r="AE214" i="1"/>
  <c r="AF214" i="1"/>
  <c r="AM214" i="1"/>
  <c r="AN214" i="1"/>
  <c r="AO214" i="1"/>
  <c r="L215" i="1"/>
  <c r="M215" i="1"/>
  <c r="N215" i="1"/>
  <c r="O215" i="1"/>
  <c r="P215" i="1"/>
  <c r="Q215" i="1"/>
  <c r="R215" i="1"/>
  <c r="S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M215" i="1"/>
  <c r="AN215" i="1"/>
  <c r="AO215" i="1"/>
  <c r="L216" i="1"/>
  <c r="M216" i="1"/>
  <c r="N216" i="1"/>
  <c r="O216" i="1"/>
  <c r="P216" i="1"/>
  <c r="Q216" i="1"/>
  <c r="R216" i="1"/>
  <c r="S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M216" i="1"/>
  <c r="AN216" i="1"/>
  <c r="AO216" i="1"/>
  <c r="L217" i="1"/>
  <c r="M217" i="1"/>
  <c r="N217" i="1"/>
  <c r="O217" i="1"/>
  <c r="P217" i="1"/>
  <c r="Q217" i="1"/>
  <c r="R217" i="1"/>
  <c r="S217" i="1"/>
  <c r="T217" i="1"/>
  <c r="U217" i="1"/>
  <c r="V217" i="1"/>
  <c r="W217" i="1"/>
  <c r="X217" i="1"/>
  <c r="Y217" i="1"/>
  <c r="Z217" i="1"/>
  <c r="AA217" i="1"/>
  <c r="AB217" i="1"/>
  <c r="AC217" i="1"/>
  <c r="AD217" i="1"/>
  <c r="AE217" i="1"/>
  <c r="AF217" i="1"/>
  <c r="AM217" i="1"/>
  <c r="AN217" i="1"/>
  <c r="AO217" i="1"/>
  <c r="L218" i="1"/>
  <c r="M218" i="1"/>
  <c r="N218" i="1"/>
  <c r="O218" i="1"/>
  <c r="P218" i="1"/>
  <c r="Q218" i="1"/>
  <c r="R218" i="1"/>
  <c r="S218" i="1"/>
  <c r="T218" i="1"/>
  <c r="U218" i="1"/>
  <c r="V218" i="1"/>
  <c r="W218" i="1"/>
  <c r="X218" i="1"/>
  <c r="Y218" i="1"/>
  <c r="Z218" i="1"/>
  <c r="AA218" i="1"/>
  <c r="AB218" i="1"/>
  <c r="AC218" i="1"/>
  <c r="AD218" i="1"/>
  <c r="AE218" i="1"/>
  <c r="AF218" i="1"/>
  <c r="AM218" i="1"/>
  <c r="AN218" i="1"/>
  <c r="AO218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A219" i="1"/>
  <c r="AB219" i="1"/>
  <c r="AC219" i="1"/>
  <c r="AD219" i="1"/>
  <c r="AE219" i="1"/>
  <c r="AF219" i="1"/>
  <c r="AM219" i="1"/>
  <c r="AN219" i="1"/>
  <c r="AO219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M220" i="1"/>
  <c r="AN220" i="1"/>
  <c r="AO220" i="1"/>
  <c r="L221" i="1"/>
  <c r="M221" i="1"/>
  <c r="N221" i="1"/>
  <c r="O221" i="1"/>
  <c r="P221" i="1"/>
  <c r="Q221" i="1"/>
  <c r="R221" i="1"/>
  <c r="S221" i="1"/>
  <c r="T221" i="1"/>
  <c r="U221" i="1"/>
  <c r="V221" i="1"/>
  <c r="W221" i="1"/>
  <c r="X221" i="1"/>
  <c r="Y221" i="1"/>
  <c r="Z221" i="1"/>
  <c r="AA221" i="1"/>
  <c r="AB221" i="1"/>
  <c r="AC221" i="1"/>
  <c r="AD221" i="1"/>
  <c r="AE221" i="1"/>
  <c r="AF221" i="1"/>
  <c r="AM221" i="1"/>
  <c r="AN221" i="1"/>
  <c r="AO221" i="1"/>
  <c r="L222" i="1"/>
  <c r="M222" i="1"/>
  <c r="N222" i="1"/>
  <c r="O222" i="1"/>
  <c r="P222" i="1"/>
  <c r="Q222" i="1"/>
  <c r="R222" i="1"/>
  <c r="S222" i="1"/>
  <c r="T222" i="1"/>
  <c r="U222" i="1"/>
  <c r="V222" i="1"/>
  <c r="W222" i="1"/>
  <c r="X222" i="1"/>
  <c r="Y222" i="1"/>
  <c r="Z222" i="1"/>
  <c r="AA222" i="1"/>
  <c r="AB222" i="1"/>
  <c r="AC222" i="1"/>
  <c r="AD222" i="1"/>
  <c r="AE222" i="1"/>
  <c r="AF222" i="1"/>
  <c r="AM222" i="1"/>
  <c r="AN222" i="1"/>
  <c r="AO222" i="1"/>
  <c r="L223" i="1"/>
  <c r="M223" i="1"/>
  <c r="N223" i="1"/>
  <c r="O223" i="1"/>
  <c r="P223" i="1"/>
  <c r="Q223" i="1"/>
  <c r="R223" i="1"/>
  <c r="S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M223" i="1"/>
  <c r="AN223" i="1"/>
  <c r="AO223" i="1"/>
  <c r="L224" i="1"/>
  <c r="M224" i="1"/>
  <c r="N224" i="1"/>
  <c r="O224" i="1"/>
  <c r="P224" i="1"/>
  <c r="Q224" i="1"/>
  <c r="R224" i="1"/>
  <c r="S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M224" i="1"/>
  <c r="AN224" i="1"/>
  <c r="AO224" i="1"/>
  <c r="L225" i="1"/>
  <c r="M225" i="1"/>
  <c r="N225" i="1"/>
  <c r="O225" i="1"/>
  <c r="P225" i="1"/>
  <c r="Q225" i="1"/>
  <c r="R225" i="1"/>
  <c r="S225" i="1"/>
  <c r="T225" i="1"/>
  <c r="U225" i="1"/>
  <c r="V225" i="1"/>
  <c r="W225" i="1"/>
  <c r="X225" i="1"/>
  <c r="Y225" i="1"/>
  <c r="Z225" i="1"/>
  <c r="AA225" i="1"/>
  <c r="AB225" i="1"/>
  <c r="AC225" i="1"/>
  <c r="AD225" i="1"/>
  <c r="AE225" i="1"/>
  <c r="AF225" i="1"/>
  <c r="AM225" i="1"/>
  <c r="AN225" i="1"/>
  <c r="AO225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Y226" i="1"/>
  <c r="Z226" i="1"/>
  <c r="AA226" i="1"/>
  <c r="AB226" i="1"/>
  <c r="AC226" i="1"/>
  <c r="AD226" i="1"/>
  <c r="AE226" i="1"/>
  <c r="AF226" i="1"/>
  <c r="AM226" i="1"/>
  <c r="AN226" i="1"/>
  <c r="AO226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7" i="1"/>
  <c r="Z227" i="1"/>
  <c r="AA227" i="1"/>
  <c r="AB227" i="1"/>
  <c r="AC227" i="1"/>
  <c r="AD227" i="1"/>
  <c r="AE227" i="1"/>
  <c r="AF227" i="1"/>
  <c r="AM227" i="1"/>
  <c r="AN227" i="1"/>
  <c r="AO227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M228" i="1"/>
  <c r="AN228" i="1"/>
  <c r="AO228" i="1"/>
  <c r="L229" i="1"/>
  <c r="M229" i="1"/>
  <c r="N229" i="1"/>
  <c r="O229" i="1"/>
  <c r="P229" i="1"/>
  <c r="Q229" i="1"/>
  <c r="R229" i="1"/>
  <c r="S229" i="1"/>
  <c r="T229" i="1"/>
  <c r="U229" i="1"/>
  <c r="V229" i="1"/>
  <c r="W229" i="1"/>
  <c r="X229" i="1"/>
  <c r="Y229" i="1"/>
  <c r="Z229" i="1"/>
  <c r="AA229" i="1"/>
  <c r="AB229" i="1"/>
  <c r="AC229" i="1"/>
  <c r="AD229" i="1"/>
  <c r="AE229" i="1"/>
  <c r="AF229" i="1"/>
  <c r="AM229" i="1"/>
  <c r="AN229" i="1"/>
  <c r="AO229" i="1"/>
  <c r="L230" i="1"/>
  <c r="M230" i="1"/>
  <c r="N230" i="1"/>
  <c r="O230" i="1"/>
  <c r="P230" i="1"/>
  <c r="Q230" i="1"/>
  <c r="R230" i="1"/>
  <c r="S230" i="1"/>
  <c r="T230" i="1"/>
  <c r="U230" i="1"/>
  <c r="V230" i="1"/>
  <c r="W230" i="1"/>
  <c r="X230" i="1"/>
  <c r="Y230" i="1"/>
  <c r="Z230" i="1"/>
  <c r="AA230" i="1"/>
  <c r="AB230" i="1"/>
  <c r="AC230" i="1"/>
  <c r="AD230" i="1"/>
  <c r="AE230" i="1"/>
  <c r="AF230" i="1"/>
  <c r="AM230" i="1"/>
  <c r="AN230" i="1"/>
  <c r="AO230" i="1"/>
  <c r="L231" i="1"/>
  <c r="M231" i="1"/>
  <c r="N231" i="1"/>
  <c r="O231" i="1"/>
  <c r="P231" i="1"/>
  <c r="Q231" i="1"/>
  <c r="R231" i="1"/>
  <c r="S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M231" i="1"/>
  <c r="AN231" i="1"/>
  <c r="AO231" i="1"/>
  <c r="L232" i="1"/>
  <c r="M232" i="1"/>
  <c r="N232" i="1"/>
  <c r="O232" i="1"/>
  <c r="P232" i="1"/>
  <c r="Q232" i="1"/>
  <c r="R232" i="1"/>
  <c r="S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M232" i="1"/>
  <c r="AN232" i="1"/>
  <c r="AO232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Y233" i="1"/>
  <c r="Z233" i="1"/>
  <c r="AA233" i="1"/>
  <c r="AB233" i="1"/>
  <c r="AC233" i="1"/>
  <c r="AD233" i="1"/>
  <c r="AE233" i="1"/>
  <c r="AF233" i="1"/>
  <c r="AM233" i="1"/>
  <c r="AN233" i="1"/>
  <c r="AO233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Y234" i="1"/>
  <c r="Z234" i="1"/>
  <c r="AA234" i="1"/>
  <c r="AB234" i="1"/>
  <c r="AC234" i="1"/>
  <c r="AD234" i="1"/>
  <c r="AE234" i="1"/>
  <c r="AF234" i="1"/>
  <c r="AM234" i="1"/>
  <c r="AN234" i="1"/>
  <c r="AO234" i="1"/>
  <c r="L235" i="1"/>
  <c r="M235" i="1"/>
  <c r="N235" i="1"/>
  <c r="O235" i="1"/>
  <c r="P235" i="1"/>
  <c r="Q235" i="1"/>
  <c r="R235" i="1"/>
  <c r="S235" i="1"/>
  <c r="T235" i="1"/>
  <c r="U235" i="1"/>
  <c r="V235" i="1"/>
  <c r="W235" i="1"/>
  <c r="X235" i="1"/>
  <c r="Y235" i="1"/>
  <c r="Z235" i="1"/>
  <c r="AA235" i="1"/>
  <c r="AB235" i="1"/>
  <c r="AC235" i="1"/>
  <c r="AD235" i="1"/>
  <c r="AE235" i="1"/>
  <c r="AF235" i="1"/>
  <c r="AM235" i="1"/>
  <c r="AN235" i="1"/>
  <c r="AO235" i="1"/>
  <c r="L236" i="1"/>
  <c r="M236" i="1"/>
  <c r="N236" i="1"/>
  <c r="O236" i="1"/>
  <c r="P236" i="1"/>
  <c r="Q236" i="1"/>
  <c r="R236" i="1"/>
  <c r="S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M236" i="1"/>
  <c r="AN236" i="1"/>
  <c r="AO236" i="1"/>
  <c r="L237" i="1"/>
  <c r="M237" i="1"/>
  <c r="N237" i="1"/>
  <c r="O237" i="1"/>
  <c r="P237" i="1"/>
  <c r="Q237" i="1"/>
  <c r="R237" i="1"/>
  <c r="S237" i="1"/>
  <c r="T237" i="1"/>
  <c r="U237" i="1"/>
  <c r="V237" i="1"/>
  <c r="W237" i="1"/>
  <c r="X237" i="1"/>
  <c r="Y237" i="1"/>
  <c r="Z237" i="1"/>
  <c r="AA237" i="1"/>
  <c r="AB237" i="1"/>
  <c r="AC237" i="1"/>
  <c r="AD237" i="1"/>
  <c r="AE237" i="1"/>
  <c r="AF237" i="1"/>
  <c r="AM237" i="1"/>
  <c r="AN237" i="1"/>
  <c r="AO237" i="1"/>
  <c r="L238" i="1"/>
  <c r="M238" i="1"/>
  <c r="N238" i="1"/>
  <c r="O238" i="1"/>
  <c r="P238" i="1"/>
  <c r="Q238" i="1"/>
  <c r="R238" i="1"/>
  <c r="S238" i="1"/>
  <c r="T238" i="1"/>
  <c r="U238" i="1"/>
  <c r="V238" i="1"/>
  <c r="W238" i="1"/>
  <c r="X238" i="1"/>
  <c r="Y238" i="1"/>
  <c r="Z238" i="1"/>
  <c r="AA238" i="1"/>
  <c r="AB238" i="1"/>
  <c r="AC238" i="1"/>
  <c r="AD238" i="1"/>
  <c r="AE238" i="1"/>
  <c r="AF238" i="1"/>
  <c r="AM238" i="1"/>
  <c r="AN238" i="1"/>
  <c r="AO238" i="1"/>
  <c r="L239" i="1"/>
  <c r="M239" i="1"/>
  <c r="N239" i="1"/>
  <c r="O239" i="1"/>
  <c r="P239" i="1"/>
  <c r="Q239" i="1"/>
  <c r="R239" i="1"/>
  <c r="S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M239" i="1"/>
  <c r="AN239" i="1"/>
  <c r="AO239" i="1"/>
  <c r="L240" i="1"/>
  <c r="M240" i="1"/>
  <c r="N240" i="1"/>
  <c r="O240" i="1"/>
  <c r="P240" i="1"/>
  <c r="Q240" i="1"/>
  <c r="R240" i="1"/>
  <c r="S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M240" i="1"/>
  <c r="AN240" i="1"/>
  <c r="AO240" i="1"/>
  <c r="L241" i="1"/>
  <c r="M241" i="1"/>
  <c r="N241" i="1"/>
  <c r="O241" i="1"/>
  <c r="P241" i="1"/>
  <c r="Q241" i="1"/>
  <c r="R241" i="1"/>
  <c r="S241" i="1"/>
  <c r="T241" i="1"/>
  <c r="U241" i="1"/>
  <c r="V241" i="1"/>
  <c r="W241" i="1"/>
  <c r="X241" i="1"/>
  <c r="Y241" i="1"/>
  <c r="Z241" i="1"/>
  <c r="AA241" i="1"/>
  <c r="AB241" i="1"/>
  <c r="AC241" i="1"/>
  <c r="AD241" i="1"/>
  <c r="AE241" i="1"/>
  <c r="AF241" i="1"/>
  <c r="AM241" i="1"/>
  <c r="AN241" i="1"/>
  <c r="AO241" i="1"/>
  <c r="L242" i="1"/>
  <c r="M242" i="1"/>
  <c r="N242" i="1"/>
  <c r="O242" i="1"/>
  <c r="P242" i="1"/>
  <c r="Q242" i="1"/>
  <c r="R242" i="1"/>
  <c r="S242" i="1"/>
  <c r="T242" i="1"/>
  <c r="U242" i="1"/>
  <c r="V242" i="1"/>
  <c r="W242" i="1"/>
  <c r="X242" i="1"/>
  <c r="Y242" i="1"/>
  <c r="Z242" i="1"/>
  <c r="AA242" i="1"/>
  <c r="AB242" i="1"/>
  <c r="AC242" i="1"/>
  <c r="AD242" i="1"/>
  <c r="AE242" i="1"/>
  <c r="AF242" i="1"/>
  <c r="AM242" i="1"/>
  <c r="AN242" i="1"/>
  <c r="AO242" i="1"/>
  <c r="L243" i="1"/>
  <c r="M243" i="1"/>
  <c r="N243" i="1"/>
  <c r="O243" i="1"/>
  <c r="P243" i="1"/>
  <c r="Q243" i="1"/>
  <c r="R243" i="1"/>
  <c r="S243" i="1"/>
  <c r="T243" i="1"/>
  <c r="U243" i="1"/>
  <c r="V243" i="1"/>
  <c r="W243" i="1"/>
  <c r="X243" i="1"/>
  <c r="Y243" i="1"/>
  <c r="Z243" i="1"/>
  <c r="AA243" i="1"/>
  <c r="AB243" i="1"/>
  <c r="AC243" i="1"/>
  <c r="AD243" i="1"/>
  <c r="AE243" i="1"/>
  <c r="AF243" i="1"/>
  <c r="AM243" i="1"/>
  <c r="AN243" i="1"/>
  <c r="AO243" i="1"/>
  <c r="L244" i="1"/>
  <c r="M244" i="1"/>
  <c r="N244" i="1"/>
  <c r="O244" i="1"/>
  <c r="P244" i="1"/>
  <c r="Q244" i="1"/>
  <c r="R244" i="1"/>
  <c r="S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M244" i="1"/>
  <c r="AN244" i="1"/>
  <c r="AO244" i="1"/>
  <c r="L245" i="1"/>
  <c r="M245" i="1"/>
  <c r="N245" i="1"/>
  <c r="O245" i="1"/>
  <c r="P245" i="1"/>
  <c r="Q245" i="1"/>
  <c r="R245" i="1"/>
  <c r="S245" i="1"/>
  <c r="T245" i="1"/>
  <c r="U245" i="1"/>
  <c r="V245" i="1"/>
  <c r="W245" i="1"/>
  <c r="X245" i="1"/>
  <c r="Y245" i="1"/>
  <c r="Z245" i="1"/>
  <c r="AA245" i="1"/>
  <c r="AB245" i="1"/>
  <c r="AC245" i="1"/>
  <c r="AD245" i="1"/>
  <c r="AE245" i="1"/>
  <c r="AF245" i="1"/>
  <c r="AM245" i="1"/>
  <c r="AN245" i="1"/>
  <c r="AO245" i="1"/>
  <c r="L246" i="1"/>
  <c r="M246" i="1"/>
  <c r="N246" i="1"/>
  <c r="O246" i="1"/>
  <c r="P246" i="1"/>
  <c r="Q246" i="1"/>
  <c r="R246" i="1"/>
  <c r="S246" i="1"/>
  <c r="T246" i="1"/>
  <c r="U246" i="1"/>
  <c r="V246" i="1"/>
  <c r="W246" i="1"/>
  <c r="X246" i="1"/>
  <c r="Y246" i="1"/>
  <c r="Z246" i="1"/>
  <c r="AA246" i="1"/>
  <c r="AB246" i="1"/>
  <c r="AC246" i="1"/>
  <c r="AD246" i="1"/>
  <c r="AE246" i="1"/>
  <c r="AF246" i="1"/>
  <c r="AM246" i="1"/>
  <c r="AN246" i="1"/>
  <c r="AO246" i="1"/>
  <c r="L247" i="1"/>
  <c r="M247" i="1"/>
  <c r="N247" i="1"/>
  <c r="O247" i="1"/>
  <c r="P247" i="1"/>
  <c r="Q247" i="1"/>
  <c r="R247" i="1"/>
  <c r="S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M247" i="1"/>
  <c r="AN247" i="1"/>
  <c r="AO247" i="1"/>
  <c r="L248" i="1"/>
  <c r="M248" i="1"/>
  <c r="N248" i="1"/>
  <c r="O248" i="1"/>
  <c r="P248" i="1"/>
  <c r="Q248" i="1"/>
  <c r="R248" i="1"/>
  <c r="S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M248" i="1"/>
  <c r="AN248" i="1"/>
  <c r="AO248" i="1"/>
  <c r="L249" i="1"/>
  <c r="M249" i="1"/>
  <c r="N249" i="1"/>
  <c r="O249" i="1"/>
  <c r="P249" i="1"/>
  <c r="Q249" i="1"/>
  <c r="R249" i="1"/>
  <c r="S249" i="1"/>
  <c r="T249" i="1"/>
  <c r="U249" i="1"/>
  <c r="V249" i="1"/>
  <c r="W249" i="1"/>
  <c r="X249" i="1"/>
  <c r="Y249" i="1"/>
  <c r="Z249" i="1"/>
  <c r="AA249" i="1"/>
  <c r="AB249" i="1"/>
  <c r="AC249" i="1"/>
  <c r="AD249" i="1"/>
  <c r="AE249" i="1"/>
  <c r="AF249" i="1"/>
  <c r="AM249" i="1"/>
  <c r="AN249" i="1"/>
  <c r="AO249" i="1"/>
  <c r="L250" i="1"/>
  <c r="M250" i="1"/>
  <c r="N250" i="1"/>
  <c r="O250" i="1"/>
  <c r="P250" i="1"/>
  <c r="Q250" i="1"/>
  <c r="R250" i="1"/>
  <c r="S250" i="1"/>
  <c r="T250" i="1"/>
  <c r="U250" i="1"/>
  <c r="V250" i="1"/>
  <c r="W250" i="1"/>
  <c r="X250" i="1"/>
  <c r="Y250" i="1"/>
  <c r="Z250" i="1"/>
  <c r="AA250" i="1"/>
  <c r="AB250" i="1"/>
  <c r="AC250" i="1"/>
  <c r="AD250" i="1"/>
  <c r="AE250" i="1"/>
  <c r="AF250" i="1"/>
  <c r="AM250" i="1"/>
  <c r="AN250" i="1"/>
  <c r="AO250" i="1"/>
  <c r="L251" i="1"/>
  <c r="M251" i="1"/>
  <c r="N251" i="1"/>
  <c r="O251" i="1"/>
  <c r="P251" i="1"/>
  <c r="Q251" i="1"/>
  <c r="R251" i="1"/>
  <c r="S251" i="1"/>
  <c r="T251" i="1"/>
  <c r="U251" i="1"/>
  <c r="V251" i="1"/>
  <c r="W251" i="1"/>
  <c r="X251" i="1"/>
  <c r="Y251" i="1"/>
  <c r="Z251" i="1"/>
  <c r="AA251" i="1"/>
  <c r="AB251" i="1"/>
  <c r="AC251" i="1"/>
  <c r="AD251" i="1"/>
  <c r="AE251" i="1"/>
  <c r="AF251" i="1"/>
  <c r="AM251" i="1"/>
  <c r="AN251" i="1"/>
  <c r="AO251" i="1"/>
  <c r="L252" i="1"/>
  <c r="M252" i="1"/>
  <c r="N252" i="1"/>
  <c r="O252" i="1"/>
  <c r="P252" i="1"/>
  <c r="Q252" i="1"/>
  <c r="R252" i="1"/>
  <c r="S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M252" i="1"/>
  <c r="AN252" i="1"/>
  <c r="AO252" i="1"/>
  <c r="L253" i="1"/>
  <c r="M253" i="1"/>
  <c r="N253" i="1"/>
  <c r="O253" i="1"/>
  <c r="P253" i="1"/>
  <c r="Q253" i="1"/>
  <c r="R253" i="1"/>
  <c r="S253" i="1"/>
  <c r="T253" i="1"/>
  <c r="U253" i="1"/>
  <c r="V253" i="1"/>
  <c r="W253" i="1"/>
  <c r="X253" i="1"/>
  <c r="Y253" i="1"/>
  <c r="Z253" i="1"/>
  <c r="AA253" i="1"/>
  <c r="AB253" i="1"/>
  <c r="AC253" i="1"/>
  <c r="AD253" i="1"/>
  <c r="AE253" i="1"/>
  <c r="AF253" i="1"/>
  <c r="AM253" i="1"/>
  <c r="AN253" i="1"/>
  <c r="AO253" i="1"/>
  <c r="L254" i="1"/>
  <c r="M254" i="1"/>
  <c r="N254" i="1"/>
  <c r="O254" i="1"/>
  <c r="P254" i="1"/>
  <c r="Q254" i="1"/>
  <c r="R254" i="1"/>
  <c r="S254" i="1"/>
  <c r="T254" i="1"/>
  <c r="U254" i="1"/>
  <c r="V254" i="1"/>
  <c r="W254" i="1"/>
  <c r="X254" i="1"/>
  <c r="Y254" i="1"/>
  <c r="Z254" i="1"/>
  <c r="AA254" i="1"/>
  <c r="AB254" i="1"/>
  <c r="AC254" i="1"/>
  <c r="AD254" i="1"/>
  <c r="AE254" i="1"/>
  <c r="AF254" i="1"/>
  <c r="AM254" i="1"/>
  <c r="AN254" i="1"/>
  <c r="AO254" i="1"/>
  <c r="L255" i="1"/>
  <c r="M255" i="1"/>
  <c r="N255" i="1"/>
  <c r="O255" i="1"/>
  <c r="P255" i="1"/>
  <c r="Q255" i="1"/>
  <c r="R255" i="1"/>
  <c r="S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M255" i="1"/>
  <c r="AN255" i="1"/>
  <c r="AO255" i="1"/>
  <c r="L256" i="1"/>
  <c r="M256" i="1"/>
  <c r="N256" i="1"/>
  <c r="O256" i="1"/>
  <c r="P256" i="1"/>
  <c r="Q256" i="1"/>
  <c r="R256" i="1"/>
  <c r="S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M256" i="1"/>
  <c r="AN256" i="1"/>
  <c r="AO256" i="1"/>
  <c r="L257" i="1"/>
  <c r="M257" i="1"/>
  <c r="N257" i="1"/>
  <c r="O257" i="1"/>
  <c r="P257" i="1"/>
  <c r="Q257" i="1"/>
  <c r="R257" i="1"/>
  <c r="S257" i="1"/>
  <c r="T257" i="1"/>
  <c r="U257" i="1"/>
  <c r="V257" i="1"/>
  <c r="W257" i="1"/>
  <c r="X257" i="1"/>
  <c r="Y257" i="1"/>
  <c r="Z257" i="1"/>
  <c r="AA257" i="1"/>
  <c r="AB257" i="1"/>
  <c r="AC257" i="1"/>
  <c r="AD257" i="1"/>
  <c r="AE257" i="1"/>
  <c r="AF257" i="1"/>
  <c r="AM257" i="1"/>
  <c r="AN257" i="1"/>
  <c r="AO257" i="1"/>
  <c r="L258" i="1"/>
  <c r="M258" i="1"/>
  <c r="N258" i="1"/>
  <c r="O258" i="1"/>
  <c r="P258" i="1"/>
  <c r="Q258" i="1"/>
  <c r="R258" i="1"/>
  <c r="S258" i="1"/>
  <c r="T258" i="1"/>
  <c r="U258" i="1"/>
  <c r="V258" i="1"/>
  <c r="W258" i="1"/>
  <c r="X258" i="1"/>
  <c r="Y258" i="1"/>
  <c r="Z258" i="1"/>
  <c r="AA258" i="1"/>
  <c r="AB258" i="1"/>
  <c r="AC258" i="1"/>
  <c r="AD258" i="1"/>
  <c r="AE258" i="1"/>
  <c r="AF258" i="1"/>
  <c r="AM258" i="1"/>
  <c r="AN258" i="1"/>
  <c r="AO258" i="1"/>
  <c r="L259" i="1"/>
  <c r="M259" i="1"/>
  <c r="N259" i="1"/>
  <c r="O259" i="1"/>
  <c r="P259" i="1"/>
  <c r="Q259" i="1"/>
  <c r="R259" i="1"/>
  <c r="S259" i="1"/>
  <c r="T259" i="1"/>
  <c r="U259" i="1"/>
  <c r="V259" i="1"/>
  <c r="W259" i="1"/>
  <c r="X259" i="1"/>
  <c r="Y259" i="1"/>
  <c r="Z259" i="1"/>
  <c r="AA259" i="1"/>
  <c r="AB259" i="1"/>
  <c r="AC259" i="1"/>
  <c r="AD259" i="1"/>
  <c r="AE259" i="1"/>
  <c r="AF259" i="1"/>
  <c r="AM259" i="1"/>
  <c r="AN259" i="1"/>
  <c r="AO259" i="1"/>
  <c r="L260" i="1"/>
  <c r="M260" i="1"/>
  <c r="N260" i="1"/>
  <c r="O260" i="1"/>
  <c r="P260" i="1"/>
  <c r="Q260" i="1"/>
  <c r="R260" i="1"/>
  <c r="S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M260" i="1"/>
  <c r="AN260" i="1"/>
  <c r="AO260" i="1"/>
  <c r="L261" i="1"/>
  <c r="M261" i="1"/>
  <c r="N261" i="1"/>
  <c r="O261" i="1"/>
  <c r="P261" i="1"/>
  <c r="Q261" i="1"/>
  <c r="R261" i="1"/>
  <c r="S261" i="1"/>
  <c r="T261" i="1"/>
  <c r="U261" i="1"/>
  <c r="V261" i="1"/>
  <c r="W261" i="1"/>
  <c r="X261" i="1"/>
  <c r="Y261" i="1"/>
  <c r="Z261" i="1"/>
  <c r="AA261" i="1"/>
  <c r="AB261" i="1"/>
  <c r="AC261" i="1"/>
  <c r="AD261" i="1"/>
  <c r="AE261" i="1"/>
  <c r="AF261" i="1"/>
  <c r="AM261" i="1"/>
  <c r="AN261" i="1"/>
  <c r="AO261" i="1"/>
  <c r="L262" i="1"/>
  <c r="M262" i="1"/>
  <c r="N262" i="1"/>
  <c r="O262" i="1"/>
  <c r="P262" i="1"/>
  <c r="Q262" i="1"/>
  <c r="R262" i="1"/>
  <c r="S262" i="1"/>
  <c r="T262" i="1"/>
  <c r="U262" i="1"/>
  <c r="V262" i="1"/>
  <c r="W262" i="1"/>
  <c r="X262" i="1"/>
  <c r="Y262" i="1"/>
  <c r="Z262" i="1"/>
  <c r="AA262" i="1"/>
  <c r="AB262" i="1"/>
  <c r="AC262" i="1"/>
  <c r="AD262" i="1"/>
  <c r="AE262" i="1"/>
  <c r="AF262" i="1"/>
  <c r="AM262" i="1"/>
  <c r="AN262" i="1"/>
  <c r="AO262" i="1"/>
  <c r="L263" i="1"/>
  <c r="M263" i="1"/>
  <c r="N263" i="1"/>
  <c r="O263" i="1"/>
  <c r="P263" i="1"/>
  <c r="Q263" i="1"/>
  <c r="R263" i="1"/>
  <c r="S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M263" i="1"/>
  <c r="AN263" i="1"/>
  <c r="AO263" i="1"/>
  <c r="L264" i="1"/>
  <c r="M264" i="1"/>
  <c r="N264" i="1"/>
  <c r="O264" i="1"/>
  <c r="P264" i="1"/>
  <c r="Q264" i="1"/>
  <c r="R264" i="1"/>
  <c r="S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M264" i="1"/>
  <c r="AN264" i="1"/>
  <c r="AO264" i="1"/>
  <c r="L265" i="1"/>
  <c r="M265" i="1"/>
  <c r="N265" i="1"/>
  <c r="O265" i="1"/>
  <c r="P265" i="1"/>
  <c r="Q265" i="1"/>
  <c r="R265" i="1"/>
  <c r="S265" i="1"/>
  <c r="T265" i="1"/>
  <c r="U265" i="1"/>
  <c r="V265" i="1"/>
  <c r="W265" i="1"/>
  <c r="X265" i="1"/>
  <c r="Y265" i="1"/>
  <c r="Z265" i="1"/>
  <c r="AA265" i="1"/>
  <c r="AB265" i="1"/>
  <c r="AC265" i="1"/>
  <c r="AD265" i="1"/>
  <c r="AE265" i="1"/>
  <c r="AF265" i="1"/>
  <c r="AM265" i="1"/>
  <c r="AN265" i="1"/>
  <c r="AO265" i="1"/>
  <c r="L266" i="1"/>
  <c r="M266" i="1"/>
  <c r="N266" i="1"/>
  <c r="O266" i="1"/>
  <c r="P266" i="1"/>
  <c r="Q266" i="1"/>
  <c r="R266" i="1"/>
  <c r="S266" i="1"/>
  <c r="T266" i="1"/>
  <c r="U266" i="1"/>
  <c r="V266" i="1"/>
  <c r="W266" i="1"/>
  <c r="X266" i="1"/>
  <c r="Y266" i="1"/>
  <c r="Z266" i="1"/>
  <c r="AA266" i="1"/>
  <c r="AB266" i="1"/>
  <c r="AC266" i="1"/>
  <c r="AD266" i="1"/>
  <c r="AE266" i="1"/>
  <c r="AF266" i="1"/>
  <c r="AM266" i="1"/>
  <c r="AN266" i="1"/>
  <c r="AO266" i="1"/>
  <c r="L267" i="1"/>
  <c r="M267" i="1"/>
  <c r="N267" i="1"/>
  <c r="O267" i="1"/>
  <c r="P267" i="1"/>
  <c r="Q267" i="1"/>
  <c r="R267" i="1"/>
  <c r="S267" i="1"/>
  <c r="T267" i="1"/>
  <c r="U267" i="1"/>
  <c r="V267" i="1"/>
  <c r="W267" i="1"/>
  <c r="X267" i="1"/>
  <c r="Y267" i="1"/>
  <c r="Z267" i="1"/>
  <c r="AA267" i="1"/>
  <c r="AB267" i="1"/>
  <c r="AC267" i="1"/>
  <c r="AD267" i="1"/>
  <c r="AE267" i="1"/>
  <c r="AF267" i="1"/>
  <c r="AM267" i="1"/>
  <c r="AN267" i="1"/>
  <c r="AO267" i="1"/>
  <c r="L268" i="1"/>
  <c r="M268" i="1"/>
  <c r="N268" i="1"/>
  <c r="O268" i="1"/>
  <c r="P268" i="1"/>
  <c r="Q268" i="1"/>
  <c r="R268" i="1"/>
  <c r="S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M268" i="1"/>
  <c r="AN268" i="1"/>
  <c r="AO268" i="1"/>
  <c r="L269" i="1"/>
  <c r="M269" i="1"/>
  <c r="N269" i="1"/>
  <c r="O269" i="1"/>
  <c r="P269" i="1"/>
  <c r="Q269" i="1"/>
  <c r="R269" i="1"/>
  <c r="S269" i="1"/>
  <c r="T269" i="1"/>
  <c r="U269" i="1"/>
  <c r="V269" i="1"/>
  <c r="W269" i="1"/>
  <c r="X269" i="1"/>
  <c r="Y269" i="1"/>
  <c r="Z269" i="1"/>
  <c r="AA269" i="1"/>
  <c r="AB269" i="1"/>
  <c r="AC269" i="1"/>
  <c r="AD269" i="1"/>
  <c r="AE269" i="1"/>
  <c r="AF269" i="1"/>
  <c r="AM269" i="1"/>
  <c r="AN269" i="1"/>
  <c r="AO269" i="1"/>
  <c r="L270" i="1"/>
  <c r="M270" i="1"/>
  <c r="N270" i="1"/>
  <c r="O270" i="1"/>
  <c r="P270" i="1"/>
  <c r="Q270" i="1"/>
  <c r="R270" i="1"/>
  <c r="S270" i="1"/>
  <c r="T270" i="1"/>
  <c r="U270" i="1"/>
  <c r="V270" i="1"/>
  <c r="W270" i="1"/>
  <c r="X270" i="1"/>
  <c r="Y270" i="1"/>
  <c r="Z270" i="1"/>
  <c r="AA270" i="1"/>
  <c r="AB270" i="1"/>
  <c r="AC270" i="1"/>
  <c r="AD270" i="1"/>
  <c r="AE270" i="1"/>
  <c r="AF270" i="1"/>
  <c r="AM270" i="1"/>
  <c r="AN270" i="1"/>
  <c r="AO270" i="1"/>
  <c r="L271" i="1"/>
  <c r="M271" i="1"/>
  <c r="N271" i="1"/>
  <c r="O271" i="1"/>
  <c r="P271" i="1"/>
  <c r="Q271" i="1"/>
  <c r="R271" i="1"/>
  <c r="S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M271" i="1"/>
  <c r="AN271" i="1"/>
  <c r="AO271" i="1"/>
  <c r="L272" i="1"/>
  <c r="M272" i="1"/>
  <c r="N272" i="1"/>
  <c r="O272" i="1"/>
  <c r="P272" i="1"/>
  <c r="Q272" i="1"/>
  <c r="R272" i="1"/>
  <c r="S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M272" i="1"/>
  <c r="AN272" i="1"/>
  <c r="AO272" i="1"/>
  <c r="L273" i="1"/>
  <c r="M273" i="1"/>
  <c r="N273" i="1"/>
  <c r="O273" i="1"/>
  <c r="P273" i="1"/>
  <c r="Q273" i="1"/>
  <c r="R273" i="1"/>
  <c r="S273" i="1"/>
  <c r="T273" i="1"/>
  <c r="U273" i="1"/>
  <c r="V273" i="1"/>
  <c r="W273" i="1"/>
  <c r="X273" i="1"/>
  <c r="Y273" i="1"/>
  <c r="Z273" i="1"/>
  <c r="AA273" i="1"/>
  <c r="AB273" i="1"/>
  <c r="AC273" i="1"/>
  <c r="AD273" i="1"/>
  <c r="AE273" i="1"/>
  <c r="AF273" i="1"/>
  <c r="AM273" i="1"/>
  <c r="AN273" i="1"/>
  <c r="AO273" i="1"/>
  <c r="L274" i="1"/>
  <c r="M274" i="1"/>
  <c r="N274" i="1"/>
  <c r="O274" i="1"/>
  <c r="P274" i="1"/>
  <c r="Q274" i="1"/>
  <c r="R274" i="1"/>
  <c r="S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M274" i="1"/>
  <c r="AN274" i="1"/>
  <c r="AO274" i="1"/>
  <c r="L275" i="1"/>
  <c r="M275" i="1"/>
  <c r="N275" i="1"/>
  <c r="O275" i="1"/>
  <c r="P275" i="1"/>
  <c r="Q275" i="1"/>
  <c r="R275" i="1"/>
  <c r="S275" i="1"/>
  <c r="T275" i="1"/>
  <c r="U275" i="1"/>
  <c r="V275" i="1"/>
  <c r="W275" i="1"/>
  <c r="X275" i="1"/>
  <c r="Y275" i="1"/>
  <c r="Z275" i="1"/>
  <c r="AA275" i="1"/>
  <c r="AB275" i="1"/>
  <c r="AC275" i="1"/>
  <c r="AD275" i="1"/>
  <c r="AE275" i="1"/>
  <c r="AF275" i="1"/>
  <c r="AM275" i="1"/>
  <c r="AN275" i="1"/>
  <c r="AO275" i="1"/>
  <c r="L276" i="1"/>
  <c r="M276" i="1"/>
  <c r="N276" i="1"/>
  <c r="O276" i="1"/>
  <c r="P276" i="1"/>
  <c r="Q276" i="1"/>
  <c r="R276" i="1"/>
  <c r="S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M276" i="1"/>
  <c r="AN276" i="1"/>
  <c r="AO276" i="1"/>
  <c r="L277" i="1"/>
  <c r="M277" i="1"/>
  <c r="N277" i="1"/>
  <c r="O277" i="1"/>
  <c r="P277" i="1"/>
  <c r="Q277" i="1"/>
  <c r="R277" i="1"/>
  <c r="S277" i="1"/>
  <c r="T277" i="1"/>
  <c r="U277" i="1"/>
  <c r="V277" i="1"/>
  <c r="W277" i="1"/>
  <c r="X277" i="1"/>
  <c r="Y277" i="1"/>
  <c r="Z277" i="1"/>
  <c r="AA277" i="1"/>
  <c r="AB277" i="1"/>
  <c r="AC277" i="1"/>
  <c r="AD277" i="1"/>
  <c r="AE277" i="1"/>
  <c r="AF277" i="1"/>
  <c r="AM277" i="1"/>
  <c r="AN277" i="1"/>
  <c r="AO277" i="1"/>
  <c r="L278" i="1"/>
  <c r="M278" i="1"/>
  <c r="N278" i="1"/>
  <c r="O278" i="1"/>
  <c r="P278" i="1"/>
  <c r="Q278" i="1"/>
  <c r="R278" i="1"/>
  <c r="S278" i="1"/>
  <c r="T278" i="1"/>
  <c r="U278" i="1"/>
  <c r="V278" i="1"/>
  <c r="W278" i="1"/>
  <c r="X278" i="1"/>
  <c r="Y278" i="1"/>
  <c r="Z278" i="1"/>
  <c r="AA278" i="1"/>
  <c r="AB278" i="1"/>
  <c r="AC278" i="1"/>
  <c r="AD278" i="1"/>
  <c r="AE278" i="1"/>
  <c r="AF278" i="1"/>
  <c r="AM278" i="1"/>
  <c r="AN278" i="1"/>
  <c r="AO278" i="1"/>
  <c r="L279" i="1"/>
  <c r="M279" i="1"/>
  <c r="N279" i="1"/>
  <c r="O279" i="1"/>
  <c r="P279" i="1"/>
  <c r="Q279" i="1"/>
  <c r="R279" i="1"/>
  <c r="S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M279" i="1"/>
  <c r="AN279" i="1"/>
  <c r="AO279" i="1"/>
  <c r="L280" i="1"/>
  <c r="M280" i="1"/>
  <c r="N280" i="1"/>
  <c r="O280" i="1"/>
  <c r="P280" i="1"/>
  <c r="Q280" i="1"/>
  <c r="R280" i="1"/>
  <c r="S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M280" i="1"/>
  <c r="AN280" i="1"/>
  <c r="AO280" i="1"/>
  <c r="L281" i="1"/>
  <c r="M281" i="1"/>
  <c r="N281" i="1"/>
  <c r="O281" i="1"/>
  <c r="P281" i="1"/>
  <c r="Q281" i="1"/>
  <c r="R281" i="1"/>
  <c r="S281" i="1"/>
  <c r="T281" i="1"/>
  <c r="U281" i="1"/>
  <c r="V281" i="1"/>
  <c r="W281" i="1"/>
  <c r="X281" i="1"/>
  <c r="Y281" i="1"/>
  <c r="Z281" i="1"/>
  <c r="AA281" i="1"/>
  <c r="AB281" i="1"/>
  <c r="AC281" i="1"/>
  <c r="AD281" i="1"/>
  <c r="AE281" i="1"/>
  <c r="AF281" i="1"/>
  <c r="AM281" i="1"/>
  <c r="AN281" i="1"/>
  <c r="AO281" i="1"/>
  <c r="L282" i="1"/>
  <c r="M282" i="1"/>
  <c r="N282" i="1"/>
  <c r="O282" i="1"/>
  <c r="P282" i="1"/>
  <c r="Q282" i="1"/>
  <c r="R282" i="1"/>
  <c r="S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M282" i="1"/>
  <c r="AN282" i="1"/>
  <c r="AO282" i="1"/>
  <c r="L283" i="1"/>
  <c r="M283" i="1"/>
  <c r="N283" i="1"/>
  <c r="O283" i="1"/>
  <c r="P283" i="1"/>
  <c r="Q283" i="1"/>
  <c r="R283" i="1"/>
  <c r="S283" i="1"/>
  <c r="T283" i="1"/>
  <c r="U283" i="1"/>
  <c r="V283" i="1"/>
  <c r="W283" i="1"/>
  <c r="X283" i="1"/>
  <c r="Y283" i="1"/>
  <c r="Z283" i="1"/>
  <c r="AA283" i="1"/>
  <c r="AB283" i="1"/>
  <c r="AC283" i="1"/>
  <c r="AD283" i="1"/>
  <c r="AE283" i="1"/>
  <c r="AF283" i="1"/>
  <c r="AM283" i="1"/>
  <c r="AN283" i="1"/>
  <c r="AO283" i="1"/>
  <c r="L284" i="1"/>
  <c r="M284" i="1"/>
  <c r="N284" i="1"/>
  <c r="O284" i="1"/>
  <c r="P284" i="1"/>
  <c r="Q284" i="1"/>
  <c r="R284" i="1"/>
  <c r="S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M284" i="1"/>
  <c r="AN284" i="1"/>
  <c r="AO284" i="1"/>
  <c r="L285" i="1"/>
  <c r="M285" i="1"/>
  <c r="N285" i="1"/>
  <c r="O285" i="1"/>
  <c r="P285" i="1"/>
  <c r="Q285" i="1"/>
  <c r="R285" i="1"/>
  <c r="S285" i="1"/>
  <c r="T285" i="1"/>
  <c r="U285" i="1"/>
  <c r="V285" i="1"/>
  <c r="W285" i="1"/>
  <c r="X285" i="1"/>
  <c r="Y285" i="1"/>
  <c r="Z285" i="1"/>
  <c r="AA285" i="1"/>
  <c r="AB285" i="1"/>
  <c r="AC285" i="1"/>
  <c r="AD285" i="1"/>
  <c r="AE285" i="1"/>
  <c r="AF285" i="1"/>
  <c r="AM285" i="1"/>
  <c r="AN285" i="1"/>
  <c r="AO285" i="1"/>
  <c r="L286" i="1"/>
  <c r="M286" i="1"/>
  <c r="N286" i="1"/>
  <c r="O286" i="1"/>
  <c r="P286" i="1"/>
  <c r="Q286" i="1"/>
  <c r="R286" i="1"/>
  <c r="S286" i="1"/>
  <c r="T286" i="1"/>
  <c r="U286" i="1"/>
  <c r="V286" i="1"/>
  <c r="W286" i="1"/>
  <c r="X286" i="1"/>
  <c r="Y286" i="1"/>
  <c r="Z286" i="1"/>
  <c r="AA286" i="1"/>
  <c r="AB286" i="1"/>
  <c r="AC286" i="1"/>
  <c r="AD286" i="1"/>
  <c r="AE286" i="1"/>
  <c r="AF286" i="1"/>
  <c r="AM286" i="1"/>
  <c r="AN286" i="1"/>
  <c r="AO286" i="1"/>
  <c r="L287" i="1"/>
  <c r="M287" i="1"/>
  <c r="N287" i="1"/>
  <c r="O287" i="1"/>
  <c r="P287" i="1"/>
  <c r="Q287" i="1"/>
  <c r="R287" i="1"/>
  <c r="S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M287" i="1"/>
  <c r="AN287" i="1"/>
  <c r="AO287" i="1"/>
  <c r="L288" i="1"/>
  <c r="M288" i="1"/>
  <c r="N288" i="1"/>
  <c r="O288" i="1"/>
  <c r="P288" i="1"/>
  <c r="Q288" i="1"/>
  <c r="R288" i="1"/>
  <c r="S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M288" i="1"/>
  <c r="AN288" i="1"/>
  <c r="AO288" i="1"/>
  <c r="L289" i="1"/>
  <c r="M289" i="1"/>
  <c r="N289" i="1"/>
  <c r="O289" i="1"/>
  <c r="P289" i="1"/>
  <c r="Q289" i="1"/>
  <c r="R289" i="1"/>
  <c r="S289" i="1"/>
  <c r="T289" i="1"/>
  <c r="U289" i="1"/>
  <c r="V289" i="1"/>
  <c r="W289" i="1"/>
  <c r="X289" i="1"/>
  <c r="Y289" i="1"/>
  <c r="Z289" i="1"/>
  <c r="AA289" i="1"/>
  <c r="AB289" i="1"/>
  <c r="AC289" i="1"/>
  <c r="AD289" i="1"/>
  <c r="AE289" i="1"/>
  <c r="AF289" i="1"/>
  <c r="AM289" i="1"/>
  <c r="AN289" i="1"/>
  <c r="AO289" i="1"/>
  <c r="L290" i="1"/>
  <c r="M290" i="1"/>
  <c r="N290" i="1"/>
  <c r="O290" i="1"/>
  <c r="P290" i="1"/>
  <c r="Q290" i="1"/>
  <c r="R290" i="1"/>
  <c r="S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M290" i="1"/>
  <c r="AN290" i="1"/>
  <c r="AO290" i="1"/>
  <c r="L291" i="1"/>
  <c r="M291" i="1"/>
  <c r="N291" i="1"/>
  <c r="O291" i="1"/>
  <c r="P291" i="1"/>
  <c r="Q291" i="1"/>
  <c r="R291" i="1"/>
  <c r="S291" i="1"/>
  <c r="T291" i="1"/>
  <c r="U291" i="1"/>
  <c r="V291" i="1"/>
  <c r="W291" i="1"/>
  <c r="X291" i="1"/>
  <c r="Y291" i="1"/>
  <c r="Z291" i="1"/>
  <c r="AA291" i="1"/>
  <c r="AB291" i="1"/>
  <c r="AC291" i="1"/>
  <c r="AD291" i="1"/>
  <c r="AE291" i="1"/>
  <c r="AF291" i="1"/>
  <c r="AM291" i="1"/>
  <c r="AN291" i="1"/>
  <c r="AO291" i="1"/>
  <c r="L292" i="1"/>
  <c r="M292" i="1"/>
  <c r="N292" i="1"/>
  <c r="O292" i="1"/>
  <c r="P292" i="1"/>
  <c r="Q292" i="1"/>
  <c r="R292" i="1"/>
  <c r="S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M292" i="1"/>
  <c r="AN292" i="1"/>
  <c r="AO292" i="1"/>
  <c r="L293" i="1"/>
  <c r="M293" i="1"/>
  <c r="N293" i="1"/>
  <c r="O293" i="1"/>
  <c r="P293" i="1"/>
  <c r="Q293" i="1"/>
  <c r="R293" i="1"/>
  <c r="S293" i="1"/>
  <c r="T293" i="1"/>
  <c r="U293" i="1"/>
  <c r="V293" i="1"/>
  <c r="W293" i="1"/>
  <c r="X293" i="1"/>
  <c r="Y293" i="1"/>
  <c r="Z293" i="1"/>
  <c r="AA293" i="1"/>
  <c r="AB293" i="1"/>
  <c r="AC293" i="1"/>
  <c r="AD293" i="1"/>
  <c r="AE293" i="1"/>
  <c r="AF293" i="1"/>
  <c r="AM293" i="1"/>
  <c r="AN293" i="1"/>
  <c r="AO293" i="1"/>
  <c r="L294" i="1"/>
  <c r="M294" i="1"/>
  <c r="N294" i="1"/>
  <c r="O294" i="1"/>
  <c r="P294" i="1"/>
  <c r="Q294" i="1"/>
  <c r="R294" i="1"/>
  <c r="S294" i="1"/>
  <c r="T294" i="1"/>
  <c r="U294" i="1"/>
  <c r="V294" i="1"/>
  <c r="W294" i="1"/>
  <c r="X294" i="1"/>
  <c r="Y294" i="1"/>
  <c r="Z294" i="1"/>
  <c r="AA294" i="1"/>
  <c r="AB294" i="1"/>
  <c r="AC294" i="1"/>
  <c r="AD294" i="1"/>
  <c r="AE294" i="1"/>
  <c r="AF294" i="1"/>
  <c r="AM294" i="1"/>
  <c r="AN294" i="1"/>
  <c r="AO294" i="1"/>
  <c r="L295" i="1"/>
  <c r="M295" i="1"/>
  <c r="N295" i="1"/>
  <c r="O295" i="1"/>
  <c r="P295" i="1"/>
  <c r="Q295" i="1"/>
  <c r="R295" i="1"/>
  <c r="S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M295" i="1"/>
  <c r="AN295" i="1"/>
  <c r="AO295" i="1"/>
  <c r="L296" i="1"/>
  <c r="M296" i="1"/>
  <c r="N296" i="1"/>
  <c r="O296" i="1"/>
  <c r="P296" i="1"/>
  <c r="Q296" i="1"/>
  <c r="R296" i="1"/>
  <c r="S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M296" i="1"/>
  <c r="AN296" i="1"/>
  <c r="AO296" i="1"/>
  <c r="L297" i="1"/>
  <c r="M297" i="1"/>
  <c r="N297" i="1"/>
  <c r="O297" i="1"/>
  <c r="P297" i="1"/>
  <c r="Q297" i="1"/>
  <c r="R297" i="1"/>
  <c r="S297" i="1"/>
  <c r="T297" i="1"/>
  <c r="U297" i="1"/>
  <c r="V297" i="1"/>
  <c r="W297" i="1"/>
  <c r="X297" i="1"/>
  <c r="Y297" i="1"/>
  <c r="Z297" i="1"/>
  <c r="AA297" i="1"/>
  <c r="AB297" i="1"/>
  <c r="AC297" i="1"/>
  <c r="AD297" i="1"/>
  <c r="AE297" i="1"/>
  <c r="AF297" i="1"/>
  <c r="AM297" i="1"/>
  <c r="AN297" i="1"/>
  <c r="AO297" i="1"/>
  <c r="L298" i="1"/>
  <c r="M298" i="1"/>
  <c r="N298" i="1"/>
  <c r="O298" i="1"/>
  <c r="P298" i="1"/>
  <c r="Q298" i="1"/>
  <c r="R298" i="1"/>
  <c r="S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M298" i="1"/>
  <c r="AN298" i="1"/>
  <c r="AO298" i="1"/>
  <c r="L299" i="1"/>
  <c r="M299" i="1"/>
  <c r="N299" i="1"/>
  <c r="O299" i="1"/>
  <c r="P299" i="1"/>
  <c r="Q299" i="1"/>
  <c r="R299" i="1"/>
  <c r="S299" i="1"/>
  <c r="T299" i="1"/>
  <c r="U299" i="1"/>
  <c r="V299" i="1"/>
  <c r="W299" i="1"/>
  <c r="X299" i="1"/>
  <c r="Y299" i="1"/>
  <c r="Z299" i="1"/>
  <c r="AA299" i="1"/>
  <c r="AB299" i="1"/>
  <c r="AC299" i="1"/>
  <c r="AD299" i="1"/>
  <c r="AE299" i="1"/>
  <c r="AF299" i="1"/>
  <c r="AM299" i="1"/>
  <c r="AN299" i="1"/>
  <c r="AO299" i="1"/>
  <c r="L300" i="1"/>
  <c r="M300" i="1"/>
  <c r="N300" i="1"/>
  <c r="O300" i="1"/>
  <c r="P300" i="1"/>
  <c r="Q300" i="1"/>
  <c r="R300" i="1"/>
  <c r="S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M300" i="1"/>
  <c r="AN300" i="1"/>
  <c r="AO300" i="1"/>
  <c r="L301" i="1"/>
  <c r="M301" i="1"/>
  <c r="N301" i="1"/>
  <c r="O301" i="1"/>
  <c r="P301" i="1"/>
  <c r="Q301" i="1"/>
  <c r="R301" i="1"/>
  <c r="S301" i="1"/>
  <c r="T301" i="1"/>
  <c r="U301" i="1"/>
  <c r="V301" i="1"/>
  <c r="W301" i="1"/>
  <c r="X301" i="1"/>
  <c r="Y301" i="1"/>
  <c r="Z301" i="1"/>
  <c r="AA301" i="1"/>
  <c r="AB301" i="1"/>
  <c r="AC301" i="1"/>
  <c r="AD301" i="1"/>
  <c r="AE301" i="1"/>
  <c r="AF301" i="1"/>
  <c r="AM301" i="1"/>
  <c r="AN301" i="1"/>
  <c r="AO301" i="1"/>
  <c r="L302" i="1"/>
  <c r="M302" i="1"/>
  <c r="N302" i="1"/>
  <c r="O302" i="1"/>
  <c r="P302" i="1"/>
  <c r="Q302" i="1"/>
  <c r="R302" i="1"/>
  <c r="S302" i="1"/>
  <c r="T302" i="1"/>
  <c r="U302" i="1"/>
  <c r="V302" i="1"/>
  <c r="W302" i="1"/>
  <c r="X302" i="1"/>
  <c r="Y302" i="1"/>
  <c r="Z302" i="1"/>
  <c r="AA302" i="1"/>
  <c r="AB302" i="1"/>
  <c r="AC302" i="1"/>
  <c r="AD302" i="1"/>
  <c r="AE302" i="1"/>
  <c r="AF302" i="1"/>
  <c r="AM302" i="1"/>
  <c r="AN302" i="1"/>
  <c r="AO302" i="1"/>
  <c r="L303" i="1"/>
  <c r="M303" i="1"/>
  <c r="N303" i="1"/>
  <c r="O303" i="1"/>
  <c r="P303" i="1"/>
  <c r="Q303" i="1"/>
  <c r="R303" i="1"/>
  <c r="S303" i="1"/>
  <c r="T303" i="1"/>
  <c r="U303" i="1"/>
  <c r="V303" i="1"/>
  <c r="W303" i="1"/>
  <c r="X303" i="1"/>
  <c r="Y303" i="1"/>
  <c r="Z303" i="1"/>
  <c r="AA303" i="1"/>
  <c r="AB303" i="1"/>
  <c r="AC303" i="1"/>
  <c r="AD303" i="1"/>
  <c r="AE303" i="1"/>
  <c r="AF303" i="1"/>
  <c r="AM303" i="1"/>
  <c r="AN303" i="1"/>
  <c r="AO303" i="1"/>
  <c r="L304" i="1"/>
  <c r="M304" i="1"/>
  <c r="N304" i="1"/>
  <c r="O304" i="1"/>
  <c r="P304" i="1"/>
  <c r="Q304" i="1"/>
  <c r="R304" i="1"/>
  <c r="S304" i="1"/>
  <c r="T304" i="1"/>
  <c r="U304" i="1"/>
  <c r="V304" i="1"/>
  <c r="W304" i="1"/>
  <c r="X304" i="1"/>
  <c r="Y304" i="1"/>
  <c r="Z304" i="1"/>
  <c r="AA304" i="1"/>
  <c r="AB304" i="1"/>
  <c r="AC304" i="1"/>
  <c r="AD304" i="1"/>
  <c r="AE304" i="1"/>
  <c r="AF304" i="1"/>
  <c r="AM304" i="1"/>
  <c r="AN304" i="1"/>
  <c r="AO304" i="1"/>
  <c r="L305" i="1"/>
  <c r="M305" i="1"/>
  <c r="N305" i="1"/>
  <c r="O305" i="1"/>
  <c r="P305" i="1"/>
  <c r="Q305" i="1"/>
  <c r="R305" i="1"/>
  <c r="S305" i="1"/>
  <c r="T305" i="1"/>
  <c r="U305" i="1"/>
  <c r="V305" i="1"/>
  <c r="W305" i="1"/>
  <c r="X305" i="1"/>
  <c r="Y305" i="1"/>
  <c r="Z305" i="1"/>
  <c r="AA305" i="1"/>
  <c r="AB305" i="1"/>
  <c r="AC305" i="1"/>
  <c r="AD305" i="1"/>
  <c r="AE305" i="1"/>
  <c r="AF305" i="1"/>
  <c r="AM305" i="1"/>
  <c r="AN305" i="1"/>
  <c r="AO305" i="1"/>
  <c r="L306" i="1"/>
  <c r="M306" i="1"/>
  <c r="N306" i="1"/>
  <c r="O306" i="1"/>
  <c r="P306" i="1"/>
  <c r="Q306" i="1"/>
  <c r="R306" i="1"/>
  <c r="S306" i="1"/>
  <c r="T306" i="1"/>
  <c r="U306" i="1"/>
  <c r="V306" i="1"/>
  <c r="W306" i="1"/>
  <c r="X306" i="1"/>
  <c r="Y306" i="1"/>
  <c r="Z306" i="1"/>
  <c r="AA306" i="1"/>
  <c r="AB306" i="1"/>
  <c r="AC306" i="1"/>
  <c r="AD306" i="1"/>
  <c r="AE306" i="1"/>
  <c r="AF306" i="1"/>
  <c r="AM306" i="1"/>
  <c r="AN306" i="1"/>
  <c r="AO306" i="1"/>
  <c r="L307" i="1"/>
  <c r="M307" i="1"/>
  <c r="N307" i="1"/>
  <c r="O307" i="1"/>
  <c r="P307" i="1"/>
  <c r="Q307" i="1"/>
  <c r="R307" i="1"/>
  <c r="S307" i="1"/>
  <c r="T307" i="1"/>
  <c r="U307" i="1"/>
  <c r="V307" i="1"/>
  <c r="W307" i="1"/>
  <c r="X307" i="1"/>
  <c r="Y307" i="1"/>
  <c r="Z307" i="1"/>
  <c r="AA307" i="1"/>
  <c r="AB307" i="1"/>
  <c r="AC307" i="1"/>
  <c r="AD307" i="1"/>
  <c r="AE307" i="1"/>
  <c r="AF307" i="1"/>
  <c r="AM307" i="1"/>
  <c r="AN307" i="1"/>
  <c r="AO307" i="1"/>
  <c r="L308" i="1"/>
  <c r="M308" i="1"/>
  <c r="N308" i="1"/>
  <c r="O308" i="1"/>
  <c r="P308" i="1"/>
  <c r="Q308" i="1"/>
  <c r="R308" i="1"/>
  <c r="S308" i="1"/>
  <c r="T308" i="1"/>
  <c r="U308" i="1"/>
  <c r="V308" i="1"/>
  <c r="W308" i="1"/>
  <c r="X308" i="1"/>
  <c r="Y308" i="1"/>
  <c r="Z308" i="1"/>
  <c r="AA308" i="1"/>
  <c r="AB308" i="1"/>
  <c r="AC308" i="1"/>
  <c r="AD308" i="1"/>
  <c r="AE308" i="1"/>
  <c r="AF308" i="1"/>
  <c r="AM308" i="1"/>
  <c r="AN308" i="1"/>
  <c r="AO308" i="1"/>
  <c r="L309" i="1"/>
  <c r="M309" i="1"/>
  <c r="N309" i="1"/>
  <c r="O309" i="1"/>
  <c r="P309" i="1"/>
  <c r="Q309" i="1"/>
  <c r="R309" i="1"/>
  <c r="S309" i="1"/>
  <c r="T309" i="1"/>
  <c r="U309" i="1"/>
  <c r="V309" i="1"/>
  <c r="W309" i="1"/>
  <c r="X309" i="1"/>
  <c r="Y309" i="1"/>
  <c r="Z309" i="1"/>
  <c r="AA309" i="1"/>
  <c r="AB309" i="1"/>
  <c r="AC309" i="1"/>
  <c r="AD309" i="1"/>
  <c r="AE309" i="1"/>
  <c r="AF309" i="1"/>
  <c r="AM309" i="1"/>
  <c r="AN309" i="1"/>
  <c r="AO309" i="1"/>
  <c r="L310" i="1"/>
  <c r="M310" i="1"/>
  <c r="N310" i="1"/>
  <c r="O310" i="1"/>
  <c r="P310" i="1"/>
  <c r="Q310" i="1"/>
  <c r="R310" i="1"/>
  <c r="S310" i="1"/>
  <c r="T310" i="1"/>
  <c r="U310" i="1"/>
  <c r="V310" i="1"/>
  <c r="W310" i="1"/>
  <c r="X310" i="1"/>
  <c r="Y310" i="1"/>
  <c r="Z310" i="1"/>
  <c r="AA310" i="1"/>
  <c r="AB310" i="1"/>
  <c r="AC310" i="1"/>
  <c r="AD310" i="1"/>
  <c r="AE310" i="1"/>
  <c r="AF310" i="1"/>
  <c r="AM310" i="1"/>
  <c r="AN310" i="1"/>
  <c r="AO310" i="1"/>
  <c r="L311" i="1"/>
  <c r="M311" i="1"/>
  <c r="N311" i="1"/>
  <c r="O311" i="1"/>
  <c r="P311" i="1"/>
  <c r="Q311" i="1"/>
  <c r="R311" i="1"/>
  <c r="S311" i="1"/>
  <c r="T311" i="1"/>
  <c r="U311" i="1"/>
  <c r="V311" i="1"/>
  <c r="W311" i="1"/>
  <c r="X311" i="1"/>
  <c r="Y311" i="1"/>
  <c r="Z311" i="1"/>
  <c r="AA311" i="1"/>
  <c r="AB311" i="1"/>
  <c r="AC311" i="1"/>
  <c r="AD311" i="1"/>
  <c r="AE311" i="1"/>
  <c r="AF311" i="1"/>
  <c r="AM311" i="1"/>
  <c r="AN311" i="1"/>
  <c r="AO311" i="1"/>
  <c r="L312" i="1"/>
  <c r="M312" i="1"/>
  <c r="N312" i="1"/>
  <c r="O312" i="1"/>
  <c r="P312" i="1"/>
  <c r="Q312" i="1"/>
  <c r="R312" i="1"/>
  <c r="S312" i="1"/>
  <c r="T312" i="1"/>
  <c r="U312" i="1"/>
  <c r="V312" i="1"/>
  <c r="W312" i="1"/>
  <c r="X312" i="1"/>
  <c r="Y312" i="1"/>
  <c r="Z312" i="1"/>
  <c r="AA312" i="1"/>
  <c r="AB312" i="1"/>
  <c r="AC312" i="1"/>
  <c r="AD312" i="1"/>
  <c r="AE312" i="1"/>
  <c r="AF312" i="1"/>
  <c r="AM312" i="1"/>
  <c r="AN312" i="1"/>
  <c r="AO312" i="1"/>
  <c r="L313" i="1"/>
  <c r="M313" i="1"/>
  <c r="N313" i="1"/>
  <c r="O313" i="1"/>
  <c r="P313" i="1"/>
  <c r="Q313" i="1"/>
  <c r="R313" i="1"/>
  <c r="S313" i="1"/>
  <c r="T313" i="1"/>
  <c r="U313" i="1"/>
  <c r="V313" i="1"/>
  <c r="W313" i="1"/>
  <c r="X313" i="1"/>
  <c r="Y313" i="1"/>
  <c r="Z313" i="1"/>
  <c r="AA313" i="1"/>
  <c r="AB313" i="1"/>
  <c r="AC313" i="1"/>
  <c r="AD313" i="1"/>
  <c r="AE313" i="1"/>
  <c r="AF313" i="1"/>
  <c r="AM313" i="1"/>
  <c r="AN313" i="1"/>
  <c r="AO313" i="1"/>
  <c r="L314" i="1"/>
  <c r="M314" i="1"/>
  <c r="N314" i="1"/>
  <c r="O314" i="1"/>
  <c r="P314" i="1"/>
  <c r="Q314" i="1"/>
  <c r="R314" i="1"/>
  <c r="S314" i="1"/>
  <c r="T314" i="1"/>
  <c r="U314" i="1"/>
  <c r="V314" i="1"/>
  <c r="W314" i="1"/>
  <c r="X314" i="1"/>
  <c r="Y314" i="1"/>
  <c r="Z314" i="1"/>
  <c r="AA314" i="1"/>
  <c r="AB314" i="1"/>
  <c r="AC314" i="1"/>
  <c r="AD314" i="1"/>
  <c r="AE314" i="1"/>
  <c r="AF314" i="1"/>
  <c r="AM314" i="1"/>
  <c r="AN314" i="1"/>
  <c r="AO314" i="1"/>
  <c r="L315" i="1"/>
  <c r="M315" i="1"/>
  <c r="N315" i="1"/>
  <c r="O315" i="1"/>
  <c r="P315" i="1"/>
  <c r="Q315" i="1"/>
  <c r="R315" i="1"/>
  <c r="S315" i="1"/>
  <c r="T315" i="1"/>
  <c r="U315" i="1"/>
  <c r="V315" i="1"/>
  <c r="W315" i="1"/>
  <c r="X315" i="1"/>
  <c r="Y315" i="1"/>
  <c r="Z315" i="1"/>
  <c r="AA315" i="1"/>
  <c r="AB315" i="1"/>
  <c r="AC315" i="1"/>
  <c r="AD315" i="1"/>
  <c r="AE315" i="1"/>
  <c r="AF315" i="1"/>
  <c r="AM315" i="1"/>
  <c r="AN315" i="1"/>
  <c r="AO315" i="1"/>
  <c r="L316" i="1"/>
  <c r="M316" i="1"/>
  <c r="N316" i="1"/>
  <c r="O316" i="1"/>
  <c r="P316" i="1"/>
  <c r="Q316" i="1"/>
  <c r="R316" i="1"/>
  <c r="S316" i="1"/>
  <c r="T316" i="1"/>
  <c r="U316" i="1"/>
  <c r="V316" i="1"/>
  <c r="W316" i="1"/>
  <c r="X316" i="1"/>
  <c r="Y316" i="1"/>
  <c r="Z316" i="1"/>
  <c r="AA316" i="1"/>
  <c r="AB316" i="1"/>
  <c r="AC316" i="1"/>
  <c r="AD316" i="1"/>
  <c r="AE316" i="1"/>
  <c r="AF316" i="1"/>
  <c r="AM316" i="1"/>
  <c r="AN316" i="1"/>
  <c r="AO316" i="1"/>
  <c r="L317" i="1"/>
  <c r="M317" i="1"/>
  <c r="N317" i="1"/>
  <c r="O317" i="1"/>
  <c r="P317" i="1"/>
  <c r="Q317" i="1"/>
  <c r="R317" i="1"/>
  <c r="S317" i="1"/>
  <c r="T317" i="1"/>
  <c r="U317" i="1"/>
  <c r="V317" i="1"/>
  <c r="W317" i="1"/>
  <c r="X317" i="1"/>
  <c r="Y317" i="1"/>
  <c r="Z317" i="1"/>
  <c r="AA317" i="1"/>
  <c r="AB317" i="1"/>
  <c r="AC317" i="1"/>
  <c r="AD317" i="1"/>
  <c r="AE317" i="1"/>
  <c r="AF317" i="1"/>
  <c r="AM317" i="1"/>
  <c r="AN317" i="1"/>
  <c r="AO317" i="1"/>
  <c r="L318" i="1"/>
  <c r="M318" i="1"/>
  <c r="N318" i="1"/>
  <c r="O318" i="1"/>
  <c r="P318" i="1"/>
  <c r="Q318" i="1"/>
  <c r="R318" i="1"/>
  <c r="S318" i="1"/>
  <c r="T318" i="1"/>
  <c r="U318" i="1"/>
  <c r="V318" i="1"/>
  <c r="W318" i="1"/>
  <c r="X318" i="1"/>
  <c r="Y318" i="1"/>
  <c r="Z318" i="1"/>
  <c r="AA318" i="1"/>
  <c r="AB318" i="1"/>
  <c r="AC318" i="1"/>
  <c r="AD318" i="1"/>
  <c r="AE318" i="1"/>
  <c r="AF318" i="1"/>
  <c r="AM318" i="1"/>
  <c r="AN318" i="1"/>
  <c r="AO318" i="1"/>
  <c r="L319" i="1"/>
  <c r="M319" i="1"/>
  <c r="N319" i="1"/>
  <c r="O319" i="1"/>
  <c r="P319" i="1"/>
  <c r="Q319" i="1"/>
  <c r="R319" i="1"/>
  <c r="S319" i="1"/>
  <c r="T319" i="1"/>
  <c r="U319" i="1"/>
  <c r="V319" i="1"/>
  <c r="W319" i="1"/>
  <c r="X319" i="1"/>
  <c r="Y319" i="1"/>
  <c r="Z319" i="1"/>
  <c r="AA319" i="1"/>
  <c r="AB319" i="1"/>
  <c r="AC319" i="1"/>
  <c r="AD319" i="1"/>
  <c r="AE319" i="1"/>
  <c r="AF319" i="1"/>
  <c r="AM319" i="1"/>
  <c r="AN319" i="1"/>
  <c r="AO319" i="1"/>
  <c r="L320" i="1"/>
  <c r="M320" i="1"/>
  <c r="N320" i="1"/>
  <c r="O320" i="1"/>
  <c r="P320" i="1"/>
  <c r="Q320" i="1"/>
  <c r="R320" i="1"/>
  <c r="S320" i="1"/>
  <c r="T320" i="1"/>
  <c r="U320" i="1"/>
  <c r="V320" i="1"/>
  <c r="W320" i="1"/>
  <c r="X320" i="1"/>
  <c r="Y320" i="1"/>
  <c r="Z320" i="1"/>
  <c r="AA320" i="1"/>
  <c r="AB320" i="1"/>
  <c r="AC320" i="1"/>
  <c r="AD320" i="1"/>
  <c r="AE320" i="1"/>
  <c r="AF320" i="1"/>
  <c r="AM320" i="1"/>
  <c r="AN320" i="1"/>
  <c r="AO320" i="1"/>
  <c r="L321" i="1"/>
  <c r="M321" i="1"/>
  <c r="N321" i="1"/>
  <c r="O321" i="1"/>
  <c r="P321" i="1"/>
  <c r="Q321" i="1"/>
  <c r="R321" i="1"/>
  <c r="S321" i="1"/>
  <c r="T321" i="1"/>
  <c r="U321" i="1"/>
  <c r="V321" i="1"/>
  <c r="W321" i="1"/>
  <c r="X321" i="1"/>
  <c r="Y321" i="1"/>
  <c r="Z321" i="1"/>
  <c r="AA321" i="1"/>
  <c r="AB321" i="1"/>
  <c r="AC321" i="1"/>
  <c r="AD321" i="1"/>
  <c r="AE321" i="1"/>
  <c r="AF321" i="1"/>
  <c r="AM321" i="1"/>
  <c r="AN321" i="1"/>
  <c r="AO321" i="1"/>
  <c r="L322" i="1"/>
  <c r="M322" i="1"/>
  <c r="N322" i="1"/>
  <c r="O322" i="1"/>
  <c r="P322" i="1"/>
  <c r="Q322" i="1"/>
  <c r="R322" i="1"/>
  <c r="S322" i="1"/>
  <c r="T322" i="1"/>
  <c r="U322" i="1"/>
  <c r="V322" i="1"/>
  <c r="W322" i="1"/>
  <c r="X322" i="1"/>
  <c r="Y322" i="1"/>
  <c r="Z322" i="1"/>
  <c r="AA322" i="1"/>
  <c r="AB322" i="1"/>
  <c r="AC322" i="1"/>
  <c r="AD322" i="1"/>
  <c r="AE322" i="1"/>
  <c r="AF322" i="1"/>
  <c r="AM322" i="1"/>
  <c r="AN322" i="1"/>
  <c r="AO322" i="1"/>
  <c r="L323" i="1"/>
  <c r="M323" i="1"/>
  <c r="N323" i="1"/>
  <c r="O323" i="1"/>
  <c r="P323" i="1"/>
  <c r="Q323" i="1"/>
  <c r="R323" i="1"/>
  <c r="S323" i="1"/>
  <c r="T323" i="1"/>
  <c r="U323" i="1"/>
  <c r="V323" i="1"/>
  <c r="W323" i="1"/>
  <c r="X323" i="1"/>
  <c r="Y323" i="1"/>
  <c r="Z323" i="1"/>
  <c r="AA323" i="1"/>
  <c r="AB323" i="1"/>
  <c r="AC323" i="1"/>
  <c r="AD323" i="1"/>
  <c r="AE323" i="1"/>
  <c r="AF323" i="1"/>
  <c r="AM323" i="1"/>
  <c r="AN323" i="1"/>
  <c r="AO323" i="1"/>
  <c r="L324" i="1"/>
  <c r="M324" i="1"/>
  <c r="N324" i="1"/>
  <c r="O324" i="1"/>
  <c r="P324" i="1"/>
  <c r="Q324" i="1"/>
  <c r="R324" i="1"/>
  <c r="S324" i="1"/>
  <c r="T324" i="1"/>
  <c r="U324" i="1"/>
  <c r="V324" i="1"/>
  <c r="W324" i="1"/>
  <c r="X324" i="1"/>
  <c r="Y324" i="1"/>
  <c r="Z324" i="1"/>
  <c r="AA324" i="1"/>
  <c r="AB324" i="1"/>
  <c r="AC324" i="1"/>
  <c r="AD324" i="1"/>
  <c r="AE324" i="1"/>
  <c r="AF324" i="1"/>
  <c r="AM324" i="1"/>
  <c r="AN324" i="1"/>
  <c r="AO324" i="1"/>
  <c r="L325" i="1"/>
  <c r="M325" i="1"/>
  <c r="N325" i="1"/>
  <c r="O325" i="1"/>
  <c r="P325" i="1"/>
  <c r="Q325" i="1"/>
  <c r="R325" i="1"/>
  <c r="S325" i="1"/>
  <c r="T325" i="1"/>
  <c r="U325" i="1"/>
  <c r="V325" i="1"/>
  <c r="W325" i="1"/>
  <c r="X325" i="1"/>
  <c r="Y325" i="1"/>
  <c r="Z325" i="1"/>
  <c r="AA325" i="1"/>
  <c r="AB325" i="1"/>
  <c r="AC325" i="1"/>
  <c r="AD325" i="1"/>
  <c r="AE325" i="1"/>
  <c r="AF325" i="1"/>
  <c r="AM325" i="1"/>
  <c r="AN325" i="1"/>
  <c r="AO325" i="1"/>
  <c r="L326" i="1"/>
  <c r="M326" i="1"/>
  <c r="N326" i="1"/>
  <c r="O326" i="1"/>
  <c r="P326" i="1"/>
  <c r="Q326" i="1"/>
  <c r="R326" i="1"/>
  <c r="S326" i="1"/>
  <c r="T326" i="1"/>
  <c r="U326" i="1"/>
  <c r="V326" i="1"/>
  <c r="W326" i="1"/>
  <c r="X326" i="1"/>
  <c r="Y326" i="1"/>
  <c r="Z326" i="1"/>
  <c r="AA326" i="1"/>
  <c r="AB326" i="1"/>
  <c r="AC326" i="1"/>
  <c r="AD326" i="1"/>
  <c r="AE326" i="1"/>
  <c r="AF326" i="1"/>
  <c r="AM326" i="1"/>
  <c r="AN326" i="1"/>
  <c r="AO326" i="1"/>
  <c r="L327" i="1"/>
  <c r="M327" i="1"/>
  <c r="N327" i="1"/>
  <c r="O327" i="1"/>
  <c r="P327" i="1"/>
  <c r="Q327" i="1"/>
  <c r="R327" i="1"/>
  <c r="S327" i="1"/>
  <c r="T327" i="1"/>
  <c r="U327" i="1"/>
  <c r="V327" i="1"/>
  <c r="W327" i="1"/>
  <c r="X327" i="1"/>
  <c r="Y327" i="1"/>
  <c r="Z327" i="1"/>
  <c r="AA327" i="1"/>
  <c r="AB327" i="1"/>
  <c r="AC327" i="1"/>
  <c r="AD327" i="1"/>
  <c r="AE327" i="1"/>
  <c r="AF327" i="1"/>
  <c r="AM327" i="1"/>
  <c r="AN327" i="1"/>
  <c r="AO327" i="1"/>
  <c r="L328" i="1"/>
  <c r="M328" i="1"/>
  <c r="N328" i="1"/>
  <c r="O328" i="1"/>
  <c r="P328" i="1"/>
  <c r="Q328" i="1"/>
  <c r="R328" i="1"/>
  <c r="S328" i="1"/>
  <c r="T328" i="1"/>
  <c r="U328" i="1"/>
  <c r="V328" i="1"/>
  <c r="W328" i="1"/>
  <c r="X328" i="1"/>
  <c r="Y328" i="1"/>
  <c r="Z328" i="1"/>
  <c r="AA328" i="1"/>
  <c r="AB328" i="1"/>
  <c r="AC328" i="1"/>
  <c r="AD328" i="1"/>
  <c r="AE328" i="1"/>
  <c r="AF328" i="1"/>
  <c r="AM328" i="1"/>
  <c r="AN328" i="1"/>
  <c r="AO328" i="1"/>
  <c r="L329" i="1"/>
  <c r="M329" i="1"/>
  <c r="N329" i="1"/>
  <c r="O329" i="1"/>
  <c r="P329" i="1"/>
  <c r="Q329" i="1"/>
  <c r="R329" i="1"/>
  <c r="S329" i="1"/>
  <c r="T329" i="1"/>
  <c r="U329" i="1"/>
  <c r="V329" i="1"/>
  <c r="W329" i="1"/>
  <c r="X329" i="1"/>
  <c r="Y329" i="1"/>
  <c r="Z329" i="1"/>
  <c r="AA329" i="1"/>
  <c r="AB329" i="1"/>
  <c r="AC329" i="1"/>
  <c r="AD329" i="1"/>
  <c r="AE329" i="1"/>
  <c r="AF329" i="1"/>
  <c r="AM329" i="1"/>
  <c r="AN329" i="1"/>
  <c r="AO329" i="1"/>
  <c r="L330" i="1"/>
  <c r="M330" i="1"/>
  <c r="N330" i="1"/>
  <c r="O330" i="1"/>
  <c r="P330" i="1"/>
  <c r="Q330" i="1"/>
  <c r="R330" i="1"/>
  <c r="S330" i="1"/>
  <c r="T330" i="1"/>
  <c r="U330" i="1"/>
  <c r="V330" i="1"/>
  <c r="W330" i="1"/>
  <c r="X330" i="1"/>
  <c r="Y330" i="1"/>
  <c r="Z330" i="1"/>
  <c r="AA330" i="1"/>
  <c r="AB330" i="1"/>
  <c r="AC330" i="1"/>
  <c r="AD330" i="1"/>
  <c r="AE330" i="1"/>
  <c r="AF330" i="1"/>
  <c r="AM330" i="1"/>
  <c r="AN330" i="1"/>
  <c r="AO330" i="1"/>
  <c r="L331" i="1"/>
  <c r="M331" i="1"/>
  <c r="N331" i="1"/>
  <c r="O331" i="1"/>
  <c r="P331" i="1"/>
  <c r="Q331" i="1"/>
  <c r="R331" i="1"/>
  <c r="S331" i="1"/>
  <c r="T331" i="1"/>
  <c r="U331" i="1"/>
  <c r="V331" i="1"/>
  <c r="W331" i="1"/>
  <c r="X331" i="1"/>
  <c r="Y331" i="1"/>
  <c r="Z331" i="1"/>
  <c r="AA331" i="1"/>
  <c r="AB331" i="1"/>
  <c r="AC331" i="1"/>
  <c r="AD331" i="1"/>
  <c r="AE331" i="1"/>
  <c r="AF331" i="1"/>
  <c r="AM331" i="1"/>
  <c r="AN331" i="1"/>
  <c r="AO331" i="1"/>
  <c r="L332" i="1"/>
  <c r="M332" i="1"/>
  <c r="N332" i="1"/>
  <c r="O332" i="1"/>
  <c r="P332" i="1"/>
  <c r="Q332" i="1"/>
  <c r="R332" i="1"/>
  <c r="S332" i="1"/>
  <c r="T332" i="1"/>
  <c r="U332" i="1"/>
  <c r="V332" i="1"/>
  <c r="W332" i="1"/>
  <c r="X332" i="1"/>
  <c r="Y332" i="1"/>
  <c r="Z332" i="1"/>
  <c r="AA332" i="1"/>
  <c r="AB332" i="1"/>
  <c r="AC332" i="1"/>
  <c r="AD332" i="1"/>
  <c r="AE332" i="1"/>
  <c r="AF332" i="1"/>
  <c r="AM332" i="1"/>
  <c r="AN332" i="1"/>
  <c r="AO332" i="1"/>
  <c r="L333" i="1"/>
  <c r="M333" i="1"/>
  <c r="N333" i="1"/>
  <c r="O333" i="1"/>
  <c r="P333" i="1"/>
  <c r="Q333" i="1"/>
  <c r="R333" i="1"/>
  <c r="S333" i="1"/>
  <c r="T333" i="1"/>
  <c r="U333" i="1"/>
  <c r="V333" i="1"/>
  <c r="W333" i="1"/>
  <c r="X333" i="1"/>
  <c r="Y333" i="1"/>
  <c r="Z333" i="1"/>
  <c r="AA333" i="1"/>
  <c r="AB333" i="1"/>
  <c r="AC333" i="1"/>
  <c r="AD333" i="1"/>
  <c r="AE333" i="1"/>
  <c r="AF333" i="1"/>
  <c r="AM333" i="1"/>
  <c r="AN333" i="1"/>
  <c r="AO333" i="1"/>
  <c r="L334" i="1"/>
  <c r="M334" i="1"/>
  <c r="N334" i="1"/>
  <c r="O334" i="1"/>
  <c r="P334" i="1"/>
  <c r="Q334" i="1"/>
  <c r="R334" i="1"/>
  <c r="S334" i="1"/>
  <c r="T334" i="1"/>
  <c r="U334" i="1"/>
  <c r="V334" i="1"/>
  <c r="W334" i="1"/>
  <c r="X334" i="1"/>
  <c r="Y334" i="1"/>
  <c r="Z334" i="1"/>
  <c r="AA334" i="1"/>
  <c r="AB334" i="1"/>
  <c r="AC334" i="1"/>
  <c r="AD334" i="1"/>
  <c r="AE334" i="1"/>
  <c r="AF334" i="1"/>
  <c r="AM334" i="1"/>
  <c r="AN334" i="1"/>
  <c r="AO334" i="1"/>
  <c r="L335" i="1"/>
  <c r="M335" i="1"/>
  <c r="N335" i="1"/>
  <c r="O335" i="1"/>
  <c r="P335" i="1"/>
  <c r="Q335" i="1"/>
  <c r="R335" i="1"/>
  <c r="S335" i="1"/>
  <c r="T335" i="1"/>
  <c r="U335" i="1"/>
  <c r="V335" i="1"/>
  <c r="W335" i="1"/>
  <c r="X335" i="1"/>
  <c r="Y335" i="1"/>
  <c r="Z335" i="1"/>
  <c r="AA335" i="1"/>
  <c r="AB335" i="1"/>
  <c r="AC335" i="1"/>
  <c r="AD335" i="1"/>
  <c r="AE335" i="1"/>
  <c r="AF335" i="1"/>
  <c r="AM335" i="1"/>
  <c r="AN335" i="1"/>
  <c r="AO335" i="1"/>
  <c r="L336" i="1"/>
  <c r="M336" i="1"/>
  <c r="N336" i="1"/>
  <c r="O336" i="1"/>
  <c r="P336" i="1"/>
  <c r="Q336" i="1"/>
  <c r="R336" i="1"/>
  <c r="S336" i="1"/>
  <c r="T336" i="1"/>
  <c r="U336" i="1"/>
  <c r="V336" i="1"/>
  <c r="W336" i="1"/>
  <c r="X336" i="1"/>
  <c r="Y336" i="1"/>
  <c r="Z336" i="1"/>
  <c r="AA336" i="1"/>
  <c r="AB336" i="1"/>
  <c r="AC336" i="1"/>
  <c r="AD336" i="1"/>
  <c r="AE336" i="1"/>
  <c r="AF336" i="1"/>
  <c r="AM336" i="1"/>
  <c r="AN336" i="1"/>
  <c r="AO336" i="1"/>
  <c r="L337" i="1"/>
  <c r="M337" i="1"/>
  <c r="N337" i="1"/>
  <c r="O337" i="1"/>
  <c r="P337" i="1"/>
  <c r="Q337" i="1"/>
  <c r="R337" i="1"/>
  <c r="S337" i="1"/>
  <c r="T337" i="1"/>
  <c r="U337" i="1"/>
  <c r="V337" i="1"/>
  <c r="W337" i="1"/>
  <c r="X337" i="1"/>
  <c r="Y337" i="1"/>
  <c r="Z337" i="1"/>
  <c r="AA337" i="1"/>
  <c r="AB337" i="1"/>
  <c r="AC337" i="1"/>
  <c r="AD337" i="1"/>
  <c r="AE337" i="1"/>
  <c r="AF337" i="1"/>
  <c r="AM337" i="1"/>
  <c r="AN337" i="1"/>
  <c r="AO337" i="1"/>
  <c r="L338" i="1"/>
  <c r="M338" i="1"/>
  <c r="N338" i="1"/>
  <c r="O338" i="1"/>
  <c r="P338" i="1"/>
  <c r="Q338" i="1"/>
  <c r="R338" i="1"/>
  <c r="S338" i="1"/>
  <c r="T338" i="1"/>
  <c r="U338" i="1"/>
  <c r="V338" i="1"/>
  <c r="W338" i="1"/>
  <c r="X338" i="1"/>
  <c r="Y338" i="1"/>
  <c r="Z338" i="1"/>
  <c r="AA338" i="1"/>
  <c r="AB338" i="1"/>
  <c r="AC338" i="1"/>
  <c r="AD338" i="1"/>
  <c r="AE338" i="1"/>
  <c r="AF338" i="1"/>
  <c r="AM338" i="1"/>
  <c r="AN338" i="1"/>
  <c r="AO338" i="1"/>
  <c r="L339" i="1"/>
  <c r="M339" i="1"/>
  <c r="N339" i="1"/>
  <c r="O339" i="1"/>
  <c r="P339" i="1"/>
  <c r="Q339" i="1"/>
  <c r="R339" i="1"/>
  <c r="S339" i="1"/>
  <c r="T339" i="1"/>
  <c r="U339" i="1"/>
  <c r="V339" i="1"/>
  <c r="W339" i="1"/>
  <c r="X339" i="1"/>
  <c r="Y339" i="1"/>
  <c r="Z339" i="1"/>
  <c r="AA339" i="1"/>
  <c r="AB339" i="1"/>
  <c r="AC339" i="1"/>
  <c r="AD339" i="1"/>
  <c r="AE339" i="1"/>
  <c r="AF339" i="1"/>
  <c r="AM339" i="1"/>
  <c r="AN339" i="1"/>
  <c r="AO339" i="1"/>
  <c r="L340" i="1"/>
  <c r="M340" i="1"/>
  <c r="N340" i="1"/>
  <c r="O340" i="1"/>
  <c r="P340" i="1"/>
  <c r="Q340" i="1"/>
  <c r="R340" i="1"/>
  <c r="S340" i="1"/>
  <c r="T340" i="1"/>
  <c r="U340" i="1"/>
  <c r="V340" i="1"/>
  <c r="W340" i="1"/>
  <c r="X340" i="1"/>
  <c r="Y340" i="1"/>
  <c r="Z340" i="1"/>
  <c r="AA340" i="1"/>
  <c r="AB340" i="1"/>
  <c r="AC340" i="1"/>
  <c r="AD340" i="1"/>
  <c r="AE340" i="1"/>
  <c r="AF340" i="1"/>
  <c r="AM340" i="1"/>
  <c r="AN340" i="1"/>
  <c r="AO340" i="1"/>
  <c r="L341" i="1"/>
  <c r="M341" i="1"/>
  <c r="N341" i="1"/>
  <c r="O341" i="1"/>
  <c r="P341" i="1"/>
  <c r="Q341" i="1"/>
  <c r="R341" i="1"/>
  <c r="S341" i="1"/>
  <c r="T341" i="1"/>
  <c r="U341" i="1"/>
  <c r="V341" i="1"/>
  <c r="W341" i="1"/>
  <c r="X341" i="1"/>
  <c r="Y341" i="1"/>
  <c r="Z341" i="1"/>
  <c r="AA341" i="1"/>
  <c r="AB341" i="1"/>
  <c r="AC341" i="1"/>
  <c r="AD341" i="1"/>
  <c r="AE341" i="1"/>
  <c r="AF341" i="1"/>
  <c r="AM341" i="1"/>
  <c r="AN341" i="1"/>
  <c r="AO341" i="1"/>
  <c r="L342" i="1"/>
  <c r="M342" i="1"/>
  <c r="N342" i="1"/>
  <c r="O342" i="1"/>
  <c r="P342" i="1"/>
  <c r="Q342" i="1"/>
  <c r="R342" i="1"/>
  <c r="S342" i="1"/>
  <c r="T342" i="1"/>
  <c r="U342" i="1"/>
  <c r="V342" i="1"/>
  <c r="W342" i="1"/>
  <c r="X342" i="1"/>
  <c r="Y342" i="1"/>
  <c r="Z342" i="1"/>
  <c r="AA342" i="1"/>
  <c r="AB342" i="1"/>
  <c r="AC342" i="1"/>
  <c r="AD342" i="1"/>
  <c r="AE342" i="1"/>
  <c r="AF342" i="1"/>
  <c r="AM342" i="1"/>
  <c r="AN342" i="1"/>
  <c r="AO342" i="1"/>
  <c r="L343" i="1"/>
  <c r="M343" i="1"/>
  <c r="N343" i="1"/>
  <c r="O343" i="1"/>
  <c r="P343" i="1"/>
  <c r="Q343" i="1"/>
  <c r="R343" i="1"/>
  <c r="S343" i="1"/>
  <c r="T343" i="1"/>
  <c r="U343" i="1"/>
  <c r="V343" i="1"/>
  <c r="W343" i="1"/>
  <c r="X343" i="1"/>
  <c r="Y343" i="1"/>
  <c r="Z343" i="1"/>
  <c r="AA343" i="1"/>
  <c r="AB343" i="1"/>
  <c r="AC343" i="1"/>
  <c r="AD343" i="1"/>
  <c r="AE343" i="1"/>
  <c r="AF343" i="1"/>
  <c r="AM343" i="1"/>
  <c r="AN343" i="1"/>
  <c r="AO343" i="1"/>
  <c r="L344" i="1"/>
  <c r="M344" i="1"/>
  <c r="N344" i="1"/>
  <c r="O344" i="1"/>
  <c r="P344" i="1"/>
  <c r="Q344" i="1"/>
  <c r="R344" i="1"/>
  <c r="S344" i="1"/>
  <c r="T344" i="1"/>
  <c r="U344" i="1"/>
  <c r="V344" i="1"/>
  <c r="W344" i="1"/>
  <c r="X344" i="1"/>
  <c r="Y344" i="1"/>
  <c r="Z344" i="1"/>
  <c r="AA344" i="1"/>
  <c r="AB344" i="1"/>
  <c r="AC344" i="1"/>
  <c r="AD344" i="1"/>
  <c r="AE344" i="1"/>
  <c r="AF344" i="1"/>
  <c r="AM344" i="1"/>
  <c r="AN344" i="1"/>
  <c r="AO344" i="1"/>
  <c r="L345" i="1"/>
  <c r="M345" i="1"/>
  <c r="N345" i="1"/>
  <c r="O345" i="1"/>
  <c r="P345" i="1"/>
  <c r="Q345" i="1"/>
  <c r="R345" i="1"/>
  <c r="S345" i="1"/>
  <c r="T345" i="1"/>
  <c r="U345" i="1"/>
  <c r="V345" i="1"/>
  <c r="W345" i="1"/>
  <c r="X345" i="1"/>
  <c r="Y345" i="1"/>
  <c r="Z345" i="1"/>
  <c r="AA345" i="1"/>
  <c r="AB345" i="1"/>
  <c r="AC345" i="1"/>
  <c r="AD345" i="1"/>
  <c r="AE345" i="1"/>
  <c r="AF345" i="1"/>
  <c r="AM345" i="1"/>
  <c r="AN345" i="1"/>
  <c r="AO345" i="1"/>
  <c r="L346" i="1"/>
  <c r="M346" i="1"/>
  <c r="N346" i="1"/>
  <c r="O346" i="1"/>
  <c r="P346" i="1"/>
  <c r="Q346" i="1"/>
  <c r="R346" i="1"/>
  <c r="S346" i="1"/>
  <c r="T346" i="1"/>
  <c r="U346" i="1"/>
  <c r="V346" i="1"/>
  <c r="W346" i="1"/>
  <c r="X346" i="1"/>
  <c r="Y346" i="1"/>
  <c r="Z346" i="1"/>
  <c r="AA346" i="1"/>
  <c r="AB346" i="1"/>
  <c r="AC346" i="1"/>
  <c r="AD346" i="1"/>
  <c r="AE346" i="1"/>
  <c r="AF346" i="1"/>
  <c r="AM346" i="1"/>
  <c r="AN346" i="1"/>
  <c r="AO346" i="1"/>
  <c r="L347" i="1"/>
  <c r="M347" i="1"/>
  <c r="N347" i="1"/>
  <c r="O347" i="1"/>
  <c r="P347" i="1"/>
  <c r="Q347" i="1"/>
  <c r="R347" i="1"/>
  <c r="S347" i="1"/>
  <c r="T347" i="1"/>
  <c r="U347" i="1"/>
  <c r="V347" i="1"/>
  <c r="W347" i="1"/>
  <c r="X347" i="1"/>
  <c r="Y347" i="1"/>
  <c r="Z347" i="1"/>
  <c r="AA347" i="1"/>
  <c r="AB347" i="1"/>
  <c r="AC347" i="1"/>
  <c r="AD347" i="1"/>
  <c r="AE347" i="1"/>
  <c r="AF347" i="1"/>
  <c r="AM347" i="1"/>
  <c r="AN347" i="1"/>
  <c r="AO347" i="1"/>
  <c r="L348" i="1"/>
  <c r="M348" i="1"/>
  <c r="N348" i="1"/>
  <c r="O348" i="1"/>
  <c r="P348" i="1"/>
  <c r="Q348" i="1"/>
  <c r="R348" i="1"/>
  <c r="S348" i="1"/>
  <c r="T348" i="1"/>
  <c r="U348" i="1"/>
  <c r="V348" i="1"/>
  <c r="W348" i="1"/>
  <c r="X348" i="1"/>
  <c r="Y348" i="1"/>
  <c r="Z348" i="1"/>
  <c r="AA348" i="1"/>
  <c r="AB348" i="1"/>
  <c r="AC348" i="1"/>
  <c r="AD348" i="1"/>
  <c r="AE348" i="1"/>
  <c r="AF348" i="1"/>
  <c r="AM348" i="1"/>
  <c r="AN348" i="1"/>
  <c r="AO348" i="1"/>
  <c r="L349" i="1"/>
  <c r="M349" i="1"/>
  <c r="N349" i="1"/>
  <c r="O349" i="1"/>
  <c r="P349" i="1"/>
  <c r="Q349" i="1"/>
  <c r="R349" i="1"/>
  <c r="S349" i="1"/>
  <c r="T349" i="1"/>
  <c r="U349" i="1"/>
  <c r="V349" i="1"/>
  <c r="W349" i="1"/>
  <c r="X349" i="1"/>
  <c r="Y349" i="1"/>
  <c r="Z349" i="1"/>
  <c r="AA349" i="1"/>
  <c r="AB349" i="1"/>
  <c r="AC349" i="1"/>
  <c r="AD349" i="1"/>
  <c r="AE349" i="1"/>
  <c r="AF349" i="1"/>
  <c r="AM349" i="1"/>
  <c r="AN349" i="1"/>
  <c r="AO349" i="1"/>
  <c r="L350" i="1"/>
  <c r="M350" i="1"/>
  <c r="N350" i="1"/>
  <c r="O350" i="1"/>
  <c r="P350" i="1"/>
  <c r="Q350" i="1"/>
  <c r="R350" i="1"/>
  <c r="S350" i="1"/>
  <c r="T350" i="1"/>
  <c r="U350" i="1"/>
  <c r="V350" i="1"/>
  <c r="W350" i="1"/>
  <c r="X350" i="1"/>
  <c r="Y350" i="1"/>
  <c r="Z350" i="1"/>
  <c r="AA350" i="1"/>
  <c r="AB350" i="1"/>
  <c r="AC350" i="1"/>
  <c r="AD350" i="1"/>
  <c r="AE350" i="1"/>
  <c r="AF350" i="1"/>
  <c r="AM350" i="1"/>
  <c r="AN350" i="1"/>
  <c r="AO350" i="1"/>
  <c r="L351" i="1"/>
  <c r="M351" i="1"/>
  <c r="N351" i="1"/>
  <c r="O351" i="1"/>
  <c r="P351" i="1"/>
  <c r="Q351" i="1"/>
  <c r="R351" i="1"/>
  <c r="S351" i="1"/>
  <c r="T351" i="1"/>
  <c r="U351" i="1"/>
  <c r="V351" i="1"/>
  <c r="W351" i="1"/>
  <c r="X351" i="1"/>
  <c r="Y351" i="1"/>
  <c r="Z351" i="1"/>
  <c r="AA351" i="1"/>
  <c r="AB351" i="1"/>
  <c r="AC351" i="1"/>
  <c r="AD351" i="1"/>
  <c r="AE351" i="1"/>
  <c r="AF351" i="1"/>
  <c r="AM351" i="1"/>
  <c r="AN351" i="1"/>
  <c r="AO351" i="1"/>
  <c r="L352" i="1"/>
  <c r="M352" i="1"/>
  <c r="N352" i="1"/>
  <c r="O352" i="1"/>
  <c r="P352" i="1"/>
  <c r="Q352" i="1"/>
  <c r="R352" i="1"/>
  <c r="S352" i="1"/>
  <c r="T352" i="1"/>
  <c r="U352" i="1"/>
  <c r="V352" i="1"/>
  <c r="W352" i="1"/>
  <c r="X352" i="1"/>
  <c r="Y352" i="1"/>
  <c r="Z352" i="1"/>
  <c r="AA352" i="1"/>
  <c r="AB352" i="1"/>
  <c r="AC352" i="1"/>
  <c r="AD352" i="1"/>
  <c r="AE352" i="1"/>
  <c r="AF352" i="1"/>
  <c r="AM352" i="1"/>
  <c r="AN352" i="1"/>
  <c r="AO352" i="1"/>
  <c r="L353" i="1"/>
  <c r="M353" i="1"/>
  <c r="N353" i="1"/>
  <c r="O353" i="1"/>
  <c r="P353" i="1"/>
  <c r="Q353" i="1"/>
  <c r="R353" i="1"/>
  <c r="S353" i="1"/>
  <c r="T353" i="1"/>
  <c r="U353" i="1"/>
  <c r="V353" i="1"/>
  <c r="W353" i="1"/>
  <c r="X353" i="1"/>
  <c r="Y353" i="1"/>
  <c r="Z353" i="1"/>
  <c r="AA353" i="1"/>
  <c r="AB353" i="1"/>
  <c r="AC353" i="1"/>
  <c r="AD353" i="1"/>
  <c r="AE353" i="1"/>
  <c r="AF353" i="1"/>
  <c r="AM353" i="1"/>
  <c r="AN353" i="1"/>
  <c r="AO353" i="1"/>
  <c r="L354" i="1"/>
  <c r="M354" i="1"/>
  <c r="N354" i="1"/>
  <c r="O354" i="1"/>
  <c r="P354" i="1"/>
  <c r="Q354" i="1"/>
  <c r="R354" i="1"/>
  <c r="S354" i="1"/>
  <c r="T354" i="1"/>
  <c r="U354" i="1"/>
  <c r="V354" i="1"/>
  <c r="W354" i="1"/>
  <c r="X354" i="1"/>
  <c r="Y354" i="1"/>
  <c r="Z354" i="1"/>
  <c r="AA354" i="1"/>
  <c r="AB354" i="1"/>
  <c r="AC354" i="1"/>
  <c r="AD354" i="1"/>
  <c r="AE354" i="1"/>
  <c r="AF354" i="1"/>
  <c r="AM354" i="1"/>
  <c r="AN354" i="1"/>
  <c r="AO354" i="1"/>
  <c r="L355" i="1"/>
  <c r="M355" i="1"/>
  <c r="N355" i="1"/>
  <c r="O355" i="1"/>
  <c r="P355" i="1"/>
  <c r="Q355" i="1"/>
  <c r="R355" i="1"/>
  <c r="S355" i="1"/>
  <c r="T355" i="1"/>
  <c r="U355" i="1"/>
  <c r="V355" i="1"/>
  <c r="W355" i="1"/>
  <c r="X355" i="1"/>
  <c r="Y355" i="1"/>
  <c r="Z355" i="1"/>
  <c r="AA355" i="1"/>
  <c r="AB355" i="1"/>
  <c r="AC355" i="1"/>
  <c r="AD355" i="1"/>
  <c r="AE355" i="1"/>
  <c r="AF355" i="1"/>
  <c r="AM355" i="1"/>
  <c r="AN355" i="1"/>
  <c r="AO355" i="1"/>
  <c r="L356" i="1"/>
  <c r="M356" i="1"/>
  <c r="N356" i="1"/>
  <c r="O356" i="1"/>
  <c r="P356" i="1"/>
  <c r="Q356" i="1"/>
  <c r="R356" i="1"/>
  <c r="S356" i="1"/>
  <c r="T356" i="1"/>
  <c r="U356" i="1"/>
  <c r="V356" i="1"/>
  <c r="W356" i="1"/>
  <c r="X356" i="1"/>
  <c r="Y356" i="1"/>
  <c r="Z356" i="1"/>
  <c r="AA356" i="1"/>
  <c r="AB356" i="1"/>
  <c r="AC356" i="1"/>
  <c r="AD356" i="1"/>
  <c r="AE356" i="1"/>
  <c r="AF356" i="1"/>
  <c r="AM356" i="1"/>
  <c r="AN356" i="1"/>
  <c r="AO356" i="1"/>
  <c r="L357" i="1"/>
  <c r="M357" i="1"/>
  <c r="N357" i="1"/>
  <c r="O357" i="1"/>
  <c r="P357" i="1"/>
  <c r="Q357" i="1"/>
  <c r="R357" i="1"/>
  <c r="S357" i="1"/>
  <c r="T357" i="1"/>
  <c r="U357" i="1"/>
  <c r="V357" i="1"/>
  <c r="W357" i="1"/>
  <c r="X357" i="1"/>
  <c r="Y357" i="1"/>
  <c r="Z357" i="1"/>
  <c r="AA357" i="1"/>
  <c r="AB357" i="1"/>
  <c r="AC357" i="1"/>
  <c r="AD357" i="1"/>
  <c r="AE357" i="1"/>
  <c r="AF357" i="1"/>
  <c r="AM357" i="1"/>
  <c r="AN357" i="1"/>
  <c r="AO357" i="1"/>
  <c r="L358" i="1"/>
  <c r="M358" i="1"/>
  <c r="N358" i="1"/>
  <c r="O358" i="1"/>
  <c r="P358" i="1"/>
  <c r="Q358" i="1"/>
  <c r="R358" i="1"/>
  <c r="S358" i="1"/>
  <c r="T358" i="1"/>
  <c r="U358" i="1"/>
  <c r="V358" i="1"/>
  <c r="W358" i="1"/>
  <c r="X358" i="1"/>
  <c r="Y358" i="1"/>
  <c r="Z358" i="1"/>
  <c r="AA358" i="1"/>
  <c r="AB358" i="1"/>
  <c r="AC358" i="1"/>
  <c r="AD358" i="1"/>
  <c r="AE358" i="1"/>
  <c r="AF358" i="1"/>
  <c r="AM358" i="1"/>
  <c r="AN358" i="1"/>
  <c r="AO358" i="1"/>
  <c r="L359" i="1"/>
  <c r="M359" i="1"/>
  <c r="N359" i="1"/>
  <c r="O359" i="1"/>
  <c r="P359" i="1"/>
  <c r="Q359" i="1"/>
  <c r="R359" i="1"/>
  <c r="S359" i="1"/>
  <c r="T359" i="1"/>
  <c r="U359" i="1"/>
  <c r="V359" i="1"/>
  <c r="W359" i="1"/>
  <c r="X359" i="1"/>
  <c r="Y359" i="1"/>
  <c r="Z359" i="1"/>
  <c r="AA359" i="1"/>
  <c r="AB359" i="1"/>
  <c r="AC359" i="1"/>
  <c r="AD359" i="1"/>
  <c r="AE359" i="1"/>
  <c r="AF359" i="1"/>
  <c r="AM359" i="1"/>
  <c r="AN359" i="1"/>
  <c r="AO359" i="1"/>
  <c r="L360" i="1"/>
  <c r="M360" i="1"/>
  <c r="N360" i="1"/>
  <c r="O360" i="1"/>
  <c r="P360" i="1"/>
  <c r="Q360" i="1"/>
  <c r="R360" i="1"/>
  <c r="S360" i="1"/>
  <c r="T360" i="1"/>
  <c r="U360" i="1"/>
  <c r="V360" i="1"/>
  <c r="W360" i="1"/>
  <c r="X360" i="1"/>
  <c r="Y360" i="1"/>
  <c r="Z360" i="1"/>
  <c r="AA360" i="1"/>
  <c r="AB360" i="1"/>
  <c r="AC360" i="1"/>
  <c r="AD360" i="1"/>
  <c r="AE360" i="1"/>
  <c r="AF360" i="1"/>
  <c r="AM360" i="1"/>
  <c r="AN360" i="1"/>
  <c r="AO360" i="1"/>
  <c r="L361" i="1"/>
  <c r="M361" i="1"/>
  <c r="N361" i="1"/>
  <c r="O361" i="1"/>
  <c r="P361" i="1"/>
  <c r="Q361" i="1"/>
  <c r="R361" i="1"/>
  <c r="S361" i="1"/>
  <c r="T361" i="1"/>
  <c r="U361" i="1"/>
  <c r="V361" i="1"/>
  <c r="W361" i="1"/>
  <c r="X361" i="1"/>
  <c r="Y361" i="1"/>
  <c r="Z361" i="1"/>
  <c r="AA361" i="1"/>
  <c r="AB361" i="1"/>
  <c r="AC361" i="1"/>
  <c r="AD361" i="1"/>
  <c r="AE361" i="1"/>
  <c r="AF361" i="1"/>
  <c r="AM361" i="1"/>
  <c r="AN361" i="1"/>
  <c r="AO361" i="1"/>
  <c r="L362" i="1"/>
  <c r="M362" i="1"/>
  <c r="N362" i="1"/>
  <c r="O362" i="1"/>
  <c r="P362" i="1"/>
  <c r="Q362" i="1"/>
  <c r="R362" i="1"/>
  <c r="S362" i="1"/>
  <c r="T362" i="1"/>
  <c r="U362" i="1"/>
  <c r="V362" i="1"/>
  <c r="W362" i="1"/>
  <c r="X362" i="1"/>
  <c r="Y362" i="1"/>
  <c r="Z362" i="1"/>
  <c r="AA362" i="1"/>
  <c r="AB362" i="1"/>
  <c r="AC362" i="1"/>
  <c r="AD362" i="1"/>
  <c r="AE362" i="1"/>
  <c r="AF362" i="1"/>
  <c r="AM362" i="1"/>
  <c r="AN362" i="1"/>
  <c r="AO362" i="1"/>
  <c r="L363" i="1"/>
  <c r="M363" i="1"/>
  <c r="N363" i="1"/>
  <c r="O363" i="1"/>
  <c r="P363" i="1"/>
  <c r="Q363" i="1"/>
  <c r="R363" i="1"/>
  <c r="S363" i="1"/>
  <c r="T363" i="1"/>
  <c r="U363" i="1"/>
  <c r="V363" i="1"/>
  <c r="W363" i="1"/>
  <c r="X363" i="1"/>
  <c r="Y363" i="1"/>
  <c r="Z363" i="1"/>
  <c r="AA363" i="1"/>
  <c r="AB363" i="1"/>
  <c r="AC363" i="1"/>
  <c r="AD363" i="1"/>
  <c r="AE363" i="1"/>
  <c r="AF363" i="1"/>
  <c r="AM363" i="1"/>
  <c r="AN363" i="1"/>
  <c r="AO363" i="1"/>
  <c r="L364" i="1"/>
  <c r="M364" i="1"/>
  <c r="N364" i="1"/>
  <c r="O364" i="1"/>
  <c r="P364" i="1"/>
  <c r="Q364" i="1"/>
  <c r="R364" i="1"/>
  <c r="S364" i="1"/>
  <c r="T364" i="1"/>
  <c r="U364" i="1"/>
  <c r="V364" i="1"/>
  <c r="W364" i="1"/>
  <c r="X364" i="1"/>
  <c r="Y364" i="1"/>
  <c r="Z364" i="1"/>
  <c r="AA364" i="1"/>
  <c r="AB364" i="1"/>
  <c r="AC364" i="1"/>
  <c r="AD364" i="1"/>
  <c r="AE364" i="1"/>
  <c r="AF364" i="1"/>
  <c r="AM364" i="1"/>
  <c r="AN364" i="1"/>
  <c r="AO364" i="1"/>
  <c r="L365" i="1"/>
  <c r="M365" i="1"/>
  <c r="N365" i="1"/>
  <c r="O365" i="1"/>
  <c r="P365" i="1"/>
  <c r="Q365" i="1"/>
  <c r="R365" i="1"/>
  <c r="S365" i="1"/>
  <c r="T365" i="1"/>
  <c r="U365" i="1"/>
  <c r="V365" i="1"/>
  <c r="W365" i="1"/>
  <c r="X365" i="1"/>
  <c r="Y365" i="1"/>
  <c r="Z365" i="1"/>
  <c r="AA365" i="1"/>
  <c r="AB365" i="1"/>
  <c r="AC365" i="1"/>
  <c r="AD365" i="1"/>
  <c r="AE365" i="1"/>
  <c r="AF365" i="1"/>
  <c r="AM365" i="1"/>
  <c r="AN365" i="1"/>
  <c r="AO365" i="1"/>
  <c r="L366" i="1"/>
  <c r="M366" i="1"/>
  <c r="N366" i="1"/>
  <c r="O366" i="1"/>
  <c r="P366" i="1"/>
  <c r="Q366" i="1"/>
  <c r="R366" i="1"/>
  <c r="S366" i="1"/>
  <c r="T366" i="1"/>
  <c r="U366" i="1"/>
  <c r="V366" i="1"/>
  <c r="W366" i="1"/>
  <c r="X366" i="1"/>
  <c r="Y366" i="1"/>
  <c r="Z366" i="1"/>
  <c r="AA366" i="1"/>
  <c r="AB366" i="1"/>
  <c r="AC366" i="1"/>
  <c r="AD366" i="1"/>
  <c r="AE366" i="1"/>
  <c r="AF366" i="1"/>
  <c r="AM366" i="1"/>
  <c r="AN366" i="1"/>
  <c r="AO366" i="1"/>
  <c r="L367" i="1"/>
  <c r="M367" i="1"/>
  <c r="N367" i="1"/>
  <c r="O367" i="1"/>
  <c r="P367" i="1"/>
  <c r="Q367" i="1"/>
  <c r="R367" i="1"/>
  <c r="S367" i="1"/>
  <c r="T367" i="1"/>
  <c r="U367" i="1"/>
  <c r="V367" i="1"/>
  <c r="W367" i="1"/>
  <c r="X367" i="1"/>
  <c r="Y367" i="1"/>
  <c r="Z367" i="1"/>
  <c r="AA367" i="1"/>
  <c r="AB367" i="1"/>
  <c r="AC367" i="1"/>
  <c r="AD367" i="1"/>
  <c r="AE367" i="1"/>
  <c r="AF367" i="1"/>
  <c r="AM367" i="1"/>
  <c r="AN367" i="1"/>
  <c r="AO367" i="1"/>
  <c r="L368" i="1"/>
  <c r="M368" i="1"/>
  <c r="N368" i="1"/>
  <c r="O368" i="1"/>
  <c r="P368" i="1"/>
  <c r="Q368" i="1"/>
  <c r="R368" i="1"/>
  <c r="S368" i="1"/>
  <c r="T368" i="1"/>
  <c r="U368" i="1"/>
  <c r="V368" i="1"/>
  <c r="W368" i="1"/>
  <c r="X368" i="1"/>
  <c r="Y368" i="1"/>
  <c r="Z368" i="1"/>
  <c r="AA368" i="1"/>
  <c r="AB368" i="1"/>
  <c r="AC368" i="1"/>
  <c r="AD368" i="1"/>
  <c r="AE368" i="1"/>
  <c r="AF368" i="1"/>
  <c r="AM368" i="1"/>
  <c r="AN368" i="1"/>
  <c r="AO368" i="1"/>
  <c r="L369" i="1"/>
  <c r="M369" i="1"/>
  <c r="N369" i="1"/>
  <c r="O369" i="1"/>
  <c r="P369" i="1"/>
  <c r="Q369" i="1"/>
  <c r="R369" i="1"/>
  <c r="S369" i="1"/>
  <c r="T369" i="1"/>
  <c r="U369" i="1"/>
  <c r="V369" i="1"/>
  <c r="W369" i="1"/>
  <c r="X369" i="1"/>
  <c r="Y369" i="1"/>
  <c r="Z369" i="1"/>
  <c r="AA369" i="1"/>
  <c r="AB369" i="1"/>
  <c r="AC369" i="1"/>
  <c r="AD369" i="1"/>
  <c r="AE369" i="1"/>
  <c r="AF369" i="1"/>
  <c r="AM369" i="1"/>
  <c r="AN369" i="1"/>
  <c r="AO369" i="1"/>
  <c r="L370" i="1"/>
  <c r="M370" i="1"/>
  <c r="N370" i="1"/>
  <c r="O370" i="1"/>
  <c r="P370" i="1"/>
  <c r="Q370" i="1"/>
  <c r="R370" i="1"/>
  <c r="S370" i="1"/>
  <c r="T370" i="1"/>
  <c r="U370" i="1"/>
  <c r="V370" i="1"/>
  <c r="W370" i="1"/>
  <c r="X370" i="1"/>
  <c r="Y370" i="1"/>
  <c r="Z370" i="1"/>
  <c r="AA370" i="1"/>
  <c r="AB370" i="1"/>
  <c r="AC370" i="1"/>
  <c r="AD370" i="1"/>
  <c r="AE370" i="1"/>
  <c r="AF370" i="1"/>
  <c r="AM370" i="1"/>
  <c r="AN370" i="1"/>
  <c r="AO370" i="1"/>
  <c r="L371" i="1"/>
  <c r="M371" i="1"/>
  <c r="N371" i="1"/>
  <c r="O371" i="1"/>
  <c r="P371" i="1"/>
  <c r="Q371" i="1"/>
  <c r="R371" i="1"/>
  <c r="S371" i="1"/>
  <c r="T371" i="1"/>
  <c r="U371" i="1"/>
  <c r="V371" i="1"/>
  <c r="W371" i="1"/>
  <c r="X371" i="1"/>
  <c r="Y371" i="1"/>
  <c r="Z371" i="1"/>
  <c r="AA371" i="1"/>
  <c r="AB371" i="1"/>
  <c r="AC371" i="1"/>
  <c r="AD371" i="1"/>
  <c r="AE371" i="1"/>
  <c r="AF371" i="1"/>
  <c r="AM371" i="1"/>
  <c r="AN371" i="1"/>
  <c r="AO371" i="1"/>
  <c r="L372" i="1"/>
  <c r="M372" i="1"/>
  <c r="N372" i="1"/>
  <c r="O372" i="1"/>
  <c r="P372" i="1"/>
  <c r="Q372" i="1"/>
  <c r="R372" i="1"/>
  <c r="S372" i="1"/>
  <c r="T372" i="1"/>
  <c r="U372" i="1"/>
  <c r="V372" i="1"/>
  <c r="W372" i="1"/>
  <c r="X372" i="1"/>
  <c r="Y372" i="1"/>
  <c r="Z372" i="1"/>
  <c r="AA372" i="1"/>
  <c r="AB372" i="1"/>
  <c r="AC372" i="1"/>
  <c r="AD372" i="1"/>
  <c r="AE372" i="1"/>
  <c r="AF372" i="1"/>
  <c r="AM372" i="1"/>
  <c r="AN372" i="1"/>
  <c r="AO372" i="1"/>
  <c r="L373" i="1"/>
  <c r="M373" i="1"/>
  <c r="N373" i="1"/>
  <c r="O373" i="1"/>
  <c r="P373" i="1"/>
  <c r="Q373" i="1"/>
  <c r="R373" i="1"/>
  <c r="S373" i="1"/>
  <c r="T373" i="1"/>
  <c r="U373" i="1"/>
  <c r="V373" i="1"/>
  <c r="W373" i="1"/>
  <c r="X373" i="1"/>
  <c r="Y373" i="1"/>
  <c r="Z373" i="1"/>
  <c r="AA373" i="1"/>
  <c r="AB373" i="1"/>
  <c r="AC373" i="1"/>
  <c r="AD373" i="1"/>
  <c r="AE373" i="1"/>
  <c r="AF373" i="1"/>
  <c r="AM373" i="1"/>
  <c r="AN373" i="1"/>
  <c r="AO373" i="1"/>
  <c r="L374" i="1"/>
  <c r="M374" i="1"/>
  <c r="N374" i="1"/>
  <c r="O374" i="1"/>
  <c r="P374" i="1"/>
  <c r="Q374" i="1"/>
  <c r="R374" i="1"/>
  <c r="S374" i="1"/>
  <c r="T374" i="1"/>
  <c r="U374" i="1"/>
  <c r="V374" i="1"/>
  <c r="W374" i="1"/>
  <c r="X374" i="1"/>
  <c r="Y374" i="1"/>
  <c r="Z374" i="1"/>
  <c r="AA374" i="1"/>
  <c r="AB374" i="1"/>
  <c r="AC374" i="1"/>
  <c r="AD374" i="1"/>
  <c r="AE374" i="1"/>
  <c r="AF374" i="1"/>
  <c r="AM374" i="1"/>
  <c r="AN374" i="1"/>
  <c r="AO374" i="1"/>
  <c r="L375" i="1"/>
  <c r="M375" i="1"/>
  <c r="N375" i="1"/>
  <c r="O375" i="1"/>
  <c r="P375" i="1"/>
  <c r="Q375" i="1"/>
  <c r="R375" i="1"/>
  <c r="S375" i="1"/>
  <c r="T375" i="1"/>
  <c r="U375" i="1"/>
  <c r="V375" i="1"/>
  <c r="W375" i="1"/>
  <c r="X375" i="1"/>
  <c r="Y375" i="1"/>
  <c r="Z375" i="1"/>
  <c r="AA375" i="1"/>
  <c r="AB375" i="1"/>
  <c r="AC375" i="1"/>
  <c r="AD375" i="1"/>
  <c r="AE375" i="1"/>
  <c r="AF375" i="1"/>
  <c r="AM375" i="1"/>
  <c r="AN375" i="1"/>
  <c r="AO375" i="1"/>
  <c r="L376" i="1"/>
  <c r="M376" i="1"/>
  <c r="N376" i="1"/>
  <c r="O376" i="1"/>
  <c r="P376" i="1"/>
  <c r="Q376" i="1"/>
  <c r="R376" i="1"/>
  <c r="S376" i="1"/>
  <c r="T376" i="1"/>
  <c r="U376" i="1"/>
  <c r="V376" i="1"/>
  <c r="W376" i="1"/>
  <c r="X376" i="1"/>
  <c r="Y376" i="1"/>
  <c r="Z376" i="1"/>
  <c r="AA376" i="1"/>
  <c r="AB376" i="1"/>
  <c r="AC376" i="1"/>
  <c r="AD376" i="1"/>
  <c r="AE376" i="1"/>
  <c r="AF376" i="1"/>
  <c r="AM376" i="1"/>
  <c r="AN376" i="1"/>
  <c r="AO376" i="1"/>
  <c r="L377" i="1"/>
  <c r="M377" i="1"/>
  <c r="N377" i="1"/>
  <c r="O377" i="1"/>
  <c r="P377" i="1"/>
  <c r="Q377" i="1"/>
  <c r="R377" i="1"/>
  <c r="S377" i="1"/>
  <c r="T377" i="1"/>
  <c r="U377" i="1"/>
  <c r="V377" i="1"/>
  <c r="W377" i="1"/>
  <c r="X377" i="1"/>
  <c r="Y377" i="1"/>
  <c r="Z377" i="1"/>
  <c r="AA377" i="1"/>
  <c r="AB377" i="1"/>
  <c r="AC377" i="1"/>
  <c r="AD377" i="1"/>
  <c r="AE377" i="1"/>
  <c r="AF377" i="1"/>
  <c r="AM377" i="1"/>
  <c r="AN377" i="1"/>
  <c r="AO377" i="1"/>
  <c r="L378" i="1"/>
  <c r="M378" i="1"/>
  <c r="N378" i="1"/>
  <c r="O378" i="1"/>
  <c r="P378" i="1"/>
  <c r="Q378" i="1"/>
  <c r="R378" i="1"/>
  <c r="S378" i="1"/>
  <c r="T378" i="1"/>
  <c r="U378" i="1"/>
  <c r="V378" i="1"/>
  <c r="W378" i="1"/>
  <c r="X378" i="1"/>
  <c r="Y378" i="1"/>
  <c r="Z378" i="1"/>
  <c r="AA378" i="1"/>
  <c r="AB378" i="1"/>
  <c r="AC378" i="1"/>
  <c r="AD378" i="1"/>
  <c r="AE378" i="1"/>
  <c r="AF378" i="1"/>
  <c r="AM378" i="1"/>
  <c r="AN378" i="1"/>
  <c r="AO378" i="1"/>
  <c r="L379" i="1"/>
  <c r="M379" i="1"/>
  <c r="N379" i="1"/>
  <c r="O379" i="1"/>
  <c r="P379" i="1"/>
  <c r="Q379" i="1"/>
  <c r="R379" i="1"/>
  <c r="S379" i="1"/>
  <c r="T379" i="1"/>
  <c r="U379" i="1"/>
  <c r="V379" i="1"/>
  <c r="W379" i="1"/>
  <c r="X379" i="1"/>
  <c r="Y379" i="1"/>
  <c r="Z379" i="1"/>
  <c r="AA379" i="1"/>
  <c r="AB379" i="1"/>
  <c r="AC379" i="1"/>
  <c r="AD379" i="1"/>
  <c r="AE379" i="1"/>
  <c r="AF379" i="1"/>
  <c r="AM379" i="1"/>
  <c r="AN379" i="1"/>
  <c r="AO379" i="1"/>
  <c r="L380" i="1"/>
  <c r="M380" i="1"/>
  <c r="N380" i="1"/>
  <c r="O380" i="1"/>
  <c r="P380" i="1"/>
  <c r="Q380" i="1"/>
  <c r="R380" i="1"/>
  <c r="S380" i="1"/>
  <c r="T380" i="1"/>
  <c r="U380" i="1"/>
  <c r="V380" i="1"/>
  <c r="W380" i="1"/>
  <c r="X380" i="1"/>
  <c r="Y380" i="1"/>
  <c r="Z380" i="1"/>
  <c r="AA380" i="1"/>
  <c r="AB380" i="1"/>
  <c r="AC380" i="1"/>
  <c r="AD380" i="1"/>
  <c r="AE380" i="1"/>
  <c r="AF380" i="1"/>
  <c r="AM380" i="1"/>
  <c r="AN380" i="1"/>
  <c r="AO380" i="1"/>
  <c r="L381" i="1"/>
  <c r="M381" i="1"/>
  <c r="N381" i="1"/>
  <c r="O381" i="1"/>
  <c r="P381" i="1"/>
  <c r="Q381" i="1"/>
  <c r="R381" i="1"/>
  <c r="S381" i="1"/>
  <c r="T381" i="1"/>
  <c r="U381" i="1"/>
  <c r="V381" i="1"/>
  <c r="W381" i="1"/>
  <c r="X381" i="1"/>
  <c r="Y381" i="1"/>
  <c r="Z381" i="1"/>
  <c r="AA381" i="1"/>
  <c r="AB381" i="1"/>
  <c r="AC381" i="1"/>
  <c r="AD381" i="1"/>
  <c r="AE381" i="1"/>
  <c r="AF381" i="1"/>
  <c r="AM381" i="1"/>
  <c r="AN381" i="1"/>
  <c r="AO381" i="1"/>
  <c r="L382" i="1"/>
  <c r="M382" i="1"/>
  <c r="N382" i="1"/>
  <c r="O382" i="1"/>
  <c r="P382" i="1"/>
  <c r="Q382" i="1"/>
  <c r="R382" i="1"/>
  <c r="S382" i="1"/>
  <c r="T382" i="1"/>
  <c r="U382" i="1"/>
  <c r="V382" i="1"/>
  <c r="W382" i="1"/>
  <c r="X382" i="1"/>
  <c r="Y382" i="1"/>
  <c r="Z382" i="1"/>
  <c r="AA382" i="1"/>
  <c r="AB382" i="1"/>
  <c r="AC382" i="1"/>
  <c r="AD382" i="1"/>
  <c r="AE382" i="1"/>
  <c r="AF382" i="1"/>
  <c r="AM382" i="1"/>
  <c r="AN382" i="1"/>
  <c r="AO382" i="1"/>
  <c r="L383" i="1"/>
  <c r="M383" i="1"/>
  <c r="N383" i="1"/>
  <c r="O383" i="1"/>
  <c r="P383" i="1"/>
  <c r="Q383" i="1"/>
  <c r="R383" i="1"/>
  <c r="S383" i="1"/>
  <c r="T383" i="1"/>
  <c r="U383" i="1"/>
  <c r="V383" i="1"/>
  <c r="W383" i="1"/>
  <c r="X383" i="1"/>
  <c r="Y383" i="1"/>
  <c r="Z383" i="1"/>
  <c r="AA383" i="1"/>
  <c r="AB383" i="1"/>
  <c r="AC383" i="1"/>
  <c r="AD383" i="1"/>
  <c r="AE383" i="1"/>
  <c r="AF383" i="1"/>
  <c r="AM383" i="1"/>
  <c r="AN383" i="1"/>
  <c r="AO383" i="1"/>
  <c r="L384" i="1"/>
  <c r="M384" i="1"/>
  <c r="N384" i="1"/>
  <c r="O384" i="1"/>
  <c r="P384" i="1"/>
  <c r="Q384" i="1"/>
  <c r="R384" i="1"/>
  <c r="S384" i="1"/>
  <c r="T384" i="1"/>
  <c r="U384" i="1"/>
  <c r="V384" i="1"/>
  <c r="W384" i="1"/>
  <c r="X384" i="1"/>
  <c r="Y384" i="1"/>
  <c r="Z384" i="1"/>
  <c r="AA384" i="1"/>
  <c r="AB384" i="1"/>
  <c r="AC384" i="1"/>
  <c r="AD384" i="1"/>
  <c r="AE384" i="1"/>
  <c r="AF384" i="1"/>
  <c r="AM384" i="1"/>
  <c r="AN384" i="1"/>
  <c r="AO384" i="1"/>
  <c r="L385" i="1"/>
  <c r="M385" i="1"/>
  <c r="N385" i="1"/>
  <c r="O385" i="1"/>
  <c r="P385" i="1"/>
  <c r="Q385" i="1"/>
  <c r="R385" i="1"/>
  <c r="S385" i="1"/>
  <c r="T385" i="1"/>
  <c r="U385" i="1"/>
  <c r="V385" i="1"/>
  <c r="W385" i="1"/>
  <c r="X385" i="1"/>
  <c r="Y385" i="1"/>
  <c r="Z385" i="1"/>
  <c r="AA385" i="1"/>
  <c r="AB385" i="1"/>
  <c r="AC385" i="1"/>
  <c r="AD385" i="1"/>
  <c r="AE385" i="1"/>
  <c r="AF385" i="1"/>
  <c r="AM385" i="1"/>
  <c r="AN385" i="1"/>
  <c r="AO385" i="1"/>
  <c r="L386" i="1"/>
  <c r="M386" i="1"/>
  <c r="N386" i="1"/>
  <c r="O386" i="1"/>
  <c r="P386" i="1"/>
  <c r="Q386" i="1"/>
  <c r="R386" i="1"/>
  <c r="S386" i="1"/>
  <c r="T386" i="1"/>
  <c r="U386" i="1"/>
  <c r="V386" i="1"/>
  <c r="W386" i="1"/>
  <c r="X386" i="1"/>
  <c r="Y386" i="1"/>
  <c r="Z386" i="1"/>
  <c r="AA386" i="1"/>
  <c r="AB386" i="1"/>
  <c r="AC386" i="1"/>
  <c r="AD386" i="1"/>
  <c r="AE386" i="1"/>
  <c r="AF386" i="1"/>
  <c r="AM386" i="1"/>
  <c r="AN386" i="1"/>
  <c r="AO386" i="1"/>
  <c r="L387" i="1"/>
  <c r="M387" i="1"/>
  <c r="N387" i="1"/>
  <c r="O387" i="1"/>
  <c r="P387" i="1"/>
  <c r="Q387" i="1"/>
  <c r="R387" i="1"/>
  <c r="S387" i="1"/>
  <c r="T387" i="1"/>
  <c r="U387" i="1"/>
  <c r="V387" i="1"/>
  <c r="W387" i="1"/>
  <c r="X387" i="1"/>
  <c r="Y387" i="1"/>
  <c r="Z387" i="1"/>
  <c r="AA387" i="1"/>
  <c r="AB387" i="1"/>
  <c r="AC387" i="1"/>
  <c r="AD387" i="1"/>
  <c r="AE387" i="1"/>
  <c r="AF387" i="1"/>
  <c r="AM387" i="1"/>
  <c r="AN387" i="1"/>
  <c r="AO387" i="1"/>
  <c r="L388" i="1"/>
  <c r="M388" i="1"/>
  <c r="N388" i="1"/>
  <c r="O388" i="1"/>
  <c r="P388" i="1"/>
  <c r="Q388" i="1"/>
  <c r="R388" i="1"/>
  <c r="S388" i="1"/>
  <c r="T388" i="1"/>
  <c r="U388" i="1"/>
  <c r="V388" i="1"/>
  <c r="W388" i="1"/>
  <c r="X388" i="1"/>
  <c r="Y388" i="1"/>
  <c r="Z388" i="1"/>
  <c r="AA388" i="1"/>
  <c r="AB388" i="1"/>
  <c r="AC388" i="1"/>
  <c r="AD388" i="1"/>
  <c r="AE388" i="1"/>
  <c r="AF388" i="1"/>
  <c r="AM388" i="1"/>
  <c r="AN388" i="1"/>
  <c r="AO388" i="1"/>
  <c r="L389" i="1"/>
  <c r="M389" i="1"/>
  <c r="N389" i="1"/>
  <c r="O389" i="1"/>
  <c r="P389" i="1"/>
  <c r="Q389" i="1"/>
  <c r="R389" i="1"/>
  <c r="S389" i="1"/>
  <c r="T389" i="1"/>
  <c r="U389" i="1"/>
  <c r="V389" i="1"/>
  <c r="W389" i="1"/>
  <c r="X389" i="1"/>
  <c r="Y389" i="1"/>
  <c r="Z389" i="1"/>
  <c r="AA389" i="1"/>
  <c r="AB389" i="1"/>
  <c r="AC389" i="1"/>
  <c r="AD389" i="1"/>
  <c r="AE389" i="1"/>
  <c r="AF389" i="1"/>
  <c r="AM389" i="1"/>
  <c r="AN389" i="1"/>
  <c r="AO389" i="1"/>
  <c r="L390" i="1"/>
  <c r="M390" i="1"/>
  <c r="N390" i="1"/>
  <c r="O390" i="1"/>
  <c r="P390" i="1"/>
  <c r="Q390" i="1"/>
  <c r="R390" i="1"/>
  <c r="S390" i="1"/>
  <c r="T390" i="1"/>
  <c r="U390" i="1"/>
  <c r="V390" i="1"/>
  <c r="W390" i="1"/>
  <c r="X390" i="1"/>
  <c r="Y390" i="1"/>
  <c r="Z390" i="1"/>
  <c r="AA390" i="1"/>
  <c r="AB390" i="1"/>
  <c r="AC390" i="1"/>
  <c r="AD390" i="1"/>
  <c r="AE390" i="1"/>
  <c r="AF390" i="1"/>
  <c r="AM390" i="1"/>
  <c r="AN390" i="1"/>
  <c r="AO390" i="1"/>
  <c r="L391" i="1"/>
  <c r="M391" i="1"/>
  <c r="N391" i="1"/>
  <c r="O391" i="1"/>
  <c r="P391" i="1"/>
  <c r="Q391" i="1"/>
  <c r="R391" i="1"/>
  <c r="S391" i="1"/>
  <c r="T391" i="1"/>
  <c r="U391" i="1"/>
  <c r="V391" i="1"/>
  <c r="W391" i="1"/>
  <c r="X391" i="1"/>
  <c r="Y391" i="1"/>
  <c r="Z391" i="1"/>
  <c r="AA391" i="1"/>
  <c r="AB391" i="1"/>
  <c r="AC391" i="1"/>
  <c r="AD391" i="1"/>
  <c r="AE391" i="1"/>
  <c r="AF391" i="1"/>
  <c r="AM391" i="1"/>
  <c r="AN391" i="1"/>
  <c r="AO391" i="1"/>
  <c r="L392" i="1"/>
  <c r="M392" i="1"/>
  <c r="N392" i="1"/>
  <c r="O392" i="1"/>
  <c r="P392" i="1"/>
  <c r="Q392" i="1"/>
  <c r="R392" i="1"/>
  <c r="S392" i="1"/>
  <c r="T392" i="1"/>
  <c r="U392" i="1"/>
  <c r="V392" i="1"/>
  <c r="W392" i="1"/>
  <c r="X392" i="1"/>
  <c r="Y392" i="1"/>
  <c r="Z392" i="1"/>
  <c r="AA392" i="1"/>
  <c r="AB392" i="1"/>
  <c r="AC392" i="1"/>
  <c r="AD392" i="1"/>
  <c r="AE392" i="1"/>
  <c r="AF392" i="1"/>
  <c r="AM392" i="1"/>
  <c r="AN392" i="1"/>
  <c r="AO392" i="1"/>
  <c r="L393" i="1"/>
  <c r="M393" i="1"/>
  <c r="N393" i="1"/>
  <c r="O393" i="1"/>
  <c r="P393" i="1"/>
  <c r="Q393" i="1"/>
  <c r="R393" i="1"/>
  <c r="S393" i="1"/>
  <c r="T393" i="1"/>
  <c r="U393" i="1"/>
  <c r="V393" i="1"/>
  <c r="W393" i="1"/>
  <c r="X393" i="1"/>
  <c r="Y393" i="1"/>
  <c r="Z393" i="1"/>
  <c r="AA393" i="1"/>
  <c r="AB393" i="1"/>
  <c r="AC393" i="1"/>
  <c r="AD393" i="1"/>
  <c r="AE393" i="1"/>
  <c r="AF393" i="1"/>
  <c r="AM393" i="1"/>
  <c r="AN393" i="1"/>
  <c r="AO393" i="1"/>
  <c r="L394" i="1"/>
  <c r="M394" i="1"/>
  <c r="N394" i="1"/>
  <c r="O394" i="1"/>
  <c r="P394" i="1"/>
  <c r="Q394" i="1"/>
  <c r="R394" i="1"/>
  <c r="S394" i="1"/>
  <c r="T394" i="1"/>
  <c r="U394" i="1"/>
  <c r="V394" i="1"/>
  <c r="W394" i="1"/>
  <c r="X394" i="1"/>
  <c r="Y394" i="1"/>
  <c r="Z394" i="1"/>
  <c r="AA394" i="1"/>
  <c r="AB394" i="1"/>
  <c r="AC394" i="1"/>
  <c r="AD394" i="1"/>
  <c r="AE394" i="1"/>
  <c r="AF394" i="1"/>
  <c r="AM394" i="1"/>
  <c r="AN394" i="1"/>
  <c r="AO394" i="1"/>
  <c r="L395" i="1"/>
  <c r="M395" i="1"/>
  <c r="N395" i="1"/>
  <c r="O395" i="1"/>
  <c r="P395" i="1"/>
  <c r="Q395" i="1"/>
  <c r="R395" i="1"/>
  <c r="S395" i="1"/>
  <c r="T395" i="1"/>
  <c r="U395" i="1"/>
  <c r="V395" i="1"/>
  <c r="W395" i="1"/>
  <c r="X395" i="1"/>
  <c r="Y395" i="1"/>
  <c r="Z395" i="1"/>
  <c r="AA395" i="1"/>
  <c r="AB395" i="1"/>
  <c r="AC395" i="1"/>
  <c r="AD395" i="1"/>
  <c r="AE395" i="1"/>
  <c r="AF395" i="1"/>
  <c r="AM395" i="1"/>
  <c r="AN395" i="1"/>
  <c r="AO395" i="1"/>
  <c r="L396" i="1"/>
  <c r="M396" i="1"/>
  <c r="N396" i="1"/>
  <c r="O396" i="1"/>
  <c r="P396" i="1"/>
  <c r="Q396" i="1"/>
  <c r="R396" i="1"/>
  <c r="S396" i="1"/>
  <c r="T396" i="1"/>
  <c r="U396" i="1"/>
  <c r="V396" i="1"/>
  <c r="W396" i="1"/>
  <c r="X396" i="1"/>
  <c r="Y396" i="1"/>
  <c r="Z396" i="1"/>
  <c r="AA396" i="1"/>
  <c r="AB396" i="1"/>
  <c r="AC396" i="1"/>
  <c r="AD396" i="1"/>
  <c r="AE396" i="1"/>
  <c r="AF396" i="1"/>
  <c r="AM396" i="1"/>
  <c r="AN396" i="1"/>
  <c r="AO396" i="1"/>
  <c r="L397" i="1"/>
  <c r="M397" i="1"/>
  <c r="N397" i="1"/>
  <c r="O397" i="1"/>
  <c r="P397" i="1"/>
  <c r="Q397" i="1"/>
  <c r="R397" i="1"/>
  <c r="S397" i="1"/>
  <c r="T397" i="1"/>
  <c r="U397" i="1"/>
  <c r="V397" i="1"/>
  <c r="W397" i="1"/>
  <c r="X397" i="1"/>
  <c r="Y397" i="1"/>
  <c r="Z397" i="1"/>
  <c r="AA397" i="1"/>
  <c r="AB397" i="1"/>
  <c r="AC397" i="1"/>
  <c r="AD397" i="1"/>
  <c r="AE397" i="1"/>
  <c r="AF397" i="1"/>
  <c r="AM397" i="1"/>
  <c r="AN397" i="1"/>
  <c r="AO397" i="1"/>
  <c r="L398" i="1"/>
  <c r="M398" i="1"/>
  <c r="N398" i="1"/>
  <c r="O398" i="1"/>
  <c r="P398" i="1"/>
  <c r="Q398" i="1"/>
  <c r="R398" i="1"/>
  <c r="S398" i="1"/>
  <c r="T398" i="1"/>
  <c r="U398" i="1"/>
  <c r="V398" i="1"/>
  <c r="W398" i="1"/>
  <c r="X398" i="1"/>
  <c r="Y398" i="1"/>
  <c r="Z398" i="1"/>
  <c r="AA398" i="1"/>
  <c r="AB398" i="1"/>
  <c r="AC398" i="1"/>
  <c r="AD398" i="1"/>
  <c r="AE398" i="1"/>
  <c r="AF398" i="1"/>
  <c r="AM398" i="1"/>
  <c r="AN398" i="1"/>
  <c r="AO398" i="1"/>
  <c r="L399" i="1"/>
  <c r="M399" i="1"/>
  <c r="N399" i="1"/>
  <c r="O399" i="1"/>
  <c r="P399" i="1"/>
  <c r="Q399" i="1"/>
  <c r="R399" i="1"/>
  <c r="S399" i="1"/>
  <c r="T399" i="1"/>
  <c r="U399" i="1"/>
  <c r="V399" i="1"/>
  <c r="W399" i="1"/>
  <c r="X399" i="1"/>
  <c r="Y399" i="1"/>
  <c r="Z399" i="1"/>
  <c r="AA399" i="1"/>
  <c r="AB399" i="1"/>
  <c r="AC399" i="1"/>
  <c r="AD399" i="1"/>
  <c r="AE399" i="1"/>
  <c r="AF399" i="1"/>
  <c r="AM399" i="1"/>
  <c r="AN399" i="1"/>
  <c r="AO399" i="1"/>
  <c r="L400" i="1"/>
  <c r="M400" i="1"/>
  <c r="N400" i="1"/>
  <c r="O400" i="1"/>
  <c r="P400" i="1"/>
  <c r="Q400" i="1"/>
  <c r="R400" i="1"/>
  <c r="S400" i="1"/>
  <c r="T400" i="1"/>
  <c r="U400" i="1"/>
  <c r="V400" i="1"/>
  <c r="W400" i="1"/>
  <c r="X400" i="1"/>
  <c r="Y400" i="1"/>
  <c r="Z400" i="1"/>
  <c r="AA400" i="1"/>
  <c r="AB400" i="1"/>
  <c r="AC400" i="1"/>
  <c r="AD400" i="1"/>
  <c r="AE400" i="1"/>
  <c r="AF400" i="1"/>
  <c r="AM400" i="1"/>
  <c r="AN400" i="1"/>
  <c r="AO400" i="1"/>
  <c r="L401" i="1"/>
  <c r="M401" i="1"/>
  <c r="N401" i="1"/>
  <c r="O401" i="1"/>
  <c r="P401" i="1"/>
  <c r="Q401" i="1"/>
  <c r="R401" i="1"/>
  <c r="S401" i="1"/>
  <c r="T401" i="1"/>
  <c r="U401" i="1"/>
  <c r="V401" i="1"/>
  <c r="W401" i="1"/>
  <c r="X401" i="1"/>
  <c r="Y401" i="1"/>
  <c r="Z401" i="1"/>
  <c r="AA401" i="1"/>
  <c r="AB401" i="1"/>
  <c r="AC401" i="1"/>
  <c r="AD401" i="1"/>
  <c r="AE401" i="1"/>
  <c r="AF401" i="1"/>
  <c r="AM401" i="1"/>
  <c r="AN401" i="1"/>
  <c r="AO401" i="1"/>
  <c r="L402" i="1"/>
  <c r="M402" i="1"/>
  <c r="N402" i="1"/>
  <c r="O402" i="1"/>
  <c r="P402" i="1"/>
  <c r="Q402" i="1"/>
  <c r="R402" i="1"/>
  <c r="S402" i="1"/>
  <c r="T402" i="1"/>
  <c r="U402" i="1"/>
  <c r="V402" i="1"/>
  <c r="W402" i="1"/>
  <c r="X402" i="1"/>
  <c r="Y402" i="1"/>
  <c r="Z402" i="1"/>
  <c r="AA402" i="1"/>
  <c r="AB402" i="1"/>
  <c r="AC402" i="1"/>
  <c r="AD402" i="1"/>
  <c r="AE402" i="1"/>
  <c r="AF402" i="1"/>
  <c r="AM402" i="1"/>
  <c r="AN402" i="1"/>
  <c r="AO402" i="1"/>
  <c r="L403" i="1"/>
  <c r="M403" i="1"/>
  <c r="N403" i="1"/>
  <c r="O403" i="1"/>
  <c r="P403" i="1"/>
  <c r="Q403" i="1"/>
  <c r="R403" i="1"/>
  <c r="S403" i="1"/>
  <c r="T403" i="1"/>
  <c r="U403" i="1"/>
  <c r="V403" i="1"/>
  <c r="W403" i="1"/>
  <c r="X403" i="1"/>
  <c r="Y403" i="1"/>
  <c r="Z403" i="1"/>
  <c r="AA403" i="1"/>
  <c r="AB403" i="1"/>
  <c r="AC403" i="1"/>
  <c r="AD403" i="1"/>
  <c r="AE403" i="1"/>
  <c r="AF403" i="1"/>
  <c r="AM403" i="1"/>
  <c r="AN403" i="1"/>
  <c r="AO403" i="1"/>
  <c r="L404" i="1"/>
  <c r="M404" i="1"/>
  <c r="N404" i="1"/>
  <c r="O404" i="1"/>
  <c r="P404" i="1"/>
  <c r="Q404" i="1"/>
  <c r="R404" i="1"/>
  <c r="S404" i="1"/>
  <c r="T404" i="1"/>
  <c r="U404" i="1"/>
  <c r="V404" i="1"/>
  <c r="W404" i="1"/>
  <c r="X404" i="1"/>
  <c r="Y404" i="1"/>
  <c r="Z404" i="1"/>
  <c r="AA404" i="1"/>
  <c r="AB404" i="1"/>
  <c r="AC404" i="1"/>
  <c r="AD404" i="1"/>
  <c r="AE404" i="1"/>
  <c r="AF404" i="1"/>
  <c r="AM404" i="1"/>
  <c r="AN404" i="1"/>
  <c r="AO404" i="1"/>
  <c r="L405" i="1"/>
  <c r="M405" i="1"/>
  <c r="N405" i="1"/>
  <c r="O405" i="1"/>
  <c r="P405" i="1"/>
  <c r="Q405" i="1"/>
  <c r="R405" i="1"/>
  <c r="S405" i="1"/>
  <c r="T405" i="1"/>
  <c r="U405" i="1"/>
  <c r="V405" i="1"/>
  <c r="W405" i="1"/>
  <c r="X405" i="1"/>
  <c r="Y405" i="1"/>
  <c r="Z405" i="1"/>
  <c r="AA405" i="1"/>
  <c r="AB405" i="1"/>
  <c r="AC405" i="1"/>
  <c r="AD405" i="1"/>
  <c r="AE405" i="1"/>
  <c r="AF405" i="1"/>
  <c r="AM405" i="1"/>
  <c r="AN405" i="1"/>
  <c r="AO405" i="1"/>
  <c r="L406" i="1"/>
  <c r="M406" i="1"/>
  <c r="N406" i="1"/>
  <c r="O406" i="1"/>
  <c r="P406" i="1"/>
  <c r="Q406" i="1"/>
  <c r="R406" i="1"/>
  <c r="S406" i="1"/>
  <c r="T406" i="1"/>
  <c r="U406" i="1"/>
  <c r="V406" i="1"/>
  <c r="W406" i="1"/>
  <c r="X406" i="1"/>
  <c r="Y406" i="1"/>
  <c r="Z406" i="1"/>
  <c r="AA406" i="1"/>
  <c r="AB406" i="1"/>
  <c r="AC406" i="1"/>
  <c r="AD406" i="1"/>
  <c r="AE406" i="1"/>
  <c r="AF406" i="1"/>
  <c r="AM406" i="1"/>
  <c r="AN406" i="1"/>
  <c r="AO406" i="1"/>
  <c r="L407" i="1"/>
  <c r="M407" i="1"/>
  <c r="N407" i="1"/>
  <c r="O407" i="1"/>
  <c r="P407" i="1"/>
  <c r="Q407" i="1"/>
  <c r="R407" i="1"/>
  <c r="S407" i="1"/>
  <c r="T407" i="1"/>
  <c r="U407" i="1"/>
  <c r="V407" i="1"/>
  <c r="W407" i="1"/>
  <c r="X407" i="1"/>
  <c r="Y407" i="1"/>
  <c r="Z407" i="1"/>
  <c r="AA407" i="1"/>
  <c r="AB407" i="1"/>
  <c r="AC407" i="1"/>
  <c r="AD407" i="1"/>
  <c r="AE407" i="1"/>
  <c r="AF407" i="1"/>
  <c r="AM407" i="1"/>
  <c r="AN407" i="1"/>
  <c r="AO407" i="1"/>
  <c r="L408" i="1"/>
  <c r="M408" i="1"/>
  <c r="N408" i="1"/>
  <c r="O408" i="1"/>
  <c r="P408" i="1"/>
  <c r="Q408" i="1"/>
  <c r="R408" i="1"/>
  <c r="S408" i="1"/>
  <c r="T408" i="1"/>
  <c r="U408" i="1"/>
  <c r="V408" i="1"/>
  <c r="W408" i="1"/>
  <c r="X408" i="1"/>
  <c r="Y408" i="1"/>
  <c r="Z408" i="1"/>
  <c r="AA408" i="1"/>
  <c r="AB408" i="1"/>
  <c r="AC408" i="1"/>
  <c r="AD408" i="1"/>
  <c r="AE408" i="1"/>
  <c r="AF408" i="1"/>
  <c r="AM408" i="1"/>
  <c r="AN408" i="1"/>
  <c r="AO408" i="1"/>
  <c r="L409" i="1"/>
  <c r="M409" i="1"/>
  <c r="N409" i="1"/>
  <c r="O409" i="1"/>
  <c r="P409" i="1"/>
  <c r="Q409" i="1"/>
  <c r="R409" i="1"/>
  <c r="S409" i="1"/>
  <c r="T409" i="1"/>
  <c r="U409" i="1"/>
  <c r="V409" i="1"/>
  <c r="W409" i="1"/>
  <c r="X409" i="1"/>
  <c r="Y409" i="1"/>
  <c r="Z409" i="1"/>
  <c r="AA409" i="1"/>
  <c r="AB409" i="1"/>
  <c r="AC409" i="1"/>
  <c r="AD409" i="1"/>
  <c r="AE409" i="1"/>
  <c r="AF409" i="1"/>
  <c r="AM409" i="1"/>
  <c r="AN409" i="1"/>
  <c r="AO409" i="1"/>
  <c r="L410" i="1"/>
  <c r="M410" i="1"/>
  <c r="N410" i="1"/>
  <c r="O410" i="1"/>
  <c r="P410" i="1"/>
  <c r="Q410" i="1"/>
  <c r="R410" i="1"/>
  <c r="S410" i="1"/>
  <c r="T410" i="1"/>
  <c r="U410" i="1"/>
  <c r="V410" i="1"/>
  <c r="W410" i="1"/>
  <c r="X410" i="1"/>
  <c r="Y410" i="1"/>
  <c r="Z410" i="1"/>
  <c r="AA410" i="1"/>
  <c r="AB410" i="1"/>
  <c r="AC410" i="1"/>
  <c r="AD410" i="1"/>
  <c r="AE410" i="1"/>
  <c r="AF410" i="1"/>
  <c r="AM410" i="1"/>
  <c r="AN410" i="1"/>
  <c r="AO410" i="1"/>
  <c r="L411" i="1"/>
  <c r="M411" i="1"/>
  <c r="N411" i="1"/>
  <c r="O411" i="1"/>
  <c r="P411" i="1"/>
  <c r="Q411" i="1"/>
  <c r="R411" i="1"/>
  <c r="S411" i="1"/>
  <c r="T411" i="1"/>
  <c r="U411" i="1"/>
  <c r="V411" i="1"/>
  <c r="W411" i="1"/>
  <c r="X411" i="1"/>
  <c r="Y411" i="1"/>
  <c r="Z411" i="1"/>
  <c r="AA411" i="1"/>
  <c r="AB411" i="1"/>
  <c r="AC411" i="1"/>
  <c r="AD411" i="1"/>
  <c r="AE411" i="1"/>
  <c r="AF411" i="1"/>
  <c r="AM411" i="1"/>
  <c r="AN411" i="1"/>
  <c r="AO411" i="1"/>
  <c r="L412" i="1"/>
  <c r="M412" i="1"/>
  <c r="N412" i="1"/>
  <c r="O412" i="1"/>
  <c r="P412" i="1"/>
  <c r="Q412" i="1"/>
  <c r="R412" i="1"/>
  <c r="S412" i="1"/>
  <c r="T412" i="1"/>
  <c r="U412" i="1"/>
  <c r="V412" i="1"/>
  <c r="W412" i="1"/>
  <c r="X412" i="1"/>
  <c r="Y412" i="1"/>
  <c r="Z412" i="1"/>
  <c r="AA412" i="1"/>
  <c r="AB412" i="1"/>
  <c r="AC412" i="1"/>
  <c r="AD412" i="1"/>
  <c r="AE412" i="1"/>
  <c r="AF412" i="1"/>
  <c r="AM412" i="1"/>
  <c r="AN412" i="1"/>
  <c r="AO412" i="1"/>
  <c r="L413" i="1"/>
  <c r="M413" i="1"/>
  <c r="N413" i="1"/>
  <c r="O413" i="1"/>
  <c r="P413" i="1"/>
  <c r="Q413" i="1"/>
  <c r="R413" i="1"/>
  <c r="S413" i="1"/>
  <c r="T413" i="1"/>
  <c r="U413" i="1"/>
  <c r="V413" i="1"/>
  <c r="W413" i="1"/>
  <c r="X413" i="1"/>
  <c r="Y413" i="1"/>
  <c r="Z413" i="1"/>
  <c r="AA413" i="1"/>
  <c r="AB413" i="1"/>
  <c r="AC413" i="1"/>
  <c r="AD413" i="1"/>
  <c r="AE413" i="1"/>
  <c r="AF413" i="1"/>
  <c r="AM413" i="1"/>
  <c r="AN413" i="1"/>
  <c r="AO413" i="1"/>
  <c r="L414" i="1"/>
  <c r="M414" i="1"/>
  <c r="N414" i="1"/>
  <c r="O414" i="1"/>
  <c r="P414" i="1"/>
  <c r="Q414" i="1"/>
  <c r="R414" i="1"/>
  <c r="S414" i="1"/>
  <c r="T414" i="1"/>
  <c r="U414" i="1"/>
  <c r="V414" i="1"/>
  <c r="W414" i="1"/>
  <c r="X414" i="1"/>
  <c r="Y414" i="1"/>
  <c r="Z414" i="1"/>
  <c r="AA414" i="1"/>
  <c r="AB414" i="1"/>
  <c r="AC414" i="1"/>
  <c r="AD414" i="1"/>
  <c r="AE414" i="1"/>
  <c r="AF414" i="1"/>
  <c r="AM414" i="1"/>
  <c r="AN414" i="1"/>
  <c r="AO414" i="1"/>
  <c r="L415" i="1"/>
  <c r="M415" i="1"/>
  <c r="N415" i="1"/>
  <c r="O415" i="1"/>
  <c r="P415" i="1"/>
  <c r="Q415" i="1"/>
  <c r="R415" i="1"/>
  <c r="S415" i="1"/>
  <c r="T415" i="1"/>
  <c r="U415" i="1"/>
  <c r="V415" i="1"/>
  <c r="W415" i="1"/>
  <c r="X415" i="1"/>
  <c r="Y415" i="1"/>
  <c r="Z415" i="1"/>
  <c r="AA415" i="1"/>
  <c r="AB415" i="1"/>
  <c r="AC415" i="1"/>
  <c r="AD415" i="1"/>
  <c r="AE415" i="1"/>
  <c r="AF415" i="1"/>
  <c r="AM415" i="1"/>
  <c r="AN415" i="1"/>
  <c r="AO415" i="1"/>
  <c r="L416" i="1"/>
  <c r="M416" i="1"/>
  <c r="N416" i="1"/>
  <c r="O416" i="1"/>
  <c r="P416" i="1"/>
  <c r="Q416" i="1"/>
  <c r="R416" i="1"/>
  <c r="S416" i="1"/>
  <c r="T416" i="1"/>
  <c r="U416" i="1"/>
  <c r="V416" i="1"/>
  <c r="W416" i="1"/>
  <c r="X416" i="1"/>
  <c r="Y416" i="1"/>
  <c r="Z416" i="1"/>
  <c r="AA416" i="1"/>
  <c r="AB416" i="1"/>
  <c r="AC416" i="1"/>
  <c r="AD416" i="1"/>
  <c r="AE416" i="1"/>
  <c r="AF416" i="1"/>
  <c r="AM416" i="1"/>
  <c r="AN416" i="1"/>
  <c r="AO416" i="1"/>
  <c r="L417" i="1"/>
  <c r="M417" i="1"/>
  <c r="N417" i="1"/>
  <c r="O417" i="1"/>
  <c r="P417" i="1"/>
  <c r="Q417" i="1"/>
  <c r="R417" i="1"/>
  <c r="S417" i="1"/>
  <c r="T417" i="1"/>
  <c r="U417" i="1"/>
  <c r="V417" i="1"/>
  <c r="W417" i="1"/>
  <c r="X417" i="1"/>
  <c r="Y417" i="1"/>
  <c r="Z417" i="1"/>
  <c r="AA417" i="1"/>
  <c r="AB417" i="1"/>
  <c r="AC417" i="1"/>
  <c r="AD417" i="1"/>
  <c r="AE417" i="1"/>
  <c r="AF417" i="1"/>
  <c r="AM417" i="1"/>
  <c r="AN417" i="1"/>
  <c r="AO417" i="1"/>
  <c r="L418" i="1"/>
  <c r="M418" i="1"/>
  <c r="N418" i="1"/>
  <c r="O418" i="1"/>
  <c r="P418" i="1"/>
  <c r="Q418" i="1"/>
  <c r="R418" i="1"/>
  <c r="S418" i="1"/>
  <c r="T418" i="1"/>
  <c r="U418" i="1"/>
  <c r="V418" i="1"/>
  <c r="W418" i="1"/>
  <c r="X418" i="1"/>
  <c r="Y418" i="1"/>
  <c r="Z418" i="1"/>
  <c r="AA418" i="1"/>
  <c r="AB418" i="1"/>
  <c r="AC418" i="1"/>
  <c r="AD418" i="1"/>
  <c r="AE418" i="1"/>
  <c r="AF418" i="1"/>
  <c r="AM418" i="1"/>
  <c r="AN418" i="1"/>
  <c r="AO418" i="1"/>
  <c r="L419" i="1"/>
  <c r="M419" i="1"/>
  <c r="N419" i="1"/>
  <c r="O419" i="1"/>
  <c r="P419" i="1"/>
  <c r="Q419" i="1"/>
  <c r="R419" i="1"/>
  <c r="S419" i="1"/>
  <c r="T419" i="1"/>
  <c r="U419" i="1"/>
  <c r="V419" i="1"/>
  <c r="W419" i="1"/>
  <c r="X419" i="1"/>
  <c r="Y419" i="1"/>
  <c r="Z419" i="1"/>
  <c r="AA419" i="1"/>
  <c r="AB419" i="1"/>
  <c r="AC419" i="1"/>
  <c r="AD419" i="1"/>
  <c r="AE419" i="1"/>
  <c r="AF419" i="1"/>
  <c r="AM419" i="1"/>
  <c r="AN419" i="1"/>
  <c r="AO419" i="1"/>
  <c r="L420" i="1"/>
  <c r="M420" i="1"/>
  <c r="N420" i="1"/>
  <c r="O420" i="1"/>
  <c r="P420" i="1"/>
  <c r="Q420" i="1"/>
  <c r="R420" i="1"/>
  <c r="S420" i="1"/>
  <c r="T420" i="1"/>
  <c r="U420" i="1"/>
  <c r="V420" i="1"/>
  <c r="W420" i="1"/>
  <c r="X420" i="1"/>
  <c r="Y420" i="1"/>
  <c r="Z420" i="1"/>
  <c r="AA420" i="1"/>
  <c r="AB420" i="1"/>
  <c r="AC420" i="1"/>
  <c r="AD420" i="1"/>
  <c r="AE420" i="1"/>
  <c r="AF420" i="1"/>
  <c r="AM420" i="1"/>
  <c r="AN420" i="1"/>
  <c r="AO420" i="1"/>
  <c r="L421" i="1"/>
  <c r="M421" i="1"/>
  <c r="N421" i="1"/>
  <c r="O421" i="1"/>
  <c r="P421" i="1"/>
  <c r="Q421" i="1"/>
  <c r="R421" i="1"/>
  <c r="S421" i="1"/>
  <c r="T421" i="1"/>
  <c r="U421" i="1"/>
  <c r="V421" i="1"/>
  <c r="W421" i="1"/>
  <c r="X421" i="1"/>
  <c r="Y421" i="1"/>
  <c r="Z421" i="1"/>
  <c r="AA421" i="1"/>
  <c r="AB421" i="1"/>
  <c r="AC421" i="1"/>
  <c r="AD421" i="1"/>
  <c r="AE421" i="1"/>
  <c r="AF421" i="1"/>
  <c r="AM421" i="1"/>
  <c r="AN421" i="1"/>
  <c r="AO421" i="1"/>
  <c r="L422" i="1"/>
  <c r="M422" i="1"/>
  <c r="N422" i="1"/>
  <c r="O422" i="1"/>
  <c r="P422" i="1"/>
  <c r="Q422" i="1"/>
  <c r="R422" i="1"/>
  <c r="S422" i="1"/>
  <c r="T422" i="1"/>
  <c r="U422" i="1"/>
  <c r="V422" i="1"/>
  <c r="W422" i="1"/>
  <c r="X422" i="1"/>
  <c r="Y422" i="1"/>
  <c r="Z422" i="1"/>
  <c r="AA422" i="1"/>
  <c r="AB422" i="1"/>
  <c r="AC422" i="1"/>
  <c r="AD422" i="1"/>
  <c r="AE422" i="1"/>
  <c r="AF422" i="1"/>
  <c r="AM422" i="1"/>
  <c r="AN422" i="1"/>
  <c r="AO422" i="1"/>
  <c r="L423" i="1"/>
  <c r="M423" i="1"/>
  <c r="N423" i="1"/>
  <c r="O423" i="1"/>
  <c r="P423" i="1"/>
  <c r="Q423" i="1"/>
  <c r="R423" i="1"/>
  <c r="S423" i="1"/>
  <c r="T423" i="1"/>
  <c r="U423" i="1"/>
  <c r="V423" i="1"/>
  <c r="W423" i="1"/>
  <c r="X423" i="1"/>
  <c r="Y423" i="1"/>
  <c r="Z423" i="1"/>
  <c r="AA423" i="1"/>
  <c r="AB423" i="1"/>
  <c r="AC423" i="1"/>
  <c r="AD423" i="1"/>
  <c r="AE423" i="1"/>
  <c r="AF423" i="1"/>
  <c r="AM423" i="1"/>
  <c r="AN423" i="1"/>
  <c r="AO423" i="1"/>
  <c r="L424" i="1"/>
  <c r="M424" i="1"/>
  <c r="N424" i="1"/>
  <c r="O424" i="1"/>
  <c r="P424" i="1"/>
  <c r="Q424" i="1"/>
  <c r="R424" i="1"/>
  <c r="S424" i="1"/>
  <c r="T424" i="1"/>
  <c r="U424" i="1"/>
  <c r="V424" i="1"/>
  <c r="W424" i="1"/>
  <c r="X424" i="1"/>
  <c r="Y424" i="1"/>
  <c r="Z424" i="1"/>
  <c r="AA424" i="1"/>
  <c r="AB424" i="1"/>
  <c r="AC424" i="1"/>
  <c r="AD424" i="1"/>
  <c r="AE424" i="1"/>
  <c r="AF424" i="1"/>
  <c r="AM424" i="1"/>
  <c r="AN424" i="1"/>
  <c r="AO424" i="1"/>
  <c r="L425" i="1"/>
  <c r="M425" i="1"/>
  <c r="N425" i="1"/>
  <c r="O425" i="1"/>
  <c r="P425" i="1"/>
  <c r="Q425" i="1"/>
  <c r="R425" i="1"/>
  <c r="S425" i="1"/>
  <c r="T425" i="1"/>
  <c r="U425" i="1"/>
  <c r="V425" i="1"/>
  <c r="W425" i="1"/>
  <c r="X425" i="1"/>
  <c r="Y425" i="1"/>
  <c r="Z425" i="1"/>
  <c r="AA425" i="1"/>
  <c r="AB425" i="1"/>
  <c r="AC425" i="1"/>
  <c r="AD425" i="1"/>
  <c r="AE425" i="1"/>
  <c r="AF425" i="1"/>
  <c r="AM425" i="1"/>
  <c r="AN425" i="1"/>
  <c r="AO425" i="1"/>
  <c r="L426" i="1"/>
  <c r="M426" i="1"/>
  <c r="N426" i="1"/>
  <c r="O426" i="1"/>
  <c r="P426" i="1"/>
  <c r="Q426" i="1"/>
  <c r="R426" i="1"/>
  <c r="S426" i="1"/>
  <c r="T426" i="1"/>
  <c r="U426" i="1"/>
  <c r="V426" i="1"/>
  <c r="W426" i="1"/>
  <c r="X426" i="1"/>
  <c r="Y426" i="1"/>
  <c r="Z426" i="1"/>
  <c r="AA426" i="1"/>
  <c r="AB426" i="1"/>
  <c r="AC426" i="1"/>
  <c r="AD426" i="1"/>
  <c r="AE426" i="1"/>
  <c r="AF426" i="1"/>
  <c r="AM426" i="1"/>
  <c r="AN426" i="1"/>
  <c r="AO426" i="1"/>
  <c r="L427" i="1"/>
  <c r="M427" i="1"/>
  <c r="N427" i="1"/>
  <c r="O427" i="1"/>
  <c r="P427" i="1"/>
  <c r="Q427" i="1"/>
  <c r="R427" i="1"/>
  <c r="S427" i="1"/>
  <c r="T427" i="1"/>
  <c r="U427" i="1"/>
  <c r="V427" i="1"/>
  <c r="W427" i="1"/>
  <c r="X427" i="1"/>
  <c r="Y427" i="1"/>
  <c r="Z427" i="1"/>
  <c r="AA427" i="1"/>
  <c r="AB427" i="1"/>
  <c r="AC427" i="1"/>
  <c r="AD427" i="1"/>
  <c r="AE427" i="1"/>
  <c r="AF427" i="1"/>
  <c r="AM427" i="1"/>
  <c r="AN427" i="1"/>
  <c r="AO427" i="1"/>
  <c r="L428" i="1"/>
  <c r="M428" i="1"/>
  <c r="N428" i="1"/>
  <c r="O428" i="1"/>
  <c r="P428" i="1"/>
  <c r="Q428" i="1"/>
  <c r="R428" i="1"/>
  <c r="S428" i="1"/>
  <c r="T428" i="1"/>
  <c r="U428" i="1"/>
  <c r="V428" i="1"/>
  <c r="W428" i="1"/>
  <c r="X428" i="1"/>
  <c r="Y428" i="1"/>
  <c r="Z428" i="1"/>
  <c r="AA428" i="1"/>
  <c r="AB428" i="1"/>
  <c r="AC428" i="1"/>
  <c r="AD428" i="1"/>
  <c r="AE428" i="1"/>
  <c r="AF428" i="1"/>
  <c r="AM428" i="1"/>
  <c r="AN428" i="1"/>
  <c r="AO428" i="1"/>
  <c r="L429" i="1"/>
  <c r="M429" i="1"/>
  <c r="N429" i="1"/>
  <c r="O429" i="1"/>
  <c r="P429" i="1"/>
  <c r="Q429" i="1"/>
  <c r="R429" i="1"/>
  <c r="S429" i="1"/>
  <c r="T429" i="1"/>
  <c r="U429" i="1"/>
  <c r="V429" i="1"/>
  <c r="W429" i="1"/>
  <c r="X429" i="1"/>
  <c r="Y429" i="1"/>
  <c r="Z429" i="1"/>
  <c r="AA429" i="1"/>
  <c r="AB429" i="1"/>
  <c r="AC429" i="1"/>
  <c r="AD429" i="1"/>
  <c r="AE429" i="1"/>
  <c r="AF429" i="1"/>
  <c r="AM429" i="1"/>
  <c r="AN429" i="1"/>
  <c r="AO429" i="1"/>
  <c r="L430" i="1"/>
  <c r="M430" i="1"/>
  <c r="N430" i="1"/>
  <c r="O430" i="1"/>
  <c r="P430" i="1"/>
  <c r="Q430" i="1"/>
  <c r="R430" i="1"/>
  <c r="S430" i="1"/>
  <c r="T430" i="1"/>
  <c r="U430" i="1"/>
  <c r="V430" i="1"/>
  <c r="W430" i="1"/>
  <c r="X430" i="1"/>
  <c r="Y430" i="1"/>
  <c r="Z430" i="1"/>
  <c r="AA430" i="1"/>
  <c r="AB430" i="1"/>
  <c r="AC430" i="1"/>
  <c r="AD430" i="1"/>
  <c r="AE430" i="1"/>
  <c r="AF430" i="1"/>
  <c r="AM430" i="1"/>
  <c r="AN430" i="1"/>
  <c r="AO430" i="1"/>
  <c r="L431" i="1"/>
  <c r="M431" i="1"/>
  <c r="N431" i="1"/>
  <c r="O431" i="1"/>
  <c r="P431" i="1"/>
  <c r="Q431" i="1"/>
  <c r="R431" i="1"/>
  <c r="S431" i="1"/>
  <c r="T431" i="1"/>
  <c r="U431" i="1"/>
  <c r="V431" i="1"/>
  <c r="W431" i="1"/>
  <c r="X431" i="1"/>
  <c r="Y431" i="1"/>
  <c r="Z431" i="1"/>
  <c r="AA431" i="1"/>
  <c r="AB431" i="1"/>
  <c r="AC431" i="1"/>
  <c r="AD431" i="1"/>
  <c r="AE431" i="1"/>
  <c r="AF431" i="1"/>
  <c r="AM431" i="1"/>
  <c r="AN431" i="1"/>
  <c r="AO431" i="1"/>
  <c r="L432" i="1"/>
  <c r="M432" i="1"/>
  <c r="N432" i="1"/>
  <c r="O432" i="1"/>
  <c r="P432" i="1"/>
  <c r="Q432" i="1"/>
  <c r="R432" i="1"/>
  <c r="S432" i="1"/>
  <c r="T432" i="1"/>
  <c r="U432" i="1"/>
  <c r="V432" i="1"/>
  <c r="W432" i="1"/>
  <c r="X432" i="1"/>
  <c r="Y432" i="1"/>
  <c r="Z432" i="1"/>
  <c r="AA432" i="1"/>
  <c r="AB432" i="1"/>
  <c r="AC432" i="1"/>
  <c r="AD432" i="1"/>
  <c r="AE432" i="1"/>
  <c r="AF432" i="1"/>
  <c r="AM432" i="1"/>
  <c r="AN432" i="1"/>
  <c r="AO432" i="1"/>
  <c r="L433" i="1"/>
  <c r="M433" i="1"/>
  <c r="N433" i="1"/>
  <c r="O433" i="1"/>
  <c r="P433" i="1"/>
  <c r="Q433" i="1"/>
  <c r="R433" i="1"/>
  <c r="S433" i="1"/>
  <c r="T433" i="1"/>
  <c r="U433" i="1"/>
  <c r="V433" i="1"/>
  <c r="W433" i="1"/>
  <c r="X433" i="1"/>
  <c r="Y433" i="1"/>
  <c r="Z433" i="1"/>
  <c r="AA433" i="1"/>
  <c r="AB433" i="1"/>
  <c r="AC433" i="1"/>
  <c r="AD433" i="1"/>
  <c r="AE433" i="1"/>
  <c r="AF433" i="1"/>
  <c r="AM433" i="1"/>
  <c r="AN433" i="1"/>
  <c r="AO433" i="1"/>
  <c r="L434" i="1"/>
  <c r="M434" i="1"/>
  <c r="N434" i="1"/>
  <c r="O434" i="1"/>
  <c r="P434" i="1"/>
  <c r="Q434" i="1"/>
  <c r="R434" i="1"/>
  <c r="S434" i="1"/>
  <c r="T434" i="1"/>
  <c r="U434" i="1"/>
  <c r="V434" i="1"/>
  <c r="W434" i="1"/>
  <c r="X434" i="1"/>
  <c r="Y434" i="1"/>
  <c r="Z434" i="1"/>
  <c r="AA434" i="1"/>
  <c r="AB434" i="1"/>
  <c r="AC434" i="1"/>
  <c r="AD434" i="1"/>
  <c r="AE434" i="1"/>
  <c r="AF434" i="1"/>
  <c r="AM434" i="1"/>
  <c r="AN434" i="1"/>
  <c r="AO434" i="1"/>
  <c r="L435" i="1"/>
  <c r="M435" i="1"/>
  <c r="N435" i="1"/>
  <c r="O435" i="1"/>
  <c r="P435" i="1"/>
  <c r="Q435" i="1"/>
  <c r="R435" i="1"/>
  <c r="S435" i="1"/>
  <c r="T435" i="1"/>
  <c r="U435" i="1"/>
  <c r="V435" i="1"/>
  <c r="W435" i="1"/>
  <c r="X435" i="1"/>
  <c r="Y435" i="1"/>
  <c r="Z435" i="1"/>
  <c r="AA435" i="1"/>
  <c r="AB435" i="1"/>
  <c r="AC435" i="1"/>
  <c r="AD435" i="1"/>
  <c r="AE435" i="1"/>
  <c r="AF435" i="1"/>
  <c r="AM435" i="1"/>
  <c r="AN435" i="1"/>
  <c r="AO435" i="1"/>
  <c r="L436" i="1"/>
  <c r="M436" i="1"/>
  <c r="N436" i="1"/>
  <c r="O436" i="1"/>
  <c r="P436" i="1"/>
  <c r="Q436" i="1"/>
  <c r="R436" i="1"/>
  <c r="S436" i="1"/>
  <c r="T436" i="1"/>
  <c r="U436" i="1"/>
  <c r="V436" i="1"/>
  <c r="W436" i="1"/>
  <c r="X436" i="1"/>
  <c r="Y436" i="1"/>
  <c r="Z436" i="1"/>
  <c r="AA436" i="1"/>
  <c r="AB436" i="1"/>
  <c r="AC436" i="1"/>
  <c r="AD436" i="1"/>
  <c r="AE436" i="1"/>
  <c r="AF436" i="1"/>
  <c r="AM436" i="1"/>
  <c r="AN436" i="1"/>
  <c r="AO436" i="1"/>
  <c r="L437" i="1"/>
  <c r="M437" i="1"/>
  <c r="N437" i="1"/>
  <c r="O437" i="1"/>
  <c r="P437" i="1"/>
  <c r="Q437" i="1"/>
  <c r="R437" i="1"/>
  <c r="S437" i="1"/>
  <c r="T437" i="1"/>
  <c r="U437" i="1"/>
  <c r="V437" i="1"/>
  <c r="W437" i="1"/>
  <c r="X437" i="1"/>
  <c r="Y437" i="1"/>
  <c r="Z437" i="1"/>
  <c r="AA437" i="1"/>
  <c r="AB437" i="1"/>
  <c r="AC437" i="1"/>
  <c r="AD437" i="1"/>
  <c r="AE437" i="1"/>
  <c r="AF437" i="1"/>
  <c r="AM437" i="1"/>
  <c r="AN437" i="1"/>
  <c r="AO437" i="1"/>
  <c r="L438" i="1"/>
  <c r="M438" i="1"/>
  <c r="N438" i="1"/>
  <c r="O438" i="1"/>
  <c r="P438" i="1"/>
  <c r="Q438" i="1"/>
  <c r="R438" i="1"/>
  <c r="S438" i="1"/>
  <c r="T438" i="1"/>
  <c r="U438" i="1"/>
  <c r="V438" i="1"/>
  <c r="W438" i="1"/>
  <c r="X438" i="1"/>
  <c r="Y438" i="1"/>
  <c r="Z438" i="1"/>
  <c r="AA438" i="1"/>
  <c r="AB438" i="1"/>
  <c r="AC438" i="1"/>
  <c r="AD438" i="1"/>
  <c r="AE438" i="1"/>
  <c r="AF438" i="1"/>
  <c r="AM438" i="1"/>
  <c r="AN438" i="1"/>
  <c r="AO438" i="1"/>
  <c r="L439" i="1"/>
  <c r="M439" i="1"/>
  <c r="N439" i="1"/>
  <c r="O439" i="1"/>
  <c r="P439" i="1"/>
  <c r="Q439" i="1"/>
  <c r="R439" i="1"/>
  <c r="S439" i="1"/>
  <c r="T439" i="1"/>
  <c r="U439" i="1"/>
  <c r="V439" i="1"/>
  <c r="W439" i="1"/>
  <c r="X439" i="1"/>
  <c r="Y439" i="1"/>
  <c r="Z439" i="1"/>
  <c r="AA439" i="1"/>
  <c r="AB439" i="1"/>
  <c r="AC439" i="1"/>
  <c r="AD439" i="1"/>
  <c r="AE439" i="1"/>
  <c r="AF439" i="1"/>
  <c r="AM439" i="1"/>
  <c r="AN439" i="1"/>
  <c r="AO439" i="1"/>
  <c r="L440" i="1"/>
  <c r="M440" i="1"/>
  <c r="N440" i="1"/>
  <c r="O440" i="1"/>
  <c r="P440" i="1"/>
  <c r="Q440" i="1"/>
  <c r="R440" i="1"/>
  <c r="S440" i="1"/>
  <c r="T440" i="1"/>
  <c r="U440" i="1"/>
  <c r="V440" i="1"/>
  <c r="W440" i="1"/>
  <c r="X440" i="1"/>
  <c r="Y440" i="1"/>
  <c r="Z440" i="1"/>
  <c r="AA440" i="1"/>
  <c r="AB440" i="1"/>
  <c r="AC440" i="1"/>
  <c r="AD440" i="1"/>
  <c r="AE440" i="1"/>
  <c r="AF440" i="1"/>
  <c r="AM440" i="1"/>
  <c r="AN440" i="1"/>
  <c r="AO440" i="1"/>
  <c r="L441" i="1"/>
  <c r="M441" i="1"/>
  <c r="N441" i="1"/>
  <c r="O441" i="1"/>
  <c r="P441" i="1"/>
  <c r="Q441" i="1"/>
  <c r="R441" i="1"/>
  <c r="S441" i="1"/>
  <c r="T441" i="1"/>
  <c r="U441" i="1"/>
  <c r="V441" i="1"/>
  <c r="W441" i="1"/>
  <c r="X441" i="1"/>
  <c r="Y441" i="1"/>
  <c r="Z441" i="1"/>
  <c r="AA441" i="1"/>
  <c r="AB441" i="1"/>
  <c r="AC441" i="1"/>
  <c r="AD441" i="1"/>
  <c r="AE441" i="1"/>
  <c r="AF441" i="1"/>
  <c r="AM441" i="1"/>
  <c r="AN441" i="1"/>
  <c r="AO441" i="1"/>
  <c r="L442" i="1"/>
  <c r="M442" i="1"/>
  <c r="N442" i="1"/>
  <c r="O442" i="1"/>
  <c r="P442" i="1"/>
  <c r="Q442" i="1"/>
  <c r="R442" i="1"/>
  <c r="S442" i="1"/>
  <c r="T442" i="1"/>
  <c r="U442" i="1"/>
  <c r="V442" i="1"/>
  <c r="W442" i="1"/>
  <c r="X442" i="1"/>
  <c r="Y442" i="1"/>
  <c r="Z442" i="1"/>
  <c r="AA442" i="1"/>
  <c r="AB442" i="1"/>
  <c r="AC442" i="1"/>
  <c r="AD442" i="1"/>
  <c r="AE442" i="1"/>
  <c r="AF442" i="1"/>
  <c r="AM442" i="1"/>
  <c r="AN442" i="1"/>
  <c r="AO442" i="1"/>
  <c r="L443" i="1"/>
  <c r="M443" i="1"/>
  <c r="N443" i="1"/>
  <c r="O443" i="1"/>
  <c r="P443" i="1"/>
  <c r="Q443" i="1"/>
  <c r="R443" i="1"/>
  <c r="S443" i="1"/>
  <c r="T443" i="1"/>
  <c r="U443" i="1"/>
  <c r="V443" i="1"/>
  <c r="W443" i="1"/>
  <c r="X443" i="1"/>
  <c r="Y443" i="1"/>
  <c r="Z443" i="1"/>
  <c r="AA443" i="1"/>
  <c r="AB443" i="1"/>
  <c r="AC443" i="1"/>
  <c r="AD443" i="1"/>
  <c r="AE443" i="1"/>
  <c r="AF443" i="1"/>
  <c r="AM443" i="1"/>
  <c r="AN443" i="1"/>
  <c r="AO443" i="1"/>
  <c r="L444" i="1"/>
  <c r="M444" i="1"/>
  <c r="N444" i="1"/>
  <c r="O444" i="1"/>
  <c r="P444" i="1"/>
  <c r="Q444" i="1"/>
  <c r="R444" i="1"/>
  <c r="S444" i="1"/>
  <c r="T444" i="1"/>
  <c r="U444" i="1"/>
  <c r="V444" i="1"/>
  <c r="W444" i="1"/>
  <c r="X444" i="1"/>
  <c r="Y444" i="1"/>
  <c r="Z444" i="1"/>
  <c r="AA444" i="1"/>
  <c r="AB444" i="1"/>
  <c r="AC444" i="1"/>
  <c r="AD444" i="1"/>
  <c r="AE444" i="1"/>
  <c r="AF444" i="1"/>
  <c r="AM444" i="1"/>
  <c r="AN444" i="1"/>
  <c r="AO444" i="1"/>
  <c r="L445" i="1"/>
  <c r="M445" i="1"/>
  <c r="N445" i="1"/>
  <c r="O445" i="1"/>
  <c r="P445" i="1"/>
  <c r="Q445" i="1"/>
  <c r="R445" i="1"/>
  <c r="S445" i="1"/>
  <c r="T445" i="1"/>
  <c r="U445" i="1"/>
  <c r="V445" i="1"/>
  <c r="W445" i="1"/>
  <c r="X445" i="1"/>
  <c r="Y445" i="1"/>
  <c r="Z445" i="1"/>
  <c r="AA445" i="1"/>
  <c r="AB445" i="1"/>
  <c r="AC445" i="1"/>
  <c r="AD445" i="1"/>
  <c r="AE445" i="1"/>
  <c r="AF445" i="1"/>
  <c r="AM445" i="1"/>
  <c r="AN445" i="1"/>
  <c r="AO445" i="1"/>
  <c r="L446" i="1"/>
  <c r="M446" i="1"/>
  <c r="N446" i="1"/>
  <c r="O446" i="1"/>
  <c r="P446" i="1"/>
  <c r="Q446" i="1"/>
  <c r="R446" i="1"/>
  <c r="S446" i="1"/>
  <c r="T446" i="1"/>
  <c r="U446" i="1"/>
  <c r="V446" i="1"/>
  <c r="W446" i="1"/>
  <c r="X446" i="1"/>
  <c r="Y446" i="1"/>
  <c r="Z446" i="1"/>
  <c r="AA446" i="1"/>
  <c r="AB446" i="1"/>
  <c r="AC446" i="1"/>
  <c r="AD446" i="1"/>
  <c r="AE446" i="1"/>
  <c r="AF446" i="1"/>
  <c r="AM446" i="1"/>
  <c r="AN446" i="1"/>
  <c r="AO446" i="1"/>
  <c r="L447" i="1"/>
  <c r="M447" i="1"/>
  <c r="N447" i="1"/>
  <c r="O447" i="1"/>
  <c r="P447" i="1"/>
  <c r="Q447" i="1"/>
  <c r="R447" i="1"/>
  <c r="S447" i="1"/>
  <c r="T447" i="1"/>
  <c r="U447" i="1"/>
  <c r="V447" i="1"/>
  <c r="W447" i="1"/>
  <c r="X447" i="1"/>
  <c r="Y447" i="1"/>
  <c r="Z447" i="1"/>
  <c r="AA447" i="1"/>
  <c r="AB447" i="1"/>
  <c r="AC447" i="1"/>
  <c r="AD447" i="1"/>
  <c r="AE447" i="1"/>
  <c r="AF447" i="1"/>
  <c r="AM447" i="1"/>
  <c r="AN447" i="1"/>
  <c r="AO447" i="1"/>
  <c r="L448" i="1"/>
  <c r="M448" i="1"/>
  <c r="N448" i="1"/>
  <c r="O448" i="1"/>
  <c r="P448" i="1"/>
  <c r="Q448" i="1"/>
  <c r="R448" i="1"/>
  <c r="S448" i="1"/>
  <c r="T448" i="1"/>
  <c r="U448" i="1"/>
  <c r="V448" i="1"/>
  <c r="W448" i="1"/>
  <c r="X448" i="1"/>
  <c r="Y448" i="1"/>
  <c r="Z448" i="1"/>
  <c r="AA448" i="1"/>
  <c r="AB448" i="1"/>
  <c r="AC448" i="1"/>
  <c r="AD448" i="1"/>
  <c r="AE448" i="1"/>
  <c r="AF448" i="1"/>
  <c r="AM448" i="1"/>
  <c r="AN448" i="1"/>
  <c r="AO448" i="1"/>
  <c r="L449" i="1"/>
  <c r="M449" i="1"/>
  <c r="N449" i="1"/>
  <c r="O449" i="1"/>
  <c r="P449" i="1"/>
  <c r="Q449" i="1"/>
  <c r="R449" i="1"/>
  <c r="S449" i="1"/>
  <c r="T449" i="1"/>
  <c r="U449" i="1"/>
  <c r="V449" i="1"/>
  <c r="W449" i="1"/>
  <c r="X449" i="1"/>
  <c r="Y449" i="1"/>
  <c r="Z449" i="1"/>
  <c r="AA449" i="1"/>
  <c r="AB449" i="1"/>
  <c r="AC449" i="1"/>
  <c r="AD449" i="1"/>
  <c r="AE449" i="1"/>
  <c r="AF449" i="1"/>
  <c r="AM449" i="1"/>
  <c r="AN449" i="1"/>
  <c r="AO449" i="1"/>
  <c r="L450" i="1"/>
  <c r="M450" i="1"/>
  <c r="N450" i="1"/>
  <c r="O450" i="1"/>
  <c r="P450" i="1"/>
  <c r="Q450" i="1"/>
  <c r="R450" i="1"/>
  <c r="S450" i="1"/>
  <c r="T450" i="1"/>
  <c r="U450" i="1"/>
  <c r="V450" i="1"/>
  <c r="W450" i="1"/>
  <c r="X450" i="1"/>
  <c r="Y450" i="1"/>
  <c r="Z450" i="1"/>
  <c r="AA450" i="1"/>
  <c r="AB450" i="1"/>
  <c r="AC450" i="1"/>
  <c r="AD450" i="1"/>
  <c r="AE450" i="1"/>
  <c r="AF450" i="1"/>
  <c r="AM450" i="1"/>
  <c r="AN450" i="1"/>
  <c r="AO450" i="1"/>
  <c r="L451" i="1"/>
  <c r="M451" i="1"/>
  <c r="N451" i="1"/>
  <c r="O451" i="1"/>
  <c r="P451" i="1"/>
  <c r="Q451" i="1"/>
  <c r="R451" i="1"/>
  <c r="S451" i="1"/>
  <c r="T451" i="1"/>
  <c r="U451" i="1"/>
  <c r="V451" i="1"/>
  <c r="W451" i="1"/>
  <c r="X451" i="1"/>
  <c r="Y451" i="1"/>
  <c r="Z451" i="1"/>
  <c r="AA451" i="1"/>
  <c r="AB451" i="1"/>
  <c r="AC451" i="1"/>
  <c r="AD451" i="1"/>
  <c r="AE451" i="1"/>
  <c r="AF451" i="1"/>
  <c r="AM451" i="1"/>
  <c r="AN451" i="1"/>
  <c r="AO451" i="1"/>
  <c r="L452" i="1"/>
  <c r="M452" i="1"/>
  <c r="N452" i="1"/>
  <c r="O452" i="1"/>
  <c r="P452" i="1"/>
  <c r="Q452" i="1"/>
  <c r="R452" i="1"/>
  <c r="S452" i="1"/>
  <c r="T452" i="1"/>
  <c r="U452" i="1"/>
  <c r="V452" i="1"/>
  <c r="W452" i="1"/>
  <c r="X452" i="1"/>
  <c r="Y452" i="1"/>
  <c r="Z452" i="1"/>
  <c r="AA452" i="1"/>
  <c r="AB452" i="1"/>
  <c r="AC452" i="1"/>
  <c r="AD452" i="1"/>
  <c r="AE452" i="1"/>
  <c r="AF452" i="1"/>
  <c r="AM452" i="1"/>
  <c r="AN452" i="1"/>
  <c r="AO452" i="1"/>
  <c r="L453" i="1"/>
  <c r="M453" i="1"/>
  <c r="N453" i="1"/>
  <c r="O453" i="1"/>
  <c r="P453" i="1"/>
  <c r="Q453" i="1"/>
  <c r="R453" i="1"/>
  <c r="S453" i="1"/>
  <c r="T453" i="1"/>
  <c r="U453" i="1"/>
  <c r="V453" i="1"/>
  <c r="W453" i="1"/>
  <c r="X453" i="1"/>
  <c r="Y453" i="1"/>
  <c r="Z453" i="1"/>
  <c r="AA453" i="1"/>
  <c r="AB453" i="1"/>
  <c r="AC453" i="1"/>
  <c r="AD453" i="1"/>
  <c r="AE453" i="1"/>
  <c r="AF453" i="1"/>
  <c r="AM453" i="1"/>
  <c r="AN453" i="1"/>
  <c r="AO453" i="1"/>
  <c r="L454" i="1"/>
  <c r="M454" i="1"/>
  <c r="N454" i="1"/>
  <c r="O454" i="1"/>
  <c r="P454" i="1"/>
  <c r="Q454" i="1"/>
  <c r="R454" i="1"/>
  <c r="S454" i="1"/>
  <c r="T454" i="1"/>
  <c r="U454" i="1"/>
  <c r="V454" i="1"/>
  <c r="W454" i="1"/>
  <c r="X454" i="1"/>
  <c r="Y454" i="1"/>
  <c r="Z454" i="1"/>
  <c r="AA454" i="1"/>
  <c r="AB454" i="1"/>
  <c r="AC454" i="1"/>
  <c r="AD454" i="1"/>
  <c r="AE454" i="1"/>
  <c r="AF454" i="1"/>
  <c r="AM454" i="1"/>
  <c r="AN454" i="1"/>
  <c r="AO454" i="1"/>
  <c r="L455" i="1"/>
  <c r="M455" i="1"/>
  <c r="N455" i="1"/>
  <c r="O455" i="1"/>
  <c r="P455" i="1"/>
  <c r="Q455" i="1"/>
  <c r="R455" i="1"/>
  <c r="S455" i="1"/>
  <c r="T455" i="1"/>
  <c r="U455" i="1"/>
  <c r="V455" i="1"/>
  <c r="W455" i="1"/>
  <c r="X455" i="1"/>
  <c r="Y455" i="1"/>
  <c r="Z455" i="1"/>
  <c r="AA455" i="1"/>
  <c r="AB455" i="1"/>
  <c r="AC455" i="1"/>
  <c r="AD455" i="1"/>
  <c r="AE455" i="1"/>
  <c r="AF455" i="1"/>
  <c r="AM455" i="1"/>
  <c r="AN455" i="1"/>
  <c r="AO455" i="1"/>
  <c r="L456" i="1"/>
  <c r="M456" i="1"/>
  <c r="N456" i="1"/>
  <c r="O456" i="1"/>
  <c r="P456" i="1"/>
  <c r="Q456" i="1"/>
  <c r="R456" i="1"/>
  <c r="S456" i="1"/>
  <c r="T456" i="1"/>
  <c r="U456" i="1"/>
  <c r="V456" i="1"/>
  <c r="W456" i="1"/>
  <c r="X456" i="1"/>
  <c r="Y456" i="1"/>
  <c r="Z456" i="1"/>
  <c r="AA456" i="1"/>
  <c r="AB456" i="1"/>
  <c r="AC456" i="1"/>
  <c r="AD456" i="1"/>
  <c r="AE456" i="1"/>
  <c r="AF456" i="1"/>
  <c r="AM456" i="1"/>
  <c r="AN456" i="1"/>
  <c r="AO456" i="1"/>
  <c r="L457" i="1"/>
  <c r="M457" i="1"/>
  <c r="N457" i="1"/>
  <c r="O457" i="1"/>
  <c r="P457" i="1"/>
  <c r="Q457" i="1"/>
  <c r="R457" i="1"/>
  <c r="S457" i="1"/>
  <c r="T457" i="1"/>
  <c r="U457" i="1"/>
  <c r="V457" i="1"/>
  <c r="W457" i="1"/>
  <c r="X457" i="1"/>
  <c r="Y457" i="1"/>
  <c r="Z457" i="1"/>
  <c r="AA457" i="1"/>
  <c r="AB457" i="1"/>
  <c r="AC457" i="1"/>
  <c r="AD457" i="1"/>
  <c r="AE457" i="1"/>
  <c r="AF457" i="1"/>
  <c r="AM457" i="1"/>
  <c r="AN457" i="1"/>
  <c r="AO457" i="1"/>
  <c r="L458" i="1"/>
  <c r="M458" i="1"/>
  <c r="N458" i="1"/>
  <c r="O458" i="1"/>
  <c r="P458" i="1"/>
  <c r="Q458" i="1"/>
  <c r="R458" i="1"/>
  <c r="S458" i="1"/>
  <c r="T458" i="1"/>
  <c r="U458" i="1"/>
  <c r="V458" i="1"/>
  <c r="W458" i="1"/>
  <c r="X458" i="1"/>
  <c r="Y458" i="1"/>
  <c r="Z458" i="1"/>
  <c r="AA458" i="1"/>
  <c r="AB458" i="1"/>
  <c r="AC458" i="1"/>
  <c r="AD458" i="1"/>
  <c r="AE458" i="1"/>
  <c r="AF458" i="1"/>
  <c r="AM458" i="1"/>
  <c r="AN458" i="1"/>
  <c r="AO458" i="1"/>
  <c r="L459" i="1"/>
  <c r="M459" i="1"/>
  <c r="N459" i="1"/>
  <c r="O459" i="1"/>
  <c r="P459" i="1"/>
  <c r="Q459" i="1"/>
  <c r="R459" i="1"/>
  <c r="S459" i="1"/>
  <c r="T459" i="1"/>
  <c r="U459" i="1"/>
  <c r="V459" i="1"/>
  <c r="W459" i="1"/>
  <c r="X459" i="1"/>
  <c r="Y459" i="1"/>
  <c r="Z459" i="1"/>
  <c r="AA459" i="1"/>
  <c r="AB459" i="1"/>
  <c r="AC459" i="1"/>
  <c r="AD459" i="1"/>
  <c r="AE459" i="1"/>
  <c r="AF459" i="1"/>
  <c r="AM459" i="1"/>
  <c r="AN459" i="1"/>
  <c r="AO459" i="1"/>
  <c r="L460" i="1"/>
  <c r="M460" i="1"/>
  <c r="N460" i="1"/>
  <c r="O460" i="1"/>
  <c r="P460" i="1"/>
  <c r="Q460" i="1"/>
  <c r="R460" i="1"/>
  <c r="S460" i="1"/>
  <c r="T460" i="1"/>
  <c r="U460" i="1"/>
  <c r="V460" i="1"/>
  <c r="W460" i="1"/>
  <c r="X460" i="1"/>
  <c r="Y460" i="1"/>
  <c r="Z460" i="1"/>
  <c r="AA460" i="1"/>
  <c r="AB460" i="1"/>
  <c r="AC460" i="1"/>
  <c r="AD460" i="1"/>
  <c r="AE460" i="1"/>
  <c r="AF460" i="1"/>
  <c r="AM460" i="1"/>
  <c r="AN460" i="1"/>
  <c r="AO460" i="1"/>
  <c r="L461" i="1"/>
  <c r="M461" i="1"/>
  <c r="N461" i="1"/>
  <c r="O461" i="1"/>
  <c r="P461" i="1"/>
  <c r="Q461" i="1"/>
  <c r="R461" i="1"/>
  <c r="S461" i="1"/>
  <c r="T461" i="1"/>
  <c r="U461" i="1"/>
  <c r="V461" i="1"/>
  <c r="W461" i="1"/>
  <c r="X461" i="1"/>
  <c r="Y461" i="1"/>
  <c r="Z461" i="1"/>
  <c r="AA461" i="1"/>
  <c r="AB461" i="1"/>
  <c r="AC461" i="1"/>
  <c r="AD461" i="1"/>
  <c r="AE461" i="1"/>
  <c r="AF461" i="1"/>
  <c r="AM461" i="1"/>
  <c r="AN461" i="1"/>
  <c r="AO461" i="1"/>
  <c r="L462" i="1"/>
  <c r="M462" i="1"/>
  <c r="N462" i="1"/>
  <c r="O462" i="1"/>
  <c r="P462" i="1"/>
  <c r="Q462" i="1"/>
  <c r="R462" i="1"/>
  <c r="S462" i="1"/>
  <c r="T462" i="1"/>
  <c r="U462" i="1"/>
  <c r="V462" i="1"/>
  <c r="W462" i="1"/>
  <c r="X462" i="1"/>
  <c r="Y462" i="1"/>
  <c r="Z462" i="1"/>
  <c r="AA462" i="1"/>
  <c r="AB462" i="1"/>
  <c r="AC462" i="1"/>
  <c r="AD462" i="1"/>
  <c r="AE462" i="1"/>
  <c r="AF462" i="1"/>
  <c r="AM462" i="1"/>
  <c r="AN462" i="1"/>
  <c r="AO462" i="1"/>
  <c r="L463" i="1"/>
  <c r="M463" i="1"/>
  <c r="N463" i="1"/>
  <c r="O463" i="1"/>
  <c r="P463" i="1"/>
  <c r="Q463" i="1"/>
  <c r="R463" i="1"/>
  <c r="S463" i="1"/>
  <c r="T463" i="1"/>
  <c r="U463" i="1"/>
  <c r="V463" i="1"/>
  <c r="W463" i="1"/>
  <c r="X463" i="1"/>
  <c r="Y463" i="1"/>
  <c r="Z463" i="1"/>
  <c r="AA463" i="1"/>
  <c r="AB463" i="1"/>
  <c r="AC463" i="1"/>
  <c r="AD463" i="1"/>
  <c r="AE463" i="1"/>
  <c r="AF463" i="1"/>
  <c r="AM463" i="1"/>
  <c r="AN463" i="1"/>
  <c r="AO463" i="1"/>
  <c r="L464" i="1"/>
  <c r="M464" i="1"/>
  <c r="N464" i="1"/>
  <c r="O464" i="1"/>
  <c r="P464" i="1"/>
  <c r="Q464" i="1"/>
  <c r="R464" i="1"/>
  <c r="S464" i="1"/>
  <c r="T464" i="1"/>
  <c r="U464" i="1"/>
  <c r="V464" i="1"/>
  <c r="W464" i="1"/>
  <c r="X464" i="1"/>
  <c r="Y464" i="1"/>
  <c r="Z464" i="1"/>
  <c r="AA464" i="1"/>
  <c r="AB464" i="1"/>
  <c r="AC464" i="1"/>
  <c r="AD464" i="1"/>
  <c r="AE464" i="1"/>
  <c r="AF464" i="1"/>
  <c r="AM464" i="1"/>
  <c r="AN464" i="1"/>
  <c r="AO464" i="1"/>
  <c r="L465" i="1"/>
  <c r="M465" i="1"/>
  <c r="N465" i="1"/>
  <c r="O465" i="1"/>
  <c r="P465" i="1"/>
  <c r="Q465" i="1"/>
  <c r="R465" i="1"/>
  <c r="S465" i="1"/>
  <c r="T465" i="1"/>
  <c r="U465" i="1"/>
  <c r="V465" i="1"/>
  <c r="W465" i="1"/>
  <c r="X465" i="1"/>
  <c r="Y465" i="1"/>
  <c r="Z465" i="1"/>
  <c r="AA465" i="1"/>
  <c r="AB465" i="1"/>
  <c r="AC465" i="1"/>
  <c r="AD465" i="1"/>
  <c r="AE465" i="1"/>
  <c r="AF465" i="1"/>
  <c r="AM465" i="1"/>
  <c r="AN465" i="1"/>
  <c r="AO465" i="1"/>
  <c r="L466" i="1"/>
  <c r="M466" i="1"/>
  <c r="N466" i="1"/>
  <c r="O466" i="1"/>
  <c r="P466" i="1"/>
  <c r="Q466" i="1"/>
  <c r="R466" i="1"/>
  <c r="S466" i="1"/>
  <c r="T466" i="1"/>
  <c r="U466" i="1"/>
  <c r="V466" i="1"/>
  <c r="W466" i="1"/>
  <c r="X466" i="1"/>
  <c r="Y466" i="1"/>
  <c r="Z466" i="1"/>
  <c r="AA466" i="1"/>
  <c r="AB466" i="1"/>
  <c r="AC466" i="1"/>
  <c r="AD466" i="1"/>
  <c r="AE466" i="1"/>
  <c r="AF466" i="1"/>
  <c r="AM466" i="1"/>
  <c r="AN466" i="1"/>
  <c r="AO466" i="1"/>
  <c r="L467" i="1"/>
  <c r="M467" i="1"/>
  <c r="N467" i="1"/>
  <c r="O467" i="1"/>
  <c r="P467" i="1"/>
  <c r="Q467" i="1"/>
  <c r="R467" i="1"/>
  <c r="S467" i="1"/>
  <c r="T467" i="1"/>
  <c r="U467" i="1"/>
  <c r="V467" i="1"/>
  <c r="W467" i="1"/>
  <c r="X467" i="1"/>
  <c r="Y467" i="1"/>
  <c r="Z467" i="1"/>
  <c r="AA467" i="1"/>
  <c r="AB467" i="1"/>
  <c r="AC467" i="1"/>
  <c r="AD467" i="1"/>
  <c r="AE467" i="1"/>
  <c r="AF467" i="1"/>
  <c r="AM467" i="1"/>
  <c r="AN467" i="1"/>
  <c r="AO467" i="1"/>
  <c r="L468" i="1"/>
  <c r="M468" i="1"/>
  <c r="N468" i="1"/>
  <c r="O468" i="1"/>
  <c r="P468" i="1"/>
  <c r="Q468" i="1"/>
  <c r="R468" i="1"/>
  <c r="S468" i="1"/>
  <c r="T468" i="1"/>
  <c r="U468" i="1"/>
  <c r="V468" i="1"/>
  <c r="W468" i="1"/>
  <c r="X468" i="1"/>
  <c r="Y468" i="1"/>
  <c r="Z468" i="1"/>
  <c r="AA468" i="1"/>
  <c r="AB468" i="1"/>
  <c r="AC468" i="1"/>
  <c r="AD468" i="1"/>
  <c r="AE468" i="1"/>
  <c r="AF468" i="1"/>
  <c r="AM468" i="1"/>
  <c r="AN468" i="1"/>
  <c r="AO468" i="1"/>
  <c r="L469" i="1"/>
  <c r="M469" i="1"/>
  <c r="N469" i="1"/>
  <c r="O469" i="1"/>
  <c r="P469" i="1"/>
  <c r="Q469" i="1"/>
  <c r="R469" i="1"/>
  <c r="S469" i="1"/>
  <c r="T469" i="1"/>
  <c r="U469" i="1"/>
  <c r="V469" i="1"/>
  <c r="W469" i="1"/>
  <c r="X469" i="1"/>
  <c r="Y469" i="1"/>
  <c r="Z469" i="1"/>
  <c r="AA469" i="1"/>
  <c r="AB469" i="1"/>
  <c r="AC469" i="1"/>
  <c r="AD469" i="1"/>
  <c r="AE469" i="1"/>
  <c r="AF469" i="1"/>
  <c r="AM469" i="1"/>
  <c r="AN469" i="1"/>
  <c r="AO469" i="1"/>
  <c r="L470" i="1"/>
  <c r="M470" i="1"/>
  <c r="N470" i="1"/>
  <c r="O470" i="1"/>
  <c r="P470" i="1"/>
  <c r="Q470" i="1"/>
  <c r="R470" i="1"/>
  <c r="S470" i="1"/>
  <c r="T470" i="1"/>
  <c r="U470" i="1"/>
  <c r="V470" i="1"/>
  <c r="W470" i="1"/>
  <c r="X470" i="1"/>
  <c r="Y470" i="1"/>
  <c r="Z470" i="1"/>
  <c r="AA470" i="1"/>
  <c r="AB470" i="1"/>
  <c r="AC470" i="1"/>
  <c r="AD470" i="1"/>
  <c r="AE470" i="1"/>
  <c r="AF470" i="1"/>
  <c r="AM470" i="1"/>
  <c r="AN470" i="1"/>
  <c r="AO470" i="1"/>
  <c r="L471" i="1"/>
  <c r="M471" i="1"/>
  <c r="N471" i="1"/>
  <c r="O471" i="1"/>
  <c r="P471" i="1"/>
  <c r="Q471" i="1"/>
  <c r="R471" i="1"/>
  <c r="S471" i="1"/>
  <c r="T471" i="1"/>
  <c r="U471" i="1"/>
  <c r="V471" i="1"/>
  <c r="W471" i="1"/>
  <c r="X471" i="1"/>
  <c r="Y471" i="1"/>
  <c r="Z471" i="1"/>
  <c r="AA471" i="1"/>
  <c r="AB471" i="1"/>
  <c r="AC471" i="1"/>
  <c r="AD471" i="1"/>
  <c r="AE471" i="1"/>
  <c r="AF471" i="1"/>
  <c r="AM471" i="1"/>
  <c r="AN471" i="1"/>
  <c r="AO471" i="1"/>
  <c r="L472" i="1"/>
  <c r="M472" i="1"/>
  <c r="N472" i="1"/>
  <c r="O472" i="1"/>
  <c r="P472" i="1"/>
  <c r="Q472" i="1"/>
  <c r="R472" i="1"/>
  <c r="S472" i="1"/>
  <c r="T472" i="1"/>
  <c r="U472" i="1"/>
  <c r="V472" i="1"/>
  <c r="W472" i="1"/>
  <c r="X472" i="1"/>
  <c r="Y472" i="1"/>
  <c r="Z472" i="1"/>
  <c r="AA472" i="1"/>
  <c r="AB472" i="1"/>
  <c r="AC472" i="1"/>
  <c r="AD472" i="1"/>
  <c r="AE472" i="1"/>
  <c r="AF472" i="1"/>
  <c r="AM472" i="1"/>
  <c r="AN472" i="1"/>
  <c r="AO472" i="1"/>
  <c r="L473" i="1"/>
  <c r="M473" i="1"/>
  <c r="N473" i="1"/>
  <c r="O473" i="1"/>
  <c r="P473" i="1"/>
  <c r="Q473" i="1"/>
  <c r="R473" i="1"/>
  <c r="S473" i="1"/>
  <c r="T473" i="1"/>
  <c r="U473" i="1"/>
  <c r="V473" i="1"/>
  <c r="W473" i="1"/>
  <c r="X473" i="1"/>
  <c r="Y473" i="1"/>
  <c r="Z473" i="1"/>
  <c r="AA473" i="1"/>
  <c r="AB473" i="1"/>
  <c r="AC473" i="1"/>
  <c r="AD473" i="1"/>
  <c r="AE473" i="1"/>
  <c r="AF473" i="1"/>
  <c r="AM473" i="1"/>
  <c r="AN473" i="1"/>
  <c r="AO473" i="1"/>
  <c r="L474" i="1"/>
  <c r="M474" i="1"/>
  <c r="N474" i="1"/>
  <c r="O474" i="1"/>
  <c r="P474" i="1"/>
  <c r="Q474" i="1"/>
  <c r="R474" i="1"/>
  <c r="S474" i="1"/>
  <c r="T474" i="1"/>
  <c r="U474" i="1"/>
  <c r="V474" i="1"/>
  <c r="W474" i="1"/>
  <c r="X474" i="1"/>
  <c r="Y474" i="1"/>
  <c r="Z474" i="1"/>
  <c r="AA474" i="1"/>
  <c r="AB474" i="1"/>
  <c r="AC474" i="1"/>
  <c r="AD474" i="1"/>
  <c r="AE474" i="1"/>
  <c r="AF474" i="1"/>
  <c r="AM474" i="1"/>
  <c r="AN474" i="1"/>
  <c r="AO474" i="1"/>
  <c r="L475" i="1"/>
  <c r="M475" i="1"/>
  <c r="N475" i="1"/>
  <c r="O475" i="1"/>
  <c r="P475" i="1"/>
  <c r="Q475" i="1"/>
  <c r="R475" i="1"/>
  <c r="S475" i="1"/>
  <c r="T475" i="1"/>
  <c r="U475" i="1"/>
  <c r="V475" i="1"/>
  <c r="W475" i="1"/>
  <c r="X475" i="1"/>
  <c r="Y475" i="1"/>
  <c r="Z475" i="1"/>
  <c r="AA475" i="1"/>
  <c r="AB475" i="1"/>
  <c r="AC475" i="1"/>
  <c r="AD475" i="1"/>
  <c r="AE475" i="1"/>
  <c r="AF475" i="1"/>
  <c r="AM475" i="1"/>
  <c r="AN475" i="1"/>
  <c r="AO475" i="1"/>
  <c r="L476" i="1"/>
  <c r="M476" i="1"/>
  <c r="N476" i="1"/>
  <c r="O476" i="1"/>
  <c r="P476" i="1"/>
  <c r="Q476" i="1"/>
  <c r="R476" i="1"/>
  <c r="S476" i="1"/>
  <c r="T476" i="1"/>
  <c r="U476" i="1"/>
  <c r="V476" i="1"/>
  <c r="W476" i="1"/>
  <c r="X476" i="1"/>
  <c r="Y476" i="1"/>
  <c r="Z476" i="1"/>
  <c r="AA476" i="1"/>
  <c r="AB476" i="1"/>
  <c r="AC476" i="1"/>
  <c r="AD476" i="1"/>
  <c r="AE476" i="1"/>
  <c r="AF476" i="1"/>
  <c r="AM476" i="1"/>
  <c r="AN476" i="1"/>
  <c r="AO476" i="1"/>
  <c r="L477" i="1"/>
  <c r="M477" i="1"/>
  <c r="N477" i="1"/>
  <c r="O477" i="1"/>
  <c r="P477" i="1"/>
  <c r="Q477" i="1"/>
  <c r="R477" i="1"/>
  <c r="S477" i="1"/>
  <c r="T477" i="1"/>
  <c r="U477" i="1"/>
  <c r="V477" i="1"/>
  <c r="W477" i="1"/>
  <c r="X477" i="1"/>
  <c r="Y477" i="1"/>
  <c r="Z477" i="1"/>
  <c r="AA477" i="1"/>
  <c r="AB477" i="1"/>
  <c r="AC477" i="1"/>
  <c r="AD477" i="1"/>
  <c r="AE477" i="1"/>
  <c r="AF477" i="1"/>
  <c r="AM477" i="1"/>
  <c r="AN477" i="1"/>
  <c r="AO477" i="1"/>
  <c r="L478" i="1"/>
  <c r="M478" i="1"/>
  <c r="N478" i="1"/>
  <c r="O478" i="1"/>
  <c r="P478" i="1"/>
  <c r="Q478" i="1"/>
  <c r="R478" i="1"/>
  <c r="S478" i="1"/>
  <c r="T478" i="1"/>
  <c r="U478" i="1"/>
  <c r="V478" i="1"/>
  <c r="W478" i="1"/>
  <c r="X478" i="1"/>
  <c r="Y478" i="1"/>
  <c r="Z478" i="1"/>
  <c r="AA478" i="1"/>
  <c r="AB478" i="1"/>
  <c r="AC478" i="1"/>
  <c r="AD478" i="1"/>
  <c r="AE478" i="1"/>
  <c r="AF478" i="1"/>
  <c r="AM478" i="1"/>
  <c r="AN478" i="1"/>
  <c r="AO478" i="1"/>
  <c r="L479" i="1"/>
  <c r="M479" i="1"/>
  <c r="N479" i="1"/>
  <c r="O479" i="1"/>
  <c r="P479" i="1"/>
  <c r="Q479" i="1"/>
  <c r="R479" i="1"/>
  <c r="S479" i="1"/>
  <c r="T479" i="1"/>
  <c r="U479" i="1"/>
  <c r="V479" i="1"/>
  <c r="W479" i="1"/>
  <c r="X479" i="1"/>
  <c r="Y479" i="1"/>
  <c r="Z479" i="1"/>
  <c r="AA479" i="1"/>
  <c r="AB479" i="1"/>
  <c r="AC479" i="1"/>
  <c r="AD479" i="1"/>
  <c r="AE479" i="1"/>
  <c r="AF479" i="1"/>
  <c r="AM479" i="1"/>
  <c r="AN479" i="1"/>
  <c r="AO479" i="1"/>
  <c r="L480" i="1"/>
  <c r="M480" i="1"/>
  <c r="N480" i="1"/>
  <c r="O480" i="1"/>
  <c r="P480" i="1"/>
  <c r="Q480" i="1"/>
  <c r="R480" i="1"/>
  <c r="S480" i="1"/>
  <c r="T480" i="1"/>
  <c r="U480" i="1"/>
  <c r="V480" i="1"/>
  <c r="W480" i="1"/>
  <c r="X480" i="1"/>
  <c r="Y480" i="1"/>
  <c r="Z480" i="1"/>
  <c r="AA480" i="1"/>
  <c r="AB480" i="1"/>
  <c r="AC480" i="1"/>
  <c r="AD480" i="1"/>
  <c r="AE480" i="1"/>
  <c r="AF480" i="1"/>
  <c r="AM480" i="1"/>
  <c r="AN480" i="1"/>
  <c r="AO480" i="1"/>
  <c r="L481" i="1"/>
  <c r="M481" i="1"/>
  <c r="N481" i="1"/>
  <c r="O481" i="1"/>
  <c r="P481" i="1"/>
  <c r="Q481" i="1"/>
  <c r="R481" i="1"/>
  <c r="S481" i="1"/>
  <c r="T481" i="1"/>
  <c r="U481" i="1"/>
  <c r="V481" i="1"/>
  <c r="W481" i="1"/>
  <c r="X481" i="1"/>
  <c r="Y481" i="1"/>
  <c r="Z481" i="1"/>
  <c r="AA481" i="1"/>
  <c r="AB481" i="1"/>
  <c r="AC481" i="1"/>
  <c r="AD481" i="1"/>
  <c r="AE481" i="1"/>
  <c r="AF481" i="1"/>
  <c r="AM481" i="1"/>
  <c r="AN481" i="1"/>
  <c r="AO481" i="1"/>
  <c r="L482" i="1"/>
  <c r="M482" i="1"/>
  <c r="N482" i="1"/>
  <c r="O482" i="1"/>
  <c r="P482" i="1"/>
  <c r="Q482" i="1"/>
  <c r="R482" i="1"/>
  <c r="S482" i="1"/>
  <c r="T482" i="1"/>
  <c r="U482" i="1"/>
  <c r="V482" i="1"/>
  <c r="W482" i="1"/>
  <c r="X482" i="1"/>
  <c r="Y482" i="1"/>
  <c r="Z482" i="1"/>
  <c r="AA482" i="1"/>
  <c r="AB482" i="1"/>
  <c r="AC482" i="1"/>
  <c r="AD482" i="1"/>
  <c r="AE482" i="1"/>
  <c r="AF482" i="1"/>
  <c r="AM482" i="1"/>
  <c r="AN482" i="1"/>
  <c r="AO482" i="1"/>
  <c r="L483" i="1"/>
  <c r="M483" i="1"/>
  <c r="N483" i="1"/>
  <c r="O483" i="1"/>
  <c r="P483" i="1"/>
  <c r="Q483" i="1"/>
  <c r="R483" i="1"/>
  <c r="S483" i="1"/>
  <c r="T483" i="1"/>
  <c r="U483" i="1"/>
  <c r="V483" i="1"/>
  <c r="W483" i="1"/>
  <c r="X483" i="1"/>
  <c r="Y483" i="1"/>
  <c r="Z483" i="1"/>
  <c r="AA483" i="1"/>
  <c r="AB483" i="1"/>
  <c r="AC483" i="1"/>
  <c r="AD483" i="1"/>
  <c r="AE483" i="1"/>
  <c r="AF483" i="1"/>
  <c r="AM483" i="1"/>
  <c r="AN483" i="1"/>
  <c r="AO483" i="1"/>
  <c r="L484" i="1"/>
  <c r="M484" i="1"/>
  <c r="N484" i="1"/>
  <c r="O484" i="1"/>
  <c r="P484" i="1"/>
  <c r="Q484" i="1"/>
  <c r="R484" i="1"/>
  <c r="S484" i="1"/>
  <c r="T484" i="1"/>
  <c r="U484" i="1"/>
  <c r="V484" i="1"/>
  <c r="W484" i="1"/>
  <c r="X484" i="1"/>
  <c r="Y484" i="1"/>
  <c r="Z484" i="1"/>
  <c r="AA484" i="1"/>
  <c r="AB484" i="1"/>
  <c r="AC484" i="1"/>
  <c r="AD484" i="1"/>
  <c r="AE484" i="1"/>
  <c r="AF484" i="1"/>
  <c r="AM484" i="1"/>
  <c r="AN484" i="1"/>
  <c r="AO484" i="1"/>
  <c r="L485" i="1"/>
  <c r="M485" i="1"/>
  <c r="N485" i="1"/>
  <c r="O485" i="1"/>
  <c r="P485" i="1"/>
  <c r="Q485" i="1"/>
  <c r="R485" i="1"/>
  <c r="S485" i="1"/>
  <c r="T485" i="1"/>
  <c r="U485" i="1"/>
  <c r="V485" i="1"/>
  <c r="W485" i="1"/>
  <c r="X485" i="1"/>
  <c r="Y485" i="1"/>
  <c r="Z485" i="1"/>
  <c r="AA485" i="1"/>
  <c r="AB485" i="1"/>
  <c r="AC485" i="1"/>
  <c r="AD485" i="1"/>
  <c r="AE485" i="1"/>
  <c r="AF485" i="1"/>
  <c r="AM485" i="1"/>
  <c r="AN485" i="1"/>
  <c r="AO485" i="1"/>
  <c r="L486" i="1"/>
  <c r="M486" i="1"/>
  <c r="N486" i="1"/>
  <c r="O486" i="1"/>
  <c r="P486" i="1"/>
  <c r="Q486" i="1"/>
  <c r="R486" i="1"/>
  <c r="S486" i="1"/>
  <c r="T486" i="1"/>
  <c r="U486" i="1"/>
  <c r="V486" i="1"/>
  <c r="W486" i="1"/>
  <c r="X486" i="1"/>
  <c r="Y486" i="1"/>
  <c r="Z486" i="1"/>
  <c r="AA486" i="1"/>
  <c r="AB486" i="1"/>
  <c r="AC486" i="1"/>
  <c r="AD486" i="1"/>
  <c r="AE486" i="1"/>
  <c r="AF486" i="1"/>
  <c r="AM486" i="1"/>
  <c r="AN486" i="1"/>
  <c r="AO486" i="1"/>
  <c r="L487" i="1"/>
  <c r="M487" i="1"/>
  <c r="N487" i="1"/>
  <c r="O487" i="1"/>
  <c r="P487" i="1"/>
  <c r="Q487" i="1"/>
  <c r="R487" i="1"/>
  <c r="S487" i="1"/>
  <c r="T487" i="1"/>
  <c r="U487" i="1"/>
  <c r="V487" i="1"/>
  <c r="W487" i="1"/>
  <c r="X487" i="1"/>
  <c r="Y487" i="1"/>
  <c r="Z487" i="1"/>
  <c r="AA487" i="1"/>
  <c r="AB487" i="1"/>
  <c r="AC487" i="1"/>
  <c r="AD487" i="1"/>
  <c r="AE487" i="1"/>
  <c r="AF487" i="1"/>
  <c r="AM487" i="1"/>
  <c r="AN487" i="1"/>
  <c r="AO487" i="1"/>
  <c r="L488" i="1"/>
  <c r="M488" i="1"/>
  <c r="N488" i="1"/>
  <c r="O488" i="1"/>
  <c r="P488" i="1"/>
  <c r="Q488" i="1"/>
  <c r="R488" i="1"/>
  <c r="S488" i="1"/>
  <c r="T488" i="1"/>
  <c r="U488" i="1"/>
  <c r="V488" i="1"/>
  <c r="W488" i="1"/>
  <c r="X488" i="1"/>
  <c r="Y488" i="1"/>
  <c r="Z488" i="1"/>
  <c r="AA488" i="1"/>
  <c r="AB488" i="1"/>
  <c r="AC488" i="1"/>
  <c r="AD488" i="1"/>
  <c r="AE488" i="1"/>
  <c r="AF488" i="1"/>
  <c r="AM488" i="1"/>
  <c r="AN488" i="1"/>
  <c r="AO488" i="1"/>
  <c r="L489" i="1"/>
  <c r="M489" i="1"/>
  <c r="N489" i="1"/>
  <c r="O489" i="1"/>
  <c r="P489" i="1"/>
  <c r="Q489" i="1"/>
  <c r="R489" i="1"/>
  <c r="S489" i="1"/>
  <c r="T489" i="1"/>
  <c r="U489" i="1"/>
  <c r="V489" i="1"/>
  <c r="W489" i="1"/>
  <c r="X489" i="1"/>
  <c r="Y489" i="1"/>
  <c r="Z489" i="1"/>
  <c r="AA489" i="1"/>
  <c r="AB489" i="1"/>
  <c r="AC489" i="1"/>
  <c r="AD489" i="1"/>
  <c r="AE489" i="1"/>
  <c r="AF489" i="1"/>
  <c r="AM489" i="1"/>
  <c r="AN489" i="1"/>
  <c r="AO489" i="1"/>
  <c r="L490" i="1"/>
  <c r="M490" i="1"/>
  <c r="N490" i="1"/>
  <c r="O490" i="1"/>
  <c r="P490" i="1"/>
  <c r="Q490" i="1"/>
  <c r="R490" i="1"/>
  <c r="S490" i="1"/>
  <c r="T490" i="1"/>
  <c r="U490" i="1"/>
  <c r="V490" i="1"/>
  <c r="W490" i="1"/>
  <c r="X490" i="1"/>
  <c r="Y490" i="1"/>
  <c r="Z490" i="1"/>
  <c r="AA490" i="1"/>
  <c r="AB490" i="1"/>
  <c r="AC490" i="1"/>
  <c r="AD490" i="1"/>
  <c r="AE490" i="1"/>
  <c r="AF490" i="1"/>
  <c r="AM490" i="1"/>
  <c r="AN490" i="1"/>
  <c r="AO490" i="1"/>
  <c r="L491" i="1"/>
  <c r="M491" i="1"/>
  <c r="N491" i="1"/>
  <c r="O491" i="1"/>
  <c r="P491" i="1"/>
  <c r="Q491" i="1"/>
  <c r="R491" i="1"/>
  <c r="S491" i="1"/>
  <c r="T491" i="1"/>
  <c r="U491" i="1"/>
  <c r="V491" i="1"/>
  <c r="W491" i="1"/>
  <c r="X491" i="1"/>
  <c r="Y491" i="1"/>
  <c r="Z491" i="1"/>
  <c r="AA491" i="1"/>
  <c r="AB491" i="1"/>
  <c r="AC491" i="1"/>
  <c r="AD491" i="1"/>
  <c r="AE491" i="1"/>
  <c r="AF491" i="1"/>
  <c r="AM491" i="1"/>
  <c r="AN491" i="1"/>
  <c r="AO491" i="1"/>
  <c r="L492" i="1"/>
  <c r="M492" i="1"/>
  <c r="N492" i="1"/>
  <c r="O492" i="1"/>
  <c r="P492" i="1"/>
  <c r="Q492" i="1"/>
  <c r="R492" i="1"/>
  <c r="S492" i="1"/>
  <c r="T492" i="1"/>
  <c r="U492" i="1"/>
  <c r="V492" i="1"/>
  <c r="W492" i="1"/>
  <c r="X492" i="1"/>
  <c r="Y492" i="1"/>
  <c r="Z492" i="1"/>
  <c r="AA492" i="1"/>
  <c r="AB492" i="1"/>
  <c r="AC492" i="1"/>
  <c r="AD492" i="1"/>
  <c r="AE492" i="1"/>
  <c r="AF492" i="1"/>
  <c r="AM492" i="1"/>
  <c r="AN492" i="1"/>
  <c r="AO492" i="1"/>
  <c r="L493" i="1"/>
  <c r="M493" i="1"/>
  <c r="N493" i="1"/>
  <c r="O493" i="1"/>
  <c r="P493" i="1"/>
  <c r="Q493" i="1"/>
  <c r="R493" i="1"/>
  <c r="S493" i="1"/>
  <c r="T493" i="1"/>
  <c r="U493" i="1"/>
  <c r="V493" i="1"/>
  <c r="W493" i="1"/>
  <c r="X493" i="1"/>
  <c r="Y493" i="1"/>
  <c r="Z493" i="1"/>
  <c r="AA493" i="1"/>
  <c r="AB493" i="1"/>
  <c r="AC493" i="1"/>
  <c r="AD493" i="1"/>
  <c r="AE493" i="1"/>
  <c r="AF493" i="1"/>
  <c r="AM493" i="1"/>
  <c r="AN493" i="1"/>
  <c r="AO493" i="1"/>
  <c r="L494" i="1"/>
  <c r="M494" i="1"/>
  <c r="N494" i="1"/>
  <c r="O494" i="1"/>
  <c r="P494" i="1"/>
  <c r="Q494" i="1"/>
  <c r="R494" i="1"/>
  <c r="S494" i="1"/>
  <c r="T494" i="1"/>
  <c r="U494" i="1"/>
  <c r="V494" i="1"/>
  <c r="W494" i="1"/>
  <c r="X494" i="1"/>
  <c r="Y494" i="1"/>
  <c r="Z494" i="1"/>
  <c r="AA494" i="1"/>
  <c r="AB494" i="1"/>
  <c r="AC494" i="1"/>
  <c r="AD494" i="1"/>
  <c r="AE494" i="1"/>
  <c r="AF494" i="1"/>
  <c r="AM494" i="1"/>
  <c r="AN494" i="1"/>
  <c r="AO494" i="1"/>
  <c r="L495" i="1"/>
  <c r="M495" i="1"/>
  <c r="N495" i="1"/>
  <c r="O495" i="1"/>
  <c r="P495" i="1"/>
  <c r="Q495" i="1"/>
  <c r="R495" i="1"/>
  <c r="S495" i="1"/>
  <c r="T495" i="1"/>
  <c r="U495" i="1"/>
  <c r="V495" i="1"/>
  <c r="W495" i="1"/>
  <c r="X495" i="1"/>
  <c r="Y495" i="1"/>
  <c r="Z495" i="1"/>
  <c r="AA495" i="1"/>
  <c r="AB495" i="1"/>
  <c r="AC495" i="1"/>
  <c r="AD495" i="1"/>
  <c r="AE495" i="1"/>
  <c r="AF495" i="1"/>
  <c r="AM495" i="1"/>
  <c r="AN495" i="1"/>
  <c r="AO495" i="1"/>
  <c r="L496" i="1"/>
  <c r="M496" i="1"/>
  <c r="N496" i="1"/>
  <c r="O496" i="1"/>
  <c r="P496" i="1"/>
  <c r="Q496" i="1"/>
  <c r="R496" i="1"/>
  <c r="S496" i="1"/>
  <c r="T496" i="1"/>
  <c r="U496" i="1"/>
  <c r="V496" i="1"/>
  <c r="W496" i="1"/>
  <c r="X496" i="1"/>
  <c r="Y496" i="1"/>
  <c r="Z496" i="1"/>
  <c r="AA496" i="1"/>
  <c r="AB496" i="1"/>
  <c r="AC496" i="1"/>
  <c r="AD496" i="1"/>
  <c r="AE496" i="1"/>
  <c r="AF496" i="1"/>
  <c r="AM496" i="1"/>
  <c r="AN496" i="1"/>
  <c r="AO496" i="1"/>
  <c r="L497" i="1"/>
  <c r="M497" i="1"/>
  <c r="N497" i="1"/>
  <c r="O497" i="1"/>
  <c r="P497" i="1"/>
  <c r="Q497" i="1"/>
  <c r="R497" i="1"/>
  <c r="S497" i="1"/>
  <c r="T497" i="1"/>
  <c r="U497" i="1"/>
  <c r="V497" i="1"/>
  <c r="W497" i="1"/>
  <c r="X497" i="1"/>
  <c r="Y497" i="1"/>
  <c r="Z497" i="1"/>
  <c r="AA497" i="1"/>
  <c r="AB497" i="1"/>
  <c r="AC497" i="1"/>
  <c r="AD497" i="1"/>
  <c r="AE497" i="1"/>
  <c r="AF497" i="1"/>
  <c r="AM497" i="1"/>
  <c r="AN497" i="1"/>
  <c r="AO497" i="1"/>
  <c r="L498" i="1"/>
  <c r="M498" i="1"/>
  <c r="N498" i="1"/>
  <c r="O498" i="1"/>
  <c r="P498" i="1"/>
  <c r="Q498" i="1"/>
  <c r="R498" i="1"/>
  <c r="S498" i="1"/>
  <c r="T498" i="1"/>
  <c r="U498" i="1"/>
  <c r="V498" i="1"/>
  <c r="W498" i="1"/>
  <c r="X498" i="1"/>
  <c r="Y498" i="1"/>
  <c r="Z498" i="1"/>
  <c r="AA498" i="1"/>
  <c r="AB498" i="1"/>
  <c r="AC498" i="1"/>
  <c r="AD498" i="1"/>
  <c r="AE498" i="1"/>
  <c r="AF498" i="1"/>
  <c r="AM498" i="1"/>
  <c r="AN498" i="1"/>
  <c r="AO498" i="1"/>
  <c r="L499" i="1"/>
  <c r="M499" i="1"/>
  <c r="N499" i="1"/>
  <c r="O499" i="1"/>
  <c r="P499" i="1"/>
  <c r="Q499" i="1"/>
  <c r="R499" i="1"/>
  <c r="S499" i="1"/>
  <c r="T499" i="1"/>
  <c r="U499" i="1"/>
  <c r="V499" i="1"/>
  <c r="W499" i="1"/>
  <c r="X499" i="1"/>
  <c r="Y499" i="1"/>
  <c r="Z499" i="1"/>
  <c r="AA499" i="1"/>
  <c r="AB499" i="1"/>
  <c r="AC499" i="1"/>
  <c r="AD499" i="1"/>
  <c r="AE499" i="1"/>
  <c r="AF499" i="1"/>
  <c r="AM499" i="1"/>
  <c r="AN499" i="1"/>
  <c r="AO499" i="1"/>
  <c r="L500" i="1"/>
  <c r="M500" i="1"/>
  <c r="N500" i="1"/>
  <c r="O500" i="1"/>
  <c r="P500" i="1"/>
  <c r="Q500" i="1"/>
  <c r="R500" i="1"/>
  <c r="S500" i="1"/>
  <c r="T500" i="1"/>
  <c r="U500" i="1"/>
  <c r="V500" i="1"/>
  <c r="W500" i="1"/>
  <c r="X500" i="1"/>
  <c r="Y500" i="1"/>
  <c r="Z500" i="1"/>
  <c r="AA500" i="1"/>
  <c r="AB500" i="1"/>
  <c r="AC500" i="1"/>
  <c r="AD500" i="1"/>
  <c r="AE500" i="1"/>
  <c r="AF500" i="1"/>
  <c r="AM500" i="1"/>
  <c r="AN500" i="1"/>
  <c r="AO500" i="1"/>
  <c r="L501" i="1"/>
  <c r="M501" i="1"/>
  <c r="N501" i="1"/>
  <c r="O501" i="1"/>
  <c r="P501" i="1"/>
  <c r="Q501" i="1"/>
  <c r="R501" i="1"/>
  <c r="S501" i="1"/>
  <c r="T501" i="1"/>
  <c r="U501" i="1"/>
  <c r="V501" i="1"/>
  <c r="W501" i="1"/>
  <c r="X501" i="1"/>
  <c r="Y501" i="1"/>
  <c r="Z501" i="1"/>
  <c r="AA501" i="1"/>
  <c r="AB501" i="1"/>
  <c r="AC501" i="1"/>
  <c r="AD501" i="1"/>
  <c r="AE501" i="1"/>
  <c r="AF501" i="1"/>
  <c r="AM501" i="1"/>
  <c r="AN501" i="1"/>
  <c r="AO501" i="1"/>
  <c r="L502" i="1"/>
  <c r="M502" i="1"/>
  <c r="N502" i="1"/>
  <c r="O502" i="1"/>
  <c r="P502" i="1"/>
  <c r="Q502" i="1"/>
  <c r="R502" i="1"/>
  <c r="S502" i="1"/>
  <c r="T502" i="1"/>
  <c r="U502" i="1"/>
  <c r="V502" i="1"/>
  <c r="W502" i="1"/>
  <c r="X502" i="1"/>
  <c r="Y502" i="1"/>
  <c r="Z502" i="1"/>
  <c r="AA502" i="1"/>
  <c r="AB502" i="1"/>
  <c r="AC502" i="1"/>
  <c r="AD502" i="1"/>
  <c r="AE502" i="1"/>
  <c r="AF502" i="1"/>
  <c r="AM502" i="1"/>
  <c r="AN502" i="1"/>
  <c r="AO502" i="1"/>
  <c r="L503" i="1"/>
  <c r="M503" i="1"/>
  <c r="N503" i="1"/>
  <c r="O503" i="1"/>
  <c r="P503" i="1"/>
  <c r="Q503" i="1"/>
  <c r="R503" i="1"/>
  <c r="S503" i="1"/>
  <c r="T503" i="1"/>
  <c r="U503" i="1"/>
  <c r="V503" i="1"/>
  <c r="W503" i="1"/>
  <c r="X503" i="1"/>
  <c r="Y503" i="1"/>
  <c r="Z503" i="1"/>
  <c r="AA503" i="1"/>
  <c r="AB503" i="1"/>
  <c r="AC503" i="1"/>
  <c r="AD503" i="1"/>
  <c r="AE503" i="1"/>
  <c r="AF503" i="1"/>
  <c r="AM503" i="1"/>
  <c r="AN503" i="1"/>
  <c r="AO503" i="1"/>
  <c r="L504" i="1"/>
  <c r="M504" i="1"/>
  <c r="N504" i="1"/>
  <c r="O504" i="1"/>
  <c r="P504" i="1"/>
  <c r="Q504" i="1"/>
  <c r="R504" i="1"/>
  <c r="S504" i="1"/>
  <c r="T504" i="1"/>
  <c r="U504" i="1"/>
  <c r="V504" i="1"/>
  <c r="W504" i="1"/>
  <c r="X504" i="1"/>
  <c r="Y504" i="1"/>
  <c r="Z504" i="1"/>
  <c r="AA504" i="1"/>
  <c r="AB504" i="1"/>
  <c r="AC504" i="1"/>
  <c r="AD504" i="1"/>
  <c r="AE504" i="1"/>
  <c r="AF504" i="1"/>
  <c r="AM504" i="1"/>
  <c r="AN504" i="1"/>
  <c r="AO504" i="1"/>
  <c r="L505" i="1"/>
  <c r="M505" i="1"/>
  <c r="N505" i="1"/>
  <c r="O505" i="1"/>
  <c r="P505" i="1"/>
  <c r="Q505" i="1"/>
  <c r="R505" i="1"/>
  <c r="S505" i="1"/>
  <c r="T505" i="1"/>
  <c r="U505" i="1"/>
  <c r="V505" i="1"/>
  <c r="W505" i="1"/>
  <c r="X505" i="1"/>
  <c r="Y505" i="1"/>
  <c r="Z505" i="1"/>
  <c r="AA505" i="1"/>
  <c r="AB505" i="1"/>
  <c r="AC505" i="1"/>
  <c r="AD505" i="1"/>
  <c r="AE505" i="1"/>
  <c r="AF505" i="1"/>
  <c r="AM505" i="1"/>
  <c r="AN505" i="1"/>
  <c r="AO505" i="1"/>
  <c r="L506" i="1"/>
  <c r="M506" i="1"/>
  <c r="N506" i="1"/>
  <c r="O506" i="1"/>
  <c r="P506" i="1"/>
  <c r="Q506" i="1"/>
  <c r="R506" i="1"/>
  <c r="S506" i="1"/>
  <c r="T506" i="1"/>
  <c r="U506" i="1"/>
  <c r="V506" i="1"/>
  <c r="W506" i="1"/>
  <c r="X506" i="1"/>
  <c r="Y506" i="1"/>
  <c r="Z506" i="1"/>
  <c r="AA506" i="1"/>
  <c r="AB506" i="1"/>
  <c r="AC506" i="1"/>
  <c r="AD506" i="1"/>
  <c r="AE506" i="1"/>
  <c r="AF506" i="1"/>
  <c r="AM506" i="1"/>
  <c r="AN506" i="1"/>
  <c r="AO506" i="1"/>
  <c r="L507" i="1"/>
  <c r="M507" i="1"/>
  <c r="N507" i="1"/>
  <c r="O507" i="1"/>
  <c r="P507" i="1"/>
  <c r="Q507" i="1"/>
  <c r="R507" i="1"/>
  <c r="S507" i="1"/>
  <c r="T507" i="1"/>
  <c r="U507" i="1"/>
  <c r="V507" i="1"/>
  <c r="W507" i="1"/>
  <c r="X507" i="1"/>
  <c r="Y507" i="1"/>
  <c r="Z507" i="1"/>
  <c r="AA507" i="1"/>
  <c r="AB507" i="1"/>
  <c r="AC507" i="1"/>
  <c r="AD507" i="1"/>
  <c r="AE507" i="1"/>
  <c r="AF507" i="1"/>
  <c r="AM507" i="1"/>
  <c r="AN507" i="1"/>
  <c r="AO507" i="1"/>
  <c r="L508" i="1"/>
  <c r="M508" i="1"/>
  <c r="N508" i="1"/>
  <c r="O508" i="1"/>
  <c r="P508" i="1"/>
  <c r="Q508" i="1"/>
  <c r="R508" i="1"/>
  <c r="S508" i="1"/>
  <c r="T508" i="1"/>
  <c r="U508" i="1"/>
  <c r="V508" i="1"/>
  <c r="W508" i="1"/>
  <c r="X508" i="1"/>
  <c r="Y508" i="1"/>
  <c r="Z508" i="1"/>
  <c r="AA508" i="1"/>
  <c r="AB508" i="1"/>
  <c r="AC508" i="1"/>
  <c r="AD508" i="1"/>
  <c r="AE508" i="1"/>
  <c r="AF508" i="1"/>
  <c r="AM508" i="1"/>
  <c r="AN508" i="1"/>
  <c r="AO508" i="1"/>
  <c r="L509" i="1"/>
  <c r="M509" i="1"/>
  <c r="N509" i="1"/>
  <c r="O509" i="1"/>
  <c r="P509" i="1"/>
  <c r="Q509" i="1"/>
  <c r="R509" i="1"/>
  <c r="S509" i="1"/>
  <c r="T509" i="1"/>
  <c r="U509" i="1"/>
  <c r="V509" i="1"/>
  <c r="W509" i="1"/>
  <c r="X509" i="1"/>
  <c r="Y509" i="1"/>
  <c r="Z509" i="1"/>
  <c r="AA509" i="1"/>
  <c r="AB509" i="1"/>
  <c r="AC509" i="1"/>
  <c r="AD509" i="1"/>
  <c r="AE509" i="1"/>
  <c r="AF509" i="1"/>
  <c r="AM509" i="1"/>
  <c r="AN509" i="1"/>
  <c r="AO509" i="1"/>
  <c r="L510" i="1"/>
  <c r="M510" i="1"/>
  <c r="N510" i="1"/>
  <c r="O510" i="1"/>
  <c r="P510" i="1"/>
  <c r="Q510" i="1"/>
  <c r="R510" i="1"/>
  <c r="S510" i="1"/>
  <c r="T510" i="1"/>
  <c r="U510" i="1"/>
  <c r="V510" i="1"/>
  <c r="W510" i="1"/>
  <c r="X510" i="1"/>
  <c r="Y510" i="1"/>
  <c r="Z510" i="1"/>
  <c r="AA510" i="1"/>
  <c r="AB510" i="1"/>
  <c r="AC510" i="1"/>
  <c r="AD510" i="1"/>
  <c r="AE510" i="1"/>
  <c r="AF510" i="1"/>
  <c r="AM510" i="1"/>
  <c r="AN510" i="1"/>
  <c r="AO510" i="1"/>
  <c r="L511" i="1"/>
  <c r="M511" i="1"/>
  <c r="N511" i="1"/>
  <c r="O511" i="1"/>
  <c r="P511" i="1"/>
  <c r="Q511" i="1"/>
  <c r="R511" i="1"/>
  <c r="S511" i="1"/>
  <c r="T511" i="1"/>
  <c r="U511" i="1"/>
  <c r="V511" i="1"/>
  <c r="W511" i="1"/>
  <c r="X511" i="1"/>
  <c r="Y511" i="1"/>
  <c r="Z511" i="1"/>
  <c r="AA511" i="1"/>
  <c r="AB511" i="1"/>
  <c r="AC511" i="1"/>
  <c r="AD511" i="1"/>
  <c r="AE511" i="1"/>
  <c r="AF511" i="1"/>
  <c r="AM511" i="1"/>
  <c r="AN511" i="1"/>
  <c r="AO511" i="1"/>
  <c r="L512" i="1"/>
  <c r="M512" i="1"/>
  <c r="N512" i="1"/>
  <c r="O512" i="1"/>
  <c r="P512" i="1"/>
  <c r="Q512" i="1"/>
  <c r="R512" i="1"/>
  <c r="S512" i="1"/>
  <c r="T512" i="1"/>
  <c r="U512" i="1"/>
  <c r="V512" i="1"/>
  <c r="W512" i="1"/>
  <c r="X512" i="1"/>
  <c r="Y512" i="1"/>
  <c r="Z512" i="1"/>
  <c r="AA512" i="1"/>
  <c r="AB512" i="1"/>
  <c r="AC512" i="1"/>
  <c r="AD512" i="1"/>
  <c r="AE512" i="1"/>
  <c r="AF512" i="1"/>
  <c r="AM512" i="1"/>
  <c r="AN512" i="1"/>
  <c r="AO512" i="1"/>
  <c r="L513" i="1"/>
  <c r="M513" i="1"/>
  <c r="N513" i="1"/>
  <c r="O513" i="1"/>
  <c r="P513" i="1"/>
  <c r="Q513" i="1"/>
  <c r="R513" i="1"/>
  <c r="S513" i="1"/>
  <c r="T513" i="1"/>
  <c r="U513" i="1"/>
  <c r="V513" i="1"/>
  <c r="W513" i="1"/>
  <c r="X513" i="1"/>
  <c r="Y513" i="1"/>
  <c r="Z513" i="1"/>
  <c r="AA513" i="1"/>
  <c r="AB513" i="1"/>
  <c r="AC513" i="1"/>
  <c r="AD513" i="1"/>
  <c r="AE513" i="1"/>
  <c r="AF513" i="1"/>
  <c r="AM513" i="1"/>
  <c r="AN513" i="1"/>
  <c r="AO513" i="1"/>
  <c r="L514" i="1"/>
  <c r="M514" i="1"/>
  <c r="N514" i="1"/>
  <c r="O514" i="1"/>
  <c r="P514" i="1"/>
  <c r="Q514" i="1"/>
  <c r="R514" i="1"/>
  <c r="S514" i="1"/>
  <c r="T514" i="1"/>
  <c r="U514" i="1"/>
  <c r="V514" i="1"/>
  <c r="W514" i="1"/>
  <c r="X514" i="1"/>
  <c r="Y514" i="1"/>
  <c r="Z514" i="1"/>
  <c r="AA514" i="1"/>
  <c r="AB514" i="1"/>
  <c r="AC514" i="1"/>
  <c r="AD514" i="1"/>
  <c r="AE514" i="1"/>
  <c r="AF514" i="1"/>
  <c r="AM514" i="1"/>
  <c r="AN514" i="1"/>
  <c r="AO514" i="1"/>
  <c r="L515" i="1"/>
  <c r="M515" i="1"/>
  <c r="N515" i="1"/>
  <c r="O515" i="1"/>
  <c r="P515" i="1"/>
  <c r="Q515" i="1"/>
  <c r="R515" i="1"/>
  <c r="S515" i="1"/>
  <c r="T515" i="1"/>
  <c r="U515" i="1"/>
  <c r="V515" i="1"/>
  <c r="W515" i="1"/>
  <c r="X515" i="1"/>
  <c r="Y515" i="1"/>
  <c r="Z515" i="1"/>
  <c r="AA515" i="1"/>
  <c r="AB515" i="1"/>
  <c r="AC515" i="1"/>
  <c r="AD515" i="1"/>
  <c r="AE515" i="1"/>
  <c r="AF515" i="1"/>
  <c r="AM515" i="1"/>
  <c r="AN515" i="1"/>
  <c r="AO515" i="1"/>
  <c r="L516" i="1"/>
  <c r="M516" i="1"/>
  <c r="N516" i="1"/>
  <c r="O516" i="1"/>
  <c r="P516" i="1"/>
  <c r="Q516" i="1"/>
  <c r="R516" i="1"/>
  <c r="S516" i="1"/>
  <c r="T516" i="1"/>
  <c r="U516" i="1"/>
  <c r="V516" i="1"/>
  <c r="W516" i="1"/>
  <c r="X516" i="1"/>
  <c r="Y516" i="1"/>
  <c r="Z516" i="1"/>
  <c r="AA516" i="1"/>
  <c r="AB516" i="1"/>
  <c r="AC516" i="1"/>
  <c r="AD516" i="1"/>
  <c r="AE516" i="1"/>
  <c r="AF516" i="1"/>
  <c r="AM516" i="1"/>
  <c r="AN516" i="1"/>
  <c r="AO516" i="1"/>
  <c r="L517" i="1"/>
  <c r="M517" i="1"/>
  <c r="N517" i="1"/>
  <c r="O517" i="1"/>
  <c r="P517" i="1"/>
  <c r="Q517" i="1"/>
  <c r="R517" i="1"/>
  <c r="S517" i="1"/>
  <c r="T517" i="1"/>
  <c r="U517" i="1"/>
  <c r="V517" i="1"/>
  <c r="W517" i="1"/>
  <c r="X517" i="1"/>
  <c r="Y517" i="1"/>
  <c r="Z517" i="1"/>
  <c r="AA517" i="1"/>
  <c r="AB517" i="1"/>
  <c r="AC517" i="1"/>
  <c r="AD517" i="1"/>
  <c r="AE517" i="1"/>
  <c r="AF517" i="1"/>
  <c r="AM517" i="1"/>
  <c r="AN517" i="1"/>
  <c r="AO517" i="1"/>
  <c r="L518" i="1"/>
  <c r="M518" i="1"/>
  <c r="N518" i="1"/>
  <c r="O518" i="1"/>
  <c r="P518" i="1"/>
  <c r="Q518" i="1"/>
  <c r="R518" i="1"/>
  <c r="S518" i="1"/>
  <c r="T518" i="1"/>
  <c r="U518" i="1"/>
  <c r="V518" i="1"/>
  <c r="W518" i="1"/>
  <c r="X518" i="1"/>
  <c r="Y518" i="1"/>
  <c r="Z518" i="1"/>
  <c r="AA518" i="1"/>
  <c r="AB518" i="1"/>
  <c r="AC518" i="1"/>
  <c r="AD518" i="1"/>
  <c r="AE518" i="1"/>
  <c r="AF518" i="1"/>
  <c r="AM518" i="1"/>
  <c r="AN518" i="1"/>
  <c r="AO518" i="1"/>
  <c r="L519" i="1"/>
  <c r="M519" i="1"/>
  <c r="N519" i="1"/>
  <c r="O519" i="1"/>
  <c r="P519" i="1"/>
  <c r="Q519" i="1"/>
  <c r="R519" i="1"/>
  <c r="S519" i="1"/>
  <c r="T519" i="1"/>
  <c r="U519" i="1"/>
  <c r="V519" i="1"/>
  <c r="W519" i="1"/>
  <c r="X519" i="1"/>
  <c r="Y519" i="1"/>
  <c r="Z519" i="1"/>
  <c r="AA519" i="1"/>
  <c r="AB519" i="1"/>
  <c r="AC519" i="1"/>
  <c r="AD519" i="1"/>
  <c r="AE519" i="1"/>
  <c r="AF519" i="1"/>
  <c r="AM519" i="1"/>
  <c r="AN519" i="1"/>
  <c r="AO519" i="1"/>
  <c r="L520" i="1"/>
  <c r="M520" i="1"/>
  <c r="N520" i="1"/>
  <c r="O520" i="1"/>
  <c r="P520" i="1"/>
  <c r="Q520" i="1"/>
  <c r="R520" i="1"/>
  <c r="S520" i="1"/>
  <c r="T520" i="1"/>
  <c r="U520" i="1"/>
  <c r="V520" i="1"/>
  <c r="W520" i="1"/>
  <c r="X520" i="1"/>
  <c r="Y520" i="1"/>
  <c r="Z520" i="1"/>
  <c r="AA520" i="1"/>
  <c r="AB520" i="1"/>
  <c r="AC520" i="1"/>
  <c r="AD520" i="1"/>
  <c r="AE520" i="1"/>
  <c r="AF520" i="1"/>
  <c r="AM520" i="1"/>
  <c r="AN520" i="1"/>
  <c r="AO520" i="1"/>
  <c r="L521" i="1"/>
  <c r="M521" i="1"/>
  <c r="N521" i="1"/>
  <c r="O521" i="1"/>
  <c r="P521" i="1"/>
  <c r="Q521" i="1"/>
  <c r="R521" i="1"/>
  <c r="S521" i="1"/>
  <c r="T521" i="1"/>
  <c r="U521" i="1"/>
  <c r="V521" i="1"/>
  <c r="W521" i="1"/>
  <c r="X521" i="1"/>
  <c r="Y521" i="1"/>
  <c r="Z521" i="1"/>
  <c r="AA521" i="1"/>
  <c r="AB521" i="1"/>
  <c r="AC521" i="1"/>
  <c r="AD521" i="1"/>
  <c r="AE521" i="1"/>
  <c r="AF521" i="1"/>
  <c r="AM521" i="1"/>
  <c r="AN521" i="1"/>
  <c r="AO521" i="1"/>
  <c r="L522" i="1"/>
  <c r="M522" i="1"/>
  <c r="N522" i="1"/>
  <c r="O522" i="1"/>
  <c r="P522" i="1"/>
  <c r="Q522" i="1"/>
  <c r="R522" i="1"/>
  <c r="S522" i="1"/>
  <c r="T522" i="1"/>
  <c r="U522" i="1"/>
  <c r="V522" i="1"/>
  <c r="W522" i="1"/>
  <c r="X522" i="1"/>
  <c r="Y522" i="1"/>
  <c r="Z522" i="1"/>
  <c r="AA522" i="1"/>
  <c r="AB522" i="1"/>
  <c r="AC522" i="1"/>
  <c r="AD522" i="1"/>
  <c r="AE522" i="1"/>
  <c r="AF522" i="1"/>
  <c r="AM522" i="1"/>
  <c r="AN522" i="1"/>
  <c r="AO522" i="1"/>
  <c r="L523" i="1"/>
  <c r="M523" i="1"/>
  <c r="N523" i="1"/>
  <c r="O523" i="1"/>
  <c r="P523" i="1"/>
  <c r="Q523" i="1"/>
  <c r="R523" i="1"/>
  <c r="S523" i="1"/>
  <c r="T523" i="1"/>
  <c r="U523" i="1"/>
  <c r="V523" i="1"/>
  <c r="W523" i="1"/>
  <c r="X523" i="1"/>
  <c r="Y523" i="1"/>
  <c r="Z523" i="1"/>
  <c r="AA523" i="1"/>
  <c r="AB523" i="1"/>
  <c r="AC523" i="1"/>
  <c r="AD523" i="1"/>
  <c r="AE523" i="1"/>
  <c r="AF523" i="1"/>
  <c r="AM523" i="1"/>
  <c r="AN523" i="1"/>
  <c r="AO523" i="1"/>
  <c r="L524" i="1"/>
  <c r="M524" i="1"/>
  <c r="N524" i="1"/>
  <c r="O524" i="1"/>
  <c r="P524" i="1"/>
  <c r="Q524" i="1"/>
  <c r="R524" i="1"/>
  <c r="S524" i="1"/>
  <c r="T524" i="1"/>
  <c r="U524" i="1"/>
  <c r="V524" i="1"/>
  <c r="W524" i="1"/>
  <c r="X524" i="1"/>
  <c r="Y524" i="1"/>
  <c r="Z524" i="1"/>
  <c r="AA524" i="1"/>
  <c r="AB524" i="1"/>
  <c r="AC524" i="1"/>
  <c r="AD524" i="1"/>
  <c r="AE524" i="1"/>
  <c r="AF524" i="1"/>
  <c r="AM524" i="1"/>
  <c r="AN524" i="1"/>
  <c r="AO524" i="1"/>
  <c r="L525" i="1"/>
  <c r="M525" i="1"/>
  <c r="N525" i="1"/>
  <c r="O525" i="1"/>
  <c r="P525" i="1"/>
  <c r="Q525" i="1"/>
  <c r="R525" i="1"/>
  <c r="S525" i="1"/>
  <c r="T525" i="1"/>
  <c r="U525" i="1"/>
  <c r="V525" i="1"/>
  <c r="W525" i="1"/>
  <c r="X525" i="1"/>
  <c r="Y525" i="1"/>
  <c r="Z525" i="1"/>
  <c r="AA525" i="1"/>
  <c r="AB525" i="1"/>
  <c r="AC525" i="1"/>
  <c r="AD525" i="1"/>
  <c r="AE525" i="1"/>
  <c r="AF525" i="1"/>
  <c r="AM525" i="1"/>
  <c r="AN525" i="1"/>
  <c r="AO525" i="1"/>
  <c r="L526" i="1"/>
  <c r="M526" i="1"/>
  <c r="N526" i="1"/>
  <c r="O526" i="1"/>
  <c r="P526" i="1"/>
  <c r="Q526" i="1"/>
  <c r="R526" i="1"/>
  <c r="S526" i="1"/>
  <c r="T526" i="1"/>
  <c r="U526" i="1"/>
  <c r="V526" i="1"/>
  <c r="W526" i="1"/>
  <c r="X526" i="1"/>
  <c r="Y526" i="1"/>
  <c r="Z526" i="1"/>
  <c r="AA526" i="1"/>
  <c r="AB526" i="1"/>
  <c r="AC526" i="1"/>
  <c r="AD526" i="1"/>
  <c r="AE526" i="1"/>
  <c r="AF526" i="1"/>
  <c r="AM526" i="1"/>
  <c r="AN526" i="1"/>
  <c r="AO526" i="1"/>
  <c r="L527" i="1"/>
  <c r="M527" i="1"/>
  <c r="N527" i="1"/>
  <c r="O527" i="1"/>
  <c r="P527" i="1"/>
  <c r="Q527" i="1"/>
  <c r="R527" i="1"/>
  <c r="S527" i="1"/>
  <c r="T527" i="1"/>
  <c r="U527" i="1"/>
  <c r="V527" i="1"/>
  <c r="W527" i="1"/>
  <c r="X527" i="1"/>
  <c r="Y527" i="1"/>
  <c r="Z527" i="1"/>
  <c r="AA527" i="1"/>
  <c r="AB527" i="1"/>
  <c r="AC527" i="1"/>
  <c r="AD527" i="1"/>
  <c r="AE527" i="1"/>
  <c r="AF527" i="1"/>
  <c r="AM527" i="1"/>
  <c r="AN527" i="1"/>
  <c r="AO527" i="1"/>
  <c r="L528" i="1"/>
  <c r="M528" i="1"/>
  <c r="N528" i="1"/>
  <c r="O528" i="1"/>
  <c r="P528" i="1"/>
  <c r="Q528" i="1"/>
  <c r="R528" i="1"/>
  <c r="S528" i="1"/>
  <c r="T528" i="1"/>
  <c r="U528" i="1"/>
  <c r="V528" i="1"/>
  <c r="W528" i="1"/>
  <c r="X528" i="1"/>
  <c r="Y528" i="1"/>
  <c r="Z528" i="1"/>
  <c r="AA528" i="1"/>
  <c r="AB528" i="1"/>
  <c r="AC528" i="1"/>
  <c r="AD528" i="1"/>
  <c r="AE528" i="1"/>
  <c r="AF528" i="1"/>
  <c r="AM528" i="1"/>
  <c r="AN528" i="1"/>
  <c r="AO528" i="1"/>
  <c r="L529" i="1"/>
  <c r="M529" i="1"/>
  <c r="N529" i="1"/>
  <c r="O529" i="1"/>
  <c r="P529" i="1"/>
  <c r="Q529" i="1"/>
  <c r="R529" i="1"/>
  <c r="S529" i="1"/>
  <c r="T529" i="1"/>
  <c r="U529" i="1"/>
  <c r="V529" i="1"/>
  <c r="W529" i="1"/>
  <c r="X529" i="1"/>
  <c r="Y529" i="1"/>
  <c r="Z529" i="1"/>
  <c r="AA529" i="1"/>
  <c r="AB529" i="1"/>
  <c r="AC529" i="1"/>
  <c r="AD529" i="1"/>
  <c r="AE529" i="1"/>
  <c r="AF529" i="1"/>
  <c r="AM529" i="1"/>
  <c r="AN529" i="1"/>
  <c r="AO529" i="1"/>
  <c r="L530" i="1"/>
  <c r="M530" i="1"/>
  <c r="N530" i="1"/>
  <c r="O530" i="1"/>
  <c r="P530" i="1"/>
  <c r="Q530" i="1"/>
  <c r="R530" i="1"/>
  <c r="S530" i="1"/>
  <c r="T530" i="1"/>
  <c r="U530" i="1"/>
  <c r="V530" i="1"/>
  <c r="W530" i="1"/>
  <c r="X530" i="1"/>
  <c r="Y530" i="1"/>
  <c r="Z530" i="1"/>
  <c r="AA530" i="1"/>
  <c r="AB530" i="1"/>
  <c r="AC530" i="1"/>
  <c r="AD530" i="1"/>
  <c r="AE530" i="1"/>
  <c r="AF530" i="1"/>
  <c r="AM530" i="1"/>
  <c r="AN530" i="1"/>
  <c r="AO530" i="1"/>
  <c r="L531" i="1"/>
  <c r="M531" i="1"/>
  <c r="N531" i="1"/>
  <c r="O531" i="1"/>
  <c r="P531" i="1"/>
  <c r="Q531" i="1"/>
  <c r="R531" i="1"/>
  <c r="S531" i="1"/>
  <c r="T531" i="1"/>
  <c r="U531" i="1"/>
  <c r="V531" i="1"/>
  <c r="W531" i="1"/>
  <c r="X531" i="1"/>
  <c r="Y531" i="1"/>
  <c r="Z531" i="1"/>
  <c r="AA531" i="1"/>
  <c r="AB531" i="1"/>
  <c r="AC531" i="1"/>
  <c r="AD531" i="1"/>
  <c r="AE531" i="1"/>
  <c r="AF531" i="1"/>
  <c r="AM531" i="1"/>
  <c r="AN531" i="1"/>
  <c r="AO531" i="1"/>
  <c r="L532" i="1"/>
  <c r="M532" i="1"/>
  <c r="N532" i="1"/>
  <c r="O532" i="1"/>
  <c r="P532" i="1"/>
  <c r="Q532" i="1"/>
  <c r="R532" i="1"/>
  <c r="S532" i="1"/>
  <c r="T532" i="1"/>
  <c r="U532" i="1"/>
  <c r="V532" i="1"/>
  <c r="W532" i="1"/>
  <c r="X532" i="1"/>
  <c r="Y532" i="1"/>
  <c r="Z532" i="1"/>
  <c r="AA532" i="1"/>
  <c r="AB532" i="1"/>
  <c r="AC532" i="1"/>
  <c r="AD532" i="1"/>
  <c r="AE532" i="1"/>
  <c r="AF532" i="1"/>
  <c r="AM532" i="1"/>
  <c r="AN532" i="1"/>
  <c r="AO532" i="1"/>
  <c r="L533" i="1"/>
  <c r="M533" i="1"/>
  <c r="N533" i="1"/>
  <c r="O533" i="1"/>
  <c r="P533" i="1"/>
  <c r="Q533" i="1"/>
  <c r="R533" i="1"/>
  <c r="S533" i="1"/>
  <c r="T533" i="1"/>
  <c r="U533" i="1"/>
  <c r="V533" i="1"/>
  <c r="W533" i="1"/>
  <c r="X533" i="1"/>
  <c r="Y533" i="1"/>
  <c r="Z533" i="1"/>
  <c r="AA533" i="1"/>
  <c r="AB533" i="1"/>
  <c r="AC533" i="1"/>
  <c r="AD533" i="1"/>
  <c r="AE533" i="1"/>
  <c r="AF533" i="1"/>
  <c r="AM533" i="1"/>
  <c r="AN533" i="1"/>
  <c r="AO533" i="1"/>
  <c r="L534" i="1"/>
  <c r="M534" i="1"/>
  <c r="N534" i="1"/>
  <c r="O534" i="1"/>
  <c r="P534" i="1"/>
  <c r="Q534" i="1"/>
  <c r="R534" i="1"/>
  <c r="S534" i="1"/>
  <c r="T534" i="1"/>
  <c r="U534" i="1"/>
  <c r="V534" i="1"/>
  <c r="W534" i="1"/>
  <c r="X534" i="1"/>
  <c r="Y534" i="1"/>
  <c r="Z534" i="1"/>
  <c r="AA534" i="1"/>
  <c r="AB534" i="1"/>
  <c r="AC534" i="1"/>
  <c r="AD534" i="1"/>
  <c r="AE534" i="1"/>
  <c r="AF534" i="1"/>
  <c r="AM534" i="1"/>
  <c r="AN534" i="1"/>
  <c r="AO534" i="1"/>
  <c r="L535" i="1"/>
  <c r="M535" i="1"/>
  <c r="N535" i="1"/>
  <c r="O535" i="1"/>
  <c r="P535" i="1"/>
  <c r="Q535" i="1"/>
  <c r="R535" i="1"/>
  <c r="S535" i="1"/>
  <c r="T535" i="1"/>
  <c r="U535" i="1"/>
  <c r="V535" i="1"/>
  <c r="W535" i="1"/>
  <c r="X535" i="1"/>
  <c r="Y535" i="1"/>
  <c r="Z535" i="1"/>
  <c r="AA535" i="1"/>
  <c r="AB535" i="1"/>
  <c r="AC535" i="1"/>
  <c r="AD535" i="1"/>
  <c r="AE535" i="1"/>
  <c r="AF535" i="1"/>
  <c r="AM535" i="1"/>
  <c r="AN535" i="1"/>
  <c r="AO535" i="1"/>
  <c r="L536" i="1"/>
  <c r="M536" i="1"/>
  <c r="N536" i="1"/>
  <c r="O536" i="1"/>
  <c r="P536" i="1"/>
  <c r="Q536" i="1"/>
  <c r="R536" i="1"/>
  <c r="S536" i="1"/>
  <c r="T536" i="1"/>
  <c r="U536" i="1"/>
  <c r="V536" i="1"/>
  <c r="W536" i="1"/>
  <c r="X536" i="1"/>
  <c r="Y536" i="1"/>
  <c r="Z536" i="1"/>
  <c r="AA536" i="1"/>
  <c r="AB536" i="1"/>
  <c r="AC536" i="1"/>
  <c r="AD536" i="1"/>
  <c r="AE536" i="1"/>
  <c r="AF536" i="1"/>
  <c r="AM536" i="1"/>
  <c r="AN536" i="1"/>
  <c r="AO536" i="1"/>
  <c r="L537" i="1"/>
  <c r="M537" i="1"/>
  <c r="N537" i="1"/>
  <c r="O537" i="1"/>
  <c r="P537" i="1"/>
  <c r="Q537" i="1"/>
  <c r="R537" i="1"/>
  <c r="S537" i="1"/>
  <c r="T537" i="1"/>
  <c r="U537" i="1"/>
  <c r="V537" i="1"/>
  <c r="W537" i="1"/>
  <c r="X537" i="1"/>
  <c r="Y537" i="1"/>
  <c r="Z537" i="1"/>
  <c r="AA537" i="1"/>
  <c r="AB537" i="1"/>
  <c r="AC537" i="1"/>
  <c r="AD537" i="1"/>
  <c r="AE537" i="1"/>
  <c r="AF537" i="1"/>
  <c r="AM537" i="1"/>
  <c r="AN537" i="1"/>
  <c r="AO537" i="1"/>
  <c r="L538" i="1"/>
  <c r="M538" i="1"/>
  <c r="N538" i="1"/>
  <c r="O538" i="1"/>
  <c r="P538" i="1"/>
  <c r="Q538" i="1"/>
  <c r="R538" i="1"/>
  <c r="S538" i="1"/>
  <c r="T538" i="1"/>
  <c r="U538" i="1"/>
  <c r="V538" i="1"/>
  <c r="W538" i="1"/>
  <c r="X538" i="1"/>
  <c r="Y538" i="1"/>
  <c r="Z538" i="1"/>
  <c r="AA538" i="1"/>
  <c r="AB538" i="1"/>
  <c r="AC538" i="1"/>
  <c r="AD538" i="1"/>
  <c r="AE538" i="1"/>
  <c r="AF538" i="1"/>
  <c r="AM538" i="1"/>
  <c r="AN538" i="1"/>
  <c r="AO538" i="1"/>
  <c r="L539" i="1"/>
  <c r="M539" i="1"/>
  <c r="N539" i="1"/>
  <c r="O539" i="1"/>
  <c r="P539" i="1"/>
  <c r="Q539" i="1"/>
  <c r="R539" i="1"/>
  <c r="S539" i="1"/>
  <c r="T539" i="1"/>
  <c r="U539" i="1"/>
  <c r="V539" i="1"/>
  <c r="W539" i="1"/>
  <c r="X539" i="1"/>
  <c r="Y539" i="1"/>
  <c r="Z539" i="1"/>
  <c r="AA539" i="1"/>
  <c r="AB539" i="1"/>
  <c r="AC539" i="1"/>
  <c r="AD539" i="1"/>
  <c r="AE539" i="1"/>
  <c r="AF539" i="1"/>
  <c r="AM539" i="1"/>
  <c r="AN539" i="1"/>
  <c r="AO539" i="1"/>
  <c r="L540" i="1"/>
  <c r="M540" i="1"/>
  <c r="N540" i="1"/>
  <c r="O540" i="1"/>
  <c r="P540" i="1"/>
  <c r="Q540" i="1"/>
  <c r="R540" i="1"/>
  <c r="S540" i="1"/>
  <c r="T540" i="1"/>
  <c r="U540" i="1"/>
  <c r="V540" i="1"/>
  <c r="W540" i="1"/>
  <c r="X540" i="1"/>
  <c r="Y540" i="1"/>
  <c r="Z540" i="1"/>
  <c r="AA540" i="1"/>
  <c r="AB540" i="1"/>
  <c r="AC540" i="1"/>
  <c r="AD540" i="1"/>
  <c r="AE540" i="1"/>
  <c r="AF540" i="1"/>
  <c r="AM540" i="1"/>
  <c r="AN540" i="1"/>
  <c r="AO540" i="1"/>
  <c r="L541" i="1"/>
  <c r="M541" i="1"/>
  <c r="N541" i="1"/>
  <c r="O541" i="1"/>
  <c r="P541" i="1"/>
  <c r="Q541" i="1"/>
  <c r="R541" i="1"/>
  <c r="S541" i="1"/>
  <c r="T541" i="1"/>
  <c r="U541" i="1"/>
  <c r="V541" i="1"/>
  <c r="W541" i="1"/>
  <c r="X541" i="1"/>
  <c r="Y541" i="1"/>
  <c r="Z541" i="1"/>
  <c r="AA541" i="1"/>
  <c r="AB541" i="1"/>
  <c r="AC541" i="1"/>
  <c r="AD541" i="1"/>
  <c r="AE541" i="1"/>
  <c r="AF541" i="1"/>
  <c r="AM541" i="1"/>
  <c r="AN541" i="1"/>
  <c r="AO541" i="1"/>
  <c r="L542" i="1"/>
  <c r="M542" i="1"/>
  <c r="N542" i="1"/>
  <c r="O542" i="1"/>
  <c r="P542" i="1"/>
  <c r="Q542" i="1"/>
  <c r="R542" i="1"/>
  <c r="S542" i="1"/>
  <c r="T542" i="1"/>
  <c r="U542" i="1"/>
  <c r="V542" i="1"/>
  <c r="W542" i="1"/>
  <c r="X542" i="1"/>
  <c r="Y542" i="1"/>
  <c r="Z542" i="1"/>
  <c r="AA542" i="1"/>
  <c r="AB542" i="1"/>
  <c r="AC542" i="1"/>
  <c r="AD542" i="1"/>
  <c r="AE542" i="1"/>
  <c r="AF542" i="1"/>
  <c r="AM542" i="1"/>
  <c r="AN542" i="1"/>
  <c r="AO542" i="1"/>
  <c r="L543" i="1"/>
  <c r="M543" i="1"/>
  <c r="N543" i="1"/>
  <c r="O543" i="1"/>
  <c r="P543" i="1"/>
  <c r="Q543" i="1"/>
  <c r="R543" i="1"/>
  <c r="S543" i="1"/>
  <c r="T543" i="1"/>
  <c r="U543" i="1"/>
  <c r="V543" i="1"/>
  <c r="W543" i="1"/>
  <c r="X543" i="1"/>
  <c r="Y543" i="1"/>
  <c r="Z543" i="1"/>
  <c r="AA543" i="1"/>
  <c r="AB543" i="1"/>
  <c r="AC543" i="1"/>
  <c r="AD543" i="1"/>
  <c r="AE543" i="1"/>
  <c r="AF543" i="1"/>
  <c r="AM543" i="1"/>
  <c r="AN543" i="1"/>
  <c r="AO543" i="1"/>
  <c r="L544" i="1"/>
  <c r="M544" i="1"/>
  <c r="N544" i="1"/>
  <c r="O544" i="1"/>
  <c r="P544" i="1"/>
  <c r="Q544" i="1"/>
  <c r="R544" i="1"/>
  <c r="S544" i="1"/>
  <c r="T544" i="1"/>
  <c r="U544" i="1"/>
  <c r="V544" i="1"/>
  <c r="W544" i="1"/>
  <c r="X544" i="1"/>
  <c r="Y544" i="1"/>
  <c r="Z544" i="1"/>
  <c r="AA544" i="1"/>
  <c r="AB544" i="1"/>
  <c r="AC544" i="1"/>
  <c r="AD544" i="1"/>
  <c r="AE544" i="1"/>
  <c r="AF544" i="1"/>
  <c r="AM544" i="1"/>
  <c r="AN544" i="1"/>
  <c r="AO544" i="1"/>
  <c r="L545" i="1"/>
  <c r="M545" i="1"/>
  <c r="N545" i="1"/>
  <c r="O545" i="1"/>
  <c r="P545" i="1"/>
  <c r="Q545" i="1"/>
  <c r="R545" i="1"/>
  <c r="S545" i="1"/>
  <c r="T545" i="1"/>
  <c r="U545" i="1"/>
  <c r="V545" i="1"/>
  <c r="W545" i="1"/>
  <c r="X545" i="1"/>
  <c r="Y545" i="1"/>
  <c r="Z545" i="1"/>
  <c r="AA545" i="1"/>
  <c r="AB545" i="1"/>
  <c r="AC545" i="1"/>
  <c r="AD545" i="1"/>
  <c r="AE545" i="1"/>
  <c r="AF545" i="1"/>
  <c r="AM545" i="1"/>
  <c r="AN545" i="1"/>
  <c r="AO545" i="1"/>
  <c r="L546" i="1"/>
  <c r="M546" i="1"/>
  <c r="N546" i="1"/>
  <c r="O546" i="1"/>
  <c r="P546" i="1"/>
  <c r="Q546" i="1"/>
  <c r="R546" i="1"/>
  <c r="S546" i="1"/>
  <c r="T546" i="1"/>
  <c r="U546" i="1"/>
  <c r="V546" i="1"/>
  <c r="W546" i="1"/>
  <c r="X546" i="1"/>
  <c r="Y546" i="1"/>
  <c r="Z546" i="1"/>
  <c r="AA546" i="1"/>
  <c r="AB546" i="1"/>
  <c r="AC546" i="1"/>
  <c r="AD546" i="1"/>
  <c r="AE546" i="1"/>
  <c r="AF546" i="1"/>
  <c r="AM546" i="1"/>
  <c r="AN546" i="1"/>
  <c r="AO546" i="1"/>
  <c r="L547" i="1"/>
  <c r="M547" i="1"/>
  <c r="N547" i="1"/>
  <c r="O547" i="1"/>
  <c r="P547" i="1"/>
  <c r="Q547" i="1"/>
  <c r="R547" i="1"/>
  <c r="S547" i="1"/>
  <c r="T547" i="1"/>
  <c r="U547" i="1"/>
  <c r="V547" i="1"/>
  <c r="W547" i="1"/>
  <c r="X547" i="1"/>
  <c r="Y547" i="1"/>
  <c r="Z547" i="1"/>
  <c r="AA547" i="1"/>
  <c r="AB547" i="1"/>
  <c r="AC547" i="1"/>
  <c r="AD547" i="1"/>
  <c r="AE547" i="1"/>
  <c r="AF547" i="1"/>
  <c r="AM547" i="1"/>
  <c r="AN547" i="1"/>
  <c r="AO547" i="1"/>
  <c r="L548" i="1"/>
  <c r="M548" i="1"/>
  <c r="N548" i="1"/>
  <c r="O548" i="1"/>
  <c r="P548" i="1"/>
  <c r="Q548" i="1"/>
  <c r="R548" i="1"/>
  <c r="S548" i="1"/>
  <c r="T548" i="1"/>
  <c r="U548" i="1"/>
  <c r="V548" i="1"/>
  <c r="W548" i="1"/>
  <c r="X548" i="1"/>
  <c r="Y548" i="1"/>
  <c r="Z548" i="1"/>
  <c r="AA548" i="1"/>
  <c r="AB548" i="1"/>
  <c r="AC548" i="1"/>
  <c r="AD548" i="1"/>
  <c r="AE548" i="1"/>
  <c r="AF548" i="1"/>
  <c r="AM548" i="1"/>
  <c r="AN548" i="1"/>
  <c r="AO548" i="1"/>
  <c r="L549" i="1"/>
  <c r="M549" i="1"/>
  <c r="N549" i="1"/>
  <c r="O549" i="1"/>
  <c r="P549" i="1"/>
  <c r="Q549" i="1"/>
  <c r="R549" i="1"/>
  <c r="S549" i="1"/>
  <c r="T549" i="1"/>
  <c r="U549" i="1"/>
  <c r="V549" i="1"/>
  <c r="W549" i="1"/>
  <c r="X549" i="1"/>
  <c r="Y549" i="1"/>
  <c r="Z549" i="1"/>
  <c r="AA549" i="1"/>
  <c r="AB549" i="1"/>
  <c r="AC549" i="1"/>
  <c r="AD549" i="1"/>
  <c r="AE549" i="1"/>
  <c r="AF549" i="1"/>
  <c r="AM549" i="1"/>
  <c r="AN549" i="1"/>
  <c r="AO549" i="1"/>
  <c r="L550" i="1"/>
  <c r="M550" i="1"/>
  <c r="N550" i="1"/>
  <c r="O550" i="1"/>
  <c r="P550" i="1"/>
  <c r="Q550" i="1"/>
  <c r="R550" i="1"/>
  <c r="S550" i="1"/>
  <c r="T550" i="1"/>
  <c r="U550" i="1"/>
  <c r="V550" i="1"/>
  <c r="W550" i="1"/>
  <c r="X550" i="1"/>
  <c r="Y550" i="1"/>
  <c r="Z550" i="1"/>
  <c r="AA550" i="1"/>
  <c r="AB550" i="1"/>
  <c r="AC550" i="1"/>
  <c r="AD550" i="1"/>
  <c r="AE550" i="1"/>
  <c r="AF550" i="1"/>
  <c r="AM550" i="1"/>
  <c r="AN550" i="1"/>
  <c r="AO550" i="1"/>
  <c r="L551" i="1"/>
  <c r="M551" i="1"/>
  <c r="N551" i="1"/>
  <c r="O551" i="1"/>
  <c r="P551" i="1"/>
  <c r="Q551" i="1"/>
  <c r="R551" i="1"/>
  <c r="S551" i="1"/>
  <c r="T551" i="1"/>
  <c r="U551" i="1"/>
  <c r="V551" i="1"/>
  <c r="W551" i="1"/>
  <c r="X551" i="1"/>
  <c r="Y551" i="1"/>
  <c r="Z551" i="1"/>
  <c r="AA551" i="1"/>
  <c r="AB551" i="1"/>
  <c r="AC551" i="1"/>
  <c r="AD551" i="1"/>
  <c r="AE551" i="1"/>
  <c r="AF551" i="1"/>
  <c r="AM551" i="1"/>
  <c r="AN551" i="1"/>
  <c r="AO551" i="1"/>
  <c r="L552" i="1"/>
  <c r="M552" i="1"/>
  <c r="N552" i="1"/>
  <c r="O552" i="1"/>
  <c r="P552" i="1"/>
  <c r="Q552" i="1"/>
  <c r="R552" i="1"/>
  <c r="S552" i="1"/>
  <c r="T552" i="1"/>
  <c r="U552" i="1"/>
  <c r="V552" i="1"/>
  <c r="W552" i="1"/>
  <c r="X552" i="1"/>
  <c r="Y552" i="1"/>
  <c r="Z552" i="1"/>
  <c r="AA552" i="1"/>
  <c r="AB552" i="1"/>
  <c r="AC552" i="1"/>
  <c r="AD552" i="1"/>
  <c r="AE552" i="1"/>
  <c r="AF552" i="1"/>
  <c r="AM552" i="1"/>
  <c r="AN552" i="1"/>
  <c r="AO552" i="1"/>
  <c r="L553" i="1"/>
  <c r="M553" i="1"/>
  <c r="N553" i="1"/>
  <c r="O553" i="1"/>
  <c r="P553" i="1"/>
  <c r="Q553" i="1"/>
  <c r="R553" i="1"/>
  <c r="S553" i="1"/>
  <c r="T553" i="1"/>
  <c r="U553" i="1"/>
  <c r="V553" i="1"/>
  <c r="W553" i="1"/>
  <c r="X553" i="1"/>
  <c r="Y553" i="1"/>
  <c r="Z553" i="1"/>
  <c r="AA553" i="1"/>
  <c r="AB553" i="1"/>
  <c r="AC553" i="1"/>
  <c r="AD553" i="1"/>
  <c r="AE553" i="1"/>
  <c r="AF553" i="1"/>
  <c r="AM553" i="1"/>
  <c r="AN553" i="1"/>
  <c r="AO553" i="1"/>
  <c r="L554" i="1"/>
  <c r="M554" i="1"/>
  <c r="N554" i="1"/>
  <c r="O554" i="1"/>
  <c r="P554" i="1"/>
  <c r="Q554" i="1"/>
  <c r="R554" i="1"/>
  <c r="S554" i="1"/>
  <c r="T554" i="1"/>
  <c r="U554" i="1"/>
  <c r="V554" i="1"/>
  <c r="W554" i="1"/>
  <c r="X554" i="1"/>
  <c r="Y554" i="1"/>
  <c r="Z554" i="1"/>
  <c r="AA554" i="1"/>
  <c r="AB554" i="1"/>
  <c r="AC554" i="1"/>
  <c r="AD554" i="1"/>
  <c r="AE554" i="1"/>
  <c r="AF554" i="1"/>
  <c r="AM554" i="1"/>
  <c r="AN554" i="1"/>
  <c r="AO554" i="1"/>
  <c r="L555" i="1"/>
  <c r="M555" i="1"/>
  <c r="N555" i="1"/>
  <c r="O555" i="1"/>
  <c r="P555" i="1"/>
  <c r="Q555" i="1"/>
  <c r="R555" i="1"/>
  <c r="S555" i="1"/>
  <c r="T555" i="1"/>
  <c r="U555" i="1"/>
  <c r="V555" i="1"/>
  <c r="W555" i="1"/>
  <c r="X555" i="1"/>
  <c r="Y555" i="1"/>
  <c r="Z555" i="1"/>
  <c r="AA555" i="1"/>
  <c r="AB555" i="1"/>
  <c r="AC555" i="1"/>
  <c r="AD555" i="1"/>
  <c r="AE555" i="1"/>
  <c r="AF555" i="1"/>
  <c r="AM555" i="1"/>
  <c r="AN555" i="1"/>
  <c r="AO555" i="1"/>
  <c r="L556" i="1"/>
  <c r="M556" i="1"/>
  <c r="N556" i="1"/>
  <c r="O556" i="1"/>
  <c r="P556" i="1"/>
  <c r="Q556" i="1"/>
  <c r="R556" i="1"/>
  <c r="S556" i="1"/>
  <c r="T556" i="1"/>
  <c r="U556" i="1"/>
  <c r="V556" i="1"/>
  <c r="W556" i="1"/>
  <c r="X556" i="1"/>
  <c r="Y556" i="1"/>
  <c r="Z556" i="1"/>
  <c r="AA556" i="1"/>
  <c r="AB556" i="1"/>
  <c r="AC556" i="1"/>
  <c r="AD556" i="1"/>
  <c r="AE556" i="1"/>
  <c r="AF556" i="1"/>
  <c r="AM556" i="1"/>
  <c r="AN556" i="1"/>
  <c r="AO556" i="1"/>
  <c r="L557" i="1"/>
  <c r="M557" i="1"/>
  <c r="N557" i="1"/>
  <c r="O557" i="1"/>
  <c r="P557" i="1"/>
  <c r="Q557" i="1"/>
  <c r="R557" i="1"/>
  <c r="S557" i="1"/>
  <c r="T557" i="1"/>
  <c r="U557" i="1"/>
  <c r="V557" i="1"/>
  <c r="W557" i="1"/>
  <c r="X557" i="1"/>
  <c r="Y557" i="1"/>
  <c r="Z557" i="1"/>
  <c r="AA557" i="1"/>
  <c r="AB557" i="1"/>
  <c r="AC557" i="1"/>
  <c r="AD557" i="1"/>
  <c r="AE557" i="1"/>
  <c r="AF557" i="1"/>
  <c r="AM557" i="1"/>
  <c r="AN557" i="1"/>
  <c r="AO557" i="1"/>
  <c r="L558" i="1"/>
  <c r="M558" i="1"/>
  <c r="N558" i="1"/>
  <c r="O558" i="1"/>
  <c r="P558" i="1"/>
  <c r="Q558" i="1"/>
  <c r="R558" i="1"/>
  <c r="S558" i="1"/>
  <c r="T558" i="1"/>
  <c r="U558" i="1"/>
  <c r="V558" i="1"/>
  <c r="W558" i="1"/>
  <c r="X558" i="1"/>
  <c r="Y558" i="1"/>
  <c r="Z558" i="1"/>
  <c r="AA558" i="1"/>
  <c r="AB558" i="1"/>
  <c r="AC558" i="1"/>
  <c r="AD558" i="1"/>
  <c r="AE558" i="1"/>
  <c r="AF558" i="1"/>
  <c r="AM558" i="1"/>
  <c r="AN558" i="1"/>
  <c r="AO558" i="1"/>
  <c r="L559" i="1"/>
  <c r="M559" i="1"/>
  <c r="N559" i="1"/>
  <c r="O559" i="1"/>
  <c r="P559" i="1"/>
  <c r="Q559" i="1"/>
  <c r="R559" i="1"/>
  <c r="S559" i="1"/>
  <c r="T559" i="1"/>
  <c r="U559" i="1"/>
  <c r="V559" i="1"/>
  <c r="W559" i="1"/>
  <c r="X559" i="1"/>
  <c r="Y559" i="1"/>
  <c r="Z559" i="1"/>
  <c r="AA559" i="1"/>
  <c r="AB559" i="1"/>
  <c r="AC559" i="1"/>
  <c r="AD559" i="1"/>
  <c r="AE559" i="1"/>
  <c r="AF559" i="1"/>
  <c r="AM559" i="1"/>
  <c r="AN559" i="1"/>
  <c r="AO559" i="1"/>
  <c r="L560" i="1"/>
  <c r="M560" i="1"/>
  <c r="N560" i="1"/>
  <c r="O560" i="1"/>
  <c r="P560" i="1"/>
  <c r="Q560" i="1"/>
  <c r="R560" i="1"/>
  <c r="S560" i="1"/>
  <c r="T560" i="1"/>
  <c r="U560" i="1"/>
  <c r="V560" i="1"/>
  <c r="W560" i="1"/>
  <c r="X560" i="1"/>
  <c r="Y560" i="1"/>
  <c r="Z560" i="1"/>
  <c r="AA560" i="1"/>
  <c r="AB560" i="1"/>
  <c r="AC560" i="1"/>
  <c r="AD560" i="1"/>
  <c r="AE560" i="1"/>
  <c r="AF560" i="1"/>
  <c r="AM560" i="1"/>
  <c r="AN560" i="1"/>
  <c r="AO560" i="1"/>
  <c r="L561" i="1"/>
  <c r="M561" i="1"/>
  <c r="N561" i="1"/>
  <c r="O561" i="1"/>
  <c r="P561" i="1"/>
  <c r="Q561" i="1"/>
  <c r="R561" i="1"/>
  <c r="S561" i="1"/>
  <c r="T561" i="1"/>
  <c r="U561" i="1"/>
  <c r="V561" i="1"/>
  <c r="W561" i="1"/>
  <c r="X561" i="1"/>
  <c r="Y561" i="1"/>
  <c r="Z561" i="1"/>
  <c r="AA561" i="1"/>
  <c r="AB561" i="1"/>
  <c r="AC561" i="1"/>
  <c r="AD561" i="1"/>
  <c r="AE561" i="1"/>
  <c r="AF561" i="1"/>
  <c r="AM561" i="1"/>
  <c r="AN561" i="1"/>
  <c r="AO561" i="1"/>
  <c r="L562" i="1"/>
  <c r="M562" i="1"/>
  <c r="N562" i="1"/>
  <c r="O562" i="1"/>
  <c r="P562" i="1"/>
  <c r="Q562" i="1"/>
  <c r="R562" i="1"/>
  <c r="S562" i="1"/>
  <c r="T562" i="1"/>
  <c r="U562" i="1"/>
  <c r="V562" i="1"/>
  <c r="W562" i="1"/>
  <c r="X562" i="1"/>
  <c r="Y562" i="1"/>
  <c r="Z562" i="1"/>
  <c r="AA562" i="1"/>
  <c r="AB562" i="1"/>
  <c r="AC562" i="1"/>
  <c r="AD562" i="1"/>
  <c r="AE562" i="1"/>
  <c r="AF562" i="1"/>
  <c r="AM562" i="1"/>
  <c r="AN562" i="1"/>
  <c r="AO562" i="1"/>
  <c r="L563" i="1"/>
  <c r="M563" i="1"/>
  <c r="N563" i="1"/>
  <c r="O563" i="1"/>
  <c r="P563" i="1"/>
  <c r="Q563" i="1"/>
  <c r="R563" i="1"/>
  <c r="S563" i="1"/>
  <c r="T563" i="1"/>
  <c r="U563" i="1"/>
  <c r="V563" i="1"/>
  <c r="W563" i="1"/>
  <c r="X563" i="1"/>
  <c r="Y563" i="1"/>
  <c r="Z563" i="1"/>
  <c r="AA563" i="1"/>
  <c r="AB563" i="1"/>
  <c r="AC563" i="1"/>
  <c r="AD563" i="1"/>
  <c r="AE563" i="1"/>
  <c r="AF563" i="1"/>
  <c r="AM563" i="1"/>
  <c r="AN563" i="1"/>
  <c r="AO563" i="1"/>
  <c r="L564" i="1"/>
  <c r="M564" i="1"/>
  <c r="N564" i="1"/>
  <c r="O564" i="1"/>
  <c r="P564" i="1"/>
  <c r="Q564" i="1"/>
  <c r="R564" i="1"/>
  <c r="S564" i="1"/>
  <c r="T564" i="1"/>
  <c r="U564" i="1"/>
  <c r="V564" i="1"/>
  <c r="W564" i="1"/>
  <c r="X564" i="1"/>
  <c r="Y564" i="1"/>
  <c r="Z564" i="1"/>
  <c r="AA564" i="1"/>
  <c r="AB564" i="1"/>
  <c r="AC564" i="1"/>
  <c r="AD564" i="1"/>
  <c r="AE564" i="1"/>
  <c r="AF564" i="1"/>
  <c r="AM564" i="1"/>
  <c r="AN564" i="1"/>
  <c r="AO564" i="1"/>
  <c r="L565" i="1"/>
  <c r="M565" i="1"/>
  <c r="N565" i="1"/>
  <c r="O565" i="1"/>
  <c r="P565" i="1"/>
  <c r="Q565" i="1"/>
  <c r="R565" i="1"/>
  <c r="S565" i="1"/>
  <c r="T565" i="1"/>
  <c r="U565" i="1"/>
  <c r="V565" i="1"/>
  <c r="W565" i="1"/>
  <c r="X565" i="1"/>
  <c r="Y565" i="1"/>
  <c r="Z565" i="1"/>
  <c r="AA565" i="1"/>
  <c r="AB565" i="1"/>
  <c r="AC565" i="1"/>
  <c r="AD565" i="1"/>
  <c r="AE565" i="1"/>
  <c r="AF565" i="1"/>
  <c r="AM565" i="1"/>
  <c r="AN565" i="1"/>
  <c r="AO565" i="1"/>
  <c r="L566" i="1"/>
  <c r="M566" i="1"/>
  <c r="N566" i="1"/>
  <c r="O566" i="1"/>
  <c r="P566" i="1"/>
  <c r="Q566" i="1"/>
  <c r="R566" i="1"/>
  <c r="S566" i="1"/>
  <c r="T566" i="1"/>
  <c r="U566" i="1"/>
  <c r="V566" i="1"/>
  <c r="W566" i="1"/>
  <c r="X566" i="1"/>
  <c r="Y566" i="1"/>
  <c r="Z566" i="1"/>
  <c r="AA566" i="1"/>
  <c r="AB566" i="1"/>
  <c r="AC566" i="1"/>
  <c r="AD566" i="1"/>
  <c r="AE566" i="1"/>
  <c r="AF566" i="1"/>
  <c r="AM566" i="1"/>
  <c r="AN566" i="1"/>
  <c r="AO566" i="1"/>
  <c r="L567" i="1"/>
  <c r="M567" i="1"/>
  <c r="N567" i="1"/>
  <c r="O567" i="1"/>
  <c r="P567" i="1"/>
  <c r="Q567" i="1"/>
  <c r="R567" i="1"/>
  <c r="S567" i="1"/>
  <c r="T567" i="1"/>
  <c r="U567" i="1"/>
  <c r="V567" i="1"/>
  <c r="W567" i="1"/>
  <c r="X567" i="1"/>
  <c r="Y567" i="1"/>
  <c r="Z567" i="1"/>
  <c r="AA567" i="1"/>
  <c r="AB567" i="1"/>
  <c r="AC567" i="1"/>
  <c r="AD567" i="1"/>
  <c r="AE567" i="1"/>
  <c r="AF567" i="1"/>
  <c r="AM567" i="1"/>
  <c r="AN567" i="1"/>
  <c r="AO567" i="1"/>
  <c r="L568" i="1"/>
  <c r="M568" i="1"/>
  <c r="N568" i="1"/>
  <c r="O568" i="1"/>
  <c r="P568" i="1"/>
  <c r="Q568" i="1"/>
  <c r="R568" i="1"/>
  <c r="S568" i="1"/>
  <c r="T568" i="1"/>
  <c r="U568" i="1"/>
  <c r="V568" i="1"/>
  <c r="W568" i="1"/>
  <c r="X568" i="1"/>
  <c r="Y568" i="1"/>
  <c r="Z568" i="1"/>
  <c r="AA568" i="1"/>
  <c r="AB568" i="1"/>
  <c r="AC568" i="1"/>
  <c r="AD568" i="1"/>
  <c r="AE568" i="1"/>
  <c r="AF568" i="1"/>
  <c r="AM568" i="1"/>
  <c r="AN568" i="1"/>
  <c r="AO568" i="1"/>
  <c r="L569" i="1"/>
  <c r="M569" i="1"/>
  <c r="N569" i="1"/>
  <c r="O569" i="1"/>
  <c r="P569" i="1"/>
  <c r="Q569" i="1"/>
  <c r="R569" i="1"/>
  <c r="S569" i="1"/>
  <c r="T569" i="1"/>
  <c r="U569" i="1"/>
  <c r="V569" i="1"/>
  <c r="W569" i="1"/>
  <c r="X569" i="1"/>
  <c r="Y569" i="1"/>
  <c r="Z569" i="1"/>
  <c r="AA569" i="1"/>
  <c r="AB569" i="1"/>
  <c r="AC569" i="1"/>
  <c r="AD569" i="1"/>
  <c r="AE569" i="1"/>
  <c r="AF569" i="1"/>
  <c r="AM569" i="1"/>
  <c r="AN569" i="1"/>
  <c r="AO569" i="1"/>
  <c r="L570" i="1"/>
  <c r="M570" i="1"/>
  <c r="N570" i="1"/>
  <c r="O570" i="1"/>
  <c r="P570" i="1"/>
  <c r="Q570" i="1"/>
  <c r="R570" i="1"/>
  <c r="S570" i="1"/>
  <c r="T570" i="1"/>
  <c r="U570" i="1"/>
  <c r="V570" i="1"/>
  <c r="W570" i="1"/>
  <c r="X570" i="1"/>
  <c r="Y570" i="1"/>
  <c r="Z570" i="1"/>
  <c r="AA570" i="1"/>
  <c r="AB570" i="1"/>
  <c r="AC570" i="1"/>
  <c r="AD570" i="1"/>
  <c r="AE570" i="1"/>
  <c r="AF570" i="1"/>
  <c r="AM570" i="1"/>
  <c r="AN570" i="1"/>
  <c r="AO570" i="1"/>
  <c r="L571" i="1"/>
  <c r="M571" i="1"/>
  <c r="N571" i="1"/>
  <c r="O571" i="1"/>
  <c r="P571" i="1"/>
  <c r="Q571" i="1"/>
  <c r="R571" i="1"/>
  <c r="S571" i="1"/>
  <c r="T571" i="1"/>
  <c r="U571" i="1"/>
  <c r="V571" i="1"/>
  <c r="W571" i="1"/>
  <c r="X571" i="1"/>
  <c r="Y571" i="1"/>
  <c r="Z571" i="1"/>
  <c r="AA571" i="1"/>
  <c r="AB571" i="1"/>
  <c r="AC571" i="1"/>
  <c r="AD571" i="1"/>
  <c r="AE571" i="1"/>
  <c r="AF571" i="1"/>
  <c r="AM571" i="1"/>
  <c r="AN571" i="1"/>
  <c r="AO571" i="1"/>
  <c r="L572" i="1"/>
  <c r="M572" i="1"/>
  <c r="N572" i="1"/>
  <c r="O572" i="1"/>
  <c r="P572" i="1"/>
  <c r="Q572" i="1"/>
  <c r="R572" i="1"/>
  <c r="S572" i="1"/>
  <c r="T572" i="1"/>
  <c r="U572" i="1"/>
  <c r="V572" i="1"/>
  <c r="W572" i="1"/>
  <c r="X572" i="1"/>
  <c r="Y572" i="1"/>
  <c r="Z572" i="1"/>
  <c r="AA572" i="1"/>
  <c r="AB572" i="1"/>
  <c r="AC572" i="1"/>
  <c r="AD572" i="1"/>
  <c r="AE572" i="1"/>
  <c r="AF572" i="1"/>
  <c r="AM572" i="1"/>
  <c r="AN572" i="1"/>
  <c r="AO572" i="1"/>
  <c r="L573" i="1"/>
  <c r="M573" i="1"/>
  <c r="N573" i="1"/>
  <c r="O573" i="1"/>
  <c r="P573" i="1"/>
  <c r="Q573" i="1"/>
  <c r="R573" i="1"/>
  <c r="S573" i="1"/>
  <c r="T573" i="1"/>
  <c r="U573" i="1"/>
  <c r="V573" i="1"/>
  <c r="W573" i="1"/>
  <c r="X573" i="1"/>
  <c r="Y573" i="1"/>
  <c r="Z573" i="1"/>
  <c r="AA573" i="1"/>
  <c r="AB573" i="1"/>
  <c r="AC573" i="1"/>
  <c r="AD573" i="1"/>
  <c r="AE573" i="1"/>
  <c r="AF573" i="1"/>
  <c r="AM573" i="1"/>
  <c r="AN573" i="1"/>
  <c r="AO573" i="1"/>
  <c r="L574" i="1"/>
  <c r="M574" i="1"/>
  <c r="N574" i="1"/>
  <c r="O574" i="1"/>
  <c r="P574" i="1"/>
  <c r="Q574" i="1"/>
  <c r="R574" i="1"/>
  <c r="S574" i="1"/>
  <c r="T574" i="1"/>
  <c r="U574" i="1"/>
  <c r="V574" i="1"/>
  <c r="W574" i="1"/>
  <c r="X574" i="1"/>
  <c r="Y574" i="1"/>
  <c r="Z574" i="1"/>
  <c r="AA574" i="1"/>
  <c r="AB574" i="1"/>
  <c r="AC574" i="1"/>
  <c r="AD574" i="1"/>
  <c r="AE574" i="1"/>
  <c r="AF574" i="1"/>
  <c r="AM574" i="1"/>
  <c r="AN574" i="1"/>
  <c r="AO574" i="1"/>
  <c r="L575" i="1"/>
  <c r="M575" i="1"/>
  <c r="N575" i="1"/>
  <c r="O575" i="1"/>
  <c r="P575" i="1"/>
  <c r="Q575" i="1"/>
  <c r="R575" i="1"/>
  <c r="S575" i="1"/>
  <c r="T575" i="1"/>
  <c r="U575" i="1"/>
  <c r="V575" i="1"/>
  <c r="W575" i="1"/>
  <c r="X575" i="1"/>
  <c r="Y575" i="1"/>
  <c r="Z575" i="1"/>
  <c r="AA575" i="1"/>
  <c r="AB575" i="1"/>
  <c r="AC575" i="1"/>
  <c r="AD575" i="1"/>
  <c r="AE575" i="1"/>
  <c r="AF575" i="1"/>
  <c r="AM575" i="1"/>
  <c r="AN575" i="1"/>
  <c r="AO575" i="1"/>
  <c r="L576" i="1"/>
  <c r="M576" i="1"/>
  <c r="N576" i="1"/>
  <c r="O576" i="1"/>
  <c r="P576" i="1"/>
  <c r="Q576" i="1"/>
  <c r="R576" i="1"/>
  <c r="S576" i="1"/>
  <c r="T576" i="1"/>
  <c r="U576" i="1"/>
  <c r="V576" i="1"/>
  <c r="W576" i="1"/>
  <c r="X576" i="1"/>
  <c r="Y576" i="1"/>
  <c r="Z576" i="1"/>
  <c r="AA576" i="1"/>
  <c r="AB576" i="1"/>
  <c r="AC576" i="1"/>
  <c r="AD576" i="1"/>
  <c r="AE576" i="1"/>
  <c r="AF576" i="1"/>
  <c r="AM576" i="1"/>
  <c r="AN576" i="1"/>
  <c r="AO576" i="1"/>
  <c r="L577" i="1"/>
  <c r="M577" i="1"/>
  <c r="N577" i="1"/>
  <c r="O577" i="1"/>
  <c r="P577" i="1"/>
  <c r="Q577" i="1"/>
  <c r="R577" i="1"/>
  <c r="S577" i="1"/>
  <c r="T577" i="1"/>
  <c r="U577" i="1"/>
  <c r="V577" i="1"/>
  <c r="W577" i="1"/>
  <c r="X577" i="1"/>
  <c r="Y577" i="1"/>
  <c r="Z577" i="1"/>
  <c r="AA577" i="1"/>
  <c r="AB577" i="1"/>
  <c r="AC577" i="1"/>
  <c r="AD577" i="1"/>
  <c r="AE577" i="1"/>
  <c r="AF577" i="1"/>
  <c r="AM577" i="1"/>
  <c r="AN577" i="1"/>
  <c r="AO577" i="1"/>
  <c r="L578" i="1"/>
  <c r="M578" i="1"/>
  <c r="N578" i="1"/>
  <c r="O578" i="1"/>
  <c r="P578" i="1"/>
  <c r="Q578" i="1"/>
  <c r="R578" i="1"/>
  <c r="S578" i="1"/>
  <c r="T578" i="1"/>
  <c r="U578" i="1"/>
  <c r="V578" i="1"/>
  <c r="W578" i="1"/>
  <c r="X578" i="1"/>
  <c r="Y578" i="1"/>
  <c r="Z578" i="1"/>
  <c r="AA578" i="1"/>
  <c r="AB578" i="1"/>
  <c r="AC578" i="1"/>
  <c r="AD578" i="1"/>
  <c r="AE578" i="1"/>
  <c r="AF578" i="1"/>
  <c r="AM578" i="1"/>
  <c r="AN578" i="1"/>
  <c r="AO578" i="1"/>
  <c r="L579" i="1"/>
  <c r="M579" i="1"/>
  <c r="N579" i="1"/>
  <c r="O579" i="1"/>
  <c r="P579" i="1"/>
  <c r="Q579" i="1"/>
  <c r="R579" i="1"/>
  <c r="S579" i="1"/>
  <c r="T579" i="1"/>
  <c r="U579" i="1"/>
  <c r="V579" i="1"/>
  <c r="W579" i="1"/>
  <c r="X579" i="1"/>
  <c r="Y579" i="1"/>
  <c r="Z579" i="1"/>
  <c r="AA579" i="1"/>
  <c r="AB579" i="1"/>
  <c r="AC579" i="1"/>
  <c r="AD579" i="1"/>
  <c r="AE579" i="1"/>
  <c r="AF579" i="1"/>
  <c r="AM579" i="1"/>
  <c r="AN579" i="1"/>
  <c r="AO579" i="1"/>
  <c r="L580" i="1"/>
  <c r="M580" i="1"/>
  <c r="N580" i="1"/>
  <c r="O580" i="1"/>
  <c r="P580" i="1"/>
  <c r="Q580" i="1"/>
  <c r="R580" i="1"/>
  <c r="S580" i="1"/>
  <c r="T580" i="1"/>
  <c r="U580" i="1"/>
  <c r="V580" i="1"/>
  <c r="W580" i="1"/>
  <c r="X580" i="1"/>
  <c r="Y580" i="1"/>
  <c r="Z580" i="1"/>
  <c r="AA580" i="1"/>
  <c r="AB580" i="1"/>
  <c r="AC580" i="1"/>
  <c r="AD580" i="1"/>
  <c r="AE580" i="1"/>
  <c r="AF580" i="1"/>
  <c r="AM580" i="1"/>
  <c r="AN580" i="1"/>
  <c r="AO580" i="1"/>
  <c r="L581" i="1"/>
  <c r="M581" i="1"/>
  <c r="N581" i="1"/>
  <c r="O581" i="1"/>
  <c r="P581" i="1"/>
  <c r="Q581" i="1"/>
  <c r="R581" i="1"/>
  <c r="S581" i="1"/>
  <c r="T581" i="1"/>
  <c r="U581" i="1"/>
  <c r="V581" i="1"/>
  <c r="W581" i="1"/>
  <c r="X581" i="1"/>
  <c r="Y581" i="1"/>
  <c r="Z581" i="1"/>
  <c r="AA581" i="1"/>
  <c r="AB581" i="1"/>
  <c r="AC581" i="1"/>
  <c r="AD581" i="1"/>
  <c r="AE581" i="1"/>
  <c r="AF581" i="1"/>
  <c r="AM581" i="1"/>
  <c r="AN581" i="1"/>
  <c r="AO581" i="1"/>
  <c r="L582" i="1"/>
  <c r="M582" i="1"/>
  <c r="N582" i="1"/>
  <c r="O582" i="1"/>
  <c r="P582" i="1"/>
  <c r="Q582" i="1"/>
  <c r="R582" i="1"/>
  <c r="S582" i="1"/>
  <c r="T582" i="1"/>
  <c r="U582" i="1"/>
  <c r="V582" i="1"/>
  <c r="W582" i="1"/>
  <c r="X582" i="1"/>
  <c r="Y582" i="1"/>
  <c r="Z582" i="1"/>
  <c r="AA582" i="1"/>
  <c r="AB582" i="1"/>
  <c r="AC582" i="1"/>
  <c r="AD582" i="1"/>
  <c r="AE582" i="1"/>
  <c r="AF582" i="1"/>
  <c r="AM582" i="1"/>
  <c r="AN582" i="1"/>
  <c r="AO582" i="1"/>
  <c r="L583" i="1"/>
  <c r="M583" i="1"/>
  <c r="N583" i="1"/>
  <c r="O583" i="1"/>
  <c r="P583" i="1"/>
  <c r="Q583" i="1"/>
  <c r="R583" i="1"/>
  <c r="S583" i="1"/>
  <c r="T583" i="1"/>
  <c r="U583" i="1"/>
  <c r="V583" i="1"/>
  <c r="W583" i="1"/>
  <c r="X583" i="1"/>
  <c r="Y583" i="1"/>
  <c r="Z583" i="1"/>
  <c r="AA583" i="1"/>
  <c r="AB583" i="1"/>
  <c r="AC583" i="1"/>
  <c r="AD583" i="1"/>
  <c r="AE583" i="1"/>
  <c r="AF583" i="1"/>
  <c r="AM583" i="1"/>
  <c r="AN583" i="1"/>
  <c r="AO583" i="1"/>
  <c r="L584" i="1"/>
  <c r="M584" i="1"/>
  <c r="N584" i="1"/>
  <c r="O584" i="1"/>
  <c r="P584" i="1"/>
  <c r="Q584" i="1"/>
  <c r="R584" i="1"/>
  <c r="S584" i="1"/>
  <c r="T584" i="1"/>
  <c r="U584" i="1"/>
  <c r="V584" i="1"/>
  <c r="W584" i="1"/>
  <c r="X584" i="1"/>
  <c r="Y584" i="1"/>
  <c r="Z584" i="1"/>
  <c r="AA584" i="1"/>
  <c r="AB584" i="1"/>
  <c r="AC584" i="1"/>
  <c r="AD584" i="1"/>
  <c r="AE584" i="1"/>
  <c r="AF584" i="1"/>
  <c r="AM584" i="1"/>
  <c r="AN584" i="1"/>
  <c r="AO584" i="1"/>
  <c r="L585" i="1"/>
  <c r="M585" i="1"/>
  <c r="N585" i="1"/>
  <c r="O585" i="1"/>
  <c r="P585" i="1"/>
  <c r="Q585" i="1"/>
  <c r="R585" i="1"/>
  <c r="S585" i="1"/>
  <c r="T585" i="1"/>
  <c r="U585" i="1"/>
  <c r="V585" i="1"/>
  <c r="W585" i="1"/>
  <c r="X585" i="1"/>
  <c r="Y585" i="1"/>
  <c r="Z585" i="1"/>
  <c r="AA585" i="1"/>
  <c r="AB585" i="1"/>
  <c r="AC585" i="1"/>
  <c r="AD585" i="1"/>
  <c r="AE585" i="1"/>
  <c r="AF585" i="1"/>
  <c r="AM585" i="1"/>
  <c r="AN585" i="1"/>
  <c r="AO585" i="1"/>
  <c r="L586" i="1"/>
  <c r="M586" i="1"/>
  <c r="N586" i="1"/>
  <c r="O586" i="1"/>
  <c r="P586" i="1"/>
  <c r="Q586" i="1"/>
  <c r="R586" i="1"/>
  <c r="S586" i="1"/>
  <c r="T586" i="1"/>
  <c r="U586" i="1"/>
  <c r="V586" i="1"/>
  <c r="W586" i="1"/>
  <c r="X586" i="1"/>
  <c r="Y586" i="1"/>
  <c r="Z586" i="1"/>
  <c r="AA586" i="1"/>
  <c r="AB586" i="1"/>
  <c r="AC586" i="1"/>
  <c r="AD586" i="1"/>
  <c r="AE586" i="1"/>
  <c r="AF586" i="1"/>
  <c r="AM586" i="1"/>
  <c r="AN586" i="1"/>
  <c r="AO586" i="1"/>
  <c r="L587" i="1"/>
  <c r="M587" i="1"/>
  <c r="N587" i="1"/>
  <c r="O587" i="1"/>
  <c r="P587" i="1"/>
  <c r="Q587" i="1"/>
  <c r="R587" i="1"/>
  <c r="S587" i="1"/>
  <c r="T587" i="1"/>
  <c r="U587" i="1"/>
  <c r="V587" i="1"/>
  <c r="W587" i="1"/>
  <c r="X587" i="1"/>
  <c r="Y587" i="1"/>
  <c r="Z587" i="1"/>
  <c r="AA587" i="1"/>
  <c r="AB587" i="1"/>
  <c r="AC587" i="1"/>
  <c r="AD587" i="1"/>
  <c r="AE587" i="1"/>
  <c r="AF587" i="1"/>
  <c r="AM587" i="1"/>
  <c r="AN587" i="1"/>
  <c r="AO587" i="1"/>
  <c r="L588" i="1"/>
  <c r="M588" i="1"/>
  <c r="N588" i="1"/>
  <c r="O588" i="1"/>
  <c r="P588" i="1"/>
  <c r="Q588" i="1"/>
  <c r="R588" i="1"/>
  <c r="S588" i="1"/>
  <c r="T588" i="1"/>
  <c r="U588" i="1"/>
  <c r="V588" i="1"/>
  <c r="W588" i="1"/>
  <c r="X588" i="1"/>
  <c r="Y588" i="1"/>
  <c r="Z588" i="1"/>
  <c r="AA588" i="1"/>
  <c r="AB588" i="1"/>
  <c r="AC588" i="1"/>
  <c r="AD588" i="1"/>
  <c r="AE588" i="1"/>
  <c r="AF588" i="1"/>
  <c r="AM588" i="1"/>
  <c r="AN588" i="1"/>
  <c r="AO588" i="1"/>
  <c r="L589" i="1"/>
  <c r="M589" i="1"/>
  <c r="N589" i="1"/>
  <c r="O589" i="1"/>
  <c r="P589" i="1"/>
  <c r="Q589" i="1"/>
  <c r="R589" i="1"/>
  <c r="S589" i="1"/>
  <c r="T589" i="1"/>
  <c r="U589" i="1"/>
  <c r="V589" i="1"/>
  <c r="W589" i="1"/>
  <c r="X589" i="1"/>
  <c r="Y589" i="1"/>
  <c r="Z589" i="1"/>
  <c r="AA589" i="1"/>
  <c r="AB589" i="1"/>
  <c r="AC589" i="1"/>
  <c r="AD589" i="1"/>
  <c r="AE589" i="1"/>
  <c r="AF589" i="1"/>
  <c r="AM589" i="1"/>
  <c r="AN589" i="1"/>
  <c r="AO589" i="1"/>
  <c r="L590" i="1"/>
  <c r="M590" i="1"/>
  <c r="N590" i="1"/>
  <c r="O590" i="1"/>
  <c r="P590" i="1"/>
  <c r="Q590" i="1"/>
  <c r="R590" i="1"/>
  <c r="S590" i="1"/>
  <c r="T590" i="1"/>
  <c r="U590" i="1"/>
  <c r="V590" i="1"/>
  <c r="W590" i="1"/>
  <c r="X590" i="1"/>
  <c r="Y590" i="1"/>
  <c r="Z590" i="1"/>
  <c r="AA590" i="1"/>
  <c r="AB590" i="1"/>
  <c r="AC590" i="1"/>
  <c r="AD590" i="1"/>
  <c r="AE590" i="1"/>
  <c r="AF590" i="1"/>
  <c r="AM590" i="1"/>
  <c r="AN590" i="1"/>
  <c r="AO590" i="1"/>
  <c r="L591" i="1"/>
  <c r="M591" i="1"/>
  <c r="N591" i="1"/>
  <c r="O591" i="1"/>
  <c r="P591" i="1"/>
  <c r="Q591" i="1"/>
  <c r="R591" i="1"/>
  <c r="S591" i="1"/>
  <c r="T591" i="1"/>
  <c r="U591" i="1"/>
  <c r="V591" i="1"/>
  <c r="W591" i="1"/>
  <c r="X591" i="1"/>
  <c r="Y591" i="1"/>
  <c r="Z591" i="1"/>
  <c r="AA591" i="1"/>
  <c r="AB591" i="1"/>
  <c r="AC591" i="1"/>
  <c r="AD591" i="1"/>
  <c r="AE591" i="1"/>
  <c r="AF591" i="1"/>
  <c r="AM591" i="1"/>
  <c r="AN591" i="1"/>
  <c r="AO591" i="1"/>
  <c r="L592" i="1"/>
  <c r="M592" i="1"/>
  <c r="N592" i="1"/>
  <c r="O592" i="1"/>
  <c r="P592" i="1"/>
  <c r="Q592" i="1"/>
  <c r="R592" i="1"/>
  <c r="S592" i="1"/>
  <c r="T592" i="1"/>
  <c r="U592" i="1"/>
  <c r="V592" i="1"/>
  <c r="W592" i="1"/>
  <c r="X592" i="1"/>
  <c r="Y592" i="1"/>
  <c r="Z592" i="1"/>
  <c r="AA592" i="1"/>
  <c r="AB592" i="1"/>
  <c r="AC592" i="1"/>
  <c r="AD592" i="1"/>
  <c r="AE592" i="1"/>
  <c r="AF592" i="1"/>
  <c r="AM592" i="1"/>
  <c r="AN592" i="1"/>
  <c r="AO592" i="1"/>
  <c r="L593" i="1"/>
  <c r="M593" i="1"/>
  <c r="N593" i="1"/>
  <c r="O593" i="1"/>
  <c r="P593" i="1"/>
  <c r="Q593" i="1"/>
  <c r="R593" i="1"/>
  <c r="S593" i="1"/>
  <c r="T593" i="1"/>
  <c r="U593" i="1"/>
  <c r="V593" i="1"/>
  <c r="W593" i="1"/>
  <c r="X593" i="1"/>
  <c r="Y593" i="1"/>
  <c r="Z593" i="1"/>
  <c r="AA593" i="1"/>
  <c r="AB593" i="1"/>
  <c r="AC593" i="1"/>
  <c r="AD593" i="1"/>
  <c r="AE593" i="1"/>
  <c r="AF593" i="1"/>
  <c r="AM593" i="1"/>
  <c r="AN593" i="1"/>
  <c r="AO593" i="1"/>
  <c r="L594" i="1"/>
  <c r="M594" i="1"/>
  <c r="N594" i="1"/>
  <c r="O594" i="1"/>
  <c r="P594" i="1"/>
  <c r="Q594" i="1"/>
  <c r="R594" i="1"/>
  <c r="S594" i="1"/>
  <c r="T594" i="1"/>
  <c r="U594" i="1"/>
  <c r="V594" i="1"/>
  <c r="W594" i="1"/>
  <c r="X594" i="1"/>
  <c r="Y594" i="1"/>
  <c r="Z594" i="1"/>
  <c r="AA594" i="1"/>
  <c r="AB594" i="1"/>
  <c r="AC594" i="1"/>
  <c r="AD594" i="1"/>
  <c r="AE594" i="1"/>
  <c r="AF594" i="1"/>
  <c r="AM594" i="1"/>
  <c r="AN594" i="1"/>
  <c r="AO594" i="1"/>
  <c r="L595" i="1"/>
  <c r="M595" i="1"/>
  <c r="N595" i="1"/>
  <c r="O595" i="1"/>
  <c r="P595" i="1"/>
  <c r="Q595" i="1"/>
  <c r="R595" i="1"/>
  <c r="S595" i="1"/>
  <c r="T595" i="1"/>
  <c r="U595" i="1"/>
  <c r="V595" i="1"/>
  <c r="W595" i="1"/>
  <c r="X595" i="1"/>
  <c r="Y595" i="1"/>
  <c r="Z595" i="1"/>
  <c r="AA595" i="1"/>
  <c r="AB595" i="1"/>
  <c r="AC595" i="1"/>
  <c r="AD595" i="1"/>
  <c r="AE595" i="1"/>
  <c r="AF595" i="1"/>
  <c r="AM595" i="1"/>
  <c r="AN595" i="1"/>
  <c r="AO595" i="1"/>
  <c r="L596" i="1"/>
  <c r="M596" i="1"/>
  <c r="N596" i="1"/>
  <c r="O596" i="1"/>
  <c r="P596" i="1"/>
  <c r="Q596" i="1"/>
  <c r="R596" i="1"/>
  <c r="S596" i="1"/>
  <c r="T596" i="1"/>
  <c r="U596" i="1"/>
  <c r="V596" i="1"/>
  <c r="W596" i="1"/>
  <c r="X596" i="1"/>
  <c r="Y596" i="1"/>
  <c r="Z596" i="1"/>
  <c r="AA596" i="1"/>
  <c r="AB596" i="1"/>
  <c r="AC596" i="1"/>
  <c r="AD596" i="1"/>
  <c r="AE596" i="1"/>
  <c r="AF596" i="1"/>
  <c r="AM596" i="1"/>
  <c r="AN596" i="1"/>
  <c r="AO596" i="1"/>
  <c r="L597" i="1"/>
  <c r="M597" i="1"/>
  <c r="N597" i="1"/>
  <c r="O597" i="1"/>
  <c r="P597" i="1"/>
  <c r="Q597" i="1"/>
  <c r="R597" i="1"/>
  <c r="S597" i="1"/>
  <c r="T597" i="1"/>
  <c r="U597" i="1"/>
  <c r="V597" i="1"/>
  <c r="W597" i="1"/>
  <c r="X597" i="1"/>
  <c r="Y597" i="1"/>
  <c r="Z597" i="1"/>
  <c r="AA597" i="1"/>
  <c r="AB597" i="1"/>
  <c r="AC597" i="1"/>
  <c r="AD597" i="1"/>
  <c r="AE597" i="1"/>
  <c r="AF597" i="1"/>
  <c r="AM597" i="1"/>
  <c r="AN597" i="1"/>
  <c r="AO597" i="1"/>
  <c r="L598" i="1"/>
  <c r="M598" i="1"/>
  <c r="N598" i="1"/>
  <c r="O598" i="1"/>
  <c r="P598" i="1"/>
  <c r="Q598" i="1"/>
  <c r="R598" i="1"/>
  <c r="S598" i="1"/>
  <c r="T598" i="1"/>
  <c r="U598" i="1"/>
  <c r="V598" i="1"/>
  <c r="W598" i="1"/>
  <c r="X598" i="1"/>
  <c r="Y598" i="1"/>
  <c r="Z598" i="1"/>
  <c r="AA598" i="1"/>
  <c r="AB598" i="1"/>
  <c r="AC598" i="1"/>
  <c r="AD598" i="1"/>
  <c r="AE598" i="1"/>
  <c r="AF598" i="1"/>
  <c r="AM598" i="1"/>
  <c r="AN598" i="1"/>
  <c r="AO598" i="1"/>
  <c r="L599" i="1"/>
  <c r="M599" i="1"/>
  <c r="N599" i="1"/>
  <c r="O599" i="1"/>
  <c r="P599" i="1"/>
  <c r="Q599" i="1"/>
  <c r="R599" i="1"/>
  <c r="S599" i="1"/>
  <c r="T599" i="1"/>
  <c r="U599" i="1"/>
  <c r="V599" i="1"/>
  <c r="W599" i="1"/>
  <c r="X599" i="1"/>
  <c r="Y599" i="1"/>
  <c r="Z599" i="1"/>
  <c r="AA599" i="1"/>
  <c r="AB599" i="1"/>
  <c r="AC599" i="1"/>
  <c r="AD599" i="1"/>
  <c r="AE599" i="1"/>
  <c r="AF599" i="1"/>
  <c r="AM599" i="1"/>
  <c r="AN599" i="1"/>
  <c r="AO599" i="1"/>
  <c r="L600" i="1"/>
  <c r="M600" i="1"/>
  <c r="N600" i="1"/>
  <c r="O600" i="1"/>
  <c r="P600" i="1"/>
  <c r="Q600" i="1"/>
  <c r="R600" i="1"/>
  <c r="S600" i="1"/>
  <c r="T600" i="1"/>
  <c r="U600" i="1"/>
  <c r="V600" i="1"/>
  <c r="W600" i="1"/>
  <c r="X600" i="1"/>
  <c r="Y600" i="1"/>
  <c r="Z600" i="1"/>
  <c r="AA600" i="1"/>
  <c r="AB600" i="1"/>
  <c r="AC600" i="1"/>
  <c r="AD600" i="1"/>
  <c r="AE600" i="1"/>
  <c r="AF600" i="1"/>
  <c r="AM600" i="1"/>
  <c r="AN600" i="1"/>
  <c r="AO600" i="1"/>
  <c r="L601" i="1"/>
  <c r="M601" i="1"/>
  <c r="N601" i="1"/>
  <c r="O601" i="1"/>
  <c r="P601" i="1"/>
  <c r="Q601" i="1"/>
  <c r="R601" i="1"/>
  <c r="S601" i="1"/>
  <c r="T601" i="1"/>
  <c r="U601" i="1"/>
  <c r="V601" i="1"/>
  <c r="W601" i="1"/>
  <c r="X601" i="1"/>
  <c r="Y601" i="1"/>
  <c r="Z601" i="1"/>
  <c r="AA601" i="1"/>
  <c r="AB601" i="1"/>
  <c r="AC601" i="1"/>
  <c r="AD601" i="1"/>
  <c r="AE601" i="1"/>
  <c r="AF601" i="1"/>
  <c r="AM601" i="1"/>
  <c r="AN601" i="1"/>
  <c r="AO601" i="1"/>
  <c r="L602" i="1"/>
  <c r="M602" i="1"/>
  <c r="N602" i="1"/>
  <c r="O602" i="1"/>
  <c r="P602" i="1"/>
  <c r="Q602" i="1"/>
  <c r="R602" i="1"/>
  <c r="S602" i="1"/>
  <c r="T602" i="1"/>
  <c r="U602" i="1"/>
  <c r="V602" i="1"/>
  <c r="W602" i="1"/>
  <c r="X602" i="1"/>
  <c r="Y602" i="1"/>
  <c r="Z602" i="1"/>
  <c r="AA602" i="1"/>
  <c r="AB602" i="1"/>
  <c r="AC602" i="1"/>
  <c r="AD602" i="1"/>
  <c r="AE602" i="1"/>
  <c r="AF602" i="1"/>
  <c r="AM602" i="1"/>
  <c r="AN602" i="1"/>
  <c r="AO602" i="1"/>
  <c r="L603" i="1"/>
  <c r="M603" i="1"/>
  <c r="N603" i="1"/>
  <c r="O603" i="1"/>
  <c r="P603" i="1"/>
  <c r="Q603" i="1"/>
  <c r="R603" i="1"/>
  <c r="S603" i="1"/>
  <c r="T603" i="1"/>
  <c r="U603" i="1"/>
  <c r="V603" i="1"/>
  <c r="W603" i="1"/>
  <c r="X603" i="1"/>
  <c r="Y603" i="1"/>
  <c r="Z603" i="1"/>
  <c r="AA603" i="1"/>
  <c r="AB603" i="1"/>
  <c r="AC603" i="1"/>
  <c r="AD603" i="1"/>
  <c r="AE603" i="1"/>
  <c r="AF603" i="1"/>
  <c r="AM603" i="1"/>
  <c r="AN603" i="1"/>
  <c r="AO603" i="1"/>
  <c r="L604" i="1"/>
  <c r="M604" i="1"/>
  <c r="N604" i="1"/>
  <c r="O604" i="1"/>
  <c r="P604" i="1"/>
  <c r="Q604" i="1"/>
  <c r="R604" i="1"/>
  <c r="S604" i="1"/>
  <c r="T604" i="1"/>
  <c r="U604" i="1"/>
  <c r="V604" i="1"/>
  <c r="W604" i="1"/>
  <c r="X604" i="1"/>
  <c r="Y604" i="1"/>
  <c r="Z604" i="1"/>
  <c r="AA604" i="1"/>
  <c r="AB604" i="1"/>
  <c r="AC604" i="1"/>
  <c r="AD604" i="1"/>
  <c r="AE604" i="1"/>
  <c r="AF604" i="1"/>
  <c r="AM604" i="1"/>
  <c r="AN604" i="1"/>
  <c r="AO604" i="1"/>
  <c r="L605" i="1"/>
  <c r="M605" i="1"/>
  <c r="N605" i="1"/>
  <c r="O605" i="1"/>
  <c r="P605" i="1"/>
  <c r="Q605" i="1"/>
  <c r="R605" i="1"/>
  <c r="S605" i="1"/>
  <c r="T605" i="1"/>
  <c r="U605" i="1"/>
  <c r="V605" i="1"/>
  <c r="W605" i="1"/>
  <c r="X605" i="1"/>
  <c r="Y605" i="1"/>
  <c r="Z605" i="1"/>
  <c r="AA605" i="1"/>
  <c r="AB605" i="1"/>
  <c r="AC605" i="1"/>
  <c r="AD605" i="1"/>
  <c r="AE605" i="1"/>
  <c r="AF605" i="1"/>
  <c r="AM605" i="1"/>
  <c r="AN605" i="1"/>
  <c r="AO605" i="1"/>
  <c r="L606" i="1"/>
  <c r="M606" i="1"/>
  <c r="N606" i="1"/>
  <c r="O606" i="1"/>
  <c r="P606" i="1"/>
  <c r="Q606" i="1"/>
  <c r="R606" i="1"/>
  <c r="S606" i="1"/>
  <c r="T606" i="1"/>
  <c r="U606" i="1"/>
  <c r="V606" i="1"/>
  <c r="W606" i="1"/>
  <c r="X606" i="1"/>
  <c r="Y606" i="1"/>
  <c r="Z606" i="1"/>
  <c r="AA606" i="1"/>
  <c r="AB606" i="1"/>
  <c r="AC606" i="1"/>
  <c r="AD606" i="1"/>
  <c r="AE606" i="1"/>
  <c r="AF606" i="1"/>
  <c r="AM606" i="1"/>
  <c r="AN606" i="1"/>
  <c r="AO606" i="1"/>
  <c r="L607" i="1"/>
  <c r="M607" i="1"/>
  <c r="N607" i="1"/>
  <c r="O607" i="1"/>
  <c r="P607" i="1"/>
  <c r="Q607" i="1"/>
  <c r="R607" i="1"/>
  <c r="S607" i="1"/>
  <c r="T607" i="1"/>
  <c r="U607" i="1"/>
  <c r="V607" i="1"/>
  <c r="W607" i="1"/>
  <c r="X607" i="1"/>
  <c r="Y607" i="1"/>
  <c r="Z607" i="1"/>
  <c r="AA607" i="1"/>
  <c r="AB607" i="1"/>
  <c r="AC607" i="1"/>
  <c r="AD607" i="1"/>
  <c r="AE607" i="1"/>
  <c r="AF607" i="1"/>
  <c r="AM607" i="1"/>
  <c r="AN607" i="1"/>
  <c r="AO607" i="1"/>
  <c r="L608" i="1"/>
  <c r="M608" i="1"/>
  <c r="N608" i="1"/>
  <c r="O608" i="1"/>
  <c r="P608" i="1"/>
  <c r="Q608" i="1"/>
  <c r="R608" i="1"/>
  <c r="S608" i="1"/>
  <c r="T608" i="1"/>
  <c r="U608" i="1"/>
  <c r="V608" i="1"/>
  <c r="W608" i="1"/>
  <c r="X608" i="1"/>
  <c r="Y608" i="1"/>
  <c r="Z608" i="1"/>
  <c r="AA608" i="1"/>
  <c r="AB608" i="1"/>
  <c r="AC608" i="1"/>
  <c r="AD608" i="1"/>
  <c r="AE608" i="1"/>
  <c r="AF608" i="1"/>
  <c r="AM608" i="1"/>
  <c r="AN608" i="1"/>
  <c r="AO608" i="1"/>
  <c r="L609" i="1"/>
  <c r="M609" i="1"/>
  <c r="N609" i="1"/>
  <c r="O609" i="1"/>
  <c r="P609" i="1"/>
  <c r="Q609" i="1"/>
  <c r="R609" i="1"/>
  <c r="S609" i="1"/>
  <c r="T609" i="1"/>
  <c r="U609" i="1"/>
  <c r="V609" i="1"/>
  <c r="W609" i="1"/>
  <c r="X609" i="1"/>
  <c r="Y609" i="1"/>
  <c r="Z609" i="1"/>
  <c r="AA609" i="1"/>
  <c r="AB609" i="1"/>
  <c r="AC609" i="1"/>
  <c r="AD609" i="1"/>
  <c r="AE609" i="1"/>
  <c r="AF609" i="1"/>
  <c r="AM609" i="1"/>
  <c r="AN609" i="1"/>
  <c r="AO609" i="1"/>
  <c r="L610" i="1"/>
  <c r="M610" i="1"/>
  <c r="N610" i="1"/>
  <c r="O610" i="1"/>
  <c r="P610" i="1"/>
  <c r="Q610" i="1"/>
  <c r="R610" i="1"/>
  <c r="S610" i="1"/>
  <c r="T610" i="1"/>
  <c r="U610" i="1"/>
  <c r="V610" i="1"/>
  <c r="W610" i="1"/>
  <c r="X610" i="1"/>
  <c r="Y610" i="1"/>
  <c r="Z610" i="1"/>
  <c r="AA610" i="1"/>
  <c r="AB610" i="1"/>
  <c r="AC610" i="1"/>
  <c r="AD610" i="1"/>
  <c r="AE610" i="1"/>
  <c r="AF610" i="1"/>
  <c r="AM610" i="1"/>
  <c r="AN610" i="1"/>
  <c r="AO610" i="1"/>
  <c r="L611" i="1"/>
  <c r="M611" i="1"/>
  <c r="N611" i="1"/>
  <c r="O611" i="1"/>
  <c r="P611" i="1"/>
  <c r="Q611" i="1"/>
  <c r="R611" i="1"/>
  <c r="S611" i="1"/>
  <c r="T611" i="1"/>
  <c r="U611" i="1"/>
  <c r="V611" i="1"/>
  <c r="W611" i="1"/>
  <c r="X611" i="1"/>
  <c r="Y611" i="1"/>
  <c r="Z611" i="1"/>
  <c r="AA611" i="1"/>
  <c r="AB611" i="1"/>
  <c r="AC611" i="1"/>
  <c r="AD611" i="1"/>
  <c r="AE611" i="1"/>
  <c r="AF611" i="1"/>
  <c r="AM611" i="1"/>
  <c r="AN611" i="1"/>
  <c r="AO611" i="1"/>
  <c r="L612" i="1"/>
  <c r="M612" i="1"/>
  <c r="N612" i="1"/>
  <c r="O612" i="1"/>
  <c r="P612" i="1"/>
  <c r="Q612" i="1"/>
  <c r="R612" i="1"/>
  <c r="S612" i="1"/>
  <c r="T612" i="1"/>
  <c r="U612" i="1"/>
  <c r="V612" i="1"/>
  <c r="W612" i="1"/>
  <c r="X612" i="1"/>
  <c r="Y612" i="1"/>
  <c r="Z612" i="1"/>
  <c r="AA612" i="1"/>
  <c r="AB612" i="1"/>
  <c r="AC612" i="1"/>
  <c r="AD612" i="1"/>
  <c r="AE612" i="1"/>
  <c r="AF612" i="1"/>
  <c r="AM612" i="1"/>
  <c r="AN612" i="1"/>
  <c r="AO612" i="1"/>
  <c r="L613" i="1"/>
  <c r="M613" i="1"/>
  <c r="N613" i="1"/>
  <c r="O613" i="1"/>
  <c r="P613" i="1"/>
  <c r="Q613" i="1"/>
  <c r="R613" i="1"/>
  <c r="S613" i="1"/>
  <c r="T613" i="1"/>
  <c r="U613" i="1"/>
  <c r="V613" i="1"/>
  <c r="W613" i="1"/>
  <c r="X613" i="1"/>
  <c r="Y613" i="1"/>
  <c r="Z613" i="1"/>
  <c r="AA613" i="1"/>
  <c r="AB613" i="1"/>
  <c r="AC613" i="1"/>
  <c r="AD613" i="1"/>
  <c r="AE613" i="1"/>
  <c r="AF613" i="1"/>
  <c r="AM613" i="1"/>
  <c r="AN613" i="1"/>
  <c r="AO613" i="1"/>
  <c r="L614" i="1"/>
  <c r="M614" i="1"/>
  <c r="N614" i="1"/>
  <c r="O614" i="1"/>
  <c r="P614" i="1"/>
  <c r="Q614" i="1"/>
  <c r="R614" i="1"/>
  <c r="S614" i="1"/>
  <c r="T614" i="1"/>
  <c r="U614" i="1"/>
  <c r="V614" i="1"/>
  <c r="W614" i="1"/>
  <c r="X614" i="1"/>
  <c r="Y614" i="1"/>
  <c r="Z614" i="1"/>
  <c r="AA614" i="1"/>
  <c r="AB614" i="1"/>
  <c r="AC614" i="1"/>
  <c r="AD614" i="1"/>
  <c r="AE614" i="1"/>
  <c r="AF614" i="1"/>
  <c r="AM614" i="1"/>
  <c r="AN614" i="1"/>
  <c r="AO614" i="1"/>
  <c r="L615" i="1"/>
  <c r="M615" i="1"/>
  <c r="N615" i="1"/>
  <c r="O615" i="1"/>
  <c r="P615" i="1"/>
  <c r="Q615" i="1"/>
  <c r="R615" i="1"/>
  <c r="S615" i="1"/>
  <c r="T615" i="1"/>
  <c r="U615" i="1"/>
  <c r="V615" i="1"/>
  <c r="W615" i="1"/>
  <c r="X615" i="1"/>
  <c r="Y615" i="1"/>
  <c r="Z615" i="1"/>
  <c r="AA615" i="1"/>
  <c r="AB615" i="1"/>
  <c r="AC615" i="1"/>
  <c r="AD615" i="1"/>
  <c r="AE615" i="1"/>
  <c r="AF615" i="1"/>
  <c r="AM615" i="1"/>
  <c r="AN615" i="1"/>
  <c r="AO615" i="1"/>
  <c r="L616" i="1"/>
  <c r="M616" i="1"/>
  <c r="N616" i="1"/>
  <c r="O616" i="1"/>
  <c r="P616" i="1"/>
  <c r="Q616" i="1"/>
  <c r="R616" i="1"/>
  <c r="S616" i="1"/>
  <c r="T616" i="1"/>
  <c r="U616" i="1"/>
  <c r="V616" i="1"/>
  <c r="W616" i="1"/>
  <c r="X616" i="1"/>
  <c r="Y616" i="1"/>
  <c r="Z616" i="1"/>
  <c r="AA616" i="1"/>
  <c r="AB616" i="1"/>
  <c r="AC616" i="1"/>
  <c r="AD616" i="1"/>
  <c r="AE616" i="1"/>
  <c r="AF616" i="1"/>
  <c r="AM616" i="1"/>
  <c r="AN616" i="1"/>
  <c r="AO616" i="1"/>
  <c r="L617" i="1"/>
  <c r="M617" i="1"/>
  <c r="N617" i="1"/>
  <c r="O617" i="1"/>
  <c r="P617" i="1"/>
  <c r="Q617" i="1"/>
  <c r="R617" i="1"/>
  <c r="S617" i="1"/>
  <c r="T617" i="1"/>
  <c r="U617" i="1"/>
  <c r="V617" i="1"/>
  <c r="W617" i="1"/>
  <c r="X617" i="1"/>
  <c r="Y617" i="1"/>
  <c r="Z617" i="1"/>
  <c r="AA617" i="1"/>
  <c r="AB617" i="1"/>
  <c r="AC617" i="1"/>
  <c r="AD617" i="1"/>
  <c r="AE617" i="1"/>
  <c r="AF617" i="1"/>
  <c r="AM617" i="1"/>
  <c r="AN617" i="1"/>
  <c r="AO617" i="1"/>
  <c r="L618" i="1"/>
  <c r="M618" i="1"/>
  <c r="N618" i="1"/>
  <c r="O618" i="1"/>
  <c r="P618" i="1"/>
  <c r="Q618" i="1"/>
  <c r="R618" i="1"/>
  <c r="S618" i="1"/>
  <c r="T618" i="1"/>
  <c r="U618" i="1"/>
  <c r="V618" i="1"/>
  <c r="W618" i="1"/>
  <c r="X618" i="1"/>
  <c r="Y618" i="1"/>
  <c r="Z618" i="1"/>
  <c r="AA618" i="1"/>
  <c r="AB618" i="1"/>
  <c r="AC618" i="1"/>
  <c r="AD618" i="1"/>
  <c r="AE618" i="1"/>
  <c r="AF618" i="1"/>
  <c r="AM618" i="1"/>
  <c r="AN618" i="1"/>
  <c r="AO618" i="1"/>
  <c r="L619" i="1"/>
  <c r="M619" i="1"/>
  <c r="N619" i="1"/>
  <c r="O619" i="1"/>
  <c r="P619" i="1"/>
  <c r="Q619" i="1"/>
  <c r="R619" i="1"/>
  <c r="S619" i="1"/>
  <c r="T619" i="1"/>
  <c r="U619" i="1"/>
  <c r="V619" i="1"/>
  <c r="W619" i="1"/>
  <c r="X619" i="1"/>
  <c r="Y619" i="1"/>
  <c r="Z619" i="1"/>
  <c r="AA619" i="1"/>
  <c r="AB619" i="1"/>
  <c r="AC619" i="1"/>
  <c r="AD619" i="1"/>
  <c r="AE619" i="1"/>
  <c r="AF619" i="1"/>
  <c r="AM619" i="1"/>
  <c r="AN619" i="1"/>
  <c r="AO619" i="1"/>
  <c r="L620" i="1"/>
  <c r="M620" i="1"/>
  <c r="N620" i="1"/>
  <c r="O620" i="1"/>
  <c r="P620" i="1"/>
  <c r="Q620" i="1"/>
  <c r="R620" i="1"/>
  <c r="S620" i="1"/>
  <c r="T620" i="1"/>
  <c r="U620" i="1"/>
  <c r="V620" i="1"/>
  <c r="W620" i="1"/>
  <c r="X620" i="1"/>
  <c r="Y620" i="1"/>
  <c r="Z620" i="1"/>
  <c r="AA620" i="1"/>
  <c r="AB620" i="1"/>
  <c r="AC620" i="1"/>
  <c r="AD620" i="1"/>
  <c r="AE620" i="1"/>
  <c r="AF620" i="1"/>
  <c r="AM620" i="1"/>
  <c r="AN620" i="1"/>
  <c r="AO620" i="1"/>
  <c r="L621" i="1"/>
  <c r="M621" i="1"/>
  <c r="N621" i="1"/>
  <c r="O621" i="1"/>
  <c r="P621" i="1"/>
  <c r="Q621" i="1"/>
  <c r="R621" i="1"/>
  <c r="S621" i="1"/>
  <c r="T621" i="1"/>
  <c r="U621" i="1"/>
  <c r="V621" i="1"/>
  <c r="W621" i="1"/>
  <c r="X621" i="1"/>
  <c r="Y621" i="1"/>
  <c r="Z621" i="1"/>
  <c r="AA621" i="1"/>
  <c r="AB621" i="1"/>
  <c r="AC621" i="1"/>
  <c r="AD621" i="1"/>
  <c r="AE621" i="1"/>
  <c r="AF621" i="1"/>
  <c r="AM621" i="1"/>
  <c r="AN621" i="1"/>
  <c r="AO621" i="1"/>
  <c r="L622" i="1"/>
  <c r="M622" i="1"/>
  <c r="N622" i="1"/>
  <c r="O622" i="1"/>
  <c r="P622" i="1"/>
  <c r="Q622" i="1"/>
  <c r="R622" i="1"/>
  <c r="S622" i="1"/>
  <c r="T622" i="1"/>
  <c r="U622" i="1"/>
  <c r="V622" i="1"/>
  <c r="W622" i="1"/>
  <c r="X622" i="1"/>
  <c r="Y622" i="1"/>
  <c r="Z622" i="1"/>
  <c r="AA622" i="1"/>
  <c r="AB622" i="1"/>
  <c r="AC622" i="1"/>
  <c r="AD622" i="1"/>
  <c r="AE622" i="1"/>
  <c r="AF622" i="1"/>
  <c r="AM622" i="1"/>
  <c r="AN622" i="1"/>
  <c r="AO622" i="1"/>
  <c r="L623" i="1"/>
  <c r="M623" i="1"/>
  <c r="N623" i="1"/>
  <c r="O623" i="1"/>
  <c r="P623" i="1"/>
  <c r="Q623" i="1"/>
  <c r="R623" i="1"/>
  <c r="S623" i="1"/>
  <c r="T623" i="1"/>
  <c r="U623" i="1"/>
  <c r="V623" i="1"/>
  <c r="W623" i="1"/>
  <c r="X623" i="1"/>
  <c r="Y623" i="1"/>
  <c r="Z623" i="1"/>
  <c r="AA623" i="1"/>
  <c r="AB623" i="1"/>
  <c r="AC623" i="1"/>
  <c r="AD623" i="1"/>
  <c r="AE623" i="1"/>
  <c r="AF623" i="1"/>
  <c r="AM623" i="1"/>
  <c r="AN623" i="1"/>
  <c r="AO623" i="1"/>
  <c r="L624" i="1"/>
  <c r="M624" i="1"/>
  <c r="N624" i="1"/>
  <c r="O624" i="1"/>
  <c r="P624" i="1"/>
  <c r="Q624" i="1"/>
  <c r="R624" i="1"/>
  <c r="S624" i="1"/>
  <c r="T624" i="1"/>
  <c r="U624" i="1"/>
  <c r="V624" i="1"/>
  <c r="W624" i="1"/>
  <c r="X624" i="1"/>
  <c r="Y624" i="1"/>
  <c r="Z624" i="1"/>
  <c r="AA624" i="1"/>
  <c r="AB624" i="1"/>
  <c r="AC624" i="1"/>
  <c r="AD624" i="1"/>
  <c r="AE624" i="1"/>
  <c r="AF624" i="1"/>
  <c r="AM624" i="1"/>
  <c r="AN624" i="1"/>
  <c r="AO624" i="1"/>
  <c r="L625" i="1"/>
  <c r="M625" i="1"/>
  <c r="N625" i="1"/>
  <c r="O625" i="1"/>
  <c r="P625" i="1"/>
  <c r="Q625" i="1"/>
  <c r="R625" i="1"/>
  <c r="S625" i="1"/>
  <c r="T625" i="1"/>
  <c r="U625" i="1"/>
  <c r="V625" i="1"/>
  <c r="W625" i="1"/>
  <c r="X625" i="1"/>
  <c r="Y625" i="1"/>
  <c r="Z625" i="1"/>
  <c r="AA625" i="1"/>
  <c r="AB625" i="1"/>
  <c r="AC625" i="1"/>
  <c r="AD625" i="1"/>
  <c r="AE625" i="1"/>
  <c r="AF625" i="1"/>
  <c r="AM625" i="1"/>
  <c r="AN625" i="1"/>
  <c r="AO625" i="1"/>
  <c r="L626" i="1"/>
  <c r="M626" i="1"/>
  <c r="N626" i="1"/>
  <c r="O626" i="1"/>
  <c r="P626" i="1"/>
  <c r="Q626" i="1"/>
  <c r="R626" i="1"/>
  <c r="S626" i="1"/>
  <c r="T626" i="1"/>
  <c r="U626" i="1"/>
  <c r="V626" i="1"/>
  <c r="W626" i="1"/>
  <c r="X626" i="1"/>
  <c r="Y626" i="1"/>
  <c r="Z626" i="1"/>
  <c r="AA626" i="1"/>
  <c r="AB626" i="1"/>
  <c r="AC626" i="1"/>
  <c r="AD626" i="1"/>
  <c r="AE626" i="1"/>
  <c r="AF626" i="1"/>
  <c r="AM626" i="1"/>
  <c r="AN626" i="1"/>
  <c r="AO626" i="1"/>
  <c r="L627" i="1"/>
  <c r="M627" i="1"/>
  <c r="N627" i="1"/>
  <c r="O627" i="1"/>
  <c r="P627" i="1"/>
  <c r="Q627" i="1"/>
  <c r="R627" i="1"/>
  <c r="S627" i="1"/>
  <c r="T627" i="1"/>
  <c r="U627" i="1"/>
  <c r="V627" i="1"/>
  <c r="W627" i="1"/>
  <c r="X627" i="1"/>
  <c r="Y627" i="1"/>
  <c r="Z627" i="1"/>
  <c r="AA627" i="1"/>
  <c r="AB627" i="1"/>
  <c r="AC627" i="1"/>
  <c r="AD627" i="1"/>
  <c r="AE627" i="1"/>
  <c r="AF627" i="1"/>
  <c r="AM627" i="1"/>
  <c r="AN627" i="1"/>
  <c r="AO627" i="1"/>
  <c r="L628" i="1"/>
  <c r="M628" i="1"/>
  <c r="N628" i="1"/>
  <c r="O628" i="1"/>
  <c r="P628" i="1"/>
  <c r="Q628" i="1"/>
  <c r="R628" i="1"/>
  <c r="S628" i="1"/>
  <c r="T628" i="1"/>
  <c r="U628" i="1"/>
  <c r="V628" i="1"/>
  <c r="W628" i="1"/>
  <c r="X628" i="1"/>
  <c r="Y628" i="1"/>
  <c r="Z628" i="1"/>
  <c r="AA628" i="1"/>
  <c r="AB628" i="1"/>
  <c r="AC628" i="1"/>
  <c r="AD628" i="1"/>
  <c r="AE628" i="1"/>
  <c r="AF628" i="1"/>
  <c r="AM628" i="1"/>
  <c r="AN628" i="1"/>
  <c r="AO628" i="1"/>
  <c r="L629" i="1"/>
  <c r="M629" i="1"/>
  <c r="N629" i="1"/>
  <c r="O629" i="1"/>
  <c r="P629" i="1"/>
  <c r="Q629" i="1"/>
  <c r="R629" i="1"/>
  <c r="S629" i="1"/>
  <c r="T629" i="1"/>
  <c r="U629" i="1"/>
  <c r="V629" i="1"/>
  <c r="W629" i="1"/>
  <c r="X629" i="1"/>
  <c r="Y629" i="1"/>
  <c r="Z629" i="1"/>
  <c r="AA629" i="1"/>
  <c r="AB629" i="1"/>
  <c r="AC629" i="1"/>
  <c r="AD629" i="1"/>
  <c r="AE629" i="1"/>
  <c r="AF629" i="1"/>
  <c r="AM629" i="1"/>
  <c r="AN629" i="1"/>
  <c r="AO629" i="1"/>
  <c r="L630" i="1"/>
  <c r="M630" i="1"/>
  <c r="N630" i="1"/>
  <c r="O630" i="1"/>
  <c r="P630" i="1"/>
  <c r="Q630" i="1"/>
  <c r="R630" i="1"/>
  <c r="S630" i="1"/>
  <c r="T630" i="1"/>
  <c r="U630" i="1"/>
  <c r="V630" i="1"/>
  <c r="W630" i="1"/>
  <c r="X630" i="1"/>
  <c r="Y630" i="1"/>
  <c r="Z630" i="1"/>
  <c r="AA630" i="1"/>
  <c r="AB630" i="1"/>
  <c r="AC630" i="1"/>
  <c r="AD630" i="1"/>
  <c r="AE630" i="1"/>
  <c r="AF630" i="1"/>
  <c r="AM630" i="1"/>
  <c r="AN630" i="1"/>
  <c r="AO630" i="1"/>
  <c r="L631" i="1"/>
  <c r="M631" i="1"/>
  <c r="N631" i="1"/>
  <c r="O631" i="1"/>
  <c r="P631" i="1"/>
  <c r="Q631" i="1"/>
  <c r="R631" i="1"/>
  <c r="S631" i="1"/>
  <c r="T631" i="1"/>
  <c r="U631" i="1"/>
  <c r="V631" i="1"/>
  <c r="W631" i="1"/>
  <c r="X631" i="1"/>
  <c r="Y631" i="1"/>
  <c r="Z631" i="1"/>
  <c r="AA631" i="1"/>
  <c r="AB631" i="1"/>
  <c r="AC631" i="1"/>
  <c r="AD631" i="1"/>
  <c r="AE631" i="1"/>
  <c r="AF631" i="1"/>
  <c r="AM631" i="1"/>
  <c r="AN631" i="1"/>
  <c r="AO631" i="1"/>
  <c r="L632" i="1"/>
  <c r="M632" i="1"/>
  <c r="N632" i="1"/>
  <c r="O632" i="1"/>
  <c r="P632" i="1"/>
  <c r="Q632" i="1"/>
  <c r="R632" i="1"/>
  <c r="S632" i="1"/>
  <c r="T632" i="1"/>
  <c r="U632" i="1"/>
  <c r="V632" i="1"/>
  <c r="W632" i="1"/>
  <c r="X632" i="1"/>
  <c r="Y632" i="1"/>
  <c r="Z632" i="1"/>
  <c r="AA632" i="1"/>
  <c r="AB632" i="1"/>
  <c r="AC632" i="1"/>
  <c r="AD632" i="1"/>
  <c r="AE632" i="1"/>
  <c r="AF632" i="1"/>
  <c r="AM632" i="1"/>
  <c r="AN632" i="1"/>
  <c r="AO632" i="1"/>
  <c r="L633" i="1"/>
  <c r="M633" i="1"/>
  <c r="N633" i="1"/>
  <c r="O633" i="1"/>
  <c r="P633" i="1"/>
  <c r="Q633" i="1"/>
  <c r="R633" i="1"/>
  <c r="S633" i="1"/>
  <c r="T633" i="1"/>
  <c r="U633" i="1"/>
  <c r="V633" i="1"/>
  <c r="W633" i="1"/>
  <c r="X633" i="1"/>
  <c r="Y633" i="1"/>
  <c r="Z633" i="1"/>
  <c r="AA633" i="1"/>
  <c r="AB633" i="1"/>
  <c r="AC633" i="1"/>
  <c r="AD633" i="1"/>
  <c r="AE633" i="1"/>
  <c r="AF633" i="1"/>
  <c r="AM633" i="1"/>
  <c r="AN633" i="1"/>
  <c r="AO633" i="1"/>
  <c r="L634" i="1"/>
  <c r="M634" i="1"/>
  <c r="N634" i="1"/>
  <c r="O634" i="1"/>
  <c r="P634" i="1"/>
  <c r="Q634" i="1"/>
  <c r="R634" i="1"/>
  <c r="S634" i="1"/>
  <c r="T634" i="1"/>
  <c r="U634" i="1"/>
  <c r="V634" i="1"/>
  <c r="W634" i="1"/>
  <c r="X634" i="1"/>
  <c r="Y634" i="1"/>
  <c r="Z634" i="1"/>
  <c r="AA634" i="1"/>
  <c r="AB634" i="1"/>
  <c r="AC634" i="1"/>
  <c r="AD634" i="1"/>
  <c r="AE634" i="1"/>
  <c r="AF634" i="1"/>
  <c r="AM634" i="1"/>
  <c r="AN634" i="1"/>
  <c r="AO634" i="1"/>
  <c r="L635" i="1"/>
  <c r="M635" i="1"/>
  <c r="N635" i="1"/>
  <c r="O635" i="1"/>
  <c r="P635" i="1"/>
  <c r="Q635" i="1"/>
  <c r="R635" i="1"/>
  <c r="S635" i="1"/>
  <c r="T635" i="1"/>
  <c r="U635" i="1"/>
  <c r="V635" i="1"/>
  <c r="W635" i="1"/>
  <c r="X635" i="1"/>
  <c r="Y635" i="1"/>
  <c r="Z635" i="1"/>
  <c r="AA635" i="1"/>
  <c r="AB635" i="1"/>
  <c r="AC635" i="1"/>
  <c r="AD635" i="1"/>
  <c r="AE635" i="1"/>
  <c r="AF635" i="1"/>
  <c r="AM635" i="1"/>
  <c r="AN635" i="1"/>
  <c r="AO635" i="1"/>
  <c r="L636" i="1"/>
  <c r="M636" i="1"/>
  <c r="N636" i="1"/>
  <c r="O636" i="1"/>
  <c r="P636" i="1"/>
  <c r="Q636" i="1"/>
  <c r="R636" i="1"/>
  <c r="S636" i="1"/>
  <c r="T636" i="1"/>
  <c r="U636" i="1"/>
  <c r="V636" i="1"/>
  <c r="W636" i="1"/>
  <c r="X636" i="1"/>
  <c r="Y636" i="1"/>
  <c r="Z636" i="1"/>
  <c r="AA636" i="1"/>
  <c r="AB636" i="1"/>
  <c r="AC636" i="1"/>
  <c r="AD636" i="1"/>
  <c r="AE636" i="1"/>
  <c r="AF636" i="1"/>
  <c r="AM636" i="1"/>
  <c r="AN636" i="1"/>
  <c r="AO636" i="1"/>
  <c r="L637" i="1"/>
  <c r="M637" i="1"/>
  <c r="N637" i="1"/>
  <c r="O637" i="1"/>
  <c r="P637" i="1"/>
  <c r="Q637" i="1"/>
  <c r="R637" i="1"/>
  <c r="S637" i="1"/>
  <c r="T637" i="1"/>
  <c r="U637" i="1"/>
  <c r="V637" i="1"/>
  <c r="W637" i="1"/>
  <c r="X637" i="1"/>
  <c r="Y637" i="1"/>
  <c r="Z637" i="1"/>
  <c r="AA637" i="1"/>
  <c r="AB637" i="1"/>
  <c r="AC637" i="1"/>
  <c r="AD637" i="1"/>
  <c r="AE637" i="1"/>
  <c r="AF637" i="1"/>
  <c r="AM637" i="1"/>
  <c r="AN637" i="1"/>
  <c r="AO637" i="1"/>
  <c r="L638" i="1"/>
  <c r="M638" i="1"/>
  <c r="N638" i="1"/>
  <c r="O638" i="1"/>
  <c r="P638" i="1"/>
  <c r="Q638" i="1"/>
  <c r="R638" i="1"/>
  <c r="S638" i="1"/>
  <c r="T638" i="1"/>
  <c r="U638" i="1"/>
  <c r="V638" i="1"/>
  <c r="W638" i="1"/>
  <c r="X638" i="1"/>
  <c r="Y638" i="1"/>
  <c r="Z638" i="1"/>
  <c r="AA638" i="1"/>
  <c r="AB638" i="1"/>
  <c r="AC638" i="1"/>
  <c r="AD638" i="1"/>
  <c r="AE638" i="1"/>
  <c r="AF638" i="1"/>
  <c r="AM638" i="1"/>
  <c r="AN638" i="1"/>
  <c r="AO638" i="1"/>
  <c r="L639" i="1"/>
  <c r="M639" i="1"/>
  <c r="N639" i="1"/>
  <c r="O639" i="1"/>
  <c r="P639" i="1"/>
  <c r="Q639" i="1"/>
  <c r="R639" i="1"/>
  <c r="S639" i="1"/>
  <c r="T639" i="1"/>
  <c r="U639" i="1"/>
  <c r="V639" i="1"/>
  <c r="W639" i="1"/>
  <c r="X639" i="1"/>
  <c r="Y639" i="1"/>
  <c r="Z639" i="1"/>
  <c r="AA639" i="1"/>
  <c r="AB639" i="1"/>
  <c r="AC639" i="1"/>
  <c r="AD639" i="1"/>
  <c r="AE639" i="1"/>
  <c r="AF639" i="1"/>
  <c r="AM639" i="1"/>
  <c r="AN639" i="1"/>
  <c r="AO639" i="1"/>
  <c r="L640" i="1"/>
  <c r="M640" i="1"/>
  <c r="N640" i="1"/>
  <c r="O640" i="1"/>
  <c r="P640" i="1"/>
  <c r="Q640" i="1"/>
  <c r="R640" i="1"/>
  <c r="S640" i="1"/>
  <c r="T640" i="1"/>
  <c r="U640" i="1"/>
  <c r="V640" i="1"/>
  <c r="W640" i="1"/>
  <c r="X640" i="1"/>
  <c r="Y640" i="1"/>
  <c r="Z640" i="1"/>
  <c r="AA640" i="1"/>
  <c r="AB640" i="1"/>
  <c r="AC640" i="1"/>
  <c r="AD640" i="1"/>
  <c r="AE640" i="1"/>
  <c r="AF640" i="1"/>
  <c r="AM640" i="1"/>
  <c r="AN640" i="1"/>
  <c r="AO640" i="1"/>
  <c r="L641" i="1"/>
  <c r="M641" i="1"/>
  <c r="N641" i="1"/>
  <c r="O641" i="1"/>
  <c r="P641" i="1"/>
  <c r="Q641" i="1"/>
  <c r="R641" i="1"/>
  <c r="S641" i="1"/>
  <c r="T641" i="1"/>
  <c r="U641" i="1"/>
  <c r="V641" i="1"/>
  <c r="W641" i="1"/>
  <c r="X641" i="1"/>
  <c r="Y641" i="1"/>
  <c r="Z641" i="1"/>
  <c r="AA641" i="1"/>
  <c r="AB641" i="1"/>
  <c r="AC641" i="1"/>
  <c r="AD641" i="1"/>
  <c r="AE641" i="1"/>
  <c r="AF641" i="1"/>
  <c r="AM641" i="1"/>
  <c r="AN641" i="1"/>
  <c r="AO641" i="1"/>
  <c r="L642" i="1"/>
  <c r="M642" i="1"/>
  <c r="N642" i="1"/>
  <c r="O642" i="1"/>
  <c r="P642" i="1"/>
  <c r="Q642" i="1"/>
  <c r="R642" i="1"/>
  <c r="S642" i="1"/>
  <c r="T642" i="1"/>
  <c r="U642" i="1"/>
  <c r="V642" i="1"/>
  <c r="W642" i="1"/>
  <c r="X642" i="1"/>
  <c r="Y642" i="1"/>
  <c r="Z642" i="1"/>
  <c r="AA642" i="1"/>
  <c r="AB642" i="1"/>
  <c r="AC642" i="1"/>
  <c r="AD642" i="1"/>
  <c r="AE642" i="1"/>
  <c r="AF642" i="1"/>
  <c r="AM642" i="1"/>
  <c r="AN642" i="1"/>
  <c r="AO642" i="1"/>
  <c r="L643" i="1"/>
  <c r="M643" i="1"/>
  <c r="N643" i="1"/>
  <c r="O643" i="1"/>
  <c r="P643" i="1"/>
  <c r="Q643" i="1"/>
  <c r="R643" i="1"/>
  <c r="S643" i="1"/>
  <c r="T643" i="1"/>
  <c r="U643" i="1"/>
  <c r="V643" i="1"/>
  <c r="W643" i="1"/>
  <c r="X643" i="1"/>
  <c r="Y643" i="1"/>
  <c r="Z643" i="1"/>
  <c r="AA643" i="1"/>
  <c r="AB643" i="1"/>
  <c r="AC643" i="1"/>
  <c r="AD643" i="1"/>
  <c r="AE643" i="1"/>
  <c r="AF643" i="1"/>
  <c r="AM643" i="1"/>
  <c r="AN643" i="1"/>
  <c r="AO643" i="1"/>
  <c r="L644" i="1"/>
  <c r="M644" i="1"/>
  <c r="N644" i="1"/>
  <c r="O644" i="1"/>
  <c r="P644" i="1"/>
  <c r="Q644" i="1"/>
  <c r="R644" i="1"/>
  <c r="S644" i="1"/>
  <c r="T644" i="1"/>
  <c r="U644" i="1"/>
  <c r="V644" i="1"/>
  <c r="W644" i="1"/>
  <c r="X644" i="1"/>
  <c r="Y644" i="1"/>
  <c r="Z644" i="1"/>
  <c r="AA644" i="1"/>
  <c r="AB644" i="1"/>
  <c r="AC644" i="1"/>
  <c r="AD644" i="1"/>
  <c r="AE644" i="1"/>
  <c r="AF644" i="1"/>
  <c r="AM644" i="1"/>
  <c r="AN644" i="1"/>
  <c r="AO644" i="1"/>
  <c r="L645" i="1"/>
  <c r="M645" i="1"/>
  <c r="N645" i="1"/>
  <c r="O645" i="1"/>
  <c r="P645" i="1"/>
  <c r="Q645" i="1"/>
  <c r="R645" i="1"/>
  <c r="S645" i="1"/>
  <c r="T645" i="1"/>
  <c r="U645" i="1"/>
  <c r="V645" i="1"/>
  <c r="W645" i="1"/>
  <c r="X645" i="1"/>
  <c r="Y645" i="1"/>
  <c r="Z645" i="1"/>
  <c r="AA645" i="1"/>
  <c r="AB645" i="1"/>
  <c r="AC645" i="1"/>
  <c r="AD645" i="1"/>
  <c r="AE645" i="1"/>
  <c r="AF645" i="1"/>
  <c r="AM645" i="1"/>
  <c r="AN645" i="1"/>
  <c r="AO645" i="1"/>
  <c r="L646" i="1"/>
  <c r="M646" i="1"/>
  <c r="N646" i="1"/>
  <c r="O646" i="1"/>
  <c r="P646" i="1"/>
  <c r="Q646" i="1"/>
  <c r="R646" i="1"/>
  <c r="S646" i="1"/>
  <c r="T646" i="1"/>
  <c r="U646" i="1"/>
  <c r="V646" i="1"/>
  <c r="W646" i="1"/>
  <c r="X646" i="1"/>
  <c r="Y646" i="1"/>
  <c r="Z646" i="1"/>
  <c r="AA646" i="1"/>
  <c r="AB646" i="1"/>
  <c r="AC646" i="1"/>
  <c r="AD646" i="1"/>
  <c r="AE646" i="1"/>
  <c r="AF646" i="1"/>
  <c r="AM646" i="1"/>
  <c r="AN646" i="1"/>
  <c r="AO646" i="1"/>
  <c r="L647" i="1"/>
  <c r="M647" i="1"/>
  <c r="N647" i="1"/>
  <c r="O647" i="1"/>
  <c r="P647" i="1"/>
  <c r="Q647" i="1"/>
  <c r="R647" i="1"/>
  <c r="S647" i="1"/>
  <c r="T647" i="1"/>
  <c r="U647" i="1"/>
  <c r="V647" i="1"/>
  <c r="W647" i="1"/>
  <c r="X647" i="1"/>
  <c r="Y647" i="1"/>
  <c r="Z647" i="1"/>
  <c r="AA647" i="1"/>
  <c r="AB647" i="1"/>
  <c r="AC647" i="1"/>
  <c r="AD647" i="1"/>
  <c r="AE647" i="1"/>
  <c r="AF647" i="1"/>
  <c r="AM647" i="1"/>
  <c r="AN647" i="1"/>
  <c r="AO647" i="1"/>
  <c r="L648" i="1"/>
  <c r="M648" i="1"/>
  <c r="N648" i="1"/>
  <c r="O648" i="1"/>
  <c r="P648" i="1"/>
  <c r="Q648" i="1"/>
  <c r="R648" i="1"/>
  <c r="S648" i="1"/>
  <c r="T648" i="1"/>
  <c r="U648" i="1"/>
  <c r="V648" i="1"/>
  <c r="W648" i="1"/>
  <c r="X648" i="1"/>
  <c r="Y648" i="1"/>
  <c r="Z648" i="1"/>
  <c r="AA648" i="1"/>
  <c r="AB648" i="1"/>
  <c r="AC648" i="1"/>
  <c r="AD648" i="1"/>
  <c r="AE648" i="1"/>
  <c r="AF648" i="1"/>
  <c r="AM648" i="1"/>
  <c r="AN648" i="1"/>
  <c r="AO648" i="1"/>
  <c r="L649" i="1"/>
  <c r="M649" i="1"/>
  <c r="N649" i="1"/>
  <c r="O649" i="1"/>
  <c r="P649" i="1"/>
  <c r="Q649" i="1"/>
  <c r="R649" i="1"/>
  <c r="S649" i="1"/>
  <c r="T649" i="1"/>
  <c r="U649" i="1"/>
  <c r="V649" i="1"/>
  <c r="W649" i="1"/>
  <c r="X649" i="1"/>
  <c r="Y649" i="1"/>
  <c r="Z649" i="1"/>
  <c r="AA649" i="1"/>
  <c r="AB649" i="1"/>
  <c r="AC649" i="1"/>
  <c r="AD649" i="1"/>
  <c r="AE649" i="1"/>
  <c r="AF649" i="1"/>
  <c r="AM649" i="1"/>
  <c r="AN649" i="1"/>
  <c r="AO649" i="1"/>
  <c r="L650" i="1"/>
  <c r="M650" i="1"/>
  <c r="N650" i="1"/>
  <c r="O650" i="1"/>
  <c r="P650" i="1"/>
  <c r="Q650" i="1"/>
  <c r="R650" i="1"/>
  <c r="S650" i="1"/>
  <c r="T650" i="1"/>
  <c r="U650" i="1"/>
  <c r="V650" i="1"/>
  <c r="W650" i="1"/>
  <c r="X650" i="1"/>
  <c r="Y650" i="1"/>
  <c r="Z650" i="1"/>
  <c r="AA650" i="1"/>
  <c r="AB650" i="1"/>
  <c r="AC650" i="1"/>
  <c r="AD650" i="1"/>
  <c r="AE650" i="1"/>
  <c r="AF650" i="1"/>
  <c r="AM650" i="1"/>
  <c r="AN650" i="1"/>
  <c r="AO650" i="1"/>
  <c r="L651" i="1"/>
  <c r="M651" i="1"/>
  <c r="N651" i="1"/>
  <c r="O651" i="1"/>
  <c r="P651" i="1"/>
  <c r="Q651" i="1"/>
  <c r="R651" i="1"/>
  <c r="S651" i="1"/>
  <c r="T651" i="1"/>
  <c r="U651" i="1"/>
  <c r="V651" i="1"/>
  <c r="W651" i="1"/>
  <c r="X651" i="1"/>
  <c r="Y651" i="1"/>
  <c r="Z651" i="1"/>
  <c r="AA651" i="1"/>
  <c r="AB651" i="1"/>
  <c r="AC651" i="1"/>
  <c r="AD651" i="1"/>
  <c r="AE651" i="1"/>
  <c r="AF651" i="1"/>
  <c r="AM651" i="1"/>
  <c r="AN651" i="1"/>
  <c r="AO651" i="1"/>
  <c r="L652" i="1"/>
  <c r="M652" i="1"/>
  <c r="N652" i="1"/>
  <c r="O652" i="1"/>
  <c r="P652" i="1"/>
  <c r="Q652" i="1"/>
  <c r="R652" i="1"/>
  <c r="S652" i="1"/>
  <c r="T652" i="1"/>
  <c r="U652" i="1"/>
  <c r="V652" i="1"/>
  <c r="W652" i="1"/>
  <c r="X652" i="1"/>
  <c r="Y652" i="1"/>
  <c r="Z652" i="1"/>
  <c r="AA652" i="1"/>
  <c r="AB652" i="1"/>
  <c r="AC652" i="1"/>
  <c r="AD652" i="1"/>
  <c r="AE652" i="1"/>
  <c r="AF652" i="1"/>
  <c r="AM652" i="1"/>
  <c r="AN652" i="1"/>
  <c r="AO652" i="1"/>
  <c r="L653" i="1"/>
  <c r="M653" i="1"/>
  <c r="N653" i="1"/>
  <c r="O653" i="1"/>
  <c r="P653" i="1"/>
  <c r="Q653" i="1"/>
  <c r="R653" i="1"/>
  <c r="S653" i="1"/>
  <c r="T653" i="1"/>
  <c r="U653" i="1"/>
  <c r="V653" i="1"/>
  <c r="W653" i="1"/>
  <c r="X653" i="1"/>
  <c r="Y653" i="1"/>
  <c r="Z653" i="1"/>
  <c r="AA653" i="1"/>
  <c r="AB653" i="1"/>
  <c r="AC653" i="1"/>
  <c r="AD653" i="1"/>
  <c r="AE653" i="1"/>
  <c r="AF653" i="1"/>
  <c r="AM653" i="1"/>
  <c r="AN653" i="1"/>
  <c r="AO653" i="1"/>
  <c r="L654" i="1"/>
  <c r="M654" i="1"/>
  <c r="N654" i="1"/>
  <c r="O654" i="1"/>
  <c r="P654" i="1"/>
  <c r="Q654" i="1"/>
  <c r="R654" i="1"/>
  <c r="S654" i="1"/>
  <c r="T654" i="1"/>
  <c r="U654" i="1"/>
  <c r="V654" i="1"/>
  <c r="W654" i="1"/>
  <c r="X654" i="1"/>
  <c r="Y654" i="1"/>
  <c r="Z654" i="1"/>
  <c r="AA654" i="1"/>
  <c r="AB654" i="1"/>
  <c r="AC654" i="1"/>
  <c r="AD654" i="1"/>
  <c r="AE654" i="1"/>
  <c r="AF654" i="1"/>
  <c r="AM654" i="1"/>
  <c r="AN654" i="1"/>
  <c r="AO654" i="1"/>
  <c r="L655" i="1"/>
  <c r="M655" i="1"/>
  <c r="N655" i="1"/>
  <c r="O655" i="1"/>
  <c r="P655" i="1"/>
  <c r="Q655" i="1"/>
  <c r="R655" i="1"/>
  <c r="S655" i="1"/>
  <c r="T655" i="1"/>
  <c r="U655" i="1"/>
  <c r="V655" i="1"/>
  <c r="W655" i="1"/>
  <c r="X655" i="1"/>
  <c r="Y655" i="1"/>
  <c r="Z655" i="1"/>
  <c r="AA655" i="1"/>
  <c r="AB655" i="1"/>
  <c r="AC655" i="1"/>
  <c r="AD655" i="1"/>
  <c r="AE655" i="1"/>
  <c r="AF655" i="1"/>
  <c r="AM655" i="1"/>
  <c r="AN655" i="1"/>
  <c r="AO655" i="1"/>
  <c r="L656" i="1"/>
  <c r="M656" i="1"/>
  <c r="N656" i="1"/>
  <c r="O656" i="1"/>
  <c r="P656" i="1"/>
  <c r="Q656" i="1"/>
  <c r="R656" i="1"/>
  <c r="S656" i="1"/>
  <c r="T656" i="1"/>
  <c r="U656" i="1"/>
  <c r="V656" i="1"/>
  <c r="W656" i="1"/>
  <c r="X656" i="1"/>
  <c r="Y656" i="1"/>
  <c r="Z656" i="1"/>
  <c r="AA656" i="1"/>
  <c r="AB656" i="1"/>
  <c r="AC656" i="1"/>
  <c r="AD656" i="1"/>
  <c r="AE656" i="1"/>
  <c r="AF656" i="1"/>
  <c r="AM656" i="1"/>
  <c r="AN656" i="1"/>
  <c r="AO656" i="1"/>
  <c r="L657" i="1"/>
  <c r="M657" i="1"/>
  <c r="N657" i="1"/>
  <c r="O657" i="1"/>
  <c r="P657" i="1"/>
  <c r="Q657" i="1"/>
  <c r="R657" i="1"/>
  <c r="S657" i="1"/>
  <c r="T657" i="1"/>
  <c r="U657" i="1"/>
  <c r="V657" i="1"/>
  <c r="W657" i="1"/>
  <c r="X657" i="1"/>
  <c r="Y657" i="1"/>
  <c r="Z657" i="1"/>
  <c r="AA657" i="1"/>
  <c r="AB657" i="1"/>
  <c r="AC657" i="1"/>
  <c r="AD657" i="1"/>
  <c r="AE657" i="1"/>
  <c r="AF657" i="1"/>
  <c r="AM657" i="1"/>
  <c r="AN657" i="1"/>
  <c r="AO657" i="1"/>
  <c r="L658" i="1"/>
  <c r="M658" i="1"/>
  <c r="N658" i="1"/>
  <c r="O658" i="1"/>
  <c r="P658" i="1"/>
  <c r="Q658" i="1"/>
  <c r="R658" i="1"/>
  <c r="S658" i="1"/>
  <c r="T658" i="1"/>
  <c r="U658" i="1"/>
  <c r="V658" i="1"/>
  <c r="W658" i="1"/>
  <c r="X658" i="1"/>
  <c r="Y658" i="1"/>
  <c r="Z658" i="1"/>
  <c r="AA658" i="1"/>
  <c r="AB658" i="1"/>
  <c r="AC658" i="1"/>
  <c r="AD658" i="1"/>
  <c r="AE658" i="1"/>
  <c r="AF658" i="1"/>
  <c r="AM658" i="1"/>
  <c r="AN658" i="1"/>
  <c r="AO658" i="1"/>
  <c r="L659" i="1"/>
  <c r="M659" i="1"/>
  <c r="N659" i="1"/>
  <c r="O659" i="1"/>
  <c r="P659" i="1"/>
  <c r="Q659" i="1"/>
  <c r="R659" i="1"/>
  <c r="S659" i="1"/>
  <c r="T659" i="1"/>
  <c r="U659" i="1"/>
  <c r="V659" i="1"/>
  <c r="W659" i="1"/>
  <c r="X659" i="1"/>
  <c r="Y659" i="1"/>
  <c r="Z659" i="1"/>
  <c r="AA659" i="1"/>
  <c r="AB659" i="1"/>
  <c r="AC659" i="1"/>
  <c r="AD659" i="1"/>
  <c r="AE659" i="1"/>
  <c r="AF659" i="1"/>
  <c r="AM659" i="1"/>
  <c r="AN659" i="1"/>
  <c r="AO659" i="1"/>
  <c r="L660" i="1"/>
  <c r="M660" i="1"/>
  <c r="N660" i="1"/>
  <c r="O660" i="1"/>
  <c r="P660" i="1"/>
  <c r="Q660" i="1"/>
  <c r="R660" i="1"/>
  <c r="S660" i="1"/>
  <c r="T660" i="1"/>
  <c r="U660" i="1"/>
  <c r="V660" i="1"/>
  <c r="W660" i="1"/>
  <c r="X660" i="1"/>
  <c r="Y660" i="1"/>
  <c r="Z660" i="1"/>
  <c r="AA660" i="1"/>
  <c r="AB660" i="1"/>
  <c r="AC660" i="1"/>
  <c r="AD660" i="1"/>
  <c r="AE660" i="1"/>
  <c r="AF660" i="1"/>
  <c r="AM660" i="1"/>
  <c r="AN660" i="1"/>
  <c r="AO660" i="1"/>
  <c r="L661" i="1"/>
  <c r="M661" i="1"/>
  <c r="N661" i="1"/>
  <c r="O661" i="1"/>
  <c r="P661" i="1"/>
  <c r="Q661" i="1"/>
  <c r="R661" i="1"/>
  <c r="S661" i="1"/>
  <c r="T661" i="1"/>
  <c r="U661" i="1"/>
  <c r="V661" i="1"/>
  <c r="W661" i="1"/>
  <c r="X661" i="1"/>
  <c r="Y661" i="1"/>
  <c r="Z661" i="1"/>
  <c r="AA661" i="1"/>
  <c r="AB661" i="1"/>
  <c r="AC661" i="1"/>
  <c r="AD661" i="1"/>
  <c r="AE661" i="1"/>
  <c r="AF661" i="1"/>
  <c r="AM661" i="1"/>
  <c r="AN661" i="1"/>
  <c r="AO661" i="1"/>
  <c r="L662" i="1"/>
  <c r="M662" i="1"/>
  <c r="N662" i="1"/>
  <c r="O662" i="1"/>
  <c r="P662" i="1"/>
  <c r="Q662" i="1"/>
  <c r="R662" i="1"/>
  <c r="S662" i="1"/>
  <c r="T662" i="1"/>
  <c r="U662" i="1"/>
  <c r="V662" i="1"/>
  <c r="W662" i="1"/>
  <c r="X662" i="1"/>
  <c r="Y662" i="1"/>
  <c r="Z662" i="1"/>
  <c r="AA662" i="1"/>
  <c r="AB662" i="1"/>
  <c r="AC662" i="1"/>
  <c r="AD662" i="1"/>
  <c r="AE662" i="1"/>
  <c r="AF662" i="1"/>
  <c r="AM662" i="1"/>
  <c r="AN662" i="1"/>
  <c r="AO662" i="1"/>
  <c r="L663" i="1"/>
  <c r="M663" i="1"/>
  <c r="N663" i="1"/>
  <c r="O663" i="1"/>
  <c r="P663" i="1"/>
  <c r="Q663" i="1"/>
  <c r="R663" i="1"/>
  <c r="S663" i="1"/>
  <c r="T663" i="1"/>
  <c r="U663" i="1"/>
  <c r="V663" i="1"/>
  <c r="W663" i="1"/>
  <c r="X663" i="1"/>
  <c r="Y663" i="1"/>
  <c r="Z663" i="1"/>
  <c r="AA663" i="1"/>
  <c r="AB663" i="1"/>
  <c r="AC663" i="1"/>
  <c r="AD663" i="1"/>
  <c r="AE663" i="1"/>
  <c r="AF663" i="1"/>
  <c r="AM663" i="1"/>
  <c r="AN663" i="1"/>
  <c r="AO663" i="1"/>
  <c r="L664" i="1"/>
  <c r="M664" i="1"/>
  <c r="N664" i="1"/>
  <c r="O664" i="1"/>
  <c r="P664" i="1"/>
  <c r="Q664" i="1"/>
  <c r="R664" i="1"/>
  <c r="S664" i="1"/>
  <c r="T664" i="1"/>
  <c r="U664" i="1"/>
  <c r="V664" i="1"/>
  <c r="W664" i="1"/>
  <c r="X664" i="1"/>
  <c r="Y664" i="1"/>
  <c r="Z664" i="1"/>
  <c r="AA664" i="1"/>
  <c r="AB664" i="1"/>
  <c r="AC664" i="1"/>
  <c r="AD664" i="1"/>
  <c r="AE664" i="1"/>
  <c r="AF664" i="1"/>
  <c r="AM664" i="1"/>
  <c r="AN664" i="1"/>
  <c r="AO664" i="1"/>
  <c r="L665" i="1"/>
  <c r="M665" i="1"/>
  <c r="N665" i="1"/>
  <c r="O665" i="1"/>
  <c r="P665" i="1"/>
  <c r="Q665" i="1"/>
  <c r="R665" i="1"/>
  <c r="S665" i="1"/>
  <c r="T665" i="1"/>
  <c r="U665" i="1"/>
  <c r="V665" i="1"/>
  <c r="W665" i="1"/>
  <c r="X665" i="1"/>
  <c r="Y665" i="1"/>
  <c r="Z665" i="1"/>
  <c r="AA665" i="1"/>
  <c r="AB665" i="1"/>
  <c r="AC665" i="1"/>
  <c r="AD665" i="1"/>
  <c r="AE665" i="1"/>
  <c r="AF665" i="1"/>
  <c r="AM665" i="1"/>
  <c r="AN665" i="1"/>
  <c r="AO665" i="1"/>
  <c r="L666" i="1"/>
  <c r="M666" i="1"/>
  <c r="N666" i="1"/>
  <c r="O666" i="1"/>
  <c r="P666" i="1"/>
  <c r="Q666" i="1"/>
  <c r="R666" i="1"/>
  <c r="S666" i="1"/>
  <c r="T666" i="1"/>
  <c r="U666" i="1"/>
  <c r="V666" i="1"/>
  <c r="W666" i="1"/>
  <c r="X666" i="1"/>
  <c r="Y666" i="1"/>
  <c r="Z666" i="1"/>
  <c r="AA666" i="1"/>
  <c r="AB666" i="1"/>
  <c r="AC666" i="1"/>
  <c r="AD666" i="1"/>
  <c r="AE666" i="1"/>
  <c r="AF666" i="1"/>
  <c r="AM666" i="1"/>
  <c r="AN666" i="1"/>
  <c r="AO666" i="1"/>
  <c r="L667" i="1"/>
  <c r="M667" i="1"/>
  <c r="N667" i="1"/>
  <c r="O667" i="1"/>
  <c r="P667" i="1"/>
  <c r="Q667" i="1"/>
  <c r="R667" i="1"/>
  <c r="S667" i="1"/>
  <c r="T667" i="1"/>
  <c r="U667" i="1"/>
  <c r="V667" i="1"/>
  <c r="W667" i="1"/>
  <c r="X667" i="1"/>
  <c r="Y667" i="1"/>
  <c r="Z667" i="1"/>
  <c r="AA667" i="1"/>
  <c r="AB667" i="1"/>
  <c r="AC667" i="1"/>
  <c r="AD667" i="1"/>
  <c r="AE667" i="1"/>
  <c r="AF667" i="1"/>
  <c r="AM667" i="1"/>
  <c r="AN667" i="1"/>
  <c r="AO667" i="1"/>
  <c r="L668" i="1"/>
  <c r="M668" i="1"/>
  <c r="N668" i="1"/>
  <c r="O668" i="1"/>
  <c r="P668" i="1"/>
  <c r="Q668" i="1"/>
  <c r="R668" i="1"/>
  <c r="S668" i="1"/>
  <c r="T668" i="1"/>
  <c r="U668" i="1"/>
  <c r="V668" i="1"/>
  <c r="W668" i="1"/>
  <c r="X668" i="1"/>
  <c r="Y668" i="1"/>
  <c r="Z668" i="1"/>
  <c r="AA668" i="1"/>
  <c r="AB668" i="1"/>
  <c r="AC668" i="1"/>
  <c r="AD668" i="1"/>
  <c r="AE668" i="1"/>
  <c r="AF668" i="1"/>
  <c r="AM668" i="1"/>
  <c r="AN668" i="1"/>
  <c r="AO668" i="1"/>
  <c r="L669" i="1"/>
  <c r="M669" i="1"/>
  <c r="N669" i="1"/>
  <c r="O669" i="1"/>
  <c r="P669" i="1"/>
  <c r="Q669" i="1"/>
  <c r="R669" i="1"/>
  <c r="S669" i="1"/>
  <c r="T669" i="1"/>
  <c r="U669" i="1"/>
  <c r="V669" i="1"/>
  <c r="W669" i="1"/>
  <c r="X669" i="1"/>
  <c r="Y669" i="1"/>
  <c r="Z669" i="1"/>
  <c r="AA669" i="1"/>
  <c r="AB669" i="1"/>
  <c r="AC669" i="1"/>
  <c r="AD669" i="1"/>
  <c r="AE669" i="1"/>
  <c r="AF669" i="1"/>
  <c r="AM669" i="1"/>
  <c r="AN669" i="1"/>
  <c r="AO669" i="1"/>
  <c r="L670" i="1"/>
  <c r="M670" i="1"/>
  <c r="N670" i="1"/>
  <c r="O670" i="1"/>
  <c r="P670" i="1"/>
  <c r="Q670" i="1"/>
  <c r="R670" i="1"/>
  <c r="S670" i="1"/>
  <c r="T670" i="1"/>
  <c r="U670" i="1"/>
  <c r="V670" i="1"/>
  <c r="W670" i="1"/>
  <c r="X670" i="1"/>
  <c r="Y670" i="1"/>
  <c r="Z670" i="1"/>
  <c r="AA670" i="1"/>
  <c r="AB670" i="1"/>
  <c r="AC670" i="1"/>
  <c r="AD670" i="1"/>
  <c r="AE670" i="1"/>
  <c r="AF670" i="1"/>
  <c r="AM670" i="1"/>
  <c r="AN670" i="1"/>
  <c r="AO670" i="1"/>
  <c r="L671" i="1"/>
  <c r="M671" i="1"/>
  <c r="N671" i="1"/>
  <c r="O671" i="1"/>
  <c r="P671" i="1"/>
  <c r="Q671" i="1"/>
  <c r="R671" i="1"/>
  <c r="S671" i="1"/>
  <c r="T671" i="1"/>
  <c r="U671" i="1"/>
  <c r="V671" i="1"/>
  <c r="W671" i="1"/>
  <c r="X671" i="1"/>
  <c r="Y671" i="1"/>
  <c r="Z671" i="1"/>
  <c r="AA671" i="1"/>
  <c r="AB671" i="1"/>
  <c r="AC671" i="1"/>
  <c r="AD671" i="1"/>
  <c r="AE671" i="1"/>
  <c r="AF671" i="1"/>
  <c r="AM671" i="1"/>
  <c r="AN671" i="1"/>
  <c r="AO671" i="1"/>
  <c r="L672" i="1"/>
  <c r="M672" i="1"/>
  <c r="N672" i="1"/>
  <c r="O672" i="1"/>
  <c r="P672" i="1"/>
  <c r="Q672" i="1"/>
  <c r="R672" i="1"/>
  <c r="S672" i="1"/>
  <c r="T672" i="1"/>
  <c r="U672" i="1"/>
  <c r="V672" i="1"/>
  <c r="W672" i="1"/>
  <c r="X672" i="1"/>
  <c r="Y672" i="1"/>
  <c r="Z672" i="1"/>
  <c r="AA672" i="1"/>
  <c r="AB672" i="1"/>
  <c r="AC672" i="1"/>
  <c r="AD672" i="1"/>
  <c r="AE672" i="1"/>
  <c r="AF672" i="1"/>
  <c r="AM672" i="1"/>
  <c r="AN672" i="1"/>
  <c r="AO672" i="1"/>
  <c r="L673" i="1"/>
  <c r="M673" i="1"/>
  <c r="N673" i="1"/>
  <c r="O673" i="1"/>
  <c r="P673" i="1"/>
  <c r="Q673" i="1"/>
  <c r="R673" i="1"/>
  <c r="S673" i="1"/>
  <c r="T673" i="1"/>
  <c r="U673" i="1"/>
  <c r="V673" i="1"/>
  <c r="W673" i="1"/>
  <c r="X673" i="1"/>
  <c r="Y673" i="1"/>
  <c r="Z673" i="1"/>
  <c r="AA673" i="1"/>
  <c r="AB673" i="1"/>
  <c r="AC673" i="1"/>
  <c r="AD673" i="1"/>
  <c r="AE673" i="1"/>
  <c r="AF673" i="1"/>
  <c r="AM673" i="1"/>
  <c r="AN673" i="1"/>
  <c r="AO673" i="1"/>
  <c r="L674" i="1"/>
  <c r="M674" i="1"/>
  <c r="N674" i="1"/>
  <c r="O674" i="1"/>
  <c r="P674" i="1"/>
  <c r="Q674" i="1"/>
  <c r="R674" i="1"/>
  <c r="S674" i="1"/>
  <c r="T674" i="1"/>
  <c r="U674" i="1"/>
  <c r="V674" i="1"/>
  <c r="W674" i="1"/>
  <c r="X674" i="1"/>
  <c r="Y674" i="1"/>
  <c r="Z674" i="1"/>
  <c r="AA674" i="1"/>
  <c r="AB674" i="1"/>
  <c r="AC674" i="1"/>
  <c r="AD674" i="1"/>
  <c r="AE674" i="1"/>
  <c r="AF674" i="1"/>
  <c r="AM674" i="1"/>
  <c r="AN674" i="1"/>
  <c r="AO674" i="1"/>
  <c r="L675" i="1"/>
  <c r="M675" i="1"/>
  <c r="N675" i="1"/>
  <c r="O675" i="1"/>
  <c r="P675" i="1"/>
  <c r="Q675" i="1"/>
  <c r="R675" i="1"/>
  <c r="S675" i="1"/>
  <c r="T675" i="1"/>
  <c r="U675" i="1"/>
  <c r="V675" i="1"/>
  <c r="W675" i="1"/>
  <c r="X675" i="1"/>
  <c r="Y675" i="1"/>
  <c r="Z675" i="1"/>
  <c r="AA675" i="1"/>
  <c r="AB675" i="1"/>
  <c r="AC675" i="1"/>
  <c r="AD675" i="1"/>
  <c r="AE675" i="1"/>
  <c r="AF675" i="1"/>
  <c r="AM675" i="1"/>
  <c r="AN675" i="1"/>
  <c r="AO675" i="1"/>
  <c r="L676" i="1"/>
  <c r="M676" i="1"/>
  <c r="N676" i="1"/>
  <c r="O676" i="1"/>
  <c r="P676" i="1"/>
  <c r="Q676" i="1"/>
  <c r="R676" i="1"/>
  <c r="S676" i="1"/>
  <c r="T676" i="1"/>
  <c r="U676" i="1"/>
  <c r="V676" i="1"/>
  <c r="W676" i="1"/>
  <c r="X676" i="1"/>
  <c r="Y676" i="1"/>
  <c r="Z676" i="1"/>
  <c r="AA676" i="1"/>
  <c r="AB676" i="1"/>
  <c r="AC676" i="1"/>
  <c r="AD676" i="1"/>
  <c r="AE676" i="1"/>
  <c r="AF676" i="1"/>
  <c r="AM676" i="1"/>
  <c r="AN676" i="1"/>
  <c r="AO676" i="1"/>
  <c r="L677" i="1"/>
  <c r="M677" i="1"/>
  <c r="N677" i="1"/>
  <c r="O677" i="1"/>
  <c r="P677" i="1"/>
  <c r="Q677" i="1"/>
  <c r="R677" i="1"/>
  <c r="S677" i="1"/>
  <c r="T677" i="1"/>
  <c r="U677" i="1"/>
  <c r="V677" i="1"/>
  <c r="W677" i="1"/>
  <c r="X677" i="1"/>
  <c r="Y677" i="1"/>
  <c r="Z677" i="1"/>
  <c r="AA677" i="1"/>
  <c r="AB677" i="1"/>
  <c r="AC677" i="1"/>
  <c r="AD677" i="1"/>
  <c r="AE677" i="1"/>
  <c r="AF677" i="1"/>
  <c r="AM677" i="1"/>
  <c r="AN677" i="1"/>
  <c r="AO677" i="1"/>
  <c r="L678" i="1"/>
  <c r="M678" i="1"/>
  <c r="N678" i="1"/>
  <c r="O678" i="1"/>
  <c r="P678" i="1"/>
  <c r="Q678" i="1"/>
  <c r="R678" i="1"/>
  <c r="S678" i="1"/>
  <c r="T678" i="1"/>
  <c r="U678" i="1"/>
  <c r="V678" i="1"/>
  <c r="W678" i="1"/>
  <c r="X678" i="1"/>
  <c r="Y678" i="1"/>
  <c r="Z678" i="1"/>
  <c r="AA678" i="1"/>
  <c r="AB678" i="1"/>
  <c r="AC678" i="1"/>
  <c r="AD678" i="1"/>
  <c r="AE678" i="1"/>
  <c r="AF678" i="1"/>
  <c r="AM678" i="1"/>
  <c r="AN678" i="1"/>
  <c r="AO678" i="1"/>
  <c r="L679" i="1"/>
  <c r="M679" i="1"/>
  <c r="N679" i="1"/>
  <c r="O679" i="1"/>
  <c r="P679" i="1"/>
  <c r="Q679" i="1"/>
  <c r="R679" i="1"/>
  <c r="S679" i="1"/>
  <c r="T679" i="1"/>
  <c r="U679" i="1"/>
  <c r="V679" i="1"/>
  <c r="W679" i="1"/>
  <c r="X679" i="1"/>
  <c r="Y679" i="1"/>
  <c r="Z679" i="1"/>
  <c r="AA679" i="1"/>
  <c r="AB679" i="1"/>
  <c r="AC679" i="1"/>
  <c r="AD679" i="1"/>
  <c r="AE679" i="1"/>
  <c r="AF679" i="1"/>
  <c r="AM679" i="1"/>
  <c r="AN679" i="1"/>
  <c r="AO679" i="1"/>
  <c r="L680" i="1"/>
  <c r="M680" i="1"/>
  <c r="N680" i="1"/>
  <c r="O680" i="1"/>
  <c r="P680" i="1"/>
  <c r="Q680" i="1"/>
  <c r="R680" i="1"/>
  <c r="S680" i="1"/>
  <c r="T680" i="1"/>
  <c r="U680" i="1"/>
  <c r="V680" i="1"/>
  <c r="W680" i="1"/>
  <c r="X680" i="1"/>
  <c r="Y680" i="1"/>
  <c r="Z680" i="1"/>
  <c r="AA680" i="1"/>
  <c r="AB680" i="1"/>
  <c r="AC680" i="1"/>
  <c r="AD680" i="1"/>
  <c r="AE680" i="1"/>
  <c r="AF680" i="1"/>
  <c r="AM680" i="1"/>
  <c r="AN680" i="1"/>
  <c r="AO680" i="1"/>
  <c r="L681" i="1"/>
  <c r="M681" i="1"/>
  <c r="N681" i="1"/>
  <c r="O681" i="1"/>
  <c r="P681" i="1"/>
  <c r="Q681" i="1"/>
  <c r="R681" i="1"/>
  <c r="S681" i="1"/>
  <c r="T681" i="1"/>
  <c r="U681" i="1"/>
  <c r="V681" i="1"/>
  <c r="W681" i="1"/>
  <c r="X681" i="1"/>
  <c r="Y681" i="1"/>
  <c r="Z681" i="1"/>
  <c r="AA681" i="1"/>
  <c r="AB681" i="1"/>
  <c r="AC681" i="1"/>
  <c r="AD681" i="1"/>
  <c r="AE681" i="1"/>
  <c r="AF681" i="1"/>
  <c r="AM681" i="1"/>
  <c r="AN681" i="1"/>
  <c r="AO681" i="1"/>
  <c r="L682" i="1"/>
  <c r="M682" i="1"/>
  <c r="N682" i="1"/>
  <c r="O682" i="1"/>
  <c r="P682" i="1"/>
  <c r="Q682" i="1"/>
  <c r="R682" i="1"/>
  <c r="S682" i="1"/>
  <c r="T682" i="1"/>
  <c r="U682" i="1"/>
  <c r="V682" i="1"/>
  <c r="W682" i="1"/>
  <c r="X682" i="1"/>
  <c r="Y682" i="1"/>
  <c r="Z682" i="1"/>
  <c r="AA682" i="1"/>
  <c r="AB682" i="1"/>
  <c r="AC682" i="1"/>
  <c r="AD682" i="1"/>
  <c r="AE682" i="1"/>
  <c r="AF682" i="1"/>
  <c r="AM682" i="1"/>
  <c r="AN682" i="1"/>
  <c r="AO682" i="1"/>
  <c r="L683" i="1"/>
  <c r="M683" i="1"/>
  <c r="N683" i="1"/>
  <c r="O683" i="1"/>
  <c r="P683" i="1"/>
  <c r="Q683" i="1"/>
  <c r="R683" i="1"/>
  <c r="S683" i="1"/>
  <c r="T683" i="1"/>
  <c r="U683" i="1"/>
  <c r="V683" i="1"/>
  <c r="W683" i="1"/>
  <c r="X683" i="1"/>
  <c r="Y683" i="1"/>
  <c r="Z683" i="1"/>
  <c r="AA683" i="1"/>
  <c r="AB683" i="1"/>
  <c r="AC683" i="1"/>
  <c r="AD683" i="1"/>
  <c r="AE683" i="1"/>
  <c r="AF683" i="1"/>
  <c r="AM683" i="1"/>
  <c r="AN683" i="1"/>
  <c r="AO683" i="1"/>
  <c r="L684" i="1"/>
  <c r="M684" i="1"/>
  <c r="N684" i="1"/>
  <c r="O684" i="1"/>
  <c r="P684" i="1"/>
  <c r="Q684" i="1"/>
  <c r="R684" i="1"/>
  <c r="S684" i="1"/>
  <c r="T684" i="1"/>
  <c r="U684" i="1"/>
  <c r="V684" i="1"/>
  <c r="W684" i="1"/>
  <c r="X684" i="1"/>
  <c r="Y684" i="1"/>
  <c r="Z684" i="1"/>
  <c r="AA684" i="1"/>
  <c r="AB684" i="1"/>
  <c r="AC684" i="1"/>
  <c r="AD684" i="1"/>
  <c r="AE684" i="1"/>
  <c r="AF684" i="1"/>
  <c r="AM684" i="1"/>
  <c r="AN684" i="1"/>
  <c r="AO684" i="1"/>
  <c r="L685" i="1"/>
  <c r="M685" i="1"/>
  <c r="N685" i="1"/>
  <c r="O685" i="1"/>
  <c r="P685" i="1"/>
  <c r="Q685" i="1"/>
  <c r="R685" i="1"/>
  <c r="S685" i="1"/>
  <c r="T685" i="1"/>
  <c r="U685" i="1"/>
  <c r="V685" i="1"/>
  <c r="W685" i="1"/>
  <c r="X685" i="1"/>
  <c r="Y685" i="1"/>
  <c r="Z685" i="1"/>
  <c r="AA685" i="1"/>
  <c r="AB685" i="1"/>
  <c r="AC685" i="1"/>
  <c r="AD685" i="1"/>
  <c r="AE685" i="1"/>
  <c r="AF685" i="1"/>
  <c r="AM685" i="1"/>
  <c r="AN685" i="1"/>
  <c r="AO685" i="1"/>
  <c r="L686" i="1"/>
  <c r="M686" i="1"/>
  <c r="N686" i="1"/>
  <c r="O686" i="1"/>
  <c r="P686" i="1"/>
  <c r="Q686" i="1"/>
  <c r="R686" i="1"/>
  <c r="S686" i="1"/>
  <c r="T686" i="1"/>
  <c r="U686" i="1"/>
  <c r="V686" i="1"/>
  <c r="W686" i="1"/>
  <c r="X686" i="1"/>
  <c r="Y686" i="1"/>
  <c r="Z686" i="1"/>
  <c r="AA686" i="1"/>
  <c r="AB686" i="1"/>
  <c r="AC686" i="1"/>
  <c r="AD686" i="1"/>
  <c r="AE686" i="1"/>
  <c r="AF686" i="1"/>
  <c r="AM686" i="1"/>
  <c r="AN686" i="1"/>
  <c r="AO686" i="1"/>
  <c r="L687" i="1"/>
  <c r="M687" i="1"/>
  <c r="N687" i="1"/>
  <c r="O687" i="1"/>
  <c r="P687" i="1"/>
  <c r="Q687" i="1"/>
  <c r="R687" i="1"/>
  <c r="S687" i="1"/>
  <c r="T687" i="1"/>
  <c r="U687" i="1"/>
  <c r="V687" i="1"/>
  <c r="W687" i="1"/>
  <c r="X687" i="1"/>
  <c r="Y687" i="1"/>
  <c r="Z687" i="1"/>
  <c r="AA687" i="1"/>
  <c r="AB687" i="1"/>
  <c r="AC687" i="1"/>
  <c r="AD687" i="1"/>
  <c r="AE687" i="1"/>
  <c r="AF687" i="1"/>
  <c r="AM687" i="1"/>
  <c r="AN687" i="1"/>
  <c r="AO687" i="1"/>
  <c r="L688" i="1"/>
  <c r="M688" i="1"/>
  <c r="N688" i="1"/>
  <c r="O688" i="1"/>
  <c r="P688" i="1"/>
  <c r="Q688" i="1"/>
  <c r="R688" i="1"/>
  <c r="S688" i="1"/>
  <c r="T688" i="1"/>
  <c r="U688" i="1"/>
  <c r="V688" i="1"/>
  <c r="W688" i="1"/>
  <c r="X688" i="1"/>
  <c r="Y688" i="1"/>
  <c r="Z688" i="1"/>
  <c r="AA688" i="1"/>
  <c r="AB688" i="1"/>
  <c r="AC688" i="1"/>
  <c r="AD688" i="1"/>
  <c r="AE688" i="1"/>
  <c r="AF688" i="1"/>
  <c r="AM688" i="1"/>
  <c r="AN688" i="1"/>
  <c r="AO688" i="1"/>
  <c r="L689" i="1"/>
  <c r="M689" i="1"/>
  <c r="N689" i="1"/>
  <c r="O689" i="1"/>
  <c r="P689" i="1"/>
  <c r="Q689" i="1"/>
  <c r="R689" i="1"/>
  <c r="S689" i="1"/>
  <c r="T689" i="1"/>
  <c r="U689" i="1"/>
  <c r="V689" i="1"/>
  <c r="W689" i="1"/>
  <c r="X689" i="1"/>
  <c r="Y689" i="1"/>
  <c r="Z689" i="1"/>
  <c r="AA689" i="1"/>
  <c r="AB689" i="1"/>
  <c r="AC689" i="1"/>
  <c r="AD689" i="1"/>
  <c r="AE689" i="1"/>
  <c r="AF689" i="1"/>
  <c r="AM689" i="1"/>
  <c r="AN689" i="1"/>
  <c r="AO689" i="1"/>
  <c r="L690" i="1"/>
  <c r="M690" i="1"/>
  <c r="N690" i="1"/>
  <c r="O690" i="1"/>
  <c r="P690" i="1"/>
  <c r="Q690" i="1"/>
  <c r="R690" i="1"/>
  <c r="S690" i="1"/>
  <c r="T690" i="1"/>
  <c r="U690" i="1"/>
  <c r="V690" i="1"/>
  <c r="W690" i="1"/>
  <c r="X690" i="1"/>
  <c r="Y690" i="1"/>
  <c r="Z690" i="1"/>
  <c r="AA690" i="1"/>
  <c r="AB690" i="1"/>
  <c r="AC690" i="1"/>
  <c r="AD690" i="1"/>
  <c r="AE690" i="1"/>
  <c r="AF690" i="1"/>
  <c r="AM690" i="1"/>
  <c r="AN690" i="1"/>
  <c r="AO690" i="1"/>
  <c r="L691" i="1"/>
  <c r="M691" i="1"/>
  <c r="N691" i="1"/>
  <c r="O691" i="1"/>
  <c r="P691" i="1"/>
  <c r="Q691" i="1"/>
  <c r="R691" i="1"/>
  <c r="S691" i="1"/>
  <c r="T691" i="1"/>
  <c r="U691" i="1"/>
  <c r="V691" i="1"/>
  <c r="W691" i="1"/>
  <c r="X691" i="1"/>
  <c r="Y691" i="1"/>
  <c r="Z691" i="1"/>
  <c r="AA691" i="1"/>
  <c r="AB691" i="1"/>
  <c r="AC691" i="1"/>
  <c r="AD691" i="1"/>
  <c r="AE691" i="1"/>
  <c r="AF691" i="1"/>
  <c r="AM691" i="1"/>
  <c r="AN691" i="1"/>
  <c r="AO691" i="1"/>
  <c r="L692" i="1"/>
  <c r="M692" i="1"/>
  <c r="N692" i="1"/>
  <c r="O692" i="1"/>
  <c r="P692" i="1"/>
  <c r="Q692" i="1"/>
  <c r="R692" i="1"/>
  <c r="S692" i="1"/>
  <c r="T692" i="1"/>
  <c r="U692" i="1"/>
  <c r="V692" i="1"/>
  <c r="W692" i="1"/>
  <c r="X692" i="1"/>
  <c r="Y692" i="1"/>
  <c r="Z692" i="1"/>
  <c r="AA692" i="1"/>
  <c r="AB692" i="1"/>
  <c r="AC692" i="1"/>
  <c r="AD692" i="1"/>
  <c r="AE692" i="1"/>
  <c r="AF692" i="1"/>
  <c r="AM692" i="1"/>
  <c r="AN692" i="1"/>
  <c r="AO692" i="1"/>
  <c r="L693" i="1"/>
  <c r="M693" i="1"/>
  <c r="N693" i="1"/>
  <c r="O693" i="1"/>
  <c r="P693" i="1"/>
  <c r="Q693" i="1"/>
  <c r="R693" i="1"/>
  <c r="S693" i="1"/>
  <c r="T693" i="1"/>
  <c r="U693" i="1"/>
  <c r="V693" i="1"/>
  <c r="W693" i="1"/>
  <c r="X693" i="1"/>
  <c r="Y693" i="1"/>
  <c r="Z693" i="1"/>
  <c r="AA693" i="1"/>
  <c r="AB693" i="1"/>
  <c r="AC693" i="1"/>
  <c r="AD693" i="1"/>
  <c r="AE693" i="1"/>
  <c r="AF693" i="1"/>
  <c r="AM693" i="1"/>
  <c r="AN693" i="1"/>
  <c r="AO693" i="1"/>
  <c r="L694" i="1"/>
  <c r="M694" i="1"/>
  <c r="N694" i="1"/>
  <c r="O694" i="1"/>
  <c r="P694" i="1"/>
  <c r="Q694" i="1"/>
  <c r="R694" i="1"/>
  <c r="S694" i="1"/>
  <c r="T694" i="1"/>
  <c r="U694" i="1"/>
  <c r="V694" i="1"/>
  <c r="W694" i="1"/>
  <c r="X694" i="1"/>
  <c r="Y694" i="1"/>
  <c r="Z694" i="1"/>
  <c r="AA694" i="1"/>
  <c r="AB694" i="1"/>
  <c r="AC694" i="1"/>
  <c r="AD694" i="1"/>
  <c r="AE694" i="1"/>
  <c r="AF694" i="1"/>
  <c r="AM694" i="1"/>
  <c r="AN694" i="1"/>
  <c r="AO694" i="1"/>
  <c r="L695" i="1"/>
  <c r="M695" i="1"/>
  <c r="N695" i="1"/>
  <c r="O695" i="1"/>
  <c r="P695" i="1"/>
  <c r="Q695" i="1"/>
  <c r="R695" i="1"/>
  <c r="S695" i="1"/>
  <c r="T695" i="1"/>
  <c r="U695" i="1"/>
  <c r="V695" i="1"/>
  <c r="W695" i="1"/>
  <c r="X695" i="1"/>
  <c r="Y695" i="1"/>
  <c r="Z695" i="1"/>
  <c r="AA695" i="1"/>
  <c r="AB695" i="1"/>
  <c r="AC695" i="1"/>
  <c r="AD695" i="1"/>
  <c r="AE695" i="1"/>
  <c r="AF695" i="1"/>
  <c r="AM695" i="1"/>
  <c r="AN695" i="1"/>
  <c r="AO695" i="1"/>
  <c r="L696" i="1"/>
  <c r="M696" i="1"/>
  <c r="N696" i="1"/>
  <c r="O696" i="1"/>
  <c r="P696" i="1"/>
  <c r="Q696" i="1"/>
  <c r="R696" i="1"/>
  <c r="S696" i="1"/>
  <c r="T696" i="1"/>
  <c r="U696" i="1"/>
  <c r="V696" i="1"/>
  <c r="W696" i="1"/>
  <c r="X696" i="1"/>
  <c r="Y696" i="1"/>
  <c r="Z696" i="1"/>
  <c r="AA696" i="1"/>
  <c r="AB696" i="1"/>
  <c r="AC696" i="1"/>
  <c r="AD696" i="1"/>
  <c r="AE696" i="1"/>
  <c r="AF696" i="1"/>
  <c r="AM696" i="1"/>
  <c r="AN696" i="1"/>
  <c r="AO696" i="1"/>
  <c r="L697" i="1"/>
  <c r="M697" i="1"/>
  <c r="N697" i="1"/>
  <c r="O697" i="1"/>
  <c r="P697" i="1"/>
  <c r="Q697" i="1"/>
  <c r="R697" i="1"/>
  <c r="S697" i="1"/>
  <c r="T697" i="1"/>
  <c r="U697" i="1"/>
  <c r="V697" i="1"/>
  <c r="W697" i="1"/>
  <c r="X697" i="1"/>
  <c r="Y697" i="1"/>
  <c r="Z697" i="1"/>
  <c r="AA697" i="1"/>
  <c r="AB697" i="1"/>
  <c r="AC697" i="1"/>
  <c r="AD697" i="1"/>
  <c r="AE697" i="1"/>
  <c r="AF697" i="1"/>
  <c r="AM697" i="1"/>
  <c r="AN697" i="1"/>
  <c r="AO697" i="1"/>
  <c r="L698" i="1"/>
  <c r="M698" i="1"/>
  <c r="N698" i="1"/>
  <c r="O698" i="1"/>
  <c r="P698" i="1"/>
  <c r="Q698" i="1"/>
  <c r="R698" i="1"/>
  <c r="S698" i="1"/>
  <c r="T698" i="1"/>
  <c r="U698" i="1"/>
  <c r="V698" i="1"/>
  <c r="W698" i="1"/>
  <c r="X698" i="1"/>
  <c r="Y698" i="1"/>
  <c r="Z698" i="1"/>
  <c r="AA698" i="1"/>
  <c r="AB698" i="1"/>
  <c r="AC698" i="1"/>
  <c r="AD698" i="1"/>
  <c r="AE698" i="1"/>
  <c r="AF698" i="1"/>
  <c r="AM698" i="1"/>
  <c r="AN698" i="1"/>
  <c r="AO698" i="1"/>
  <c r="L699" i="1"/>
  <c r="M699" i="1"/>
  <c r="N699" i="1"/>
  <c r="O699" i="1"/>
  <c r="P699" i="1"/>
  <c r="Q699" i="1"/>
  <c r="R699" i="1"/>
  <c r="S699" i="1"/>
  <c r="T699" i="1"/>
  <c r="U699" i="1"/>
  <c r="V699" i="1"/>
  <c r="W699" i="1"/>
  <c r="X699" i="1"/>
  <c r="Y699" i="1"/>
  <c r="Z699" i="1"/>
  <c r="AA699" i="1"/>
  <c r="AB699" i="1"/>
  <c r="AC699" i="1"/>
  <c r="AD699" i="1"/>
  <c r="AE699" i="1"/>
  <c r="AF699" i="1"/>
  <c r="AM699" i="1"/>
  <c r="AN699" i="1"/>
  <c r="AO699" i="1"/>
  <c r="L700" i="1"/>
  <c r="M700" i="1"/>
  <c r="N700" i="1"/>
  <c r="O700" i="1"/>
  <c r="P700" i="1"/>
  <c r="Q700" i="1"/>
  <c r="R700" i="1"/>
  <c r="S700" i="1"/>
  <c r="T700" i="1"/>
  <c r="U700" i="1"/>
  <c r="V700" i="1"/>
  <c r="W700" i="1"/>
  <c r="X700" i="1"/>
  <c r="Y700" i="1"/>
  <c r="Z700" i="1"/>
  <c r="AA700" i="1"/>
  <c r="AB700" i="1"/>
  <c r="AC700" i="1"/>
  <c r="AD700" i="1"/>
  <c r="AE700" i="1"/>
  <c r="AF700" i="1"/>
  <c r="AM700" i="1"/>
  <c r="AN700" i="1"/>
  <c r="AO700" i="1"/>
  <c r="L701" i="1"/>
  <c r="M701" i="1"/>
  <c r="N701" i="1"/>
  <c r="O701" i="1"/>
  <c r="P701" i="1"/>
  <c r="Q701" i="1"/>
  <c r="R701" i="1"/>
  <c r="S701" i="1"/>
  <c r="T701" i="1"/>
  <c r="U701" i="1"/>
  <c r="V701" i="1"/>
  <c r="W701" i="1"/>
  <c r="X701" i="1"/>
  <c r="Y701" i="1"/>
  <c r="Z701" i="1"/>
  <c r="AA701" i="1"/>
  <c r="AB701" i="1"/>
  <c r="AC701" i="1"/>
  <c r="AD701" i="1"/>
  <c r="AE701" i="1"/>
  <c r="AF701" i="1"/>
  <c r="AM701" i="1"/>
  <c r="AN701" i="1"/>
  <c r="AO701" i="1"/>
  <c r="L702" i="1"/>
  <c r="M702" i="1"/>
  <c r="N702" i="1"/>
  <c r="O702" i="1"/>
  <c r="P702" i="1"/>
  <c r="Q702" i="1"/>
  <c r="R702" i="1"/>
  <c r="S702" i="1"/>
  <c r="T702" i="1"/>
  <c r="U702" i="1"/>
  <c r="V702" i="1"/>
  <c r="W702" i="1"/>
  <c r="X702" i="1"/>
  <c r="Y702" i="1"/>
  <c r="Z702" i="1"/>
  <c r="AA702" i="1"/>
  <c r="AB702" i="1"/>
  <c r="AC702" i="1"/>
  <c r="AD702" i="1"/>
  <c r="AE702" i="1"/>
  <c r="AF702" i="1"/>
  <c r="AM702" i="1"/>
  <c r="AN702" i="1"/>
  <c r="AO702" i="1"/>
  <c r="L703" i="1"/>
  <c r="M703" i="1"/>
  <c r="N703" i="1"/>
  <c r="O703" i="1"/>
  <c r="P703" i="1"/>
  <c r="Q703" i="1"/>
  <c r="R703" i="1"/>
  <c r="S703" i="1"/>
  <c r="T703" i="1"/>
  <c r="U703" i="1"/>
  <c r="V703" i="1"/>
  <c r="W703" i="1"/>
  <c r="X703" i="1"/>
  <c r="Y703" i="1"/>
  <c r="Z703" i="1"/>
  <c r="AA703" i="1"/>
  <c r="AB703" i="1"/>
  <c r="AC703" i="1"/>
  <c r="AD703" i="1"/>
  <c r="AE703" i="1"/>
  <c r="AF703" i="1"/>
  <c r="AM703" i="1"/>
  <c r="AN703" i="1"/>
  <c r="AO703" i="1"/>
  <c r="L704" i="1"/>
  <c r="M704" i="1"/>
  <c r="N704" i="1"/>
  <c r="O704" i="1"/>
  <c r="P704" i="1"/>
  <c r="Q704" i="1"/>
  <c r="R704" i="1"/>
  <c r="S704" i="1"/>
  <c r="T704" i="1"/>
  <c r="U704" i="1"/>
  <c r="V704" i="1"/>
  <c r="W704" i="1"/>
  <c r="X704" i="1"/>
  <c r="Y704" i="1"/>
  <c r="Z704" i="1"/>
  <c r="AA704" i="1"/>
  <c r="AB704" i="1"/>
  <c r="AC704" i="1"/>
  <c r="AD704" i="1"/>
  <c r="AE704" i="1"/>
  <c r="AF704" i="1"/>
  <c r="AM704" i="1"/>
  <c r="AN704" i="1"/>
  <c r="AO704" i="1"/>
  <c r="L705" i="1"/>
  <c r="M705" i="1"/>
  <c r="N705" i="1"/>
  <c r="O705" i="1"/>
  <c r="P705" i="1"/>
  <c r="Q705" i="1"/>
  <c r="R705" i="1"/>
  <c r="S705" i="1"/>
  <c r="T705" i="1"/>
  <c r="U705" i="1"/>
  <c r="V705" i="1"/>
  <c r="W705" i="1"/>
  <c r="X705" i="1"/>
  <c r="Y705" i="1"/>
  <c r="Z705" i="1"/>
  <c r="AA705" i="1"/>
  <c r="AB705" i="1"/>
  <c r="AC705" i="1"/>
  <c r="AD705" i="1"/>
  <c r="AE705" i="1"/>
  <c r="AF705" i="1"/>
  <c r="AM705" i="1"/>
  <c r="AN705" i="1"/>
  <c r="AO705" i="1"/>
  <c r="L706" i="1"/>
  <c r="M706" i="1"/>
  <c r="N706" i="1"/>
  <c r="O706" i="1"/>
  <c r="P706" i="1"/>
  <c r="Q706" i="1"/>
  <c r="R706" i="1"/>
  <c r="S706" i="1"/>
  <c r="T706" i="1"/>
  <c r="U706" i="1"/>
  <c r="V706" i="1"/>
  <c r="W706" i="1"/>
  <c r="X706" i="1"/>
  <c r="Y706" i="1"/>
  <c r="Z706" i="1"/>
  <c r="AA706" i="1"/>
  <c r="AB706" i="1"/>
  <c r="AC706" i="1"/>
  <c r="AD706" i="1"/>
  <c r="AE706" i="1"/>
  <c r="AF706" i="1"/>
  <c r="AM706" i="1"/>
  <c r="AN706" i="1"/>
  <c r="AO706" i="1"/>
  <c r="L707" i="1"/>
  <c r="M707" i="1"/>
  <c r="N707" i="1"/>
  <c r="O707" i="1"/>
  <c r="P707" i="1"/>
  <c r="Q707" i="1"/>
  <c r="R707" i="1"/>
  <c r="S707" i="1"/>
  <c r="T707" i="1"/>
  <c r="U707" i="1"/>
  <c r="V707" i="1"/>
  <c r="W707" i="1"/>
  <c r="X707" i="1"/>
  <c r="Y707" i="1"/>
  <c r="Z707" i="1"/>
  <c r="AA707" i="1"/>
  <c r="AB707" i="1"/>
  <c r="AC707" i="1"/>
  <c r="AD707" i="1"/>
  <c r="AE707" i="1"/>
  <c r="AF707" i="1"/>
  <c r="AM707" i="1"/>
  <c r="AN707" i="1"/>
  <c r="AO707" i="1"/>
  <c r="L708" i="1"/>
  <c r="M708" i="1"/>
  <c r="N708" i="1"/>
  <c r="O708" i="1"/>
  <c r="P708" i="1"/>
  <c r="Q708" i="1"/>
  <c r="R708" i="1"/>
  <c r="S708" i="1"/>
  <c r="T708" i="1"/>
  <c r="U708" i="1"/>
  <c r="V708" i="1"/>
  <c r="W708" i="1"/>
  <c r="X708" i="1"/>
  <c r="Y708" i="1"/>
  <c r="Z708" i="1"/>
  <c r="AA708" i="1"/>
  <c r="AB708" i="1"/>
  <c r="AC708" i="1"/>
  <c r="AD708" i="1"/>
  <c r="AE708" i="1"/>
  <c r="AF708" i="1"/>
  <c r="AM708" i="1"/>
  <c r="AN708" i="1"/>
  <c r="AO708" i="1"/>
  <c r="L709" i="1"/>
  <c r="M709" i="1"/>
  <c r="N709" i="1"/>
  <c r="O709" i="1"/>
  <c r="P709" i="1"/>
  <c r="Q709" i="1"/>
  <c r="R709" i="1"/>
  <c r="S709" i="1"/>
  <c r="T709" i="1"/>
  <c r="U709" i="1"/>
  <c r="V709" i="1"/>
  <c r="W709" i="1"/>
  <c r="X709" i="1"/>
  <c r="Y709" i="1"/>
  <c r="Z709" i="1"/>
  <c r="AA709" i="1"/>
  <c r="AB709" i="1"/>
  <c r="AC709" i="1"/>
  <c r="AD709" i="1"/>
  <c r="AE709" i="1"/>
  <c r="AF709" i="1"/>
  <c r="AM709" i="1"/>
  <c r="AN709" i="1"/>
  <c r="AO709" i="1"/>
  <c r="L710" i="1"/>
  <c r="M710" i="1"/>
  <c r="N710" i="1"/>
  <c r="O710" i="1"/>
  <c r="P710" i="1"/>
  <c r="Q710" i="1"/>
  <c r="R710" i="1"/>
  <c r="S710" i="1"/>
  <c r="T710" i="1"/>
  <c r="U710" i="1"/>
  <c r="V710" i="1"/>
  <c r="W710" i="1"/>
  <c r="X710" i="1"/>
  <c r="Y710" i="1"/>
  <c r="Z710" i="1"/>
  <c r="AA710" i="1"/>
  <c r="AB710" i="1"/>
  <c r="AC710" i="1"/>
  <c r="AD710" i="1"/>
  <c r="AE710" i="1"/>
  <c r="AF710" i="1"/>
  <c r="AM710" i="1"/>
  <c r="AN710" i="1"/>
  <c r="AO710" i="1"/>
  <c r="L711" i="1"/>
  <c r="M711" i="1"/>
  <c r="N711" i="1"/>
  <c r="O711" i="1"/>
  <c r="P711" i="1"/>
  <c r="Q711" i="1"/>
  <c r="R711" i="1"/>
  <c r="S711" i="1"/>
  <c r="T711" i="1"/>
  <c r="U711" i="1"/>
  <c r="V711" i="1"/>
  <c r="W711" i="1"/>
  <c r="X711" i="1"/>
  <c r="Y711" i="1"/>
  <c r="Z711" i="1"/>
  <c r="AA711" i="1"/>
  <c r="AB711" i="1"/>
  <c r="AC711" i="1"/>
  <c r="AD711" i="1"/>
  <c r="AE711" i="1"/>
  <c r="AF711" i="1"/>
  <c r="AM711" i="1"/>
  <c r="AN711" i="1"/>
  <c r="AO711" i="1"/>
  <c r="L712" i="1"/>
  <c r="M712" i="1"/>
  <c r="N712" i="1"/>
  <c r="O712" i="1"/>
  <c r="P712" i="1"/>
  <c r="Q712" i="1"/>
  <c r="R712" i="1"/>
  <c r="S712" i="1"/>
  <c r="T712" i="1"/>
  <c r="U712" i="1"/>
  <c r="V712" i="1"/>
  <c r="W712" i="1"/>
  <c r="X712" i="1"/>
  <c r="Y712" i="1"/>
  <c r="Z712" i="1"/>
  <c r="AA712" i="1"/>
  <c r="AB712" i="1"/>
  <c r="AC712" i="1"/>
  <c r="AD712" i="1"/>
  <c r="AE712" i="1"/>
  <c r="AF712" i="1"/>
  <c r="AM712" i="1"/>
  <c r="AN712" i="1"/>
  <c r="AO712" i="1"/>
  <c r="L713" i="1"/>
  <c r="M713" i="1"/>
  <c r="N713" i="1"/>
  <c r="O713" i="1"/>
  <c r="P713" i="1"/>
  <c r="Q713" i="1"/>
  <c r="R713" i="1"/>
  <c r="S713" i="1"/>
  <c r="T713" i="1"/>
  <c r="U713" i="1"/>
  <c r="V713" i="1"/>
  <c r="W713" i="1"/>
  <c r="X713" i="1"/>
  <c r="Y713" i="1"/>
  <c r="Z713" i="1"/>
  <c r="AA713" i="1"/>
  <c r="AB713" i="1"/>
  <c r="AC713" i="1"/>
  <c r="AD713" i="1"/>
  <c r="AE713" i="1"/>
  <c r="AF713" i="1"/>
  <c r="AM713" i="1"/>
  <c r="AN713" i="1"/>
  <c r="AO713" i="1"/>
  <c r="L714" i="1"/>
  <c r="M714" i="1"/>
  <c r="N714" i="1"/>
  <c r="O714" i="1"/>
  <c r="P714" i="1"/>
  <c r="Q714" i="1"/>
  <c r="R714" i="1"/>
  <c r="S714" i="1"/>
  <c r="T714" i="1"/>
  <c r="U714" i="1"/>
  <c r="V714" i="1"/>
  <c r="W714" i="1"/>
  <c r="X714" i="1"/>
  <c r="Y714" i="1"/>
  <c r="Z714" i="1"/>
  <c r="AA714" i="1"/>
  <c r="AB714" i="1"/>
  <c r="AC714" i="1"/>
  <c r="AD714" i="1"/>
  <c r="AE714" i="1"/>
  <c r="AF714" i="1"/>
  <c r="AM714" i="1"/>
  <c r="AN714" i="1"/>
  <c r="AO714" i="1"/>
  <c r="L715" i="1"/>
  <c r="M715" i="1"/>
  <c r="N715" i="1"/>
  <c r="O715" i="1"/>
  <c r="P715" i="1"/>
  <c r="Q715" i="1"/>
  <c r="R715" i="1"/>
  <c r="S715" i="1"/>
  <c r="T715" i="1"/>
  <c r="U715" i="1"/>
  <c r="V715" i="1"/>
  <c r="W715" i="1"/>
  <c r="X715" i="1"/>
  <c r="Y715" i="1"/>
  <c r="Z715" i="1"/>
  <c r="AA715" i="1"/>
  <c r="AB715" i="1"/>
  <c r="AC715" i="1"/>
  <c r="AD715" i="1"/>
  <c r="AE715" i="1"/>
  <c r="AF715" i="1"/>
  <c r="AM715" i="1"/>
  <c r="AN715" i="1"/>
  <c r="AO715" i="1"/>
  <c r="L716" i="1"/>
  <c r="M716" i="1"/>
  <c r="N716" i="1"/>
  <c r="O716" i="1"/>
  <c r="P716" i="1"/>
  <c r="Q716" i="1"/>
  <c r="R716" i="1"/>
  <c r="S716" i="1"/>
  <c r="T716" i="1"/>
  <c r="U716" i="1"/>
  <c r="V716" i="1"/>
  <c r="W716" i="1"/>
  <c r="X716" i="1"/>
  <c r="Y716" i="1"/>
  <c r="Z716" i="1"/>
  <c r="AA716" i="1"/>
  <c r="AB716" i="1"/>
  <c r="AC716" i="1"/>
  <c r="AD716" i="1"/>
  <c r="AE716" i="1"/>
  <c r="AF716" i="1"/>
  <c r="AM716" i="1"/>
  <c r="AN716" i="1"/>
  <c r="AO716" i="1"/>
  <c r="L717" i="1"/>
  <c r="M717" i="1"/>
  <c r="N717" i="1"/>
  <c r="O717" i="1"/>
  <c r="P717" i="1"/>
  <c r="Q717" i="1"/>
  <c r="R717" i="1"/>
  <c r="S717" i="1"/>
  <c r="T717" i="1"/>
  <c r="U717" i="1"/>
  <c r="V717" i="1"/>
  <c r="W717" i="1"/>
  <c r="X717" i="1"/>
  <c r="Y717" i="1"/>
  <c r="Z717" i="1"/>
  <c r="AA717" i="1"/>
  <c r="AB717" i="1"/>
  <c r="AC717" i="1"/>
  <c r="AD717" i="1"/>
  <c r="AE717" i="1"/>
  <c r="AF717" i="1"/>
  <c r="AM717" i="1"/>
  <c r="AN717" i="1"/>
  <c r="AO717" i="1"/>
  <c r="L718" i="1"/>
  <c r="M718" i="1"/>
  <c r="N718" i="1"/>
  <c r="O718" i="1"/>
  <c r="P718" i="1"/>
  <c r="Q718" i="1"/>
  <c r="R718" i="1"/>
  <c r="S718" i="1"/>
  <c r="T718" i="1"/>
  <c r="U718" i="1"/>
  <c r="V718" i="1"/>
  <c r="W718" i="1"/>
  <c r="X718" i="1"/>
  <c r="Y718" i="1"/>
  <c r="Z718" i="1"/>
  <c r="AA718" i="1"/>
  <c r="AB718" i="1"/>
  <c r="AC718" i="1"/>
  <c r="AD718" i="1"/>
  <c r="AE718" i="1"/>
  <c r="AF718" i="1"/>
  <c r="AM718" i="1"/>
  <c r="AN718" i="1"/>
  <c r="AO718" i="1"/>
  <c r="L719" i="1"/>
  <c r="M719" i="1"/>
  <c r="N719" i="1"/>
  <c r="O719" i="1"/>
  <c r="P719" i="1"/>
  <c r="Q719" i="1"/>
  <c r="R719" i="1"/>
  <c r="S719" i="1"/>
  <c r="T719" i="1"/>
  <c r="U719" i="1"/>
  <c r="V719" i="1"/>
  <c r="W719" i="1"/>
  <c r="X719" i="1"/>
  <c r="Y719" i="1"/>
  <c r="Z719" i="1"/>
  <c r="AA719" i="1"/>
  <c r="AB719" i="1"/>
  <c r="AC719" i="1"/>
  <c r="AD719" i="1"/>
  <c r="AE719" i="1"/>
  <c r="AF719" i="1"/>
  <c r="AM719" i="1"/>
  <c r="AN719" i="1"/>
  <c r="AO719" i="1"/>
  <c r="L720" i="1"/>
  <c r="M720" i="1"/>
  <c r="N720" i="1"/>
  <c r="O720" i="1"/>
  <c r="P720" i="1"/>
  <c r="Q720" i="1"/>
  <c r="R720" i="1"/>
  <c r="S720" i="1"/>
  <c r="T720" i="1"/>
  <c r="U720" i="1"/>
  <c r="V720" i="1"/>
  <c r="W720" i="1"/>
  <c r="X720" i="1"/>
  <c r="Y720" i="1"/>
  <c r="Z720" i="1"/>
  <c r="AA720" i="1"/>
  <c r="AB720" i="1"/>
  <c r="AC720" i="1"/>
  <c r="AD720" i="1"/>
  <c r="AE720" i="1"/>
  <c r="AF720" i="1"/>
  <c r="AM720" i="1"/>
  <c r="AN720" i="1"/>
  <c r="AO720" i="1"/>
  <c r="L721" i="1"/>
  <c r="M721" i="1"/>
  <c r="N721" i="1"/>
  <c r="O721" i="1"/>
  <c r="P721" i="1"/>
  <c r="Q721" i="1"/>
  <c r="R721" i="1"/>
  <c r="S721" i="1"/>
  <c r="T721" i="1"/>
  <c r="U721" i="1"/>
  <c r="V721" i="1"/>
  <c r="W721" i="1"/>
  <c r="X721" i="1"/>
  <c r="Y721" i="1"/>
  <c r="Z721" i="1"/>
  <c r="AA721" i="1"/>
  <c r="AB721" i="1"/>
  <c r="AC721" i="1"/>
  <c r="AD721" i="1"/>
  <c r="AE721" i="1"/>
  <c r="AF721" i="1"/>
  <c r="AM721" i="1"/>
  <c r="AN721" i="1"/>
  <c r="AO721" i="1"/>
  <c r="L722" i="1"/>
  <c r="M722" i="1"/>
  <c r="N722" i="1"/>
  <c r="O722" i="1"/>
  <c r="P722" i="1"/>
  <c r="Q722" i="1"/>
  <c r="R722" i="1"/>
  <c r="S722" i="1"/>
  <c r="T722" i="1"/>
  <c r="U722" i="1"/>
  <c r="V722" i="1"/>
  <c r="W722" i="1"/>
  <c r="X722" i="1"/>
  <c r="Y722" i="1"/>
  <c r="Z722" i="1"/>
  <c r="AA722" i="1"/>
  <c r="AB722" i="1"/>
  <c r="AC722" i="1"/>
  <c r="AD722" i="1"/>
  <c r="AE722" i="1"/>
  <c r="AF722" i="1"/>
  <c r="AM722" i="1"/>
  <c r="AN722" i="1"/>
  <c r="AO722" i="1"/>
  <c r="L723" i="1"/>
  <c r="M723" i="1"/>
  <c r="N723" i="1"/>
  <c r="O723" i="1"/>
  <c r="P723" i="1"/>
  <c r="Q723" i="1"/>
  <c r="R723" i="1"/>
  <c r="S723" i="1"/>
  <c r="T723" i="1"/>
  <c r="U723" i="1"/>
  <c r="V723" i="1"/>
  <c r="W723" i="1"/>
  <c r="X723" i="1"/>
  <c r="Y723" i="1"/>
  <c r="Z723" i="1"/>
  <c r="AA723" i="1"/>
  <c r="AB723" i="1"/>
  <c r="AC723" i="1"/>
  <c r="AD723" i="1"/>
  <c r="AE723" i="1"/>
  <c r="AF723" i="1"/>
  <c r="AM723" i="1"/>
  <c r="AN723" i="1"/>
  <c r="AO723" i="1"/>
  <c r="L724" i="1"/>
  <c r="M724" i="1"/>
  <c r="N724" i="1"/>
  <c r="O724" i="1"/>
  <c r="P724" i="1"/>
  <c r="Q724" i="1"/>
  <c r="R724" i="1"/>
  <c r="S724" i="1"/>
  <c r="T724" i="1"/>
  <c r="U724" i="1"/>
  <c r="V724" i="1"/>
  <c r="W724" i="1"/>
  <c r="X724" i="1"/>
  <c r="Y724" i="1"/>
  <c r="Z724" i="1"/>
  <c r="AA724" i="1"/>
  <c r="AB724" i="1"/>
  <c r="AC724" i="1"/>
  <c r="AD724" i="1"/>
  <c r="AE724" i="1"/>
  <c r="AF724" i="1"/>
  <c r="AM724" i="1"/>
  <c r="AN724" i="1"/>
  <c r="AO724" i="1"/>
  <c r="L725" i="1"/>
  <c r="M725" i="1"/>
  <c r="N725" i="1"/>
  <c r="O725" i="1"/>
  <c r="P725" i="1"/>
  <c r="Q725" i="1"/>
  <c r="R725" i="1"/>
  <c r="S725" i="1"/>
  <c r="T725" i="1"/>
  <c r="U725" i="1"/>
  <c r="V725" i="1"/>
  <c r="W725" i="1"/>
  <c r="X725" i="1"/>
  <c r="Y725" i="1"/>
  <c r="Z725" i="1"/>
  <c r="AA725" i="1"/>
  <c r="AB725" i="1"/>
  <c r="AC725" i="1"/>
  <c r="AD725" i="1"/>
  <c r="AE725" i="1"/>
  <c r="AF725" i="1"/>
  <c r="AM725" i="1"/>
  <c r="AN725" i="1"/>
  <c r="AO725" i="1"/>
  <c r="L726" i="1"/>
  <c r="M726" i="1"/>
  <c r="N726" i="1"/>
  <c r="O726" i="1"/>
  <c r="P726" i="1"/>
  <c r="Q726" i="1"/>
  <c r="R726" i="1"/>
  <c r="S726" i="1"/>
  <c r="T726" i="1"/>
  <c r="U726" i="1"/>
  <c r="V726" i="1"/>
  <c r="W726" i="1"/>
  <c r="X726" i="1"/>
  <c r="Y726" i="1"/>
  <c r="Z726" i="1"/>
  <c r="AA726" i="1"/>
  <c r="AB726" i="1"/>
  <c r="AC726" i="1"/>
  <c r="AD726" i="1"/>
  <c r="AE726" i="1"/>
  <c r="AF726" i="1"/>
  <c r="AM726" i="1"/>
  <c r="AN726" i="1"/>
  <c r="AO726" i="1"/>
  <c r="L727" i="1"/>
  <c r="M727" i="1"/>
  <c r="N727" i="1"/>
  <c r="O727" i="1"/>
  <c r="P727" i="1"/>
  <c r="Q727" i="1"/>
  <c r="R727" i="1"/>
  <c r="S727" i="1"/>
  <c r="T727" i="1"/>
  <c r="U727" i="1"/>
  <c r="V727" i="1"/>
  <c r="W727" i="1"/>
  <c r="X727" i="1"/>
  <c r="Y727" i="1"/>
  <c r="Z727" i="1"/>
  <c r="AA727" i="1"/>
  <c r="AB727" i="1"/>
  <c r="AC727" i="1"/>
  <c r="AD727" i="1"/>
  <c r="AE727" i="1"/>
  <c r="AF727" i="1"/>
  <c r="AM727" i="1"/>
  <c r="AN727" i="1"/>
  <c r="AO727" i="1"/>
  <c r="L728" i="1"/>
  <c r="M728" i="1"/>
  <c r="N728" i="1"/>
  <c r="O728" i="1"/>
  <c r="P728" i="1"/>
  <c r="Q728" i="1"/>
  <c r="R728" i="1"/>
  <c r="S728" i="1"/>
  <c r="T728" i="1"/>
  <c r="U728" i="1"/>
  <c r="V728" i="1"/>
  <c r="W728" i="1"/>
  <c r="X728" i="1"/>
  <c r="Y728" i="1"/>
  <c r="Z728" i="1"/>
  <c r="AA728" i="1"/>
  <c r="AB728" i="1"/>
  <c r="AC728" i="1"/>
  <c r="AD728" i="1"/>
  <c r="AE728" i="1"/>
  <c r="AF728" i="1"/>
  <c r="AM728" i="1"/>
  <c r="AN728" i="1"/>
  <c r="AO728" i="1"/>
  <c r="L729" i="1"/>
  <c r="M729" i="1"/>
  <c r="N729" i="1"/>
  <c r="O729" i="1"/>
  <c r="P729" i="1"/>
  <c r="Q729" i="1"/>
  <c r="R729" i="1"/>
  <c r="S729" i="1"/>
  <c r="T729" i="1"/>
  <c r="U729" i="1"/>
  <c r="V729" i="1"/>
  <c r="W729" i="1"/>
  <c r="X729" i="1"/>
  <c r="Y729" i="1"/>
  <c r="Z729" i="1"/>
  <c r="AA729" i="1"/>
  <c r="AB729" i="1"/>
  <c r="AC729" i="1"/>
  <c r="AD729" i="1"/>
  <c r="AE729" i="1"/>
  <c r="AF729" i="1"/>
  <c r="AM729" i="1"/>
  <c r="AN729" i="1"/>
  <c r="AO729" i="1"/>
  <c r="L730" i="1"/>
  <c r="M730" i="1"/>
  <c r="N730" i="1"/>
  <c r="O730" i="1"/>
  <c r="P730" i="1"/>
  <c r="Q730" i="1"/>
  <c r="R730" i="1"/>
  <c r="S730" i="1"/>
  <c r="T730" i="1"/>
  <c r="U730" i="1"/>
  <c r="V730" i="1"/>
  <c r="W730" i="1"/>
  <c r="X730" i="1"/>
  <c r="Y730" i="1"/>
  <c r="Z730" i="1"/>
  <c r="AA730" i="1"/>
  <c r="AB730" i="1"/>
  <c r="AC730" i="1"/>
  <c r="AD730" i="1"/>
  <c r="AE730" i="1"/>
  <c r="AF730" i="1"/>
  <c r="AM730" i="1"/>
  <c r="AN730" i="1"/>
  <c r="AO730" i="1"/>
  <c r="L731" i="1"/>
  <c r="M731" i="1"/>
  <c r="N731" i="1"/>
  <c r="O731" i="1"/>
  <c r="P731" i="1"/>
  <c r="Q731" i="1"/>
  <c r="R731" i="1"/>
  <c r="S731" i="1"/>
  <c r="T731" i="1"/>
  <c r="U731" i="1"/>
  <c r="V731" i="1"/>
  <c r="W731" i="1"/>
  <c r="X731" i="1"/>
  <c r="Y731" i="1"/>
  <c r="Z731" i="1"/>
  <c r="AA731" i="1"/>
  <c r="AB731" i="1"/>
  <c r="AC731" i="1"/>
  <c r="AD731" i="1"/>
  <c r="AE731" i="1"/>
  <c r="AF731" i="1"/>
  <c r="AM731" i="1"/>
  <c r="AN731" i="1"/>
  <c r="AO731" i="1"/>
  <c r="L732" i="1"/>
  <c r="M732" i="1"/>
  <c r="N732" i="1"/>
  <c r="O732" i="1"/>
  <c r="P732" i="1"/>
  <c r="Q732" i="1"/>
  <c r="R732" i="1"/>
  <c r="S732" i="1"/>
  <c r="T732" i="1"/>
  <c r="U732" i="1"/>
  <c r="V732" i="1"/>
  <c r="W732" i="1"/>
  <c r="X732" i="1"/>
  <c r="Y732" i="1"/>
  <c r="Z732" i="1"/>
  <c r="AA732" i="1"/>
  <c r="AB732" i="1"/>
  <c r="AC732" i="1"/>
  <c r="AD732" i="1"/>
  <c r="AE732" i="1"/>
  <c r="AF732" i="1"/>
  <c r="AM732" i="1"/>
  <c r="AN732" i="1"/>
  <c r="AO732" i="1"/>
  <c r="L733" i="1"/>
  <c r="M733" i="1"/>
  <c r="N733" i="1"/>
  <c r="O733" i="1"/>
  <c r="P733" i="1"/>
  <c r="Q733" i="1"/>
  <c r="R733" i="1"/>
  <c r="S733" i="1"/>
  <c r="T733" i="1"/>
  <c r="U733" i="1"/>
  <c r="V733" i="1"/>
  <c r="W733" i="1"/>
  <c r="X733" i="1"/>
  <c r="Y733" i="1"/>
  <c r="Z733" i="1"/>
  <c r="AA733" i="1"/>
  <c r="AB733" i="1"/>
  <c r="AC733" i="1"/>
  <c r="AD733" i="1"/>
  <c r="AE733" i="1"/>
  <c r="AF733" i="1"/>
  <c r="AM733" i="1"/>
  <c r="AN733" i="1"/>
  <c r="AO733" i="1"/>
  <c r="L734" i="1"/>
  <c r="M734" i="1"/>
  <c r="N734" i="1"/>
  <c r="O734" i="1"/>
  <c r="P734" i="1"/>
  <c r="Q734" i="1"/>
  <c r="R734" i="1"/>
  <c r="S734" i="1"/>
  <c r="T734" i="1"/>
  <c r="U734" i="1"/>
  <c r="V734" i="1"/>
  <c r="W734" i="1"/>
  <c r="X734" i="1"/>
  <c r="Y734" i="1"/>
  <c r="Z734" i="1"/>
  <c r="AA734" i="1"/>
  <c r="AB734" i="1"/>
  <c r="AC734" i="1"/>
  <c r="AD734" i="1"/>
  <c r="AE734" i="1"/>
  <c r="AF734" i="1"/>
  <c r="AM734" i="1"/>
  <c r="AN734" i="1"/>
  <c r="AO734" i="1"/>
  <c r="L735" i="1"/>
  <c r="M735" i="1"/>
  <c r="N735" i="1"/>
  <c r="O735" i="1"/>
  <c r="P735" i="1"/>
  <c r="Q735" i="1"/>
  <c r="R735" i="1"/>
  <c r="S735" i="1"/>
  <c r="T735" i="1"/>
  <c r="U735" i="1"/>
  <c r="V735" i="1"/>
  <c r="W735" i="1"/>
  <c r="X735" i="1"/>
  <c r="Y735" i="1"/>
  <c r="Z735" i="1"/>
  <c r="AA735" i="1"/>
  <c r="AB735" i="1"/>
  <c r="AC735" i="1"/>
  <c r="AD735" i="1"/>
  <c r="AE735" i="1"/>
  <c r="AF735" i="1"/>
  <c r="AM735" i="1"/>
  <c r="AN735" i="1"/>
  <c r="AO735" i="1"/>
  <c r="L736" i="1"/>
  <c r="M736" i="1"/>
  <c r="N736" i="1"/>
  <c r="O736" i="1"/>
  <c r="P736" i="1"/>
  <c r="Q736" i="1"/>
  <c r="R736" i="1"/>
  <c r="S736" i="1"/>
  <c r="T736" i="1"/>
  <c r="U736" i="1"/>
  <c r="V736" i="1"/>
  <c r="W736" i="1"/>
  <c r="X736" i="1"/>
  <c r="Y736" i="1"/>
  <c r="Z736" i="1"/>
  <c r="AA736" i="1"/>
  <c r="AB736" i="1"/>
  <c r="AC736" i="1"/>
  <c r="AD736" i="1"/>
  <c r="AE736" i="1"/>
  <c r="AF736" i="1"/>
  <c r="AM736" i="1"/>
  <c r="AN736" i="1"/>
  <c r="AO736" i="1"/>
  <c r="L737" i="1"/>
  <c r="M737" i="1"/>
  <c r="N737" i="1"/>
  <c r="O737" i="1"/>
  <c r="P737" i="1"/>
  <c r="Q737" i="1"/>
  <c r="R737" i="1"/>
  <c r="S737" i="1"/>
  <c r="T737" i="1"/>
  <c r="U737" i="1"/>
  <c r="V737" i="1"/>
  <c r="W737" i="1"/>
  <c r="X737" i="1"/>
  <c r="Y737" i="1"/>
  <c r="Z737" i="1"/>
  <c r="AA737" i="1"/>
  <c r="AB737" i="1"/>
  <c r="AC737" i="1"/>
  <c r="AD737" i="1"/>
  <c r="AE737" i="1"/>
  <c r="AF737" i="1"/>
  <c r="AM737" i="1"/>
  <c r="AN737" i="1"/>
  <c r="AO737" i="1"/>
  <c r="L738" i="1"/>
  <c r="M738" i="1"/>
  <c r="N738" i="1"/>
  <c r="O738" i="1"/>
  <c r="P738" i="1"/>
  <c r="Q738" i="1"/>
  <c r="R738" i="1"/>
  <c r="S738" i="1"/>
  <c r="T738" i="1"/>
  <c r="U738" i="1"/>
  <c r="V738" i="1"/>
  <c r="W738" i="1"/>
  <c r="X738" i="1"/>
  <c r="Y738" i="1"/>
  <c r="Z738" i="1"/>
  <c r="AA738" i="1"/>
  <c r="AB738" i="1"/>
  <c r="AC738" i="1"/>
  <c r="AD738" i="1"/>
  <c r="AE738" i="1"/>
  <c r="AF738" i="1"/>
  <c r="AM738" i="1"/>
  <c r="AN738" i="1"/>
  <c r="AO738" i="1"/>
  <c r="L739" i="1"/>
  <c r="M739" i="1"/>
  <c r="N739" i="1"/>
  <c r="O739" i="1"/>
  <c r="P739" i="1"/>
  <c r="Q739" i="1"/>
  <c r="R739" i="1"/>
  <c r="S739" i="1"/>
  <c r="T739" i="1"/>
  <c r="U739" i="1"/>
  <c r="V739" i="1"/>
  <c r="W739" i="1"/>
  <c r="X739" i="1"/>
  <c r="Y739" i="1"/>
  <c r="Z739" i="1"/>
  <c r="AA739" i="1"/>
  <c r="AB739" i="1"/>
  <c r="AC739" i="1"/>
  <c r="AD739" i="1"/>
  <c r="AE739" i="1"/>
  <c r="AF739" i="1"/>
  <c r="AM739" i="1"/>
  <c r="AN739" i="1"/>
  <c r="AO739" i="1"/>
  <c r="L740" i="1"/>
  <c r="M740" i="1"/>
  <c r="N740" i="1"/>
  <c r="O740" i="1"/>
  <c r="P740" i="1"/>
  <c r="Q740" i="1"/>
  <c r="R740" i="1"/>
  <c r="S740" i="1"/>
  <c r="T740" i="1"/>
  <c r="U740" i="1"/>
  <c r="V740" i="1"/>
  <c r="W740" i="1"/>
  <c r="X740" i="1"/>
  <c r="Y740" i="1"/>
  <c r="Z740" i="1"/>
  <c r="AA740" i="1"/>
  <c r="AB740" i="1"/>
  <c r="AC740" i="1"/>
  <c r="AD740" i="1"/>
  <c r="AE740" i="1"/>
  <c r="AF740" i="1"/>
  <c r="AM740" i="1"/>
  <c r="AN740" i="1"/>
  <c r="AO740" i="1"/>
  <c r="L741" i="1"/>
  <c r="M741" i="1"/>
  <c r="N741" i="1"/>
  <c r="O741" i="1"/>
  <c r="P741" i="1"/>
  <c r="Q741" i="1"/>
  <c r="R741" i="1"/>
  <c r="S741" i="1"/>
  <c r="T741" i="1"/>
  <c r="U741" i="1"/>
  <c r="V741" i="1"/>
  <c r="W741" i="1"/>
  <c r="X741" i="1"/>
  <c r="Y741" i="1"/>
  <c r="Z741" i="1"/>
  <c r="AA741" i="1"/>
  <c r="AB741" i="1"/>
  <c r="AC741" i="1"/>
  <c r="AD741" i="1"/>
  <c r="AE741" i="1"/>
  <c r="AF741" i="1"/>
  <c r="AM741" i="1"/>
  <c r="AN741" i="1"/>
  <c r="AO741" i="1"/>
  <c r="L742" i="1"/>
  <c r="M742" i="1"/>
  <c r="N742" i="1"/>
  <c r="O742" i="1"/>
  <c r="P742" i="1"/>
  <c r="Q742" i="1"/>
  <c r="R742" i="1"/>
  <c r="S742" i="1"/>
  <c r="T742" i="1"/>
  <c r="U742" i="1"/>
  <c r="V742" i="1"/>
  <c r="W742" i="1"/>
  <c r="X742" i="1"/>
  <c r="Y742" i="1"/>
  <c r="Z742" i="1"/>
  <c r="AA742" i="1"/>
  <c r="AB742" i="1"/>
  <c r="AC742" i="1"/>
  <c r="AD742" i="1"/>
  <c r="AE742" i="1"/>
  <c r="AF742" i="1"/>
  <c r="AM742" i="1"/>
  <c r="AN742" i="1"/>
  <c r="AO742" i="1"/>
  <c r="L743" i="1"/>
  <c r="M743" i="1"/>
  <c r="N743" i="1"/>
  <c r="O743" i="1"/>
  <c r="P743" i="1"/>
  <c r="Q743" i="1"/>
  <c r="R743" i="1"/>
  <c r="S743" i="1"/>
  <c r="T743" i="1"/>
  <c r="U743" i="1"/>
  <c r="V743" i="1"/>
  <c r="W743" i="1"/>
  <c r="X743" i="1"/>
  <c r="Y743" i="1"/>
  <c r="Z743" i="1"/>
  <c r="AA743" i="1"/>
  <c r="AB743" i="1"/>
  <c r="AC743" i="1"/>
  <c r="AD743" i="1"/>
  <c r="AE743" i="1"/>
  <c r="AF743" i="1"/>
  <c r="AM743" i="1"/>
  <c r="AN743" i="1"/>
  <c r="AO743" i="1"/>
  <c r="L744" i="1"/>
  <c r="M744" i="1"/>
  <c r="N744" i="1"/>
  <c r="O744" i="1"/>
  <c r="P744" i="1"/>
  <c r="Q744" i="1"/>
  <c r="R744" i="1"/>
  <c r="S744" i="1"/>
  <c r="T744" i="1"/>
  <c r="U744" i="1"/>
  <c r="V744" i="1"/>
  <c r="W744" i="1"/>
  <c r="X744" i="1"/>
  <c r="Y744" i="1"/>
  <c r="Z744" i="1"/>
  <c r="AA744" i="1"/>
  <c r="AB744" i="1"/>
  <c r="AC744" i="1"/>
  <c r="AD744" i="1"/>
  <c r="AE744" i="1"/>
  <c r="AF744" i="1"/>
  <c r="AM744" i="1"/>
  <c r="AN744" i="1"/>
  <c r="AO744" i="1"/>
  <c r="L745" i="1"/>
  <c r="M745" i="1"/>
  <c r="N745" i="1"/>
  <c r="O745" i="1"/>
  <c r="P745" i="1"/>
  <c r="Q745" i="1"/>
  <c r="R745" i="1"/>
  <c r="S745" i="1"/>
  <c r="T745" i="1"/>
  <c r="U745" i="1"/>
  <c r="V745" i="1"/>
  <c r="W745" i="1"/>
  <c r="X745" i="1"/>
  <c r="Y745" i="1"/>
  <c r="Z745" i="1"/>
  <c r="AA745" i="1"/>
  <c r="AB745" i="1"/>
  <c r="AC745" i="1"/>
  <c r="AD745" i="1"/>
  <c r="AE745" i="1"/>
  <c r="AF745" i="1"/>
  <c r="AM745" i="1"/>
  <c r="AN745" i="1"/>
  <c r="AO745" i="1"/>
  <c r="L746" i="1"/>
  <c r="M746" i="1"/>
  <c r="N746" i="1"/>
  <c r="O746" i="1"/>
  <c r="P746" i="1"/>
  <c r="Q746" i="1"/>
  <c r="R746" i="1"/>
  <c r="S746" i="1"/>
  <c r="T746" i="1"/>
  <c r="U746" i="1"/>
  <c r="V746" i="1"/>
  <c r="W746" i="1"/>
  <c r="X746" i="1"/>
  <c r="Y746" i="1"/>
  <c r="Z746" i="1"/>
  <c r="AA746" i="1"/>
  <c r="AB746" i="1"/>
  <c r="AC746" i="1"/>
  <c r="AD746" i="1"/>
  <c r="AE746" i="1"/>
  <c r="AF746" i="1"/>
  <c r="AM746" i="1"/>
  <c r="AN746" i="1"/>
  <c r="AO746" i="1"/>
  <c r="L747" i="1"/>
  <c r="M747" i="1"/>
  <c r="N747" i="1"/>
  <c r="O747" i="1"/>
  <c r="P747" i="1"/>
  <c r="Q747" i="1"/>
  <c r="R747" i="1"/>
  <c r="S747" i="1"/>
  <c r="T747" i="1"/>
  <c r="U747" i="1"/>
  <c r="V747" i="1"/>
  <c r="W747" i="1"/>
  <c r="X747" i="1"/>
  <c r="Y747" i="1"/>
  <c r="Z747" i="1"/>
  <c r="AA747" i="1"/>
  <c r="AB747" i="1"/>
  <c r="AC747" i="1"/>
  <c r="AD747" i="1"/>
  <c r="AE747" i="1"/>
  <c r="AF747" i="1"/>
  <c r="AM747" i="1"/>
  <c r="AN747" i="1"/>
  <c r="AO747" i="1"/>
  <c r="L748" i="1"/>
  <c r="M748" i="1"/>
  <c r="N748" i="1"/>
  <c r="O748" i="1"/>
  <c r="P748" i="1"/>
  <c r="Q748" i="1"/>
  <c r="R748" i="1"/>
  <c r="S748" i="1"/>
  <c r="T748" i="1"/>
  <c r="U748" i="1"/>
  <c r="V748" i="1"/>
  <c r="W748" i="1"/>
  <c r="X748" i="1"/>
  <c r="Y748" i="1"/>
  <c r="Z748" i="1"/>
  <c r="AA748" i="1"/>
  <c r="AB748" i="1"/>
  <c r="AC748" i="1"/>
  <c r="AD748" i="1"/>
  <c r="AE748" i="1"/>
  <c r="AF748" i="1"/>
  <c r="AM748" i="1"/>
  <c r="AN748" i="1"/>
  <c r="AO748" i="1"/>
  <c r="L749" i="1"/>
  <c r="M749" i="1"/>
  <c r="N749" i="1"/>
  <c r="O749" i="1"/>
  <c r="P749" i="1"/>
  <c r="Q749" i="1"/>
  <c r="R749" i="1"/>
  <c r="S749" i="1"/>
  <c r="T749" i="1"/>
  <c r="U749" i="1"/>
  <c r="V749" i="1"/>
  <c r="W749" i="1"/>
  <c r="X749" i="1"/>
  <c r="Y749" i="1"/>
  <c r="Z749" i="1"/>
  <c r="AA749" i="1"/>
  <c r="AB749" i="1"/>
  <c r="AC749" i="1"/>
  <c r="AD749" i="1"/>
  <c r="AE749" i="1"/>
  <c r="AF749" i="1"/>
  <c r="AM749" i="1"/>
  <c r="AN749" i="1"/>
  <c r="AO749" i="1"/>
  <c r="L750" i="1"/>
  <c r="M750" i="1"/>
  <c r="N750" i="1"/>
  <c r="O750" i="1"/>
  <c r="P750" i="1"/>
  <c r="Q750" i="1"/>
  <c r="R750" i="1"/>
  <c r="S750" i="1"/>
  <c r="T750" i="1"/>
  <c r="U750" i="1"/>
  <c r="V750" i="1"/>
  <c r="W750" i="1"/>
  <c r="X750" i="1"/>
  <c r="Y750" i="1"/>
  <c r="Z750" i="1"/>
  <c r="AA750" i="1"/>
  <c r="AB750" i="1"/>
  <c r="AC750" i="1"/>
  <c r="AD750" i="1"/>
  <c r="AE750" i="1"/>
  <c r="AF750" i="1"/>
  <c r="AM750" i="1"/>
  <c r="AN750" i="1"/>
  <c r="AO750" i="1"/>
  <c r="L751" i="1"/>
  <c r="M751" i="1"/>
  <c r="N751" i="1"/>
  <c r="O751" i="1"/>
  <c r="P751" i="1"/>
  <c r="Q751" i="1"/>
  <c r="R751" i="1"/>
  <c r="S751" i="1"/>
  <c r="T751" i="1"/>
  <c r="U751" i="1"/>
  <c r="V751" i="1"/>
  <c r="W751" i="1"/>
  <c r="X751" i="1"/>
  <c r="Y751" i="1"/>
  <c r="Z751" i="1"/>
  <c r="AA751" i="1"/>
  <c r="AB751" i="1"/>
  <c r="AC751" i="1"/>
  <c r="AD751" i="1"/>
  <c r="AE751" i="1"/>
  <c r="AF751" i="1"/>
  <c r="AM751" i="1"/>
  <c r="AN751" i="1"/>
  <c r="AO751" i="1"/>
  <c r="L752" i="1"/>
  <c r="M752" i="1"/>
  <c r="N752" i="1"/>
  <c r="O752" i="1"/>
  <c r="P752" i="1"/>
  <c r="Q752" i="1"/>
  <c r="R752" i="1"/>
  <c r="S752" i="1"/>
  <c r="T752" i="1"/>
  <c r="U752" i="1"/>
  <c r="V752" i="1"/>
  <c r="W752" i="1"/>
  <c r="X752" i="1"/>
  <c r="Y752" i="1"/>
  <c r="Z752" i="1"/>
  <c r="AA752" i="1"/>
  <c r="AB752" i="1"/>
  <c r="AC752" i="1"/>
  <c r="AD752" i="1"/>
  <c r="AE752" i="1"/>
  <c r="AF752" i="1"/>
  <c r="AM752" i="1"/>
  <c r="AN752" i="1"/>
  <c r="AO752" i="1"/>
  <c r="L753" i="1"/>
  <c r="M753" i="1"/>
  <c r="N753" i="1"/>
  <c r="O753" i="1"/>
  <c r="P753" i="1"/>
  <c r="Q753" i="1"/>
  <c r="R753" i="1"/>
  <c r="S753" i="1"/>
  <c r="T753" i="1"/>
  <c r="U753" i="1"/>
  <c r="V753" i="1"/>
  <c r="W753" i="1"/>
  <c r="X753" i="1"/>
  <c r="Y753" i="1"/>
  <c r="Z753" i="1"/>
  <c r="AA753" i="1"/>
  <c r="AB753" i="1"/>
  <c r="AC753" i="1"/>
  <c r="AD753" i="1"/>
  <c r="AE753" i="1"/>
  <c r="AF753" i="1"/>
  <c r="AM753" i="1"/>
  <c r="AN753" i="1"/>
  <c r="AO753" i="1"/>
  <c r="L754" i="1"/>
  <c r="M754" i="1"/>
  <c r="N754" i="1"/>
  <c r="O754" i="1"/>
  <c r="P754" i="1"/>
  <c r="Q754" i="1"/>
  <c r="R754" i="1"/>
  <c r="S754" i="1"/>
  <c r="T754" i="1"/>
  <c r="U754" i="1"/>
  <c r="V754" i="1"/>
  <c r="W754" i="1"/>
  <c r="X754" i="1"/>
  <c r="Y754" i="1"/>
  <c r="Z754" i="1"/>
  <c r="AA754" i="1"/>
  <c r="AB754" i="1"/>
  <c r="AC754" i="1"/>
  <c r="AD754" i="1"/>
  <c r="AE754" i="1"/>
  <c r="AF754" i="1"/>
  <c r="AM754" i="1"/>
  <c r="AN754" i="1"/>
  <c r="AO754" i="1"/>
  <c r="L755" i="1"/>
  <c r="M755" i="1"/>
  <c r="N755" i="1"/>
  <c r="O755" i="1"/>
  <c r="P755" i="1"/>
  <c r="Q755" i="1"/>
  <c r="R755" i="1"/>
  <c r="S755" i="1"/>
  <c r="T755" i="1"/>
  <c r="U755" i="1"/>
  <c r="V755" i="1"/>
  <c r="W755" i="1"/>
  <c r="X755" i="1"/>
  <c r="Y755" i="1"/>
  <c r="Z755" i="1"/>
  <c r="AA755" i="1"/>
  <c r="AB755" i="1"/>
  <c r="AC755" i="1"/>
  <c r="AD755" i="1"/>
  <c r="AE755" i="1"/>
  <c r="AF755" i="1"/>
  <c r="AM755" i="1"/>
  <c r="AN755" i="1"/>
  <c r="AO755" i="1"/>
  <c r="L756" i="1"/>
  <c r="M756" i="1"/>
  <c r="N756" i="1"/>
  <c r="O756" i="1"/>
  <c r="P756" i="1"/>
  <c r="Q756" i="1"/>
  <c r="R756" i="1"/>
  <c r="S756" i="1"/>
  <c r="T756" i="1"/>
  <c r="U756" i="1"/>
  <c r="V756" i="1"/>
  <c r="W756" i="1"/>
  <c r="X756" i="1"/>
  <c r="Y756" i="1"/>
  <c r="Z756" i="1"/>
  <c r="AA756" i="1"/>
  <c r="AB756" i="1"/>
  <c r="AC756" i="1"/>
  <c r="AD756" i="1"/>
  <c r="AE756" i="1"/>
  <c r="AF756" i="1"/>
  <c r="AM756" i="1"/>
  <c r="AN756" i="1"/>
  <c r="AO756" i="1"/>
  <c r="L757" i="1"/>
  <c r="M757" i="1"/>
  <c r="N757" i="1"/>
  <c r="O757" i="1"/>
  <c r="P757" i="1"/>
  <c r="Q757" i="1"/>
  <c r="R757" i="1"/>
  <c r="S757" i="1"/>
  <c r="T757" i="1"/>
  <c r="U757" i="1"/>
  <c r="V757" i="1"/>
  <c r="W757" i="1"/>
  <c r="X757" i="1"/>
  <c r="Y757" i="1"/>
  <c r="Z757" i="1"/>
  <c r="AA757" i="1"/>
  <c r="AB757" i="1"/>
  <c r="AC757" i="1"/>
  <c r="AD757" i="1"/>
  <c r="AE757" i="1"/>
  <c r="AF757" i="1"/>
  <c r="AM757" i="1"/>
  <c r="AN757" i="1"/>
  <c r="AO757" i="1"/>
  <c r="L758" i="1"/>
  <c r="M758" i="1"/>
  <c r="N758" i="1"/>
  <c r="O758" i="1"/>
  <c r="P758" i="1"/>
  <c r="Q758" i="1"/>
  <c r="R758" i="1"/>
  <c r="S758" i="1"/>
  <c r="T758" i="1"/>
  <c r="U758" i="1"/>
  <c r="V758" i="1"/>
  <c r="W758" i="1"/>
  <c r="X758" i="1"/>
  <c r="Y758" i="1"/>
  <c r="Z758" i="1"/>
  <c r="AA758" i="1"/>
  <c r="AB758" i="1"/>
  <c r="AC758" i="1"/>
  <c r="AD758" i="1"/>
  <c r="AE758" i="1"/>
  <c r="AF758" i="1"/>
  <c r="AM758" i="1"/>
  <c r="AN758" i="1"/>
  <c r="AO758" i="1"/>
  <c r="L759" i="1"/>
  <c r="M759" i="1"/>
  <c r="N759" i="1"/>
  <c r="O759" i="1"/>
  <c r="P759" i="1"/>
  <c r="Q759" i="1"/>
  <c r="R759" i="1"/>
  <c r="S759" i="1"/>
  <c r="T759" i="1"/>
  <c r="U759" i="1"/>
  <c r="V759" i="1"/>
  <c r="W759" i="1"/>
  <c r="X759" i="1"/>
  <c r="Y759" i="1"/>
  <c r="Z759" i="1"/>
  <c r="AA759" i="1"/>
  <c r="AB759" i="1"/>
  <c r="AC759" i="1"/>
  <c r="AD759" i="1"/>
  <c r="AE759" i="1"/>
  <c r="AF759" i="1"/>
  <c r="AM759" i="1"/>
  <c r="AN759" i="1"/>
  <c r="AO759" i="1"/>
  <c r="L760" i="1"/>
  <c r="M760" i="1"/>
  <c r="N760" i="1"/>
  <c r="O760" i="1"/>
  <c r="P760" i="1"/>
  <c r="Q760" i="1"/>
  <c r="R760" i="1"/>
  <c r="S760" i="1"/>
  <c r="T760" i="1"/>
  <c r="U760" i="1"/>
  <c r="V760" i="1"/>
  <c r="W760" i="1"/>
  <c r="X760" i="1"/>
  <c r="Y760" i="1"/>
  <c r="Z760" i="1"/>
  <c r="AA760" i="1"/>
  <c r="AB760" i="1"/>
  <c r="AC760" i="1"/>
  <c r="AD760" i="1"/>
  <c r="AE760" i="1"/>
  <c r="AF760" i="1"/>
  <c r="AM760" i="1"/>
  <c r="AN760" i="1"/>
  <c r="AO760" i="1"/>
  <c r="L761" i="1"/>
  <c r="M761" i="1"/>
  <c r="N761" i="1"/>
  <c r="O761" i="1"/>
  <c r="P761" i="1"/>
  <c r="Q761" i="1"/>
  <c r="R761" i="1"/>
  <c r="S761" i="1"/>
  <c r="T761" i="1"/>
  <c r="U761" i="1"/>
  <c r="V761" i="1"/>
  <c r="W761" i="1"/>
  <c r="X761" i="1"/>
  <c r="Y761" i="1"/>
  <c r="Z761" i="1"/>
  <c r="AA761" i="1"/>
  <c r="AB761" i="1"/>
  <c r="AC761" i="1"/>
  <c r="AD761" i="1"/>
  <c r="AE761" i="1"/>
  <c r="AF761" i="1"/>
  <c r="AM761" i="1"/>
  <c r="AN761" i="1"/>
  <c r="AO761" i="1"/>
  <c r="L762" i="1"/>
  <c r="M762" i="1"/>
  <c r="N762" i="1"/>
  <c r="O762" i="1"/>
  <c r="P762" i="1"/>
  <c r="Q762" i="1"/>
  <c r="R762" i="1"/>
  <c r="S762" i="1"/>
  <c r="T762" i="1"/>
  <c r="U762" i="1"/>
  <c r="V762" i="1"/>
  <c r="W762" i="1"/>
  <c r="X762" i="1"/>
  <c r="Y762" i="1"/>
  <c r="Z762" i="1"/>
  <c r="AA762" i="1"/>
  <c r="AB762" i="1"/>
  <c r="AC762" i="1"/>
  <c r="AD762" i="1"/>
  <c r="AE762" i="1"/>
  <c r="AF762" i="1"/>
  <c r="AM762" i="1"/>
  <c r="AN762" i="1"/>
  <c r="AO762" i="1"/>
  <c r="L763" i="1"/>
  <c r="M763" i="1"/>
  <c r="N763" i="1"/>
  <c r="O763" i="1"/>
  <c r="P763" i="1"/>
  <c r="Q763" i="1"/>
  <c r="R763" i="1"/>
  <c r="S763" i="1"/>
  <c r="T763" i="1"/>
  <c r="U763" i="1"/>
  <c r="V763" i="1"/>
  <c r="W763" i="1"/>
  <c r="X763" i="1"/>
  <c r="Y763" i="1"/>
  <c r="Z763" i="1"/>
  <c r="AA763" i="1"/>
  <c r="AB763" i="1"/>
  <c r="AC763" i="1"/>
  <c r="AD763" i="1"/>
  <c r="AE763" i="1"/>
  <c r="AF763" i="1"/>
  <c r="AM763" i="1"/>
  <c r="AN763" i="1"/>
  <c r="AO763" i="1"/>
  <c r="L764" i="1"/>
  <c r="M764" i="1"/>
  <c r="N764" i="1"/>
  <c r="O764" i="1"/>
  <c r="P764" i="1"/>
  <c r="Q764" i="1"/>
  <c r="R764" i="1"/>
  <c r="S764" i="1"/>
  <c r="T764" i="1"/>
  <c r="U764" i="1"/>
  <c r="V764" i="1"/>
  <c r="W764" i="1"/>
  <c r="X764" i="1"/>
  <c r="Y764" i="1"/>
  <c r="Z764" i="1"/>
  <c r="AA764" i="1"/>
  <c r="AB764" i="1"/>
  <c r="AC764" i="1"/>
  <c r="AD764" i="1"/>
  <c r="AE764" i="1"/>
  <c r="AF764" i="1"/>
  <c r="AM764" i="1"/>
  <c r="AN764" i="1"/>
  <c r="AO764" i="1"/>
  <c r="L765" i="1"/>
  <c r="M765" i="1"/>
  <c r="N765" i="1"/>
  <c r="O765" i="1"/>
  <c r="P765" i="1"/>
  <c r="Q765" i="1"/>
  <c r="R765" i="1"/>
  <c r="S765" i="1"/>
  <c r="T765" i="1"/>
  <c r="U765" i="1"/>
  <c r="V765" i="1"/>
  <c r="W765" i="1"/>
  <c r="X765" i="1"/>
  <c r="Y765" i="1"/>
  <c r="Z765" i="1"/>
  <c r="AA765" i="1"/>
  <c r="AB765" i="1"/>
  <c r="AC765" i="1"/>
  <c r="AD765" i="1"/>
  <c r="AE765" i="1"/>
  <c r="AF765" i="1"/>
  <c r="AM765" i="1"/>
  <c r="AN765" i="1"/>
  <c r="AO765" i="1"/>
  <c r="L766" i="1"/>
  <c r="M766" i="1"/>
  <c r="N766" i="1"/>
  <c r="O766" i="1"/>
  <c r="P766" i="1"/>
  <c r="Q766" i="1"/>
  <c r="R766" i="1"/>
  <c r="S766" i="1"/>
  <c r="T766" i="1"/>
  <c r="U766" i="1"/>
  <c r="V766" i="1"/>
  <c r="W766" i="1"/>
  <c r="X766" i="1"/>
  <c r="Y766" i="1"/>
  <c r="Z766" i="1"/>
  <c r="AA766" i="1"/>
  <c r="AB766" i="1"/>
  <c r="AC766" i="1"/>
  <c r="AD766" i="1"/>
  <c r="AE766" i="1"/>
  <c r="AF766" i="1"/>
  <c r="AM766" i="1"/>
  <c r="AN766" i="1"/>
  <c r="AO766" i="1"/>
  <c r="L767" i="1"/>
  <c r="M767" i="1"/>
  <c r="N767" i="1"/>
  <c r="O767" i="1"/>
  <c r="P767" i="1"/>
  <c r="Q767" i="1"/>
  <c r="R767" i="1"/>
  <c r="S767" i="1"/>
  <c r="T767" i="1"/>
  <c r="U767" i="1"/>
  <c r="V767" i="1"/>
  <c r="W767" i="1"/>
  <c r="X767" i="1"/>
  <c r="Y767" i="1"/>
  <c r="Z767" i="1"/>
  <c r="AA767" i="1"/>
  <c r="AB767" i="1"/>
  <c r="AC767" i="1"/>
  <c r="AD767" i="1"/>
  <c r="AE767" i="1"/>
  <c r="AF767" i="1"/>
  <c r="AM767" i="1"/>
  <c r="AN767" i="1"/>
  <c r="AO767" i="1"/>
  <c r="L768" i="1"/>
  <c r="M768" i="1"/>
  <c r="N768" i="1"/>
  <c r="O768" i="1"/>
  <c r="P768" i="1"/>
  <c r="Q768" i="1"/>
  <c r="R768" i="1"/>
  <c r="S768" i="1"/>
  <c r="T768" i="1"/>
  <c r="U768" i="1"/>
  <c r="V768" i="1"/>
  <c r="W768" i="1"/>
  <c r="X768" i="1"/>
  <c r="Y768" i="1"/>
  <c r="Z768" i="1"/>
  <c r="AA768" i="1"/>
  <c r="AB768" i="1"/>
  <c r="AC768" i="1"/>
  <c r="AD768" i="1"/>
  <c r="AE768" i="1"/>
  <c r="AF768" i="1"/>
  <c r="AM768" i="1"/>
  <c r="AN768" i="1"/>
  <c r="AO768" i="1"/>
  <c r="L769" i="1"/>
  <c r="M769" i="1"/>
  <c r="N769" i="1"/>
  <c r="O769" i="1"/>
  <c r="P769" i="1"/>
  <c r="Q769" i="1"/>
  <c r="R769" i="1"/>
  <c r="S769" i="1"/>
  <c r="T769" i="1"/>
  <c r="U769" i="1"/>
  <c r="V769" i="1"/>
  <c r="W769" i="1"/>
  <c r="X769" i="1"/>
  <c r="Y769" i="1"/>
  <c r="Z769" i="1"/>
  <c r="AA769" i="1"/>
  <c r="AB769" i="1"/>
  <c r="AC769" i="1"/>
  <c r="AD769" i="1"/>
  <c r="AE769" i="1"/>
  <c r="AF769" i="1"/>
  <c r="AM769" i="1"/>
  <c r="AN769" i="1"/>
  <c r="AO769" i="1"/>
  <c r="L770" i="1"/>
  <c r="M770" i="1"/>
  <c r="N770" i="1"/>
  <c r="O770" i="1"/>
  <c r="P770" i="1"/>
  <c r="Q770" i="1"/>
  <c r="R770" i="1"/>
  <c r="S770" i="1"/>
  <c r="T770" i="1"/>
  <c r="U770" i="1"/>
  <c r="V770" i="1"/>
  <c r="W770" i="1"/>
  <c r="X770" i="1"/>
  <c r="Y770" i="1"/>
  <c r="Z770" i="1"/>
  <c r="AA770" i="1"/>
  <c r="AB770" i="1"/>
  <c r="AC770" i="1"/>
  <c r="AD770" i="1"/>
  <c r="AE770" i="1"/>
  <c r="AF770" i="1"/>
  <c r="AM770" i="1"/>
  <c r="AN770" i="1"/>
  <c r="AO770" i="1"/>
  <c r="L771" i="1"/>
  <c r="M771" i="1"/>
  <c r="N771" i="1"/>
  <c r="O771" i="1"/>
  <c r="P771" i="1"/>
  <c r="Q771" i="1"/>
  <c r="R771" i="1"/>
  <c r="S771" i="1"/>
  <c r="T771" i="1"/>
  <c r="U771" i="1"/>
  <c r="V771" i="1"/>
  <c r="W771" i="1"/>
  <c r="X771" i="1"/>
  <c r="Y771" i="1"/>
  <c r="Z771" i="1"/>
  <c r="AA771" i="1"/>
  <c r="AB771" i="1"/>
  <c r="AC771" i="1"/>
  <c r="AD771" i="1"/>
  <c r="AE771" i="1"/>
  <c r="AF771" i="1"/>
  <c r="AM771" i="1"/>
  <c r="AN771" i="1"/>
  <c r="AO771" i="1"/>
  <c r="L772" i="1"/>
  <c r="M772" i="1"/>
  <c r="N772" i="1"/>
  <c r="O772" i="1"/>
  <c r="P772" i="1"/>
  <c r="Q772" i="1"/>
  <c r="R772" i="1"/>
  <c r="S772" i="1"/>
  <c r="T772" i="1"/>
  <c r="U772" i="1"/>
  <c r="V772" i="1"/>
  <c r="W772" i="1"/>
  <c r="X772" i="1"/>
  <c r="Y772" i="1"/>
  <c r="Z772" i="1"/>
  <c r="AA772" i="1"/>
  <c r="AB772" i="1"/>
  <c r="AC772" i="1"/>
  <c r="AD772" i="1"/>
  <c r="AE772" i="1"/>
  <c r="AF772" i="1"/>
  <c r="AM772" i="1"/>
  <c r="AN772" i="1"/>
  <c r="AO772" i="1"/>
  <c r="L773" i="1"/>
  <c r="M773" i="1"/>
  <c r="N773" i="1"/>
  <c r="O773" i="1"/>
  <c r="P773" i="1"/>
  <c r="Q773" i="1"/>
  <c r="R773" i="1"/>
  <c r="S773" i="1"/>
  <c r="T773" i="1"/>
  <c r="U773" i="1"/>
  <c r="V773" i="1"/>
  <c r="W773" i="1"/>
  <c r="X773" i="1"/>
  <c r="Y773" i="1"/>
  <c r="Z773" i="1"/>
  <c r="AA773" i="1"/>
  <c r="AB773" i="1"/>
  <c r="AC773" i="1"/>
  <c r="AD773" i="1"/>
  <c r="AE773" i="1"/>
  <c r="AF773" i="1"/>
  <c r="AM773" i="1"/>
  <c r="AN773" i="1"/>
  <c r="AO773" i="1"/>
  <c r="L774" i="1"/>
  <c r="M774" i="1"/>
  <c r="N774" i="1"/>
  <c r="O774" i="1"/>
  <c r="P774" i="1"/>
  <c r="Q774" i="1"/>
  <c r="R774" i="1"/>
  <c r="S774" i="1"/>
  <c r="T774" i="1"/>
  <c r="U774" i="1"/>
  <c r="V774" i="1"/>
  <c r="W774" i="1"/>
  <c r="X774" i="1"/>
  <c r="Y774" i="1"/>
  <c r="Z774" i="1"/>
  <c r="AA774" i="1"/>
  <c r="AB774" i="1"/>
  <c r="AC774" i="1"/>
  <c r="AD774" i="1"/>
  <c r="AE774" i="1"/>
  <c r="AF774" i="1"/>
  <c r="AM774" i="1"/>
  <c r="AN774" i="1"/>
  <c r="AO774" i="1"/>
  <c r="L775" i="1"/>
  <c r="M775" i="1"/>
  <c r="N775" i="1"/>
  <c r="O775" i="1"/>
  <c r="P775" i="1"/>
  <c r="Q775" i="1"/>
  <c r="R775" i="1"/>
  <c r="S775" i="1"/>
  <c r="T775" i="1"/>
  <c r="U775" i="1"/>
  <c r="V775" i="1"/>
  <c r="W775" i="1"/>
  <c r="X775" i="1"/>
  <c r="Y775" i="1"/>
  <c r="Z775" i="1"/>
  <c r="AA775" i="1"/>
  <c r="AB775" i="1"/>
  <c r="AC775" i="1"/>
  <c r="AD775" i="1"/>
  <c r="AE775" i="1"/>
  <c r="AF775" i="1"/>
  <c r="AM775" i="1"/>
  <c r="AN775" i="1"/>
  <c r="AO775" i="1"/>
  <c r="L776" i="1"/>
  <c r="M776" i="1"/>
  <c r="N776" i="1"/>
  <c r="O776" i="1"/>
  <c r="P776" i="1"/>
  <c r="Q776" i="1"/>
  <c r="R776" i="1"/>
  <c r="S776" i="1"/>
  <c r="T776" i="1"/>
  <c r="U776" i="1"/>
  <c r="V776" i="1"/>
  <c r="W776" i="1"/>
  <c r="X776" i="1"/>
  <c r="Y776" i="1"/>
  <c r="Z776" i="1"/>
  <c r="AA776" i="1"/>
  <c r="AB776" i="1"/>
  <c r="AC776" i="1"/>
  <c r="AD776" i="1"/>
  <c r="AE776" i="1"/>
  <c r="AF776" i="1"/>
  <c r="AM776" i="1"/>
  <c r="AN776" i="1"/>
  <c r="AO776" i="1"/>
  <c r="L777" i="1"/>
  <c r="M777" i="1"/>
  <c r="N777" i="1"/>
  <c r="O777" i="1"/>
  <c r="P777" i="1"/>
  <c r="Q777" i="1"/>
  <c r="R777" i="1"/>
  <c r="S777" i="1"/>
  <c r="T777" i="1"/>
  <c r="U777" i="1"/>
  <c r="V777" i="1"/>
  <c r="W777" i="1"/>
  <c r="X777" i="1"/>
  <c r="Y777" i="1"/>
  <c r="Z777" i="1"/>
  <c r="AA777" i="1"/>
  <c r="AB777" i="1"/>
  <c r="AC777" i="1"/>
  <c r="AD777" i="1"/>
  <c r="AE777" i="1"/>
  <c r="AF777" i="1"/>
  <c r="AM777" i="1"/>
  <c r="AN777" i="1"/>
  <c r="AO777" i="1"/>
  <c r="L778" i="1"/>
  <c r="M778" i="1"/>
  <c r="N778" i="1"/>
  <c r="O778" i="1"/>
  <c r="P778" i="1"/>
  <c r="Q778" i="1"/>
  <c r="R778" i="1"/>
  <c r="S778" i="1"/>
  <c r="T778" i="1"/>
  <c r="U778" i="1"/>
  <c r="V778" i="1"/>
  <c r="W778" i="1"/>
  <c r="X778" i="1"/>
  <c r="Y778" i="1"/>
  <c r="Z778" i="1"/>
  <c r="AA778" i="1"/>
  <c r="AB778" i="1"/>
  <c r="AC778" i="1"/>
  <c r="AD778" i="1"/>
  <c r="AE778" i="1"/>
  <c r="AF778" i="1"/>
  <c r="AM778" i="1"/>
  <c r="AN778" i="1"/>
  <c r="AO778" i="1"/>
  <c r="L779" i="1"/>
  <c r="M779" i="1"/>
  <c r="N779" i="1"/>
  <c r="O779" i="1"/>
  <c r="P779" i="1"/>
  <c r="Q779" i="1"/>
  <c r="R779" i="1"/>
  <c r="S779" i="1"/>
  <c r="T779" i="1"/>
  <c r="U779" i="1"/>
  <c r="V779" i="1"/>
  <c r="W779" i="1"/>
  <c r="X779" i="1"/>
  <c r="Y779" i="1"/>
  <c r="Z779" i="1"/>
  <c r="AA779" i="1"/>
  <c r="AB779" i="1"/>
  <c r="AC779" i="1"/>
  <c r="AD779" i="1"/>
  <c r="AE779" i="1"/>
  <c r="AF779" i="1"/>
  <c r="AM779" i="1"/>
  <c r="AN779" i="1"/>
  <c r="AO779" i="1"/>
  <c r="L780" i="1"/>
  <c r="M780" i="1"/>
  <c r="N780" i="1"/>
  <c r="O780" i="1"/>
  <c r="P780" i="1"/>
  <c r="Q780" i="1"/>
  <c r="R780" i="1"/>
  <c r="S780" i="1"/>
  <c r="T780" i="1"/>
  <c r="U780" i="1"/>
  <c r="V780" i="1"/>
  <c r="W780" i="1"/>
  <c r="X780" i="1"/>
  <c r="Y780" i="1"/>
  <c r="Z780" i="1"/>
  <c r="AA780" i="1"/>
  <c r="AB780" i="1"/>
  <c r="AC780" i="1"/>
  <c r="AD780" i="1"/>
  <c r="AE780" i="1"/>
  <c r="AF780" i="1"/>
  <c r="AM780" i="1"/>
  <c r="AN780" i="1"/>
  <c r="AO780" i="1"/>
  <c r="L781" i="1"/>
  <c r="M781" i="1"/>
  <c r="N781" i="1"/>
  <c r="O781" i="1"/>
  <c r="P781" i="1"/>
  <c r="Q781" i="1"/>
  <c r="R781" i="1"/>
  <c r="S781" i="1"/>
  <c r="T781" i="1"/>
  <c r="U781" i="1"/>
  <c r="V781" i="1"/>
  <c r="W781" i="1"/>
  <c r="X781" i="1"/>
  <c r="Y781" i="1"/>
  <c r="Z781" i="1"/>
  <c r="AA781" i="1"/>
  <c r="AB781" i="1"/>
  <c r="AC781" i="1"/>
  <c r="AD781" i="1"/>
  <c r="AE781" i="1"/>
  <c r="AF781" i="1"/>
  <c r="AM781" i="1"/>
  <c r="AN781" i="1"/>
  <c r="AO781" i="1"/>
  <c r="L782" i="1"/>
  <c r="M782" i="1"/>
  <c r="N782" i="1"/>
  <c r="O782" i="1"/>
  <c r="P782" i="1"/>
  <c r="Q782" i="1"/>
  <c r="R782" i="1"/>
  <c r="S782" i="1"/>
  <c r="T782" i="1"/>
  <c r="U782" i="1"/>
  <c r="V782" i="1"/>
  <c r="W782" i="1"/>
  <c r="X782" i="1"/>
  <c r="Y782" i="1"/>
  <c r="Z782" i="1"/>
  <c r="AA782" i="1"/>
  <c r="AB782" i="1"/>
  <c r="AC782" i="1"/>
  <c r="AD782" i="1"/>
  <c r="AE782" i="1"/>
  <c r="AF782" i="1"/>
  <c r="AM782" i="1"/>
  <c r="AN782" i="1"/>
  <c r="AO782" i="1"/>
  <c r="L783" i="1"/>
  <c r="M783" i="1"/>
  <c r="N783" i="1"/>
  <c r="O783" i="1"/>
  <c r="P783" i="1"/>
  <c r="Q783" i="1"/>
  <c r="R783" i="1"/>
  <c r="S783" i="1"/>
  <c r="T783" i="1"/>
  <c r="U783" i="1"/>
  <c r="V783" i="1"/>
  <c r="W783" i="1"/>
  <c r="X783" i="1"/>
  <c r="Y783" i="1"/>
  <c r="Z783" i="1"/>
  <c r="AA783" i="1"/>
  <c r="AB783" i="1"/>
  <c r="AC783" i="1"/>
  <c r="AD783" i="1"/>
  <c r="AE783" i="1"/>
  <c r="AF783" i="1"/>
  <c r="AM783" i="1"/>
  <c r="AN783" i="1"/>
  <c r="AO783" i="1"/>
  <c r="L784" i="1"/>
  <c r="M784" i="1"/>
  <c r="N784" i="1"/>
  <c r="O784" i="1"/>
  <c r="P784" i="1"/>
  <c r="Q784" i="1"/>
  <c r="R784" i="1"/>
  <c r="S784" i="1"/>
  <c r="T784" i="1"/>
  <c r="U784" i="1"/>
  <c r="V784" i="1"/>
  <c r="W784" i="1"/>
  <c r="X784" i="1"/>
  <c r="Y784" i="1"/>
  <c r="Z784" i="1"/>
  <c r="AA784" i="1"/>
  <c r="AB784" i="1"/>
  <c r="AC784" i="1"/>
  <c r="AD784" i="1"/>
  <c r="AE784" i="1"/>
  <c r="AF784" i="1"/>
  <c r="AM784" i="1"/>
  <c r="AN784" i="1"/>
  <c r="AO784" i="1"/>
  <c r="L785" i="1"/>
  <c r="M785" i="1"/>
  <c r="N785" i="1"/>
  <c r="O785" i="1"/>
  <c r="P785" i="1"/>
  <c r="Q785" i="1"/>
  <c r="R785" i="1"/>
  <c r="S785" i="1"/>
  <c r="T785" i="1"/>
  <c r="U785" i="1"/>
  <c r="V785" i="1"/>
  <c r="W785" i="1"/>
  <c r="X785" i="1"/>
  <c r="Y785" i="1"/>
  <c r="Z785" i="1"/>
  <c r="AA785" i="1"/>
  <c r="AB785" i="1"/>
  <c r="AC785" i="1"/>
  <c r="AD785" i="1"/>
  <c r="AE785" i="1"/>
  <c r="AF785" i="1"/>
  <c r="AM785" i="1"/>
  <c r="AN785" i="1"/>
  <c r="AO785" i="1"/>
  <c r="L786" i="1"/>
  <c r="M786" i="1"/>
  <c r="N786" i="1"/>
  <c r="O786" i="1"/>
  <c r="P786" i="1"/>
  <c r="Q786" i="1"/>
  <c r="R786" i="1"/>
  <c r="S786" i="1"/>
  <c r="T786" i="1"/>
  <c r="U786" i="1"/>
  <c r="V786" i="1"/>
  <c r="W786" i="1"/>
  <c r="X786" i="1"/>
  <c r="Y786" i="1"/>
  <c r="Z786" i="1"/>
  <c r="AA786" i="1"/>
  <c r="AB786" i="1"/>
  <c r="AC786" i="1"/>
  <c r="AD786" i="1"/>
  <c r="AE786" i="1"/>
  <c r="AF786" i="1"/>
  <c r="AM786" i="1"/>
  <c r="AN786" i="1"/>
  <c r="AO786" i="1"/>
  <c r="L787" i="1"/>
  <c r="M787" i="1"/>
  <c r="N787" i="1"/>
  <c r="O787" i="1"/>
  <c r="P787" i="1"/>
  <c r="Q787" i="1"/>
  <c r="R787" i="1"/>
  <c r="S787" i="1"/>
  <c r="T787" i="1"/>
  <c r="U787" i="1"/>
  <c r="V787" i="1"/>
  <c r="W787" i="1"/>
  <c r="X787" i="1"/>
  <c r="Y787" i="1"/>
  <c r="Z787" i="1"/>
  <c r="AA787" i="1"/>
  <c r="AB787" i="1"/>
  <c r="AC787" i="1"/>
  <c r="AD787" i="1"/>
  <c r="AE787" i="1"/>
  <c r="AF787" i="1"/>
  <c r="AM787" i="1"/>
  <c r="AN787" i="1"/>
  <c r="AO787" i="1"/>
  <c r="L788" i="1"/>
  <c r="M788" i="1"/>
  <c r="N788" i="1"/>
  <c r="O788" i="1"/>
  <c r="P788" i="1"/>
  <c r="Q788" i="1"/>
  <c r="R788" i="1"/>
  <c r="S788" i="1"/>
  <c r="T788" i="1"/>
  <c r="U788" i="1"/>
  <c r="V788" i="1"/>
  <c r="W788" i="1"/>
  <c r="X788" i="1"/>
  <c r="Y788" i="1"/>
  <c r="Z788" i="1"/>
  <c r="AA788" i="1"/>
  <c r="AB788" i="1"/>
  <c r="AC788" i="1"/>
  <c r="AD788" i="1"/>
  <c r="AE788" i="1"/>
  <c r="AF788" i="1"/>
  <c r="AM788" i="1"/>
  <c r="AN788" i="1"/>
  <c r="AO788" i="1"/>
  <c r="L789" i="1"/>
  <c r="M789" i="1"/>
  <c r="N789" i="1"/>
  <c r="O789" i="1"/>
  <c r="P789" i="1"/>
  <c r="Q789" i="1"/>
  <c r="R789" i="1"/>
  <c r="S789" i="1"/>
  <c r="T789" i="1"/>
  <c r="U789" i="1"/>
  <c r="V789" i="1"/>
  <c r="W789" i="1"/>
  <c r="X789" i="1"/>
  <c r="Y789" i="1"/>
  <c r="Z789" i="1"/>
  <c r="AA789" i="1"/>
  <c r="AB789" i="1"/>
  <c r="AC789" i="1"/>
  <c r="AD789" i="1"/>
  <c r="AE789" i="1"/>
  <c r="AF789" i="1"/>
  <c r="AM789" i="1"/>
  <c r="AN789" i="1"/>
  <c r="AO789" i="1"/>
  <c r="L790" i="1"/>
  <c r="M790" i="1"/>
  <c r="N790" i="1"/>
  <c r="O790" i="1"/>
  <c r="P790" i="1"/>
  <c r="Q790" i="1"/>
  <c r="R790" i="1"/>
  <c r="S790" i="1"/>
  <c r="T790" i="1"/>
  <c r="U790" i="1"/>
  <c r="V790" i="1"/>
  <c r="W790" i="1"/>
  <c r="X790" i="1"/>
  <c r="Y790" i="1"/>
  <c r="Z790" i="1"/>
  <c r="AA790" i="1"/>
  <c r="AB790" i="1"/>
  <c r="AC790" i="1"/>
  <c r="AD790" i="1"/>
  <c r="AE790" i="1"/>
  <c r="AF790" i="1"/>
  <c r="AM790" i="1"/>
  <c r="AN790" i="1"/>
  <c r="AO790" i="1"/>
  <c r="L791" i="1"/>
  <c r="M791" i="1"/>
  <c r="N791" i="1"/>
  <c r="O791" i="1"/>
  <c r="P791" i="1"/>
  <c r="Q791" i="1"/>
  <c r="R791" i="1"/>
  <c r="S791" i="1"/>
  <c r="T791" i="1"/>
  <c r="U791" i="1"/>
  <c r="V791" i="1"/>
  <c r="W791" i="1"/>
  <c r="X791" i="1"/>
  <c r="Y791" i="1"/>
  <c r="Z791" i="1"/>
  <c r="AA791" i="1"/>
  <c r="AB791" i="1"/>
  <c r="AC791" i="1"/>
  <c r="AD791" i="1"/>
  <c r="AE791" i="1"/>
  <c r="AF791" i="1"/>
  <c r="AM791" i="1"/>
  <c r="AN791" i="1"/>
  <c r="AO791" i="1"/>
  <c r="L792" i="1"/>
  <c r="M792" i="1"/>
  <c r="N792" i="1"/>
  <c r="O792" i="1"/>
  <c r="P792" i="1"/>
  <c r="Q792" i="1"/>
  <c r="R792" i="1"/>
  <c r="S792" i="1"/>
  <c r="T792" i="1"/>
  <c r="U792" i="1"/>
  <c r="V792" i="1"/>
  <c r="W792" i="1"/>
  <c r="X792" i="1"/>
  <c r="Y792" i="1"/>
  <c r="Z792" i="1"/>
  <c r="AA792" i="1"/>
  <c r="AB792" i="1"/>
  <c r="AC792" i="1"/>
  <c r="AD792" i="1"/>
  <c r="AE792" i="1"/>
  <c r="AF792" i="1"/>
  <c r="AM792" i="1"/>
  <c r="AN792" i="1"/>
  <c r="AO792" i="1"/>
  <c r="L793" i="1"/>
  <c r="M793" i="1"/>
  <c r="N793" i="1"/>
  <c r="O793" i="1"/>
  <c r="P793" i="1"/>
  <c r="Q793" i="1"/>
  <c r="R793" i="1"/>
  <c r="S793" i="1"/>
  <c r="T793" i="1"/>
  <c r="U793" i="1"/>
  <c r="V793" i="1"/>
  <c r="W793" i="1"/>
  <c r="X793" i="1"/>
  <c r="Y793" i="1"/>
  <c r="Z793" i="1"/>
  <c r="AA793" i="1"/>
  <c r="AB793" i="1"/>
  <c r="AC793" i="1"/>
  <c r="AD793" i="1"/>
  <c r="AE793" i="1"/>
  <c r="AF793" i="1"/>
  <c r="AM793" i="1"/>
  <c r="AN793" i="1"/>
  <c r="AO793" i="1"/>
  <c r="L794" i="1"/>
  <c r="M794" i="1"/>
  <c r="N794" i="1"/>
  <c r="O794" i="1"/>
  <c r="P794" i="1"/>
  <c r="Q794" i="1"/>
  <c r="R794" i="1"/>
  <c r="S794" i="1"/>
  <c r="T794" i="1"/>
  <c r="U794" i="1"/>
  <c r="V794" i="1"/>
  <c r="W794" i="1"/>
  <c r="X794" i="1"/>
  <c r="Y794" i="1"/>
  <c r="Z794" i="1"/>
  <c r="AA794" i="1"/>
  <c r="AB794" i="1"/>
  <c r="AC794" i="1"/>
  <c r="AD794" i="1"/>
  <c r="AE794" i="1"/>
  <c r="AF794" i="1"/>
  <c r="AM794" i="1"/>
  <c r="AN794" i="1"/>
  <c r="AO794" i="1"/>
  <c r="L795" i="1"/>
  <c r="M795" i="1"/>
  <c r="N795" i="1"/>
  <c r="O795" i="1"/>
  <c r="P795" i="1"/>
  <c r="Q795" i="1"/>
  <c r="R795" i="1"/>
  <c r="S795" i="1"/>
  <c r="T795" i="1"/>
  <c r="U795" i="1"/>
  <c r="V795" i="1"/>
  <c r="W795" i="1"/>
  <c r="X795" i="1"/>
  <c r="Y795" i="1"/>
  <c r="Z795" i="1"/>
  <c r="AA795" i="1"/>
  <c r="AB795" i="1"/>
  <c r="AC795" i="1"/>
  <c r="AD795" i="1"/>
  <c r="AE795" i="1"/>
  <c r="AF795" i="1"/>
  <c r="AM795" i="1"/>
  <c r="AN795" i="1"/>
  <c r="AO795" i="1"/>
  <c r="L796" i="1"/>
  <c r="M796" i="1"/>
  <c r="N796" i="1"/>
  <c r="O796" i="1"/>
  <c r="P796" i="1"/>
  <c r="Q796" i="1"/>
  <c r="R796" i="1"/>
  <c r="S796" i="1"/>
  <c r="T796" i="1"/>
  <c r="U796" i="1"/>
  <c r="V796" i="1"/>
  <c r="W796" i="1"/>
  <c r="X796" i="1"/>
  <c r="Y796" i="1"/>
  <c r="Z796" i="1"/>
  <c r="AA796" i="1"/>
  <c r="AB796" i="1"/>
  <c r="AC796" i="1"/>
  <c r="AD796" i="1"/>
  <c r="AE796" i="1"/>
  <c r="AF796" i="1"/>
  <c r="AM796" i="1"/>
  <c r="AN796" i="1"/>
  <c r="AO796" i="1"/>
  <c r="L797" i="1"/>
  <c r="M797" i="1"/>
  <c r="N797" i="1"/>
  <c r="O797" i="1"/>
  <c r="P797" i="1"/>
  <c r="Q797" i="1"/>
  <c r="R797" i="1"/>
  <c r="S797" i="1"/>
  <c r="T797" i="1"/>
  <c r="U797" i="1"/>
  <c r="V797" i="1"/>
  <c r="W797" i="1"/>
  <c r="X797" i="1"/>
  <c r="Y797" i="1"/>
  <c r="Z797" i="1"/>
  <c r="AA797" i="1"/>
  <c r="AB797" i="1"/>
  <c r="AC797" i="1"/>
  <c r="AD797" i="1"/>
  <c r="AE797" i="1"/>
  <c r="AF797" i="1"/>
  <c r="AM797" i="1"/>
  <c r="AN797" i="1"/>
  <c r="AO797" i="1"/>
  <c r="L798" i="1"/>
  <c r="M798" i="1"/>
  <c r="N798" i="1"/>
  <c r="O798" i="1"/>
  <c r="P798" i="1"/>
  <c r="Q798" i="1"/>
  <c r="R798" i="1"/>
  <c r="S798" i="1"/>
  <c r="T798" i="1"/>
  <c r="U798" i="1"/>
  <c r="V798" i="1"/>
  <c r="W798" i="1"/>
  <c r="X798" i="1"/>
  <c r="Y798" i="1"/>
  <c r="Z798" i="1"/>
  <c r="AA798" i="1"/>
  <c r="AB798" i="1"/>
  <c r="AC798" i="1"/>
  <c r="AD798" i="1"/>
  <c r="AE798" i="1"/>
  <c r="AF798" i="1"/>
  <c r="AM798" i="1"/>
  <c r="AN798" i="1"/>
  <c r="AO798" i="1"/>
  <c r="L799" i="1"/>
  <c r="M799" i="1"/>
  <c r="N799" i="1"/>
  <c r="O799" i="1"/>
  <c r="P799" i="1"/>
  <c r="Q799" i="1"/>
  <c r="R799" i="1"/>
  <c r="S799" i="1"/>
  <c r="T799" i="1"/>
  <c r="U799" i="1"/>
  <c r="V799" i="1"/>
  <c r="W799" i="1"/>
  <c r="X799" i="1"/>
  <c r="Y799" i="1"/>
  <c r="Z799" i="1"/>
  <c r="AA799" i="1"/>
  <c r="AB799" i="1"/>
  <c r="AC799" i="1"/>
  <c r="AD799" i="1"/>
  <c r="AE799" i="1"/>
  <c r="AF799" i="1"/>
  <c r="AM799" i="1"/>
  <c r="AN799" i="1"/>
  <c r="AO799" i="1"/>
  <c r="L800" i="1"/>
  <c r="M800" i="1"/>
  <c r="N800" i="1"/>
  <c r="O800" i="1"/>
  <c r="P800" i="1"/>
  <c r="Q800" i="1"/>
  <c r="R800" i="1"/>
  <c r="S800" i="1"/>
  <c r="T800" i="1"/>
  <c r="U800" i="1"/>
  <c r="V800" i="1"/>
  <c r="W800" i="1"/>
  <c r="X800" i="1"/>
  <c r="Y800" i="1"/>
  <c r="Z800" i="1"/>
  <c r="AA800" i="1"/>
  <c r="AB800" i="1"/>
  <c r="AC800" i="1"/>
  <c r="AD800" i="1"/>
  <c r="AE800" i="1"/>
  <c r="AF800" i="1"/>
  <c r="AM800" i="1"/>
  <c r="AN800" i="1"/>
  <c r="AO800" i="1"/>
  <c r="L801" i="1"/>
  <c r="M801" i="1"/>
  <c r="N801" i="1"/>
  <c r="O801" i="1"/>
  <c r="P801" i="1"/>
  <c r="Q801" i="1"/>
  <c r="R801" i="1"/>
  <c r="S801" i="1"/>
  <c r="T801" i="1"/>
  <c r="U801" i="1"/>
  <c r="V801" i="1"/>
  <c r="W801" i="1"/>
  <c r="X801" i="1"/>
  <c r="Y801" i="1"/>
  <c r="Z801" i="1"/>
  <c r="AA801" i="1"/>
  <c r="AB801" i="1"/>
  <c r="AC801" i="1"/>
  <c r="AD801" i="1"/>
  <c r="AE801" i="1"/>
  <c r="AF801" i="1"/>
  <c r="AM801" i="1"/>
  <c r="AN801" i="1"/>
  <c r="AO801" i="1"/>
  <c r="L802" i="1"/>
  <c r="M802" i="1"/>
  <c r="N802" i="1"/>
  <c r="O802" i="1"/>
  <c r="P802" i="1"/>
  <c r="Q802" i="1"/>
  <c r="R802" i="1"/>
  <c r="S802" i="1"/>
  <c r="T802" i="1"/>
  <c r="U802" i="1"/>
  <c r="V802" i="1"/>
  <c r="W802" i="1"/>
  <c r="X802" i="1"/>
  <c r="Y802" i="1"/>
  <c r="Z802" i="1"/>
  <c r="AA802" i="1"/>
  <c r="AB802" i="1"/>
  <c r="AC802" i="1"/>
  <c r="AD802" i="1"/>
  <c r="AE802" i="1"/>
  <c r="AF802" i="1"/>
  <c r="AM802" i="1"/>
  <c r="AN802" i="1"/>
  <c r="AO802" i="1"/>
  <c r="L803" i="1"/>
  <c r="M803" i="1"/>
  <c r="N803" i="1"/>
  <c r="O803" i="1"/>
  <c r="P803" i="1"/>
  <c r="Q803" i="1"/>
  <c r="R803" i="1"/>
  <c r="S803" i="1"/>
  <c r="T803" i="1"/>
  <c r="U803" i="1"/>
  <c r="V803" i="1"/>
  <c r="W803" i="1"/>
  <c r="X803" i="1"/>
  <c r="Y803" i="1"/>
  <c r="Z803" i="1"/>
  <c r="AA803" i="1"/>
  <c r="AB803" i="1"/>
  <c r="AC803" i="1"/>
  <c r="AD803" i="1"/>
  <c r="AE803" i="1"/>
  <c r="AF803" i="1"/>
  <c r="AM803" i="1"/>
  <c r="AN803" i="1"/>
  <c r="AO803" i="1"/>
  <c r="L804" i="1"/>
  <c r="M804" i="1"/>
  <c r="N804" i="1"/>
  <c r="O804" i="1"/>
  <c r="P804" i="1"/>
  <c r="Q804" i="1"/>
  <c r="R804" i="1"/>
  <c r="S804" i="1"/>
  <c r="T804" i="1"/>
  <c r="U804" i="1"/>
  <c r="V804" i="1"/>
  <c r="W804" i="1"/>
  <c r="X804" i="1"/>
  <c r="Y804" i="1"/>
  <c r="Z804" i="1"/>
  <c r="AA804" i="1"/>
  <c r="AB804" i="1"/>
  <c r="AC804" i="1"/>
  <c r="AD804" i="1"/>
  <c r="AE804" i="1"/>
  <c r="AF804" i="1"/>
  <c r="AM804" i="1"/>
  <c r="AN804" i="1"/>
  <c r="AO804" i="1"/>
  <c r="L805" i="1"/>
  <c r="M805" i="1"/>
  <c r="N805" i="1"/>
  <c r="O805" i="1"/>
  <c r="P805" i="1"/>
  <c r="Q805" i="1"/>
  <c r="R805" i="1"/>
  <c r="S805" i="1"/>
  <c r="T805" i="1"/>
  <c r="U805" i="1"/>
  <c r="V805" i="1"/>
  <c r="W805" i="1"/>
  <c r="X805" i="1"/>
  <c r="Y805" i="1"/>
  <c r="Z805" i="1"/>
  <c r="AA805" i="1"/>
  <c r="AB805" i="1"/>
  <c r="AC805" i="1"/>
  <c r="AD805" i="1"/>
  <c r="AE805" i="1"/>
  <c r="AF805" i="1"/>
  <c r="AM805" i="1"/>
  <c r="AN805" i="1"/>
  <c r="AO805" i="1"/>
  <c r="L806" i="1"/>
  <c r="M806" i="1"/>
  <c r="N806" i="1"/>
  <c r="O806" i="1"/>
  <c r="P806" i="1"/>
  <c r="Q806" i="1"/>
  <c r="R806" i="1"/>
  <c r="S806" i="1"/>
  <c r="T806" i="1"/>
  <c r="U806" i="1"/>
  <c r="V806" i="1"/>
  <c r="W806" i="1"/>
  <c r="X806" i="1"/>
  <c r="Y806" i="1"/>
  <c r="Z806" i="1"/>
  <c r="AA806" i="1"/>
  <c r="AB806" i="1"/>
  <c r="AC806" i="1"/>
  <c r="AD806" i="1"/>
  <c r="AE806" i="1"/>
  <c r="AF806" i="1"/>
  <c r="AM806" i="1"/>
  <c r="AN806" i="1"/>
  <c r="AO806" i="1"/>
  <c r="L807" i="1"/>
  <c r="M807" i="1"/>
  <c r="N807" i="1"/>
  <c r="O807" i="1"/>
  <c r="P807" i="1"/>
  <c r="Q807" i="1"/>
  <c r="R807" i="1"/>
  <c r="S807" i="1"/>
  <c r="T807" i="1"/>
  <c r="U807" i="1"/>
  <c r="V807" i="1"/>
  <c r="W807" i="1"/>
  <c r="X807" i="1"/>
  <c r="Y807" i="1"/>
  <c r="Z807" i="1"/>
  <c r="AA807" i="1"/>
  <c r="AB807" i="1"/>
  <c r="AC807" i="1"/>
  <c r="AD807" i="1"/>
  <c r="AE807" i="1"/>
  <c r="AF807" i="1"/>
  <c r="AM807" i="1"/>
  <c r="AN807" i="1"/>
  <c r="AO807" i="1"/>
  <c r="L808" i="1"/>
  <c r="M808" i="1"/>
  <c r="N808" i="1"/>
  <c r="O808" i="1"/>
  <c r="P808" i="1"/>
  <c r="Q808" i="1"/>
  <c r="R808" i="1"/>
  <c r="S808" i="1"/>
  <c r="T808" i="1"/>
  <c r="U808" i="1"/>
  <c r="V808" i="1"/>
  <c r="W808" i="1"/>
  <c r="X808" i="1"/>
  <c r="Y808" i="1"/>
  <c r="Z808" i="1"/>
  <c r="AA808" i="1"/>
  <c r="AB808" i="1"/>
  <c r="AC808" i="1"/>
  <c r="AD808" i="1"/>
  <c r="AE808" i="1"/>
  <c r="AF808" i="1"/>
  <c r="AM808" i="1"/>
  <c r="AN808" i="1"/>
  <c r="AO808" i="1"/>
  <c r="L809" i="1"/>
  <c r="M809" i="1"/>
  <c r="N809" i="1"/>
  <c r="O809" i="1"/>
  <c r="P809" i="1"/>
  <c r="Q809" i="1"/>
  <c r="R809" i="1"/>
  <c r="S809" i="1"/>
  <c r="T809" i="1"/>
  <c r="U809" i="1"/>
  <c r="V809" i="1"/>
  <c r="W809" i="1"/>
  <c r="X809" i="1"/>
  <c r="Y809" i="1"/>
  <c r="Z809" i="1"/>
  <c r="AA809" i="1"/>
  <c r="AB809" i="1"/>
  <c r="AC809" i="1"/>
  <c r="AD809" i="1"/>
  <c r="AE809" i="1"/>
  <c r="AF809" i="1"/>
  <c r="AM809" i="1"/>
  <c r="AN809" i="1"/>
  <c r="AO809" i="1"/>
  <c r="L810" i="1"/>
  <c r="M810" i="1"/>
  <c r="N810" i="1"/>
  <c r="O810" i="1"/>
  <c r="P810" i="1"/>
  <c r="Q810" i="1"/>
  <c r="R810" i="1"/>
  <c r="S810" i="1"/>
  <c r="T810" i="1"/>
  <c r="U810" i="1"/>
  <c r="V810" i="1"/>
  <c r="W810" i="1"/>
  <c r="X810" i="1"/>
  <c r="Y810" i="1"/>
  <c r="Z810" i="1"/>
  <c r="AA810" i="1"/>
  <c r="AB810" i="1"/>
  <c r="AC810" i="1"/>
  <c r="AD810" i="1"/>
  <c r="AE810" i="1"/>
  <c r="AF810" i="1"/>
  <c r="AM810" i="1"/>
  <c r="AN810" i="1"/>
  <c r="AO810" i="1"/>
  <c r="L811" i="1"/>
  <c r="M811" i="1"/>
  <c r="N811" i="1"/>
  <c r="O811" i="1"/>
  <c r="P811" i="1"/>
  <c r="Q811" i="1"/>
  <c r="R811" i="1"/>
  <c r="S811" i="1"/>
  <c r="T811" i="1"/>
  <c r="U811" i="1"/>
  <c r="V811" i="1"/>
  <c r="W811" i="1"/>
  <c r="X811" i="1"/>
  <c r="Y811" i="1"/>
  <c r="Z811" i="1"/>
  <c r="AA811" i="1"/>
  <c r="AB811" i="1"/>
  <c r="AC811" i="1"/>
  <c r="AD811" i="1"/>
  <c r="AE811" i="1"/>
  <c r="AF811" i="1"/>
  <c r="AM811" i="1"/>
  <c r="AN811" i="1"/>
  <c r="AO811" i="1"/>
  <c r="L812" i="1"/>
  <c r="M812" i="1"/>
  <c r="N812" i="1"/>
  <c r="O812" i="1"/>
  <c r="P812" i="1"/>
  <c r="Q812" i="1"/>
  <c r="R812" i="1"/>
  <c r="S812" i="1"/>
  <c r="T812" i="1"/>
  <c r="U812" i="1"/>
  <c r="V812" i="1"/>
  <c r="W812" i="1"/>
  <c r="X812" i="1"/>
  <c r="Y812" i="1"/>
  <c r="Z812" i="1"/>
  <c r="AA812" i="1"/>
  <c r="AB812" i="1"/>
  <c r="AC812" i="1"/>
  <c r="AD812" i="1"/>
  <c r="AE812" i="1"/>
  <c r="AF812" i="1"/>
  <c r="AM812" i="1"/>
  <c r="AN812" i="1"/>
  <c r="AO812" i="1"/>
  <c r="L813" i="1"/>
  <c r="M813" i="1"/>
  <c r="N813" i="1"/>
  <c r="O813" i="1"/>
  <c r="P813" i="1"/>
  <c r="Q813" i="1"/>
  <c r="R813" i="1"/>
  <c r="S813" i="1"/>
  <c r="T813" i="1"/>
  <c r="U813" i="1"/>
  <c r="V813" i="1"/>
  <c r="W813" i="1"/>
  <c r="X813" i="1"/>
  <c r="Y813" i="1"/>
  <c r="Z813" i="1"/>
  <c r="AA813" i="1"/>
  <c r="AB813" i="1"/>
  <c r="AC813" i="1"/>
  <c r="AD813" i="1"/>
  <c r="AE813" i="1"/>
  <c r="AF813" i="1"/>
  <c r="AM813" i="1"/>
  <c r="AN813" i="1"/>
  <c r="AO813" i="1"/>
  <c r="L814" i="1"/>
  <c r="M814" i="1"/>
  <c r="N814" i="1"/>
  <c r="O814" i="1"/>
  <c r="P814" i="1"/>
  <c r="Q814" i="1"/>
  <c r="R814" i="1"/>
  <c r="S814" i="1"/>
  <c r="T814" i="1"/>
  <c r="U814" i="1"/>
  <c r="V814" i="1"/>
  <c r="W814" i="1"/>
  <c r="X814" i="1"/>
  <c r="Y814" i="1"/>
  <c r="Z814" i="1"/>
  <c r="AA814" i="1"/>
  <c r="AB814" i="1"/>
  <c r="AC814" i="1"/>
  <c r="AD814" i="1"/>
  <c r="AE814" i="1"/>
  <c r="AF814" i="1"/>
  <c r="AM814" i="1"/>
  <c r="AN814" i="1"/>
  <c r="AO814" i="1"/>
  <c r="L815" i="1"/>
  <c r="M815" i="1"/>
  <c r="N815" i="1"/>
  <c r="O815" i="1"/>
  <c r="P815" i="1"/>
  <c r="Q815" i="1"/>
  <c r="R815" i="1"/>
  <c r="S815" i="1"/>
  <c r="T815" i="1"/>
  <c r="U815" i="1"/>
  <c r="V815" i="1"/>
  <c r="W815" i="1"/>
  <c r="X815" i="1"/>
  <c r="Y815" i="1"/>
  <c r="Z815" i="1"/>
  <c r="AA815" i="1"/>
  <c r="AB815" i="1"/>
  <c r="AC815" i="1"/>
  <c r="AD815" i="1"/>
  <c r="AE815" i="1"/>
  <c r="AF815" i="1"/>
  <c r="AM815" i="1"/>
  <c r="AN815" i="1"/>
  <c r="AO815" i="1"/>
  <c r="L816" i="1"/>
  <c r="M816" i="1"/>
  <c r="N816" i="1"/>
  <c r="O816" i="1"/>
  <c r="P816" i="1"/>
  <c r="Q816" i="1"/>
  <c r="R816" i="1"/>
  <c r="S816" i="1"/>
  <c r="T816" i="1"/>
  <c r="U816" i="1"/>
  <c r="V816" i="1"/>
  <c r="W816" i="1"/>
  <c r="X816" i="1"/>
  <c r="Y816" i="1"/>
  <c r="Z816" i="1"/>
  <c r="AA816" i="1"/>
  <c r="AB816" i="1"/>
  <c r="AC816" i="1"/>
  <c r="AD816" i="1"/>
  <c r="AE816" i="1"/>
  <c r="AF816" i="1"/>
  <c r="AM816" i="1"/>
  <c r="AN816" i="1"/>
  <c r="AO816" i="1"/>
  <c r="L817" i="1"/>
  <c r="M817" i="1"/>
  <c r="N817" i="1"/>
  <c r="O817" i="1"/>
  <c r="P817" i="1"/>
  <c r="Q817" i="1"/>
  <c r="R817" i="1"/>
  <c r="S817" i="1"/>
  <c r="T817" i="1"/>
  <c r="U817" i="1"/>
  <c r="V817" i="1"/>
  <c r="W817" i="1"/>
  <c r="X817" i="1"/>
  <c r="Y817" i="1"/>
  <c r="Z817" i="1"/>
  <c r="AA817" i="1"/>
  <c r="AB817" i="1"/>
  <c r="AC817" i="1"/>
  <c r="AD817" i="1"/>
  <c r="AE817" i="1"/>
  <c r="AF817" i="1"/>
  <c r="AM817" i="1"/>
  <c r="AN817" i="1"/>
  <c r="AO817" i="1"/>
  <c r="L818" i="1"/>
  <c r="M818" i="1"/>
  <c r="N818" i="1"/>
  <c r="O818" i="1"/>
  <c r="P818" i="1"/>
  <c r="Q818" i="1"/>
  <c r="R818" i="1"/>
  <c r="S818" i="1"/>
  <c r="T818" i="1"/>
  <c r="U818" i="1"/>
  <c r="V818" i="1"/>
  <c r="W818" i="1"/>
  <c r="X818" i="1"/>
  <c r="Y818" i="1"/>
  <c r="Z818" i="1"/>
  <c r="AA818" i="1"/>
  <c r="AB818" i="1"/>
  <c r="AC818" i="1"/>
  <c r="AD818" i="1"/>
  <c r="AE818" i="1"/>
  <c r="AF818" i="1"/>
  <c r="AM818" i="1"/>
  <c r="AN818" i="1"/>
  <c r="AO818" i="1"/>
  <c r="L819" i="1"/>
  <c r="M819" i="1"/>
  <c r="N819" i="1"/>
  <c r="O819" i="1"/>
  <c r="P819" i="1"/>
  <c r="Q819" i="1"/>
  <c r="R819" i="1"/>
  <c r="S819" i="1"/>
  <c r="T819" i="1"/>
  <c r="U819" i="1"/>
  <c r="V819" i="1"/>
  <c r="W819" i="1"/>
  <c r="X819" i="1"/>
  <c r="Y819" i="1"/>
  <c r="Z819" i="1"/>
  <c r="AA819" i="1"/>
  <c r="AB819" i="1"/>
  <c r="AC819" i="1"/>
  <c r="AD819" i="1"/>
  <c r="AE819" i="1"/>
  <c r="AF819" i="1"/>
  <c r="AM819" i="1"/>
  <c r="AN819" i="1"/>
  <c r="AO819" i="1"/>
  <c r="L820" i="1"/>
  <c r="M820" i="1"/>
  <c r="N820" i="1"/>
  <c r="O820" i="1"/>
  <c r="P820" i="1"/>
  <c r="Q820" i="1"/>
  <c r="R820" i="1"/>
  <c r="S820" i="1"/>
  <c r="T820" i="1"/>
  <c r="U820" i="1"/>
  <c r="V820" i="1"/>
  <c r="W820" i="1"/>
  <c r="X820" i="1"/>
  <c r="Y820" i="1"/>
  <c r="Z820" i="1"/>
  <c r="AA820" i="1"/>
  <c r="AB820" i="1"/>
  <c r="AC820" i="1"/>
  <c r="AD820" i="1"/>
  <c r="AE820" i="1"/>
  <c r="AF820" i="1"/>
  <c r="AM820" i="1"/>
  <c r="AN820" i="1"/>
  <c r="AO820" i="1"/>
  <c r="L821" i="1"/>
  <c r="M821" i="1"/>
  <c r="N821" i="1"/>
  <c r="O821" i="1"/>
  <c r="P821" i="1"/>
  <c r="Q821" i="1"/>
  <c r="R821" i="1"/>
  <c r="S821" i="1"/>
  <c r="T821" i="1"/>
  <c r="U821" i="1"/>
  <c r="V821" i="1"/>
  <c r="W821" i="1"/>
  <c r="X821" i="1"/>
  <c r="Y821" i="1"/>
  <c r="Z821" i="1"/>
  <c r="AA821" i="1"/>
  <c r="AB821" i="1"/>
  <c r="AC821" i="1"/>
  <c r="AD821" i="1"/>
  <c r="AE821" i="1"/>
  <c r="AF821" i="1"/>
  <c r="AM821" i="1"/>
  <c r="AN821" i="1"/>
  <c r="AO821" i="1"/>
  <c r="L822" i="1"/>
  <c r="M822" i="1"/>
  <c r="N822" i="1"/>
  <c r="O822" i="1"/>
  <c r="P822" i="1"/>
  <c r="Q822" i="1"/>
  <c r="R822" i="1"/>
  <c r="S822" i="1"/>
  <c r="T822" i="1"/>
  <c r="U822" i="1"/>
  <c r="V822" i="1"/>
  <c r="W822" i="1"/>
  <c r="X822" i="1"/>
  <c r="Y822" i="1"/>
  <c r="Z822" i="1"/>
  <c r="AA822" i="1"/>
  <c r="AB822" i="1"/>
  <c r="AC822" i="1"/>
  <c r="AD822" i="1"/>
  <c r="AE822" i="1"/>
  <c r="AF822" i="1"/>
  <c r="AM822" i="1"/>
  <c r="AN822" i="1"/>
  <c r="AO822" i="1"/>
  <c r="L823" i="1"/>
  <c r="M823" i="1"/>
  <c r="N823" i="1"/>
  <c r="O823" i="1"/>
  <c r="P823" i="1"/>
  <c r="Q823" i="1"/>
  <c r="R823" i="1"/>
  <c r="S823" i="1"/>
  <c r="T823" i="1"/>
  <c r="U823" i="1"/>
  <c r="V823" i="1"/>
  <c r="W823" i="1"/>
  <c r="X823" i="1"/>
  <c r="Y823" i="1"/>
  <c r="Z823" i="1"/>
  <c r="AA823" i="1"/>
  <c r="AB823" i="1"/>
  <c r="AC823" i="1"/>
  <c r="AD823" i="1"/>
  <c r="AE823" i="1"/>
  <c r="AF823" i="1"/>
  <c r="AM823" i="1"/>
  <c r="AN823" i="1"/>
  <c r="AO823" i="1"/>
  <c r="L824" i="1"/>
  <c r="M824" i="1"/>
  <c r="N824" i="1"/>
  <c r="O824" i="1"/>
  <c r="P824" i="1"/>
  <c r="Q824" i="1"/>
  <c r="R824" i="1"/>
  <c r="S824" i="1"/>
  <c r="T824" i="1"/>
  <c r="U824" i="1"/>
  <c r="V824" i="1"/>
  <c r="W824" i="1"/>
  <c r="X824" i="1"/>
  <c r="Y824" i="1"/>
  <c r="Z824" i="1"/>
  <c r="AA824" i="1"/>
  <c r="AB824" i="1"/>
  <c r="AC824" i="1"/>
  <c r="AD824" i="1"/>
  <c r="AE824" i="1"/>
  <c r="AF824" i="1"/>
  <c r="AM824" i="1"/>
  <c r="AN824" i="1"/>
  <c r="AO824" i="1"/>
  <c r="L825" i="1"/>
  <c r="M825" i="1"/>
  <c r="N825" i="1"/>
  <c r="O825" i="1"/>
  <c r="P825" i="1"/>
  <c r="Q825" i="1"/>
  <c r="R825" i="1"/>
  <c r="S825" i="1"/>
  <c r="T825" i="1"/>
  <c r="U825" i="1"/>
  <c r="V825" i="1"/>
  <c r="W825" i="1"/>
  <c r="X825" i="1"/>
  <c r="Y825" i="1"/>
  <c r="Z825" i="1"/>
  <c r="AA825" i="1"/>
  <c r="AB825" i="1"/>
  <c r="AC825" i="1"/>
  <c r="AD825" i="1"/>
  <c r="AE825" i="1"/>
  <c r="AF825" i="1"/>
  <c r="AM825" i="1"/>
  <c r="AN825" i="1"/>
  <c r="AO825" i="1"/>
  <c r="L826" i="1"/>
  <c r="M826" i="1"/>
  <c r="N826" i="1"/>
  <c r="O826" i="1"/>
  <c r="P826" i="1"/>
  <c r="Q826" i="1"/>
  <c r="R826" i="1"/>
  <c r="S826" i="1"/>
  <c r="T826" i="1"/>
  <c r="U826" i="1"/>
  <c r="V826" i="1"/>
  <c r="W826" i="1"/>
  <c r="X826" i="1"/>
  <c r="Y826" i="1"/>
  <c r="Z826" i="1"/>
  <c r="AA826" i="1"/>
  <c r="AB826" i="1"/>
  <c r="AC826" i="1"/>
  <c r="AD826" i="1"/>
  <c r="AE826" i="1"/>
  <c r="AF826" i="1"/>
  <c r="AM826" i="1"/>
  <c r="AN826" i="1"/>
  <c r="AO826" i="1"/>
  <c r="L827" i="1"/>
  <c r="M827" i="1"/>
  <c r="N827" i="1"/>
  <c r="O827" i="1"/>
  <c r="P827" i="1"/>
  <c r="Q827" i="1"/>
  <c r="R827" i="1"/>
  <c r="S827" i="1"/>
  <c r="T827" i="1"/>
  <c r="U827" i="1"/>
  <c r="V827" i="1"/>
  <c r="W827" i="1"/>
  <c r="X827" i="1"/>
  <c r="Y827" i="1"/>
  <c r="Z827" i="1"/>
  <c r="AA827" i="1"/>
  <c r="AB827" i="1"/>
  <c r="AC827" i="1"/>
  <c r="AD827" i="1"/>
  <c r="AE827" i="1"/>
  <c r="AF827" i="1"/>
  <c r="AM827" i="1"/>
  <c r="AN827" i="1"/>
  <c r="AO827" i="1"/>
  <c r="L828" i="1"/>
  <c r="M828" i="1"/>
  <c r="N828" i="1"/>
  <c r="O828" i="1"/>
  <c r="P828" i="1"/>
  <c r="Q828" i="1"/>
  <c r="R828" i="1"/>
  <c r="S828" i="1"/>
  <c r="T828" i="1"/>
  <c r="U828" i="1"/>
  <c r="V828" i="1"/>
  <c r="W828" i="1"/>
  <c r="X828" i="1"/>
  <c r="Y828" i="1"/>
  <c r="Z828" i="1"/>
  <c r="AA828" i="1"/>
  <c r="AB828" i="1"/>
  <c r="AC828" i="1"/>
  <c r="AD828" i="1"/>
  <c r="AE828" i="1"/>
  <c r="AF828" i="1"/>
  <c r="AM828" i="1"/>
  <c r="AN828" i="1"/>
  <c r="AO828" i="1"/>
  <c r="L829" i="1"/>
  <c r="M829" i="1"/>
  <c r="N829" i="1"/>
  <c r="O829" i="1"/>
  <c r="P829" i="1"/>
  <c r="Q829" i="1"/>
  <c r="R829" i="1"/>
  <c r="S829" i="1"/>
  <c r="T829" i="1"/>
  <c r="U829" i="1"/>
  <c r="V829" i="1"/>
  <c r="W829" i="1"/>
  <c r="X829" i="1"/>
  <c r="Y829" i="1"/>
  <c r="Z829" i="1"/>
  <c r="AA829" i="1"/>
  <c r="AB829" i="1"/>
  <c r="AC829" i="1"/>
  <c r="AD829" i="1"/>
  <c r="AE829" i="1"/>
  <c r="AF829" i="1"/>
  <c r="AM829" i="1"/>
  <c r="AN829" i="1"/>
  <c r="AO829" i="1"/>
  <c r="L830" i="1"/>
  <c r="M830" i="1"/>
  <c r="N830" i="1"/>
  <c r="O830" i="1"/>
  <c r="P830" i="1"/>
  <c r="Q830" i="1"/>
  <c r="R830" i="1"/>
  <c r="S830" i="1"/>
  <c r="T830" i="1"/>
  <c r="U830" i="1"/>
  <c r="V830" i="1"/>
  <c r="W830" i="1"/>
  <c r="X830" i="1"/>
  <c r="Y830" i="1"/>
  <c r="Z830" i="1"/>
  <c r="AA830" i="1"/>
  <c r="AB830" i="1"/>
  <c r="AC830" i="1"/>
  <c r="AD830" i="1"/>
  <c r="AE830" i="1"/>
  <c r="AF830" i="1"/>
  <c r="AM830" i="1"/>
  <c r="AN830" i="1"/>
  <c r="AO830" i="1"/>
  <c r="L831" i="1"/>
  <c r="M831" i="1"/>
  <c r="N831" i="1"/>
  <c r="O831" i="1"/>
  <c r="P831" i="1"/>
  <c r="Q831" i="1"/>
  <c r="R831" i="1"/>
  <c r="S831" i="1"/>
  <c r="T831" i="1"/>
  <c r="U831" i="1"/>
  <c r="V831" i="1"/>
  <c r="W831" i="1"/>
  <c r="X831" i="1"/>
  <c r="Y831" i="1"/>
  <c r="Z831" i="1"/>
  <c r="AA831" i="1"/>
  <c r="AB831" i="1"/>
  <c r="AC831" i="1"/>
  <c r="AD831" i="1"/>
  <c r="AE831" i="1"/>
  <c r="AF831" i="1"/>
  <c r="AM831" i="1"/>
  <c r="AN831" i="1"/>
  <c r="AO831" i="1"/>
  <c r="L832" i="1"/>
  <c r="M832" i="1"/>
  <c r="N832" i="1"/>
  <c r="O832" i="1"/>
  <c r="P832" i="1"/>
  <c r="Q832" i="1"/>
  <c r="R832" i="1"/>
  <c r="S832" i="1"/>
  <c r="T832" i="1"/>
  <c r="U832" i="1"/>
  <c r="V832" i="1"/>
  <c r="W832" i="1"/>
  <c r="X832" i="1"/>
  <c r="Y832" i="1"/>
  <c r="Z832" i="1"/>
  <c r="AA832" i="1"/>
  <c r="AB832" i="1"/>
  <c r="AC832" i="1"/>
  <c r="AD832" i="1"/>
  <c r="AE832" i="1"/>
  <c r="AF832" i="1"/>
  <c r="AM832" i="1"/>
  <c r="AN832" i="1"/>
  <c r="AO832" i="1"/>
  <c r="L833" i="1"/>
  <c r="M833" i="1"/>
  <c r="N833" i="1"/>
  <c r="O833" i="1"/>
  <c r="P833" i="1"/>
  <c r="Q833" i="1"/>
  <c r="R833" i="1"/>
  <c r="S833" i="1"/>
  <c r="T833" i="1"/>
  <c r="U833" i="1"/>
  <c r="V833" i="1"/>
  <c r="W833" i="1"/>
  <c r="X833" i="1"/>
  <c r="Y833" i="1"/>
  <c r="Z833" i="1"/>
  <c r="AA833" i="1"/>
  <c r="AB833" i="1"/>
  <c r="AC833" i="1"/>
  <c r="AD833" i="1"/>
  <c r="AE833" i="1"/>
  <c r="AF833" i="1"/>
  <c r="AM833" i="1"/>
  <c r="AN833" i="1"/>
  <c r="AO833" i="1"/>
  <c r="L834" i="1"/>
  <c r="M834" i="1"/>
  <c r="N834" i="1"/>
  <c r="O834" i="1"/>
  <c r="P834" i="1"/>
  <c r="Q834" i="1"/>
  <c r="R834" i="1"/>
  <c r="S834" i="1"/>
  <c r="T834" i="1"/>
  <c r="U834" i="1"/>
  <c r="V834" i="1"/>
  <c r="W834" i="1"/>
  <c r="X834" i="1"/>
  <c r="Y834" i="1"/>
  <c r="Z834" i="1"/>
  <c r="AA834" i="1"/>
  <c r="AB834" i="1"/>
  <c r="AC834" i="1"/>
  <c r="AD834" i="1"/>
  <c r="AE834" i="1"/>
  <c r="AF834" i="1"/>
  <c r="AM834" i="1"/>
  <c r="AN834" i="1"/>
  <c r="AO834" i="1"/>
  <c r="L835" i="1"/>
  <c r="M835" i="1"/>
  <c r="N835" i="1"/>
  <c r="O835" i="1"/>
  <c r="P835" i="1"/>
  <c r="Q835" i="1"/>
  <c r="R835" i="1"/>
  <c r="S835" i="1"/>
  <c r="T835" i="1"/>
  <c r="U835" i="1"/>
  <c r="V835" i="1"/>
  <c r="W835" i="1"/>
  <c r="X835" i="1"/>
  <c r="Y835" i="1"/>
  <c r="Z835" i="1"/>
  <c r="AA835" i="1"/>
  <c r="AB835" i="1"/>
  <c r="AC835" i="1"/>
  <c r="AD835" i="1"/>
  <c r="AE835" i="1"/>
  <c r="AF835" i="1"/>
  <c r="AM835" i="1"/>
  <c r="AN835" i="1"/>
  <c r="AO835" i="1"/>
  <c r="L836" i="1"/>
  <c r="M836" i="1"/>
  <c r="N836" i="1"/>
  <c r="O836" i="1"/>
  <c r="P836" i="1"/>
  <c r="Q836" i="1"/>
  <c r="R836" i="1"/>
  <c r="S836" i="1"/>
  <c r="T836" i="1"/>
  <c r="U836" i="1"/>
  <c r="V836" i="1"/>
  <c r="W836" i="1"/>
  <c r="X836" i="1"/>
  <c r="Y836" i="1"/>
  <c r="Z836" i="1"/>
  <c r="AA836" i="1"/>
  <c r="AB836" i="1"/>
  <c r="AC836" i="1"/>
  <c r="AD836" i="1"/>
  <c r="AE836" i="1"/>
  <c r="AF836" i="1"/>
  <c r="AM836" i="1"/>
  <c r="AN836" i="1"/>
  <c r="AO836" i="1"/>
  <c r="L837" i="1"/>
  <c r="M837" i="1"/>
  <c r="N837" i="1"/>
  <c r="O837" i="1"/>
  <c r="P837" i="1"/>
  <c r="Q837" i="1"/>
  <c r="R837" i="1"/>
  <c r="S837" i="1"/>
  <c r="T837" i="1"/>
  <c r="U837" i="1"/>
  <c r="V837" i="1"/>
  <c r="W837" i="1"/>
  <c r="X837" i="1"/>
  <c r="Y837" i="1"/>
  <c r="Z837" i="1"/>
  <c r="AA837" i="1"/>
  <c r="AB837" i="1"/>
  <c r="AC837" i="1"/>
  <c r="AD837" i="1"/>
  <c r="AE837" i="1"/>
  <c r="AF837" i="1"/>
  <c r="AM837" i="1"/>
  <c r="AN837" i="1"/>
  <c r="AO837" i="1"/>
  <c r="L838" i="1"/>
  <c r="M838" i="1"/>
  <c r="N838" i="1"/>
  <c r="O838" i="1"/>
  <c r="P838" i="1"/>
  <c r="Q838" i="1"/>
  <c r="R838" i="1"/>
  <c r="S838" i="1"/>
  <c r="T838" i="1"/>
  <c r="U838" i="1"/>
  <c r="V838" i="1"/>
  <c r="W838" i="1"/>
  <c r="X838" i="1"/>
  <c r="Y838" i="1"/>
  <c r="Z838" i="1"/>
  <c r="AA838" i="1"/>
  <c r="AB838" i="1"/>
  <c r="AC838" i="1"/>
  <c r="AD838" i="1"/>
  <c r="AE838" i="1"/>
  <c r="AF838" i="1"/>
  <c r="AM838" i="1"/>
  <c r="AN838" i="1"/>
  <c r="AO838" i="1"/>
  <c r="L839" i="1"/>
  <c r="M839" i="1"/>
  <c r="N839" i="1"/>
  <c r="O839" i="1"/>
  <c r="P839" i="1"/>
  <c r="Q839" i="1"/>
  <c r="R839" i="1"/>
  <c r="S839" i="1"/>
  <c r="T839" i="1"/>
  <c r="U839" i="1"/>
  <c r="V839" i="1"/>
  <c r="W839" i="1"/>
  <c r="X839" i="1"/>
  <c r="Y839" i="1"/>
  <c r="Z839" i="1"/>
  <c r="AA839" i="1"/>
  <c r="AB839" i="1"/>
  <c r="AC839" i="1"/>
  <c r="AD839" i="1"/>
  <c r="AE839" i="1"/>
  <c r="AF839" i="1"/>
  <c r="AM839" i="1"/>
  <c r="AN839" i="1"/>
  <c r="AO839" i="1"/>
  <c r="L840" i="1"/>
  <c r="M840" i="1"/>
  <c r="N840" i="1"/>
  <c r="O840" i="1"/>
  <c r="P840" i="1"/>
  <c r="Q840" i="1"/>
  <c r="R840" i="1"/>
  <c r="S840" i="1"/>
  <c r="T840" i="1"/>
  <c r="U840" i="1"/>
  <c r="V840" i="1"/>
  <c r="W840" i="1"/>
  <c r="X840" i="1"/>
  <c r="Y840" i="1"/>
  <c r="Z840" i="1"/>
  <c r="AA840" i="1"/>
  <c r="AB840" i="1"/>
  <c r="AC840" i="1"/>
  <c r="AD840" i="1"/>
  <c r="AE840" i="1"/>
  <c r="AF840" i="1"/>
  <c r="AM840" i="1"/>
  <c r="AN840" i="1"/>
  <c r="AO840" i="1"/>
  <c r="L841" i="1"/>
  <c r="M841" i="1"/>
  <c r="N841" i="1"/>
  <c r="O841" i="1"/>
  <c r="P841" i="1"/>
  <c r="Q841" i="1"/>
  <c r="R841" i="1"/>
  <c r="S841" i="1"/>
  <c r="T841" i="1"/>
  <c r="U841" i="1"/>
  <c r="V841" i="1"/>
  <c r="W841" i="1"/>
  <c r="X841" i="1"/>
  <c r="Y841" i="1"/>
  <c r="Z841" i="1"/>
  <c r="AA841" i="1"/>
  <c r="AB841" i="1"/>
  <c r="AC841" i="1"/>
  <c r="AD841" i="1"/>
  <c r="AE841" i="1"/>
  <c r="AF841" i="1"/>
  <c r="AM841" i="1"/>
  <c r="AN841" i="1"/>
  <c r="AO841" i="1"/>
  <c r="L842" i="1"/>
  <c r="M842" i="1"/>
  <c r="N842" i="1"/>
  <c r="O842" i="1"/>
  <c r="P842" i="1"/>
  <c r="Q842" i="1"/>
  <c r="R842" i="1"/>
  <c r="S842" i="1"/>
  <c r="T842" i="1"/>
  <c r="U842" i="1"/>
  <c r="V842" i="1"/>
  <c r="W842" i="1"/>
  <c r="X842" i="1"/>
  <c r="Y842" i="1"/>
  <c r="Z842" i="1"/>
  <c r="AA842" i="1"/>
  <c r="AB842" i="1"/>
  <c r="AC842" i="1"/>
  <c r="AD842" i="1"/>
  <c r="AE842" i="1"/>
  <c r="AF842" i="1"/>
  <c r="AM842" i="1"/>
  <c r="AN842" i="1"/>
  <c r="AO842" i="1"/>
  <c r="L843" i="1"/>
  <c r="M843" i="1"/>
  <c r="N843" i="1"/>
  <c r="O843" i="1"/>
  <c r="P843" i="1"/>
  <c r="Q843" i="1"/>
  <c r="R843" i="1"/>
  <c r="S843" i="1"/>
  <c r="T843" i="1"/>
  <c r="U843" i="1"/>
  <c r="V843" i="1"/>
  <c r="W843" i="1"/>
  <c r="X843" i="1"/>
  <c r="Y843" i="1"/>
  <c r="Z843" i="1"/>
  <c r="AA843" i="1"/>
  <c r="AB843" i="1"/>
  <c r="AC843" i="1"/>
  <c r="AD843" i="1"/>
  <c r="AE843" i="1"/>
  <c r="AF843" i="1"/>
  <c r="AM843" i="1"/>
  <c r="AN843" i="1"/>
  <c r="AO843" i="1"/>
  <c r="L844" i="1"/>
  <c r="M844" i="1"/>
  <c r="N844" i="1"/>
  <c r="O844" i="1"/>
  <c r="P844" i="1"/>
  <c r="Q844" i="1"/>
  <c r="R844" i="1"/>
  <c r="S844" i="1"/>
  <c r="T844" i="1"/>
  <c r="U844" i="1"/>
  <c r="V844" i="1"/>
  <c r="W844" i="1"/>
  <c r="X844" i="1"/>
  <c r="Y844" i="1"/>
  <c r="Z844" i="1"/>
  <c r="AA844" i="1"/>
  <c r="AB844" i="1"/>
  <c r="AC844" i="1"/>
  <c r="AD844" i="1"/>
  <c r="AE844" i="1"/>
  <c r="AF844" i="1"/>
  <c r="AM844" i="1"/>
  <c r="AN844" i="1"/>
  <c r="AO844" i="1"/>
  <c r="L845" i="1"/>
  <c r="M845" i="1"/>
  <c r="N845" i="1"/>
  <c r="O845" i="1"/>
  <c r="P845" i="1"/>
  <c r="Q845" i="1"/>
  <c r="R845" i="1"/>
  <c r="S845" i="1"/>
  <c r="T845" i="1"/>
  <c r="U845" i="1"/>
  <c r="V845" i="1"/>
  <c r="W845" i="1"/>
  <c r="X845" i="1"/>
  <c r="Y845" i="1"/>
  <c r="Z845" i="1"/>
  <c r="AA845" i="1"/>
  <c r="AB845" i="1"/>
  <c r="AC845" i="1"/>
  <c r="AD845" i="1"/>
  <c r="AE845" i="1"/>
  <c r="AF845" i="1"/>
  <c r="AM845" i="1"/>
  <c r="AN845" i="1"/>
  <c r="AO845" i="1"/>
  <c r="L846" i="1"/>
  <c r="M846" i="1"/>
  <c r="N846" i="1"/>
  <c r="O846" i="1"/>
  <c r="P846" i="1"/>
  <c r="Q846" i="1"/>
  <c r="R846" i="1"/>
  <c r="S846" i="1"/>
  <c r="T846" i="1"/>
  <c r="U846" i="1"/>
  <c r="V846" i="1"/>
  <c r="W846" i="1"/>
  <c r="X846" i="1"/>
  <c r="Y846" i="1"/>
  <c r="Z846" i="1"/>
  <c r="AA846" i="1"/>
  <c r="AB846" i="1"/>
  <c r="AC846" i="1"/>
  <c r="AD846" i="1"/>
  <c r="AE846" i="1"/>
  <c r="AF846" i="1"/>
  <c r="AM846" i="1"/>
  <c r="AN846" i="1"/>
  <c r="AO846" i="1"/>
  <c r="L847" i="1"/>
  <c r="M847" i="1"/>
  <c r="N847" i="1"/>
  <c r="O847" i="1"/>
  <c r="P847" i="1"/>
  <c r="Q847" i="1"/>
  <c r="R847" i="1"/>
  <c r="S847" i="1"/>
  <c r="T847" i="1"/>
  <c r="U847" i="1"/>
  <c r="V847" i="1"/>
  <c r="W847" i="1"/>
  <c r="X847" i="1"/>
  <c r="Y847" i="1"/>
  <c r="Z847" i="1"/>
  <c r="AA847" i="1"/>
  <c r="AB847" i="1"/>
  <c r="AC847" i="1"/>
  <c r="AD847" i="1"/>
  <c r="AE847" i="1"/>
  <c r="AF847" i="1"/>
  <c r="AM847" i="1"/>
  <c r="AN847" i="1"/>
  <c r="AO847" i="1"/>
  <c r="L848" i="1"/>
  <c r="M848" i="1"/>
  <c r="N848" i="1"/>
  <c r="O848" i="1"/>
  <c r="P848" i="1"/>
  <c r="Q848" i="1"/>
  <c r="R848" i="1"/>
  <c r="S848" i="1"/>
  <c r="T848" i="1"/>
  <c r="U848" i="1"/>
  <c r="V848" i="1"/>
  <c r="W848" i="1"/>
  <c r="X848" i="1"/>
  <c r="Y848" i="1"/>
  <c r="Z848" i="1"/>
  <c r="AA848" i="1"/>
  <c r="AB848" i="1"/>
  <c r="AC848" i="1"/>
  <c r="AD848" i="1"/>
  <c r="AE848" i="1"/>
  <c r="AF848" i="1"/>
  <c r="AM848" i="1"/>
  <c r="AN848" i="1"/>
  <c r="AO848" i="1"/>
  <c r="L849" i="1"/>
  <c r="M849" i="1"/>
  <c r="N849" i="1"/>
  <c r="O849" i="1"/>
  <c r="P849" i="1"/>
  <c r="Q849" i="1"/>
  <c r="R849" i="1"/>
  <c r="S849" i="1"/>
  <c r="T849" i="1"/>
  <c r="U849" i="1"/>
  <c r="V849" i="1"/>
  <c r="W849" i="1"/>
  <c r="X849" i="1"/>
  <c r="Y849" i="1"/>
  <c r="Z849" i="1"/>
  <c r="AA849" i="1"/>
  <c r="AB849" i="1"/>
  <c r="AC849" i="1"/>
  <c r="AD849" i="1"/>
  <c r="AE849" i="1"/>
  <c r="AF849" i="1"/>
  <c r="AM849" i="1"/>
  <c r="AN849" i="1"/>
  <c r="AO849" i="1"/>
  <c r="L850" i="1"/>
  <c r="M850" i="1"/>
  <c r="N850" i="1"/>
  <c r="O850" i="1"/>
  <c r="P850" i="1"/>
  <c r="Q850" i="1"/>
  <c r="R850" i="1"/>
  <c r="S850" i="1"/>
  <c r="T850" i="1"/>
  <c r="U850" i="1"/>
  <c r="V850" i="1"/>
  <c r="W850" i="1"/>
  <c r="X850" i="1"/>
  <c r="Y850" i="1"/>
  <c r="Z850" i="1"/>
  <c r="AA850" i="1"/>
  <c r="AB850" i="1"/>
  <c r="AC850" i="1"/>
  <c r="AD850" i="1"/>
  <c r="AE850" i="1"/>
  <c r="AF850" i="1"/>
  <c r="AM850" i="1"/>
  <c r="AN850" i="1"/>
  <c r="AO850" i="1"/>
  <c r="L851" i="1"/>
  <c r="M851" i="1"/>
  <c r="N851" i="1"/>
  <c r="O851" i="1"/>
  <c r="P851" i="1"/>
  <c r="Q851" i="1"/>
  <c r="R851" i="1"/>
  <c r="S851" i="1"/>
  <c r="T851" i="1"/>
  <c r="U851" i="1"/>
  <c r="V851" i="1"/>
  <c r="W851" i="1"/>
  <c r="X851" i="1"/>
  <c r="Y851" i="1"/>
  <c r="Z851" i="1"/>
  <c r="AA851" i="1"/>
  <c r="AB851" i="1"/>
  <c r="AC851" i="1"/>
  <c r="AD851" i="1"/>
  <c r="AE851" i="1"/>
  <c r="AF851" i="1"/>
  <c r="AM851" i="1"/>
  <c r="AN851" i="1"/>
  <c r="AO851" i="1"/>
  <c r="L852" i="1"/>
  <c r="M852" i="1"/>
  <c r="N852" i="1"/>
  <c r="O852" i="1"/>
  <c r="P852" i="1"/>
  <c r="Q852" i="1"/>
  <c r="R852" i="1"/>
  <c r="S852" i="1"/>
  <c r="T852" i="1"/>
  <c r="U852" i="1"/>
  <c r="V852" i="1"/>
  <c r="W852" i="1"/>
  <c r="X852" i="1"/>
  <c r="Y852" i="1"/>
  <c r="Z852" i="1"/>
  <c r="AA852" i="1"/>
  <c r="AB852" i="1"/>
  <c r="AC852" i="1"/>
  <c r="AD852" i="1"/>
  <c r="AE852" i="1"/>
  <c r="AF852" i="1"/>
  <c r="AM852" i="1"/>
  <c r="AN852" i="1"/>
  <c r="AO852" i="1"/>
  <c r="L853" i="1"/>
  <c r="M853" i="1"/>
  <c r="N853" i="1"/>
  <c r="O853" i="1"/>
  <c r="P853" i="1"/>
  <c r="Q853" i="1"/>
  <c r="R853" i="1"/>
  <c r="S853" i="1"/>
  <c r="T853" i="1"/>
  <c r="U853" i="1"/>
  <c r="V853" i="1"/>
  <c r="W853" i="1"/>
  <c r="X853" i="1"/>
  <c r="Y853" i="1"/>
  <c r="Z853" i="1"/>
  <c r="AA853" i="1"/>
  <c r="AB853" i="1"/>
  <c r="AC853" i="1"/>
  <c r="AD853" i="1"/>
  <c r="AE853" i="1"/>
  <c r="AF853" i="1"/>
  <c r="AM853" i="1"/>
  <c r="AN853" i="1"/>
  <c r="AO853" i="1"/>
  <c r="L854" i="1"/>
  <c r="M854" i="1"/>
  <c r="N854" i="1"/>
  <c r="O854" i="1"/>
  <c r="P854" i="1"/>
  <c r="Q854" i="1"/>
  <c r="R854" i="1"/>
  <c r="S854" i="1"/>
  <c r="T854" i="1"/>
  <c r="U854" i="1"/>
  <c r="V854" i="1"/>
  <c r="W854" i="1"/>
  <c r="X854" i="1"/>
  <c r="Y854" i="1"/>
  <c r="Z854" i="1"/>
  <c r="AA854" i="1"/>
  <c r="AB854" i="1"/>
  <c r="AC854" i="1"/>
  <c r="AD854" i="1"/>
  <c r="AE854" i="1"/>
  <c r="AF854" i="1"/>
  <c r="AM854" i="1"/>
  <c r="AN854" i="1"/>
  <c r="AO854" i="1"/>
  <c r="L855" i="1"/>
  <c r="M855" i="1"/>
  <c r="N855" i="1"/>
  <c r="O855" i="1"/>
  <c r="P855" i="1"/>
  <c r="Q855" i="1"/>
  <c r="R855" i="1"/>
  <c r="S855" i="1"/>
  <c r="T855" i="1"/>
  <c r="U855" i="1"/>
  <c r="V855" i="1"/>
  <c r="W855" i="1"/>
  <c r="X855" i="1"/>
  <c r="Y855" i="1"/>
  <c r="Z855" i="1"/>
  <c r="AA855" i="1"/>
  <c r="AB855" i="1"/>
  <c r="AC855" i="1"/>
  <c r="AD855" i="1"/>
  <c r="AE855" i="1"/>
  <c r="AF855" i="1"/>
  <c r="AM855" i="1"/>
  <c r="AN855" i="1"/>
  <c r="AO855" i="1"/>
  <c r="L856" i="1"/>
  <c r="M856" i="1"/>
  <c r="N856" i="1"/>
  <c r="O856" i="1"/>
  <c r="P856" i="1"/>
  <c r="Q856" i="1"/>
  <c r="R856" i="1"/>
  <c r="S856" i="1"/>
  <c r="T856" i="1"/>
  <c r="U856" i="1"/>
  <c r="V856" i="1"/>
  <c r="W856" i="1"/>
  <c r="X856" i="1"/>
  <c r="Y856" i="1"/>
  <c r="Z856" i="1"/>
  <c r="AA856" i="1"/>
  <c r="AB856" i="1"/>
  <c r="AC856" i="1"/>
  <c r="AD856" i="1"/>
  <c r="AE856" i="1"/>
  <c r="AF856" i="1"/>
  <c r="AM856" i="1"/>
  <c r="AN856" i="1"/>
  <c r="AO856" i="1"/>
  <c r="L857" i="1"/>
  <c r="M857" i="1"/>
  <c r="N857" i="1"/>
  <c r="O857" i="1"/>
  <c r="P857" i="1"/>
  <c r="Q857" i="1"/>
  <c r="R857" i="1"/>
  <c r="S857" i="1"/>
  <c r="T857" i="1"/>
  <c r="U857" i="1"/>
  <c r="V857" i="1"/>
  <c r="W857" i="1"/>
  <c r="X857" i="1"/>
  <c r="Y857" i="1"/>
  <c r="Z857" i="1"/>
  <c r="AA857" i="1"/>
  <c r="AB857" i="1"/>
  <c r="AC857" i="1"/>
  <c r="AD857" i="1"/>
  <c r="AE857" i="1"/>
  <c r="AF857" i="1"/>
  <c r="AM857" i="1"/>
  <c r="AN857" i="1"/>
  <c r="AO857" i="1"/>
  <c r="L858" i="1"/>
  <c r="M858" i="1"/>
  <c r="N858" i="1"/>
  <c r="O858" i="1"/>
  <c r="P858" i="1"/>
  <c r="Q858" i="1"/>
  <c r="R858" i="1"/>
  <c r="S858" i="1"/>
  <c r="T858" i="1"/>
  <c r="U858" i="1"/>
  <c r="V858" i="1"/>
  <c r="W858" i="1"/>
  <c r="X858" i="1"/>
  <c r="Y858" i="1"/>
  <c r="Z858" i="1"/>
  <c r="AA858" i="1"/>
  <c r="AB858" i="1"/>
  <c r="AC858" i="1"/>
  <c r="AD858" i="1"/>
  <c r="AE858" i="1"/>
  <c r="AF858" i="1"/>
  <c r="AM858" i="1"/>
  <c r="AN858" i="1"/>
  <c r="AO858" i="1"/>
  <c r="L859" i="1"/>
  <c r="M859" i="1"/>
  <c r="N859" i="1"/>
  <c r="O859" i="1"/>
  <c r="P859" i="1"/>
  <c r="Q859" i="1"/>
  <c r="R859" i="1"/>
  <c r="S859" i="1"/>
  <c r="T859" i="1"/>
  <c r="U859" i="1"/>
  <c r="V859" i="1"/>
  <c r="W859" i="1"/>
  <c r="X859" i="1"/>
  <c r="Y859" i="1"/>
  <c r="Z859" i="1"/>
  <c r="AA859" i="1"/>
  <c r="AB859" i="1"/>
  <c r="AC859" i="1"/>
  <c r="AD859" i="1"/>
  <c r="AE859" i="1"/>
  <c r="AF859" i="1"/>
  <c r="AM859" i="1"/>
  <c r="AN859" i="1"/>
  <c r="AO859" i="1"/>
  <c r="L860" i="1"/>
  <c r="M860" i="1"/>
  <c r="N860" i="1"/>
  <c r="O860" i="1"/>
  <c r="P860" i="1"/>
  <c r="Q860" i="1"/>
  <c r="R860" i="1"/>
  <c r="S860" i="1"/>
  <c r="T860" i="1"/>
  <c r="U860" i="1"/>
  <c r="V860" i="1"/>
  <c r="W860" i="1"/>
  <c r="X860" i="1"/>
  <c r="Y860" i="1"/>
  <c r="Z860" i="1"/>
  <c r="AA860" i="1"/>
  <c r="AB860" i="1"/>
  <c r="AC860" i="1"/>
  <c r="AD860" i="1"/>
  <c r="AE860" i="1"/>
  <c r="AF860" i="1"/>
  <c r="AM860" i="1"/>
  <c r="AN860" i="1"/>
  <c r="AO860" i="1"/>
  <c r="L861" i="1"/>
  <c r="M861" i="1"/>
  <c r="N861" i="1"/>
  <c r="O861" i="1"/>
  <c r="P861" i="1"/>
  <c r="Q861" i="1"/>
  <c r="R861" i="1"/>
  <c r="S861" i="1"/>
  <c r="T861" i="1"/>
  <c r="U861" i="1"/>
  <c r="V861" i="1"/>
  <c r="W861" i="1"/>
  <c r="X861" i="1"/>
  <c r="Y861" i="1"/>
  <c r="Z861" i="1"/>
  <c r="AA861" i="1"/>
  <c r="AB861" i="1"/>
  <c r="AC861" i="1"/>
  <c r="AD861" i="1"/>
  <c r="AE861" i="1"/>
  <c r="AF861" i="1"/>
  <c r="AM861" i="1"/>
  <c r="AN861" i="1"/>
  <c r="AO861" i="1"/>
  <c r="L862" i="1"/>
  <c r="M862" i="1"/>
  <c r="N862" i="1"/>
  <c r="O862" i="1"/>
  <c r="P862" i="1"/>
  <c r="Q862" i="1"/>
  <c r="R862" i="1"/>
  <c r="S862" i="1"/>
  <c r="T862" i="1"/>
  <c r="U862" i="1"/>
  <c r="V862" i="1"/>
  <c r="W862" i="1"/>
  <c r="X862" i="1"/>
  <c r="Y862" i="1"/>
  <c r="Z862" i="1"/>
  <c r="AA862" i="1"/>
  <c r="AB862" i="1"/>
  <c r="AC862" i="1"/>
  <c r="AD862" i="1"/>
  <c r="AE862" i="1"/>
  <c r="AF862" i="1"/>
  <c r="AM862" i="1"/>
  <c r="AN862" i="1"/>
  <c r="AO862" i="1"/>
  <c r="L863" i="1"/>
  <c r="M863" i="1"/>
  <c r="N863" i="1"/>
  <c r="O863" i="1"/>
  <c r="P863" i="1"/>
  <c r="Q863" i="1"/>
  <c r="R863" i="1"/>
  <c r="S863" i="1"/>
  <c r="T863" i="1"/>
  <c r="U863" i="1"/>
  <c r="V863" i="1"/>
  <c r="W863" i="1"/>
  <c r="X863" i="1"/>
  <c r="Y863" i="1"/>
  <c r="Z863" i="1"/>
  <c r="AA863" i="1"/>
  <c r="AB863" i="1"/>
  <c r="AC863" i="1"/>
  <c r="AD863" i="1"/>
  <c r="AE863" i="1"/>
  <c r="AF863" i="1"/>
  <c r="AM863" i="1"/>
  <c r="AN863" i="1"/>
  <c r="AO863" i="1"/>
  <c r="L864" i="1"/>
  <c r="M864" i="1"/>
  <c r="N864" i="1"/>
  <c r="O864" i="1"/>
  <c r="P864" i="1"/>
  <c r="Q864" i="1"/>
  <c r="R864" i="1"/>
  <c r="S864" i="1"/>
  <c r="T864" i="1"/>
  <c r="U864" i="1"/>
  <c r="V864" i="1"/>
  <c r="W864" i="1"/>
  <c r="X864" i="1"/>
  <c r="Y864" i="1"/>
  <c r="Z864" i="1"/>
  <c r="AA864" i="1"/>
  <c r="AB864" i="1"/>
  <c r="AC864" i="1"/>
  <c r="AD864" i="1"/>
  <c r="AE864" i="1"/>
  <c r="AF864" i="1"/>
  <c r="AM864" i="1"/>
  <c r="AN864" i="1"/>
  <c r="AO864" i="1"/>
  <c r="L865" i="1"/>
  <c r="M865" i="1"/>
  <c r="N865" i="1"/>
  <c r="O865" i="1"/>
  <c r="P865" i="1"/>
  <c r="Q865" i="1"/>
  <c r="R865" i="1"/>
  <c r="S865" i="1"/>
  <c r="T865" i="1"/>
  <c r="U865" i="1"/>
  <c r="V865" i="1"/>
  <c r="W865" i="1"/>
  <c r="X865" i="1"/>
  <c r="Y865" i="1"/>
  <c r="Z865" i="1"/>
  <c r="AA865" i="1"/>
  <c r="AB865" i="1"/>
  <c r="AC865" i="1"/>
  <c r="AD865" i="1"/>
  <c r="AE865" i="1"/>
  <c r="AF865" i="1"/>
  <c r="AM865" i="1"/>
  <c r="AN865" i="1"/>
  <c r="AO865" i="1"/>
  <c r="L866" i="1"/>
  <c r="M866" i="1"/>
  <c r="N866" i="1"/>
  <c r="O866" i="1"/>
  <c r="P866" i="1"/>
  <c r="Q866" i="1"/>
  <c r="R866" i="1"/>
  <c r="S866" i="1"/>
  <c r="T866" i="1"/>
  <c r="U866" i="1"/>
  <c r="V866" i="1"/>
  <c r="W866" i="1"/>
  <c r="X866" i="1"/>
  <c r="Y866" i="1"/>
  <c r="Z866" i="1"/>
  <c r="AA866" i="1"/>
  <c r="AB866" i="1"/>
  <c r="AC866" i="1"/>
  <c r="AD866" i="1"/>
  <c r="AE866" i="1"/>
  <c r="AF866" i="1"/>
  <c r="AM866" i="1"/>
  <c r="AN866" i="1"/>
  <c r="AO866" i="1"/>
  <c r="L867" i="1"/>
  <c r="M867" i="1"/>
  <c r="N867" i="1"/>
  <c r="O867" i="1"/>
  <c r="P867" i="1"/>
  <c r="Q867" i="1"/>
  <c r="R867" i="1"/>
  <c r="S867" i="1"/>
  <c r="T867" i="1"/>
  <c r="U867" i="1"/>
  <c r="V867" i="1"/>
  <c r="W867" i="1"/>
  <c r="X867" i="1"/>
  <c r="Y867" i="1"/>
  <c r="Z867" i="1"/>
  <c r="AA867" i="1"/>
  <c r="AB867" i="1"/>
  <c r="AC867" i="1"/>
  <c r="AD867" i="1"/>
  <c r="AE867" i="1"/>
  <c r="AF867" i="1"/>
  <c r="AM867" i="1"/>
  <c r="AN867" i="1"/>
  <c r="AO867" i="1"/>
  <c r="L868" i="1"/>
  <c r="M868" i="1"/>
  <c r="N868" i="1"/>
  <c r="O868" i="1"/>
  <c r="P868" i="1"/>
  <c r="Q868" i="1"/>
  <c r="R868" i="1"/>
  <c r="S868" i="1"/>
  <c r="T868" i="1"/>
  <c r="U868" i="1"/>
  <c r="V868" i="1"/>
  <c r="W868" i="1"/>
  <c r="X868" i="1"/>
  <c r="Y868" i="1"/>
  <c r="Z868" i="1"/>
  <c r="AA868" i="1"/>
  <c r="AB868" i="1"/>
  <c r="AC868" i="1"/>
  <c r="AD868" i="1"/>
  <c r="AE868" i="1"/>
  <c r="AF868" i="1"/>
  <c r="AM868" i="1"/>
  <c r="AN868" i="1"/>
  <c r="AO868" i="1"/>
  <c r="L869" i="1"/>
  <c r="M869" i="1"/>
  <c r="N869" i="1"/>
  <c r="O869" i="1"/>
  <c r="P869" i="1"/>
  <c r="Q869" i="1"/>
  <c r="R869" i="1"/>
  <c r="S869" i="1"/>
  <c r="T869" i="1"/>
  <c r="U869" i="1"/>
  <c r="V869" i="1"/>
  <c r="W869" i="1"/>
  <c r="X869" i="1"/>
  <c r="Y869" i="1"/>
  <c r="Z869" i="1"/>
  <c r="AA869" i="1"/>
  <c r="AB869" i="1"/>
  <c r="AC869" i="1"/>
  <c r="AD869" i="1"/>
  <c r="AE869" i="1"/>
  <c r="AF869" i="1"/>
  <c r="AM869" i="1"/>
  <c r="AN869" i="1"/>
  <c r="AO869" i="1"/>
  <c r="L870" i="1"/>
  <c r="M870" i="1"/>
  <c r="N870" i="1"/>
  <c r="O870" i="1"/>
  <c r="P870" i="1"/>
  <c r="Q870" i="1"/>
  <c r="R870" i="1"/>
  <c r="S870" i="1"/>
  <c r="T870" i="1"/>
  <c r="U870" i="1"/>
  <c r="V870" i="1"/>
  <c r="W870" i="1"/>
  <c r="X870" i="1"/>
  <c r="Y870" i="1"/>
  <c r="Z870" i="1"/>
  <c r="AA870" i="1"/>
  <c r="AB870" i="1"/>
  <c r="AC870" i="1"/>
  <c r="AD870" i="1"/>
  <c r="AE870" i="1"/>
  <c r="AF870" i="1"/>
  <c r="AM870" i="1"/>
  <c r="AN870" i="1"/>
  <c r="AO870" i="1"/>
  <c r="L871" i="1"/>
  <c r="M871" i="1"/>
  <c r="N871" i="1"/>
  <c r="O871" i="1"/>
  <c r="P871" i="1"/>
  <c r="Q871" i="1"/>
  <c r="R871" i="1"/>
  <c r="S871" i="1"/>
  <c r="T871" i="1"/>
  <c r="U871" i="1"/>
  <c r="V871" i="1"/>
  <c r="W871" i="1"/>
  <c r="X871" i="1"/>
  <c r="Y871" i="1"/>
  <c r="Z871" i="1"/>
  <c r="AA871" i="1"/>
  <c r="AB871" i="1"/>
  <c r="AC871" i="1"/>
  <c r="AD871" i="1"/>
  <c r="AE871" i="1"/>
  <c r="AF871" i="1"/>
  <c r="AM871" i="1"/>
  <c r="AN871" i="1"/>
  <c r="AO871" i="1"/>
  <c r="L872" i="1"/>
  <c r="M872" i="1"/>
  <c r="N872" i="1"/>
  <c r="O872" i="1"/>
  <c r="P872" i="1"/>
  <c r="Q872" i="1"/>
  <c r="R872" i="1"/>
  <c r="S872" i="1"/>
  <c r="T872" i="1"/>
  <c r="U872" i="1"/>
  <c r="V872" i="1"/>
  <c r="W872" i="1"/>
  <c r="X872" i="1"/>
  <c r="Y872" i="1"/>
  <c r="Z872" i="1"/>
  <c r="AA872" i="1"/>
  <c r="AB872" i="1"/>
  <c r="AC872" i="1"/>
  <c r="AD872" i="1"/>
  <c r="AE872" i="1"/>
  <c r="AF872" i="1"/>
  <c r="AM872" i="1"/>
  <c r="AN872" i="1"/>
  <c r="AO872" i="1"/>
  <c r="L873" i="1"/>
  <c r="M873" i="1"/>
  <c r="N873" i="1"/>
  <c r="O873" i="1"/>
  <c r="P873" i="1"/>
  <c r="Q873" i="1"/>
  <c r="R873" i="1"/>
  <c r="S873" i="1"/>
  <c r="T873" i="1"/>
  <c r="U873" i="1"/>
  <c r="V873" i="1"/>
  <c r="W873" i="1"/>
  <c r="X873" i="1"/>
  <c r="Y873" i="1"/>
  <c r="Z873" i="1"/>
  <c r="AA873" i="1"/>
  <c r="AB873" i="1"/>
  <c r="AC873" i="1"/>
  <c r="AD873" i="1"/>
  <c r="AE873" i="1"/>
  <c r="AF873" i="1"/>
  <c r="AM873" i="1"/>
  <c r="AN873" i="1"/>
  <c r="AO873" i="1"/>
  <c r="L874" i="1"/>
  <c r="M874" i="1"/>
  <c r="N874" i="1"/>
  <c r="O874" i="1"/>
  <c r="P874" i="1"/>
  <c r="Q874" i="1"/>
  <c r="R874" i="1"/>
  <c r="S874" i="1"/>
  <c r="T874" i="1"/>
  <c r="U874" i="1"/>
  <c r="V874" i="1"/>
  <c r="W874" i="1"/>
  <c r="X874" i="1"/>
  <c r="Y874" i="1"/>
  <c r="Z874" i="1"/>
  <c r="AA874" i="1"/>
  <c r="AB874" i="1"/>
  <c r="AC874" i="1"/>
  <c r="AD874" i="1"/>
  <c r="AE874" i="1"/>
  <c r="AF874" i="1"/>
  <c r="AM874" i="1"/>
  <c r="AN874" i="1"/>
  <c r="AO874" i="1"/>
  <c r="L875" i="1"/>
  <c r="M875" i="1"/>
  <c r="N875" i="1"/>
  <c r="O875" i="1"/>
  <c r="P875" i="1"/>
  <c r="Q875" i="1"/>
  <c r="R875" i="1"/>
  <c r="S875" i="1"/>
  <c r="T875" i="1"/>
  <c r="U875" i="1"/>
  <c r="V875" i="1"/>
  <c r="W875" i="1"/>
  <c r="X875" i="1"/>
  <c r="Y875" i="1"/>
  <c r="Z875" i="1"/>
  <c r="AA875" i="1"/>
  <c r="AB875" i="1"/>
  <c r="AC875" i="1"/>
  <c r="AD875" i="1"/>
  <c r="AE875" i="1"/>
  <c r="AF875" i="1"/>
  <c r="AM875" i="1"/>
  <c r="AN875" i="1"/>
  <c r="AO875" i="1"/>
  <c r="L876" i="1"/>
  <c r="M876" i="1"/>
  <c r="N876" i="1"/>
  <c r="O876" i="1"/>
  <c r="P876" i="1"/>
  <c r="Q876" i="1"/>
  <c r="R876" i="1"/>
  <c r="S876" i="1"/>
  <c r="T876" i="1"/>
  <c r="U876" i="1"/>
  <c r="V876" i="1"/>
  <c r="W876" i="1"/>
  <c r="X876" i="1"/>
  <c r="Y876" i="1"/>
  <c r="Z876" i="1"/>
  <c r="AA876" i="1"/>
  <c r="AB876" i="1"/>
  <c r="AC876" i="1"/>
  <c r="AD876" i="1"/>
  <c r="AE876" i="1"/>
  <c r="AF876" i="1"/>
  <c r="AM876" i="1"/>
  <c r="AN876" i="1"/>
  <c r="AO876" i="1"/>
  <c r="L877" i="1"/>
  <c r="M877" i="1"/>
  <c r="N877" i="1"/>
  <c r="O877" i="1"/>
  <c r="P877" i="1"/>
  <c r="Q877" i="1"/>
  <c r="R877" i="1"/>
  <c r="S877" i="1"/>
  <c r="T877" i="1"/>
  <c r="U877" i="1"/>
  <c r="V877" i="1"/>
  <c r="W877" i="1"/>
  <c r="X877" i="1"/>
  <c r="Y877" i="1"/>
  <c r="Z877" i="1"/>
  <c r="AA877" i="1"/>
  <c r="AB877" i="1"/>
  <c r="AC877" i="1"/>
  <c r="AD877" i="1"/>
  <c r="AE877" i="1"/>
  <c r="AF877" i="1"/>
  <c r="AM877" i="1"/>
  <c r="AN877" i="1"/>
  <c r="AO877" i="1"/>
  <c r="L878" i="1"/>
  <c r="M878" i="1"/>
  <c r="N878" i="1"/>
  <c r="O878" i="1"/>
  <c r="P878" i="1"/>
  <c r="Q878" i="1"/>
  <c r="R878" i="1"/>
  <c r="S878" i="1"/>
  <c r="T878" i="1"/>
  <c r="U878" i="1"/>
  <c r="V878" i="1"/>
  <c r="W878" i="1"/>
  <c r="X878" i="1"/>
  <c r="Y878" i="1"/>
  <c r="Z878" i="1"/>
  <c r="AA878" i="1"/>
  <c r="AB878" i="1"/>
  <c r="AC878" i="1"/>
  <c r="AD878" i="1"/>
  <c r="AE878" i="1"/>
  <c r="AF878" i="1"/>
  <c r="AM878" i="1"/>
  <c r="AN878" i="1"/>
  <c r="AO878" i="1"/>
  <c r="L879" i="1"/>
  <c r="M879" i="1"/>
  <c r="N879" i="1"/>
  <c r="O879" i="1"/>
  <c r="P879" i="1"/>
  <c r="Q879" i="1"/>
  <c r="R879" i="1"/>
  <c r="S879" i="1"/>
  <c r="T879" i="1"/>
  <c r="U879" i="1"/>
  <c r="V879" i="1"/>
  <c r="W879" i="1"/>
  <c r="X879" i="1"/>
  <c r="Y879" i="1"/>
  <c r="Z879" i="1"/>
  <c r="AA879" i="1"/>
  <c r="AB879" i="1"/>
  <c r="AC879" i="1"/>
  <c r="AD879" i="1"/>
  <c r="AE879" i="1"/>
  <c r="AF879" i="1"/>
  <c r="AM879" i="1"/>
  <c r="AN879" i="1"/>
  <c r="AO879" i="1"/>
  <c r="L880" i="1"/>
  <c r="M880" i="1"/>
  <c r="N880" i="1"/>
  <c r="O880" i="1"/>
  <c r="P880" i="1"/>
  <c r="Q880" i="1"/>
  <c r="R880" i="1"/>
  <c r="S880" i="1"/>
  <c r="T880" i="1"/>
  <c r="U880" i="1"/>
  <c r="V880" i="1"/>
  <c r="W880" i="1"/>
  <c r="X880" i="1"/>
  <c r="Y880" i="1"/>
  <c r="Z880" i="1"/>
  <c r="AA880" i="1"/>
  <c r="AB880" i="1"/>
  <c r="AC880" i="1"/>
  <c r="AD880" i="1"/>
  <c r="AE880" i="1"/>
  <c r="AF880" i="1"/>
  <c r="AM880" i="1"/>
  <c r="AN880" i="1"/>
  <c r="AO880" i="1"/>
  <c r="L881" i="1"/>
  <c r="M881" i="1"/>
  <c r="N881" i="1"/>
  <c r="O881" i="1"/>
  <c r="P881" i="1"/>
  <c r="Q881" i="1"/>
  <c r="R881" i="1"/>
  <c r="S881" i="1"/>
  <c r="T881" i="1"/>
  <c r="U881" i="1"/>
  <c r="V881" i="1"/>
  <c r="W881" i="1"/>
  <c r="X881" i="1"/>
  <c r="Y881" i="1"/>
  <c r="Z881" i="1"/>
  <c r="AA881" i="1"/>
  <c r="AB881" i="1"/>
  <c r="AC881" i="1"/>
  <c r="AD881" i="1"/>
  <c r="AE881" i="1"/>
  <c r="AF881" i="1"/>
  <c r="AM881" i="1"/>
  <c r="AN881" i="1"/>
  <c r="AO881" i="1"/>
  <c r="L882" i="1"/>
  <c r="M882" i="1"/>
  <c r="N882" i="1"/>
  <c r="O882" i="1"/>
  <c r="P882" i="1"/>
  <c r="Q882" i="1"/>
  <c r="R882" i="1"/>
  <c r="S882" i="1"/>
  <c r="T882" i="1"/>
  <c r="U882" i="1"/>
  <c r="V882" i="1"/>
  <c r="W882" i="1"/>
  <c r="X882" i="1"/>
  <c r="Y882" i="1"/>
  <c r="Z882" i="1"/>
  <c r="AA882" i="1"/>
  <c r="AB882" i="1"/>
  <c r="AC882" i="1"/>
  <c r="AD882" i="1"/>
  <c r="AE882" i="1"/>
  <c r="AF882" i="1"/>
  <c r="AM882" i="1"/>
  <c r="AN882" i="1"/>
  <c r="AO882" i="1"/>
  <c r="L883" i="1"/>
  <c r="M883" i="1"/>
  <c r="N883" i="1"/>
  <c r="O883" i="1"/>
  <c r="P883" i="1"/>
  <c r="Q883" i="1"/>
  <c r="R883" i="1"/>
  <c r="S883" i="1"/>
  <c r="T883" i="1"/>
  <c r="U883" i="1"/>
  <c r="V883" i="1"/>
  <c r="W883" i="1"/>
  <c r="X883" i="1"/>
  <c r="Y883" i="1"/>
  <c r="Z883" i="1"/>
  <c r="AA883" i="1"/>
  <c r="AB883" i="1"/>
  <c r="AC883" i="1"/>
  <c r="AD883" i="1"/>
  <c r="AE883" i="1"/>
  <c r="AF883" i="1"/>
  <c r="AM883" i="1"/>
  <c r="AN883" i="1"/>
  <c r="AO883" i="1"/>
  <c r="L884" i="1"/>
  <c r="M884" i="1"/>
  <c r="N884" i="1"/>
  <c r="O884" i="1"/>
  <c r="P884" i="1"/>
  <c r="Q884" i="1"/>
  <c r="R884" i="1"/>
  <c r="S884" i="1"/>
  <c r="T884" i="1"/>
  <c r="U884" i="1"/>
  <c r="V884" i="1"/>
  <c r="W884" i="1"/>
  <c r="X884" i="1"/>
  <c r="Y884" i="1"/>
  <c r="Z884" i="1"/>
  <c r="AA884" i="1"/>
  <c r="AB884" i="1"/>
  <c r="AC884" i="1"/>
  <c r="AD884" i="1"/>
  <c r="AE884" i="1"/>
  <c r="AF884" i="1"/>
  <c r="AM884" i="1"/>
  <c r="AN884" i="1"/>
  <c r="AO884" i="1"/>
  <c r="L885" i="1"/>
  <c r="M885" i="1"/>
  <c r="N885" i="1"/>
  <c r="O885" i="1"/>
  <c r="P885" i="1"/>
  <c r="Q885" i="1"/>
  <c r="R885" i="1"/>
  <c r="S885" i="1"/>
  <c r="T885" i="1"/>
  <c r="U885" i="1"/>
  <c r="V885" i="1"/>
  <c r="W885" i="1"/>
  <c r="X885" i="1"/>
  <c r="Y885" i="1"/>
  <c r="Z885" i="1"/>
  <c r="AA885" i="1"/>
  <c r="AB885" i="1"/>
  <c r="AC885" i="1"/>
  <c r="AD885" i="1"/>
  <c r="AE885" i="1"/>
  <c r="AF885" i="1"/>
  <c r="AM885" i="1"/>
  <c r="AN885" i="1"/>
  <c r="AO885" i="1"/>
  <c r="L886" i="1"/>
  <c r="M886" i="1"/>
  <c r="N886" i="1"/>
  <c r="O886" i="1"/>
  <c r="P886" i="1"/>
  <c r="Q886" i="1"/>
  <c r="R886" i="1"/>
  <c r="S886" i="1"/>
  <c r="T886" i="1"/>
  <c r="U886" i="1"/>
  <c r="V886" i="1"/>
  <c r="W886" i="1"/>
  <c r="X886" i="1"/>
  <c r="Y886" i="1"/>
  <c r="Z886" i="1"/>
  <c r="AA886" i="1"/>
  <c r="AB886" i="1"/>
  <c r="AC886" i="1"/>
  <c r="AD886" i="1"/>
  <c r="AE886" i="1"/>
  <c r="AF886" i="1"/>
  <c r="AM886" i="1"/>
  <c r="AN886" i="1"/>
  <c r="AO886" i="1"/>
  <c r="L887" i="1"/>
  <c r="M887" i="1"/>
  <c r="N887" i="1"/>
  <c r="O887" i="1"/>
  <c r="P887" i="1"/>
  <c r="Q887" i="1"/>
  <c r="R887" i="1"/>
  <c r="S887" i="1"/>
  <c r="T887" i="1"/>
  <c r="U887" i="1"/>
  <c r="V887" i="1"/>
  <c r="W887" i="1"/>
  <c r="X887" i="1"/>
  <c r="Y887" i="1"/>
  <c r="Z887" i="1"/>
  <c r="AA887" i="1"/>
  <c r="AB887" i="1"/>
  <c r="AC887" i="1"/>
  <c r="AD887" i="1"/>
  <c r="AE887" i="1"/>
  <c r="AF887" i="1"/>
  <c r="AM887" i="1"/>
  <c r="AN887" i="1"/>
  <c r="AO887" i="1"/>
  <c r="L888" i="1"/>
  <c r="M888" i="1"/>
  <c r="N888" i="1"/>
  <c r="O888" i="1"/>
  <c r="P888" i="1"/>
  <c r="Q888" i="1"/>
  <c r="R888" i="1"/>
  <c r="S888" i="1"/>
  <c r="T888" i="1"/>
  <c r="U888" i="1"/>
  <c r="V888" i="1"/>
  <c r="W888" i="1"/>
  <c r="X888" i="1"/>
  <c r="Y888" i="1"/>
  <c r="Z888" i="1"/>
  <c r="AA888" i="1"/>
  <c r="AB888" i="1"/>
  <c r="AC888" i="1"/>
  <c r="AD888" i="1"/>
  <c r="AE888" i="1"/>
  <c r="AF888" i="1"/>
  <c r="AM888" i="1"/>
  <c r="AN888" i="1"/>
  <c r="AO888" i="1"/>
  <c r="L889" i="1"/>
  <c r="M889" i="1"/>
  <c r="N889" i="1"/>
  <c r="O889" i="1"/>
  <c r="P889" i="1"/>
  <c r="Q889" i="1"/>
  <c r="R889" i="1"/>
  <c r="S889" i="1"/>
  <c r="T889" i="1"/>
  <c r="U889" i="1"/>
  <c r="V889" i="1"/>
  <c r="W889" i="1"/>
  <c r="X889" i="1"/>
  <c r="Y889" i="1"/>
  <c r="Z889" i="1"/>
  <c r="AA889" i="1"/>
  <c r="AB889" i="1"/>
  <c r="AC889" i="1"/>
  <c r="AD889" i="1"/>
  <c r="AE889" i="1"/>
  <c r="AF889" i="1"/>
  <c r="AM889" i="1"/>
  <c r="AN889" i="1"/>
  <c r="AO889" i="1"/>
  <c r="L890" i="1"/>
  <c r="M890" i="1"/>
  <c r="N890" i="1"/>
  <c r="O890" i="1"/>
  <c r="P890" i="1"/>
  <c r="Q890" i="1"/>
  <c r="R890" i="1"/>
  <c r="S890" i="1"/>
  <c r="T890" i="1"/>
  <c r="U890" i="1"/>
  <c r="V890" i="1"/>
  <c r="W890" i="1"/>
  <c r="X890" i="1"/>
  <c r="Y890" i="1"/>
  <c r="Z890" i="1"/>
  <c r="AA890" i="1"/>
  <c r="AB890" i="1"/>
  <c r="AC890" i="1"/>
  <c r="AD890" i="1"/>
  <c r="AE890" i="1"/>
  <c r="AF890" i="1"/>
  <c r="AM890" i="1"/>
  <c r="AN890" i="1"/>
  <c r="AO890" i="1"/>
  <c r="L891" i="1"/>
  <c r="M891" i="1"/>
  <c r="N891" i="1"/>
  <c r="O891" i="1"/>
  <c r="P891" i="1"/>
  <c r="Q891" i="1"/>
  <c r="R891" i="1"/>
  <c r="S891" i="1"/>
  <c r="T891" i="1"/>
  <c r="U891" i="1"/>
  <c r="V891" i="1"/>
  <c r="W891" i="1"/>
  <c r="X891" i="1"/>
  <c r="Y891" i="1"/>
  <c r="Z891" i="1"/>
  <c r="AA891" i="1"/>
  <c r="AB891" i="1"/>
  <c r="AC891" i="1"/>
  <c r="AD891" i="1"/>
  <c r="AE891" i="1"/>
  <c r="AF891" i="1"/>
  <c r="AM891" i="1"/>
  <c r="AN891" i="1"/>
  <c r="AO891" i="1"/>
  <c r="L892" i="1"/>
  <c r="M892" i="1"/>
  <c r="N892" i="1"/>
  <c r="O892" i="1"/>
  <c r="P892" i="1"/>
  <c r="Q892" i="1"/>
  <c r="R892" i="1"/>
  <c r="S892" i="1"/>
  <c r="T892" i="1"/>
  <c r="U892" i="1"/>
  <c r="V892" i="1"/>
  <c r="W892" i="1"/>
  <c r="X892" i="1"/>
  <c r="Y892" i="1"/>
  <c r="Z892" i="1"/>
  <c r="AA892" i="1"/>
  <c r="AB892" i="1"/>
  <c r="AC892" i="1"/>
  <c r="AD892" i="1"/>
  <c r="AE892" i="1"/>
  <c r="AF892" i="1"/>
  <c r="AM892" i="1"/>
  <c r="AN892" i="1"/>
  <c r="AO892" i="1"/>
  <c r="L893" i="1"/>
  <c r="M893" i="1"/>
  <c r="N893" i="1"/>
  <c r="O893" i="1"/>
  <c r="P893" i="1"/>
  <c r="Q893" i="1"/>
  <c r="R893" i="1"/>
  <c r="S893" i="1"/>
  <c r="T893" i="1"/>
  <c r="U893" i="1"/>
  <c r="V893" i="1"/>
  <c r="W893" i="1"/>
  <c r="X893" i="1"/>
  <c r="Y893" i="1"/>
  <c r="Z893" i="1"/>
  <c r="AA893" i="1"/>
  <c r="AB893" i="1"/>
  <c r="AC893" i="1"/>
  <c r="AD893" i="1"/>
  <c r="AE893" i="1"/>
  <c r="AF893" i="1"/>
  <c r="AM893" i="1"/>
  <c r="AN893" i="1"/>
  <c r="AO893" i="1"/>
  <c r="L894" i="1"/>
  <c r="M894" i="1"/>
  <c r="N894" i="1"/>
  <c r="O894" i="1"/>
  <c r="P894" i="1"/>
  <c r="Q894" i="1"/>
  <c r="R894" i="1"/>
  <c r="S894" i="1"/>
  <c r="T894" i="1"/>
  <c r="U894" i="1"/>
  <c r="V894" i="1"/>
  <c r="W894" i="1"/>
  <c r="X894" i="1"/>
  <c r="Y894" i="1"/>
  <c r="Z894" i="1"/>
  <c r="AA894" i="1"/>
  <c r="AB894" i="1"/>
  <c r="AC894" i="1"/>
  <c r="AD894" i="1"/>
  <c r="AE894" i="1"/>
  <c r="AF894" i="1"/>
  <c r="AM894" i="1"/>
  <c r="AN894" i="1"/>
  <c r="AO894" i="1"/>
  <c r="L895" i="1"/>
  <c r="M895" i="1"/>
  <c r="N895" i="1"/>
  <c r="O895" i="1"/>
  <c r="P895" i="1"/>
  <c r="Q895" i="1"/>
  <c r="R895" i="1"/>
  <c r="S895" i="1"/>
  <c r="T895" i="1"/>
  <c r="U895" i="1"/>
  <c r="V895" i="1"/>
  <c r="W895" i="1"/>
  <c r="X895" i="1"/>
  <c r="Y895" i="1"/>
  <c r="Z895" i="1"/>
  <c r="AA895" i="1"/>
  <c r="AB895" i="1"/>
  <c r="AC895" i="1"/>
  <c r="AD895" i="1"/>
  <c r="AE895" i="1"/>
  <c r="AF895" i="1"/>
  <c r="AM895" i="1"/>
  <c r="AN895" i="1"/>
  <c r="AO895" i="1"/>
  <c r="L896" i="1"/>
  <c r="M896" i="1"/>
  <c r="N896" i="1"/>
  <c r="O896" i="1"/>
  <c r="P896" i="1"/>
  <c r="Q896" i="1"/>
  <c r="R896" i="1"/>
  <c r="S896" i="1"/>
  <c r="T896" i="1"/>
  <c r="U896" i="1"/>
  <c r="V896" i="1"/>
  <c r="W896" i="1"/>
  <c r="X896" i="1"/>
  <c r="Y896" i="1"/>
  <c r="Z896" i="1"/>
  <c r="AA896" i="1"/>
  <c r="AB896" i="1"/>
  <c r="AC896" i="1"/>
  <c r="AD896" i="1"/>
  <c r="AE896" i="1"/>
  <c r="AF896" i="1"/>
  <c r="AM896" i="1"/>
  <c r="AN896" i="1"/>
  <c r="AO896" i="1"/>
  <c r="L897" i="1"/>
  <c r="M897" i="1"/>
  <c r="N897" i="1"/>
  <c r="O897" i="1"/>
  <c r="P897" i="1"/>
  <c r="Q897" i="1"/>
  <c r="R897" i="1"/>
  <c r="S897" i="1"/>
  <c r="T897" i="1"/>
  <c r="U897" i="1"/>
  <c r="V897" i="1"/>
  <c r="W897" i="1"/>
  <c r="X897" i="1"/>
  <c r="Y897" i="1"/>
  <c r="Z897" i="1"/>
  <c r="AA897" i="1"/>
  <c r="AB897" i="1"/>
  <c r="AC897" i="1"/>
  <c r="AD897" i="1"/>
  <c r="AE897" i="1"/>
  <c r="AF897" i="1"/>
  <c r="AM897" i="1"/>
  <c r="AN897" i="1"/>
  <c r="AO897" i="1"/>
  <c r="L898" i="1"/>
  <c r="M898" i="1"/>
  <c r="N898" i="1"/>
  <c r="O898" i="1"/>
  <c r="P898" i="1"/>
  <c r="Q898" i="1"/>
  <c r="R898" i="1"/>
  <c r="S898" i="1"/>
  <c r="T898" i="1"/>
  <c r="U898" i="1"/>
  <c r="V898" i="1"/>
  <c r="W898" i="1"/>
  <c r="X898" i="1"/>
  <c r="Y898" i="1"/>
  <c r="Z898" i="1"/>
  <c r="AA898" i="1"/>
  <c r="AB898" i="1"/>
  <c r="AC898" i="1"/>
  <c r="AD898" i="1"/>
  <c r="AE898" i="1"/>
  <c r="AF898" i="1"/>
  <c r="AM898" i="1"/>
  <c r="AN898" i="1"/>
  <c r="AO898" i="1"/>
  <c r="L899" i="1"/>
  <c r="M899" i="1"/>
  <c r="N899" i="1"/>
  <c r="O899" i="1"/>
  <c r="P899" i="1"/>
  <c r="Q899" i="1"/>
  <c r="R899" i="1"/>
  <c r="S899" i="1"/>
  <c r="T899" i="1"/>
  <c r="U899" i="1"/>
  <c r="V899" i="1"/>
  <c r="W899" i="1"/>
  <c r="X899" i="1"/>
  <c r="Y899" i="1"/>
  <c r="Z899" i="1"/>
  <c r="AA899" i="1"/>
  <c r="AB899" i="1"/>
  <c r="AC899" i="1"/>
  <c r="AD899" i="1"/>
  <c r="AE899" i="1"/>
  <c r="AF899" i="1"/>
  <c r="AM899" i="1"/>
  <c r="AN899" i="1"/>
  <c r="AO899" i="1"/>
  <c r="L900" i="1"/>
  <c r="M900" i="1"/>
  <c r="N900" i="1"/>
  <c r="O900" i="1"/>
  <c r="P900" i="1"/>
  <c r="Q900" i="1"/>
  <c r="R900" i="1"/>
  <c r="S900" i="1"/>
  <c r="T900" i="1"/>
  <c r="U900" i="1"/>
  <c r="V900" i="1"/>
  <c r="W900" i="1"/>
  <c r="X900" i="1"/>
  <c r="Y900" i="1"/>
  <c r="Z900" i="1"/>
  <c r="AA900" i="1"/>
  <c r="AB900" i="1"/>
  <c r="AC900" i="1"/>
  <c r="AD900" i="1"/>
  <c r="AE900" i="1"/>
  <c r="AF900" i="1"/>
  <c r="AM900" i="1"/>
  <c r="AN900" i="1"/>
  <c r="AO900" i="1"/>
  <c r="L901" i="1"/>
  <c r="M901" i="1"/>
  <c r="N901" i="1"/>
  <c r="O901" i="1"/>
  <c r="P901" i="1"/>
  <c r="Q901" i="1"/>
  <c r="R901" i="1"/>
  <c r="S901" i="1"/>
  <c r="T901" i="1"/>
  <c r="U901" i="1"/>
  <c r="V901" i="1"/>
  <c r="W901" i="1"/>
  <c r="X901" i="1"/>
  <c r="Y901" i="1"/>
  <c r="Z901" i="1"/>
  <c r="AA901" i="1"/>
  <c r="AB901" i="1"/>
  <c r="AC901" i="1"/>
  <c r="AD901" i="1"/>
  <c r="AE901" i="1"/>
  <c r="AF901" i="1"/>
  <c r="AM901" i="1"/>
  <c r="AN901" i="1"/>
  <c r="AO901" i="1"/>
  <c r="L902" i="1"/>
  <c r="M902" i="1"/>
  <c r="N902" i="1"/>
  <c r="O902" i="1"/>
  <c r="P902" i="1"/>
  <c r="Q902" i="1"/>
  <c r="R902" i="1"/>
  <c r="S902" i="1"/>
  <c r="T902" i="1"/>
  <c r="U902" i="1"/>
  <c r="V902" i="1"/>
  <c r="W902" i="1"/>
  <c r="X902" i="1"/>
  <c r="Y902" i="1"/>
  <c r="Z902" i="1"/>
  <c r="AA902" i="1"/>
  <c r="AB902" i="1"/>
  <c r="AC902" i="1"/>
  <c r="AD902" i="1"/>
  <c r="AE902" i="1"/>
  <c r="AF902" i="1"/>
  <c r="AM902" i="1"/>
  <c r="AN902" i="1"/>
  <c r="AO902" i="1"/>
  <c r="L903" i="1"/>
  <c r="M903" i="1"/>
  <c r="N903" i="1"/>
  <c r="O903" i="1"/>
  <c r="P903" i="1"/>
  <c r="Q903" i="1"/>
  <c r="R903" i="1"/>
  <c r="S903" i="1"/>
  <c r="T903" i="1"/>
  <c r="U903" i="1"/>
  <c r="V903" i="1"/>
  <c r="W903" i="1"/>
  <c r="X903" i="1"/>
  <c r="Y903" i="1"/>
  <c r="Z903" i="1"/>
  <c r="AA903" i="1"/>
  <c r="AB903" i="1"/>
  <c r="AC903" i="1"/>
  <c r="AD903" i="1"/>
  <c r="AE903" i="1"/>
  <c r="AF903" i="1"/>
  <c r="AM903" i="1"/>
  <c r="AN903" i="1"/>
  <c r="AO903" i="1"/>
  <c r="L904" i="1"/>
  <c r="M904" i="1"/>
  <c r="N904" i="1"/>
  <c r="O904" i="1"/>
  <c r="P904" i="1"/>
  <c r="Q904" i="1"/>
  <c r="R904" i="1"/>
  <c r="S904" i="1"/>
  <c r="T904" i="1"/>
  <c r="U904" i="1"/>
  <c r="V904" i="1"/>
  <c r="W904" i="1"/>
  <c r="X904" i="1"/>
  <c r="Y904" i="1"/>
  <c r="Z904" i="1"/>
  <c r="AA904" i="1"/>
  <c r="AB904" i="1"/>
  <c r="AC904" i="1"/>
  <c r="AD904" i="1"/>
  <c r="AE904" i="1"/>
  <c r="AF904" i="1"/>
  <c r="AM904" i="1"/>
  <c r="AN904" i="1"/>
  <c r="AO904" i="1"/>
  <c r="L905" i="1"/>
  <c r="M905" i="1"/>
  <c r="N905" i="1"/>
  <c r="O905" i="1"/>
  <c r="P905" i="1"/>
  <c r="Q905" i="1"/>
  <c r="R905" i="1"/>
  <c r="S905" i="1"/>
  <c r="T905" i="1"/>
  <c r="U905" i="1"/>
  <c r="V905" i="1"/>
  <c r="W905" i="1"/>
  <c r="X905" i="1"/>
  <c r="Y905" i="1"/>
  <c r="Z905" i="1"/>
  <c r="AA905" i="1"/>
  <c r="AB905" i="1"/>
  <c r="AC905" i="1"/>
  <c r="AD905" i="1"/>
  <c r="AE905" i="1"/>
  <c r="AF905" i="1"/>
  <c r="AM905" i="1"/>
  <c r="AN905" i="1"/>
  <c r="AO905" i="1"/>
  <c r="L906" i="1"/>
  <c r="M906" i="1"/>
  <c r="N906" i="1"/>
  <c r="O906" i="1"/>
  <c r="P906" i="1"/>
  <c r="Q906" i="1"/>
  <c r="R906" i="1"/>
  <c r="S906" i="1"/>
  <c r="T906" i="1"/>
  <c r="U906" i="1"/>
  <c r="V906" i="1"/>
  <c r="W906" i="1"/>
  <c r="X906" i="1"/>
  <c r="Y906" i="1"/>
  <c r="Z906" i="1"/>
  <c r="AA906" i="1"/>
  <c r="AB906" i="1"/>
  <c r="AC906" i="1"/>
  <c r="AD906" i="1"/>
  <c r="AE906" i="1"/>
  <c r="AF906" i="1"/>
  <c r="AM906" i="1"/>
  <c r="AN906" i="1"/>
  <c r="AO906" i="1"/>
  <c r="L907" i="1"/>
  <c r="M907" i="1"/>
  <c r="N907" i="1"/>
  <c r="O907" i="1"/>
  <c r="P907" i="1"/>
  <c r="Q907" i="1"/>
  <c r="R907" i="1"/>
  <c r="S907" i="1"/>
  <c r="T907" i="1"/>
  <c r="U907" i="1"/>
  <c r="V907" i="1"/>
  <c r="W907" i="1"/>
  <c r="X907" i="1"/>
  <c r="Y907" i="1"/>
  <c r="Z907" i="1"/>
  <c r="AA907" i="1"/>
  <c r="AB907" i="1"/>
  <c r="AC907" i="1"/>
  <c r="AD907" i="1"/>
  <c r="AE907" i="1"/>
  <c r="AF907" i="1"/>
  <c r="AM907" i="1"/>
  <c r="AN907" i="1"/>
  <c r="AO907" i="1"/>
  <c r="L908" i="1"/>
  <c r="M908" i="1"/>
  <c r="N908" i="1"/>
  <c r="O908" i="1"/>
  <c r="P908" i="1"/>
  <c r="Q908" i="1"/>
  <c r="R908" i="1"/>
  <c r="S908" i="1"/>
  <c r="T908" i="1"/>
  <c r="U908" i="1"/>
  <c r="V908" i="1"/>
  <c r="W908" i="1"/>
  <c r="X908" i="1"/>
  <c r="Y908" i="1"/>
  <c r="Z908" i="1"/>
  <c r="AA908" i="1"/>
  <c r="AB908" i="1"/>
  <c r="AC908" i="1"/>
  <c r="AD908" i="1"/>
  <c r="AE908" i="1"/>
  <c r="AF908" i="1"/>
  <c r="AM908" i="1"/>
  <c r="AN908" i="1"/>
  <c r="AO908" i="1"/>
  <c r="L909" i="1"/>
  <c r="M909" i="1"/>
  <c r="N909" i="1"/>
  <c r="O909" i="1"/>
  <c r="P909" i="1"/>
  <c r="Q909" i="1"/>
  <c r="R909" i="1"/>
  <c r="S909" i="1"/>
  <c r="T909" i="1"/>
  <c r="U909" i="1"/>
  <c r="V909" i="1"/>
  <c r="W909" i="1"/>
  <c r="X909" i="1"/>
  <c r="Y909" i="1"/>
  <c r="Z909" i="1"/>
  <c r="AA909" i="1"/>
  <c r="AB909" i="1"/>
  <c r="AC909" i="1"/>
  <c r="AD909" i="1"/>
  <c r="AE909" i="1"/>
  <c r="AF909" i="1"/>
  <c r="AM909" i="1"/>
  <c r="AN909" i="1"/>
  <c r="AO909" i="1"/>
  <c r="L910" i="1"/>
  <c r="M910" i="1"/>
  <c r="N910" i="1"/>
  <c r="O910" i="1"/>
  <c r="P910" i="1"/>
  <c r="Q910" i="1"/>
  <c r="R910" i="1"/>
  <c r="S910" i="1"/>
  <c r="T910" i="1"/>
  <c r="U910" i="1"/>
  <c r="V910" i="1"/>
  <c r="W910" i="1"/>
  <c r="X910" i="1"/>
  <c r="Y910" i="1"/>
  <c r="Z910" i="1"/>
  <c r="AA910" i="1"/>
  <c r="AB910" i="1"/>
  <c r="AC910" i="1"/>
  <c r="AD910" i="1"/>
  <c r="AE910" i="1"/>
  <c r="AF910" i="1"/>
  <c r="AM910" i="1"/>
  <c r="AN910" i="1"/>
  <c r="AO910" i="1"/>
  <c r="L911" i="1"/>
  <c r="M911" i="1"/>
  <c r="N911" i="1"/>
  <c r="O911" i="1"/>
  <c r="P911" i="1"/>
  <c r="Q911" i="1"/>
  <c r="R911" i="1"/>
  <c r="S911" i="1"/>
  <c r="T911" i="1"/>
  <c r="U911" i="1"/>
  <c r="V911" i="1"/>
  <c r="W911" i="1"/>
  <c r="X911" i="1"/>
  <c r="Y911" i="1"/>
  <c r="Z911" i="1"/>
  <c r="AA911" i="1"/>
  <c r="AB911" i="1"/>
  <c r="AC911" i="1"/>
  <c r="AD911" i="1"/>
  <c r="AE911" i="1"/>
  <c r="AF911" i="1"/>
  <c r="AM911" i="1"/>
  <c r="AN911" i="1"/>
  <c r="AO911" i="1"/>
  <c r="L912" i="1"/>
  <c r="M912" i="1"/>
  <c r="N912" i="1"/>
  <c r="O912" i="1"/>
  <c r="P912" i="1"/>
  <c r="Q912" i="1"/>
  <c r="R912" i="1"/>
  <c r="S912" i="1"/>
  <c r="T912" i="1"/>
  <c r="U912" i="1"/>
  <c r="V912" i="1"/>
  <c r="W912" i="1"/>
  <c r="X912" i="1"/>
  <c r="Y912" i="1"/>
  <c r="Z912" i="1"/>
  <c r="AA912" i="1"/>
  <c r="AB912" i="1"/>
  <c r="AC912" i="1"/>
  <c r="AD912" i="1"/>
  <c r="AE912" i="1"/>
  <c r="AF912" i="1"/>
  <c r="AM912" i="1"/>
  <c r="AN912" i="1"/>
  <c r="AO912" i="1"/>
  <c r="L913" i="1"/>
  <c r="M913" i="1"/>
  <c r="N913" i="1"/>
  <c r="O913" i="1"/>
  <c r="P913" i="1"/>
  <c r="Q913" i="1"/>
  <c r="R913" i="1"/>
  <c r="S913" i="1"/>
  <c r="T913" i="1"/>
  <c r="U913" i="1"/>
  <c r="V913" i="1"/>
  <c r="W913" i="1"/>
  <c r="X913" i="1"/>
  <c r="Y913" i="1"/>
  <c r="Z913" i="1"/>
  <c r="AA913" i="1"/>
  <c r="AB913" i="1"/>
  <c r="AC913" i="1"/>
  <c r="AD913" i="1"/>
  <c r="AE913" i="1"/>
  <c r="AF913" i="1"/>
  <c r="AM913" i="1"/>
  <c r="AN913" i="1"/>
  <c r="AO913" i="1"/>
  <c r="L914" i="1"/>
  <c r="M914" i="1"/>
  <c r="N914" i="1"/>
  <c r="O914" i="1"/>
  <c r="P914" i="1"/>
  <c r="Q914" i="1"/>
  <c r="R914" i="1"/>
  <c r="S914" i="1"/>
  <c r="T914" i="1"/>
  <c r="U914" i="1"/>
  <c r="V914" i="1"/>
  <c r="W914" i="1"/>
  <c r="X914" i="1"/>
  <c r="Y914" i="1"/>
  <c r="Z914" i="1"/>
  <c r="AA914" i="1"/>
  <c r="AB914" i="1"/>
  <c r="AC914" i="1"/>
  <c r="AD914" i="1"/>
  <c r="AE914" i="1"/>
  <c r="AF914" i="1"/>
  <c r="AM914" i="1"/>
  <c r="AN914" i="1"/>
  <c r="AO914" i="1"/>
  <c r="L915" i="1"/>
  <c r="M915" i="1"/>
  <c r="N915" i="1"/>
  <c r="O915" i="1"/>
  <c r="P915" i="1"/>
  <c r="Q915" i="1"/>
  <c r="R915" i="1"/>
  <c r="S915" i="1"/>
  <c r="T915" i="1"/>
  <c r="U915" i="1"/>
  <c r="V915" i="1"/>
  <c r="W915" i="1"/>
  <c r="X915" i="1"/>
  <c r="Y915" i="1"/>
  <c r="Z915" i="1"/>
  <c r="AA915" i="1"/>
  <c r="AB915" i="1"/>
  <c r="AC915" i="1"/>
  <c r="AD915" i="1"/>
  <c r="AE915" i="1"/>
  <c r="AF915" i="1"/>
  <c r="AM915" i="1"/>
  <c r="AN915" i="1"/>
  <c r="AO915" i="1"/>
  <c r="L916" i="1"/>
  <c r="M916" i="1"/>
  <c r="N916" i="1"/>
  <c r="O916" i="1"/>
  <c r="P916" i="1"/>
  <c r="Q916" i="1"/>
  <c r="R916" i="1"/>
  <c r="S916" i="1"/>
  <c r="T916" i="1"/>
  <c r="U916" i="1"/>
  <c r="V916" i="1"/>
  <c r="W916" i="1"/>
  <c r="X916" i="1"/>
  <c r="Y916" i="1"/>
  <c r="Z916" i="1"/>
  <c r="AA916" i="1"/>
  <c r="AB916" i="1"/>
  <c r="AC916" i="1"/>
  <c r="AD916" i="1"/>
  <c r="AE916" i="1"/>
  <c r="AF916" i="1"/>
  <c r="AM916" i="1"/>
  <c r="AN916" i="1"/>
  <c r="AO916" i="1"/>
  <c r="L917" i="1"/>
  <c r="M917" i="1"/>
  <c r="N917" i="1"/>
  <c r="O917" i="1"/>
  <c r="P917" i="1"/>
  <c r="Q917" i="1"/>
  <c r="R917" i="1"/>
  <c r="S917" i="1"/>
  <c r="T917" i="1"/>
  <c r="U917" i="1"/>
  <c r="V917" i="1"/>
  <c r="W917" i="1"/>
  <c r="X917" i="1"/>
  <c r="Y917" i="1"/>
  <c r="Z917" i="1"/>
  <c r="AA917" i="1"/>
  <c r="AB917" i="1"/>
  <c r="AC917" i="1"/>
  <c r="AD917" i="1"/>
  <c r="AE917" i="1"/>
  <c r="AF917" i="1"/>
  <c r="AM917" i="1"/>
  <c r="AN917" i="1"/>
  <c r="AO917" i="1"/>
  <c r="L918" i="1"/>
  <c r="M918" i="1"/>
  <c r="N918" i="1"/>
  <c r="O918" i="1"/>
  <c r="P918" i="1"/>
  <c r="Q918" i="1"/>
  <c r="R918" i="1"/>
  <c r="S918" i="1"/>
  <c r="T918" i="1"/>
  <c r="U918" i="1"/>
  <c r="V918" i="1"/>
  <c r="W918" i="1"/>
  <c r="X918" i="1"/>
  <c r="Y918" i="1"/>
  <c r="Z918" i="1"/>
  <c r="AA918" i="1"/>
  <c r="AB918" i="1"/>
  <c r="AC918" i="1"/>
  <c r="AD918" i="1"/>
  <c r="AE918" i="1"/>
  <c r="AF918" i="1"/>
  <c r="AM918" i="1"/>
  <c r="AN918" i="1"/>
  <c r="AO918" i="1"/>
  <c r="L919" i="1"/>
  <c r="M919" i="1"/>
  <c r="N919" i="1"/>
  <c r="O919" i="1"/>
  <c r="P919" i="1"/>
  <c r="Q919" i="1"/>
  <c r="R919" i="1"/>
  <c r="S919" i="1"/>
  <c r="T919" i="1"/>
  <c r="U919" i="1"/>
  <c r="V919" i="1"/>
  <c r="W919" i="1"/>
  <c r="X919" i="1"/>
  <c r="Y919" i="1"/>
  <c r="Z919" i="1"/>
  <c r="AA919" i="1"/>
  <c r="AB919" i="1"/>
  <c r="AC919" i="1"/>
  <c r="AD919" i="1"/>
  <c r="AE919" i="1"/>
  <c r="AF919" i="1"/>
  <c r="AM919" i="1"/>
  <c r="AN919" i="1"/>
  <c r="AO919" i="1"/>
  <c r="L920" i="1"/>
  <c r="M920" i="1"/>
  <c r="N920" i="1"/>
  <c r="O920" i="1"/>
  <c r="P920" i="1"/>
  <c r="Q920" i="1"/>
  <c r="R920" i="1"/>
  <c r="S920" i="1"/>
  <c r="T920" i="1"/>
  <c r="U920" i="1"/>
  <c r="V920" i="1"/>
  <c r="W920" i="1"/>
  <c r="X920" i="1"/>
  <c r="Y920" i="1"/>
  <c r="Z920" i="1"/>
  <c r="AA920" i="1"/>
  <c r="AB920" i="1"/>
  <c r="AC920" i="1"/>
  <c r="AD920" i="1"/>
  <c r="AE920" i="1"/>
  <c r="AF920" i="1"/>
  <c r="AM920" i="1"/>
  <c r="AN920" i="1"/>
  <c r="AO920" i="1"/>
  <c r="L921" i="1"/>
  <c r="M921" i="1"/>
  <c r="N921" i="1"/>
  <c r="O921" i="1"/>
  <c r="P921" i="1"/>
  <c r="Q921" i="1"/>
  <c r="R921" i="1"/>
  <c r="S921" i="1"/>
  <c r="T921" i="1"/>
  <c r="U921" i="1"/>
  <c r="V921" i="1"/>
  <c r="W921" i="1"/>
  <c r="X921" i="1"/>
  <c r="Y921" i="1"/>
  <c r="Z921" i="1"/>
  <c r="AA921" i="1"/>
  <c r="AB921" i="1"/>
  <c r="AC921" i="1"/>
  <c r="AD921" i="1"/>
  <c r="AE921" i="1"/>
  <c r="AF921" i="1"/>
  <c r="AM921" i="1"/>
  <c r="AN921" i="1"/>
  <c r="AO921" i="1"/>
  <c r="L922" i="1"/>
  <c r="M922" i="1"/>
  <c r="N922" i="1"/>
  <c r="O922" i="1"/>
  <c r="P922" i="1"/>
  <c r="Q922" i="1"/>
  <c r="R922" i="1"/>
  <c r="S922" i="1"/>
  <c r="T922" i="1"/>
  <c r="U922" i="1"/>
  <c r="V922" i="1"/>
  <c r="W922" i="1"/>
  <c r="X922" i="1"/>
  <c r="Y922" i="1"/>
  <c r="Z922" i="1"/>
  <c r="AA922" i="1"/>
  <c r="AB922" i="1"/>
  <c r="AC922" i="1"/>
  <c r="AD922" i="1"/>
  <c r="AE922" i="1"/>
  <c r="AF922" i="1"/>
  <c r="AM922" i="1"/>
  <c r="AN922" i="1"/>
  <c r="AO922" i="1"/>
  <c r="L923" i="1"/>
  <c r="M923" i="1"/>
  <c r="N923" i="1"/>
  <c r="O923" i="1"/>
  <c r="P923" i="1"/>
  <c r="Q923" i="1"/>
  <c r="R923" i="1"/>
  <c r="S923" i="1"/>
  <c r="T923" i="1"/>
  <c r="U923" i="1"/>
  <c r="V923" i="1"/>
  <c r="W923" i="1"/>
  <c r="X923" i="1"/>
  <c r="Y923" i="1"/>
  <c r="Z923" i="1"/>
  <c r="AA923" i="1"/>
  <c r="AB923" i="1"/>
  <c r="AC923" i="1"/>
  <c r="AD923" i="1"/>
  <c r="AE923" i="1"/>
  <c r="AF923" i="1"/>
  <c r="AM923" i="1"/>
  <c r="AN923" i="1"/>
  <c r="AO923" i="1"/>
  <c r="L924" i="1"/>
  <c r="M924" i="1"/>
  <c r="N924" i="1"/>
  <c r="O924" i="1"/>
  <c r="P924" i="1"/>
  <c r="Q924" i="1"/>
  <c r="R924" i="1"/>
  <c r="S924" i="1"/>
  <c r="T924" i="1"/>
  <c r="U924" i="1"/>
  <c r="V924" i="1"/>
  <c r="W924" i="1"/>
  <c r="X924" i="1"/>
  <c r="Y924" i="1"/>
  <c r="Z924" i="1"/>
  <c r="AA924" i="1"/>
  <c r="AB924" i="1"/>
  <c r="AC924" i="1"/>
  <c r="AD924" i="1"/>
  <c r="AE924" i="1"/>
  <c r="AF924" i="1"/>
  <c r="AM924" i="1"/>
  <c r="AN924" i="1"/>
  <c r="AO924" i="1"/>
  <c r="L925" i="1"/>
  <c r="M925" i="1"/>
  <c r="N925" i="1"/>
  <c r="O925" i="1"/>
  <c r="P925" i="1"/>
  <c r="Q925" i="1"/>
  <c r="R925" i="1"/>
  <c r="S925" i="1"/>
  <c r="T925" i="1"/>
  <c r="U925" i="1"/>
  <c r="V925" i="1"/>
  <c r="W925" i="1"/>
  <c r="X925" i="1"/>
  <c r="Y925" i="1"/>
  <c r="Z925" i="1"/>
  <c r="AA925" i="1"/>
  <c r="AB925" i="1"/>
  <c r="AC925" i="1"/>
  <c r="AD925" i="1"/>
  <c r="AE925" i="1"/>
  <c r="AF925" i="1"/>
  <c r="AM925" i="1"/>
  <c r="AN925" i="1"/>
  <c r="AO925" i="1"/>
  <c r="L926" i="1"/>
  <c r="M926" i="1"/>
  <c r="N926" i="1"/>
  <c r="O926" i="1"/>
  <c r="P926" i="1"/>
  <c r="Q926" i="1"/>
  <c r="R926" i="1"/>
  <c r="S926" i="1"/>
  <c r="T926" i="1"/>
  <c r="U926" i="1"/>
  <c r="V926" i="1"/>
  <c r="W926" i="1"/>
  <c r="X926" i="1"/>
  <c r="Y926" i="1"/>
  <c r="Z926" i="1"/>
  <c r="AA926" i="1"/>
  <c r="AB926" i="1"/>
  <c r="AC926" i="1"/>
  <c r="AD926" i="1"/>
  <c r="AE926" i="1"/>
  <c r="AF926" i="1"/>
  <c r="AM926" i="1"/>
  <c r="AN926" i="1"/>
  <c r="AO926" i="1"/>
  <c r="L927" i="1"/>
  <c r="M927" i="1"/>
  <c r="N927" i="1"/>
  <c r="O927" i="1"/>
  <c r="P927" i="1"/>
  <c r="Q927" i="1"/>
  <c r="R927" i="1"/>
  <c r="S927" i="1"/>
  <c r="T927" i="1"/>
  <c r="U927" i="1"/>
  <c r="V927" i="1"/>
  <c r="W927" i="1"/>
  <c r="X927" i="1"/>
  <c r="Y927" i="1"/>
  <c r="Z927" i="1"/>
  <c r="AA927" i="1"/>
  <c r="AB927" i="1"/>
  <c r="AC927" i="1"/>
  <c r="AD927" i="1"/>
  <c r="AE927" i="1"/>
  <c r="AF927" i="1"/>
  <c r="AM927" i="1"/>
  <c r="AN927" i="1"/>
  <c r="AO927" i="1"/>
  <c r="L928" i="1"/>
  <c r="M928" i="1"/>
  <c r="N928" i="1"/>
  <c r="O928" i="1"/>
  <c r="P928" i="1"/>
  <c r="Q928" i="1"/>
  <c r="R928" i="1"/>
  <c r="S928" i="1"/>
  <c r="T928" i="1"/>
  <c r="U928" i="1"/>
  <c r="V928" i="1"/>
  <c r="W928" i="1"/>
  <c r="X928" i="1"/>
  <c r="Y928" i="1"/>
  <c r="Z928" i="1"/>
  <c r="AA928" i="1"/>
  <c r="AB928" i="1"/>
  <c r="AC928" i="1"/>
  <c r="AD928" i="1"/>
  <c r="AE928" i="1"/>
  <c r="AF928" i="1"/>
  <c r="AM928" i="1"/>
  <c r="AN928" i="1"/>
  <c r="AO928" i="1"/>
  <c r="L929" i="1"/>
  <c r="M929" i="1"/>
  <c r="N929" i="1"/>
  <c r="O929" i="1"/>
  <c r="P929" i="1"/>
  <c r="Q929" i="1"/>
  <c r="R929" i="1"/>
  <c r="S929" i="1"/>
  <c r="T929" i="1"/>
  <c r="U929" i="1"/>
  <c r="V929" i="1"/>
  <c r="W929" i="1"/>
  <c r="X929" i="1"/>
  <c r="Y929" i="1"/>
  <c r="Z929" i="1"/>
  <c r="AA929" i="1"/>
  <c r="AB929" i="1"/>
  <c r="AC929" i="1"/>
  <c r="AD929" i="1"/>
  <c r="AE929" i="1"/>
  <c r="AF929" i="1"/>
  <c r="AM929" i="1"/>
  <c r="AN929" i="1"/>
  <c r="AO929" i="1"/>
  <c r="L930" i="1"/>
  <c r="M930" i="1"/>
  <c r="N930" i="1"/>
  <c r="O930" i="1"/>
  <c r="P930" i="1"/>
  <c r="Q930" i="1"/>
  <c r="R930" i="1"/>
  <c r="S930" i="1"/>
  <c r="T930" i="1"/>
  <c r="U930" i="1"/>
  <c r="V930" i="1"/>
  <c r="W930" i="1"/>
  <c r="X930" i="1"/>
  <c r="Y930" i="1"/>
  <c r="Z930" i="1"/>
  <c r="AA930" i="1"/>
  <c r="AB930" i="1"/>
  <c r="AC930" i="1"/>
  <c r="AD930" i="1"/>
  <c r="AE930" i="1"/>
  <c r="AF930" i="1"/>
  <c r="AM930" i="1"/>
  <c r="AN930" i="1"/>
  <c r="AO930" i="1"/>
  <c r="L931" i="1"/>
  <c r="M931" i="1"/>
  <c r="N931" i="1"/>
  <c r="O931" i="1"/>
  <c r="P931" i="1"/>
  <c r="Q931" i="1"/>
  <c r="R931" i="1"/>
  <c r="S931" i="1"/>
  <c r="T931" i="1"/>
  <c r="U931" i="1"/>
  <c r="V931" i="1"/>
  <c r="W931" i="1"/>
  <c r="X931" i="1"/>
  <c r="Y931" i="1"/>
  <c r="Z931" i="1"/>
  <c r="AA931" i="1"/>
  <c r="AB931" i="1"/>
  <c r="AC931" i="1"/>
  <c r="AD931" i="1"/>
  <c r="AE931" i="1"/>
  <c r="AF931" i="1"/>
  <c r="AM931" i="1"/>
  <c r="AN931" i="1"/>
  <c r="AO931" i="1"/>
  <c r="L932" i="1"/>
  <c r="M932" i="1"/>
  <c r="N932" i="1"/>
  <c r="O932" i="1"/>
  <c r="P932" i="1"/>
  <c r="Q932" i="1"/>
  <c r="R932" i="1"/>
  <c r="S932" i="1"/>
  <c r="T932" i="1"/>
  <c r="U932" i="1"/>
  <c r="V932" i="1"/>
  <c r="W932" i="1"/>
  <c r="X932" i="1"/>
  <c r="Y932" i="1"/>
  <c r="Z932" i="1"/>
  <c r="AA932" i="1"/>
  <c r="AB932" i="1"/>
  <c r="AC932" i="1"/>
  <c r="AD932" i="1"/>
  <c r="AE932" i="1"/>
  <c r="AF932" i="1"/>
  <c r="AM932" i="1"/>
  <c r="AN932" i="1"/>
  <c r="AO932" i="1"/>
  <c r="L933" i="1"/>
  <c r="M933" i="1"/>
  <c r="N933" i="1"/>
  <c r="O933" i="1"/>
  <c r="P933" i="1"/>
  <c r="Q933" i="1"/>
  <c r="R933" i="1"/>
  <c r="S933" i="1"/>
  <c r="T933" i="1"/>
  <c r="U933" i="1"/>
  <c r="V933" i="1"/>
  <c r="W933" i="1"/>
  <c r="X933" i="1"/>
  <c r="Y933" i="1"/>
  <c r="Z933" i="1"/>
  <c r="AA933" i="1"/>
  <c r="AB933" i="1"/>
  <c r="AC933" i="1"/>
  <c r="AD933" i="1"/>
  <c r="AE933" i="1"/>
  <c r="AF933" i="1"/>
  <c r="AM933" i="1"/>
  <c r="AN933" i="1"/>
  <c r="AO933" i="1"/>
  <c r="L934" i="1"/>
  <c r="M934" i="1"/>
  <c r="N934" i="1"/>
  <c r="O934" i="1"/>
  <c r="P934" i="1"/>
  <c r="Q934" i="1"/>
  <c r="R934" i="1"/>
  <c r="S934" i="1"/>
  <c r="T934" i="1"/>
  <c r="U934" i="1"/>
  <c r="V934" i="1"/>
  <c r="W934" i="1"/>
  <c r="X934" i="1"/>
  <c r="Y934" i="1"/>
  <c r="Z934" i="1"/>
  <c r="AA934" i="1"/>
  <c r="AB934" i="1"/>
  <c r="AC934" i="1"/>
  <c r="AD934" i="1"/>
  <c r="AE934" i="1"/>
  <c r="AF934" i="1"/>
  <c r="AM934" i="1"/>
  <c r="AN934" i="1"/>
  <c r="AO934" i="1"/>
  <c r="L935" i="1"/>
  <c r="M935" i="1"/>
  <c r="N935" i="1"/>
  <c r="O935" i="1"/>
  <c r="P935" i="1"/>
  <c r="Q935" i="1"/>
  <c r="R935" i="1"/>
  <c r="S935" i="1"/>
  <c r="T935" i="1"/>
  <c r="U935" i="1"/>
  <c r="V935" i="1"/>
  <c r="W935" i="1"/>
  <c r="X935" i="1"/>
  <c r="Y935" i="1"/>
  <c r="Z935" i="1"/>
  <c r="AA935" i="1"/>
  <c r="AB935" i="1"/>
  <c r="AC935" i="1"/>
  <c r="AD935" i="1"/>
  <c r="AE935" i="1"/>
  <c r="AF935" i="1"/>
  <c r="AM935" i="1"/>
  <c r="AN935" i="1"/>
  <c r="AO935" i="1"/>
  <c r="L936" i="1"/>
  <c r="M936" i="1"/>
  <c r="N936" i="1"/>
  <c r="O936" i="1"/>
  <c r="P936" i="1"/>
  <c r="Q936" i="1"/>
  <c r="R936" i="1"/>
  <c r="S936" i="1"/>
  <c r="T936" i="1"/>
  <c r="U936" i="1"/>
  <c r="V936" i="1"/>
  <c r="W936" i="1"/>
  <c r="X936" i="1"/>
  <c r="Y936" i="1"/>
  <c r="Z936" i="1"/>
  <c r="AA936" i="1"/>
  <c r="AB936" i="1"/>
  <c r="AC936" i="1"/>
  <c r="AD936" i="1"/>
  <c r="AE936" i="1"/>
  <c r="AF936" i="1"/>
  <c r="AM936" i="1"/>
  <c r="AN936" i="1"/>
  <c r="AO936" i="1"/>
  <c r="L937" i="1"/>
  <c r="M937" i="1"/>
  <c r="N937" i="1"/>
  <c r="O937" i="1"/>
  <c r="P937" i="1"/>
  <c r="Q937" i="1"/>
  <c r="R937" i="1"/>
  <c r="S937" i="1"/>
  <c r="T937" i="1"/>
  <c r="U937" i="1"/>
  <c r="V937" i="1"/>
  <c r="W937" i="1"/>
  <c r="X937" i="1"/>
  <c r="Y937" i="1"/>
  <c r="Z937" i="1"/>
  <c r="AA937" i="1"/>
  <c r="AB937" i="1"/>
  <c r="AC937" i="1"/>
  <c r="AD937" i="1"/>
  <c r="AE937" i="1"/>
  <c r="AF937" i="1"/>
  <c r="AM937" i="1"/>
  <c r="AN937" i="1"/>
  <c r="AO937" i="1"/>
  <c r="L938" i="1"/>
  <c r="M938" i="1"/>
  <c r="N938" i="1"/>
  <c r="O938" i="1"/>
  <c r="P938" i="1"/>
  <c r="Q938" i="1"/>
  <c r="R938" i="1"/>
  <c r="S938" i="1"/>
  <c r="T938" i="1"/>
  <c r="U938" i="1"/>
  <c r="V938" i="1"/>
  <c r="W938" i="1"/>
  <c r="X938" i="1"/>
  <c r="Y938" i="1"/>
  <c r="Z938" i="1"/>
  <c r="AA938" i="1"/>
  <c r="AB938" i="1"/>
  <c r="AC938" i="1"/>
  <c r="AD938" i="1"/>
  <c r="AE938" i="1"/>
  <c r="AF938" i="1"/>
  <c r="AM938" i="1"/>
  <c r="AN938" i="1"/>
  <c r="AO938" i="1"/>
  <c r="L939" i="1"/>
  <c r="M939" i="1"/>
  <c r="N939" i="1"/>
  <c r="O939" i="1"/>
  <c r="P939" i="1"/>
  <c r="Q939" i="1"/>
  <c r="R939" i="1"/>
  <c r="S939" i="1"/>
  <c r="T939" i="1"/>
  <c r="U939" i="1"/>
  <c r="V939" i="1"/>
  <c r="W939" i="1"/>
  <c r="X939" i="1"/>
  <c r="Y939" i="1"/>
  <c r="Z939" i="1"/>
  <c r="AA939" i="1"/>
  <c r="AB939" i="1"/>
  <c r="AC939" i="1"/>
  <c r="AD939" i="1"/>
  <c r="AE939" i="1"/>
  <c r="AF939" i="1"/>
  <c r="AM939" i="1"/>
  <c r="AN939" i="1"/>
  <c r="AO939" i="1"/>
  <c r="L940" i="1"/>
  <c r="M940" i="1"/>
  <c r="N940" i="1"/>
  <c r="O940" i="1"/>
  <c r="P940" i="1"/>
  <c r="Q940" i="1"/>
  <c r="R940" i="1"/>
  <c r="S940" i="1"/>
  <c r="T940" i="1"/>
  <c r="U940" i="1"/>
  <c r="V940" i="1"/>
  <c r="W940" i="1"/>
  <c r="X940" i="1"/>
  <c r="Y940" i="1"/>
  <c r="Z940" i="1"/>
  <c r="AA940" i="1"/>
  <c r="AB940" i="1"/>
  <c r="AC940" i="1"/>
  <c r="AD940" i="1"/>
  <c r="AE940" i="1"/>
  <c r="AF940" i="1"/>
  <c r="AM940" i="1"/>
  <c r="AN940" i="1"/>
  <c r="AO940" i="1"/>
  <c r="L941" i="1"/>
  <c r="M941" i="1"/>
  <c r="N941" i="1"/>
  <c r="O941" i="1"/>
  <c r="P941" i="1"/>
  <c r="Q941" i="1"/>
  <c r="R941" i="1"/>
  <c r="S941" i="1"/>
  <c r="T941" i="1"/>
  <c r="U941" i="1"/>
  <c r="V941" i="1"/>
  <c r="W941" i="1"/>
  <c r="X941" i="1"/>
  <c r="Y941" i="1"/>
  <c r="Z941" i="1"/>
  <c r="AA941" i="1"/>
  <c r="AB941" i="1"/>
  <c r="AC941" i="1"/>
  <c r="AD941" i="1"/>
  <c r="AE941" i="1"/>
  <c r="AF941" i="1"/>
  <c r="AM941" i="1"/>
  <c r="AN941" i="1"/>
  <c r="AO941" i="1"/>
  <c r="L942" i="1"/>
  <c r="M942" i="1"/>
  <c r="N942" i="1"/>
  <c r="O942" i="1"/>
  <c r="P942" i="1"/>
  <c r="Q942" i="1"/>
  <c r="R942" i="1"/>
  <c r="S942" i="1"/>
  <c r="T942" i="1"/>
  <c r="U942" i="1"/>
  <c r="V942" i="1"/>
  <c r="W942" i="1"/>
  <c r="X942" i="1"/>
  <c r="Y942" i="1"/>
  <c r="Z942" i="1"/>
  <c r="AA942" i="1"/>
  <c r="AB942" i="1"/>
  <c r="AC942" i="1"/>
  <c r="AD942" i="1"/>
  <c r="AE942" i="1"/>
  <c r="AF942" i="1"/>
  <c r="AM942" i="1"/>
  <c r="AN942" i="1"/>
  <c r="AO942" i="1"/>
  <c r="L943" i="1"/>
  <c r="M943" i="1"/>
  <c r="N943" i="1"/>
  <c r="O943" i="1"/>
  <c r="P943" i="1"/>
  <c r="Q943" i="1"/>
  <c r="R943" i="1"/>
  <c r="S943" i="1"/>
  <c r="T943" i="1"/>
  <c r="U943" i="1"/>
  <c r="V943" i="1"/>
  <c r="W943" i="1"/>
  <c r="X943" i="1"/>
  <c r="Y943" i="1"/>
  <c r="Z943" i="1"/>
  <c r="AA943" i="1"/>
  <c r="AB943" i="1"/>
  <c r="AC943" i="1"/>
  <c r="AD943" i="1"/>
  <c r="AE943" i="1"/>
  <c r="AF943" i="1"/>
  <c r="AM943" i="1"/>
  <c r="AN943" i="1"/>
  <c r="AO943" i="1"/>
  <c r="L944" i="1"/>
  <c r="M944" i="1"/>
  <c r="N944" i="1"/>
  <c r="O944" i="1"/>
  <c r="P944" i="1"/>
  <c r="Q944" i="1"/>
  <c r="R944" i="1"/>
  <c r="S944" i="1"/>
  <c r="T944" i="1"/>
  <c r="U944" i="1"/>
  <c r="V944" i="1"/>
  <c r="W944" i="1"/>
  <c r="X944" i="1"/>
  <c r="Y944" i="1"/>
  <c r="Z944" i="1"/>
  <c r="AA944" i="1"/>
  <c r="AB944" i="1"/>
  <c r="AC944" i="1"/>
  <c r="AD944" i="1"/>
  <c r="AE944" i="1"/>
  <c r="AF944" i="1"/>
  <c r="AM944" i="1"/>
  <c r="AN944" i="1"/>
  <c r="AO944" i="1"/>
  <c r="L945" i="1"/>
  <c r="M945" i="1"/>
  <c r="N945" i="1"/>
  <c r="O945" i="1"/>
  <c r="P945" i="1"/>
  <c r="Q945" i="1"/>
  <c r="R945" i="1"/>
  <c r="S945" i="1"/>
  <c r="T945" i="1"/>
  <c r="U945" i="1"/>
  <c r="V945" i="1"/>
  <c r="W945" i="1"/>
  <c r="X945" i="1"/>
  <c r="Y945" i="1"/>
  <c r="Z945" i="1"/>
  <c r="AA945" i="1"/>
  <c r="AB945" i="1"/>
  <c r="AC945" i="1"/>
  <c r="AD945" i="1"/>
  <c r="AE945" i="1"/>
  <c r="AF945" i="1"/>
  <c r="AM945" i="1"/>
  <c r="AN945" i="1"/>
  <c r="AO945" i="1"/>
  <c r="L946" i="1"/>
  <c r="M946" i="1"/>
  <c r="N946" i="1"/>
  <c r="O946" i="1"/>
  <c r="P946" i="1"/>
  <c r="Q946" i="1"/>
  <c r="R946" i="1"/>
  <c r="S946" i="1"/>
  <c r="T946" i="1"/>
  <c r="U946" i="1"/>
  <c r="V946" i="1"/>
  <c r="W946" i="1"/>
  <c r="X946" i="1"/>
  <c r="Y946" i="1"/>
  <c r="Z946" i="1"/>
  <c r="AA946" i="1"/>
  <c r="AB946" i="1"/>
  <c r="AC946" i="1"/>
  <c r="AD946" i="1"/>
  <c r="AE946" i="1"/>
  <c r="AF946" i="1"/>
  <c r="AM946" i="1"/>
  <c r="AN946" i="1"/>
  <c r="AO946" i="1"/>
  <c r="L947" i="1"/>
  <c r="M947" i="1"/>
  <c r="N947" i="1"/>
  <c r="O947" i="1"/>
  <c r="P947" i="1"/>
  <c r="Q947" i="1"/>
  <c r="R947" i="1"/>
  <c r="S947" i="1"/>
  <c r="T947" i="1"/>
  <c r="U947" i="1"/>
  <c r="V947" i="1"/>
  <c r="W947" i="1"/>
  <c r="X947" i="1"/>
  <c r="Y947" i="1"/>
  <c r="Z947" i="1"/>
  <c r="AA947" i="1"/>
  <c r="AB947" i="1"/>
  <c r="AC947" i="1"/>
  <c r="AD947" i="1"/>
  <c r="AE947" i="1"/>
  <c r="AF947" i="1"/>
  <c r="AM947" i="1"/>
  <c r="AN947" i="1"/>
  <c r="AO947" i="1"/>
  <c r="L948" i="1"/>
  <c r="M948" i="1"/>
  <c r="N948" i="1"/>
  <c r="O948" i="1"/>
  <c r="P948" i="1"/>
  <c r="Q948" i="1"/>
  <c r="R948" i="1"/>
  <c r="S948" i="1"/>
  <c r="T948" i="1"/>
  <c r="U948" i="1"/>
  <c r="V948" i="1"/>
  <c r="W948" i="1"/>
  <c r="X948" i="1"/>
  <c r="Y948" i="1"/>
  <c r="Z948" i="1"/>
  <c r="AA948" i="1"/>
  <c r="AB948" i="1"/>
  <c r="AC948" i="1"/>
  <c r="AD948" i="1"/>
  <c r="AE948" i="1"/>
  <c r="AF948" i="1"/>
  <c r="AM948" i="1"/>
  <c r="AN948" i="1"/>
  <c r="AO948" i="1"/>
  <c r="L949" i="1"/>
  <c r="M949" i="1"/>
  <c r="N949" i="1"/>
  <c r="O949" i="1"/>
  <c r="P949" i="1"/>
  <c r="Q949" i="1"/>
  <c r="R949" i="1"/>
  <c r="S949" i="1"/>
  <c r="T949" i="1"/>
  <c r="U949" i="1"/>
  <c r="V949" i="1"/>
  <c r="W949" i="1"/>
  <c r="X949" i="1"/>
  <c r="Y949" i="1"/>
  <c r="Z949" i="1"/>
  <c r="AA949" i="1"/>
  <c r="AB949" i="1"/>
  <c r="AC949" i="1"/>
  <c r="AD949" i="1"/>
  <c r="AE949" i="1"/>
  <c r="AF949" i="1"/>
  <c r="AM949" i="1"/>
  <c r="AN949" i="1"/>
  <c r="AO949" i="1"/>
  <c r="L950" i="1"/>
  <c r="M950" i="1"/>
  <c r="N950" i="1"/>
  <c r="O950" i="1"/>
  <c r="P950" i="1"/>
  <c r="Q950" i="1"/>
  <c r="R950" i="1"/>
  <c r="S950" i="1"/>
  <c r="T950" i="1"/>
  <c r="U950" i="1"/>
  <c r="V950" i="1"/>
  <c r="W950" i="1"/>
  <c r="X950" i="1"/>
  <c r="Y950" i="1"/>
  <c r="Z950" i="1"/>
  <c r="AA950" i="1"/>
  <c r="AB950" i="1"/>
  <c r="AC950" i="1"/>
  <c r="AD950" i="1"/>
  <c r="AE950" i="1"/>
  <c r="AF950" i="1"/>
  <c r="AM950" i="1"/>
  <c r="AN950" i="1"/>
  <c r="AO950" i="1"/>
  <c r="L951" i="1"/>
  <c r="M951" i="1"/>
  <c r="N951" i="1"/>
  <c r="O951" i="1"/>
  <c r="P951" i="1"/>
  <c r="Q951" i="1"/>
  <c r="R951" i="1"/>
  <c r="S951" i="1"/>
  <c r="T951" i="1"/>
  <c r="U951" i="1"/>
  <c r="V951" i="1"/>
  <c r="W951" i="1"/>
  <c r="X951" i="1"/>
  <c r="Y951" i="1"/>
  <c r="Z951" i="1"/>
  <c r="AA951" i="1"/>
  <c r="AB951" i="1"/>
  <c r="AC951" i="1"/>
  <c r="AD951" i="1"/>
  <c r="AE951" i="1"/>
  <c r="AF951" i="1"/>
  <c r="AM951" i="1"/>
  <c r="AN951" i="1"/>
  <c r="AO951" i="1"/>
  <c r="L952" i="1"/>
  <c r="M952" i="1"/>
  <c r="N952" i="1"/>
  <c r="O952" i="1"/>
  <c r="P952" i="1"/>
  <c r="Q952" i="1"/>
  <c r="R952" i="1"/>
  <c r="S952" i="1"/>
  <c r="T952" i="1"/>
  <c r="U952" i="1"/>
  <c r="V952" i="1"/>
  <c r="W952" i="1"/>
  <c r="X952" i="1"/>
  <c r="Y952" i="1"/>
  <c r="Z952" i="1"/>
  <c r="AA952" i="1"/>
  <c r="AB952" i="1"/>
  <c r="AC952" i="1"/>
  <c r="AD952" i="1"/>
  <c r="AE952" i="1"/>
  <c r="AF952" i="1"/>
  <c r="AM952" i="1"/>
  <c r="AN952" i="1"/>
  <c r="AO952" i="1"/>
  <c r="L953" i="1"/>
  <c r="M953" i="1"/>
  <c r="N953" i="1"/>
  <c r="O953" i="1"/>
  <c r="P953" i="1"/>
  <c r="Q953" i="1"/>
  <c r="R953" i="1"/>
  <c r="S953" i="1"/>
  <c r="T953" i="1"/>
  <c r="U953" i="1"/>
  <c r="V953" i="1"/>
  <c r="W953" i="1"/>
  <c r="X953" i="1"/>
  <c r="Y953" i="1"/>
  <c r="Z953" i="1"/>
  <c r="AA953" i="1"/>
  <c r="AB953" i="1"/>
  <c r="AC953" i="1"/>
  <c r="AD953" i="1"/>
  <c r="AE953" i="1"/>
  <c r="AF953" i="1"/>
  <c r="AM953" i="1"/>
  <c r="AN953" i="1"/>
  <c r="AO953" i="1"/>
  <c r="L954" i="1"/>
  <c r="M954" i="1"/>
  <c r="N954" i="1"/>
  <c r="O954" i="1"/>
  <c r="P954" i="1"/>
  <c r="Q954" i="1"/>
  <c r="R954" i="1"/>
  <c r="S954" i="1"/>
  <c r="T954" i="1"/>
  <c r="U954" i="1"/>
  <c r="V954" i="1"/>
  <c r="W954" i="1"/>
  <c r="X954" i="1"/>
  <c r="Y954" i="1"/>
  <c r="Z954" i="1"/>
  <c r="AA954" i="1"/>
  <c r="AB954" i="1"/>
  <c r="AC954" i="1"/>
  <c r="AD954" i="1"/>
  <c r="AE954" i="1"/>
  <c r="AF954" i="1"/>
  <c r="AM954" i="1"/>
  <c r="AN954" i="1"/>
  <c r="AO954" i="1"/>
  <c r="L955" i="1"/>
  <c r="M955" i="1"/>
  <c r="N955" i="1"/>
  <c r="O955" i="1"/>
  <c r="P955" i="1"/>
  <c r="Q955" i="1"/>
  <c r="R955" i="1"/>
  <c r="S955" i="1"/>
  <c r="T955" i="1"/>
  <c r="U955" i="1"/>
  <c r="V955" i="1"/>
  <c r="W955" i="1"/>
  <c r="X955" i="1"/>
  <c r="Y955" i="1"/>
  <c r="Z955" i="1"/>
  <c r="AA955" i="1"/>
  <c r="AB955" i="1"/>
  <c r="AC955" i="1"/>
  <c r="AD955" i="1"/>
  <c r="AE955" i="1"/>
  <c r="AF955" i="1"/>
  <c r="AM955" i="1"/>
  <c r="AN955" i="1"/>
  <c r="AO955" i="1"/>
  <c r="L956" i="1"/>
  <c r="M956" i="1"/>
  <c r="N956" i="1"/>
  <c r="O956" i="1"/>
  <c r="P956" i="1"/>
  <c r="Q956" i="1"/>
  <c r="R956" i="1"/>
  <c r="S956" i="1"/>
  <c r="T956" i="1"/>
  <c r="U956" i="1"/>
  <c r="V956" i="1"/>
  <c r="W956" i="1"/>
  <c r="X956" i="1"/>
  <c r="Y956" i="1"/>
  <c r="Z956" i="1"/>
  <c r="AA956" i="1"/>
  <c r="AB956" i="1"/>
  <c r="AC956" i="1"/>
  <c r="AD956" i="1"/>
  <c r="AE956" i="1"/>
  <c r="AF956" i="1"/>
  <c r="AM956" i="1"/>
  <c r="AN956" i="1"/>
  <c r="AO956" i="1"/>
  <c r="L957" i="1"/>
  <c r="M957" i="1"/>
  <c r="N957" i="1"/>
  <c r="O957" i="1"/>
  <c r="P957" i="1"/>
  <c r="Q957" i="1"/>
  <c r="R957" i="1"/>
  <c r="S957" i="1"/>
  <c r="T957" i="1"/>
  <c r="U957" i="1"/>
  <c r="V957" i="1"/>
  <c r="W957" i="1"/>
  <c r="X957" i="1"/>
  <c r="Y957" i="1"/>
  <c r="Z957" i="1"/>
  <c r="AA957" i="1"/>
  <c r="AB957" i="1"/>
  <c r="AC957" i="1"/>
  <c r="AD957" i="1"/>
  <c r="AE957" i="1"/>
  <c r="AF957" i="1"/>
  <c r="AM957" i="1"/>
  <c r="AN957" i="1"/>
  <c r="AO957" i="1"/>
  <c r="L958" i="1"/>
  <c r="M958" i="1"/>
  <c r="N958" i="1"/>
  <c r="O958" i="1"/>
  <c r="P958" i="1"/>
  <c r="Q958" i="1"/>
  <c r="R958" i="1"/>
  <c r="S958" i="1"/>
  <c r="T958" i="1"/>
  <c r="U958" i="1"/>
  <c r="V958" i="1"/>
  <c r="W958" i="1"/>
  <c r="X958" i="1"/>
  <c r="Y958" i="1"/>
  <c r="Z958" i="1"/>
  <c r="AA958" i="1"/>
  <c r="AB958" i="1"/>
  <c r="AC958" i="1"/>
  <c r="AD958" i="1"/>
  <c r="AE958" i="1"/>
  <c r="AF958" i="1"/>
  <c r="AM958" i="1"/>
  <c r="AN958" i="1"/>
  <c r="AO958" i="1"/>
  <c r="L959" i="1"/>
  <c r="M959" i="1"/>
  <c r="N959" i="1"/>
  <c r="O959" i="1"/>
  <c r="P959" i="1"/>
  <c r="Q959" i="1"/>
  <c r="R959" i="1"/>
  <c r="S959" i="1"/>
  <c r="T959" i="1"/>
  <c r="U959" i="1"/>
  <c r="V959" i="1"/>
  <c r="W959" i="1"/>
  <c r="X959" i="1"/>
  <c r="Y959" i="1"/>
  <c r="Z959" i="1"/>
  <c r="AA959" i="1"/>
  <c r="AB959" i="1"/>
  <c r="AC959" i="1"/>
  <c r="AD959" i="1"/>
  <c r="AE959" i="1"/>
  <c r="AF959" i="1"/>
  <c r="AM959" i="1"/>
  <c r="AN959" i="1"/>
  <c r="AO959" i="1"/>
  <c r="L960" i="1"/>
  <c r="M960" i="1"/>
  <c r="N960" i="1"/>
  <c r="O960" i="1"/>
  <c r="P960" i="1"/>
  <c r="Q960" i="1"/>
  <c r="R960" i="1"/>
  <c r="S960" i="1"/>
  <c r="T960" i="1"/>
  <c r="U960" i="1"/>
  <c r="V960" i="1"/>
  <c r="W960" i="1"/>
  <c r="X960" i="1"/>
  <c r="Y960" i="1"/>
  <c r="Z960" i="1"/>
  <c r="AA960" i="1"/>
  <c r="AB960" i="1"/>
  <c r="AC960" i="1"/>
  <c r="AD960" i="1"/>
  <c r="AE960" i="1"/>
  <c r="AF960" i="1"/>
  <c r="AM960" i="1"/>
  <c r="AN960" i="1"/>
  <c r="AO960" i="1"/>
  <c r="L961" i="1"/>
  <c r="M961" i="1"/>
  <c r="N961" i="1"/>
  <c r="O961" i="1"/>
  <c r="P961" i="1"/>
  <c r="Q961" i="1"/>
  <c r="R961" i="1"/>
  <c r="S961" i="1"/>
  <c r="T961" i="1"/>
  <c r="U961" i="1"/>
  <c r="V961" i="1"/>
  <c r="W961" i="1"/>
  <c r="X961" i="1"/>
  <c r="Y961" i="1"/>
  <c r="Z961" i="1"/>
  <c r="AA961" i="1"/>
  <c r="AB961" i="1"/>
  <c r="AC961" i="1"/>
  <c r="AD961" i="1"/>
  <c r="AE961" i="1"/>
  <c r="AF961" i="1"/>
  <c r="AM961" i="1"/>
  <c r="AN961" i="1"/>
  <c r="AO961" i="1"/>
  <c r="L962" i="1"/>
  <c r="M962" i="1"/>
  <c r="N962" i="1"/>
  <c r="O962" i="1"/>
  <c r="P962" i="1"/>
  <c r="Q962" i="1"/>
  <c r="R962" i="1"/>
  <c r="S962" i="1"/>
  <c r="T962" i="1"/>
  <c r="U962" i="1"/>
  <c r="V962" i="1"/>
  <c r="W962" i="1"/>
  <c r="X962" i="1"/>
  <c r="Y962" i="1"/>
  <c r="Z962" i="1"/>
  <c r="AA962" i="1"/>
  <c r="AB962" i="1"/>
  <c r="AC962" i="1"/>
  <c r="AD962" i="1"/>
  <c r="AE962" i="1"/>
  <c r="AF962" i="1"/>
  <c r="AM962" i="1"/>
  <c r="AN962" i="1"/>
  <c r="AO962" i="1"/>
  <c r="L963" i="1"/>
  <c r="M963" i="1"/>
  <c r="N963" i="1"/>
  <c r="O963" i="1"/>
  <c r="P963" i="1"/>
  <c r="Q963" i="1"/>
  <c r="R963" i="1"/>
  <c r="S963" i="1"/>
  <c r="T963" i="1"/>
  <c r="U963" i="1"/>
  <c r="V963" i="1"/>
  <c r="W963" i="1"/>
  <c r="X963" i="1"/>
  <c r="Y963" i="1"/>
  <c r="Z963" i="1"/>
  <c r="AA963" i="1"/>
  <c r="AB963" i="1"/>
  <c r="AC963" i="1"/>
  <c r="AD963" i="1"/>
  <c r="AE963" i="1"/>
  <c r="AF963" i="1"/>
  <c r="AM963" i="1"/>
  <c r="AN963" i="1"/>
  <c r="AO963" i="1"/>
  <c r="L964" i="1"/>
  <c r="M964" i="1"/>
  <c r="N964" i="1"/>
  <c r="O964" i="1"/>
  <c r="P964" i="1"/>
  <c r="Q964" i="1"/>
  <c r="R964" i="1"/>
  <c r="S964" i="1"/>
  <c r="T964" i="1"/>
  <c r="U964" i="1"/>
  <c r="V964" i="1"/>
  <c r="W964" i="1"/>
  <c r="X964" i="1"/>
  <c r="Y964" i="1"/>
  <c r="Z964" i="1"/>
  <c r="AA964" i="1"/>
  <c r="AB964" i="1"/>
  <c r="AC964" i="1"/>
  <c r="AD964" i="1"/>
  <c r="AE964" i="1"/>
  <c r="AF964" i="1"/>
  <c r="AM964" i="1"/>
  <c r="AN964" i="1"/>
  <c r="AO964" i="1"/>
  <c r="L965" i="1"/>
  <c r="M965" i="1"/>
  <c r="N965" i="1"/>
  <c r="O965" i="1"/>
  <c r="P965" i="1"/>
  <c r="Q965" i="1"/>
  <c r="R965" i="1"/>
  <c r="S965" i="1"/>
  <c r="T965" i="1"/>
  <c r="U965" i="1"/>
  <c r="V965" i="1"/>
  <c r="W965" i="1"/>
  <c r="X965" i="1"/>
  <c r="Y965" i="1"/>
  <c r="Z965" i="1"/>
  <c r="AA965" i="1"/>
  <c r="AB965" i="1"/>
  <c r="AC965" i="1"/>
  <c r="AD965" i="1"/>
  <c r="AE965" i="1"/>
  <c r="AF965" i="1"/>
  <c r="AM965" i="1"/>
  <c r="AN965" i="1"/>
  <c r="AO965" i="1"/>
  <c r="L966" i="1"/>
  <c r="M966" i="1"/>
  <c r="N966" i="1"/>
  <c r="O966" i="1"/>
  <c r="P966" i="1"/>
  <c r="Q966" i="1"/>
  <c r="R966" i="1"/>
  <c r="S966" i="1"/>
  <c r="T966" i="1"/>
  <c r="U966" i="1"/>
  <c r="V966" i="1"/>
  <c r="W966" i="1"/>
  <c r="X966" i="1"/>
  <c r="Y966" i="1"/>
  <c r="Z966" i="1"/>
  <c r="AA966" i="1"/>
  <c r="AB966" i="1"/>
  <c r="AC966" i="1"/>
  <c r="AD966" i="1"/>
  <c r="AE966" i="1"/>
  <c r="AF966" i="1"/>
  <c r="AM966" i="1"/>
  <c r="AN966" i="1"/>
  <c r="AO966" i="1"/>
  <c r="L967" i="1"/>
  <c r="M967" i="1"/>
  <c r="N967" i="1"/>
  <c r="O967" i="1"/>
  <c r="P967" i="1"/>
  <c r="Q967" i="1"/>
  <c r="R967" i="1"/>
  <c r="S967" i="1"/>
  <c r="T967" i="1"/>
  <c r="U967" i="1"/>
  <c r="V967" i="1"/>
  <c r="W967" i="1"/>
  <c r="X967" i="1"/>
  <c r="Y967" i="1"/>
  <c r="Z967" i="1"/>
  <c r="AA967" i="1"/>
  <c r="AB967" i="1"/>
  <c r="AC967" i="1"/>
  <c r="AD967" i="1"/>
  <c r="AE967" i="1"/>
  <c r="AF967" i="1"/>
  <c r="AM967" i="1"/>
  <c r="AN967" i="1"/>
  <c r="AO967" i="1"/>
  <c r="L968" i="1"/>
  <c r="M968" i="1"/>
  <c r="N968" i="1"/>
  <c r="O968" i="1"/>
  <c r="P968" i="1"/>
  <c r="Q968" i="1"/>
  <c r="R968" i="1"/>
  <c r="S968" i="1"/>
  <c r="T968" i="1"/>
  <c r="U968" i="1"/>
  <c r="V968" i="1"/>
  <c r="W968" i="1"/>
  <c r="X968" i="1"/>
  <c r="Y968" i="1"/>
  <c r="Z968" i="1"/>
  <c r="AA968" i="1"/>
  <c r="AB968" i="1"/>
  <c r="AC968" i="1"/>
  <c r="AD968" i="1"/>
  <c r="AE968" i="1"/>
  <c r="AF968" i="1"/>
  <c r="AM968" i="1"/>
  <c r="AN968" i="1"/>
  <c r="AO968" i="1"/>
  <c r="L969" i="1"/>
  <c r="M969" i="1"/>
  <c r="N969" i="1"/>
  <c r="O969" i="1"/>
  <c r="P969" i="1"/>
  <c r="Q969" i="1"/>
  <c r="R969" i="1"/>
  <c r="S969" i="1"/>
  <c r="T969" i="1"/>
  <c r="U969" i="1"/>
  <c r="V969" i="1"/>
  <c r="W969" i="1"/>
  <c r="X969" i="1"/>
  <c r="Y969" i="1"/>
  <c r="Z969" i="1"/>
  <c r="AA969" i="1"/>
  <c r="AB969" i="1"/>
  <c r="AC969" i="1"/>
  <c r="AD969" i="1"/>
  <c r="AE969" i="1"/>
  <c r="AF969" i="1"/>
  <c r="AM969" i="1"/>
  <c r="AN969" i="1"/>
  <c r="AO969" i="1"/>
  <c r="L970" i="1"/>
  <c r="M970" i="1"/>
  <c r="N970" i="1"/>
  <c r="O970" i="1"/>
  <c r="P970" i="1"/>
  <c r="Q970" i="1"/>
  <c r="R970" i="1"/>
  <c r="S970" i="1"/>
  <c r="T970" i="1"/>
  <c r="U970" i="1"/>
  <c r="V970" i="1"/>
  <c r="W970" i="1"/>
  <c r="X970" i="1"/>
  <c r="Y970" i="1"/>
  <c r="Z970" i="1"/>
  <c r="AA970" i="1"/>
  <c r="AB970" i="1"/>
  <c r="AC970" i="1"/>
  <c r="AD970" i="1"/>
  <c r="AE970" i="1"/>
  <c r="AF970" i="1"/>
  <c r="AM970" i="1"/>
  <c r="AN970" i="1"/>
  <c r="AO970" i="1"/>
  <c r="L971" i="1"/>
  <c r="M971" i="1"/>
  <c r="N971" i="1"/>
  <c r="O971" i="1"/>
  <c r="P971" i="1"/>
  <c r="Q971" i="1"/>
  <c r="R971" i="1"/>
  <c r="S971" i="1"/>
  <c r="T971" i="1"/>
  <c r="U971" i="1"/>
  <c r="V971" i="1"/>
  <c r="W971" i="1"/>
  <c r="X971" i="1"/>
  <c r="Y971" i="1"/>
  <c r="Z971" i="1"/>
  <c r="AA971" i="1"/>
  <c r="AB971" i="1"/>
  <c r="AC971" i="1"/>
  <c r="AD971" i="1"/>
  <c r="AE971" i="1"/>
  <c r="AF971" i="1"/>
  <c r="AM971" i="1"/>
  <c r="AN971" i="1"/>
  <c r="AO971" i="1"/>
  <c r="L972" i="1"/>
  <c r="M972" i="1"/>
  <c r="N972" i="1"/>
  <c r="O972" i="1"/>
  <c r="P972" i="1"/>
  <c r="Q972" i="1"/>
  <c r="R972" i="1"/>
  <c r="S972" i="1"/>
  <c r="T972" i="1"/>
  <c r="U972" i="1"/>
  <c r="V972" i="1"/>
  <c r="W972" i="1"/>
  <c r="X972" i="1"/>
  <c r="Y972" i="1"/>
  <c r="Z972" i="1"/>
  <c r="AA972" i="1"/>
  <c r="AB972" i="1"/>
  <c r="AC972" i="1"/>
  <c r="AD972" i="1"/>
  <c r="AE972" i="1"/>
  <c r="AF972" i="1"/>
  <c r="AM972" i="1"/>
  <c r="AN972" i="1"/>
  <c r="AO972" i="1"/>
  <c r="L973" i="1"/>
  <c r="M973" i="1"/>
  <c r="N973" i="1"/>
  <c r="O973" i="1"/>
  <c r="P973" i="1"/>
  <c r="Q973" i="1"/>
  <c r="R973" i="1"/>
  <c r="S973" i="1"/>
  <c r="T973" i="1"/>
  <c r="U973" i="1"/>
  <c r="V973" i="1"/>
  <c r="W973" i="1"/>
  <c r="X973" i="1"/>
  <c r="Y973" i="1"/>
  <c r="Z973" i="1"/>
  <c r="AA973" i="1"/>
  <c r="AB973" i="1"/>
  <c r="AC973" i="1"/>
  <c r="AD973" i="1"/>
  <c r="AE973" i="1"/>
  <c r="AF973" i="1"/>
  <c r="AM973" i="1"/>
  <c r="AN973" i="1"/>
  <c r="AO973" i="1"/>
  <c r="L974" i="1"/>
  <c r="M974" i="1"/>
  <c r="N974" i="1"/>
  <c r="O974" i="1"/>
  <c r="P974" i="1"/>
  <c r="Q974" i="1"/>
  <c r="R974" i="1"/>
  <c r="S974" i="1"/>
  <c r="T974" i="1"/>
  <c r="U974" i="1"/>
  <c r="V974" i="1"/>
  <c r="W974" i="1"/>
  <c r="X974" i="1"/>
  <c r="Y974" i="1"/>
  <c r="Z974" i="1"/>
  <c r="AA974" i="1"/>
  <c r="AB974" i="1"/>
  <c r="AC974" i="1"/>
  <c r="AD974" i="1"/>
  <c r="AE974" i="1"/>
  <c r="AF974" i="1"/>
  <c r="AM974" i="1"/>
  <c r="AN974" i="1"/>
  <c r="AO974" i="1"/>
  <c r="L975" i="1"/>
  <c r="M975" i="1"/>
  <c r="N975" i="1"/>
  <c r="O975" i="1"/>
  <c r="P975" i="1"/>
  <c r="Q975" i="1"/>
  <c r="R975" i="1"/>
  <c r="S975" i="1"/>
  <c r="T975" i="1"/>
  <c r="U975" i="1"/>
  <c r="V975" i="1"/>
  <c r="W975" i="1"/>
  <c r="X975" i="1"/>
  <c r="Y975" i="1"/>
  <c r="Z975" i="1"/>
  <c r="AA975" i="1"/>
  <c r="AB975" i="1"/>
  <c r="AC975" i="1"/>
  <c r="AD975" i="1"/>
  <c r="AE975" i="1"/>
  <c r="AF975" i="1"/>
  <c r="AM975" i="1"/>
  <c r="AN975" i="1"/>
  <c r="AO975" i="1"/>
  <c r="L976" i="1"/>
  <c r="M976" i="1"/>
  <c r="N976" i="1"/>
  <c r="O976" i="1"/>
  <c r="P976" i="1"/>
  <c r="Q976" i="1"/>
  <c r="R976" i="1"/>
  <c r="S976" i="1"/>
  <c r="T976" i="1"/>
  <c r="U976" i="1"/>
  <c r="V976" i="1"/>
  <c r="W976" i="1"/>
  <c r="X976" i="1"/>
  <c r="Y976" i="1"/>
  <c r="Z976" i="1"/>
  <c r="AA976" i="1"/>
  <c r="AB976" i="1"/>
  <c r="AC976" i="1"/>
  <c r="AD976" i="1"/>
  <c r="AE976" i="1"/>
  <c r="AF976" i="1"/>
  <c r="AM976" i="1"/>
  <c r="AN976" i="1"/>
  <c r="AO976" i="1"/>
  <c r="L977" i="1"/>
  <c r="M977" i="1"/>
  <c r="N977" i="1"/>
  <c r="O977" i="1"/>
  <c r="P977" i="1"/>
  <c r="Q977" i="1"/>
  <c r="R977" i="1"/>
  <c r="S977" i="1"/>
  <c r="T977" i="1"/>
  <c r="U977" i="1"/>
  <c r="V977" i="1"/>
  <c r="W977" i="1"/>
  <c r="X977" i="1"/>
  <c r="Y977" i="1"/>
  <c r="Z977" i="1"/>
  <c r="AA977" i="1"/>
  <c r="AB977" i="1"/>
  <c r="AC977" i="1"/>
  <c r="AD977" i="1"/>
  <c r="AE977" i="1"/>
  <c r="AF977" i="1"/>
  <c r="AM977" i="1"/>
  <c r="AN977" i="1"/>
  <c r="AO977" i="1"/>
  <c r="L978" i="1"/>
  <c r="M978" i="1"/>
  <c r="N978" i="1"/>
  <c r="O978" i="1"/>
  <c r="P978" i="1"/>
  <c r="Q978" i="1"/>
  <c r="R978" i="1"/>
  <c r="S978" i="1"/>
  <c r="T978" i="1"/>
  <c r="U978" i="1"/>
  <c r="V978" i="1"/>
  <c r="W978" i="1"/>
  <c r="X978" i="1"/>
  <c r="Y978" i="1"/>
  <c r="Z978" i="1"/>
  <c r="AA978" i="1"/>
  <c r="AB978" i="1"/>
  <c r="AC978" i="1"/>
  <c r="AD978" i="1"/>
  <c r="AE978" i="1"/>
  <c r="AF978" i="1"/>
  <c r="AM978" i="1"/>
  <c r="AN978" i="1"/>
  <c r="AO978" i="1"/>
  <c r="L979" i="1"/>
  <c r="M979" i="1"/>
  <c r="N979" i="1"/>
  <c r="O979" i="1"/>
  <c r="P979" i="1"/>
  <c r="Q979" i="1"/>
  <c r="R979" i="1"/>
  <c r="S979" i="1"/>
  <c r="T979" i="1"/>
  <c r="U979" i="1"/>
  <c r="V979" i="1"/>
  <c r="W979" i="1"/>
  <c r="X979" i="1"/>
  <c r="Y979" i="1"/>
  <c r="Z979" i="1"/>
  <c r="AA979" i="1"/>
  <c r="AB979" i="1"/>
  <c r="AC979" i="1"/>
  <c r="AD979" i="1"/>
  <c r="AE979" i="1"/>
  <c r="AF979" i="1"/>
  <c r="AM979" i="1"/>
  <c r="AN979" i="1"/>
  <c r="AO979" i="1"/>
  <c r="L980" i="1"/>
  <c r="M980" i="1"/>
  <c r="N980" i="1"/>
  <c r="O980" i="1"/>
  <c r="P980" i="1"/>
  <c r="Q980" i="1"/>
  <c r="R980" i="1"/>
  <c r="S980" i="1"/>
  <c r="T980" i="1"/>
  <c r="U980" i="1"/>
  <c r="V980" i="1"/>
  <c r="W980" i="1"/>
  <c r="X980" i="1"/>
  <c r="Y980" i="1"/>
  <c r="Z980" i="1"/>
  <c r="AA980" i="1"/>
  <c r="AB980" i="1"/>
  <c r="AC980" i="1"/>
  <c r="AD980" i="1"/>
  <c r="AE980" i="1"/>
  <c r="AF980" i="1"/>
  <c r="AM980" i="1"/>
  <c r="AN980" i="1"/>
  <c r="AO980" i="1"/>
  <c r="L981" i="1"/>
  <c r="M981" i="1"/>
  <c r="N981" i="1"/>
  <c r="O981" i="1"/>
  <c r="P981" i="1"/>
  <c r="Q981" i="1"/>
  <c r="R981" i="1"/>
  <c r="S981" i="1"/>
  <c r="T981" i="1"/>
  <c r="U981" i="1"/>
  <c r="V981" i="1"/>
  <c r="W981" i="1"/>
  <c r="X981" i="1"/>
  <c r="Y981" i="1"/>
  <c r="Z981" i="1"/>
  <c r="AA981" i="1"/>
  <c r="AB981" i="1"/>
  <c r="AC981" i="1"/>
  <c r="AD981" i="1"/>
  <c r="AE981" i="1"/>
  <c r="AF981" i="1"/>
  <c r="AM981" i="1"/>
  <c r="AN981" i="1"/>
  <c r="AO981" i="1"/>
  <c r="L982" i="1"/>
  <c r="M982" i="1"/>
  <c r="N982" i="1"/>
  <c r="O982" i="1"/>
  <c r="P982" i="1"/>
  <c r="Q982" i="1"/>
  <c r="R982" i="1"/>
  <c r="S982" i="1"/>
  <c r="T982" i="1"/>
  <c r="U982" i="1"/>
  <c r="V982" i="1"/>
  <c r="W982" i="1"/>
  <c r="X982" i="1"/>
  <c r="Y982" i="1"/>
  <c r="Z982" i="1"/>
  <c r="AA982" i="1"/>
  <c r="AB982" i="1"/>
  <c r="AC982" i="1"/>
  <c r="AD982" i="1"/>
  <c r="AE982" i="1"/>
  <c r="AF982" i="1"/>
  <c r="AM982" i="1"/>
  <c r="AN982" i="1"/>
  <c r="AO982" i="1"/>
  <c r="L983" i="1"/>
  <c r="M983" i="1"/>
  <c r="N983" i="1"/>
  <c r="O983" i="1"/>
  <c r="P983" i="1"/>
  <c r="Q983" i="1"/>
  <c r="R983" i="1"/>
  <c r="S983" i="1"/>
  <c r="T983" i="1"/>
  <c r="U983" i="1"/>
  <c r="V983" i="1"/>
  <c r="W983" i="1"/>
  <c r="X983" i="1"/>
  <c r="Y983" i="1"/>
  <c r="Z983" i="1"/>
  <c r="AA983" i="1"/>
  <c r="AB983" i="1"/>
  <c r="AC983" i="1"/>
  <c r="AD983" i="1"/>
  <c r="AE983" i="1"/>
  <c r="AF983" i="1"/>
  <c r="AM983" i="1"/>
  <c r="AN983" i="1"/>
  <c r="AO983" i="1"/>
  <c r="L984" i="1"/>
  <c r="M984" i="1"/>
  <c r="N984" i="1"/>
  <c r="O984" i="1"/>
  <c r="P984" i="1"/>
  <c r="Q984" i="1"/>
  <c r="R984" i="1"/>
  <c r="S984" i="1"/>
  <c r="T984" i="1"/>
  <c r="U984" i="1"/>
  <c r="V984" i="1"/>
  <c r="W984" i="1"/>
  <c r="X984" i="1"/>
  <c r="Y984" i="1"/>
  <c r="Z984" i="1"/>
  <c r="AA984" i="1"/>
  <c r="AB984" i="1"/>
  <c r="AC984" i="1"/>
  <c r="AD984" i="1"/>
  <c r="AE984" i="1"/>
  <c r="AF984" i="1"/>
  <c r="AM984" i="1"/>
  <c r="AN984" i="1"/>
  <c r="AO984" i="1"/>
  <c r="L985" i="1"/>
  <c r="M985" i="1"/>
  <c r="N985" i="1"/>
  <c r="O985" i="1"/>
  <c r="P985" i="1"/>
  <c r="Q985" i="1"/>
  <c r="R985" i="1"/>
  <c r="S985" i="1"/>
  <c r="T985" i="1"/>
  <c r="U985" i="1"/>
  <c r="V985" i="1"/>
  <c r="W985" i="1"/>
  <c r="X985" i="1"/>
  <c r="Y985" i="1"/>
  <c r="Z985" i="1"/>
  <c r="AA985" i="1"/>
  <c r="AB985" i="1"/>
  <c r="AC985" i="1"/>
  <c r="AD985" i="1"/>
  <c r="AE985" i="1"/>
  <c r="AF985" i="1"/>
  <c r="AM985" i="1"/>
  <c r="AN985" i="1"/>
  <c r="AO985" i="1"/>
  <c r="L986" i="1"/>
  <c r="M986" i="1"/>
  <c r="N986" i="1"/>
  <c r="O986" i="1"/>
  <c r="P986" i="1"/>
  <c r="Q986" i="1"/>
  <c r="R986" i="1"/>
  <c r="S986" i="1"/>
  <c r="T986" i="1"/>
  <c r="U986" i="1"/>
  <c r="V986" i="1"/>
  <c r="W986" i="1"/>
  <c r="X986" i="1"/>
  <c r="Y986" i="1"/>
  <c r="Z986" i="1"/>
  <c r="AA986" i="1"/>
  <c r="AB986" i="1"/>
  <c r="AC986" i="1"/>
  <c r="AD986" i="1"/>
  <c r="AE986" i="1"/>
  <c r="AF986" i="1"/>
  <c r="AM986" i="1"/>
  <c r="AN986" i="1"/>
  <c r="AO986" i="1"/>
  <c r="L987" i="1"/>
  <c r="M987" i="1"/>
  <c r="N987" i="1"/>
  <c r="O987" i="1"/>
  <c r="P987" i="1"/>
  <c r="Q987" i="1"/>
  <c r="R987" i="1"/>
  <c r="S987" i="1"/>
  <c r="T987" i="1"/>
  <c r="U987" i="1"/>
  <c r="V987" i="1"/>
  <c r="W987" i="1"/>
  <c r="X987" i="1"/>
  <c r="Y987" i="1"/>
  <c r="Z987" i="1"/>
  <c r="AA987" i="1"/>
  <c r="AB987" i="1"/>
  <c r="AC987" i="1"/>
  <c r="AD987" i="1"/>
  <c r="AE987" i="1"/>
  <c r="AF987" i="1"/>
  <c r="AM987" i="1"/>
  <c r="AN987" i="1"/>
  <c r="AO987" i="1"/>
  <c r="L988" i="1"/>
  <c r="M988" i="1"/>
  <c r="N988" i="1"/>
  <c r="O988" i="1"/>
  <c r="P988" i="1"/>
  <c r="Q988" i="1"/>
  <c r="R988" i="1"/>
  <c r="S988" i="1"/>
  <c r="T988" i="1"/>
  <c r="U988" i="1"/>
  <c r="V988" i="1"/>
  <c r="W988" i="1"/>
  <c r="X988" i="1"/>
  <c r="Y988" i="1"/>
  <c r="Z988" i="1"/>
  <c r="AA988" i="1"/>
  <c r="AB988" i="1"/>
  <c r="AC988" i="1"/>
  <c r="AD988" i="1"/>
  <c r="AE988" i="1"/>
  <c r="AF988" i="1"/>
  <c r="AM988" i="1"/>
  <c r="AN988" i="1"/>
  <c r="AO988" i="1"/>
  <c r="L989" i="1"/>
  <c r="M989" i="1"/>
  <c r="N989" i="1"/>
  <c r="O989" i="1"/>
  <c r="P989" i="1"/>
  <c r="Q989" i="1"/>
  <c r="R989" i="1"/>
  <c r="S989" i="1"/>
  <c r="T989" i="1"/>
  <c r="U989" i="1"/>
  <c r="V989" i="1"/>
  <c r="W989" i="1"/>
  <c r="X989" i="1"/>
  <c r="Y989" i="1"/>
  <c r="Z989" i="1"/>
  <c r="AA989" i="1"/>
  <c r="AB989" i="1"/>
  <c r="AC989" i="1"/>
  <c r="AD989" i="1"/>
  <c r="AE989" i="1"/>
  <c r="AF989" i="1"/>
  <c r="AM989" i="1"/>
  <c r="AN989" i="1"/>
  <c r="AO989" i="1"/>
  <c r="L990" i="1"/>
  <c r="M990" i="1"/>
  <c r="N990" i="1"/>
  <c r="O990" i="1"/>
  <c r="P990" i="1"/>
  <c r="Q990" i="1"/>
  <c r="R990" i="1"/>
  <c r="S990" i="1"/>
  <c r="T990" i="1"/>
  <c r="U990" i="1"/>
  <c r="V990" i="1"/>
  <c r="W990" i="1"/>
  <c r="X990" i="1"/>
  <c r="Y990" i="1"/>
  <c r="Z990" i="1"/>
  <c r="AA990" i="1"/>
  <c r="AB990" i="1"/>
  <c r="AC990" i="1"/>
  <c r="AD990" i="1"/>
  <c r="AE990" i="1"/>
  <c r="AF990" i="1"/>
  <c r="AM990" i="1"/>
  <c r="AN990" i="1"/>
  <c r="AO990" i="1"/>
  <c r="L991" i="1"/>
  <c r="M991" i="1"/>
  <c r="N991" i="1"/>
  <c r="O991" i="1"/>
  <c r="P991" i="1"/>
  <c r="Q991" i="1"/>
  <c r="R991" i="1"/>
  <c r="S991" i="1"/>
  <c r="T991" i="1"/>
  <c r="U991" i="1"/>
  <c r="V991" i="1"/>
  <c r="W991" i="1"/>
  <c r="X991" i="1"/>
  <c r="Y991" i="1"/>
  <c r="Z991" i="1"/>
  <c r="AA991" i="1"/>
  <c r="AB991" i="1"/>
  <c r="AC991" i="1"/>
  <c r="AD991" i="1"/>
  <c r="AE991" i="1"/>
  <c r="AF991" i="1"/>
  <c r="AM991" i="1"/>
  <c r="AN991" i="1"/>
  <c r="AO991" i="1"/>
  <c r="L992" i="1"/>
  <c r="M992" i="1"/>
  <c r="N992" i="1"/>
  <c r="O992" i="1"/>
  <c r="P992" i="1"/>
  <c r="Q992" i="1"/>
  <c r="R992" i="1"/>
  <c r="S992" i="1"/>
  <c r="T992" i="1"/>
  <c r="U992" i="1"/>
  <c r="V992" i="1"/>
  <c r="W992" i="1"/>
  <c r="X992" i="1"/>
  <c r="Y992" i="1"/>
  <c r="Z992" i="1"/>
  <c r="AA992" i="1"/>
  <c r="AB992" i="1"/>
  <c r="AC992" i="1"/>
  <c r="AD992" i="1"/>
  <c r="AE992" i="1"/>
  <c r="AF992" i="1"/>
  <c r="AM992" i="1"/>
  <c r="AN992" i="1"/>
  <c r="AO992" i="1"/>
  <c r="L993" i="1"/>
  <c r="M993" i="1"/>
  <c r="N993" i="1"/>
  <c r="O993" i="1"/>
  <c r="P993" i="1"/>
  <c r="Q993" i="1"/>
  <c r="R993" i="1"/>
  <c r="S993" i="1"/>
  <c r="T993" i="1"/>
  <c r="U993" i="1"/>
  <c r="V993" i="1"/>
  <c r="W993" i="1"/>
  <c r="X993" i="1"/>
  <c r="Y993" i="1"/>
  <c r="Z993" i="1"/>
  <c r="AA993" i="1"/>
  <c r="AB993" i="1"/>
  <c r="AC993" i="1"/>
  <c r="AD993" i="1"/>
  <c r="AE993" i="1"/>
  <c r="AF993" i="1"/>
  <c r="AM993" i="1"/>
  <c r="AN993" i="1"/>
  <c r="AO993" i="1"/>
  <c r="L994" i="1"/>
  <c r="M994" i="1"/>
  <c r="N994" i="1"/>
  <c r="O994" i="1"/>
  <c r="P994" i="1"/>
  <c r="Q994" i="1"/>
  <c r="R994" i="1"/>
  <c r="S994" i="1"/>
  <c r="T994" i="1"/>
  <c r="U994" i="1"/>
  <c r="V994" i="1"/>
  <c r="W994" i="1"/>
  <c r="X994" i="1"/>
  <c r="Y994" i="1"/>
  <c r="Z994" i="1"/>
  <c r="AA994" i="1"/>
  <c r="AB994" i="1"/>
  <c r="AC994" i="1"/>
  <c r="AD994" i="1"/>
  <c r="AE994" i="1"/>
  <c r="AF994" i="1"/>
  <c r="AM994" i="1"/>
  <c r="AN994" i="1"/>
  <c r="AO994" i="1"/>
  <c r="L995" i="1"/>
  <c r="M995" i="1"/>
  <c r="N995" i="1"/>
  <c r="O995" i="1"/>
  <c r="P995" i="1"/>
  <c r="Q995" i="1"/>
  <c r="R995" i="1"/>
  <c r="S995" i="1"/>
  <c r="T995" i="1"/>
  <c r="U995" i="1"/>
  <c r="V995" i="1"/>
  <c r="W995" i="1"/>
  <c r="X995" i="1"/>
  <c r="Y995" i="1"/>
  <c r="Z995" i="1"/>
  <c r="AA995" i="1"/>
  <c r="AB995" i="1"/>
  <c r="AC995" i="1"/>
  <c r="AD995" i="1"/>
  <c r="AE995" i="1"/>
  <c r="AF995" i="1"/>
  <c r="AM995" i="1"/>
  <c r="AN995" i="1"/>
  <c r="AO995" i="1"/>
  <c r="L996" i="1"/>
  <c r="M996" i="1"/>
  <c r="N996" i="1"/>
  <c r="O996" i="1"/>
  <c r="P996" i="1"/>
  <c r="Q996" i="1"/>
  <c r="R996" i="1"/>
  <c r="S996" i="1"/>
  <c r="T996" i="1"/>
  <c r="U996" i="1"/>
  <c r="V996" i="1"/>
  <c r="W996" i="1"/>
  <c r="X996" i="1"/>
  <c r="Y996" i="1"/>
  <c r="Z996" i="1"/>
  <c r="AA996" i="1"/>
  <c r="AB996" i="1"/>
  <c r="AC996" i="1"/>
  <c r="AD996" i="1"/>
  <c r="AE996" i="1"/>
  <c r="AF996" i="1"/>
  <c r="AM996" i="1"/>
  <c r="AN996" i="1"/>
  <c r="AO996" i="1"/>
  <c r="L997" i="1"/>
  <c r="M997" i="1"/>
  <c r="N997" i="1"/>
  <c r="O997" i="1"/>
  <c r="P997" i="1"/>
  <c r="Q997" i="1"/>
  <c r="R997" i="1"/>
  <c r="S997" i="1"/>
  <c r="T997" i="1"/>
  <c r="U997" i="1"/>
  <c r="V997" i="1"/>
  <c r="W997" i="1"/>
  <c r="X997" i="1"/>
  <c r="Y997" i="1"/>
  <c r="Z997" i="1"/>
  <c r="AA997" i="1"/>
  <c r="AB997" i="1"/>
  <c r="AC997" i="1"/>
  <c r="AD997" i="1"/>
  <c r="AE997" i="1"/>
  <c r="AF997" i="1"/>
  <c r="AM997" i="1"/>
  <c r="AN997" i="1"/>
  <c r="AO997" i="1"/>
  <c r="L998" i="1"/>
  <c r="M998" i="1"/>
  <c r="N998" i="1"/>
  <c r="O998" i="1"/>
  <c r="P998" i="1"/>
  <c r="Q998" i="1"/>
  <c r="R998" i="1"/>
  <c r="S998" i="1"/>
  <c r="T998" i="1"/>
  <c r="U998" i="1"/>
  <c r="V998" i="1"/>
  <c r="W998" i="1"/>
  <c r="X998" i="1"/>
  <c r="Y998" i="1"/>
  <c r="Z998" i="1"/>
  <c r="AA998" i="1"/>
  <c r="AB998" i="1"/>
  <c r="AC998" i="1"/>
  <c r="AD998" i="1"/>
  <c r="AE998" i="1"/>
  <c r="AF998" i="1"/>
  <c r="AM998" i="1"/>
  <c r="AN998" i="1"/>
  <c r="AO998" i="1"/>
  <c r="L999" i="1"/>
  <c r="M999" i="1"/>
  <c r="N999" i="1"/>
  <c r="O999" i="1"/>
  <c r="P999" i="1"/>
  <c r="Q999" i="1"/>
  <c r="R999" i="1"/>
  <c r="S999" i="1"/>
  <c r="T999" i="1"/>
  <c r="U999" i="1"/>
  <c r="V999" i="1"/>
  <c r="W999" i="1"/>
  <c r="X999" i="1"/>
  <c r="Y999" i="1"/>
  <c r="Z999" i="1"/>
  <c r="AA999" i="1"/>
  <c r="AB999" i="1"/>
  <c r="AC999" i="1"/>
  <c r="AD999" i="1"/>
  <c r="AE999" i="1"/>
  <c r="AF999" i="1"/>
  <c r="AM999" i="1"/>
  <c r="AN999" i="1"/>
  <c r="AO999" i="1"/>
  <c r="L1000" i="1"/>
  <c r="M1000" i="1"/>
  <c r="N1000" i="1"/>
  <c r="O1000" i="1"/>
  <c r="P1000" i="1"/>
  <c r="Q1000" i="1"/>
  <c r="R1000" i="1"/>
  <c r="S1000" i="1"/>
  <c r="T1000" i="1"/>
  <c r="U1000" i="1"/>
  <c r="V1000" i="1"/>
  <c r="W1000" i="1"/>
  <c r="X1000" i="1"/>
  <c r="Y1000" i="1"/>
  <c r="Z1000" i="1"/>
  <c r="AA1000" i="1"/>
  <c r="AB1000" i="1"/>
  <c r="AC1000" i="1"/>
  <c r="AD1000" i="1"/>
  <c r="AE1000" i="1"/>
  <c r="AF1000" i="1"/>
  <c r="AM1000" i="1"/>
  <c r="AN1000" i="1"/>
  <c r="AO1000" i="1"/>
  <c r="L1001" i="1"/>
  <c r="M1001" i="1"/>
  <c r="N1001" i="1"/>
  <c r="O1001" i="1"/>
  <c r="P1001" i="1"/>
  <c r="Q1001" i="1"/>
  <c r="R1001" i="1"/>
  <c r="S1001" i="1"/>
  <c r="T1001" i="1"/>
  <c r="U1001" i="1"/>
  <c r="V1001" i="1"/>
  <c r="W1001" i="1"/>
  <c r="X1001" i="1"/>
  <c r="Y1001" i="1"/>
  <c r="Z1001" i="1"/>
  <c r="AA1001" i="1"/>
  <c r="AB1001" i="1"/>
  <c r="AC1001" i="1"/>
  <c r="AD1001" i="1"/>
  <c r="AE1001" i="1"/>
  <c r="AF1001" i="1"/>
  <c r="AM1001" i="1"/>
  <c r="AN1001" i="1"/>
  <c r="AO1001" i="1"/>
  <c r="L1002" i="1"/>
  <c r="M1002" i="1"/>
  <c r="N1002" i="1"/>
  <c r="O1002" i="1"/>
  <c r="P1002" i="1"/>
  <c r="Q1002" i="1"/>
  <c r="R1002" i="1"/>
  <c r="S1002" i="1"/>
  <c r="T1002" i="1"/>
  <c r="U1002" i="1"/>
  <c r="V1002" i="1"/>
  <c r="W1002" i="1"/>
  <c r="X1002" i="1"/>
  <c r="Y1002" i="1"/>
  <c r="Z1002" i="1"/>
  <c r="AA1002" i="1"/>
  <c r="AB1002" i="1"/>
  <c r="AC1002" i="1"/>
  <c r="AD1002" i="1"/>
  <c r="AE1002" i="1"/>
  <c r="AF1002" i="1"/>
  <c r="AM1002" i="1"/>
  <c r="AN1002" i="1"/>
  <c r="AO1002" i="1"/>
  <c r="L1003" i="1"/>
  <c r="M1003" i="1"/>
  <c r="N1003" i="1"/>
  <c r="O1003" i="1"/>
  <c r="P1003" i="1"/>
  <c r="Q1003" i="1"/>
  <c r="R1003" i="1"/>
  <c r="S1003" i="1"/>
  <c r="T1003" i="1"/>
  <c r="U1003" i="1"/>
  <c r="V1003" i="1"/>
  <c r="W1003" i="1"/>
  <c r="X1003" i="1"/>
  <c r="Y1003" i="1"/>
  <c r="Z1003" i="1"/>
  <c r="AA1003" i="1"/>
  <c r="AB1003" i="1"/>
  <c r="AC1003" i="1"/>
  <c r="AD1003" i="1"/>
  <c r="AE1003" i="1"/>
  <c r="AF1003" i="1"/>
  <c r="AM1003" i="1"/>
  <c r="AN1003" i="1"/>
  <c r="AO1003" i="1"/>
  <c r="L1004" i="1"/>
  <c r="M1004" i="1"/>
  <c r="N1004" i="1"/>
  <c r="O1004" i="1"/>
  <c r="P1004" i="1"/>
  <c r="Q1004" i="1"/>
  <c r="R1004" i="1"/>
  <c r="S1004" i="1"/>
  <c r="T1004" i="1"/>
  <c r="U1004" i="1"/>
  <c r="V1004" i="1"/>
  <c r="W1004" i="1"/>
  <c r="X1004" i="1"/>
  <c r="Y1004" i="1"/>
  <c r="Z1004" i="1"/>
  <c r="AA1004" i="1"/>
  <c r="AB1004" i="1"/>
  <c r="AC1004" i="1"/>
  <c r="AD1004" i="1"/>
  <c r="AE1004" i="1"/>
  <c r="AF1004" i="1"/>
  <c r="AM1004" i="1"/>
  <c r="AN1004" i="1"/>
  <c r="AO1004" i="1"/>
  <c r="L1005" i="1"/>
  <c r="M1005" i="1"/>
  <c r="N1005" i="1"/>
  <c r="O1005" i="1"/>
  <c r="P1005" i="1"/>
  <c r="Q1005" i="1"/>
  <c r="R1005" i="1"/>
  <c r="S1005" i="1"/>
  <c r="T1005" i="1"/>
  <c r="U1005" i="1"/>
  <c r="V1005" i="1"/>
  <c r="W1005" i="1"/>
  <c r="X1005" i="1"/>
  <c r="Y1005" i="1"/>
  <c r="Z1005" i="1"/>
  <c r="AA1005" i="1"/>
  <c r="AB1005" i="1"/>
  <c r="AC1005" i="1"/>
  <c r="AD1005" i="1"/>
  <c r="AE1005" i="1"/>
  <c r="AF1005" i="1"/>
  <c r="AM1005" i="1"/>
  <c r="AN1005" i="1"/>
  <c r="AO1005" i="1"/>
  <c r="L1006" i="1"/>
  <c r="M1006" i="1"/>
  <c r="N1006" i="1"/>
  <c r="O1006" i="1"/>
  <c r="P1006" i="1"/>
  <c r="Q1006" i="1"/>
  <c r="R1006" i="1"/>
  <c r="S1006" i="1"/>
  <c r="T1006" i="1"/>
  <c r="U1006" i="1"/>
  <c r="V1006" i="1"/>
  <c r="W1006" i="1"/>
  <c r="X1006" i="1"/>
  <c r="Y1006" i="1"/>
  <c r="Z1006" i="1"/>
  <c r="AA1006" i="1"/>
  <c r="AB1006" i="1"/>
  <c r="AC1006" i="1"/>
  <c r="AD1006" i="1"/>
  <c r="AE1006" i="1"/>
  <c r="AF1006" i="1"/>
  <c r="AM1006" i="1"/>
  <c r="AN1006" i="1"/>
  <c r="AO1006" i="1"/>
  <c r="L1007" i="1"/>
  <c r="M1007" i="1"/>
  <c r="N1007" i="1"/>
  <c r="O1007" i="1"/>
  <c r="P1007" i="1"/>
  <c r="Q1007" i="1"/>
  <c r="R1007" i="1"/>
  <c r="S1007" i="1"/>
  <c r="T1007" i="1"/>
  <c r="U1007" i="1"/>
  <c r="V1007" i="1"/>
  <c r="W1007" i="1"/>
  <c r="X1007" i="1"/>
  <c r="Y1007" i="1"/>
  <c r="Z1007" i="1"/>
  <c r="AA1007" i="1"/>
  <c r="AB1007" i="1"/>
  <c r="AC1007" i="1"/>
  <c r="AD1007" i="1"/>
  <c r="AE1007" i="1"/>
  <c r="AF1007" i="1"/>
  <c r="AM1007" i="1"/>
  <c r="AN1007" i="1"/>
  <c r="AO1007" i="1"/>
  <c r="L1008" i="1"/>
  <c r="M1008" i="1"/>
  <c r="N1008" i="1"/>
  <c r="O1008" i="1"/>
  <c r="P1008" i="1"/>
  <c r="Q1008" i="1"/>
  <c r="R1008" i="1"/>
  <c r="S1008" i="1"/>
  <c r="T1008" i="1"/>
  <c r="U1008" i="1"/>
  <c r="V1008" i="1"/>
  <c r="W1008" i="1"/>
  <c r="X1008" i="1"/>
  <c r="Y1008" i="1"/>
  <c r="Z1008" i="1"/>
  <c r="AA1008" i="1"/>
  <c r="AB1008" i="1"/>
  <c r="AC1008" i="1"/>
  <c r="AD1008" i="1"/>
  <c r="AE1008" i="1"/>
  <c r="AF1008" i="1"/>
  <c r="AM1008" i="1"/>
  <c r="AN1008" i="1"/>
  <c r="AO1008" i="1"/>
  <c r="L1009" i="1"/>
  <c r="M1009" i="1"/>
  <c r="N1009" i="1"/>
  <c r="O1009" i="1"/>
  <c r="P1009" i="1"/>
  <c r="Q1009" i="1"/>
  <c r="R1009" i="1"/>
  <c r="S1009" i="1"/>
  <c r="T1009" i="1"/>
  <c r="U1009" i="1"/>
  <c r="V1009" i="1"/>
  <c r="W1009" i="1"/>
  <c r="X1009" i="1"/>
  <c r="Y1009" i="1"/>
  <c r="Z1009" i="1"/>
  <c r="AA1009" i="1"/>
  <c r="AB1009" i="1"/>
  <c r="AC1009" i="1"/>
  <c r="AD1009" i="1"/>
  <c r="AE1009" i="1"/>
  <c r="AF1009" i="1"/>
  <c r="AM1009" i="1"/>
  <c r="AN1009" i="1"/>
  <c r="AO1009" i="1"/>
  <c r="L1010" i="1"/>
  <c r="M1010" i="1"/>
  <c r="N1010" i="1"/>
  <c r="O1010" i="1"/>
  <c r="P1010" i="1"/>
  <c r="Q1010" i="1"/>
  <c r="R1010" i="1"/>
  <c r="S1010" i="1"/>
  <c r="T1010" i="1"/>
  <c r="U1010" i="1"/>
  <c r="V1010" i="1"/>
  <c r="W1010" i="1"/>
  <c r="X1010" i="1"/>
  <c r="Y1010" i="1"/>
  <c r="Z1010" i="1"/>
  <c r="AA1010" i="1"/>
  <c r="AB1010" i="1"/>
  <c r="AC1010" i="1"/>
  <c r="AD1010" i="1"/>
  <c r="AE1010" i="1"/>
  <c r="AF1010" i="1"/>
  <c r="AM1010" i="1"/>
  <c r="AN1010" i="1"/>
  <c r="AO1010" i="1"/>
  <c r="L1011" i="1"/>
  <c r="M1011" i="1"/>
  <c r="N1011" i="1"/>
  <c r="O1011" i="1"/>
  <c r="P1011" i="1"/>
  <c r="Q1011" i="1"/>
  <c r="R1011" i="1"/>
  <c r="S1011" i="1"/>
  <c r="T1011" i="1"/>
  <c r="U1011" i="1"/>
  <c r="V1011" i="1"/>
  <c r="W1011" i="1"/>
  <c r="X1011" i="1"/>
  <c r="Y1011" i="1"/>
  <c r="Z1011" i="1"/>
  <c r="AA1011" i="1"/>
  <c r="AB1011" i="1"/>
  <c r="AC1011" i="1"/>
  <c r="AD1011" i="1"/>
  <c r="AE1011" i="1"/>
  <c r="AF1011" i="1"/>
  <c r="AM1011" i="1"/>
  <c r="AN1011" i="1"/>
  <c r="AO1011" i="1"/>
  <c r="L1012" i="1"/>
  <c r="M1012" i="1"/>
  <c r="N1012" i="1"/>
  <c r="O1012" i="1"/>
  <c r="P1012" i="1"/>
  <c r="Q1012" i="1"/>
  <c r="R1012" i="1"/>
  <c r="S1012" i="1"/>
  <c r="T1012" i="1"/>
  <c r="U1012" i="1"/>
  <c r="V1012" i="1"/>
  <c r="W1012" i="1"/>
  <c r="X1012" i="1"/>
  <c r="Y1012" i="1"/>
  <c r="Z1012" i="1"/>
  <c r="AA1012" i="1"/>
  <c r="AB1012" i="1"/>
  <c r="AC1012" i="1"/>
  <c r="AD1012" i="1"/>
  <c r="AE1012" i="1"/>
  <c r="AF1012" i="1"/>
  <c r="AM1012" i="1"/>
  <c r="AN1012" i="1"/>
  <c r="AO1012" i="1"/>
  <c r="L1013" i="1"/>
  <c r="M1013" i="1"/>
  <c r="N1013" i="1"/>
  <c r="O1013" i="1"/>
  <c r="P1013" i="1"/>
  <c r="Q1013" i="1"/>
  <c r="R1013" i="1"/>
  <c r="S1013" i="1"/>
  <c r="T1013" i="1"/>
  <c r="U1013" i="1"/>
  <c r="V1013" i="1"/>
  <c r="W1013" i="1"/>
  <c r="X1013" i="1"/>
  <c r="Y1013" i="1"/>
  <c r="Z1013" i="1"/>
  <c r="AA1013" i="1"/>
  <c r="AB1013" i="1"/>
  <c r="AC1013" i="1"/>
  <c r="AD1013" i="1"/>
  <c r="AE1013" i="1"/>
  <c r="AF1013" i="1"/>
  <c r="AM1013" i="1"/>
  <c r="AN1013" i="1"/>
  <c r="AO1013" i="1"/>
  <c r="L1014" i="1"/>
  <c r="M1014" i="1"/>
  <c r="N1014" i="1"/>
  <c r="O1014" i="1"/>
  <c r="P1014" i="1"/>
  <c r="Q1014" i="1"/>
  <c r="R1014" i="1"/>
  <c r="S1014" i="1"/>
  <c r="T1014" i="1"/>
  <c r="U1014" i="1"/>
  <c r="V1014" i="1"/>
  <c r="W1014" i="1"/>
  <c r="X1014" i="1"/>
  <c r="Y1014" i="1"/>
  <c r="Z1014" i="1"/>
  <c r="AA1014" i="1"/>
  <c r="AB1014" i="1"/>
  <c r="AC1014" i="1"/>
  <c r="AD1014" i="1"/>
  <c r="AE1014" i="1"/>
  <c r="AF1014" i="1"/>
  <c r="AM1014" i="1"/>
  <c r="AN1014" i="1"/>
  <c r="AO1014" i="1"/>
  <c r="L1015" i="1"/>
  <c r="M1015" i="1"/>
  <c r="N1015" i="1"/>
  <c r="O1015" i="1"/>
  <c r="P1015" i="1"/>
  <c r="Q1015" i="1"/>
  <c r="R1015" i="1"/>
  <c r="S1015" i="1"/>
  <c r="T1015" i="1"/>
  <c r="U1015" i="1"/>
  <c r="V1015" i="1"/>
  <c r="W1015" i="1"/>
  <c r="X1015" i="1"/>
  <c r="Y1015" i="1"/>
  <c r="Z1015" i="1"/>
  <c r="AA1015" i="1"/>
  <c r="AB1015" i="1"/>
  <c r="AC1015" i="1"/>
  <c r="AD1015" i="1"/>
  <c r="AE1015" i="1"/>
  <c r="AF1015" i="1"/>
  <c r="AM1015" i="1"/>
  <c r="AN1015" i="1"/>
  <c r="AO1015" i="1"/>
  <c r="L1016" i="1"/>
  <c r="M1016" i="1"/>
  <c r="N1016" i="1"/>
  <c r="O1016" i="1"/>
  <c r="P1016" i="1"/>
  <c r="Q1016" i="1"/>
  <c r="R1016" i="1"/>
  <c r="S1016" i="1"/>
  <c r="T1016" i="1"/>
  <c r="U1016" i="1"/>
  <c r="V1016" i="1"/>
  <c r="W1016" i="1"/>
  <c r="X1016" i="1"/>
  <c r="Y1016" i="1"/>
  <c r="Z1016" i="1"/>
  <c r="AA1016" i="1"/>
  <c r="AB1016" i="1"/>
  <c r="AC1016" i="1"/>
  <c r="AD1016" i="1"/>
  <c r="AE1016" i="1"/>
  <c r="AF1016" i="1"/>
  <c r="AM1016" i="1"/>
  <c r="AN1016" i="1"/>
  <c r="AO1016" i="1"/>
  <c r="L1017" i="1"/>
  <c r="M1017" i="1"/>
  <c r="N1017" i="1"/>
  <c r="O1017" i="1"/>
  <c r="P1017" i="1"/>
  <c r="Q1017" i="1"/>
  <c r="R1017" i="1"/>
  <c r="S1017" i="1"/>
  <c r="T1017" i="1"/>
  <c r="U1017" i="1"/>
  <c r="V1017" i="1"/>
  <c r="W1017" i="1"/>
  <c r="X1017" i="1"/>
  <c r="Y1017" i="1"/>
  <c r="Z1017" i="1"/>
  <c r="AA1017" i="1"/>
  <c r="AB1017" i="1"/>
  <c r="AC1017" i="1"/>
  <c r="AD1017" i="1"/>
  <c r="AE1017" i="1"/>
  <c r="AF1017" i="1"/>
  <c r="AM1017" i="1"/>
  <c r="AN1017" i="1"/>
  <c r="AO1017" i="1"/>
  <c r="L1018" i="1"/>
  <c r="M1018" i="1"/>
  <c r="N1018" i="1"/>
  <c r="O1018" i="1"/>
  <c r="P1018" i="1"/>
  <c r="Q1018" i="1"/>
  <c r="R1018" i="1"/>
  <c r="S1018" i="1"/>
  <c r="T1018" i="1"/>
  <c r="U1018" i="1"/>
  <c r="V1018" i="1"/>
  <c r="W1018" i="1"/>
  <c r="X1018" i="1"/>
  <c r="Y1018" i="1"/>
  <c r="Z1018" i="1"/>
  <c r="AA1018" i="1"/>
  <c r="AB1018" i="1"/>
  <c r="AC1018" i="1"/>
  <c r="AD1018" i="1"/>
  <c r="AE1018" i="1"/>
  <c r="AF1018" i="1"/>
  <c r="AM1018" i="1"/>
  <c r="AN1018" i="1"/>
  <c r="AO1018" i="1"/>
  <c r="L1019" i="1"/>
  <c r="M1019" i="1"/>
  <c r="N1019" i="1"/>
  <c r="O1019" i="1"/>
  <c r="P1019" i="1"/>
  <c r="Q1019" i="1"/>
  <c r="R1019" i="1"/>
  <c r="S1019" i="1"/>
  <c r="T1019" i="1"/>
  <c r="U1019" i="1"/>
  <c r="V1019" i="1"/>
  <c r="W1019" i="1"/>
  <c r="X1019" i="1"/>
  <c r="Y1019" i="1"/>
  <c r="Z1019" i="1"/>
  <c r="AA1019" i="1"/>
  <c r="AB1019" i="1"/>
  <c r="AC1019" i="1"/>
  <c r="AD1019" i="1"/>
  <c r="AE1019" i="1"/>
  <c r="AF1019" i="1"/>
  <c r="AM1019" i="1"/>
  <c r="AN1019" i="1"/>
  <c r="AO1019" i="1"/>
  <c r="L1020" i="1"/>
  <c r="M1020" i="1"/>
  <c r="N1020" i="1"/>
  <c r="O1020" i="1"/>
  <c r="P1020" i="1"/>
  <c r="Q1020" i="1"/>
  <c r="R1020" i="1"/>
  <c r="S1020" i="1"/>
  <c r="T1020" i="1"/>
  <c r="U1020" i="1"/>
  <c r="V1020" i="1"/>
  <c r="W1020" i="1"/>
  <c r="X1020" i="1"/>
  <c r="Y1020" i="1"/>
  <c r="Z1020" i="1"/>
  <c r="AA1020" i="1"/>
  <c r="AB1020" i="1"/>
  <c r="AC1020" i="1"/>
  <c r="AD1020" i="1"/>
  <c r="AE1020" i="1"/>
  <c r="AF1020" i="1"/>
  <c r="AM1020" i="1"/>
  <c r="AN1020" i="1"/>
  <c r="AO1020" i="1"/>
  <c r="L1021" i="1"/>
  <c r="M1021" i="1"/>
  <c r="N1021" i="1"/>
  <c r="O1021" i="1"/>
  <c r="P1021" i="1"/>
  <c r="Q1021" i="1"/>
  <c r="R1021" i="1"/>
  <c r="S1021" i="1"/>
  <c r="T1021" i="1"/>
  <c r="U1021" i="1"/>
  <c r="V1021" i="1"/>
  <c r="W1021" i="1"/>
  <c r="X1021" i="1"/>
  <c r="Y1021" i="1"/>
  <c r="Z1021" i="1"/>
  <c r="AA1021" i="1"/>
  <c r="AB1021" i="1"/>
  <c r="AC1021" i="1"/>
  <c r="AD1021" i="1"/>
  <c r="AE1021" i="1"/>
  <c r="AF1021" i="1"/>
  <c r="AM1021" i="1"/>
  <c r="AN1021" i="1"/>
  <c r="AO1021" i="1"/>
  <c r="L1022" i="1"/>
  <c r="M1022" i="1"/>
  <c r="N1022" i="1"/>
  <c r="O1022" i="1"/>
  <c r="P1022" i="1"/>
  <c r="Q1022" i="1"/>
  <c r="R1022" i="1"/>
  <c r="S1022" i="1"/>
  <c r="T1022" i="1"/>
  <c r="U1022" i="1"/>
  <c r="V1022" i="1"/>
  <c r="W1022" i="1"/>
  <c r="X1022" i="1"/>
  <c r="Y1022" i="1"/>
  <c r="Z1022" i="1"/>
  <c r="AA1022" i="1"/>
  <c r="AB1022" i="1"/>
  <c r="AC1022" i="1"/>
  <c r="AD1022" i="1"/>
  <c r="AE1022" i="1"/>
  <c r="AF1022" i="1"/>
  <c r="AM1022" i="1"/>
  <c r="AN1022" i="1"/>
  <c r="AO1022" i="1"/>
  <c r="L1023" i="1"/>
  <c r="M1023" i="1"/>
  <c r="N1023" i="1"/>
  <c r="O1023" i="1"/>
  <c r="P1023" i="1"/>
  <c r="Q1023" i="1"/>
  <c r="R1023" i="1"/>
  <c r="S1023" i="1"/>
  <c r="T1023" i="1"/>
  <c r="U1023" i="1"/>
  <c r="V1023" i="1"/>
  <c r="W1023" i="1"/>
  <c r="X1023" i="1"/>
  <c r="Y1023" i="1"/>
  <c r="Z1023" i="1"/>
  <c r="AA1023" i="1"/>
  <c r="AB1023" i="1"/>
  <c r="AC1023" i="1"/>
  <c r="AD1023" i="1"/>
  <c r="AE1023" i="1"/>
  <c r="AF1023" i="1"/>
  <c r="AM1023" i="1"/>
  <c r="AN1023" i="1"/>
  <c r="AO1023" i="1"/>
  <c r="L1024" i="1"/>
  <c r="M1024" i="1"/>
  <c r="N1024" i="1"/>
  <c r="O1024" i="1"/>
  <c r="P1024" i="1"/>
  <c r="Q1024" i="1"/>
  <c r="R1024" i="1"/>
  <c r="S1024" i="1"/>
  <c r="T1024" i="1"/>
  <c r="U1024" i="1"/>
  <c r="V1024" i="1"/>
  <c r="W1024" i="1"/>
  <c r="X1024" i="1"/>
  <c r="Y1024" i="1"/>
  <c r="Z1024" i="1"/>
  <c r="AA1024" i="1"/>
  <c r="AB1024" i="1"/>
  <c r="AC1024" i="1"/>
  <c r="AD1024" i="1"/>
  <c r="AE1024" i="1"/>
  <c r="AF1024" i="1"/>
  <c r="AM1024" i="1"/>
  <c r="AN1024" i="1"/>
  <c r="AO1024" i="1"/>
  <c r="L1025" i="1"/>
  <c r="M1025" i="1"/>
  <c r="N1025" i="1"/>
  <c r="O1025" i="1"/>
  <c r="P1025" i="1"/>
  <c r="Q1025" i="1"/>
  <c r="R1025" i="1"/>
  <c r="S1025" i="1"/>
  <c r="T1025" i="1"/>
  <c r="U1025" i="1"/>
  <c r="V1025" i="1"/>
  <c r="W1025" i="1"/>
  <c r="X1025" i="1"/>
  <c r="Y1025" i="1"/>
  <c r="Z1025" i="1"/>
  <c r="AA1025" i="1"/>
  <c r="AB1025" i="1"/>
  <c r="AC1025" i="1"/>
  <c r="AD1025" i="1"/>
  <c r="AE1025" i="1"/>
  <c r="AF1025" i="1"/>
  <c r="AM1025" i="1"/>
  <c r="AN1025" i="1"/>
  <c r="AO1025" i="1"/>
  <c r="L1026" i="1"/>
  <c r="M1026" i="1"/>
  <c r="N1026" i="1"/>
  <c r="O1026" i="1"/>
  <c r="P1026" i="1"/>
  <c r="Q1026" i="1"/>
  <c r="R1026" i="1"/>
  <c r="S1026" i="1"/>
  <c r="T1026" i="1"/>
  <c r="U1026" i="1"/>
  <c r="V1026" i="1"/>
  <c r="W1026" i="1"/>
  <c r="X1026" i="1"/>
  <c r="Y1026" i="1"/>
  <c r="Z1026" i="1"/>
  <c r="AA1026" i="1"/>
  <c r="AB1026" i="1"/>
  <c r="AC1026" i="1"/>
  <c r="AD1026" i="1"/>
  <c r="AE1026" i="1"/>
  <c r="AF1026" i="1"/>
  <c r="AM1026" i="1"/>
  <c r="AN1026" i="1"/>
  <c r="AO1026" i="1"/>
  <c r="L1027" i="1"/>
  <c r="M1027" i="1"/>
  <c r="N1027" i="1"/>
  <c r="O1027" i="1"/>
  <c r="P1027" i="1"/>
  <c r="Q1027" i="1"/>
  <c r="R1027" i="1"/>
  <c r="S1027" i="1"/>
  <c r="T1027" i="1"/>
  <c r="U1027" i="1"/>
  <c r="V1027" i="1"/>
  <c r="W1027" i="1"/>
  <c r="X1027" i="1"/>
  <c r="Y1027" i="1"/>
  <c r="Z1027" i="1"/>
  <c r="AA1027" i="1"/>
  <c r="AB1027" i="1"/>
  <c r="AC1027" i="1"/>
  <c r="AD1027" i="1"/>
  <c r="AE1027" i="1"/>
  <c r="AF1027" i="1"/>
  <c r="AM1027" i="1"/>
  <c r="AN1027" i="1"/>
  <c r="AO1027" i="1"/>
  <c r="L1028" i="1"/>
  <c r="M1028" i="1"/>
  <c r="N1028" i="1"/>
  <c r="O1028" i="1"/>
  <c r="P1028" i="1"/>
  <c r="Q1028" i="1"/>
  <c r="R1028" i="1"/>
  <c r="S1028" i="1"/>
  <c r="T1028" i="1"/>
  <c r="U1028" i="1"/>
  <c r="V1028" i="1"/>
  <c r="W1028" i="1"/>
  <c r="X1028" i="1"/>
  <c r="Y1028" i="1"/>
  <c r="Z1028" i="1"/>
  <c r="AA1028" i="1"/>
  <c r="AB1028" i="1"/>
  <c r="AC1028" i="1"/>
  <c r="AD1028" i="1"/>
  <c r="AE1028" i="1"/>
  <c r="AF1028" i="1"/>
  <c r="AM1028" i="1"/>
  <c r="AN1028" i="1"/>
  <c r="AO1028" i="1"/>
  <c r="L1029" i="1"/>
  <c r="M1029" i="1"/>
  <c r="N1029" i="1"/>
  <c r="O1029" i="1"/>
  <c r="P1029" i="1"/>
  <c r="Q1029" i="1"/>
  <c r="R1029" i="1"/>
  <c r="S1029" i="1"/>
  <c r="T1029" i="1"/>
  <c r="U1029" i="1"/>
  <c r="V1029" i="1"/>
  <c r="W1029" i="1"/>
  <c r="X1029" i="1"/>
  <c r="Y1029" i="1"/>
  <c r="Z1029" i="1"/>
  <c r="AA1029" i="1"/>
  <c r="AB1029" i="1"/>
  <c r="AC1029" i="1"/>
  <c r="AD1029" i="1"/>
  <c r="AE1029" i="1"/>
  <c r="AF1029" i="1"/>
  <c r="AM1029" i="1"/>
  <c r="AN1029" i="1"/>
  <c r="AO1029" i="1"/>
  <c r="L1030" i="1"/>
  <c r="M1030" i="1"/>
  <c r="N1030" i="1"/>
  <c r="O1030" i="1"/>
  <c r="P1030" i="1"/>
  <c r="Q1030" i="1"/>
  <c r="R1030" i="1"/>
  <c r="S1030" i="1"/>
  <c r="T1030" i="1"/>
  <c r="U1030" i="1"/>
  <c r="V1030" i="1"/>
  <c r="W1030" i="1"/>
  <c r="X1030" i="1"/>
  <c r="Y1030" i="1"/>
  <c r="Z1030" i="1"/>
  <c r="AA1030" i="1"/>
  <c r="AB1030" i="1"/>
  <c r="AC1030" i="1"/>
  <c r="AD1030" i="1"/>
  <c r="AE1030" i="1"/>
  <c r="AF1030" i="1"/>
  <c r="AM1030" i="1"/>
  <c r="AN1030" i="1"/>
  <c r="AO1030" i="1"/>
  <c r="L1031" i="1"/>
  <c r="M1031" i="1"/>
  <c r="N1031" i="1"/>
  <c r="O1031" i="1"/>
  <c r="P1031" i="1"/>
  <c r="Q1031" i="1"/>
  <c r="R1031" i="1"/>
  <c r="S1031" i="1"/>
  <c r="T1031" i="1"/>
  <c r="U1031" i="1"/>
  <c r="V1031" i="1"/>
  <c r="W1031" i="1"/>
  <c r="X1031" i="1"/>
  <c r="Y1031" i="1"/>
  <c r="Z1031" i="1"/>
  <c r="AA1031" i="1"/>
  <c r="AB1031" i="1"/>
  <c r="AC1031" i="1"/>
  <c r="AD1031" i="1"/>
  <c r="AE1031" i="1"/>
  <c r="AF1031" i="1"/>
  <c r="AM1031" i="1"/>
  <c r="AN1031" i="1"/>
  <c r="AO1031" i="1"/>
  <c r="L1032" i="1"/>
  <c r="M1032" i="1"/>
  <c r="N1032" i="1"/>
  <c r="O1032" i="1"/>
  <c r="P1032" i="1"/>
  <c r="Q1032" i="1"/>
  <c r="R1032" i="1"/>
  <c r="S1032" i="1"/>
  <c r="T1032" i="1"/>
  <c r="U1032" i="1"/>
  <c r="V1032" i="1"/>
  <c r="W1032" i="1"/>
  <c r="X1032" i="1"/>
  <c r="Y1032" i="1"/>
  <c r="Z1032" i="1"/>
  <c r="AA1032" i="1"/>
  <c r="AB1032" i="1"/>
  <c r="AC1032" i="1"/>
  <c r="AD1032" i="1"/>
  <c r="AE1032" i="1"/>
  <c r="AF1032" i="1"/>
  <c r="AM1032" i="1"/>
  <c r="AN1032" i="1"/>
  <c r="AO1032" i="1"/>
  <c r="L1033" i="1"/>
  <c r="M1033" i="1"/>
  <c r="N1033" i="1"/>
  <c r="O1033" i="1"/>
  <c r="P1033" i="1"/>
  <c r="Q1033" i="1"/>
  <c r="R1033" i="1"/>
  <c r="S1033" i="1"/>
  <c r="T1033" i="1"/>
  <c r="U1033" i="1"/>
  <c r="V1033" i="1"/>
  <c r="W1033" i="1"/>
  <c r="X1033" i="1"/>
  <c r="Y1033" i="1"/>
  <c r="Z1033" i="1"/>
  <c r="AA1033" i="1"/>
  <c r="AB1033" i="1"/>
  <c r="AC1033" i="1"/>
  <c r="AD1033" i="1"/>
  <c r="AE1033" i="1"/>
  <c r="AF1033" i="1"/>
  <c r="AM1033" i="1"/>
  <c r="AN1033" i="1"/>
  <c r="AO1033" i="1"/>
  <c r="L1034" i="1"/>
  <c r="M1034" i="1"/>
  <c r="N1034" i="1"/>
  <c r="O1034" i="1"/>
  <c r="P1034" i="1"/>
  <c r="Q1034" i="1"/>
  <c r="R1034" i="1"/>
  <c r="S1034" i="1"/>
  <c r="T1034" i="1"/>
  <c r="U1034" i="1"/>
  <c r="V1034" i="1"/>
  <c r="W1034" i="1"/>
  <c r="X1034" i="1"/>
  <c r="Y1034" i="1"/>
  <c r="Z1034" i="1"/>
  <c r="AA1034" i="1"/>
  <c r="AB1034" i="1"/>
  <c r="AC1034" i="1"/>
  <c r="AD1034" i="1"/>
  <c r="AE1034" i="1"/>
  <c r="AF1034" i="1"/>
  <c r="AM1034" i="1"/>
  <c r="AN1034" i="1"/>
  <c r="AO1034" i="1"/>
  <c r="L1035" i="1"/>
  <c r="M1035" i="1"/>
  <c r="N1035" i="1"/>
  <c r="O1035" i="1"/>
  <c r="P1035" i="1"/>
  <c r="Q1035" i="1"/>
  <c r="R1035" i="1"/>
  <c r="S1035" i="1"/>
  <c r="T1035" i="1"/>
  <c r="U1035" i="1"/>
  <c r="V1035" i="1"/>
  <c r="W1035" i="1"/>
  <c r="X1035" i="1"/>
  <c r="Y1035" i="1"/>
  <c r="Z1035" i="1"/>
  <c r="AA1035" i="1"/>
  <c r="AB1035" i="1"/>
  <c r="AC1035" i="1"/>
  <c r="AD1035" i="1"/>
  <c r="AE1035" i="1"/>
  <c r="AF1035" i="1"/>
  <c r="AM1035" i="1"/>
  <c r="AN1035" i="1"/>
  <c r="AO1035" i="1"/>
  <c r="L1036" i="1"/>
  <c r="M1036" i="1"/>
  <c r="N1036" i="1"/>
  <c r="O1036" i="1"/>
  <c r="P1036" i="1"/>
  <c r="Q1036" i="1"/>
  <c r="R1036" i="1"/>
  <c r="S1036" i="1"/>
  <c r="T1036" i="1"/>
  <c r="U1036" i="1"/>
  <c r="V1036" i="1"/>
  <c r="W1036" i="1"/>
  <c r="X1036" i="1"/>
  <c r="Y1036" i="1"/>
  <c r="Z1036" i="1"/>
  <c r="AA1036" i="1"/>
  <c r="AB1036" i="1"/>
  <c r="AC1036" i="1"/>
  <c r="AD1036" i="1"/>
  <c r="AE1036" i="1"/>
  <c r="AF1036" i="1"/>
  <c r="AM1036" i="1"/>
  <c r="AN1036" i="1"/>
  <c r="AO1036" i="1"/>
  <c r="L1037" i="1"/>
  <c r="M1037" i="1"/>
  <c r="N1037" i="1"/>
  <c r="O1037" i="1"/>
  <c r="P1037" i="1"/>
  <c r="Q1037" i="1"/>
  <c r="R1037" i="1"/>
  <c r="S1037" i="1"/>
  <c r="T1037" i="1"/>
  <c r="U1037" i="1"/>
  <c r="V1037" i="1"/>
  <c r="W1037" i="1"/>
  <c r="X1037" i="1"/>
  <c r="Y1037" i="1"/>
  <c r="Z1037" i="1"/>
  <c r="AA1037" i="1"/>
  <c r="AB1037" i="1"/>
  <c r="AC1037" i="1"/>
  <c r="AD1037" i="1"/>
  <c r="AE1037" i="1"/>
  <c r="AF1037" i="1"/>
  <c r="AM1037" i="1"/>
  <c r="AN1037" i="1"/>
  <c r="AO1037" i="1"/>
  <c r="L1038" i="1"/>
  <c r="M1038" i="1"/>
  <c r="N1038" i="1"/>
  <c r="O1038" i="1"/>
  <c r="P1038" i="1"/>
  <c r="Q1038" i="1"/>
  <c r="R1038" i="1"/>
  <c r="S1038" i="1"/>
  <c r="T1038" i="1"/>
  <c r="U1038" i="1"/>
  <c r="V1038" i="1"/>
  <c r="W1038" i="1"/>
  <c r="X1038" i="1"/>
  <c r="Y1038" i="1"/>
  <c r="Z1038" i="1"/>
  <c r="AA1038" i="1"/>
  <c r="AB1038" i="1"/>
  <c r="AC1038" i="1"/>
  <c r="AD1038" i="1"/>
  <c r="AE1038" i="1"/>
  <c r="AF1038" i="1"/>
  <c r="AM1038" i="1"/>
  <c r="AN1038" i="1"/>
  <c r="AO1038" i="1"/>
  <c r="L1039" i="1"/>
  <c r="M1039" i="1"/>
  <c r="N1039" i="1"/>
  <c r="O1039" i="1"/>
  <c r="P1039" i="1"/>
  <c r="Q1039" i="1"/>
  <c r="R1039" i="1"/>
  <c r="S1039" i="1"/>
  <c r="T1039" i="1"/>
  <c r="U1039" i="1"/>
  <c r="V1039" i="1"/>
  <c r="W1039" i="1"/>
  <c r="X1039" i="1"/>
  <c r="Y1039" i="1"/>
  <c r="Z1039" i="1"/>
  <c r="AA1039" i="1"/>
  <c r="AB1039" i="1"/>
  <c r="AC1039" i="1"/>
  <c r="AD1039" i="1"/>
  <c r="AE1039" i="1"/>
  <c r="AF1039" i="1"/>
  <c r="AM1039" i="1"/>
  <c r="AN1039" i="1"/>
  <c r="AO1039" i="1"/>
  <c r="L1040" i="1"/>
  <c r="M1040" i="1"/>
  <c r="N1040" i="1"/>
  <c r="O1040" i="1"/>
  <c r="P1040" i="1"/>
  <c r="Q1040" i="1"/>
  <c r="R1040" i="1"/>
  <c r="S1040" i="1"/>
  <c r="T1040" i="1"/>
  <c r="U1040" i="1"/>
  <c r="V1040" i="1"/>
  <c r="W1040" i="1"/>
  <c r="X1040" i="1"/>
  <c r="Y1040" i="1"/>
  <c r="Z1040" i="1"/>
  <c r="AA1040" i="1"/>
  <c r="AB1040" i="1"/>
  <c r="AC1040" i="1"/>
  <c r="AD1040" i="1"/>
  <c r="AE1040" i="1"/>
  <c r="AF1040" i="1"/>
  <c r="AM1040" i="1"/>
  <c r="AN1040" i="1"/>
  <c r="AO1040" i="1"/>
  <c r="L1041" i="1"/>
  <c r="M1041" i="1"/>
  <c r="N1041" i="1"/>
  <c r="O1041" i="1"/>
  <c r="P1041" i="1"/>
  <c r="Q1041" i="1"/>
  <c r="R1041" i="1"/>
  <c r="S1041" i="1"/>
  <c r="T1041" i="1"/>
  <c r="U1041" i="1"/>
  <c r="V1041" i="1"/>
  <c r="W1041" i="1"/>
  <c r="X1041" i="1"/>
  <c r="Y1041" i="1"/>
  <c r="Z1041" i="1"/>
  <c r="AA1041" i="1"/>
  <c r="AB1041" i="1"/>
  <c r="AC1041" i="1"/>
  <c r="AD1041" i="1"/>
  <c r="AE1041" i="1"/>
  <c r="AF1041" i="1"/>
  <c r="AM1041" i="1"/>
  <c r="AN1041" i="1"/>
  <c r="AO1041" i="1"/>
  <c r="L1042" i="1"/>
  <c r="M1042" i="1"/>
  <c r="N1042" i="1"/>
  <c r="O1042" i="1"/>
  <c r="P1042" i="1"/>
  <c r="Q1042" i="1"/>
  <c r="R1042" i="1"/>
  <c r="S1042" i="1"/>
  <c r="T1042" i="1"/>
  <c r="U1042" i="1"/>
  <c r="V1042" i="1"/>
  <c r="W1042" i="1"/>
  <c r="X1042" i="1"/>
  <c r="Y1042" i="1"/>
  <c r="Z1042" i="1"/>
  <c r="AA1042" i="1"/>
  <c r="AB1042" i="1"/>
  <c r="AC1042" i="1"/>
  <c r="AD1042" i="1"/>
  <c r="AE1042" i="1"/>
  <c r="AF1042" i="1"/>
  <c r="AM1042" i="1"/>
  <c r="AN1042" i="1"/>
  <c r="AO1042" i="1"/>
  <c r="L1043" i="1"/>
  <c r="M1043" i="1"/>
  <c r="N1043" i="1"/>
  <c r="O1043" i="1"/>
  <c r="P1043" i="1"/>
  <c r="Q1043" i="1"/>
  <c r="R1043" i="1"/>
  <c r="S1043" i="1"/>
  <c r="T1043" i="1"/>
  <c r="U1043" i="1"/>
  <c r="V1043" i="1"/>
  <c r="W1043" i="1"/>
  <c r="X1043" i="1"/>
  <c r="Y1043" i="1"/>
  <c r="Z1043" i="1"/>
  <c r="AA1043" i="1"/>
  <c r="AB1043" i="1"/>
  <c r="AC1043" i="1"/>
  <c r="AD1043" i="1"/>
  <c r="AE1043" i="1"/>
  <c r="AF1043" i="1"/>
  <c r="AM1043" i="1"/>
  <c r="AN1043" i="1"/>
  <c r="AO1043" i="1"/>
  <c r="L1044" i="1"/>
  <c r="M1044" i="1"/>
  <c r="N1044" i="1"/>
  <c r="O1044" i="1"/>
  <c r="P1044" i="1"/>
  <c r="Q1044" i="1"/>
  <c r="R1044" i="1"/>
  <c r="S1044" i="1"/>
  <c r="T1044" i="1"/>
  <c r="U1044" i="1"/>
  <c r="V1044" i="1"/>
  <c r="W1044" i="1"/>
  <c r="X1044" i="1"/>
  <c r="Y1044" i="1"/>
  <c r="Z1044" i="1"/>
  <c r="AA1044" i="1"/>
  <c r="AB1044" i="1"/>
  <c r="AC1044" i="1"/>
  <c r="AD1044" i="1"/>
  <c r="AE1044" i="1"/>
  <c r="AF1044" i="1"/>
  <c r="AM1044" i="1"/>
  <c r="AN1044" i="1"/>
  <c r="AO1044" i="1"/>
  <c r="L1045" i="1"/>
  <c r="M1045" i="1"/>
  <c r="N1045" i="1"/>
  <c r="O1045" i="1"/>
  <c r="P1045" i="1"/>
  <c r="Q1045" i="1"/>
  <c r="R1045" i="1"/>
  <c r="S1045" i="1"/>
  <c r="T1045" i="1"/>
  <c r="U1045" i="1"/>
  <c r="V1045" i="1"/>
  <c r="W1045" i="1"/>
  <c r="X1045" i="1"/>
  <c r="Y1045" i="1"/>
  <c r="Z1045" i="1"/>
  <c r="AA1045" i="1"/>
  <c r="AB1045" i="1"/>
  <c r="AC1045" i="1"/>
  <c r="AD1045" i="1"/>
  <c r="AE1045" i="1"/>
  <c r="AF1045" i="1"/>
  <c r="AM1045" i="1"/>
  <c r="AN1045" i="1"/>
  <c r="AO1045" i="1"/>
  <c r="L1046" i="1"/>
  <c r="M1046" i="1"/>
  <c r="N1046" i="1"/>
  <c r="O1046" i="1"/>
  <c r="P1046" i="1"/>
  <c r="Q1046" i="1"/>
  <c r="R1046" i="1"/>
  <c r="S1046" i="1"/>
  <c r="T1046" i="1"/>
  <c r="U1046" i="1"/>
  <c r="V1046" i="1"/>
  <c r="W1046" i="1"/>
  <c r="X1046" i="1"/>
  <c r="Y1046" i="1"/>
  <c r="Z1046" i="1"/>
  <c r="AA1046" i="1"/>
  <c r="AB1046" i="1"/>
  <c r="AC1046" i="1"/>
  <c r="AD1046" i="1"/>
  <c r="AE1046" i="1"/>
  <c r="AF1046" i="1"/>
  <c r="AM1046" i="1"/>
  <c r="AN1046" i="1"/>
  <c r="AO1046" i="1"/>
  <c r="L1047" i="1"/>
  <c r="M1047" i="1"/>
  <c r="N1047" i="1"/>
  <c r="O1047" i="1"/>
  <c r="P1047" i="1"/>
  <c r="Q1047" i="1"/>
  <c r="R1047" i="1"/>
  <c r="S1047" i="1"/>
  <c r="T1047" i="1"/>
  <c r="U1047" i="1"/>
  <c r="V1047" i="1"/>
  <c r="W1047" i="1"/>
  <c r="X1047" i="1"/>
  <c r="Y1047" i="1"/>
  <c r="Z1047" i="1"/>
  <c r="AA1047" i="1"/>
  <c r="AB1047" i="1"/>
  <c r="AC1047" i="1"/>
  <c r="AD1047" i="1"/>
  <c r="AE1047" i="1"/>
  <c r="AF1047" i="1"/>
  <c r="AM1047" i="1"/>
  <c r="AN1047" i="1"/>
  <c r="AO1047" i="1"/>
  <c r="L1048" i="1"/>
  <c r="M1048" i="1"/>
  <c r="N1048" i="1"/>
  <c r="O1048" i="1"/>
  <c r="P1048" i="1"/>
  <c r="Q1048" i="1"/>
  <c r="R1048" i="1"/>
  <c r="S1048" i="1"/>
  <c r="T1048" i="1"/>
  <c r="U1048" i="1"/>
  <c r="V1048" i="1"/>
  <c r="W1048" i="1"/>
  <c r="X1048" i="1"/>
  <c r="Y1048" i="1"/>
  <c r="Z1048" i="1"/>
  <c r="AA1048" i="1"/>
  <c r="AB1048" i="1"/>
  <c r="AC1048" i="1"/>
  <c r="AD1048" i="1"/>
  <c r="AE1048" i="1"/>
  <c r="AF1048" i="1"/>
  <c r="AM1048" i="1"/>
  <c r="AN1048" i="1"/>
  <c r="AO1048" i="1"/>
  <c r="L1049" i="1"/>
  <c r="M1049" i="1"/>
  <c r="N1049" i="1"/>
  <c r="O1049" i="1"/>
  <c r="P1049" i="1"/>
  <c r="Q1049" i="1"/>
  <c r="R1049" i="1"/>
  <c r="S1049" i="1"/>
  <c r="T1049" i="1"/>
  <c r="U1049" i="1"/>
  <c r="V1049" i="1"/>
  <c r="W1049" i="1"/>
  <c r="X1049" i="1"/>
  <c r="Y1049" i="1"/>
  <c r="Z1049" i="1"/>
  <c r="AA1049" i="1"/>
  <c r="AB1049" i="1"/>
  <c r="AC1049" i="1"/>
  <c r="AD1049" i="1"/>
  <c r="AE1049" i="1"/>
  <c r="AF1049" i="1"/>
  <c r="AM1049" i="1"/>
  <c r="AN1049" i="1"/>
  <c r="AO1049" i="1"/>
  <c r="L1050" i="1"/>
  <c r="M1050" i="1"/>
  <c r="N1050" i="1"/>
  <c r="O1050" i="1"/>
  <c r="P1050" i="1"/>
  <c r="Q1050" i="1"/>
  <c r="R1050" i="1"/>
  <c r="S1050" i="1"/>
  <c r="T1050" i="1"/>
  <c r="U1050" i="1"/>
  <c r="V1050" i="1"/>
  <c r="W1050" i="1"/>
  <c r="X1050" i="1"/>
  <c r="Y1050" i="1"/>
  <c r="Z1050" i="1"/>
  <c r="AA1050" i="1"/>
  <c r="AB1050" i="1"/>
  <c r="AC1050" i="1"/>
  <c r="AD1050" i="1"/>
  <c r="AE1050" i="1"/>
  <c r="AF1050" i="1"/>
  <c r="AM1050" i="1"/>
  <c r="AN1050" i="1"/>
  <c r="AO1050" i="1"/>
  <c r="L1051" i="1"/>
  <c r="M1051" i="1"/>
  <c r="N1051" i="1"/>
  <c r="O1051" i="1"/>
  <c r="P1051" i="1"/>
  <c r="Q1051" i="1"/>
  <c r="R1051" i="1"/>
  <c r="S1051" i="1"/>
  <c r="T1051" i="1"/>
  <c r="U1051" i="1"/>
  <c r="V1051" i="1"/>
  <c r="W1051" i="1"/>
  <c r="X1051" i="1"/>
  <c r="Y1051" i="1"/>
  <c r="Z1051" i="1"/>
  <c r="AA1051" i="1"/>
  <c r="AB1051" i="1"/>
  <c r="AC1051" i="1"/>
  <c r="AD1051" i="1"/>
  <c r="AE1051" i="1"/>
  <c r="AF1051" i="1"/>
  <c r="AM1051" i="1"/>
  <c r="AN1051" i="1"/>
  <c r="AO1051" i="1"/>
  <c r="L1052" i="1"/>
  <c r="M1052" i="1"/>
  <c r="N1052" i="1"/>
  <c r="O1052" i="1"/>
  <c r="P1052" i="1"/>
  <c r="Q1052" i="1"/>
  <c r="R1052" i="1"/>
  <c r="S1052" i="1"/>
  <c r="T1052" i="1"/>
  <c r="U1052" i="1"/>
  <c r="V1052" i="1"/>
  <c r="W1052" i="1"/>
  <c r="X1052" i="1"/>
  <c r="Y1052" i="1"/>
  <c r="Z1052" i="1"/>
  <c r="AA1052" i="1"/>
  <c r="AB1052" i="1"/>
  <c r="AC1052" i="1"/>
  <c r="AD1052" i="1"/>
  <c r="AE1052" i="1"/>
  <c r="AF1052" i="1"/>
  <c r="AM1052" i="1"/>
  <c r="AN1052" i="1"/>
  <c r="AO1052" i="1"/>
  <c r="L1053" i="1"/>
  <c r="M1053" i="1"/>
  <c r="N1053" i="1"/>
  <c r="O1053" i="1"/>
  <c r="P1053" i="1"/>
  <c r="Q1053" i="1"/>
  <c r="R1053" i="1"/>
  <c r="S1053" i="1"/>
  <c r="T1053" i="1"/>
  <c r="U1053" i="1"/>
  <c r="V1053" i="1"/>
  <c r="W1053" i="1"/>
  <c r="X1053" i="1"/>
  <c r="Y1053" i="1"/>
  <c r="Z1053" i="1"/>
  <c r="AA1053" i="1"/>
  <c r="AB1053" i="1"/>
  <c r="AC1053" i="1"/>
  <c r="AD1053" i="1"/>
  <c r="AE1053" i="1"/>
  <c r="AF1053" i="1"/>
  <c r="AM1053" i="1"/>
  <c r="AN1053" i="1"/>
  <c r="AO1053" i="1"/>
  <c r="L1054" i="1"/>
  <c r="M1054" i="1"/>
  <c r="N1054" i="1"/>
  <c r="O1054" i="1"/>
  <c r="P1054" i="1"/>
  <c r="Q1054" i="1"/>
  <c r="R1054" i="1"/>
  <c r="S1054" i="1"/>
  <c r="T1054" i="1"/>
  <c r="U1054" i="1"/>
  <c r="V1054" i="1"/>
  <c r="W1054" i="1"/>
  <c r="X1054" i="1"/>
  <c r="Y1054" i="1"/>
  <c r="Z1054" i="1"/>
  <c r="AA1054" i="1"/>
  <c r="AB1054" i="1"/>
  <c r="AC1054" i="1"/>
  <c r="AD1054" i="1"/>
  <c r="AE1054" i="1"/>
  <c r="AF1054" i="1"/>
  <c r="AM1054" i="1"/>
  <c r="AN1054" i="1"/>
  <c r="AO1054" i="1"/>
  <c r="L1055" i="1"/>
  <c r="M1055" i="1"/>
  <c r="N1055" i="1"/>
  <c r="O1055" i="1"/>
  <c r="P1055" i="1"/>
  <c r="Q1055" i="1"/>
  <c r="R1055" i="1"/>
  <c r="S1055" i="1"/>
  <c r="T1055" i="1"/>
  <c r="U1055" i="1"/>
  <c r="V1055" i="1"/>
  <c r="W1055" i="1"/>
  <c r="X1055" i="1"/>
  <c r="Y1055" i="1"/>
  <c r="Z1055" i="1"/>
  <c r="AA1055" i="1"/>
  <c r="AB1055" i="1"/>
  <c r="AC1055" i="1"/>
  <c r="AD1055" i="1"/>
  <c r="AE1055" i="1"/>
  <c r="AF1055" i="1"/>
  <c r="AM1055" i="1"/>
  <c r="AN1055" i="1"/>
  <c r="AO1055" i="1"/>
  <c r="L1056" i="1"/>
  <c r="M1056" i="1"/>
  <c r="N1056" i="1"/>
  <c r="O1056" i="1"/>
  <c r="P1056" i="1"/>
  <c r="Q1056" i="1"/>
  <c r="R1056" i="1"/>
  <c r="S1056" i="1"/>
  <c r="T1056" i="1"/>
  <c r="U1056" i="1"/>
  <c r="V1056" i="1"/>
  <c r="W1056" i="1"/>
  <c r="X1056" i="1"/>
  <c r="Y1056" i="1"/>
  <c r="Z1056" i="1"/>
  <c r="AA1056" i="1"/>
  <c r="AB1056" i="1"/>
  <c r="AC1056" i="1"/>
  <c r="AD1056" i="1"/>
  <c r="AE1056" i="1"/>
  <c r="AF1056" i="1"/>
  <c r="AM1056" i="1"/>
  <c r="AN1056" i="1"/>
  <c r="AO1056" i="1"/>
  <c r="L1057" i="1"/>
  <c r="M1057" i="1"/>
  <c r="N1057" i="1"/>
  <c r="O1057" i="1"/>
  <c r="P1057" i="1"/>
  <c r="Q1057" i="1"/>
  <c r="R1057" i="1"/>
  <c r="S1057" i="1"/>
  <c r="T1057" i="1"/>
  <c r="U1057" i="1"/>
  <c r="V1057" i="1"/>
  <c r="W1057" i="1"/>
  <c r="X1057" i="1"/>
  <c r="Y1057" i="1"/>
  <c r="Z1057" i="1"/>
  <c r="AA1057" i="1"/>
  <c r="AB1057" i="1"/>
  <c r="AC1057" i="1"/>
  <c r="AD1057" i="1"/>
  <c r="AE1057" i="1"/>
  <c r="AF1057" i="1"/>
  <c r="AM1057" i="1"/>
  <c r="AN1057" i="1"/>
  <c r="AO1057" i="1"/>
  <c r="L1058" i="1"/>
  <c r="M1058" i="1"/>
  <c r="N1058" i="1"/>
  <c r="O1058" i="1"/>
  <c r="P1058" i="1"/>
  <c r="Q1058" i="1"/>
  <c r="R1058" i="1"/>
  <c r="S1058" i="1"/>
  <c r="T1058" i="1"/>
  <c r="U1058" i="1"/>
  <c r="V1058" i="1"/>
  <c r="W1058" i="1"/>
  <c r="X1058" i="1"/>
  <c r="Y1058" i="1"/>
  <c r="Z1058" i="1"/>
  <c r="AA1058" i="1"/>
  <c r="AB1058" i="1"/>
  <c r="AC1058" i="1"/>
  <c r="AD1058" i="1"/>
  <c r="AE1058" i="1"/>
  <c r="AF1058" i="1"/>
  <c r="AM1058" i="1"/>
  <c r="AN1058" i="1"/>
  <c r="AO1058" i="1"/>
  <c r="L1059" i="1"/>
  <c r="M1059" i="1"/>
  <c r="N1059" i="1"/>
  <c r="O1059" i="1"/>
  <c r="P1059" i="1"/>
  <c r="Q1059" i="1"/>
  <c r="R1059" i="1"/>
  <c r="S1059" i="1"/>
  <c r="T1059" i="1"/>
  <c r="U1059" i="1"/>
  <c r="V1059" i="1"/>
  <c r="W1059" i="1"/>
  <c r="X1059" i="1"/>
  <c r="Y1059" i="1"/>
  <c r="Z1059" i="1"/>
  <c r="AA1059" i="1"/>
  <c r="AB1059" i="1"/>
  <c r="AC1059" i="1"/>
  <c r="AD1059" i="1"/>
  <c r="AE1059" i="1"/>
  <c r="AF1059" i="1"/>
  <c r="AM1059" i="1"/>
  <c r="AN1059" i="1"/>
  <c r="AO1059" i="1"/>
  <c r="L1060" i="1"/>
  <c r="M1060" i="1"/>
  <c r="N1060" i="1"/>
  <c r="O1060" i="1"/>
  <c r="P1060" i="1"/>
  <c r="Q1060" i="1"/>
  <c r="R1060" i="1"/>
  <c r="S1060" i="1"/>
  <c r="T1060" i="1"/>
  <c r="U1060" i="1"/>
  <c r="V1060" i="1"/>
  <c r="W1060" i="1"/>
  <c r="X1060" i="1"/>
  <c r="Y1060" i="1"/>
  <c r="Z1060" i="1"/>
  <c r="AA1060" i="1"/>
  <c r="AB1060" i="1"/>
  <c r="AC1060" i="1"/>
  <c r="AD1060" i="1"/>
  <c r="AE1060" i="1"/>
  <c r="AF1060" i="1"/>
  <c r="AM1060" i="1"/>
  <c r="AN1060" i="1"/>
  <c r="AO1060" i="1"/>
  <c r="L1061" i="1"/>
  <c r="M1061" i="1"/>
  <c r="N1061" i="1"/>
  <c r="O1061" i="1"/>
  <c r="P1061" i="1"/>
  <c r="Q1061" i="1"/>
  <c r="R1061" i="1"/>
  <c r="S1061" i="1"/>
  <c r="T1061" i="1"/>
  <c r="U1061" i="1"/>
  <c r="V1061" i="1"/>
  <c r="W1061" i="1"/>
  <c r="X1061" i="1"/>
  <c r="Y1061" i="1"/>
  <c r="Z1061" i="1"/>
  <c r="AA1061" i="1"/>
  <c r="AB1061" i="1"/>
  <c r="AC1061" i="1"/>
  <c r="AD1061" i="1"/>
  <c r="AE1061" i="1"/>
  <c r="AF1061" i="1"/>
  <c r="AM1061" i="1"/>
  <c r="AN1061" i="1"/>
  <c r="AO1061" i="1"/>
  <c r="L1062" i="1"/>
  <c r="M1062" i="1"/>
  <c r="N1062" i="1"/>
  <c r="O1062" i="1"/>
  <c r="P1062" i="1"/>
  <c r="Q1062" i="1"/>
  <c r="R1062" i="1"/>
  <c r="S1062" i="1"/>
  <c r="T1062" i="1"/>
  <c r="U1062" i="1"/>
  <c r="V1062" i="1"/>
  <c r="W1062" i="1"/>
  <c r="X1062" i="1"/>
  <c r="Y1062" i="1"/>
  <c r="Z1062" i="1"/>
  <c r="AA1062" i="1"/>
  <c r="AB1062" i="1"/>
  <c r="AC1062" i="1"/>
  <c r="AD1062" i="1"/>
  <c r="AE1062" i="1"/>
  <c r="AF1062" i="1"/>
  <c r="AM1062" i="1"/>
  <c r="AN1062" i="1"/>
  <c r="AO1062" i="1"/>
  <c r="L1063" i="1"/>
  <c r="M1063" i="1"/>
  <c r="N1063" i="1"/>
  <c r="O1063" i="1"/>
  <c r="P1063" i="1"/>
  <c r="Q1063" i="1"/>
  <c r="R1063" i="1"/>
  <c r="S1063" i="1"/>
  <c r="T1063" i="1"/>
  <c r="U1063" i="1"/>
  <c r="V1063" i="1"/>
  <c r="W1063" i="1"/>
  <c r="X1063" i="1"/>
  <c r="Y1063" i="1"/>
  <c r="Z1063" i="1"/>
  <c r="AA1063" i="1"/>
  <c r="AB1063" i="1"/>
  <c r="AC1063" i="1"/>
  <c r="AD1063" i="1"/>
  <c r="AE1063" i="1"/>
  <c r="AF1063" i="1"/>
  <c r="AM1063" i="1"/>
  <c r="AN1063" i="1"/>
  <c r="AO1063" i="1"/>
  <c r="L1064" i="1"/>
  <c r="M1064" i="1"/>
  <c r="N1064" i="1"/>
  <c r="O1064" i="1"/>
  <c r="P1064" i="1"/>
  <c r="Q1064" i="1"/>
  <c r="R1064" i="1"/>
  <c r="S1064" i="1"/>
  <c r="T1064" i="1"/>
  <c r="U1064" i="1"/>
  <c r="V1064" i="1"/>
  <c r="W1064" i="1"/>
  <c r="X1064" i="1"/>
  <c r="Y1064" i="1"/>
  <c r="Z1064" i="1"/>
  <c r="AA1064" i="1"/>
  <c r="AB1064" i="1"/>
  <c r="AC1064" i="1"/>
  <c r="AD1064" i="1"/>
  <c r="AE1064" i="1"/>
  <c r="AF1064" i="1"/>
  <c r="AM1064" i="1"/>
  <c r="AN1064" i="1"/>
  <c r="AO1064" i="1"/>
  <c r="L1065" i="1"/>
  <c r="M1065" i="1"/>
  <c r="N1065" i="1"/>
  <c r="O1065" i="1"/>
  <c r="P1065" i="1"/>
  <c r="Q1065" i="1"/>
  <c r="R1065" i="1"/>
  <c r="S1065" i="1"/>
  <c r="T1065" i="1"/>
  <c r="U1065" i="1"/>
  <c r="V1065" i="1"/>
  <c r="W1065" i="1"/>
  <c r="X1065" i="1"/>
  <c r="Y1065" i="1"/>
  <c r="Z1065" i="1"/>
  <c r="AA1065" i="1"/>
  <c r="AB1065" i="1"/>
  <c r="AC1065" i="1"/>
  <c r="AD1065" i="1"/>
  <c r="AE1065" i="1"/>
  <c r="AF1065" i="1"/>
  <c r="AM1065" i="1"/>
  <c r="AN1065" i="1"/>
  <c r="AO1065" i="1"/>
  <c r="L1066" i="1"/>
  <c r="M1066" i="1"/>
  <c r="N1066" i="1"/>
  <c r="O1066" i="1"/>
  <c r="P1066" i="1"/>
  <c r="Q1066" i="1"/>
  <c r="R1066" i="1"/>
  <c r="S1066" i="1"/>
  <c r="T1066" i="1"/>
  <c r="U1066" i="1"/>
  <c r="V1066" i="1"/>
  <c r="W1066" i="1"/>
  <c r="X1066" i="1"/>
  <c r="Y1066" i="1"/>
  <c r="Z1066" i="1"/>
  <c r="AA1066" i="1"/>
  <c r="AB1066" i="1"/>
  <c r="AC1066" i="1"/>
  <c r="AD1066" i="1"/>
  <c r="AE1066" i="1"/>
  <c r="AF1066" i="1"/>
  <c r="AM1066" i="1"/>
  <c r="AN1066" i="1"/>
  <c r="AO1066" i="1"/>
  <c r="L1067" i="1"/>
  <c r="M1067" i="1"/>
  <c r="N1067" i="1"/>
  <c r="O1067" i="1"/>
  <c r="P1067" i="1"/>
  <c r="Q1067" i="1"/>
  <c r="R1067" i="1"/>
  <c r="S1067" i="1"/>
  <c r="T1067" i="1"/>
  <c r="U1067" i="1"/>
  <c r="V1067" i="1"/>
  <c r="W1067" i="1"/>
  <c r="X1067" i="1"/>
  <c r="Y1067" i="1"/>
  <c r="Z1067" i="1"/>
  <c r="AA1067" i="1"/>
  <c r="AB1067" i="1"/>
  <c r="AC1067" i="1"/>
  <c r="AD1067" i="1"/>
  <c r="AE1067" i="1"/>
  <c r="AF1067" i="1"/>
  <c r="AM1067" i="1"/>
  <c r="AN1067" i="1"/>
  <c r="AO1067" i="1"/>
  <c r="L1068" i="1"/>
  <c r="M1068" i="1"/>
  <c r="N1068" i="1"/>
  <c r="O1068" i="1"/>
  <c r="P1068" i="1"/>
  <c r="Q1068" i="1"/>
  <c r="R1068" i="1"/>
  <c r="S1068" i="1"/>
  <c r="T1068" i="1"/>
  <c r="U1068" i="1"/>
  <c r="V1068" i="1"/>
  <c r="W1068" i="1"/>
  <c r="X1068" i="1"/>
  <c r="Y1068" i="1"/>
  <c r="Z1068" i="1"/>
  <c r="AA1068" i="1"/>
  <c r="AB1068" i="1"/>
  <c r="AC1068" i="1"/>
  <c r="AD1068" i="1"/>
  <c r="AE1068" i="1"/>
  <c r="AF1068" i="1"/>
  <c r="AM1068" i="1"/>
  <c r="AN1068" i="1"/>
  <c r="AO1068" i="1"/>
  <c r="L1069" i="1"/>
  <c r="M1069" i="1"/>
  <c r="N1069" i="1"/>
  <c r="O1069" i="1"/>
  <c r="P1069" i="1"/>
  <c r="Q1069" i="1"/>
  <c r="R1069" i="1"/>
  <c r="S1069" i="1"/>
  <c r="T1069" i="1"/>
  <c r="U1069" i="1"/>
  <c r="V1069" i="1"/>
  <c r="W1069" i="1"/>
  <c r="X1069" i="1"/>
  <c r="Y1069" i="1"/>
  <c r="Z1069" i="1"/>
  <c r="AA1069" i="1"/>
  <c r="AB1069" i="1"/>
  <c r="AC1069" i="1"/>
  <c r="AD1069" i="1"/>
  <c r="AE1069" i="1"/>
  <c r="AF1069" i="1"/>
  <c r="AM1069" i="1"/>
  <c r="AN1069" i="1"/>
  <c r="AO1069" i="1"/>
  <c r="L1070" i="1"/>
  <c r="M1070" i="1"/>
  <c r="N1070" i="1"/>
  <c r="O1070" i="1"/>
  <c r="P1070" i="1"/>
  <c r="Q1070" i="1"/>
  <c r="R1070" i="1"/>
  <c r="S1070" i="1"/>
  <c r="T1070" i="1"/>
  <c r="U1070" i="1"/>
  <c r="V1070" i="1"/>
  <c r="W1070" i="1"/>
  <c r="X1070" i="1"/>
  <c r="Y1070" i="1"/>
  <c r="Z1070" i="1"/>
  <c r="AA1070" i="1"/>
  <c r="AB1070" i="1"/>
  <c r="AC1070" i="1"/>
  <c r="AD1070" i="1"/>
  <c r="AE1070" i="1"/>
  <c r="AF1070" i="1"/>
  <c r="AM1070" i="1"/>
  <c r="AN1070" i="1"/>
  <c r="AO1070" i="1"/>
  <c r="L1071" i="1"/>
  <c r="M1071" i="1"/>
  <c r="N1071" i="1"/>
  <c r="O1071" i="1"/>
  <c r="P1071" i="1"/>
  <c r="Q1071" i="1"/>
  <c r="R1071" i="1"/>
  <c r="S1071" i="1"/>
  <c r="T1071" i="1"/>
  <c r="U1071" i="1"/>
  <c r="V1071" i="1"/>
  <c r="W1071" i="1"/>
  <c r="X1071" i="1"/>
  <c r="Y1071" i="1"/>
  <c r="Z1071" i="1"/>
  <c r="AA1071" i="1"/>
  <c r="AB1071" i="1"/>
  <c r="AC1071" i="1"/>
  <c r="AD1071" i="1"/>
  <c r="AE1071" i="1"/>
  <c r="AF1071" i="1"/>
  <c r="AM1071" i="1"/>
  <c r="AN1071" i="1"/>
  <c r="AO1071" i="1"/>
  <c r="L1072" i="1"/>
  <c r="M1072" i="1"/>
  <c r="N1072" i="1"/>
  <c r="O1072" i="1"/>
  <c r="P1072" i="1"/>
  <c r="Q1072" i="1"/>
  <c r="R1072" i="1"/>
  <c r="S1072" i="1"/>
  <c r="T1072" i="1"/>
  <c r="U1072" i="1"/>
  <c r="V1072" i="1"/>
  <c r="W1072" i="1"/>
  <c r="X1072" i="1"/>
  <c r="Y1072" i="1"/>
  <c r="Z1072" i="1"/>
  <c r="AA1072" i="1"/>
  <c r="AB1072" i="1"/>
  <c r="AC1072" i="1"/>
  <c r="AD1072" i="1"/>
  <c r="AE1072" i="1"/>
  <c r="AF1072" i="1"/>
  <c r="AM1072" i="1"/>
  <c r="AN1072" i="1"/>
  <c r="AO1072" i="1"/>
  <c r="L1073" i="1"/>
  <c r="M1073" i="1"/>
  <c r="N1073" i="1"/>
  <c r="O1073" i="1"/>
  <c r="P1073" i="1"/>
  <c r="Q1073" i="1"/>
  <c r="R1073" i="1"/>
  <c r="S1073" i="1"/>
  <c r="T1073" i="1"/>
  <c r="U1073" i="1"/>
  <c r="V1073" i="1"/>
  <c r="W1073" i="1"/>
  <c r="X1073" i="1"/>
  <c r="Y1073" i="1"/>
  <c r="Z1073" i="1"/>
  <c r="AA1073" i="1"/>
  <c r="AB1073" i="1"/>
  <c r="AC1073" i="1"/>
  <c r="AD1073" i="1"/>
  <c r="AE1073" i="1"/>
  <c r="AF1073" i="1"/>
  <c r="AM1073" i="1"/>
  <c r="AN1073" i="1"/>
  <c r="AO1073" i="1"/>
  <c r="L1074" i="1"/>
  <c r="M1074" i="1"/>
  <c r="N1074" i="1"/>
  <c r="O1074" i="1"/>
  <c r="P1074" i="1"/>
  <c r="Q1074" i="1"/>
  <c r="R1074" i="1"/>
  <c r="S1074" i="1"/>
  <c r="T1074" i="1"/>
  <c r="U1074" i="1"/>
  <c r="V1074" i="1"/>
  <c r="W1074" i="1"/>
  <c r="X1074" i="1"/>
  <c r="Y1074" i="1"/>
  <c r="Z1074" i="1"/>
  <c r="AA1074" i="1"/>
  <c r="AB1074" i="1"/>
  <c r="AC1074" i="1"/>
  <c r="AD1074" i="1"/>
  <c r="AE1074" i="1"/>
  <c r="AF1074" i="1"/>
  <c r="AM1074" i="1"/>
  <c r="AN1074" i="1"/>
  <c r="AO1074" i="1"/>
  <c r="L1075" i="1"/>
  <c r="M1075" i="1"/>
  <c r="N1075" i="1"/>
  <c r="O1075" i="1"/>
  <c r="P1075" i="1"/>
  <c r="Q1075" i="1"/>
  <c r="R1075" i="1"/>
  <c r="S1075" i="1"/>
  <c r="T1075" i="1"/>
  <c r="U1075" i="1"/>
  <c r="V1075" i="1"/>
  <c r="W1075" i="1"/>
  <c r="X1075" i="1"/>
  <c r="Y1075" i="1"/>
  <c r="Z1075" i="1"/>
  <c r="AA1075" i="1"/>
  <c r="AB1075" i="1"/>
  <c r="AC1075" i="1"/>
  <c r="AD1075" i="1"/>
  <c r="AE1075" i="1"/>
  <c r="AF1075" i="1"/>
  <c r="AM1075" i="1"/>
  <c r="AN1075" i="1"/>
  <c r="AO1075" i="1"/>
  <c r="L1076" i="1"/>
  <c r="M1076" i="1"/>
  <c r="N1076" i="1"/>
  <c r="O1076" i="1"/>
  <c r="P1076" i="1"/>
  <c r="Q1076" i="1"/>
  <c r="R1076" i="1"/>
  <c r="S1076" i="1"/>
  <c r="T1076" i="1"/>
  <c r="U1076" i="1"/>
  <c r="V1076" i="1"/>
  <c r="W1076" i="1"/>
  <c r="X1076" i="1"/>
  <c r="Y1076" i="1"/>
  <c r="Z1076" i="1"/>
  <c r="AA1076" i="1"/>
  <c r="AB1076" i="1"/>
  <c r="AC1076" i="1"/>
  <c r="AD1076" i="1"/>
  <c r="AE1076" i="1"/>
  <c r="AF1076" i="1"/>
  <c r="AM1076" i="1"/>
  <c r="AN1076" i="1"/>
  <c r="AO1076" i="1"/>
  <c r="L1077" i="1"/>
  <c r="M1077" i="1"/>
  <c r="N1077" i="1"/>
  <c r="O1077" i="1"/>
  <c r="P1077" i="1"/>
  <c r="Q1077" i="1"/>
  <c r="R1077" i="1"/>
  <c r="S1077" i="1"/>
  <c r="T1077" i="1"/>
  <c r="U1077" i="1"/>
  <c r="V1077" i="1"/>
  <c r="W1077" i="1"/>
  <c r="X1077" i="1"/>
  <c r="Y1077" i="1"/>
  <c r="Z1077" i="1"/>
  <c r="AA1077" i="1"/>
  <c r="AB1077" i="1"/>
  <c r="AC1077" i="1"/>
  <c r="AD1077" i="1"/>
  <c r="AE1077" i="1"/>
  <c r="AF1077" i="1"/>
  <c r="AM1077" i="1"/>
  <c r="AN1077" i="1"/>
  <c r="AO1077" i="1"/>
  <c r="L1078" i="1"/>
  <c r="M1078" i="1"/>
  <c r="N1078" i="1"/>
  <c r="O1078" i="1"/>
  <c r="P1078" i="1"/>
  <c r="Q1078" i="1"/>
  <c r="R1078" i="1"/>
  <c r="S1078" i="1"/>
  <c r="T1078" i="1"/>
  <c r="U1078" i="1"/>
  <c r="V1078" i="1"/>
  <c r="W1078" i="1"/>
  <c r="X1078" i="1"/>
  <c r="Y1078" i="1"/>
  <c r="Z1078" i="1"/>
  <c r="AA1078" i="1"/>
  <c r="AB1078" i="1"/>
  <c r="AC1078" i="1"/>
  <c r="AD1078" i="1"/>
  <c r="AE1078" i="1"/>
  <c r="AF1078" i="1"/>
  <c r="AM1078" i="1"/>
  <c r="AN1078" i="1"/>
  <c r="AO1078" i="1"/>
  <c r="L1079" i="1"/>
  <c r="M1079" i="1"/>
  <c r="N1079" i="1"/>
  <c r="O1079" i="1"/>
  <c r="P1079" i="1"/>
  <c r="Q1079" i="1"/>
  <c r="R1079" i="1"/>
  <c r="S1079" i="1"/>
  <c r="T1079" i="1"/>
  <c r="U1079" i="1"/>
  <c r="V1079" i="1"/>
  <c r="W1079" i="1"/>
  <c r="X1079" i="1"/>
  <c r="Y1079" i="1"/>
  <c r="Z1079" i="1"/>
  <c r="AA1079" i="1"/>
  <c r="AB1079" i="1"/>
  <c r="AC1079" i="1"/>
  <c r="AD1079" i="1"/>
  <c r="AE1079" i="1"/>
  <c r="AF1079" i="1"/>
  <c r="AM1079" i="1"/>
  <c r="AN1079" i="1"/>
  <c r="AO1079" i="1"/>
  <c r="L1080" i="1"/>
  <c r="M1080" i="1"/>
  <c r="N1080" i="1"/>
  <c r="O1080" i="1"/>
  <c r="P1080" i="1"/>
  <c r="Q1080" i="1"/>
  <c r="R1080" i="1"/>
  <c r="S1080" i="1"/>
  <c r="T1080" i="1"/>
  <c r="U1080" i="1"/>
  <c r="V1080" i="1"/>
  <c r="W1080" i="1"/>
  <c r="X1080" i="1"/>
  <c r="Y1080" i="1"/>
  <c r="Z1080" i="1"/>
  <c r="AA1080" i="1"/>
  <c r="AB1080" i="1"/>
  <c r="AC1080" i="1"/>
  <c r="AD1080" i="1"/>
  <c r="AE1080" i="1"/>
  <c r="AF1080" i="1"/>
  <c r="AM1080" i="1"/>
  <c r="AN1080" i="1"/>
  <c r="AO1080" i="1"/>
  <c r="L1081" i="1"/>
  <c r="M1081" i="1"/>
  <c r="N1081" i="1"/>
  <c r="O1081" i="1"/>
  <c r="P1081" i="1"/>
  <c r="Q1081" i="1"/>
  <c r="R1081" i="1"/>
  <c r="S1081" i="1"/>
  <c r="T1081" i="1"/>
  <c r="U1081" i="1"/>
  <c r="V1081" i="1"/>
  <c r="W1081" i="1"/>
  <c r="X1081" i="1"/>
  <c r="Y1081" i="1"/>
  <c r="Z1081" i="1"/>
  <c r="AA1081" i="1"/>
  <c r="AB1081" i="1"/>
  <c r="AC1081" i="1"/>
  <c r="AD1081" i="1"/>
  <c r="AE1081" i="1"/>
  <c r="AF1081" i="1"/>
  <c r="AM1081" i="1"/>
  <c r="AN1081" i="1"/>
  <c r="AO1081" i="1"/>
  <c r="L1082" i="1"/>
  <c r="M1082" i="1"/>
  <c r="N1082" i="1"/>
  <c r="O1082" i="1"/>
  <c r="P1082" i="1"/>
  <c r="Q1082" i="1"/>
  <c r="R1082" i="1"/>
  <c r="S1082" i="1"/>
  <c r="T1082" i="1"/>
  <c r="U1082" i="1"/>
  <c r="V1082" i="1"/>
  <c r="W1082" i="1"/>
  <c r="X1082" i="1"/>
  <c r="Y1082" i="1"/>
  <c r="Z1082" i="1"/>
  <c r="AA1082" i="1"/>
  <c r="AB1082" i="1"/>
  <c r="AC1082" i="1"/>
  <c r="AD1082" i="1"/>
  <c r="AE1082" i="1"/>
  <c r="AF1082" i="1"/>
  <c r="AM1082" i="1"/>
  <c r="AN1082" i="1"/>
  <c r="AO1082" i="1"/>
  <c r="L1083" i="1"/>
  <c r="M1083" i="1"/>
  <c r="N1083" i="1"/>
  <c r="O1083" i="1"/>
  <c r="P1083" i="1"/>
  <c r="Q1083" i="1"/>
  <c r="R1083" i="1"/>
  <c r="S1083" i="1"/>
  <c r="T1083" i="1"/>
  <c r="U1083" i="1"/>
  <c r="V1083" i="1"/>
  <c r="W1083" i="1"/>
  <c r="X1083" i="1"/>
  <c r="Y1083" i="1"/>
  <c r="Z1083" i="1"/>
  <c r="AA1083" i="1"/>
  <c r="AB1083" i="1"/>
  <c r="AC1083" i="1"/>
  <c r="AD1083" i="1"/>
  <c r="AE1083" i="1"/>
  <c r="AF1083" i="1"/>
  <c r="AM1083" i="1"/>
  <c r="AN1083" i="1"/>
  <c r="AO1083" i="1"/>
  <c r="L1084" i="1"/>
  <c r="M1084" i="1"/>
  <c r="N1084" i="1"/>
  <c r="O1084" i="1"/>
  <c r="P1084" i="1"/>
  <c r="Q1084" i="1"/>
  <c r="R1084" i="1"/>
  <c r="S1084" i="1"/>
  <c r="T1084" i="1"/>
  <c r="U1084" i="1"/>
  <c r="V1084" i="1"/>
  <c r="W1084" i="1"/>
  <c r="X1084" i="1"/>
  <c r="Y1084" i="1"/>
  <c r="Z1084" i="1"/>
  <c r="AA1084" i="1"/>
  <c r="AB1084" i="1"/>
  <c r="AC1084" i="1"/>
  <c r="AD1084" i="1"/>
  <c r="AE1084" i="1"/>
  <c r="AF1084" i="1"/>
  <c r="AM1084" i="1"/>
  <c r="AN1084" i="1"/>
  <c r="AO1084" i="1"/>
  <c r="L1085" i="1"/>
  <c r="M1085" i="1"/>
  <c r="N1085" i="1"/>
  <c r="O1085" i="1"/>
  <c r="P1085" i="1"/>
  <c r="Q1085" i="1"/>
  <c r="R1085" i="1"/>
  <c r="S1085" i="1"/>
  <c r="T1085" i="1"/>
  <c r="U1085" i="1"/>
  <c r="V1085" i="1"/>
  <c r="W1085" i="1"/>
  <c r="X1085" i="1"/>
  <c r="Y1085" i="1"/>
  <c r="Z1085" i="1"/>
  <c r="AA1085" i="1"/>
  <c r="AB1085" i="1"/>
  <c r="AC1085" i="1"/>
  <c r="AD1085" i="1"/>
  <c r="AE1085" i="1"/>
  <c r="AF1085" i="1"/>
  <c r="AM1085" i="1"/>
  <c r="AN1085" i="1"/>
  <c r="AO1085" i="1"/>
  <c r="L1086" i="1"/>
  <c r="M1086" i="1"/>
  <c r="N1086" i="1"/>
  <c r="O1086" i="1"/>
  <c r="P1086" i="1"/>
  <c r="Q1086" i="1"/>
  <c r="R1086" i="1"/>
  <c r="S1086" i="1"/>
  <c r="T1086" i="1"/>
  <c r="U1086" i="1"/>
  <c r="V1086" i="1"/>
  <c r="W1086" i="1"/>
  <c r="X1086" i="1"/>
  <c r="Y1086" i="1"/>
  <c r="Z1086" i="1"/>
  <c r="AA1086" i="1"/>
  <c r="AB1086" i="1"/>
  <c r="AC1086" i="1"/>
  <c r="AD1086" i="1"/>
  <c r="AE1086" i="1"/>
  <c r="AF1086" i="1"/>
  <c r="AM1086" i="1"/>
  <c r="AN1086" i="1"/>
  <c r="AO1086" i="1"/>
  <c r="L1087" i="1"/>
  <c r="M1087" i="1"/>
  <c r="N1087" i="1"/>
  <c r="O1087" i="1"/>
  <c r="P1087" i="1"/>
  <c r="Q1087" i="1"/>
  <c r="R1087" i="1"/>
  <c r="S1087" i="1"/>
  <c r="T1087" i="1"/>
  <c r="U1087" i="1"/>
  <c r="V1087" i="1"/>
  <c r="W1087" i="1"/>
  <c r="X1087" i="1"/>
  <c r="Y1087" i="1"/>
  <c r="Z1087" i="1"/>
  <c r="AA1087" i="1"/>
  <c r="AB1087" i="1"/>
  <c r="AC1087" i="1"/>
  <c r="AD1087" i="1"/>
  <c r="AE1087" i="1"/>
  <c r="AF1087" i="1"/>
  <c r="AM1087" i="1"/>
  <c r="AN1087" i="1"/>
  <c r="AO1087" i="1"/>
  <c r="L1088" i="1"/>
  <c r="M1088" i="1"/>
  <c r="N1088" i="1"/>
  <c r="O1088" i="1"/>
  <c r="P1088" i="1"/>
  <c r="Q1088" i="1"/>
  <c r="R1088" i="1"/>
  <c r="S1088" i="1"/>
  <c r="T1088" i="1"/>
  <c r="U1088" i="1"/>
  <c r="V1088" i="1"/>
  <c r="W1088" i="1"/>
  <c r="X1088" i="1"/>
  <c r="Y1088" i="1"/>
  <c r="Z1088" i="1"/>
  <c r="AA1088" i="1"/>
  <c r="AB1088" i="1"/>
  <c r="AC1088" i="1"/>
  <c r="AD1088" i="1"/>
  <c r="AE1088" i="1"/>
  <c r="AF1088" i="1"/>
  <c r="AM1088" i="1"/>
  <c r="AN1088" i="1"/>
  <c r="AO1088" i="1"/>
  <c r="L1089" i="1"/>
  <c r="M1089" i="1"/>
  <c r="N1089" i="1"/>
  <c r="O1089" i="1"/>
  <c r="P1089" i="1"/>
  <c r="Q1089" i="1"/>
  <c r="R1089" i="1"/>
  <c r="S1089" i="1"/>
  <c r="T1089" i="1"/>
  <c r="U1089" i="1"/>
  <c r="V1089" i="1"/>
  <c r="W1089" i="1"/>
  <c r="X1089" i="1"/>
  <c r="Y1089" i="1"/>
  <c r="Z1089" i="1"/>
  <c r="AA1089" i="1"/>
  <c r="AB1089" i="1"/>
  <c r="AC1089" i="1"/>
  <c r="AD1089" i="1"/>
  <c r="AE1089" i="1"/>
  <c r="AF1089" i="1"/>
  <c r="AM1089" i="1"/>
  <c r="AN1089" i="1"/>
  <c r="AO1089" i="1"/>
  <c r="L1090" i="1"/>
  <c r="M1090" i="1"/>
  <c r="N1090" i="1"/>
  <c r="O1090" i="1"/>
  <c r="P1090" i="1"/>
  <c r="Q1090" i="1"/>
  <c r="R1090" i="1"/>
  <c r="S1090" i="1"/>
  <c r="T1090" i="1"/>
  <c r="U1090" i="1"/>
  <c r="V1090" i="1"/>
  <c r="W1090" i="1"/>
  <c r="X1090" i="1"/>
  <c r="Y1090" i="1"/>
  <c r="Z1090" i="1"/>
  <c r="AA1090" i="1"/>
  <c r="AB1090" i="1"/>
  <c r="AC1090" i="1"/>
  <c r="AD1090" i="1"/>
  <c r="AE1090" i="1"/>
  <c r="AF1090" i="1"/>
  <c r="AM1090" i="1"/>
  <c r="AN1090" i="1"/>
  <c r="AO1090" i="1"/>
  <c r="L1091" i="1"/>
  <c r="M1091" i="1"/>
  <c r="N1091" i="1"/>
  <c r="O1091" i="1"/>
  <c r="P1091" i="1"/>
  <c r="Q1091" i="1"/>
  <c r="R1091" i="1"/>
  <c r="S1091" i="1"/>
  <c r="T1091" i="1"/>
  <c r="U1091" i="1"/>
  <c r="V1091" i="1"/>
  <c r="W1091" i="1"/>
  <c r="X1091" i="1"/>
  <c r="Y1091" i="1"/>
  <c r="Z1091" i="1"/>
  <c r="AA1091" i="1"/>
  <c r="AB1091" i="1"/>
  <c r="AC1091" i="1"/>
  <c r="AD1091" i="1"/>
  <c r="AE1091" i="1"/>
  <c r="AF1091" i="1"/>
  <c r="AM1091" i="1"/>
  <c r="AN1091" i="1"/>
  <c r="AO1091" i="1"/>
  <c r="L1092" i="1"/>
  <c r="M1092" i="1"/>
  <c r="N1092" i="1"/>
  <c r="O1092" i="1"/>
  <c r="P1092" i="1"/>
  <c r="Q1092" i="1"/>
  <c r="R1092" i="1"/>
  <c r="S1092" i="1"/>
  <c r="T1092" i="1"/>
  <c r="U1092" i="1"/>
  <c r="V1092" i="1"/>
  <c r="W1092" i="1"/>
  <c r="X1092" i="1"/>
  <c r="Y1092" i="1"/>
  <c r="Z1092" i="1"/>
  <c r="AA1092" i="1"/>
  <c r="AB1092" i="1"/>
  <c r="AC1092" i="1"/>
  <c r="AD1092" i="1"/>
  <c r="AE1092" i="1"/>
  <c r="AF1092" i="1"/>
  <c r="AM1092" i="1"/>
  <c r="AN1092" i="1"/>
  <c r="AO1092" i="1"/>
  <c r="L1093" i="1"/>
  <c r="M1093" i="1"/>
  <c r="N1093" i="1"/>
  <c r="O1093" i="1"/>
  <c r="P1093" i="1"/>
  <c r="Q1093" i="1"/>
  <c r="R1093" i="1"/>
  <c r="S1093" i="1"/>
  <c r="T1093" i="1"/>
  <c r="U1093" i="1"/>
  <c r="V1093" i="1"/>
  <c r="W1093" i="1"/>
  <c r="X1093" i="1"/>
  <c r="Y1093" i="1"/>
  <c r="Z1093" i="1"/>
  <c r="AA1093" i="1"/>
  <c r="AB1093" i="1"/>
  <c r="AC1093" i="1"/>
  <c r="AD1093" i="1"/>
  <c r="AE1093" i="1"/>
  <c r="AF1093" i="1"/>
  <c r="AM1093" i="1"/>
  <c r="AN1093" i="1"/>
  <c r="AO1093" i="1"/>
  <c r="L1094" i="1"/>
  <c r="M1094" i="1"/>
  <c r="N1094" i="1"/>
  <c r="O1094" i="1"/>
  <c r="P1094" i="1"/>
  <c r="Q1094" i="1"/>
  <c r="R1094" i="1"/>
  <c r="S1094" i="1"/>
  <c r="T1094" i="1"/>
  <c r="U1094" i="1"/>
  <c r="V1094" i="1"/>
  <c r="W1094" i="1"/>
  <c r="X1094" i="1"/>
  <c r="Y1094" i="1"/>
  <c r="Z1094" i="1"/>
  <c r="AA1094" i="1"/>
  <c r="AB1094" i="1"/>
  <c r="AC1094" i="1"/>
  <c r="AD1094" i="1"/>
  <c r="AE1094" i="1"/>
  <c r="AF1094" i="1"/>
  <c r="AM1094" i="1"/>
  <c r="AN1094" i="1"/>
  <c r="AO1094" i="1"/>
  <c r="L1095" i="1"/>
  <c r="M1095" i="1"/>
  <c r="N1095" i="1"/>
  <c r="O1095" i="1"/>
  <c r="P1095" i="1"/>
  <c r="Q1095" i="1"/>
  <c r="R1095" i="1"/>
  <c r="S1095" i="1"/>
  <c r="T1095" i="1"/>
  <c r="U1095" i="1"/>
  <c r="V1095" i="1"/>
  <c r="W1095" i="1"/>
  <c r="X1095" i="1"/>
  <c r="Y1095" i="1"/>
  <c r="Z1095" i="1"/>
  <c r="AA1095" i="1"/>
  <c r="AB1095" i="1"/>
  <c r="AC1095" i="1"/>
  <c r="AD1095" i="1"/>
  <c r="AE1095" i="1"/>
  <c r="AF1095" i="1"/>
  <c r="AM1095" i="1"/>
  <c r="AN1095" i="1"/>
  <c r="AO1095" i="1"/>
  <c r="L1096" i="1"/>
  <c r="M1096" i="1"/>
  <c r="N1096" i="1"/>
  <c r="O1096" i="1"/>
  <c r="P1096" i="1"/>
  <c r="Q1096" i="1"/>
  <c r="R1096" i="1"/>
  <c r="S1096" i="1"/>
  <c r="T1096" i="1"/>
  <c r="U1096" i="1"/>
  <c r="V1096" i="1"/>
  <c r="W1096" i="1"/>
  <c r="X1096" i="1"/>
  <c r="Y1096" i="1"/>
  <c r="Z1096" i="1"/>
  <c r="AA1096" i="1"/>
  <c r="AB1096" i="1"/>
  <c r="AC1096" i="1"/>
  <c r="AD1096" i="1"/>
  <c r="AE1096" i="1"/>
  <c r="AF1096" i="1"/>
  <c r="AM1096" i="1"/>
  <c r="AN1096" i="1"/>
  <c r="AO1096" i="1"/>
  <c r="L1097" i="1"/>
  <c r="M1097" i="1"/>
  <c r="N1097" i="1"/>
  <c r="O1097" i="1"/>
  <c r="P1097" i="1"/>
  <c r="Q1097" i="1"/>
  <c r="R1097" i="1"/>
  <c r="S1097" i="1"/>
  <c r="T1097" i="1"/>
  <c r="U1097" i="1"/>
  <c r="V1097" i="1"/>
  <c r="W1097" i="1"/>
  <c r="X1097" i="1"/>
  <c r="Y1097" i="1"/>
  <c r="Z1097" i="1"/>
  <c r="AA1097" i="1"/>
  <c r="AB1097" i="1"/>
  <c r="AC1097" i="1"/>
  <c r="AD1097" i="1"/>
  <c r="AE1097" i="1"/>
  <c r="AF1097" i="1"/>
  <c r="AM1097" i="1"/>
  <c r="AN1097" i="1"/>
  <c r="AO1097" i="1"/>
  <c r="L1098" i="1"/>
  <c r="M1098" i="1"/>
  <c r="N1098" i="1"/>
  <c r="O1098" i="1"/>
  <c r="P1098" i="1"/>
  <c r="Q1098" i="1"/>
  <c r="R1098" i="1"/>
  <c r="S1098" i="1"/>
  <c r="T1098" i="1"/>
  <c r="U1098" i="1"/>
  <c r="V1098" i="1"/>
  <c r="W1098" i="1"/>
  <c r="X1098" i="1"/>
  <c r="Y1098" i="1"/>
  <c r="Z1098" i="1"/>
  <c r="AA1098" i="1"/>
  <c r="AB1098" i="1"/>
  <c r="AC1098" i="1"/>
  <c r="AD1098" i="1"/>
  <c r="AE1098" i="1"/>
  <c r="AF1098" i="1"/>
  <c r="AM1098" i="1"/>
  <c r="AN1098" i="1"/>
  <c r="AO1098" i="1"/>
  <c r="L1099" i="1"/>
  <c r="M1099" i="1"/>
  <c r="N1099" i="1"/>
  <c r="O1099" i="1"/>
  <c r="P1099" i="1"/>
  <c r="Q1099" i="1"/>
  <c r="R1099" i="1"/>
  <c r="S1099" i="1"/>
  <c r="T1099" i="1"/>
  <c r="U1099" i="1"/>
  <c r="V1099" i="1"/>
  <c r="W1099" i="1"/>
  <c r="X1099" i="1"/>
  <c r="Y1099" i="1"/>
  <c r="Z1099" i="1"/>
  <c r="AA1099" i="1"/>
  <c r="AB1099" i="1"/>
  <c r="AC1099" i="1"/>
  <c r="AD1099" i="1"/>
  <c r="AE1099" i="1"/>
  <c r="AF1099" i="1"/>
  <c r="AM1099" i="1"/>
  <c r="AN1099" i="1"/>
  <c r="AO1099" i="1"/>
  <c r="L1100" i="1"/>
  <c r="M1100" i="1"/>
  <c r="N1100" i="1"/>
  <c r="O1100" i="1"/>
  <c r="P1100" i="1"/>
  <c r="Q1100" i="1"/>
  <c r="R1100" i="1"/>
  <c r="S1100" i="1"/>
  <c r="T1100" i="1"/>
  <c r="U1100" i="1"/>
  <c r="V1100" i="1"/>
  <c r="W1100" i="1"/>
  <c r="X1100" i="1"/>
  <c r="Y1100" i="1"/>
  <c r="Z1100" i="1"/>
  <c r="AA1100" i="1"/>
  <c r="AB1100" i="1"/>
  <c r="AC1100" i="1"/>
  <c r="AD1100" i="1"/>
  <c r="AE1100" i="1"/>
  <c r="AF1100" i="1"/>
  <c r="AM1100" i="1"/>
  <c r="AN1100" i="1"/>
  <c r="AO1100" i="1"/>
  <c r="L1101" i="1"/>
  <c r="M1101" i="1"/>
  <c r="N1101" i="1"/>
  <c r="O1101" i="1"/>
  <c r="P1101" i="1"/>
  <c r="Q1101" i="1"/>
  <c r="R1101" i="1"/>
  <c r="S1101" i="1"/>
  <c r="T1101" i="1"/>
  <c r="U1101" i="1"/>
  <c r="V1101" i="1"/>
  <c r="W1101" i="1"/>
  <c r="X1101" i="1"/>
  <c r="Y1101" i="1"/>
  <c r="Z1101" i="1"/>
  <c r="AA1101" i="1"/>
  <c r="AB1101" i="1"/>
  <c r="AC1101" i="1"/>
  <c r="AD1101" i="1"/>
  <c r="AE1101" i="1"/>
  <c r="AF1101" i="1"/>
  <c r="AM1101" i="1"/>
  <c r="AN1101" i="1"/>
  <c r="AO1101" i="1"/>
  <c r="L1102" i="1"/>
  <c r="M1102" i="1"/>
  <c r="N1102" i="1"/>
  <c r="O1102" i="1"/>
  <c r="P1102" i="1"/>
  <c r="Q1102" i="1"/>
  <c r="R1102" i="1"/>
  <c r="S1102" i="1"/>
  <c r="T1102" i="1"/>
  <c r="U1102" i="1"/>
  <c r="V1102" i="1"/>
  <c r="W1102" i="1"/>
  <c r="X1102" i="1"/>
  <c r="Y1102" i="1"/>
  <c r="Z1102" i="1"/>
  <c r="AA1102" i="1"/>
  <c r="AB1102" i="1"/>
  <c r="AC1102" i="1"/>
  <c r="AD1102" i="1"/>
  <c r="AE1102" i="1"/>
  <c r="AF1102" i="1"/>
  <c r="AM1102" i="1"/>
  <c r="AN1102" i="1"/>
  <c r="AO1102" i="1"/>
  <c r="L1103" i="1"/>
  <c r="M1103" i="1"/>
  <c r="N1103" i="1"/>
  <c r="O1103" i="1"/>
  <c r="P1103" i="1"/>
  <c r="Q1103" i="1"/>
  <c r="R1103" i="1"/>
  <c r="S1103" i="1"/>
  <c r="T1103" i="1"/>
  <c r="U1103" i="1"/>
  <c r="V1103" i="1"/>
  <c r="W1103" i="1"/>
  <c r="X1103" i="1"/>
  <c r="Y1103" i="1"/>
  <c r="Z1103" i="1"/>
  <c r="AA1103" i="1"/>
  <c r="AB1103" i="1"/>
  <c r="AC1103" i="1"/>
  <c r="AD1103" i="1"/>
  <c r="AE1103" i="1"/>
  <c r="AF1103" i="1"/>
  <c r="AM1103" i="1"/>
  <c r="AN1103" i="1"/>
  <c r="AO1103" i="1"/>
  <c r="L1104" i="1"/>
  <c r="M1104" i="1"/>
  <c r="N1104" i="1"/>
  <c r="O1104" i="1"/>
  <c r="P1104" i="1"/>
  <c r="Q1104" i="1"/>
  <c r="R1104" i="1"/>
  <c r="S1104" i="1"/>
  <c r="T1104" i="1"/>
  <c r="U1104" i="1"/>
  <c r="V1104" i="1"/>
  <c r="W1104" i="1"/>
  <c r="X1104" i="1"/>
  <c r="Y1104" i="1"/>
  <c r="Z1104" i="1"/>
  <c r="AA1104" i="1"/>
  <c r="AB1104" i="1"/>
  <c r="AC1104" i="1"/>
  <c r="AD1104" i="1"/>
  <c r="AE1104" i="1"/>
  <c r="AF1104" i="1"/>
  <c r="AM1104" i="1"/>
  <c r="AN1104" i="1"/>
  <c r="AO1104" i="1"/>
  <c r="L1105" i="1"/>
  <c r="M1105" i="1"/>
  <c r="N1105" i="1"/>
  <c r="O1105" i="1"/>
  <c r="P1105" i="1"/>
  <c r="Q1105" i="1"/>
  <c r="R1105" i="1"/>
  <c r="S1105" i="1"/>
  <c r="T1105" i="1"/>
  <c r="U1105" i="1"/>
  <c r="V1105" i="1"/>
  <c r="W1105" i="1"/>
  <c r="X1105" i="1"/>
  <c r="Y1105" i="1"/>
  <c r="Z1105" i="1"/>
  <c r="AA1105" i="1"/>
  <c r="AB1105" i="1"/>
  <c r="AC1105" i="1"/>
  <c r="AD1105" i="1"/>
  <c r="AE1105" i="1"/>
  <c r="AF1105" i="1"/>
  <c r="AM1105" i="1"/>
  <c r="AN1105" i="1"/>
  <c r="AO1105" i="1"/>
  <c r="L1106" i="1"/>
  <c r="M1106" i="1"/>
  <c r="N1106" i="1"/>
  <c r="O1106" i="1"/>
  <c r="P1106" i="1"/>
  <c r="Q1106" i="1"/>
  <c r="R1106" i="1"/>
  <c r="S1106" i="1"/>
  <c r="T1106" i="1"/>
  <c r="U1106" i="1"/>
  <c r="V1106" i="1"/>
  <c r="W1106" i="1"/>
  <c r="X1106" i="1"/>
  <c r="Y1106" i="1"/>
  <c r="Z1106" i="1"/>
  <c r="AA1106" i="1"/>
  <c r="AB1106" i="1"/>
  <c r="AC1106" i="1"/>
  <c r="AD1106" i="1"/>
  <c r="AE1106" i="1"/>
  <c r="AF1106" i="1"/>
  <c r="AM1106" i="1"/>
  <c r="AN1106" i="1"/>
  <c r="AO1106" i="1"/>
  <c r="L1107" i="1"/>
  <c r="M1107" i="1"/>
  <c r="N1107" i="1"/>
  <c r="O1107" i="1"/>
  <c r="P1107" i="1"/>
  <c r="Q1107" i="1"/>
  <c r="R1107" i="1"/>
  <c r="S1107" i="1"/>
  <c r="T1107" i="1"/>
  <c r="U1107" i="1"/>
  <c r="V1107" i="1"/>
  <c r="W1107" i="1"/>
  <c r="X1107" i="1"/>
  <c r="Y1107" i="1"/>
  <c r="Z1107" i="1"/>
  <c r="AA1107" i="1"/>
  <c r="AB1107" i="1"/>
  <c r="AC1107" i="1"/>
  <c r="AD1107" i="1"/>
  <c r="AE1107" i="1"/>
  <c r="AF1107" i="1"/>
  <c r="AM1107" i="1"/>
  <c r="AN1107" i="1"/>
  <c r="AO1107" i="1"/>
  <c r="L1108" i="1"/>
  <c r="M1108" i="1"/>
  <c r="N1108" i="1"/>
  <c r="O1108" i="1"/>
  <c r="P1108" i="1"/>
  <c r="Q1108" i="1"/>
  <c r="R1108" i="1"/>
  <c r="S1108" i="1"/>
  <c r="T1108" i="1"/>
  <c r="U1108" i="1"/>
  <c r="V1108" i="1"/>
  <c r="W1108" i="1"/>
  <c r="X1108" i="1"/>
  <c r="Y1108" i="1"/>
  <c r="Z1108" i="1"/>
  <c r="AA1108" i="1"/>
  <c r="AB1108" i="1"/>
  <c r="AC1108" i="1"/>
  <c r="AD1108" i="1"/>
  <c r="AE1108" i="1"/>
  <c r="AF1108" i="1"/>
  <c r="AM1108" i="1"/>
  <c r="AN1108" i="1"/>
  <c r="AO1108" i="1"/>
  <c r="L1109" i="1"/>
  <c r="M1109" i="1"/>
  <c r="N1109" i="1"/>
  <c r="O1109" i="1"/>
  <c r="P1109" i="1"/>
  <c r="Q1109" i="1"/>
  <c r="R1109" i="1"/>
  <c r="S1109" i="1"/>
  <c r="T1109" i="1"/>
  <c r="U1109" i="1"/>
  <c r="V1109" i="1"/>
  <c r="W1109" i="1"/>
  <c r="X1109" i="1"/>
  <c r="Y1109" i="1"/>
  <c r="Z1109" i="1"/>
  <c r="AA1109" i="1"/>
  <c r="AB1109" i="1"/>
  <c r="AC1109" i="1"/>
  <c r="AD1109" i="1"/>
  <c r="AE1109" i="1"/>
  <c r="AF1109" i="1"/>
  <c r="AM1109" i="1"/>
  <c r="AN1109" i="1"/>
  <c r="AO1109" i="1"/>
  <c r="L1110" i="1"/>
  <c r="M1110" i="1"/>
  <c r="N1110" i="1"/>
  <c r="O1110" i="1"/>
  <c r="P1110" i="1"/>
  <c r="Q1110" i="1"/>
  <c r="R1110" i="1"/>
  <c r="S1110" i="1"/>
  <c r="T1110" i="1"/>
  <c r="U1110" i="1"/>
  <c r="V1110" i="1"/>
  <c r="W1110" i="1"/>
  <c r="X1110" i="1"/>
  <c r="Y1110" i="1"/>
  <c r="Z1110" i="1"/>
  <c r="AA1110" i="1"/>
  <c r="AB1110" i="1"/>
  <c r="AC1110" i="1"/>
  <c r="AD1110" i="1"/>
  <c r="AE1110" i="1"/>
  <c r="AF1110" i="1"/>
  <c r="AM1110" i="1"/>
  <c r="AN1110" i="1"/>
  <c r="AO1110" i="1"/>
  <c r="L1111" i="1"/>
  <c r="M1111" i="1"/>
  <c r="N1111" i="1"/>
  <c r="O1111" i="1"/>
  <c r="P1111" i="1"/>
  <c r="Q1111" i="1"/>
  <c r="R1111" i="1"/>
  <c r="S1111" i="1"/>
  <c r="T1111" i="1"/>
  <c r="U1111" i="1"/>
  <c r="V1111" i="1"/>
  <c r="W1111" i="1"/>
  <c r="X1111" i="1"/>
  <c r="Y1111" i="1"/>
  <c r="Z1111" i="1"/>
  <c r="AA1111" i="1"/>
  <c r="AB1111" i="1"/>
  <c r="AC1111" i="1"/>
  <c r="AD1111" i="1"/>
  <c r="AE1111" i="1"/>
  <c r="AF1111" i="1"/>
  <c r="AM1111" i="1"/>
  <c r="AN1111" i="1"/>
  <c r="AO1111" i="1"/>
  <c r="L1112" i="1"/>
  <c r="M1112" i="1"/>
  <c r="N1112" i="1"/>
  <c r="O1112" i="1"/>
  <c r="P1112" i="1"/>
  <c r="Q1112" i="1"/>
  <c r="R1112" i="1"/>
  <c r="S1112" i="1"/>
  <c r="T1112" i="1"/>
  <c r="U1112" i="1"/>
  <c r="V1112" i="1"/>
  <c r="W1112" i="1"/>
  <c r="X1112" i="1"/>
  <c r="Y1112" i="1"/>
  <c r="Z1112" i="1"/>
  <c r="AA1112" i="1"/>
  <c r="AB1112" i="1"/>
  <c r="AC1112" i="1"/>
  <c r="AD1112" i="1"/>
  <c r="AE1112" i="1"/>
  <c r="AF1112" i="1"/>
  <c r="AM1112" i="1"/>
  <c r="AN1112" i="1"/>
  <c r="AO1112" i="1"/>
  <c r="L1113" i="1"/>
  <c r="M1113" i="1"/>
  <c r="N1113" i="1"/>
  <c r="O1113" i="1"/>
  <c r="P1113" i="1"/>
  <c r="Q1113" i="1"/>
  <c r="R1113" i="1"/>
  <c r="S1113" i="1"/>
  <c r="T1113" i="1"/>
  <c r="U1113" i="1"/>
  <c r="V1113" i="1"/>
  <c r="W1113" i="1"/>
  <c r="X1113" i="1"/>
  <c r="Y1113" i="1"/>
  <c r="Z1113" i="1"/>
  <c r="AA1113" i="1"/>
  <c r="AB1113" i="1"/>
  <c r="AC1113" i="1"/>
  <c r="AD1113" i="1"/>
  <c r="AE1113" i="1"/>
  <c r="AF1113" i="1"/>
  <c r="AM1113" i="1"/>
  <c r="AN1113" i="1"/>
  <c r="AO1113" i="1"/>
  <c r="L1114" i="1"/>
  <c r="M1114" i="1"/>
  <c r="N1114" i="1"/>
  <c r="O1114" i="1"/>
  <c r="P1114" i="1"/>
  <c r="Q1114" i="1"/>
  <c r="R1114" i="1"/>
  <c r="S1114" i="1"/>
  <c r="T1114" i="1"/>
  <c r="U1114" i="1"/>
  <c r="V1114" i="1"/>
  <c r="W1114" i="1"/>
  <c r="X1114" i="1"/>
  <c r="Y1114" i="1"/>
  <c r="Z1114" i="1"/>
  <c r="AA1114" i="1"/>
  <c r="AB1114" i="1"/>
  <c r="AC1114" i="1"/>
  <c r="AD1114" i="1"/>
  <c r="AE1114" i="1"/>
  <c r="AF1114" i="1"/>
  <c r="AM1114" i="1"/>
  <c r="AN1114" i="1"/>
  <c r="AO1114" i="1"/>
  <c r="L1115" i="1"/>
  <c r="M1115" i="1"/>
  <c r="N1115" i="1"/>
  <c r="O1115" i="1"/>
  <c r="P1115" i="1"/>
  <c r="Q1115" i="1"/>
  <c r="R1115" i="1"/>
  <c r="S1115" i="1"/>
  <c r="T1115" i="1"/>
  <c r="U1115" i="1"/>
  <c r="V1115" i="1"/>
  <c r="W1115" i="1"/>
  <c r="X1115" i="1"/>
  <c r="Y1115" i="1"/>
  <c r="Z1115" i="1"/>
  <c r="AA1115" i="1"/>
  <c r="AB1115" i="1"/>
  <c r="AC1115" i="1"/>
  <c r="AD1115" i="1"/>
  <c r="AE1115" i="1"/>
  <c r="AF1115" i="1"/>
  <c r="AM1115" i="1"/>
  <c r="AN1115" i="1"/>
  <c r="AO1115" i="1"/>
  <c r="L1116" i="1"/>
  <c r="M1116" i="1"/>
  <c r="N1116" i="1"/>
  <c r="O1116" i="1"/>
  <c r="P1116" i="1"/>
  <c r="Q1116" i="1"/>
  <c r="R1116" i="1"/>
  <c r="S1116" i="1"/>
  <c r="T1116" i="1"/>
  <c r="U1116" i="1"/>
  <c r="V1116" i="1"/>
  <c r="W1116" i="1"/>
  <c r="X1116" i="1"/>
  <c r="Y1116" i="1"/>
  <c r="Z1116" i="1"/>
  <c r="AA1116" i="1"/>
  <c r="AB1116" i="1"/>
  <c r="AC1116" i="1"/>
  <c r="AD1116" i="1"/>
  <c r="AE1116" i="1"/>
  <c r="AF1116" i="1"/>
  <c r="AM1116" i="1"/>
  <c r="AN1116" i="1"/>
  <c r="AO1116" i="1"/>
  <c r="L1117" i="1"/>
  <c r="M1117" i="1"/>
  <c r="N1117" i="1"/>
  <c r="O1117" i="1"/>
  <c r="P1117" i="1"/>
  <c r="Q1117" i="1"/>
  <c r="R1117" i="1"/>
  <c r="S1117" i="1"/>
  <c r="T1117" i="1"/>
  <c r="U1117" i="1"/>
  <c r="V1117" i="1"/>
  <c r="W1117" i="1"/>
  <c r="X1117" i="1"/>
  <c r="Y1117" i="1"/>
  <c r="Z1117" i="1"/>
  <c r="AA1117" i="1"/>
  <c r="AB1117" i="1"/>
  <c r="AC1117" i="1"/>
  <c r="AD1117" i="1"/>
  <c r="AE1117" i="1"/>
  <c r="AF1117" i="1"/>
  <c r="AM1117" i="1"/>
  <c r="AN1117" i="1"/>
  <c r="AO1117" i="1"/>
  <c r="L1118" i="1"/>
  <c r="M1118" i="1"/>
  <c r="N1118" i="1"/>
  <c r="O1118" i="1"/>
  <c r="P1118" i="1"/>
  <c r="Q1118" i="1"/>
  <c r="R1118" i="1"/>
  <c r="S1118" i="1"/>
  <c r="T1118" i="1"/>
  <c r="U1118" i="1"/>
  <c r="V1118" i="1"/>
  <c r="W1118" i="1"/>
  <c r="X1118" i="1"/>
  <c r="Y1118" i="1"/>
  <c r="Z1118" i="1"/>
  <c r="AA1118" i="1"/>
  <c r="AB1118" i="1"/>
  <c r="AC1118" i="1"/>
  <c r="AD1118" i="1"/>
  <c r="AE1118" i="1"/>
  <c r="AF1118" i="1"/>
  <c r="AM1118" i="1"/>
  <c r="AN1118" i="1"/>
  <c r="AO1118" i="1"/>
  <c r="L1119" i="1"/>
  <c r="M1119" i="1"/>
  <c r="N1119" i="1"/>
  <c r="O1119" i="1"/>
  <c r="P1119" i="1"/>
  <c r="Q1119" i="1"/>
  <c r="R1119" i="1"/>
  <c r="S1119" i="1"/>
  <c r="T1119" i="1"/>
  <c r="U1119" i="1"/>
  <c r="V1119" i="1"/>
  <c r="W1119" i="1"/>
  <c r="X1119" i="1"/>
  <c r="Y1119" i="1"/>
  <c r="Z1119" i="1"/>
  <c r="AA1119" i="1"/>
  <c r="AB1119" i="1"/>
  <c r="AC1119" i="1"/>
  <c r="AD1119" i="1"/>
  <c r="AE1119" i="1"/>
  <c r="AF1119" i="1"/>
  <c r="AM1119" i="1"/>
  <c r="AN1119" i="1"/>
  <c r="AO1119" i="1"/>
  <c r="L1120" i="1"/>
  <c r="M1120" i="1"/>
  <c r="N1120" i="1"/>
  <c r="O1120" i="1"/>
  <c r="P1120" i="1"/>
  <c r="Q1120" i="1"/>
  <c r="R1120" i="1"/>
  <c r="S1120" i="1"/>
  <c r="T1120" i="1"/>
  <c r="U1120" i="1"/>
  <c r="V1120" i="1"/>
  <c r="W1120" i="1"/>
  <c r="X1120" i="1"/>
  <c r="Y1120" i="1"/>
  <c r="Z1120" i="1"/>
  <c r="AA1120" i="1"/>
  <c r="AB1120" i="1"/>
  <c r="AC1120" i="1"/>
  <c r="AD1120" i="1"/>
  <c r="AE1120" i="1"/>
  <c r="AF1120" i="1"/>
  <c r="AM1120" i="1"/>
  <c r="AN1120" i="1"/>
  <c r="AO1120" i="1"/>
  <c r="L1121" i="1"/>
  <c r="M1121" i="1"/>
  <c r="N1121" i="1"/>
  <c r="O1121" i="1"/>
  <c r="P1121" i="1"/>
  <c r="Q1121" i="1"/>
  <c r="R1121" i="1"/>
  <c r="S1121" i="1"/>
  <c r="T1121" i="1"/>
  <c r="U1121" i="1"/>
  <c r="V1121" i="1"/>
  <c r="W1121" i="1"/>
  <c r="X1121" i="1"/>
  <c r="Y1121" i="1"/>
  <c r="Z1121" i="1"/>
  <c r="AA1121" i="1"/>
  <c r="AB1121" i="1"/>
  <c r="AC1121" i="1"/>
  <c r="AD1121" i="1"/>
  <c r="AE1121" i="1"/>
  <c r="AF1121" i="1"/>
  <c r="AM1121" i="1"/>
  <c r="AN1121" i="1"/>
  <c r="AO1121" i="1"/>
  <c r="L1122" i="1"/>
  <c r="M1122" i="1"/>
  <c r="N1122" i="1"/>
  <c r="O1122" i="1"/>
  <c r="P1122" i="1"/>
  <c r="Q1122" i="1"/>
  <c r="R1122" i="1"/>
  <c r="S1122" i="1"/>
  <c r="T1122" i="1"/>
  <c r="U1122" i="1"/>
  <c r="V1122" i="1"/>
  <c r="W1122" i="1"/>
  <c r="X1122" i="1"/>
  <c r="Y1122" i="1"/>
  <c r="Z1122" i="1"/>
  <c r="AA1122" i="1"/>
  <c r="AB1122" i="1"/>
  <c r="AC1122" i="1"/>
  <c r="AD1122" i="1"/>
  <c r="AE1122" i="1"/>
  <c r="AF1122" i="1"/>
  <c r="AM1122" i="1"/>
  <c r="AN1122" i="1"/>
  <c r="AO1122" i="1"/>
  <c r="L1123" i="1"/>
  <c r="M1123" i="1"/>
  <c r="N1123" i="1"/>
  <c r="O1123" i="1"/>
  <c r="P1123" i="1"/>
  <c r="Q1123" i="1"/>
  <c r="R1123" i="1"/>
  <c r="S1123" i="1"/>
  <c r="T1123" i="1"/>
  <c r="U1123" i="1"/>
  <c r="V1123" i="1"/>
  <c r="W1123" i="1"/>
  <c r="X1123" i="1"/>
  <c r="Y1123" i="1"/>
  <c r="Z1123" i="1"/>
  <c r="AA1123" i="1"/>
  <c r="AB1123" i="1"/>
  <c r="AC1123" i="1"/>
  <c r="AD1123" i="1"/>
  <c r="AE1123" i="1"/>
  <c r="AF1123" i="1"/>
  <c r="AM1123" i="1"/>
  <c r="AN1123" i="1"/>
  <c r="AO1123" i="1"/>
  <c r="L1124" i="1"/>
  <c r="M1124" i="1"/>
  <c r="N1124" i="1"/>
  <c r="O1124" i="1"/>
  <c r="P1124" i="1"/>
  <c r="Q1124" i="1"/>
  <c r="R1124" i="1"/>
  <c r="S1124" i="1"/>
  <c r="T1124" i="1"/>
  <c r="U1124" i="1"/>
  <c r="V1124" i="1"/>
  <c r="W1124" i="1"/>
  <c r="X1124" i="1"/>
  <c r="Y1124" i="1"/>
  <c r="Z1124" i="1"/>
  <c r="AA1124" i="1"/>
  <c r="AB1124" i="1"/>
  <c r="AC1124" i="1"/>
  <c r="AD1124" i="1"/>
  <c r="AE1124" i="1"/>
  <c r="AF1124" i="1"/>
  <c r="AM1124" i="1"/>
  <c r="AN1124" i="1"/>
  <c r="AO1124" i="1"/>
  <c r="L1125" i="1"/>
  <c r="M1125" i="1"/>
  <c r="N1125" i="1"/>
  <c r="O1125" i="1"/>
  <c r="P1125" i="1"/>
  <c r="Q1125" i="1"/>
  <c r="R1125" i="1"/>
  <c r="S1125" i="1"/>
  <c r="T1125" i="1"/>
  <c r="U1125" i="1"/>
  <c r="V1125" i="1"/>
  <c r="W1125" i="1"/>
  <c r="X1125" i="1"/>
  <c r="Y1125" i="1"/>
  <c r="Z1125" i="1"/>
  <c r="AA1125" i="1"/>
  <c r="AB1125" i="1"/>
  <c r="AC1125" i="1"/>
  <c r="AD1125" i="1"/>
  <c r="AE1125" i="1"/>
  <c r="AF1125" i="1"/>
  <c r="AM1125" i="1"/>
  <c r="AN1125" i="1"/>
  <c r="AO1125" i="1"/>
  <c r="L1126" i="1"/>
  <c r="M1126" i="1"/>
  <c r="N1126" i="1"/>
  <c r="O1126" i="1"/>
  <c r="P1126" i="1"/>
  <c r="Q1126" i="1"/>
  <c r="R1126" i="1"/>
  <c r="S1126" i="1"/>
  <c r="T1126" i="1"/>
  <c r="U1126" i="1"/>
  <c r="V1126" i="1"/>
  <c r="W1126" i="1"/>
  <c r="X1126" i="1"/>
  <c r="Y1126" i="1"/>
  <c r="Z1126" i="1"/>
  <c r="AA1126" i="1"/>
  <c r="AB1126" i="1"/>
  <c r="AC1126" i="1"/>
  <c r="AD1126" i="1"/>
  <c r="AE1126" i="1"/>
  <c r="AF1126" i="1"/>
  <c r="AM1126" i="1"/>
  <c r="AN1126" i="1"/>
  <c r="AO1126" i="1"/>
  <c r="L1127" i="1"/>
  <c r="M1127" i="1"/>
  <c r="N1127" i="1"/>
  <c r="O1127" i="1"/>
  <c r="P1127" i="1"/>
  <c r="Q1127" i="1"/>
  <c r="R1127" i="1"/>
  <c r="S1127" i="1"/>
  <c r="T1127" i="1"/>
  <c r="U1127" i="1"/>
  <c r="V1127" i="1"/>
  <c r="W1127" i="1"/>
  <c r="X1127" i="1"/>
  <c r="Y1127" i="1"/>
  <c r="Z1127" i="1"/>
  <c r="AA1127" i="1"/>
  <c r="AB1127" i="1"/>
  <c r="AC1127" i="1"/>
  <c r="AD1127" i="1"/>
  <c r="AE1127" i="1"/>
  <c r="AF1127" i="1"/>
  <c r="AM1127" i="1"/>
  <c r="AN1127" i="1"/>
  <c r="AO1127" i="1"/>
  <c r="L1128" i="1"/>
  <c r="M1128" i="1"/>
  <c r="N1128" i="1"/>
  <c r="O1128" i="1"/>
  <c r="P1128" i="1"/>
  <c r="Q1128" i="1"/>
  <c r="R1128" i="1"/>
  <c r="S1128" i="1"/>
  <c r="T1128" i="1"/>
  <c r="U1128" i="1"/>
  <c r="V1128" i="1"/>
  <c r="W1128" i="1"/>
  <c r="X1128" i="1"/>
  <c r="Y1128" i="1"/>
  <c r="Z1128" i="1"/>
  <c r="AA1128" i="1"/>
  <c r="AB1128" i="1"/>
  <c r="AC1128" i="1"/>
  <c r="AD1128" i="1"/>
  <c r="AE1128" i="1"/>
  <c r="AF1128" i="1"/>
  <c r="AM1128" i="1"/>
  <c r="AN1128" i="1"/>
  <c r="AO1128" i="1"/>
  <c r="L1129" i="1"/>
  <c r="M1129" i="1"/>
  <c r="N1129" i="1"/>
  <c r="O1129" i="1"/>
  <c r="P1129" i="1"/>
  <c r="Q1129" i="1"/>
  <c r="R1129" i="1"/>
  <c r="S1129" i="1"/>
  <c r="T1129" i="1"/>
  <c r="U1129" i="1"/>
  <c r="V1129" i="1"/>
  <c r="W1129" i="1"/>
  <c r="X1129" i="1"/>
  <c r="Y1129" i="1"/>
  <c r="Z1129" i="1"/>
  <c r="AA1129" i="1"/>
  <c r="AB1129" i="1"/>
  <c r="AC1129" i="1"/>
  <c r="AD1129" i="1"/>
  <c r="AE1129" i="1"/>
  <c r="AF1129" i="1"/>
  <c r="AM1129" i="1"/>
  <c r="AN1129" i="1"/>
  <c r="AO1129" i="1"/>
  <c r="L1130" i="1"/>
  <c r="M1130" i="1"/>
  <c r="N1130" i="1"/>
  <c r="O1130" i="1"/>
  <c r="P1130" i="1"/>
  <c r="Q1130" i="1"/>
  <c r="R1130" i="1"/>
  <c r="S1130" i="1"/>
  <c r="T1130" i="1"/>
  <c r="U1130" i="1"/>
  <c r="V1130" i="1"/>
  <c r="W1130" i="1"/>
  <c r="X1130" i="1"/>
  <c r="Y1130" i="1"/>
  <c r="Z1130" i="1"/>
  <c r="AA1130" i="1"/>
  <c r="AB1130" i="1"/>
  <c r="AC1130" i="1"/>
  <c r="AD1130" i="1"/>
  <c r="AE1130" i="1"/>
  <c r="AF1130" i="1"/>
  <c r="AM1130" i="1"/>
  <c r="AN1130" i="1"/>
  <c r="AO1130" i="1"/>
  <c r="L1131" i="1"/>
  <c r="M1131" i="1"/>
  <c r="N1131" i="1"/>
  <c r="O1131" i="1"/>
  <c r="P1131" i="1"/>
  <c r="Q1131" i="1"/>
  <c r="R1131" i="1"/>
  <c r="S1131" i="1"/>
  <c r="T1131" i="1"/>
  <c r="U1131" i="1"/>
  <c r="V1131" i="1"/>
  <c r="W1131" i="1"/>
  <c r="X1131" i="1"/>
  <c r="Y1131" i="1"/>
  <c r="Z1131" i="1"/>
  <c r="AA1131" i="1"/>
  <c r="AB1131" i="1"/>
  <c r="AC1131" i="1"/>
  <c r="AD1131" i="1"/>
  <c r="AE1131" i="1"/>
  <c r="AF1131" i="1"/>
  <c r="AM1131" i="1"/>
  <c r="AN1131" i="1"/>
  <c r="AO1131" i="1"/>
  <c r="L1132" i="1"/>
  <c r="M1132" i="1"/>
  <c r="N1132" i="1"/>
  <c r="O1132" i="1"/>
  <c r="P1132" i="1"/>
  <c r="Q1132" i="1"/>
  <c r="R1132" i="1"/>
  <c r="S1132" i="1"/>
  <c r="T1132" i="1"/>
  <c r="U1132" i="1"/>
  <c r="V1132" i="1"/>
  <c r="W1132" i="1"/>
  <c r="X1132" i="1"/>
  <c r="Y1132" i="1"/>
  <c r="Z1132" i="1"/>
  <c r="AA1132" i="1"/>
  <c r="AB1132" i="1"/>
  <c r="AC1132" i="1"/>
  <c r="AD1132" i="1"/>
  <c r="AE1132" i="1"/>
  <c r="AF1132" i="1"/>
  <c r="AM1132" i="1"/>
  <c r="AN1132" i="1"/>
  <c r="AO1132" i="1"/>
  <c r="L1133" i="1"/>
  <c r="M1133" i="1"/>
  <c r="N1133" i="1"/>
  <c r="O1133" i="1"/>
  <c r="P1133" i="1"/>
  <c r="Q1133" i="1"/>
  <c r="R1133" i="1"/>
  <c r="S1133" i="1"/>
  <c r="T1133" i="1"/>
  <c r="U1133" i="1"/>
  <c r="V1133" i="1"/>
  <c r="W1133" i="1"/>
  <c r="X1133" i="1"/>
  <c r="Y1133" i="1"/>
  <c r="Z1133" i="1"/>
  <c r="AA1133" i="1"/>
  <c r="AB1133" i="1"/>
  <c r="AC1133" i="1"/>
  <c r="AD1133" i="1"/>
  <c r="AE1133" i="1"/>
  <c r="AF1133" i="1"/>
  <c r="AM1133" i="1"/>
  <c r="AN1133" i="1"/>
  <c r="AO1133" i="1"/>
  <c r="L1134" i="1"/>
  <c r="M1134" i="1"/>
  <c r="N1134" i="1"/>
  <c r="O1134" i="1"/>
  <c r="P1134" i="1"/>
  <c r="Q1134" i="1"/>
  <c r="R1134" i="1"/>
  <c r="S1134" i="1"/>
  <c r="T1134" i="1"/>
  <c r="U1134" i="1"/>
  <c r="V1134" i="1"/>
  <c r="W1134" i="1"/>
  <c r="X1134" i="1"/>
  <c r="Y1134" i="1"/>
  <c r="Z1134" i="1"/>
  <c r="AA1134" i="1"/>
  <c r="AB1134" i="1"/>
  <c r="AC1134" i="1"/>
  <c r="AD1134" i="1"/>
  <c r="AE1134" i="1"/>
  <c r="AF1134" i="1"/>
  <c r="AM1134" i="1"/>
  <c r="AN1134" i="1"/>
  <c r="AO1134" i="1"/>
  <c r="L1135" i="1"/>
  <c r="M1135" i="1"/>
  <c r="N1135" i="1"/>
  <c r="O1135" i="1"/>
  <c r="P1135" i="1"/>
  <c r="Q1135" i="1"/>
  <c r="R1135" i="1"/>
  <c r="S1135" i="1"/>
  <c r="T1135" i="1"/>
  <c r="U1135" i="1"/>
  <c r="V1135" i="1"/>
  <c r="W1135" i="1"/>
  <c r="X1135" i="1"/>
  <c r="Y1135" i="1"/>
  <c r="Z1135" i="1"/>
  <c r="AA1135" i="1"/>
  <c r="AB1135" i="1"/>
  <c r="AC1135" i="1"/>
  <c r="AD1135" i="1"/>
  <c r="AE1135" i="1"/>
  <c r="AF1135" i="1"/>
  <c r="AM1135" i="1"/>
  <c r="AN1135" i="1"/>
  <c r="AO1135" i="1"/>
  <c r="L1136" i="1"/>
  <c r="M1136" i="1"/>
  <c r="N1136" i="1"/>
  <c r="O1136" i="1"/>
  <c r="P1136" i="1"/>
  <c r="Q1136" i="1"/>
  <c r="R1136" i="1"/>
  <c r="S1136" i="1"/>
  <c r="T1136" i="1"/>
  <c r="U1136" i="1"/>
  <c r="V1136" i="1"/>
  <c r="W1136" i="1"/>
  <c r="X1136" i="1"/>
  <c r="Y1136" i="1"/>
  <c r="Z1136" i="1"/>
  <c r="AA1136" i="1"/>
  <c r="AB1136" i="1"/>
  <c r="AC1136" i="1"/>
  <c r="AD1136" i="1"/>
  <c r="AE1136" i="1"/>
  <c r="AF1136" i="1"/>
  <c r="AM1136" i="1"/>
  <c r="AN1136" i="1"/>
  <c r="AO1136" i="1"/>
  <c r="L1137" i="1"/>
  <c r="M1137" i="1"/>
  <c r="N1137" i="1"/>
  <c r="O1137" i="1"/>
  <c r="P1137" i="1"/>
  <c r="Q1137" i="1"/>
  <c r="R1137" i="1"/>
  <c r="S1137" i="1"/>
  <c r="T1137" i="1"/>
  <c r="U1137" i="1"/>
  <c r="V1137" i="1"/>
  <c r="W1137" i="1"/>
  <c r="X1137" i="1"/>
  <c r="Y1137" i="1"/>
  <c r="Z1137" i="1"/>
  <c r="AA1137" i="1"/>
  <c r="AB1137" i="1"/>
  <c r="AC1137" i="1"/>
  <c r="AD1137" i="1"/>
  <c r="AE1137" i="1"/>
  <c r="AF1137" i="1"/>
  <c r="AM1137" i="1"/>
  <c r="AN1137" i="1"/>
  <c r="AO1137" i="1"/>
  <c r="L1138" i="1"/>
  <c r="M1138" i="1"/>
  <c r="N1138" i="1"/>
  <c r="O1138" i="1"/>
  <c r="P1138" i="1"/>
  <c r="Q1138" i="1"/>
  <c r="R1138" i="1"/>
  <c r="S1138" i="1"/>
  <c r="T1138" i="1"/>
  <c r="U1138" i="1"/>
  <c r="V1138" i="1"/>
  <c r="W1138" i="1"/>
  <c r="X1138" i="1"/>
  <c r="Y1138" i="1"/>
  <c r="Z1138" i="1"/>
  <c r="AA1138" i="1"/>
  <c r="AB1138" i="1"/>
  <c r="AC1138" i="1"/>
  <c r="AD1138" i="1"/>
  <c r="AE1138" i="1"/>
  <c r="AF1138" i="1"/>
  <c r="AM1138" i="1"/>
  <c r="AN1138" i="1"/>
  <c r="AO1138" i="1"/>
  <c r="L1139" i="1"/>
  <c r="M1139" i="1"/>
  <c r="N1139" i="1"/>
  <c r="O1139" i="1"/>
  <c r="P1139" i="1"/>
  <c r="Q1139" i="1"/>
  <c r="R1139" i="1"/>
  <c r="S1139" i="1"/>
  <c r="T1139" i="1"/>
  <c r="U1139" i="1"/>
  <c r="V1139" i="1"/>
  <c r="W1139" i="1"/>
  <c r="X1139" i="1"/>
  <c r="Y1139" i="1"/>
  <c r="Z1139" i="1"/>
  <c r="AA1139" i="1"/>
  <c r="AB1139" i="1"/>
  <c r="AC1139" i="1"/>
  <c r="AD1139" i="1"/>
  <c r="AE1139" i="1"/>
  <c r="AF1139" i="1"/>
  <c r="AM1139" i="1"/>
  <c r="AN1139" i="1"/>
  <c r="AO1139" i="1"/>
  <c r="L1140" i="1"/>
  <c r="M1140" i="1"/>
  <c r="N1140" i="1"/>
  <c r="O1140" i="1"/>
  <c r="P1140" i="1"/>
  <c r="Q1140" i="1"/>
  <c r="R1140" i="1"/>
  <c r="S1140" i="1"/>
  <c r="T1140" i="1"/>
  <c r="U1140" i="1"/>
  <c r="V1140" i="1"/>
  <c r="W1140" i="1"/>
  <c r="X1140" i="1"/>
  <c r="Y1140" i="1"/>
  <c r="Z1140" i="1"/>
  <c r="AA1140" i="1"/>
  <c r="AB1140" i="1"/>
  <c r="AC1140" i="1"/>
  <c r="AD1140" i="1"/>
  <c r="AE1140" i="1"/>
  <c r="AF1140" i="1"/>
  <c r="AM1140" i="1"/>
  <c r="AN1140" i="1"/>
  <c r="AO1140" i="1"/>
  <c r="L1141" i="1"/>
  <c r="M1141" i="1"/>
  <c r="N1141" i="1"/>
  <c r="O1141" i="1"/>
  <c r="P1141" i="1"/>
  <c r="Q1141" i="1"/>
  <c r="R1141" i="1"/>
  <c r="S1141" i="1"/>
  <c r="T1141" i="1"/>
  <c r="U1141" i="1"/>
  <c r="V1141" i="1"/>
  <c r="W1141" i="1"/>
  <c r="X1141" i="1"/>
  <c r="Y1141" i="1"/>
  <c r="Z1141" i="1"/>
  <c r="AA1141" i="1"/>
  <c r="AB1141" i="1"/>
  <c r="AC1141" i="1"/>
  <c r="AD1141" i="1"/>
  <c r="AE1141" i="1"/>
  <c r="AF1141" i="1"/>
  <c r="AM1141" i="1"/>
  <c r="AN1141" i="1"/>
  <c r="AO1141" i="1"/>
  <c r="L1142" i="1"/>
  <c r="M1142" i="1"/>
  <c r="N1142" i="1"/>
  <c r="O1142" i="1"/>
  <c r="P1142" i="1"/>
  <c r="Q1142" i="1"/>
  <c r="R1142" i="1"/>
  <c r="S1142" i="1"/>
  <c r="T1142" i="1"/>
  <c r="U1142" i="1"/>
  <c r="V1142" i="1"/>
  <c r="W1142" i="1"/>
  <c r="X1142" i="1"/>
  <c r="Y1142" i="1"/>
  <c r="Z1142" i="1"/>
  <c r="AA1142" i="1"/>
  <c r="AB1142" i="1"/>
  <c r="AC1142" i="1"/>
  <c r="AD1142" i="1"/>
  <c r="AE1142" i="1"/>
  <c r="AF1142" i="1"/>
  <c r="AM1142" i="1"/>
  <c r="AN1142" i="1"/>
  <c r="AO1142" i="1"/>
  <c r="L1143" i="1"/>
  <c r="M1143" i="1"/>
  <c r="N1143" i="1"/>
  <c r="O1143" i="1"/>
  <c r="P1143" i="1"/>
  <c r="Q1143" i="1"/>
  <c r="R1143" i="1"/>
  <c r="S1143" i="1"/>
  <c r="T1143" i="1"/>
  <c r="U1143" i="1"/>
  <c r="V1143" i="1"/>
  <c r="W1143" i="1"/>
  <c r="X1143" i="1"/>
  <c r="Y1143" i="1"/>
  <c r="Z1143" i="1"/>
  <c r="AA1143" i="1"/>
  <c r="AB1143" i="1"/>
  <c r="AC1143" i="1"/>
  <c r="AD1143" i="1"/>
  <c r="AE1143" i="1"/>
  <c r="AF1143" i="1"/>
  <c r="AM1143" i="1"/>
  <c r="AN1143" i="1"/>
  <c r="AO1143" i="1"/>
  <c r="L1144" i="1"/>
  <c r="M1144" i="1"/>
  <c r="N1144" i="1"/>
  <c r="O1144" i="1"/>
  <c r="P1144" i="1"/>
  <c r="Q1144" i="1"/>
  <c r="R1144" i="1"/>
  <c r="S1144" i="1"/>
  <c r="T1144" i="1"/>
  <c r="U1144" i="1"/>
  <c r="V1144" i="1"/>
  <c r="W1144" i="1"/>
  <c r="X1144" i="1"/>
  <c r="Y1144" i="1"/>
  <c r="Z1144" i="1"/>
  <c r="AA1144" i="1"/>
  <c r="AB1144" i="1"/>
  <c r="AC1144" i="1"/>
  <c r="AD1144" i="1"/>
  <c r="AE1144" i="1"/>
  <c r="AF1144" i="1"/>
  <c r="AM1144" i="1"/>
  <c r="AN1144" i="1"/>
  <c r="AO1144" i="1"/>
  <c r="L1145" i="1"/>
  <c r="M1145" i="1"/>
  <c r="N1145" i="1"/>
  <c r="O1145" i="1"/>
  <c r="P1145" i="1"/>
  <c r="Q1145" i="1"/>
  <c r="R1145" i="1"/>
  <c r="S1145" i="1"/>
  <c r="T1145" i="1"/>
  <c r="U1145" i="1"/>
  <c r="V1145" i="1"/>
  <c r="W1145" i="1"/>
  <c r="X1145" i="1"/>
  <c r="Y1145" i="1"/>
  <c r="Z1145" i="1"/>
  <c r="AA1145" i="1"/>
  <c r="AB1145" i="1"/>
  <c r="AC1145" i="1"/>
  <c r="AD1145" i="1"/>
  <c r="AE1145" i="1"/>
  <c r="AF1145" i="1"/>
  <c r="AM1145" i="1"/>
  <c r="AN1145" i="1"/>
  <c r="AO1145" i="1"/>
  <c r="L1146" i="1"/>
  <c r="M1146" i="1"/>
  <c r="N1146" i="1"/>
  <c r="O1146" i="1"/>
  <c r="P1146" i="1"/>
  <c r="Q1146" i="1"/>
  <c r="R1146" i="1"/>
  <c r="S1146" i="1"/>
  <c r="T1146" i="1"/>
  <c r="U1146" i="1"/>
  <c r="V1146" i="1"/>
  <c r="W1146" i="1"/>
  <c r="X1146" i="1"/>
  <c r="Y1146" i="1"/>
  <c r="Z1146" i="1"/>
  <c r="AA1146" i="1"/>
  <c r="AB1146" i="1"/>
  <c r="AC1146" i="1"/>
  <c r="AD1146" i="1"/>
  <c r="AE1146" i="1"/>
  <c r="AF1146" i="1"/>
  <c r="AM1146" i="1"/>
  <c r="AN1146" i="1"/>
  <c r="AO1146" i="1"/>
  <c r="L1147" i="1"/>
  <c r="M1147" i="1"/>
  <c r="N1147" i="1"/>
  <c r="O1147" i="1"/>
  <c r="P1147" i="1"/>
  <c r="Q1147" i="1"/>
  <c r="R1147" i="1"/>
  <c r="S1147" i="1"/>
  <c r="T1147" i="1"/>
  <c r="U1147" i="1"/>
  <c r="V1147" i="1"/>
  <c r="W1147" i="1"/>
  <c r="X1147" i="1"/>
  <c r="Y1147" i="1"/>
  <c r="Z1147" i="1"/>
  <c r="AA1147" i="1"/>
  <c r="AB1147" i="1"/>
  <c r="AC1147" i="1"/>
  <c r="AD1147" i="1"/>
  <c r="AE1147" i="1"/>
  <c r="AF1147" i="1"/>
  <c r="AM1147" i="1"/>
  <c r="AN1147" i="1"/>
  <c r="AO1147" i="1"/>
  <c r="L1148" i="1"/>
  <c r="M1148" i="1"/>
  <c r="N1148" i="1"/>
  <c r="O1148" i="1"/>
  <c r="P1148" i="1"/>
  <c r="Q1148" i="1"/>
  <c r="R1148" i="1"/>
  <c r="S1148" i="1"/>
  <c r="T1148" i="1"/>
  <c r="U1148" i="1"/>
  <c r="V1148" i="1"/>
  <c r="W1148" i="1"/>
  <c r="X1148" i="1"/>
  <c r="Y1148" i="1"/>
  <c r="Z1148" i="1"/>
  <c r="AA1148" i="1"/>
  <c r="AB1148" i="1"/>
  <c r="AC1148" i="1"/>
  <c r="AD1148" i="1"/>
  <c r="AE1148" i="1"/>
  <c r="AF1148" i="1"/>
  <c r="AM1148" i="1"/>
  <c r="AN1148" i="1"/>
  <c r="AO1148" i="1"/>
  <c r="L1149" i="1"/>
  <c r="M1149" i="1"/>
  <c r="N1149" i="1"/>
  <c r="O1149" i="1"/>
  <c r="P1149" i="1"/>
  <c r="Q1149" i="1"/>
  <c r="R1149" i="1"/>
  <c r="S1149" i="1"/>
  <c r="T1149" i="1"/>
  <c r="U1149" i="1"/>
  <c r="V1149" i="1"/>
  <c r="W1149" i="1"/>
  <c r="X1149" i="1"/>
  <c r="Y1149" i="1"/>
  <c r="Z1149" i="1"/>
  <c r="AA1149" i="1"/>
  <c r="AB1149" i="1"/>
  <c r="AC1149" i="1"/>
  <c r="AD1149" i="1"/>
  <c r="AE1149" i="1"/>
  <c r="AF1149" i="1"/>
  <c r="AM1149" i="1"/>
  <c r="AN1149" i="1"/>
  <c r="AO1149" i="1"/>
  <c r="L1150" i="1"/>
  <c r="M1150" i="1"/>
  <c r="N1150" i="1"/>
  <c r="O1150" i="1"/>
  <c r="P1150" i="1"/>
  <c r="Q1150" i="1"/>
  <c r="R1150" i="1"/>
  <c r="S1150" i="1"/>
  <c r="T1150" i="1"/>
  <c r="U1150" i="1"/>
  <c r="V1150" i="1"/>
  <c r="W1150" i="1"/>
  <c r="X1150" i="1"/>
  <c r="Y1150" i="1"/>
  <c r="Z1150" i="1"/>
  <c r="AA1150" i="1"/>
  <c r="AB1150" i="1"/>
  <c r="AC1150" i="1"/>
  <c r="AD1150" i="1"/>
  <c r="AE1150" i="1"/>
  <c r="AF1150" i="1"/>
  <c r="AM1150" i="1"/>
  <c r="AN1150" i="1"/>
  <c r="AO1150" i="1"/>
  <c r="L1151" i="1"/>
  <c r="M1151" i="1"/>
  <c r="N1151" i="1"/>
  <c r="O1151" i="1"/>
  <c r="P1151" i="1"/>
  <c r="Q1151" i="1"/>
  <c r="R1151" i="1"/>
  <c r="S1151" i="1"/>
  <c r="T1151" i="1"/>
  <c r="U1151" i="1"/>
  <c r="V1151" i="1"/>
  <c r="W1151" i="1"/>
  <c r="X1151" i="1"/>
  <c r="Y1151" i="1"/>
  <c r="Z1151" i="1"/>
  <c r="AA1151" i="1"/>
  <c r="AB1151" i="1"/>
  <c r="AC1151" i="1"/>
  <c r="AD1151" i="1"/>
  <c r="AE1151" i="1"/>
  <c r="AF1151" i="1"/>
  <c r="AM1151" i="1"/>
  <c r="AN1151" i="1"/>
  <c r="AO1151" i="1"/>
  <c r="L1152" i="1"/>
  <c r="M1152" i="1"/>
  <c r="N1152" i="1"/>
  <c r="O1152" i="1"/>
  <c r="P1152" i="1"/>
  <c r="Q1152" i="1"/>
  <c r="R1152" i="1"/>
  <c r="S1152" i="1"/>
  <c r="T1152" i="1"/>
  <c r="U1152" i="1"/>
  <c r="V1152" i="1"/>
  <c r="W1152" i="1"/>
  <c r="X1152" i="1"/>
  <c r="Y1152" i="1"/>
  <c r="Z1152" i="1"/>
  <c r="AA1152" i="1"/>
  <c r="AB1152" i="1"/>
  <c r="AC1152" i="1"/>
  <c r="AD1152" i="1"/>
  <c r="AE1152" i="1"/>
  <c r="AF1152" i="1"/>
  <c r="AM1152" i="1"/>
  <c r="AN1152" i="1"/>
  <c r="AO1152" i="1"/>
  <c r="L1153" i="1"/>
  <c r="M1153" i="1"/>
  <c r="N1153" i="1"/>
  <c r="O1153" i="1"/>
  <c r="P1153" i="1"/>
  <c r="Q1153" i="1"/>
  <c r="R1153" i="1"/>
  <c r="S1153" i="1"/>
  <c r="T1153" i="1"/>
  <c r="U1153" i="1"/>
  <c r="V1153" i="1"/>
  <c r="W1153" i="1"/>
  <c r="X1153" i="1"/>
  <c r="Y1153" i="1"/>
  <c r="Z1153" i="1"/>
  <c r="AA1153" i="1"/>
  <c r="AB1153" i="1"/>
  <c r="AC1153" i="1"/>
  <c r="AD1153" i="1"/>
  <c r="AE1153" i="1"/>
  <c r="AF1153" i="1"/>
  <c r="AM1153" i="1"/>
  <c r="AN1153" i="1"/>
  <c r="AO1153" i="1"/>
  <c r="L1154" i="1"/>
  <c r="M1154" i="1"/>
  <c r="N1154" i="1"/>
  <c r="O1154" i="1"/>
  <c r="P1154" i="1"/>
  <c r="Q1154" i="1"/>
  <c r="R1154" i="1"/>
  <c r="S1154" i="1"/>
  <c r="T1154" i="1"/>
  <c r="U1154" i="1"/>
  <c r="V1154" i="1"/>
  <c r="W1154" i="1"/>
  <c r="X1154" i="1"/>
  <c r="Y1154" i="1"/>
  <c r="Z1154" i="1"/>
  <c r="AA1154" i="1"/>
  <c r="AB1154" i="1"/>
  <c r="AC1154" i="1"/>
  <c r="AD1154" i="1"/>
  <c r="AE1154" i="1"/>
  <c r="AF1154" i="1"/>
  <c r="AM1154" i="1"/>
  <c r="AN1154" i="1"/>
  <c r="AO1154" i="1"/>
  <c r="L1155" i="1"/>
  <c r="M1155" i="1"/>
  <c r="N1155" i="1"/>
  <c r="O1155" i="1"/>
  <c r="P1155" i="1"/>
  <c r="Q1155" i="1"/>
  <c r="R1155" i="1"/>
  <c r="S1155" i="1"/>
  <c r="T1155" i="1"/>
  <c r="U1155" i="1"/>
  <c r="V1155" i="1"/>
  <c r="W1155" i="1"/>
  <c r="X1155" i="1"/>
  <c r="Y1155" i="1"/>
  <c r="Z1155" i="1"/>
  <c r="AA1155" i="1"/>
  <c r="AB1155" i="1"/>
  <c r="AC1155" i="1"/>
  <c r="AD1155" i="1"/>
  <c r="AE1155" i="1"/>
  <c r="AF1155" i="1"/>
  <c r="AM1155" i="1"/>
  <c r="AN1155" i="1"/>
  <c r="AO1155" i="1"/>
  <c r="L1156" i="1"/>
  <c r="M1156" i="1"/>
  <c r="N1156" i="1"/>
  <c r="O1156" i="1"/>
  <c r="P1156" i="1"/>
  <c r="Q1156" i="1"/>
  <c r="R1156" i="1"/>
  <c r="S1156" i="1"/>
  <c r="T1156" i="1"/>
  <c r="U1156" i="1"/>
  <c r="V1156" i="1"/>
  <c r="W1156" i="1"/>
  <c r="X1156" i="1"/>
  <c r="Y1156" i="1"/>
  <c r="Z1156" i="1"/>
  <c r="AA1156" i="1"/>
  <c r="AB1156" i="1"/>
  <c r="AC1156" i="1"/>
  <c r="AD1156" i="1"/>
  <c r="AE1156" i="1"/>
  <c r="AF1156" i="1"/>
  <c r="AM1156" i="1"/>
  <c r="AN1156" i="1"/>
  <c r="AO1156" i="1"/>
  <c r="L1157" i="1"/>
  <c r="M1157" i="1"/>
  <c r="N1157" i="1"/>
  <c r="O1157" i="1"/>
  <c r="P1157" i="1"/>
  <c r="Q1157" i="1"/>
  <c r="R1157" i="1"/>
  <c r="S1157" i="1"/>
  <c r="T1157" i="1"/>
  <c r="U1157" i="1"/>
  <c r="V1157" i="1"/>
  <c r="W1157" i="1"/>
  <c r="X1157" i="1"/>
  <c r="Y1157" i="1"/>
  <c r="Z1157" i="1"/>
  <c r="AA1157" i="1"/>
  <c r="AB1157" i="1"/>
  <c r="AC1157" i="1"/>
  <c r="AD1157" i="1"/>
  <c r="AE1157" i="1"/>
  <c r="AF1157" i="1"/>
  <c r="AM1157" i="1"/>
  <c r="AN1157" i="1"/>
  <c r="AO1157" i="1"/>
  <c r="L1158" i="1"/>
  <c r="M1158" i="1"/>
  <c r="N1158" i="1"/>
  <c r="O1158" i="1"/>
  <c r="P1158" i="1"/>
  <c r="Q1158" i="1"/>
  <c r="R1158" i="1"/>
  <c r="S1158" i="1"/>
  <c r="T1158" i="1"/>
  <c r="U1158" i="1"/>
  <c r="V1158" i="1"/>
  <c r="W1158" i="1"/>
  <c r="X1158" i="1"/>
  <c r="Y1158" i="1"/>
  <c r="Z1158" i="1"/>
  <c r="AA1158" i="1"/>
  <c r="AB1158" i="1"/>
  <c r="AC1158" i="1"/>
  <c r="AD1158" i="1"/>
  <c r="AE1158" i="1"/>
  <c r="AF1158" i="1"/>
  <c r="AM1158" i="1"/>
  <c r="AN1158" i="1"/>
  <c r="AO1158" i="1"/>
  <c r="L1159" i="1"/>
  <c r="M1159" i="1"/>
  <c r="N1159" i="1"/>
  <c r="O1159" i="1"/>
  <c r="P1159" i="1"/>
  <c r="Q1159" i="1"/>
  <c r="R1159" i="1"/>
  <c r="S1159" i="1"/>
  <c r="T1159" i="1"/>
  <c r="U1159" i="1"/>
  <c r="V1159" i="1"/>
  <c r="W1159" i="1"/>
  <c r="X1159" i="1"/>
  <c r="Y1159" i="1"/>
  <c r="Z1159" i="1"/>
  <c r="AA1159" i="1"/>
  <c r="AB1159" i="1"/>
  <c r="AC1159" i="1"/>
  <c r="AD1159" i="1"/>
  <c r="AE1159" i="1"/>
  <c r="AF1159" i="1"/>
  <c r="AM1159" i="1"/>
  <c r="AN1159" i="1"/>
  <c r="AO1159" i="1"/>
  <c r="L1160" i="1"/>
  <c r="M1160" i="1"/>
  <c r="N1160" i="1"/>
  <c r="O1160" i="1"/>
  <c r="P1160" i="1"/>
  <c r="Q1160" i="1"/>
  <c r="R1160" i="1"/>
  <c r="S1160" i="1"/>
  <c r="T1160" i="1"/>
  <c r="U1160" i="1"/>
  <c r="V1160" i="1"/>
  <c r="W1160" i="1"/>
  <c r="X1160" i="1"/>
  <c r="Y1160" i="1"/>
  <c r="Z1160" i="1"/>
  <c r="AA1160" i="1"/>
  <c r="AB1160" i="1"/>
  <c r="AC1160" i="1"/>
  <c r="AD1160" i="1"/>
  <c r="AE1160" i="1"/>
  <c r="AF1160" i="1"/>
  <c r="AM1160" i="1"/>
  <c r="AN1160" i="1"/>
  <c r="AO1160" i="1"/>
  <c r="L1161" i="1"/>
  <c r="M1161" i="1"/>
  <c r="N1161" i="1"/>
  <c r="O1161" i="1"/>
  <c r="P1161" i="1"/>
  <c r="Q1161" i="1"/>
  <c r="R1161" i="1"/>
  <c r="S1161" i="1"/>
  <c r="T1161" i="1"/>
  <c r="U1161" i="1"/>
  <c r="V1161" i="1"/>
  <c r="W1161" i="1"/>
  <c r="X1161" i="1"/>
  <c r="Y1161" i="1"/>
  <c r="Z1161" i="1"/>
  <c r="AA1161" i="1"/>
  <c r="AB1161" i="1"/>
  <c r="AC1161" i="1"/>
  <c r="AD1161" i="1"/>
  <c r="AE1161" i="1"/>
  <c r="AF1161" i="1"/>
  <c r="AM1161" i="1"/>
  <c r="AN1161" i="1"/>
  <c r="AO1161" i="1"/>
  <c r="L1162" i="1"/>
  <c r="M1162" i="1"/>
  <c r="N1162" i="1"/>
  <c r="O1162" i="1"/>
  <c r="P1162" i="1"/>
  <c r="Q1162" i="1"/>
  <c r="R1162" i="1"/>
  <c r="S1162" i="1"/>
  <c r="T1162" i="1"/>
  <c r="U1162" i="1"/>
  <c r="V1162" i="1"/>
  <c r="W1162" i="1"/>
  <c r="X1162" i="1"/>
  <c r="Y1162" i="1"/>
  <c r="Z1162" i="1"/>
  <c r="AA1162" i="1"/>
  <c r="AB1162" i="1"/>
  <c r="AC1162" i="1"/>
  <c r="AD1162" i="1"/>
  <c r="AE1162" i="1"/>
  <c r="AF1162" i="1"/>
  <c r="AM1162" i="1"/>
  <c r="AN1162" i="1"/>
  <c r="AO1162" i="1"/>
  <c r="L1163" i="1"/>
  <c r="M1163" i="1"/>
  <c r="N1163" i="1"/>
  <c r="O1163" i="1"/>
  <c r="P1163" i="1"/>
  <c r="Q1163" i="1"/>
  <c r="R1163" i="1"/>
  <c r="S1163" i="1"/>
  <c r="T1163" i="1"/>
  <c r="U1163" i="1"/>
  <c r="V1163" i="1"/>
  <c r="W1163" i="1"/>
  <c r="X1163" i="1"/>
  <c r="Y1163" i="1"/>
  <c r="Z1163" i="1"/>
  <c r="AA1163" i="1"/>
  <c r="AB1163" i="1"/>
  <c r="AC1163" i="1"/>
  <c r="AD1163" i="1"/>
  <c r="AE1163" i="1"/>
  <c r="AF1163" i="1"/>
  <c r="AM1163" i="1"/>
  <c r="AN1163" i="1"/>
  <c r="AO1163" i="1"/>
  <c r="L1164" i="1"/>
  <c r="M1164" i="1"/>
  <c r="N1164" i="1"/>
  <c r="O1164" i="1"/>
  <c r="P1164" i="1"/>
  <c r="Q1164" i="1"/>
  <c r="R1164" i="1"/>
  <c r="S1164" i="1"/>
  <c r="T1164" i="1"/>
  <c r="U1164" i="1"/>
  <c r="V1164" i="1"/>
  <c r="W1164" i="1"/>
  <c r="X1164" i="1"/>
  <c r="Y1164" i="1"/>
  <c r="Z1164" i="1"/>
  <c r="AA1164" i="1"/>
  <c r="AB1164" i="1"/>
  <c r="AC1164" i="1"/>
  <c r="AD1164" i="1"/>
  <c r="AE1164" i="1"/>
  <c r="AF1164" i="1"/>
  <c r="AM1164" i="1"/>
  <c r="AN1164" i="1"/>
  <c r="AO1164" i="1"/>
  <c r="L1165" i="1"/>
  <c r="M1165" i="1"/>
  <c r="N1165" i="1"/>
  <c r="O1165" i="1"/>
  <c r="P1165" i="1"/>
  <c r="Q1165" i="1"/>
  <c r="R1165" i="1"/>
  <c r="S1165" i="1"/>
  <c r="T1165" i="1"/>
  <c r="U1165" i="1"/>
  <c r="V1165" i="1"/>
  <c r="W1165" i="1"/>
  <c r="X1165" i="1"/>
  <c r="Y1165" i="1"/>
  <c r="Z1165" i="1"/>
  <c r="AA1165" i="1"/>
  <c r="AB1165" i="1"/>
  <c r="AC1165" i="1"/>
  <c r="AD1165" i="1"/>
  <c r="AE1165" i="1"/>
  <c r="AF1165" i="1"/>
  <c r="AM1165" i="1"/>
  <c r="AN1165" i="1"/>
  <c r="AO1165" i="1"/>
  <c r="L1166" i="1"/>
  <c r="M1166" i="1"/>
  <c r="N1166" i="1"/>
  <c r="O1166" i="1"/>
  <c r="P1166" i="1"/>
  <c r="Q1166" i="1"/>
  <c r="R1166" i="1"/>
  <c r="S1166" i="1"/>
  <c r="T1166" i="1"/>
  <c r="U1166" i="1"/>
  <c r="V1166" i="1"/>
  <c r="W1166" i="1"/>
  <c r="X1166" i="1"/>
  <c r="Y1166" i="1"/>
  <c r="Z1166" i="1"/>
  <c r="AA1166" i="1"/>
  <c r="AB1166" i="1"/>
  <c r="AC1166" i="1"/>
  <c r="AD1166" i="1"/>
  <c r="AE1166" i="1"/>
  <c r="AF1166" i="1"/>
  <c r="AM1166" i="1"/>
  <c r="AN1166" i="1"/>
  <c r="AO1166" i="1"/>
  <c r="L1167" i="1"/>
  <c r="M1167" i="1"/>
  <c r="N1167" i="1"/>
  <c r="O1167" i="1"/>
  <c r="P1167" i="1"/>
  <c r="Q1167" i="1"/>
  <c r="R1167" i="1"/>
  <c r="S1167" i="1"/>
  <c r="T1167" i="1"/>
  <c r="U1167" i="1"/>
  <c r="V1167" i="1"/>
  <c r="W1167" i="1"/>
  <c r="X1167" i="1"/>
  <c r="Y1167" i="1"/>
  <c r="Z1167" i="1"/>
  <c r="AA1167" i="1"/>
  <c r="AB1167" i="1"/>
  <c r="AC1167" i="1"/>
  <c r="AD1167" i="1"/>
  <c r="AE1167" i="1"/>
  <c r="AF1167" i="1"/>
  <c r="AM1167" i="1"/>
  <c r="AN1167" i="1"/>
  <c r="AO1167" i="1"/>
  <c r="L1168" i="1"/>
  <c r="M1168" i="1"/>
  <c r="N1168" i="1"/>
  <c r="O1168" i="1"/>
  <c r="P1168" i="1"/>
  <c r="Q1168" i="1"/>
  <c r="R1168" i="1"/>
  <c r="S1168" i="1"/>
  <c r="T1168" i="1"/>
  <c r="U1168" i="1"/>
  <c r="V1168" i="1"/>
  <c r="W1168" i="1"/>
  <c r="X1168" i="1"/>
  <c r="Y1168" i="1"/>
  <c r="Z1168" i="1"/>
  <c r="AA1168" i="1"/>
  <c r="AB1168" i="1"/>
  <c r="AC1168" i="1"/>
  <c r="AD1168" i="1"/>
  <c r="AE1168" i="1"/>
  <c r="AF1168" i="1"/>
  <c r="AM1168" i="1"/>
  <c r="AN1168" i="1"/>
  <c r="AO1168" i="1"/>
  <c r="L1169" i="1"/>
  <c r="M1169" i="1"/>
  <c r="N1169" i="1"/>
  <c r="O1169" i="1"/>
  <c r="P1169" i="1"/>
  <c r="Q1169" i="1"/>
  <c r="R1169" i="1"/>
  <c r="S1169" i="1"/>
  <c r="T1169" i="1"/>
  <c r="U1169" i="1"/>
  <c r="V1169" i="1"/>
  <c r="W1169" i="1"/>
  <c r="X1169" i="1"/>
  <c r="Y1169" i="1"/>
  <c r="Z1169" i="1"/>
  <c r="AA1169" i="1"/>
  <c r="AB1169" i="1"/>
  <c r="AC1169" i="1"/>
  <c r="AD1169" i="1"/>
  <c r="AE1169" i="1"/>
  <c r="AF1169" i="1"/>
  <c r="AM1169" i="1"/>
  <c r="AN1169" i="1"/>
  <c r="AO1169" i="1"/>
  <c r="L1170" i="1"/>
  <c r="M1170" i="1"/>
  <c r="N1170" i="1"/>
  <c r="O1170" i="1"/>
  <c r="P1170" i="1"/>
  <c r="Q1170" i="1"/>
  <c r="R1170" i="1"/>
  <c r="S1170" i="1"/>
  <c r="T1170" i="1"/>
  <c r="U1170" i="1"/>
  <c r="V1170" i="1"/>
  <c r="W1170" i="1"/>
  <c r="X1170" i="1"/>
  <c r="Y1170" i="1"/>
  <c r="Z1170" i="1"/>
  <c r="AA1170" i="1"/>
  <c r="AB1170" i="1"/>
  <c r="AC1170" i="1"/>
  <c r="AD1170" i="1"/>
  <c r="AE1170" i="1"/>
  <c r="AF1170" i="1"/>
  <c r="AM1170" i="1"/>
  <c r="AN1170" i="1"/>
  <c r="AO1170" i="1"/>
  <c r="L1171" i="1"/>
  <c r="M1171" i="1"/>
  <c r="N1171" i="1"/>
  <c r="O1171" i="1"/>
  <c r="P1171" i="1"/>
  <c r="Q1171" i="1"/>
  <c r="R1171" i="1"/>
  <c r="S1171" i="1"/>
  <c r="T1171" i="1"/>
  <c r="U1171" i="1"/>
  <c r="V1171" i="1"/>
  <c r="W1171" i="1"/>
  <c r="X1171" i="1"/>
  <c r="Y1171" i="1"/>
  <c r="Z1171" i="1"/>
  <c r="AA1171" i="1"/>
  <c r="AB1171" i="1"/>
  <c r="AC1171" i="1"/>
  <c r="AD1171" i="1"/>
  <c r="AE1171" i="1"/>
  <c r="AF1171" i="1"/>
  <c r="AM1171" i="1"/>
  <c r="AN1171" i="1"/>
  <c r="AO1171" i="1"/>
  <c r="L1172" i="1"/>
  <c r="M1172" i="1"/>
  <c r="N1172" i="1"/>
  <c r="O1172" i="1"/>
  <c r="P1172" i="1"/>
  <c r="Q1172" i="1"/>
  <c r="R1172" i="1"/>
  <c r="S1172" i="1"/>
  <c r="T1172" i="1"/>
  <c r="U1172" i="1"/>
  <c r="V1172" i="1"/>
  <c r="W1172" i="1"/>
  <c r="X1172" i="1"/>
  <c r="Y1172" i="1"/>
  <c r="Z1172" i="1"/>
  <c r="AA1172" i="1"/>
  <c r="AB1172" i="1"/>
  <c r="AC1172" i="1"/>
  <c r="AD1172" i="1"/>
  <c r="AE1172" i="1"/>
  <c r="AF1172" i="1"/>
  <c r="AM1172" i="1"/>
  <c r="AN1172" i="1"/>
  <c r="AO1172" i="1"/>
  <c r="L1173" i="1"/>
  <c r="M1173" i="1"/>
  <c r="N1173" i="1"/>
  <c r="O1173" i="1"/>
  <c r="P1173" i="1"/>
  <c r="Q1173" i="1"/>
  <c r="R1173" i="1"/>
  <c r="S1173" i="1"/>
  <c r="T1173" i="1"/>
  <c r="U1173" i="1"/>
  <c r="V1173" i="1"/>
  <c r="W1173" i="1"/>
  <c r="X1173" i="1"/>
  <c r="Y1173" i="1"/>
  <c r="Z1173" i="1"/>
  <c r="AA1173" i="1"/>
  <c r="AB1173" i="1"/>
  <c r="AC1173" i="1"/>
  <c r="AD1173" i="1"/>
  <c r="AE1173" i="1"/>
  <c r="AF1173" i="1"/>
  <c r="AM1173" i="1"/>
  <c r="AN1173" i="1"/>
  <c r="AO1173" i="1"/>
  <c r="L1174" i="1"/>
  <c r="M1174" i="1"/>
  <c r="N1174" i="1"/>
  <c r="O1174" i="1"/>
  <c r="P1174" i="1"/>
  <c r="Q1174" i="1"/>
  <c r="R1174" i="1"/>
  <c r="S1174" i="1"/>
  <c r="T1174" i="1"/>
  <c r="U1174" i="1"/>
  <c r="V1174" i="1"/>
  <c r="W1174" i="1"/>
  <c r="X1174" i="1"/>
  <c r="Y1174" i="1"/>
  <c r="Z1174" i="1"/>
  <c r="AA1174" i="1"/>
  <c r="AB1174" i="1"/>
  <c r="AC1174" i="1"/>
  <c r="AD1174" i="1"/>
  <c r="AE1174" i="1"/>
  <c r="AF1174" i="1"/>
  <c r="AM1174" i="1"/>
  <c r="AN1174" i="1"/>
  <c r="AO1174" i="1"/>
  <c r="L1175" i="1"/>
  <c r="M1175" i="1"/>
  <c r="N1175" i="1"/>
  <c r="O1175" i="1"/>
  <c r="P1175" i="1"/>
  <c r="Q1175" i="1"/>
  <c r="R1175" i="1"/>
  <c r="S1175" i="1"/>
  <c r="T1175" i="1"/>
  <c r="U1175" i="1"/>
  <c r="V1175" i="1"/>
  <c r="W1175" i="1"/>
  <c r="X1175" i="1"/>
  <c r="Y1175" i="1"/>
  <c r="Z1175" i="1"/>
  <c r="AA1175" i="1"/>
  <c r="AB1175" i="1"/>
  <c r="AC1175" i="1"/>
  <c r="AD1175" i="1"/>
  <c r="AE1175" i="1"/>
  <c r="AF1175" i="1"/>
  <c r="AM1175" i="1"/>
  <c r="AN1175" i="1"/>
  <c r="AO1175" i="1"/>
  <c r="L1176" i="1"/>
  <c r="M1176" i="1"/>
  <c r="N1176" i="1"/>
  <c r="O1176" i="1"/>
  <c r="P1176" i="1"/>
  <c r="Q1176" i="1"/>
  <c r="R1176" i="1"/>
  <c r="S1176" i="1"/>
  <c r="T1176" i="1"/>
  <c r="U1176" i="1"/>
  <c r="V1176" i="1"/>
  <c r="W1176" i="1"/>
  <c r="X1176" i="1"/>
  <c r="Y1176" i="1"/>
  <c r="Z1176" i="1"/>
  <c r="AA1176" i="1"/>
  <c r="AB1176" i="1"/>
  <c r="AC1176" i="1"/>
  <c r="AD1176" i="1"/>
  <c r="AE1176" i="1"/>
  <c r="AF1176" i="1"/>
  <c r="AM1176" i="1"/>
  <c r="AN1176" i="1"/>
  <c r="AO1176" i="1"/>
  <c r="L1177" i="1"/>
  <c r="M1177" i="1"/>
  <c r="N1177" i="1"/>
  <c r="O1177" i="1"/>
  <c r="P1177" i="1"/>
  <c r="Q1177" i="1"/>
  <c r="R1177" i="1"/>
  <c r="S1177" i="1"/>
  <c r="T1177" i="1"/>
  <c r="U1177" i="1"/>
  <c r="V1177" i="1"/>
  <c r="W1177" i="1"/>
  <c r="X1177" i="1"/>
  <c r="Y1177" i="1"/>
  <c r="Z1177" i="1"/>
  <c r="AA1177" i="1"/>
  <c r="AB1177" i="1"/>
  <c r="AC1177" i="1"/>
  <c r="AD1177" i="1"/>
  <c r="AE1177" i="1"/>
  <c r="AF1177" i="1"/>
  <c r="AM1177" i="1"/>
  <c r="AN1177" i="1"/>
  <c r="AO1177" i="1"/>
  <c r="L1178" i="1"/>
  <c r="M1178" i="1"/>
  <c r="N1178" i="1"/>
  <c r="O1178" i="1"/>
  <c r="P1178" i="1"/>
  <c r="Q1178" i="1"/>
  <c r="R1178" i="1"/>
  <c r="S1178" i="1"/>
  <c r="T1178" i="1"/>
  <c r="U1178" i="1"/>
  <c r="V1178" i="1"/>
  <c r="W1178" i="1"/>
  <c r="X1178" i="1"/>
  <c r="Y1178" i="1"/>
  <c r="Z1178" i="1"/>
  <c r="AA1178" i="1"/>
  <c r="AB1178" i="1"/>
  <c r="AC1178" i="1"/>
  <c r="AD1178" i="1"/>
  <c r="AE1178" i="1"/>
  <c r="AF1178" i="1"/>
  <c r="AM1178" i="1"/>
  <c r="AN1178" i="1"/>
  <c r="AO1178" i="1"/>
  <c r="L1179" i="1"/>
  <c r="M1179" i="1"/>
  <c r="N1179" i="1"/>
  <c r="O1179" i="1"/>
  <c r="P1179" i="1"/>
  <c r="Q1179" i="1"/>
  <c r="R1179" i="1"/>
  <c r="S1179" i="1"/>
  <c r="T1179" i="1"/>
  <c r="U1179" i="1"/>
  <c r="V1179" i="1"/>
  <c r="W1179" i="1"/>
  <c r="X1179" i="1"/>
  <c r="Y1179" i="1"/>
  <c r="Z1179" i="1"/>
  <c r="AA1179" i="1"/>
  <c r="AB1179" i="1"/>
  <c r="AC1179" i="1"/>
  <c r="AD1179" i="1"/>
  <c r="AE1179" i="1"/>
  <c r="AF1179" i="1"/>
  <c r="AM1179" i="1"/>
  <c r="AN1179" i="1"/>
  <c r="AO1179" i="1"/>
  <c r="L1180" i="1"/>
  <c r="M1180" i="1"/>
  <c r="N1180" i="1"/>
  <c r="O1180" i="1"/>
  <c r="P1180" i="1"/>
  <c r="Q1180" i="1"/>
  <c r="R1180" i="1"/>
  <c r="S1180" i="1"/>
  <c r="T1180" i="1"/>
  <c r="U1180" i="1"/>
  <c r="V1180" i="1"/>
  <c r="W1180" i="1"/>
  <c r="X1180" i="1"/>
  <c r="Y1180" i="1"/>
  <c r="Z1180" i="1"/>
  <c r="AA1180" i="1"/>
  <c r="AB1180" i="1"/>
  <c r="AC1180" i="1"/>
  <c r="AD1180" i="1"/>
  <c r="AE1180" i="1"/>
  <c r="AF1180" i="1"/>
  <c r="AM1180" i="1"/>
  <c r="AN1180" i="1"/>
  <c r="AO1180" i="1"/>
  <c r="L1181" i="1"/>
  <c r="M1181" i="1"/>
  <c r="N1181" i="1"/>
  <c r="O1181" i="1"/>
  <c r="P1181" i="1"/>
  <c r="Q1181" i="1"/>
  <c r="R1181" i="1"/>
  <c r="S1181" i="1"/>
  <c r="T1181" i="1"/>
  <c r="U1181" i="1"/>
  <c r="V1181" i="1"/>
  <c r="W1181" i="1"/>
  <c r="X1181" i="1"/>
  <c r="Y1181" i="1"/>
  <c r="Z1181" i="1"/>
  <c r="AA1181" i="1"/>
  <c r="AB1181" i="1"/>
  <c r="AC1181" i="1"/>
  <c r="AD1181" i="1"/>
  <c r="AE1181" i="1"/>
  <c r="AF1181" i="1"/>
  <c r="AM1181" i="1"/>
  <c r="AN1181" i="1"/>
  <c r="AO1181" i="1"/>
  <c r="L1182" i="1"/>
  <c r="M1182" i="1"/>
  <c r="N1182" i="1"/>
  <c r="O1182" i="1"/>
  <c r="P1182" i="1"/>
  <c r="Q1182" i="1"/>
  <c r="R1182" i="1"/>
  <c r="S1182" i="1"/>
  <c r="T1182" i="1"/>
  <c r="U1182" i="1"/>
  <c r="V1182" i="1"/>
  <c r="W1182" i="1"/>
  <c r="X1182" i="1"/>
  <c r="Y1182" i="1"/>
  <c r="Z1182" i="1"/>
  <c r="AA1182" i="1"/>
  <c r="AB1182" i="1"/>
  <c r="AC1182" i="1"/>
  <c r="AD1182" i="1"/>
  <c r="AE1182" i="1"/>
  <c r="AF1182" i="1"/>
  <c r="AM1182" i="1"/>
  <c r="AN1182" i="1"/>
  <c r="AO1182" i="1"/>
  <c r="L1183" i="1"/>
  <c r="M1183" i="1"/>
  <c r="N1183" i="1"/>
  <c r="O1183" i="1"/>
  <c r="P1183" i="1"/>
  <c r="Q1183" i="1"/>
  <c r="R1183" i="1"/>
  <c r="S1183" i="1"/>
  <c r="T1183" i="1"/>
  <c r="U1183" i="1"/>
  <c r="V1183" i="1"/>
  <c r="W1183" i="1"/>
  <c r="X1183" i="1"/>
  <c r="Y1183" i="1"/>
  <c r="Z1183" i="1"/>
  <c r="AA1183" i="1"/>
  <c r="AB1183" i="1"/>
  <c r="AC1183" i="1"/>
  <c r="AD1183" i="1"/>
  <c r="AE1183" i="1"/>
  <c r="AF1183" i="1"/>
  <c r="AM1183" i="1"/>
  <c r="AN1183" i="1"/>
  <c r="AO1183" i="1"/>
  <c r="L1184" i="1"/>
  <c r="M1184" i="1"/>
  <c r="N1184" i="1"/>
  <c r="O1184" i="1"/>
  <c r="P1184" i="1"/>
  <c r="Q1184" i="1"/>
  <c r="R1184" i="1"/>
  <c r="S1184" i="1"/>
  <c r="T1184" i="1"/>
  <c r="U1184" i="1"/>
  <c r="V1184" i="1"/>
  <c r="W1184" i="1"/>
  <c r="X1184" i="1"/>
  <c r="Y1184" i="1"/>
  <c r="Z1184" i="1"/>
  <c r="AA1184" i="1"/>
  <c r="AB1184" i="1"/>
  <c r="AC1184" i="1"/>
  <c r="AD1184" i="1"/>
  <c r="AE1184" i="1"/>
  <c r="AF1184" i="1"/>
  <c r="AM1184" i="1"/>
  <c r="AN1184" i="1"/>
  <c r="AO1184" i="1"/>
  <c r="L1185" i="1"/>
  <c r="M1185" i="1"/>
  <c r="N1185" i="1"/>
  <c r="O1185" i="1"/>
  <c r="P1185" i="1"/>
  <c r="Q1185" i="1"/>
  <c r="R1185" i="1"/>
  <c r="S1185" i="1"/>
  <c r="T1185" i="1"/>
  <c r="U1185" i="1"/>
  <c r="V1185" i="1"/>
  <c r="W1185" i="1"/>
  <c r="X1185" i="1"/>
  <c r="Y1185" i="1"/>
  <c r="Z1185" i="1"/>
  <c r="AA1185" i="1"/>
  <c r="AB1185" i="1"/>
  <c r="AC1185" i="1"/>
  <c r="AD1185" i="1"/>
  <c r="AE1185" i="1"/>
  <c r="AF1185" i="1"/>
  <c r="AM1185" i="1"/>
  <c r="AN1185" i="1"/>
  <c r="AO1185" i="1"/>
  <c r="L1186" i="1"/>
  <c r="M1186" i="1"/>
  <c r="N1186" i="1"/>
  <c r="O1186" i="1"/>
  <c r="P1186" i="1"/>
  <c r="Q1186" i="1"/>
  <c r="R1186" i="1"/>
  <c r="S1186" i="1"/>
  <c r="T1186" i="1"/>
  <c r="U1186" i="1"/>
  <c r="V1186" i="1"/>
  <c r="W1186" i="1"/>
  <c r="X1186" i="1"/>
  <c r="Y1186" i="1"/>
  <c r="Z1186" i="1"/>
  <c r="AA1186" i="1"/>
  <c r="AB1186" i="1"/>
  <c r="AC1186" i="1"/>
  <c r="AD1186" i="1"/>
  <c r="AE1186" i="1"/>
  <c r="AF1186" i="1"/>
  <c r="AM1186" i="1"/>
  <c r="AN1186" i="1"/>
  <c r="AO1186" i="1"/>
  <c r="L1187" i="1"/>
  <c r="M1187" i="1"/>
  <c r="N1187" i="1"/>
  <c r="O1187" i="1"/>
  <c r="P1187" i="1"/>
  <c r="Q1187" i="1"/>
  <c r="R1187" i="1"/>
  <c r="S1187" i="1"/>
  <c r="T1187" i="1"/>
  <c r="U1187" i="1"/>
  <c r="V1187" i="1"/>
  <c r="W1187" i="1"/>
  <c r="X1187" i="1"/>
  <c r="Y1187" i="1"/>
  <c r="Z1187" i="1"/>
  <c r="AA1187" i="1"/>
  <c r="AB1187" i="1"/>
  <c r="AC1187" i="1"/>
  <c r="AD1187" i="1"/>
  <c r="AE1187" i="1"/>
  <c r="AF1187" i="1"/>
  <c r="AM1187" i="1"/>
  <c r="AN1187" i="1"/>
  <c r="AO1187" i="1"/>
  <c r="L1188" i="1"/>
  <c r="M1188" i="1"/>
  <c r="N1188" i="1"/>
  <c r="O1188" i="1"/>
  <c r="P1188" i="1"/>
  <c r="Q1188" i="1"/>
  <c r="R1188" i="1"/>
  <c r="S1188" i="1"/>
  <c r="T1188" i="1"/>
  <c r="U1188" i="1"/>
  <c r="V1188" i="1"/>
  <c r="W1188" i="1"/>
  <c r="X1188" i="1"/>
  <c r="Y1188" i="1"/>
  <c r="Z1188" i="1"/>
  <c r="AA1188" i="1"/>
  <c r="AB1188" i="1"/>
  <c r="AC1188" i="1"/>
  <c r="AD1188" i="1"/>
  <c r="AE1188" i="1"/>
  <c r="AF1188" i="1"/>
  <c r="AM1188" i="1"/>
  <c r="AN1188" i="1"/>
  <c r="AO1188" i="1"/>
  <c r="L1189" i="1"/>
  <c r="M1189" i="1"/>
  <c r="N1189" i="1"/>
  <c r="O1189" i="1"/>
  <c r="P1189" i="1"/>
  <c r="Q1189" i="1"/>
  <c r="R1189" i="1"/>
  <c r="S1189" i="1"/>
  <c r="T1189" i="1"/>
  <c r="U1189" i="1"/>
  <c r="V1189" i="1"/>
  <c r="W1189" i="1"/>
  <c r="X1189" i="1"/>
  <c r="Y1189" i="1"/>
  <c r="Z1189" i="1"/>
  <c r="AA1189" i="1"/>
  <c r="AB1189" i="1"/>
  <c r="AC1189" i="1"/>
  <c r="AD1189" i="1"/>
  <c r="AE1189" i="1"/>
  <c r="AF1189" i="1"/>
  <c r="AM1189" i="1"/>
  <c r="AN1189" i="1"/>
  <c r="AO1189" i="1"/>
  <c r="L1190" i="1"/>
  <c r="M1190" i="1"/>
  <c r="N1190" i="1"/>
  <c r="O1190" i="1"/>
  <c r="P1190" i="1"/>
  <c r="Q1190" i="1"/>
  <c r="R1190" i="1"/>
  <c r="S1190" i="1"/>
  <c r="T1190" i="1"/>
  <c r="U1190" i="1"/>
  <c r="V1190" i="1"/>
  <c r="W1190" i="1"/>
  <c r="X1190" i="1"/>
  <c r="Y1190" i="1"/>
  <c r="Z1190" i="1"/>
  <c r="AA1190" i="1"/>
  <c r="AB1190" i="1"/>
  <c r="AC1190" i="1"/>
  <c r="AD1190" i="1"/>
  <c r="AE1190" i="1"/>
  <c r="AF1190" i="1"/>
  <c r="AM1190" i="1"/>
  <c r="AN1190" i="1"/>
  <c r="AO1190" i="1"/>
  <c r="L1191" i="1"/>
  <c r="M1191" i="1"/>
  <c r="N1191" i="1"/>
  <c r="O1191" i="1"/>
  <c r="P1191" i="1"/>
  <c r="Q1191" i="1"/>
  <c r="R1191" i="1"/>
  <c r="S1191" i="1"/>
  <c r="T1191" i="1"/>
  <c r="U1191" i="1"/>
  <c r="V1191" i="1"/>
  <c r="W1191" i="1"/>
  <c r="X1191" i="1"/>
  <c r="Y1191" i="1"/>
  <c r="Z1191" i="1"/>
  <c r="AA1191" i="1"/>
  <c r="AB1191" i="1"/>
  <c r="AC1191" i="1"/>
  <c r="AD1191" i="1"/>
  <c r="AE1191" i="1"/>
  <c r="AF1191" i="1"/>
  <c r="AM1191" i="1"/>
  <c r="AN1191" i="1"/>
  <c r="AO1191" i="1"/>
  <c r="L1192" i="1"/>
  <c r="M1192" i="1"/>
  <c r="N1192" i="1"/>
  <c r="O1192" i="1"/>
  <c r="P1192" i="1"/>
  <c r="Q1192" i="1"/>
  <c r="R1192" i="1"/>
  <c r="S1192" i="1"/>
  <c r="T1192" i="1"/>
  <c r="U1192" i="1"/>
  <c r="V1192" i="1"/>
  <c r="W1192" i="1"/>
  <c r="X1192" i="1"/>
  <c r="Y1192" i="1"/>
  <c r="Z1192" i="1"/>
  <c r="AA1192" i="1"/>
  <c r="AB1192" i="1"/>
  <c r="AC1192" i="1"/>
  <c r="AD1192" i="1"/>
  <c r="AE1192" i="1"/>
  <c r="AF1192" i="1"/>
  <c r="AM1192" i="1"/>
  <c r="AN1192" i="1"/>
  <c r="AO1192" i="1"/>
  <c r="L1193" i="1"/>
  <c r="M1193" i="1"/>
  <c r="N1193" i="1"/>
  <c r="O1193" i="1"/>
  <c r="P1193" i="1"/>
  <c r="Q1193" i="1"/>
  <c r="R1193" i="1"/>
  <c r="S1193" i="1"/>
  <c r="T1193" i="1"/>
  <c r="U1193" i="1"/>
  <c r="V1193" i="1"/>
  <c r="W1193" i="1"/>
  <c r="X1193" i="1"/>
  <c r="Y1193" i="1"/>
  <c r="Z1193" i="1"/>
  <c r="AA1193" i="1"/>
  <c r="AB1193" i="1"/>
  <c r="AC1193" i="1"/>
  <c r="AD1193" i="1"/>
  <c r="AE1193" i="1"/>
  <c r="AF1193" i="1"/>
  <c r="AM1193" i="1"/>
  <c r="AN1193" i="1"/>
  <c r="AO1193" i="1"/>
  <c r="L1194" i="1"/>
  <c r="M1194" i="1"/>
  <c r="N1194" i="1"/>
  <c r="O1194" i="1"/>
  <c r="P1194" i="1"/>
  <c r="Q1194" i="1"/>
  <c r="R1194" i="1"/>
  <c r="S1194" i="1"/>
  <c r="T1194" i="1"/>
  <c r="U1194" i="1"/>
  <c r="V1194" i="1"/>
  <c r="W1194" i="1"/>
  <c r="X1194" i="1"/>
  <c r="Y1194" i="1"/>
  <c r="Z1194" i="1"/>
  <c r="AA1194" i="1"/>
  <c r="AB1194" i="1"/>
  <c r="AC1194" i="1"/>
  <c r="AD1194" i="1"/>
  <c r="AE1194" i="1"/>
  <c r="AF1194" i="1"/>
  <c r="AM1194" i="1"/>
  <c r="AN1194" i="1"/>
  <c r="AO1194" i="1"/>
  <c r="L1195" i="1"/>
  <c r="M1195" i="1"/>
  <c r="N1195" i="1"/>
  <c r="O1195" i="1"/>
  <c r="P1195" i="1"/>
  <c r="Q1195" i="1"/>
  <c r="R1195" i="1"/>
  <c r="S1195" i="1"/>
  <c r="T1195" i="1"/>
  <c r="U1195" i="1"/>
  <c r="V1195" i="1"/>
  <c r="W1195" i="1"/>
  <c r="X1195" i="1"/>
  <c r="Y1195" i="1"/>
  <c r="Z1195" i="1"/>
  <c r="AA1195" i="1"/>
  <c r="AB1195" i="1"/>
  <c r="AC1195" i="1"/>
  <c r="AD1195" i="1"/>
  <c r="AE1195" i="1"/>
  <c r="AF1195" i="1"/>
  <c r="AM1195" i="1"/>
  <c r="AN1195" i="1"/>
  <c r="AO1195" i="1"/>
  <c r="L1196" i="1"/>
  <c r="M1196" i="1"/>
  <c r="N1196" i="1"/>
  <c r="O1196" i="1"/>
  <c r="P1196" i="1"/>
  <c r="Q1196" i="1"/>
  <c r="R1196" i="1"/>
  <c r="S1196" i="1"/>
  <c r="T1196" i="1"/>
  <c r="U1196" i="1"/>
  <c r="V1196" i="1"/>
  <c r="W1196" i="1"/>
  <c r="X1196" i="1"/>
  <c r="Y1196" i="1"/>
  <c r="Z1196" i="1"/>
  <c r="AA1196" i="1"/>
  <c r="AB1196" i="1"/>
  <c r="AC1196" i="1"/>
  <c r="AD1196" i="1"/>
  <c r="AE1196" i="1"/>
  <c r="AF1196" i="1"/>
  <c r="AM1196" i="1"/>
  <c r="AN1196" i="1"/>
  <c r="AO1196" i="1"/>
  <c r="L1197" i="1"/>
  <c r="M1197" i="1"/>
  <c r="N1197" i="1"/>
  <c r="O1197" i="1"/>
  <c r="P1197" i="1"/>
  <c r="Q1197" i="1"/>
  <c r="R1197" i="1"/>
  <c r="S1197" i="1"/>
  <c r="T1197" i="1"/>
  <c r="U1197" i="1"/>
  <c r="V1197" i="1"/>
  <c r="W1197" i="1"/>
  <c r="X1197" i="1"/>
  <c r="Y1197" i="1"/>
  <c r="Z1197" i="1"/>
  <c r="AA1197" i="1"/>
  <c r="AB1197" i="1"/>
  <c r="AC1197" i="1"/>
  <c r="AD1197" i="1"/>
  <c r="AE1197" i="1"/>
  <c r="AF1197" i="1"/>
  <c r="AM1197" i="1"/>
  <c r="AN1197" i="1"/>
  <c r="AO1197" i="1"/>
  <c r="L1198" i="1"/>
  <c r="M1198" i="1"/>
  <c r="N1198" i="1"/>
  <c r="O1198" i="1"/>
  <c r="P1198" i="1"/>
  <c r="Q1198" i="1"/>
  <c r="R1198" i="1"/>
  <c r="S1198" i="1"/>
  <c r="T1198" i="1"/>
  <c r="U1198" i="1"/>
  <c r="V1198" i="1"/>
  <c r="W1198" i="1"/>
  <c r="X1198" i="1"/>
  <c r="Y1198" i="1"/>
  <c r="Z1198" i="1"/>
  <c r="AA1198" i="1"/>
  <c r="AB1198" i="1"/>
  <c r="AC1198" i="1"/>
  <c r="AD1198" i="1"/>
  <c r="AE1198" i="1"/>
  <c r="AF1198" i="1"/>
  <c r="AM1198" i="1"/>
  <c r="AN1198" i="1"/>
  <c r="AO1198" i="1"/>
  <c r="L1199" i="1"/>
  <c r="M1199" i="1"/>
  <c r="N1199" i="1"/>
  <c r="O1199" i="1"/>
  <c r="P1199" i="1"/>
  <c r="Q1199" i="1"/>
  <c r="R1199" i="1"/>
  <c r="S1199" i="1"/>
  <c r="T1199" i="1"/>
  <c r="U1199" i="1"/>
  <c r="V1199" i="1"/>
  <c r="W1199" i="1"/>
  <c r="X1199" i="1"/>
  <c r="Y1199" i="1"/>
  <c r="Z1199" i="1"/>
  <c r="AA1199" i="1"/>
  <c r="AB1199" i="1"/>
  <c r="AC1199" i="1"/>
  <c r="AD1199" i="1"/>
  <c r="AE1199" i="1"/>
  <c r="AF1199" i="1"/>
  <c r="AM1199" i="1"/>
  <c r="AN1199" i="1"/>
  <c r="AO1199" i="1"/>
  <c r="L1200" i="1"/>
  <c r="M1200" i="1"/>
  <c r="N1200" i="1"/>
  <c r="O1200" i="1"/>
  <c r="P1200" i="1"/>
  <c r="Q1200" i="1"/>
  <c r="R1200" i="1"/>
  <c r="S1200" i="1"/>
  <c r="T1200" i="1"/>
  <c r="U1200" i="1"/>
  <c r="V1200" i="1"/>
  <c r="W1200" i="1"/>
  <c r="X1200" i="1"/>
  <c r="Y1200" i="1"/>
  <c r="Z1200" i="1"/>
  <c r="AA1200" i="1"/>
  <c r="AB1200" i="1"/>
  <c r="AC1200" i="1"/>
  <c r="AD1200" i="1"/>
  <c r="AE1200" i="1"/>
  <c r="AF1200" i="1"/>
  <c r="AM1200" i="1"/>
  <c r="AN1200" i="1"/>
  <c r="AO1200" i="1"/>
  <c r="L1201" i="1"/>
  <c r="M1201" i="1"/>
  <c r="N1201" i="1"/>
  <c r="O1201" i="1"/>
  <c r="P1201" i="1"/>
  <c r="Q1201" i="1"/>
  <c r="R1201" i="1"/>
  <c r="S1201" i="1"/>
  <c r="T1201" i="1"/>
  <c r="U1201" i="1"/>
  <c r="V1201" i="1"/>
  <c r="W1201" i="1"/>
  <c r="X1201" i="1"/>
  <c r="Y1201" i="1"/>
  <c r="Z1201" i="1"/>
  <c r="AA1201" i="1"/>
  <c r="AB1201" i="1"/>
  <c r="AC1201" i="1"/>
  <c r="AD1201" i="1"/>
  <c r="AE1201" i="1"/>
  <c r="AF1201" i="1"/>
  <c r="AM1201" i="1"/>
  <c r="AN1201" i="1"/>
  <c r="AO1201" i="1"/>
  <c r="L1202" i="1"/>
  <c r="M1202" i="1"/>
  <c r="N1202" i="1"/>
  <c r="O1202" i="1"/>
  <c r="P1202" i="1"/>
  <c r="Q1202" i="1"/>
  <c r="R1202" i="1"/>
  <c r="S1202" i="1"/>
  <c r="T1202" i="1"/>
  <c r="U1202" i="1"/>
  <c r="V1202" i="1"/>
  <c r="W1202" i="1"/>
  <c r="X1202" i="1"/>
  <c r="Y1202" i="1"/>
  <c r="Z1202" i="1"/>
  <c r="AA1202" i="1"/>
  <c r="AB1202" i="1"/>
  <c r="AC1202" i="1"/>
  <c r="AD1202" i="1"/>
  <c r="AE1202" i="1"/>
  <c r="AF1202" i="1"/>
  <c r="AM1202" i="1"/>
  <c r="AN1202" i="1"/>
  <c r="AO1202" i="1"/>
  <c r="L1203" i="1"/>
  <c r="M1203" i="1"/>
  <c r="N1203" i="1"/>
  <c r="O1203" i="1"/>
  <c r="P1203" i="1"/>
  <c r="Q1203" i="1"/>
  <c r="R1203" i="1"/>
  <c r="S1203" i="1"/>
  <c r="T1203" i="1"/>
  <c r="U1203" i="1"/>
  <c r="V1203" i="1"/>
  <c r="W1203" i="1"/>
  <c r="X1203" i="1"/>
  <c r="Y1203" i="1"/>
  <c r="Z1203" i="1"/>
  <c r="AA1203" i="1"/>
  <c r="AB1203" i="1"/>
  <c r="AC1203" i="1"/>
  <c r="AD1203" i="1"/>
  <c r="AE1203" i="1"/>
  <c r="AF1203" i="1"/>
  <c r="AM1203" i="1"/>
  <c r="AN1203" i="1"/>
  <c r="AO1203" i="1"/>
  <c r="L1204" i="1"/>
  <c r="M1204" i="1"/>
  <c r="N1204" i="1"/>
  <c r="O1204" i="1"/>
  <c r="P1204" i="1"/>
  <c r="Q1204" i="1"/>
  <c r="R1204" i="1"/>
  <c r="S1204" i="1"/>
  <c r="T1204" i="1"/>
  <c r="U1204" i="1"/>
  <c r="V1204" i="1"/>
  <c r="W1204" i="1"/>
  <c r="X1204" i="1"/>
  <c r="Y1204" i="1"/>
  <c r="Z1204" i="1"/>
  <c r="AA1204" i="1"/>
  <c r="AB1204" i="1"/>
  <c r="AC1204" i="1"/>
  <c r="AD1204" i="1"/>
  <c r="AE1204" i="1"/>
  <c r="AF1204" i="1"/>
  <c r="AM1204" i="1"/>
  <c r="AN1204" i="1"/>
  <c r="AO1204" i="1"/>
  <c r="L1205" i="1"/>
  <c r="M1205" i="1"/>
  <c r="N1205" i="1"/>
  <c r="O1205" i="1"/>
  <c r="P1205" i="1"/>
  <c r="Q1205" i="1"/>
  <c r="R1205" i="1"/>
  <c r="S1205" i="1"/>
  <c r="T1205" i="1"/>
  <c r="U1205" i="1"/>
  <c r="V1205" i="1"/>
  <c r="W1205" i="1"/>
  <c r="X1205" i="1"/>
  <c r="Y1205" i="1"/>
  <c r="Z1205" i="1"/>
  <c r="AA1205" i="1"/>
  <c r="AB1205" i="1"/>
  <c r="AC1205" i="1"/>
  <c r="AD1205" i="1"/>
  <c r="AE1205" i="1"/>
  <c r="AF1205" i="1"/>
  <c r="AM1205" i="1"/>
  <c r="AN1205" i="1"/>
  <c r="AO1205" i="1"/>
  <c r="L1206" i="1"/>
  <c r="M1206" i="1"/>
  <c r="N1206" i="1"/>
  <c r="O1206" i="1"/>
  <c r="P1206" i="1"/>
  <c r="Q1206" i="1"/>
  <c r="R1206" i="1"/>
  <c r="S1206" i="1"/>
  <c r="T1206" i="1"/>
  <c r="U1206" i="1"/>
  <c r="V1206" i="1"/>
  <c r="W1206" i="1"/>
  <c r="X1206" i="1"/>
  <c r="Y1206" i="1"/>
  <c r="Z1206" i="1"/>
  <c r="AA1206" i="1"/>
  <c r="AB1206" i="1"/>
  <c r="AC1206" i="1"/>
  <c r="AD1206" i="1"/>
  <c r="AE1206" i="1"/>
  <c r="AF1206" i="1"/>
  <c r="AM1206" i="1"/>
  <c r="AN1206" i="1"/>
  <c r="AO1206" i="1"/>
  <c r="L1207" i="1"/>
  <c r="M1207" i="1"/>
  <c r="N1207" i="1"/>
  <c r="O1207" i="1"/>
  <c r="P1207" i="1"/>
  <c r="Q1207" i="1"/>
  <c r="R1207" i="1"/>
  <c r="S1207" i="1"/>
  <c r="T1207" i="1"/>
  <c r="U1207" i="1"/>
  <c r="V1207" i="1"/>
  <c r="W1207" i="1"/>
  <c r="X1207" i="1"/>
  <c r="Y1207" i="1"/>
  <c r="Z1207" i="1"/>
  <c r="AA1207" i="1"/>
  <c r="AB1207" i="1"/>
  <c r="AC1207" i="1"/>
  <c r="AD1207" i="1"/>
  <c r="AE1207" i="1"/>
  <c r="AF1207" i="1"/>
  <c r="AM1207" i="1"/>
  <c r="AN1207" i="1"/>
  <c r="AO1207" i="1"/>
  <c r="L1208" i="1"/>
  <c r="M1208" i="1"/>
  <c r="N1208" i="1"/>
  <c r="O1208" i="1"/>
  <c r="P1208" i="1"/>
  <c r="Q1208" i="1"/>
  <c r="R1208" i="1"/>
  <c r="S1208" i="1"/>
  <c r="T1208" i="1"/>
  <c r="U1208" i="1"/>
  <c r="V1208" i="1"/>
  <c r="W1208" i="1"/>
  <c r="X1208" i="1"/>
  <c r="Y1208" i="1"/>
  <c r="Z1208" i="1"/>
  <c r="AA1208" i="1"/>
  <c r="AB1208" i="1"/>
  <c r="AC1208" i="1"/>
  <c r="AD1208" i="1"/>
  <c r="AE1208" i="1"/>
  <c r="AF1208" i="1"/>
  <c r="AM1208" i="1"/>
  <c r="AN1208" i="1"/>
  <c r="AO1208" i="1"/>
  <c r="L1209" i="1"/>
  <c r="M1209" i="1"/>
  <c r="N1209" i="1"/>
  <c r="O1209" i="1"/>
  <c r="P1209" i="1"/>
  <c r="Q1209" i="1"/>
  <c r="R1209" i="1"/>
  <c r="S1209" i="1"/>
  <c r="T1209" i="1"/>
  <c r="U1209" i="1"/>
  <c r="V1209" i="1"/>
  <c r="W1209" i="1"/>
  <c r="X1209" i="1"/>
  <c r="Y1209" i="1"/>
  <c r="Z1209" i="1"/>
  <c r="AA1209" i="1"/>
  <c r="AB1209" i="1"/>
  <c r="AC1209" i="1"/>
  <c r="AD1209" i="1"/>
  <c r="AE1209" i="1"/>
  <c r="AF1209" i="1"/>
  <c r="AM1209" i="1"/>
  <c r="AN1209" i="1"/>
  <c r="AO1209" i="1"/>
  <c r="L1210" i="1"/>
  <c r="M1210" i="1"/>
  <c r="N1210" i="1"/>
  <c r="O1210" i="1"/>
  <c r="P1210" i="1"/>
  <c r="Q1210" i="1"/>
  <c r="R1210" i="1"/>
  <c r="S1210" i="1"/>
  <c r="T1210" i="1"/>
  <c r="U1210" i="1"/>
  <c r="V1210" i="1"/>
  <c r="W1210" i="1"/>
  <c r="X1210" i="1"/>
  <c r="Y1210" i="1"/>
  <c r="Z1210" i="1"/>
  <c r="AA1210" i="1"/>
  <c r="AB1210" i="1"/>
  <c r="AC1210" i="1"/>
  <c r="AD1210" i="1"/>
  <c r="AE1210" i="1"/>
  <c r="AF1210" i="1"/>
  <c r="AM1210" i="1"/>
  <c r="AN1210" i="1"/>
  <c r="AO1210" i="1"/>
  <c r="L1211" i="1"/>
  <c r="M1211" i="1"/>
  <c r="N1211" i="1"/>
  <c r="O1211" i="1"/>
  <c r="P1211" i="1"/>
  <c r="Q1211" i="1"/>
  <c r="R1211" i="1"/>
  <c r="S1211" i="1"/>
  <c r="T1211" i="1"/>
  <c r="U1211" i="1"/>
  <c r="V1211" i="1"/>
  <c r="W1211" i="1"/>
  <c r="X1211" i="1"/>
  <c r="Y1211" i="1"/>
  <c r="Z1211" i="1"/>
  <c r="AA1211" i="1"/>
  <c r="AB1211" i="1"/>
  <c r="AC1211" i="1"/>
  <c r="AD1211" i="1"/>
  <c r="AE1211" i="1"/>
  <c r="AF1211" i="1"/>
  <c r="AM1211" i="1"/>
  <c r="AN1211" i="1"/>
  <c r="AO1211" i="1"/>
  <c r="L1212" i="1"/>
  <c r="M1212" i="1"/>
  <c r="N1212" i="1"/>
  <c r="O1212" i="1"/>
  <c r="P1212" i="1"/>
  <c r="Q1212" i="1"/>
  <c r="R1212" i="1"/>
  <c r="S1212" i="1"/>
  <c r="T1212" i="1"/>
  <c r="U1212" i="1"/>
  <c r="V1212" i="1"/>
  <c r="W1212" i="1"/>
  <c r="X1212" i="1"/>
  <c r="Y1212" i="1"/>
  <c r="Z1212" i="1"/>
  <c r="AA1212" i="1"/>
  <c r="AB1212" i="1"/>
  <c r="AC1212" i="1"/>
  <c r="AD1212" i="1"/>
  <c r="AE1212" i="1"/>
  <c r="AF1212" i="1"/>
  <c r="AM1212" i="1"/>
  <c r="AN1212" i="1"/>
  <c r="AO1212" i="1"/>
  <c r="L1213" i="1"/>
  <c r="M1213" i="1"/>
  <c r="N1213" i="1"/>
  <c r="O1213" i="1"/>
  <c r="P1213" i="1"/>
  <c r="Q1213" i="1"/>
  <c r="R1213" i="1"/>
  <c r="S1213" i="1"/>
  <c r="T1213" i="1"/>
  <c r="U1213" i="1"/>
  <c r="V1213" i="1"/>
  <c r="W1213" i="1"/>
  <c r="X1213" i="1"/>
  <c r="Y1213" i="1"/>
  <c r="Z1213" i="1"/>
  <c r="AA1213" i="1"/>
  <c r="AB1213" i="1"/>
  <c r="AC1213" i="1"/>
  <c r="AD1213" i="1"/>
  <c r="AE1213" i="1"/>
  <c r="AF1213" i="1"/>
  <c r="AM1213" i="1"/>
  <c r="AN1213" i="1"/>
  <c r="AO1213" i="1"/>
  <c r="L1214" i="1"/>
  <c r="M1214" i="1"/>
  <c r="N1214" i="1"/>
  <c r="O1214" i="1"/>
  <c r="P1214" i="1"/>
  <c r="Q1214" i="1"/>
  <c r="R1214" i="1"/>
  <c r="S1214" i="1"/>
  <c r="T1214" i="1"/>
  <c r="U1214" i="1"/>
  <c r="V1214" i="1"/>
  <c r="W1214" i="1"/>
  <c r="X1214" i="1"/>
  <c r="Y1214" i="1"/>
  <c r="Z1214" i="1"/>
  <c r="AA1214" i="1"/>
  <c r="AB1214" i="1"/>
  <c r="AC1214" i="1"/>
  <c r="AD1214" i="1"/>
  <c r="AE1214" i="1"/>
  <c r="AF1214" i="1"/>
  <c r="AM1214" i="1"/>
  <c r="AN1214" i="1"/>
  <c r="AO1214" i="1"/>
  <c r="L1215" i="1"/>
  <c r="M1215" i="1"/>
  <c r="N1215" i="1"/>
  <c r="O1215" i="1"/>
  <c r="P1215" i="1"/>
  <c r="Q1215" i="1"/>
  <c r="R1215" i="1"/>
  <c r="S1215" i="1"/>
  <c r="T1215" i="1"/>
  <c r="U1215" i="1"/>
  <c r="V1215" i="1"/>
  <c r="W1215" i="1"/>
  <c r="X1215" i="1"/>
  <c r="Y1215" i="1"/>
  <c r="Z1215" i="1"/>
  <c r="AA1215" i="1"/>
  <c r="AB1215" i="1"/>
  <c r="AC1215" i="1"/>
  <c r="AD1215" i="1"/>
  <c r="AE1215" i="1"/>
  <c r="AF1215" i="1"/>
  <c r="AM1215" i="1"/>
  <c r="AN1215" i="1"/>
  <c r="AO1215" i="1"/>
  <c r="L1216" i="1"/>
  <c r="M1216" i="1"/>
  <c r="N1216" i="1"/>
  <c r="O1216" i="1"/>
  <c r="P1216" i="1"/>
  <c r="Q1216" i="1"/>
  <c r="R1216" i="1"/>
  <c r="S1216" i="1"/>
  <c r="T1216" i="1"/>
  <c r="U1216" i="1"/>
  <c r="V1216" i="1"/>
  <c r="W1216" i="1"/>
  <c r="X1216" i="1"/>
  <c r="Y1216" i="1"/>
  <c r="Z1216" i="1"/>
  <c r="AA1216" i="1"/>
  <c r="AB1216" i="1"/>
  <c r="AC1216" i="1"/>
  <c r="AD1216" i="1"/>
  <c r="AE1216" i="1"/>
  <c r="AF1216" i="1"/>
  <c r="AM1216" i="1"/>
  <c r="AN1216" i="1"/>
  <c r="AO1216" i="1"/>
  <c r="L1217" i="1"/>
  <c r="M1217" i="1"/>
  <c r="N1217" i="1"/>
  <c r="O1217" i="1"/>
  <c r="P1217" i="1"/>
  <c r="Q1217" i="1"/>
  <c r="R1217" i="1"/>
  <c r="S1217" i="1"/>
  <c r="T1217" i="1"/>
  <c r="U1217" i="1"/>
  <c r="V1217" i="1"/>
  <c r="W1217" i="1"/>
  <c r="X1217" i="1"/>
  <c r="Y1217" i="1"/>
  <c r="Z1217" i="1"/>
  <c r="AA1217" i="1"/>
  <c r="AB1217" i="1"/>
  <c r="AC1217" i="1"/>
  <c r="AD1217" i="1"/>
  <c r="AE1217" i="1"/>
  <c r="AF1217" i="1"/>
  <c r="AM1217" i="1"/>
  <c r="AN1217" i="1"/>
  <c r="AO1217" i="1"/>
  <c r="L1218" i="1"/>
  <c r="M1218" i="1"/>
  <c r="N1218" i="1"/>
  <c r="O1218" i="1"/>
  <c r="P1218" i="1"/>
  <c r="Q1218" i="1"/>
  <c r="R1218" i="1"/>
  <c r="S1218" i="1"/>
  <c r="T1218" i="1"/>
  <c r="U1218" i="1"/>
  <c r="V1218" i="1"/>
  <c r="W1218" i="1"/>
  <c r="X1218" i="1"/>
  <c r="Y1218" i="1"/>
  <c r="Z1218" i="1"/>
  <c r="AA1218" i="1"/>
  <c r="AB1218" i="1"/>
  <c r="AC1218" i="1"/>
  <c r="AD1218" i="1"/>
  <c r="AE1218" i="1"/>
  <c r="AF1218" i="1"/>
  <c r="AM1218" i="1"/>
  <c r="AN1218" i="1"/>
  <c r="AO1218" i="1"/>
  <c r="L1219" i="1"/>
  <c r="M1219" i="1"/>
  <c r="N1219" i="1"/>
  <c r="O1219" i="1"/>
  <c r="P1219" i="1"/>
  <c r="Q1219" i="1"/>
  <c r="R1219" i="1"/>
  <c r="S1219" i="1"/>
  <c r="T1219" i="1"/>
  <c r="U1219" i="1"/>
  <c r="V1219" i="1"/>
  <c r="W1219" i="1"/>
  <c r="X1219" i="1"/>
  <c r="Y1219" i="1"/>
  <c r="Z1219" i="1"/>
  <c r="AA1219" i="1"/>
  <c r="AB1219" i="1"/>
  <c r="AC1219" i="1"/>
  <c r="AD1219" i="1"/>
  <c r="AE1219" i="1"/>
  <c r="AF1219" i="1"/>
  <c r="AM1219" i="1"/>
  <c r="AN1219" i="1"/>
  <c r="AO1219" i="1"/>
  <c r="L1220" i="1"/>
  <c r="M1220" i="1"/>
  <c r="N1220" i="1"/>
  <c r="O1220" i="1"/>
  <c r="P1220" i="1"/>
  <c r="Q1220" i="1"/>
  <c r="R1220" i="1"/>
  <c r="S1220" i="1"/>
  <c r="T1220" i="1"/>
  <c r="U1220" i="1"/>
  <c r="V1220" i="1"/>
  <c r="W1220" i="1"/>
  <c r="X1220" i="1"/>
  <c r="Y1220" i="1"/>
  <c r="Z1220" i="1"/>
  <c r="AA1220" i="1"/>
  <c r="AB1220" i="1"/>
  <c r="AC1220" i="1"/>
  <c r="AD1220" i="1"/>
  <c r="AE1220" i="1"/>
  <c r="AF1220" i="1"/>
  <c r="AM1220" i="1"/>
  <c r="AN1220" i="1"/>
  <c r="AO1220" i="1"/>
  <c r="L1221" i="1"/>
  <c r="M1221" i="1"/>
  <c r="N1221" i="1"/>
  <c r="O1221" i="1"/>
  <c r="P1221" i="1"/>
  <c r="Q1221" i="1"/>
  <c r="R1221" i="1"/>
  <c r="S1221" i="1"/>
  <c r="T1221" i="1"/>
  <c r="U1221" i="1"/>
  <c r="V1221" i="1"/>
  <c r="W1221" i="1"/>
  <c r="X1221" i="1"/>
  <c r="Y1221" i="1"/>
  <c r="Z1221" i="1"/>
  <c r="AA1221" i="1"/>
  <c r="AB1221" i="1"/>
  <c r="AC1221" i="1"/>
  <c r="AD1221" i="1"/>
  <c r="AE1221" i="1"/>
  <c r="AF1221" i="1"/>
  <c r="AM1221" i="1"/>
  <c r="AN1221" i="1"/>
  <c r="AO1221" i="1"/>
  <c r="L1222" i="1"/>
  <c r="M1222" i="1"/>
  <c r="N1222" i="1"/>
  <c r="O1222" i="1"/>
  <c r="P1222" i="1"/>
  <c r="Q1222" i="1"/>
  <c r="R1222" i="1"/>
  <c r="S1222" i="1"/>
  <c r="T1222" i="1"/>
  <c r="U1222" i="1"/>
  <c r="V1222" i="1"/>
  <c r="W1222" i="1"/>
  <c r="X1222" i="1"/>
  <c r="Y1222" i="1"/>
  <c r="Z1222" i="1"/>
  <c r="AA1222" i="1"/>
  <c r="AB1222" i="1"/>
  <c r="AC1222" i="1"/>
  <c r="AD1222" i="1"/>
  <c r="AE1222" i="1"/>
  <c r="AF1222" i="1"/>
  <c r="AM1222" i="1"/>
  <c r="AN1222" i="1"/>
  <c r="AO1222" i="1"/>
  <c r="L1223" i="1"/>
  <c r="M1223" i="1"/>
  <c r="N1223" i="1"/>
  <c r="O1223" i="1"/>
  <c r="P1223" i="1"/>
  <c r="Q1223" i="1"/>
  <c r="R1223" i="1"/>
  <c r="S1223" i="1"/>
  <c r="T1223" i="1"/>
  <c r="U1223" i="1"/>
  <c r="V1223" i="1"/>
  <c r="W1223" i="1"/>
  <c r="X1223" i="1"/>
  <c r="Y1223" i="1"/>
  <c r="Z1223" i="1"/>
  <c r="AA1223" i="1"/>
  <c r="AB1223" i="1"/>
  <c r="AC1223" i="1"/>
  <c r="AD1223" i="1"/>
  <c r="AE1223" i="1"/>
  <c r="AF1223" i="1"/>
  <c r="AM1223" i="1"/>
  <c r="AN1223" i="1"/>
  <c r="AO1223" i="1"/>
  <c r="L1224" i="1"/>
  <c r="M1224" i="1"/>
  <c r="N1224" i="1"/>
  <c r="O1224" i="1"/>
  <c r="P1224" i="1"/>
  <c r="Q1224" i="1"/>
  <c r="R1224" i="1"/>
  <c r="S1224" i="1"/>
  <c r="T1224" i="1"/>
  <c r="U1224" i="1"/>
  <c r="V1224" i="1"/>
  <c r="W1224" i="1"/>
  <c r="X1224" i="1"/>
  <c r="Y1224" i="1"/>
  <c r="Z1224" i="1"/>
  <c r="AA1224" i="1"/>
  <c r="AB1224" i="1"/>
  <c r="AC1224" i="1"/>
  <c r="AD1224" i="1"/>
  <c r="AE1224" i="1"/>
  <c r="AF1224" i="1"/>
  <c r="AM1224" i="1"/>
  <c r="AN1224" i="1"/>
  <c r="AO1224" i="1"/>
  <c r="L1225" i="1"/>
  <c r="M1225" i="1"/>
  <c r="N1225" i="1"/>
  <c r="O1225" i="1"/>
  <c r="P1225" i="1"/>
  <c r="Q1225" i="1"/>
  <c r="R1225" i="1"/>
  <c r="S1225" i="1"/>
  <c r="T1225" i="1"/>
  <c r="U1225" i="1"/>
  <c r="V1225" i="1"/>
  <c r="W1225" i="1"/>
  <c r="X1225" i="1"/>
  <c r="Y1225" i="1"/>
  <c r="Z1225" i="1"/>
  <c r="AA1225" i="1"/>
  <c r="AB1225" i="1"/>
  <c r="AC1225" i="1"/>
  <c r="AD1225" i="1"/>
  <c r="AE1225" i="1"/>
  <c r="AF1225" i="1"/>
  <c r="AM1225" i="1"/>
  <c r="AN1225" i="1"/>
  <c r="AO1225" i="1"/>
  <c r="L1226" i="1"/>
  <c r="M1226" i="1"/>
  <c r="N1226" i="1"/>
  <c r="O1226" i="1"/>
  <c r="P1226" i="1"/>
  <c r="Q1226" i="1"/>
  <c r="R1226" i="1"/>
  <c r="S1226" i="1"/>
  <c r="T1226" i="1"/>
  <c r="U1226" i="1"/>
  <c r="V1226" i="1"/>
  <c r="W1226" i="1"/>
  <c r="X1226" i="1"/>
  <c r="Y1226" i="1"/>
  <c r="Z1226" i="1"/>
  <c r="AA1226" i="1"/>
  <c r="AB1226" i="1"/>
  <c r="AC1226" i="1"/>
  <c r="AD1226" i="1"/>
  <c r="AE1226" i="1"/>
  <c r="AF1226" i="1"/>
  <c r="AM1226" i="1"/>
  <c r="AN1226" i="1"/>
  <c r="AO1226" i="1"/>
  <c r="L1227" i="1"/>
  <c r="M1227" i="1"/>
  <c r="N1227" i="1"/>
  <c r="O1227" i="1"/>
  <c r="P1227" i="1"/>
  <c r="Q1227" i="1"/>
  <c r="R1227" i="1"/>
  <c r="S1227" i="1"/>
  <c r="T1227" i="1"/>
  <c r="U1227" i="1"/>
  <c r="V1227" i="1"/>
  <c r="W1227" i="1"/>
  <c r="X1227" i="1"/>
  <c r="Y1227" i="1"/>
  <c r="Z1227" i="1"/>
  <c r="AA1227" i="1"/>
  <c r="AB1227" i="1"/>
  <c r="AC1227" i="1"/>
  <c r="AD1227" i="1"/>
  <c r="AE1227" i="1"/>
  <c r="AF1227" i="1"/>
  <c r="AM1227" i="1"/>
  <c r="AN1227" i="1"/>
  <c r="AO1227" i="1"/>
  <c r="L1228" i="1"/>
  <c r="M1228" i="1"/>
  <c r="N1228" i="1"/>
  <c r="O1228" i="1"/>
  <c r="P1228" i="1"/>
  <c r="Q1228" i="1"/>
  <c r="R1228" i="1"/>
  <c r="S1228" i="1"/>
  <c r="T1228" i="1"/>
  <c r="U1228" i="1"/>
  <c r="V1228" i="1"/>
  <c r="W1228" i="1"/>
  <c r="X1228" i="1"/>
  <c r="Y1228" i="1"/>
  <c r="Z1228" i="1"/>
  <c r="AA1228" i="1"/>
  <c r="AB1228" i="1"/>
  <c r="AC1228" i="1"/>
  <c r="AD1228" i="1"/>
  <c r="AE1228" i="1"/>
  <c r="AF1228" i="1"/>
  <c r="AM1228" i="1"/>
  <c r="AN1228" i="1"/>
  <c r="AO1228" i="1"/>
  <c r="L1229" i="1"/>
  <c r="M1229" i="1"/>
  <c r="N1229" i="1"/>
  <c r="O1229" i="1"/>
  <c r="P1229" i="1"/>
  <c r="Q1229" i="1"/>
  <c r="R1229" i="1"/>
  <c r="S1229" i="1"/>
  <c r="T1229" i="1"/>
  <c r="U1229" i="1"/>
  <c r="V1229" i="1"/>
  <c r="W1229" i="1"/>
  <c r="X1229" i="1"/>
  <c r="Y1229" i="1"/>
  <c r="Z1229" i="1"/>
  <c r="AA1229" i="1"/>
  <c r="AB1229" i="1"/>
  <c r="AC1229" i="1"/>
  <c r="AD1229" i="1"/>
  <c r="AE1229" i="1"/>
  <c r="AF1229" i="1"/>
  <c r="AM1229" i="1"/>
  <c r="AN1229" i="1"/>
  <c r="AO1229" i="1"/>
  <c r="L1230" i="1"/>
  <c r="M1230" i="1"/>
  <c r="N1230" i="1"/>
  <c r="O1230" i="1"/>
  <c r="P1230" i="1"/>
  <c r="Q1230" i="1"/>
  <c r="R1230" i="1"/>
  <c r="S1230" i="1"/>
  <c r="T1230" i="1"/>
  <c r="U1230" i="1"/>
  <c r="V1230" i="1"/>
  <c r="W1230" i="1"/>
  <c r="X1230" i="1"/>
  <c r="Y1230" i="1"/>
  <c r="Z1230" i="1"/>
  <c r="AA1230" i="1"/>
  <c r="AB1230" i="1"/>
  <c r="AC1230" i="1"/>
  <c r="AD1230" i="1"/>
  <c r="AE1230" i="1"/>
  <c r="AF1230" i="1"/>
  <c r="AM1230" i="1"/>
  <c r="AN1230" i="1"/>
  <c r="AO1230" i="1"/>
  <c r="L1231" i="1"/>
  <c r="M1231" i="1"/>
  <c r="N1231" i="1"/>
  <c r="O1231" i="1"/>
  <c r="P1231" i="1"/>
  <c r="Q1231" i="1"/>
  <c r="R1231" i="1"/>
  <c r="S1231" i="1"/>
  <c r="T1231" i="1"/>
  <c r="U1231" i="1"/>
  <c r="V1231" i="1"/>
  <c r="W1231" i="1"/>
  <c r="X1231" i="1"/>
  <c r="Y1231" i="1"/>
  <c r="Z1231" i="1"/>
  <c r="AA1231" i="1"/>
  <c r="AB1231" i="1"/>
  <c r="AC1231" i="1"/>
  <c r="AD1231" i="1"/>
  <c r="AE1231" i="1"/>
  <c r="AF1231" i="1"/>
  <c r="AM1231" i="1"/>
  <c r="AN1231" i="1"/>
  <c r="AO1231" i="1"/>
  <c r="L1232" i="1"/>
  <c r="M1232" i="1"/>
  <c r="N1232" i="1"/>
  <c r="O1232" i="1"/>
  <c r="P1232" i="1"/>
  <c r="Q1232" i="1"/>
  <c r="R1232" i="1"/>
  <c r="S1232" i="1"/>
  <c r="T1232" i="1"/>
  <c r="U1232" i="1"/>
  <c r="V1232" i="1"/>
  <c r="W1232" i="1"/>
  <c r="X1232" i="1"/>
  <c r="Y1232" i="1"/>
  <c r="Z1232" i="1"/>
  <c r="AA1232" i="1"/>
  <c r="AB1232" i="1"/>
  <c r="AC1232" i="1"/>
  <c r="AD1232" i="1"/>
  <c r="AE1232" i="1"/>
  <c r="AF1232" i="1"/>
  <c r="AM1232" i="1"/>
  <c r="AN1232" i="1"/>
  <c r="AO1232" i="1"/>
  <c r="L1233" i="1"/>
  <c r="M1233" i="1"/>
  <c r="N1233" i="1"/>
  <c r="O1233" i="1"/>
  <c r="P1233" i="1"/>
  <c r="Q1233" i="1"/>
  <c r="R1233" i="1"/>
  <c r="S1233" i="1"/>
  <c r="T1233" i="1"/>
  <c r="U1233" i="1"/>
  <c r="V1233" i="1"/>
  <c r="W1233" i="1"/>
  <c r="X1233" i="1"/>
  <c r="Y1233" i="1"/>
  <c r="Z1233" i="1"/>
  <c r="AA1233" i="1"/>
  <c r="AB1233" i="1"/>
  <c r="AC1233" i="1"/>
  <c r="AD1233" i="1"/>
  <c r="AE1233" i="1"/>
  <c r="AF1233" i="1"/>
  <c r="AM1233" i="1"/>
  <c r="AN1233" i="1"/>
  <c r="AO1233" i="1"/>
  <c r="L1234" i="1"/>
  <c r="M1234" i="1"/>
  <c r="N1234" i="1"/>
  <c r="O1234" i="1"/>
  <c r="P1234" i="1"/>
  <c r="Q1234" i="1"/>
  <c r="R1234" i="1"/>
  <c r="S1234" i="1"/>
  <c r="T1234" i="1"/>
  <c r="U1234" i="1"/>
  <c r="V1234" i="1"/>
  <c r="W1234" i="1"/>
  <c r="X1234" i="1"/>
  <c r="Y1234" i="1"/>
  <c r="Z1234" i="1"/>
  <c r="AA1234" i="1"/>
  <c r="AB1234" i="1"/>
  <c r="AC1234" i="1"/>
  <c r="AD1234" i="1"/>
  <c r="AE1234" i="1"/>
  <c r="AF1234" i="1"/>
  <c r="AM1234" i="1"/>
  <c r="AN1234" i="1"/>
  <c r="AO1234" i="1"/>
  <c r="L1235" i="1"/>
  <c r="M1235" i="1"/>
  <c r="N1235" i="1"/>
  <c r="O1235" i="1"/>
  <c r="P1235" i="1"/>
  <c r="Q1235" i="1"/>
  <c r="R1235" i="1"/>
  <c r="S1235" i="1"/>
  <c r="T1235" i="1"/>
  <c r="U1235" i="1"/>
  <c r="V1235" i="1"/>
  <c r="W1235" i="1"/>
  <c r="X1235" i="1"/>
  <c r="Y1235" i="1"/>
  <c r="Z1235" i="1"/>
  <c r="AA1235" i="1"/>
  <c r="AB1235" i="1"/>
  <c r="AC1235" i="1"/>
  <c r="AD1235" i="1"/>
  <c r="AE1235" i="1"/>
  <c r="AF1235" i="1"/>
  <c r="AM1235" i="1"/>
  <c r="AN1235" i="1"/>
  <c r="AO1235" i="1"/>
  <c r="L1236" i="1"/>
  <c r="M1236" i="1"/>
  <c r="N1236" i="1"/>
  <c r="O1236" i="1"/>
  <c r="P1236" i="1"/>
  <c r="Q1236" i="1"/>
  <c r="R1236" i="1"/>
  <c r="S1236" i="1"/>
  <c r="T1236" i="1"/>
  <c r="U1236" i="1"/>
  <c r="V1236" i="1"/>
  <c r="W1236" i="1"/>
  <c r="X1236" i="1"/>
  <c r="Y1236" i="1"/>
  <c r="Z1236" i="1"/>
  <c r="AA1236" i="1"/>
  <c r="AB1236" i="1"/>
  <c r="AC1236" i="1"/>
  <c r="AD1236" i="1"/>
  <c r="AE1236" i="1"/>
  <c r="AF1236" i="1"/>
  <c r="AM1236" i="1"/>
  <c r="AN1236" i="1"/>
  <c r="AO1236" i="1"/>
  <c r="L1237" i="1"/>
  <c r="M1237" i="1"/>
  <c r="N1237" i="1"/>
  <c r="O1237" i="1"/>
  <c r="P1237" i="1"/>
  <c r="Q1237" i="1"/>
  <c r="R1237" i="1"/>
  <c r="S1237" i="1"/>
  <c r="T1237" i="1"/>
  <c r="U1237" i="1"/>
  <c r="V1237" i="1"/>
  <c r="W1237" i="1"/>
  <c r="X1237" i="1"/>
  <c r="Y1237" i="1"/>
  <c r="Z1237" i="1"/>
  <c r="AA1237" i="1"/>
  <c r="AB1237" i="1"/>
  <c r="AC1237" i="1"/>
  <c r="AD1237" i="1"/>
  <c r="AE1237" i="1"/>
  <c r="AF1237" i="1"/>
  <c r="AM1237" i="1"/>
  <c r="AN1237" i="1"/>
  <c r="AO1237" i="1"/>
  <c r="L1238" i="1"/>
  <c r="M1238" i="1"/>
  <c r="N1238" i="1"/>
  <c r="O1238" i="1"/>
  <c r="P1238" i="1"/>
  <c r="Q1238" i="1"/>
  <c r="R1238" i="1"/>
  <c r="S1238" i="1"/>
  <c r="T1238" i="1"/>
  <c r="U1238" i="1"/>
  <c r="V1238" i="1"/>
  <c r="W1238" i="1"/>
  <c r="X1238" i="1"/>
  <c r="Y1238" i="1"/>
  <c r="Z1238" i="1"/>
  <c r="AA1238" i="1"/>
  <c r="AB1238" i="1"/>
  <c r="AC1238" i="1"/>
  <c r="AD1238" i="1"/>
  <c r="AE1238" i="1"/>
  <c r="AF1238" i="1"/>
  <c r="AM1238" i="1"/>
  <c r="AN1238" i="1"/>
  <c r="AO1238" i="1"/>
  <c r="L1239" i="1"/>
  <c r="M1239" i="1"/>
  <c r="N1239" i="1"/>
  <c r="O1239" i="1"/>
  <c r="P1239" i="1"/>
  <c r="Q1239" i="1"/>
  <c r="R1239" i="1"/>
  <c r="S1239" i="1"/>
  <c r="T1239" i="1"/>
  <c r="U1239" i="1"/>
  <c r="V1239" i="1"/>
  <c r="W1239" i="1"/>
  <c r="X1239" i="1"/>
  <c r="Y1239" i="1"/>
  <c r="Z1239" i="1"/>
  <c r="AA1239" i="1"/>
  <c r="AB1239" i="1"/>
  <c r="AC1239" i="1"/>
  <c r="AD1239" i="1"/>
  <c r="AE1239" i="1"/>
  <c r="AF1239" i="1"/>
  <c r="AM1239" i="1"/>
  <c r="AN1239" i="1"/>
  <c r="AO1239" i="1"/>
  <c r="L1240" i="1"/>
  <c r="M1240" i="1"/>
  <c r="N1240" i="1"/>
  <c r="O1240" i="1"/>
  <c r="P1240" i="1"/>
  <c r="Q1240" i="1"/>
  <c r="R1240" i="1"/>
  <c r="S1240" i="1"/>
  <c r="T1240" i="1"/>
  <c r="U1240" i="1"/>
  <c r="V1240" i="1"/>
  <c r="W1240" i="1"/>
  <c r="X1240" i="1"/>
  <c r="Y1240" i="1"/>
  <c r="Z1240" i="1"/>
  <c r="AA1240" i="1"/>
  <c r="AB1240" i="1"/>
  <c r="AC1240" i="1"/>
  <c r="AD1240" i="1"/>
  <c r="AE1240" i="1"/>
  <c r="AF1240" i="1"/>
  <c r="AM1240" i="1"/>
  <c r="AN1240" i="1"/>
  <c r="AO1240" i="1"/>
  <c r="L1241" i="1"/>
  <c r="M1241" i="1"/>
  <c r="N1241" i="1"/>
  <c r="O1241" i="1"/>
  <c r="P1241" i="1"/>
  <c r="Q1241" i="1"/>
  <c r="R1241" i="1"/>
  <c r="S1241" i="1"/>
  <c r="T1241" i="1"/>
  <c r="U1241" i="1"/>
  <c r="V1241" i="1"/>
  <c r="W1241" i="1"/>
  <c r="X1241" i="1"/>
  <c r="Y1241" i="1"/>
  <c r="Z1241" i="1"/>
  <c r="AA1241" i="1"/>
  <c r="AB1241" i="1"/>
  <c r="AC1241" i="1"/>
  <c r="AD1241" i="1"/>
  <c r="AE1241" i="1"/>
  <c r="AF1241" i="1"/>
  <c r="AM1241" i="1"/>
  <c r="AN1241" i="1"/>
  <c r="AO1241" i="1"/>
  <c r="L1242" i="1"/>
  <c r="M1242" i="1"/>
  <c r="N1242" i="1"/>
  <c r="O1242" i="1"/>
  <c r="P1242" i="1"/>
  <c r="Q1242" i="1"/>
  <c r="R1242" i="1"/>
  <c r="S1242" i="1"/>
  <c r="T1242" i="1"/>
  <c r="U1242" i="1"/>
  <c r="V1242" i="1"/>
  <c r="W1242" i="1"/>
  <c r="X1242" i="1"/>
  <c r="Y1242" i="1"/>
  <c r="Z1242" i="1"/>
  <c r="AA1242" i="1"/>
  <c r="AB1242" i="1"/>
  <c r="AC1242" i="1"/>
  <c r="AD1242" i="1"/>
  <c r="AE1242" i="1"/>
  <c r="AF1242" i="1"/>
  <c r="AM1242" i="1"/>
  <c r="AN1242" i="1"/>
  <c r="AO1242" i="1"/>
  <c r="L1243" i="1"/>
  <c r="M1243" i="1"/>
  <c r="N1243" i="1"/>
  <c r="O1243" i="1"/>
  <c r="P1243" i="1"/>
  <c r="Q1243" i="1"/>
  <c r="R1243" i="1"/>
  <c r="S1243" i="1"/>
  <c r="T1243" i="1"/>
  <c r="U1243" i="1"/>
  <c r="V1243" i="1"/>
  <c r="W1243" i="1"/>
  <c r="X1243" i="1"/>
  <c r="Y1243" i="1"/>
  <c r="Z1243" i="1"/>
  <c r="AA1243" i="1"/>
  <c r="AB1243" i="1"/>
  <c r="AC1243" i="1"/>
  <c r="AD1243" i="1"/>
  <c r="AE1243" i="1"/>
  <c r="AF1243" i="1"/>
  <c r="AM1243" i="1"/>
  <c r="AN1243" i="1"/>
  <c r="AO1243" i="1"/>
  <c r="L1244" i="1"/>
  <c r="M1244" i="1"/>
  <c r="N1244" i="1"/>
  <c r="O1244" i="1"/>
  <c r="P1244" i="1"/>
  <c r="Q1244" i="1"/>
  <c r="R1244" i="1"/>
  <c r="S1244" i="1"/>
  <c r="T1244" i="1"/>
  <c r="U1244" i="1"/>
  <c r="V1244" i="1"/>
  <c r="W1244" i="1"/>
  <c r="X1244" i="1"/>
  <c r="Y1244" i="1"/>
  <c r="Z1244" i="1"/>
  <c r="AA1244" i="1"/>
  <c r="AB1244" i="1"/>
  <c r="AC1244" i="1"/>
  <c r="AD1244" i="1"/>
  <c r="AE1244" i="1"/>
  <c r="AF1244" i="1"/>
  <c r="AM1244" i="1"/>
  <c r="AN1244" i="1"/>
  <c r="AO1244" i="1"/>
  <c r="L1245" i="1"/>
  <c r="M1245" i="1"/>
  <c r="N1245" i="1"/>
  <c r="O1245" i="1"/>
  <c r="P1245" i="1"/>
  <c r="Q1245" i="1"/>
  <c r="R1245" i="1"/>
  <c r="S1245" i="1"/>
  <c r="T1245" i="1"/>
  <c r="U1245" i="1"/>
  <c r="V1245" i="1"/>
  <c r="W1245" i="1"/>
  <c r="X1245" i="1"/>
  <c r="Y1245" i="1"/>
  <c r="Z1245" i="1"/>
  <c r="AA1245" i="1"/>
  <c r="AB1245" i="1"/>
  <c r="AC1245" i="1"/>
  <c r="AD1245" i="1"/>
  <c r="AE1245" i="1"/>
  <c r="AF1245" i="1"/>
  <c r="AM1245" i="1"/>
  <c r="AN1245" i="1"/>
  <c r="AO1245" i="1"/>
  <c r="L1246" i="1"/>
  <c r="M1246" i="1"/>
  <c r="N1246" i="1"/>
  <c r="O1246" i="1"/>
  <c r="P1246" i="1"/>
  <c r="Q1246" i="1"/>
  <c r="R1246" i="1"/>
  <c r="S1246" i="1"/>
  <c r="T1246" i="1"/>
  <c r="U1246" i="1"/>
  <c r="V1246" i="1"/>
  <c r="W1246" i="1"/>
  <c r="X1246" i="1"/>
  <c r="Y1246" i="1"/>
  <c r="Z1246" i="1"/>
  <c r="AA1246" i="1"/>
  <c r="AB1246" i="1"/>
  <c r="AC1246" i="1"/>
  <c r="AD1246" i="1"/>
  <c r="AE1246" i="1"/>
  <c r="AF1246" i="1"/>
  <c r="AM1246" i="1"/>
  <c r="AN1246" i="1"/>
  <c r="AO1246" i="1"/>
  <c r="L1247" i="1"/>
  <c r="M1247" i="1"/>
  <c r="N1247" i="1"/>
  <c r="O1247" i="1"/>
  <c r="P1247" i="1"/>
  <c r="Q1247" i="1"/>
  <c r="R1247" i="1"/>
  <c r="S1247" i="1"/>
  <c r="T1247" i="1"/>
  <c r="U1247" i="1"/>
  <c r="V1247" i="1"/>
  <c r="W1247" i="1"/>
  <c r="X1247" i="1"/>
  <c r="Y1247" i="1"/>
  <c r="Z1247" i="1"/>
  <c r="AA1247" i="1"/>
  <c r="AB1247" i="1"/>
  <c r="AC1247" i="1"/>
  <c r="AD1247" i="1"/>
  <c r="AE1247" i="1"/>
  <c r="AF1247" i="1"/>
  <c r="AM1247" i="1"/>
  <c r="AN1247" i="1"/>
  <c r="AO1247" i="1"/>
  <c r="L1248" i="1"/>
  <c r="M1248" i="1"/>
  <c r="N1248" i="1"/>
  <c r="O1248" i="1"/>
  <c r="P1248" i="1"/>
  <c r="Q1248" i="1"/>
  <c r="R1248" i="1"/>
  <c r="S1248" i="1"/>
  <c r="T1248" i="1"/>
  <c r="U1248" i="1"/>
  <c r="V1248" i="1"/>
  <c r="W1248" i="1"/>
  <c r="X1248" i="1"/>
  <c r="Y1248" i="1"/>
  <c r="Z1248" i="1"/>
  <c r="AA1248" i="1"/>
  <c r="AB1248" i="1"/>
  <c r="AC1248" i="1"/>
  <c r="AD1248" i="1"/>
  <c r="AE1248" i="1"/>
  <c r="AF1248" i="1"/>
  <c r="AM1248" i="1"/>
  <c r="AN1248" i="1"/>
  <c r="AO1248" i="1"/>
  <c r="L1249" i="1"/>
  <c r="M1249" i="1"/>
  <c r="N1249" i="1"/>
  <c r="O1249" i="1"/>
  <c r="P1249" i="1"/>
  <c r="Q1249" i="1"/>
  <c r="R1249" i="1"/>
  <c r="S1249" i="1"/>
  <c r="T1249" i="1"/>
  <c r="U1249" i="1"/>
  <c r="V1249" i="1"/>
  <c r="W1249" i="1"/>
  <c r="X1249" i="1"/>
  <c r="Y1249" i="1"/>
  <c r="Z1249" i="1"/>
  <c r="AA1249" i="1"/>
  <c r="AB1249" i="1"/>
  <c r="AC1249" i="1"/>
  <c r="AD1249" i="1"/>
  <c r="AE1249" i="1"/>
  <c r="AF1249" i="1"/>
  <c r="AM1249" i="1"/>
  <c r="AN1249" i="1"/>
  <c r="AO1249" i="1"/>
  <c r="L1250" i="1"/>
  <c r="M1250" i="1"/>
  <c r="N1250" i="1"/>
  <c r="O1250" i="1"/>
  <c r="P1250" i="1"/>
  <c r="Q1250" i="1"/>
  <c r="R1250" i="1"/>
  <c r="S1250" i="1"/>
  <c r="T1250" i="1"/>
  <c r="U1250" i="1"/>
  <c r="V1250" i="1"/>
  <c r="W1250" i="1"/>
  <c r="X1250" i="1"/>
  <c r="Y1250" i="1"/>
  <c r="Z1250" i="1"/>
  <c r="AA1250" i="1"/>
  <c r="AB1250" i="1"/>
  <c r="AC1250" i="1"/>
  <c r="AD1250" i="1"/>
  <c r="AE1250" i="1"/>
  <c r="AF1250" i="1"/>
  <c r="AM1250" i="1"/>
  <c r="AN1250" i="1"/>
  <c r="AO1250" i="1"/>
  <c r="L1251" i="1"/>
  <c r="M1251" i="1"/>
  <c r="N1251" i="1"/>
  <c r="O1251" i="1"/>
  <c r="P1251" i="1"/>
  <c r="Q1251" i="1"/>
  <c r="R1251" i="1"/>
  <c r="S1251" i="1"/>
  <c r="T1251" i="1"/>
  <c r="U1251" i="1"/>
  <c r="V1251" i="1"/>
  <c r="W1251" i="1"/>
  <c r="X1251" i="1"/>
  <c r="Y1251" i="1"/>
  <c r="Z1251" i="1"/>
  <c r="AA1251" i="1"/>
  <c r="AB1251" i="1"/>
  <c r="AC1251" i="1"/>
  <c r="AD1251" i="1"/>
  <c r="AE1251" i="1"/>
  <c r="AF1251" i="1"/>
  <c r="AM1251" i="1"/>
  <c r="AN1251" i="1"/>
  <c r="AO1251" i="1"/>
  <c r="L1252" i="1"/>
  <c r="M1252" i="1"/>
  <c r="N1252" i="1"/>
  <c r="O1252" i="1"/>
  <c r="P1252" i="1"/>
  <c r="Q1252" i="1"/>
  <c r="R1252" i="1"/>
  <c r="S1252" i="1"/>
  <c r="T1252" i="1"/>
  <c r="U1252" i="1"/>
  <c r="V1252" i="1"/>
  <c r="W1252" i="1"/>
  <c r="X1252" i="1"/>
  <c r="Y1252" i="1"/>
  <c r="Z1252" i="1"/>
  <c r="AA1252" i="1"/>
  <c r="AB1252" i="1"/>
  <c r="AC1252" i="1"/>
  <c r="AD1252" i="1"/>
  <c r="AE1252" i="1"/>
  <c r="AF1252" i="1"/>
  <c r="AM1252" i="1"/>
  <c r="AN1252" i="1"/>
  <c r="AO1252" i="1"/>
  <c r="L1253" i="1"/>
  <c r="M1253" i="1"/>
  <c r="N1253" i="1"/>
  <c r="O1253" i="1"/>
  <c r="P1253" i="1"/>
  <c r="Q1253" i="1"/>
  <c r="R1253" i="1"/>
  <c r="S1253" i="1"/>
  <c r="T1253" i="1"/>
  <c r="U1253" i="1"/>
  <c r="V1253" i="1"/>
  <c r="W1253" i="1"/>
  <c r="X1253" i="1"/>
  <c r="Y1253" i="1"/>
  <c r="Z1253" i="1"/>
  <c r="AA1253" i="1"/>
  <c r="AB1253" i="1"/>
  <c r="AC1253" i="1"/>
  <c r="AD1253" i="1"/>
  <c r="AE1253" i="1"/>
  <c r="AF1253" i="1"/>
  <c r="AM1253" i="1"/>
  <c r="AN1253" i="1"/>
  <c r="AO1253" i="1"/>
  <c r="L1254" i="1"/>
  <c r="M1254" i="1"/>
  <c r="N1254" i="1"/>
  <c r="O1254" i="1"/>
  <c r="P1254" i="1"/>
  <c r="Q1254" i="1"/>
  <c r="R1254" i="1"/>
  <c r="S1254" i="1"/>
  <c r="T1254" i="1"/>
  <c r="U1254" i="1"/>
  <c r="V1254" i="1"/>
  <c r="W1254" i="1"/>
  <c r="X1254" i="1"/>
  <c r="Y1254" i="1"/>
  <c r="Z1254" i="1"/>
  <c r="AA1254" i="1"/>
  <c r="AB1254" i="1"/>
  <c r="AC1254" i="1"/>
  <c r="AD1254" i="1"/>
  <c r="AE1254" i="1"/>
  <c r="AF1254" i="1"/>
  <c r="AM1254" i="1"/>
  <c r="AN1254" i="1"/>
  <c r="AO1254" i="1"/>
  <c r="L1255" i="1"/>
  <c r="M1255" i="1"/>
  <c r="N1255" i="1"/>
  <c r="O1255" i="1"/>
  <c r="P1255" i="1"/>
  <c r="Q1255" i="1"/>
  <c r="R1255" i="1"/>
  <c r="S1255" i="1"/>
  <c r="T1255" i="1"/>
  <c r="U1255" i="1"/>
  <c r="V1255" i="1"/>
  <c r="W1255" i="1"/>
  <c r="X1255" i="1"/>
  <c r="Y1255" i="1"/>
  <c r="Z1255" i="1"/>
  <c r="AA1255" i="1"/>
  <c r="AB1255" i="1"/>
  <c r="AC1255" i="1"/>
  <c r="AD1255" i="1"/>
  <c r="AE1255" i="1"/>
  <c r="AF1255" i="1"/>
  <c r="AM1255" i="1"/>
  <c r="AN1255" i="1"/>
  <c r="AO1255" i="1"/>
  <c r="L1256" i="1"/>
  <c r="M1256" i="1"/>
  <c r="N1256" i="1"/>
  <c r="O1256" i="1"/>
  <c r="P1256" i="1"/>
  <c r="Q1256" i="1"/>
  <c r="R1256" i="1"/>
  <c r="S1256" i="1"/>
  <c r="T1256" i="1"/>
  <c r="U1256" i="1"/>
  <c r="V1256" i="1"/>
  <c r="W1256" i="1"/>
  <c r="X1256" i="1"/>
  <c r="Y1256" i="1"/>
  <c r="Z1256" i="1"/>
  <c r="AA1256" i="1"/>
  <c r="AB1256" i="1"/>
  <c r="AC1256" i="1"/>
  <c r="AD1256" i="1"/>
  <c r="AE1256" i="1"/>
  <c r="AF1256" i="1"/>
  <c r="AM1256" i="1"/>
  <c r="AN1256" i="1"/>
  <c r="AO1256" i="1"/>
  <c r="L1257" i="1"/>
  <c r="M1257" i="1"/>
  <c r="N1257" i="1"/>
  <c r="O1257" i="1"/>
  <c r="P1257" i="1"/>
  <c r="Q1257" i="1"/>
  <c r="R1257" i="1"/>
  <c r="S1257" i="1"/>
  <c r="T1257" i="1"/>
  <c r="U1257" i="1"/>
  <c r="V1257" i="1"/>
  <c r="W1257" i="1"/>
  <c r="X1257" i="1"/>
  <c r="Y1257" i="1"/>
  <c r="Z1257" i="1"/>
  <c r="AA1257" i="1"/>
  <c r="AB1257" i="1"/>
  <c r="AC1257" i="1"/>
  <c r="AD1257" i="1"/>
  <c r="AE1257" i="1"/>
  <c r="AF1257" i="1"/>
  <c r="AM1257" i="1"/>
  <c r="AN1257" i="1"/>
  <c r="AO1257" i="1"/>
  <c r="L1258" i="1"/>
  <c r="M1258" i="1"/>
  <c r="N1258" i="1"/>
  <c r="O1258" i="1"/>
  <c r="P1258" i="1"/>
  <c r="Q1258" i="1"/>
  <c r="R1258" i="1"/>
  <c r="S1258" i="1"/>
  <c r="T1258" i="1"/>
  <c r="U1258" i="1"/>
  <c r="V1258" i="1"/>
  <c r="W1258" i="1"/>
  <c r="X1258" i="1"/>
  <c r="Y1258" i="1"/>
  <c r="Z1258" i="1"/>
  <c r="AA1258" i="1"/>
  <c r="AB1258" i="1"/>
  <c r="AC1258" i="1"/>
  <c r="AD1258" i="1"/>
  <c r="AE1258" i="1"/>
  <c r="AF1258" i="1"/>
  <c r="AM1258" i="1"/>
  <c r="AN1258" i="1"/>
  <c r="AO1258" i="1"/>
  <c r="L1259" i="1"/>
  <c r="M1259" i="1"/>
  <c r="N1259" i="1"/>
  <c r="O1259" i="1"/>
  <c r="P1259" i="1"/>
  <c r="Q1259" i="1"/>
  <c r="R1259" i="1"/>
  <c r="S1259" i="1"/>
  <c r="T1259" i="1"/>
  <c r="U1259" i="1"/>
  <c r="V1259" i="1"/>
  <c r="W1259" i="1"/>
  <c r="X1259" i="1"/>
  <c r="Y1259" i="1"/>
  <c r="Z1259" i="1"/>
  <c r="AA1259" i="1"/>
  <c r="AB1259" i="1"/>
  <c r="AC1259" i="1"/>
  <c r="AD1259" i="1"/>
  <c r="AE1259" i="1"/>
  <c r="AF1259" i="1"/>
  <c r="AM1259" i="1"/>
  <c r="AN1259" i="1"/>
  <c r="AO1259" i="1"/>
  <c r="L1260" i="1"/>
  <c r="M1260" i="1"/>
  <c r="N1260" i="1"/>
  <c r="O1260" i="1"/>
  <c r="P1260" i="1"/>
  <c r="Q1260" i="1"/>
  <c r="R1260" i="1"/>
  <c r="S1260" i="1"/>
  <c r="T1260" i="1"/>
  <c r="U1260" i="1"/>
  <c r="V1260" i="1"/>
  <c r="W1260" i="1"/>
  <c r="X1260" i="1"/>
  <c r="Y1260" i="1"/>
  <c r="Z1260" i="1"/>
  <c r="AA1260" i="1"/>
  <c r="AB1260" i="1"/>
  <c r="AC1260" i="1"/>
  <c r="AD1260" i="1"/>
  <c r="AE1260" i="1"/>
  <c r="AF1260" i="1"/>
  <c r="AM1260" i="1"/>
  <c r="AN1260" i="1"/>
  <c r="AO1260" i="1"/>
  <c r="L1261" i="1"/>
  <c r="M1261" i="1"/>
  <c r="N1261" i="1"/>
  <c r="O1261" i="1"/>
  <c r="P1261" i="1"/>
  <c r="Q1261" i="1"/>
  <c r="R1261" i="1"/>
  <c r="S1261" i="1"/>
  <c r="T1261" i="1"/>
  <c r="U1261" i="1"/>
  <c r="V1261" i="1"/>
  <c r="W1261" i="1"/>
  <c r="X1261" i="1"/>
  <c r="Y1261" i="1"/>
  <c r="Z1261" i="1"/>
  <c r="AA1261" i="1"/>
  <c r="AB1261" i="1"/>
  <c r="AC1261" i="1"/>
  <c r="AD1261" i="1"/>
  <c r="AE1261" i="1"/>
  <c r="AF1261" i="1"/>
  <c r="AM1261" i="1"/>
  <c r="AN1261" i="1"/>
  <c r="AO1261" i="1"/>
  <c r="L1262" i="1"/>
  <c r="M1262" i="1"/>
  <c r="N1262" i="1"/>
  <c r="O1262" i="1"/>
  <c r="P1262" i="1"/>
  <c r="Q1262" i="1"/>
  <c r="R1262" i="1"/>
  <c r="S1262" i="1"/>
  <c r="T1262" i="1"/>
  <c r="U1262" i="1"/>
  <c r="V1262" i="1"/>
  <c r="W1262" i="1"/>
  <c r="X1262" i="1"/>
  <c r="Y1262" i="1"/>
  <c r="Z1262" i="1"/>
  <c r="AA1262" i="1"/>
  <c r="AB1262" i="1"/>
  <c r="AC1262" i="1"/>
  <c r="AD1262" i="1"/>
  <c r="AE1262" i="1"/>
  <c r="AF1262" i="1"/>
  <c r="AM1262" i="1"/>
  <c r="AN1262" i="1"/>
  <c r="AO1262" i="1"/>
  <c r="L1263" i="1"/>
  <c r="M1263" i="1"/>
  <c r="N1263" i="1"/>
  <c r="O1263" i="1"/>
  <c r="P1263" i="1"/>
  <c r="Q1263" i="1"/>
  <c r="R1263" i="1"/>
  <c r="S1263" i="1"/>
  <c r="T1263" i="1"/>
  <c r="U1263" i="1"/>
  <c r="V1263" i="1"/>
  <c r="W1263" i="1"/>
  <c r="X1263" i="1"/>
  <c r="Y1263" i="1"/>
  <c r="Z1263" i="1"/>
  <c r="AA1263" i="1"/>
  <c r="AB1263" i="1"/>
  <c r="AC1263" i="1"/>
  <c r="AD1263" i="1"/>
  <c r="AE1263" i="1"/>
  <c r="AF1263" i="1"/>
  <c r="AM1263" i="1"/>
  <c r="AN1263" i="1"/>
  <c r="AO1263" i="1"/>
  <c r="L1264" i="1"/>
  <c r="M1264" i="1"/>
  <c r="N1264" i="1"/>
  <c r="O1264" i="1"/>
  <c r="P1264" i="1"/>
  <c r="Q1264" i="1"/>
  <c r="R1264" i="1"/>
  <c r="S1264" i="1"/>
  <c r="T1264" i="1"/>
  <c r="U1264" i="1"/>
  <c r="V1264" i="1"/>
  <c r="W1264" i="1"/>
  <c r="X1264" i="1"/>
  <c r="Y1264" i="1"/>
  <c r="Z1264" i="1"/>
  <c r="AA1264" i="1"/>
  <c r="AB1264" i="1"/>
  <c r="AC1264" i="1"/>
  <c r="AD1264" i="1"/>
  <c r="AE1264" i="1"/>
  <c r="AF1264" i="1"/>
  <c r="AM1264" i="1"/>
  <c r="AN1264" i="1"/>
  <c r="AO1264" i="1"/>
  <c r="L1265" i="1"/>
  <c r="M1265" i="1"/>
  <c r="N1265" i="1"/>
  <c r="O1265" i="1"/>
  <c r="P1265" i="1"/>
  <c r="Q1265" i="1"/>
  <c r="R1265" i="1"/>
  <c r="S1265" i="1"/>
  <c r="T1265" i="1"/>
  <c r="U1265" i="1"/>
  <c r="V1265" i="1"/>
  <c r="W1265" i="1"/>
  <c r="X1265" i="1"/>
  <c r="Y1265" i="1"/>
  <c r="Z1265" i="1"/>
  <c r="AA1265" i="1"/>
  <c r="AB1265" i="1"/>
  <c r="AC1265" i="1"/>
  <c r="AD1265" i="1"/>
  <c r="AE1265" i="1"/>
  <c r="AF1265" i="1"/>
  <c r="AM1265" i="1"/>
  <c r="AN1265" i="1"/>
  <c r="AO1265" i="1"/>
  <c r="L1266" i="1"/>
  <c r="M1266" i="1"/>
  <c r="N1266" i="1"/>
  <c r="O1266" i="1"/>
  <c r="P1266" i="1"/>
  <c r="Q1266" i="1"/>
  <c r="R1266" i="1"/>
  <c r="S1266" i="1"/>
  <c r="T1266" i="1"/>
  <c r="U1266" i="1"/>
  <c r="V1266" i="1"/>
  <c r="W1266" i="1"/>
  <c r="X1266" i="1"/>
  <c r="Y1266" i="1"/>
  <c r="Z1266" i="1"/>
  <c r="AA1266" i="1"/>
  <c r="AB1266" i="1"/>
  <c r="AC1266" i="1"/>
  <c r="AD1266" i="1"/>
  <c r="AE1266" i="1"/>
  <c r="AF1266" i="1"/>
  <c r="AM1266" i="1"/>
  <c r="AN1266" i="1"/>
  <c r="AO1266" i="1"/>
  <c r="L1267" i="1"/>
  <c r="M1267" i="1"/>
  <c r="N1267" i="1"/>
  <c r="O1267" i="1"/>
  <c r="P1267" i="1"/>
  <c r="Q1267" i="1"/>
  <c r="R1267" i="1"/>
  <c r="S1267" i="1"/>
  <c r="T1267" i="1"/>
  <c r="U1267" i="1"/>
  <c r="V1267" i="1"/>
  <c r="W1267" i="1"/>
  <c r="X1267" i="1"/>
  <c r="Y1267" i="1"/>
  <c r="Z1267" i="1"/>
  <c r="AA1267" i="1"/>
  <c r="AB1267" i="1"/>
  <c r="AC1267" i="1"/>
  <c r="AD1267" i="1"/>
  <c r="AE1267" i="1"/>
  <c r="AF1267" i="1"/>
  <c r="AM1267" i="1"/>
  <c r="AN1267" i="1"/>
  <c r="AO1267" i="1"/>
  <c r="L1268" i="1"/>
  <c r="M1268" i="1"/>
  <c r="N1268" i="1"/>
  <c r="O1268" i="1"/>
  <c r="P1268" i="1"/>
  <c r="Q1268" i="1"/>
  <c r="R1268" i="1"/>
  <c r="S1268" i="1"/>
  <c r="T1268" i="1"/>
  <c r="U1268" i="1"/>
  <c r="V1268" i="1"/>
  <c r="W1268" i="1"/>
  <c r="X1268" i="1"/>
  <c r="Y1268" i="1"/>
  <c r="Z1268" i="1"/>
  <c r="AA1268" i="1"/>
  <c r="AB1268" i="1"/>
  <c r="AC1268" i="1"/>
  <c r="AD1268" i="1"/>
  <c r="AE1268" i="1"/>
  <c r="AF1268" i="1"/>
  <c r="AM1268" i="1"/>
  <c r="AN1268" i="1"/>
  <c r="AO1268" i="1"/>
  <c r="L1269" i="1"/>
  <c r="M1269" i="1"/>
  <c r="N1269" i="1"/>
  <c r="O1269" i="1"/>
  <c r="P1269" i="1"/>
  <c r="Q1269" i="1"/>
  <c r="R1269" i="1"/>
  <c r="S1269" i="1"/>
  <c r="T1269" i="1"/>
  <c r="U1269" i="1"/>
  <c r="V1269" i="1"/>
  <c r="W1269" i="1"/>
  <c r="X1269" i="1"/>
  <c r="Y1269" i="1"/>
  <c r="Z1269" i="1"/>
  <c r="AA1269" i="1"/>
  <c r="AB1269" i="1"/>
  <c r="AC1269" i="1"/>
  <c r="AD1269" i="1"/>
  <c r="AE1269" i="1"/>
  <c r="AF1269" i="1"/>
  <c r="AM1269" i="1"/>
  <c r="AN1269" i="1"/>
  <c r="AO1269" i="1"/>
  <c r="L1270" i="1"/>
  <c r="M1270" i="1"/>
  <c r="N1270" i="1"/>
  <c r="O1270" i="1"/>
  <c r="P1270" i="1"/>
  <c r="Q1270" i="1"/>
  <c r="R1270" i="1"/>
  <c r="S1270" i="1"/>
  <c r="T1270" i="1"/>
  <c r="U1270" i="1"/>
  <c r="V1270" i="1"/>
  <c r="W1270" i="1"/>
  <c r="X1270" i="1"/>
  <c r="Y1270" i="1"/>
  <c r="Z1270" i="1"/>
  <c r="AA1270" i="1"/>
  <c r="AB1270" i="1"/>
  <c r="AC1270" i="1"/>
  <c r="AD1270" i="1"/>
  <c r="AE1270" i="1"/>
  <c r="AF1270" i="1"/>
  <c r="AM1270" i="1"/>
  <c r="AN1270" i="1"/>
  <c r="AO1270" i="1"/>
  <c r="L1271" i="1"/>
  <c r="M1271" i="1"/>
  <c r="N1271" i="1"/>
  <c r="O1271" i="1"/>
  <c r="P1271" i="1"/>
  <c r="Q1271" i="1"/>
  <c r="R1271" i="1"/>
  <c r="S1271" i="1"/>
  <c r="T1271" i="1"/>
  <c r="U1271" i="1"/>
  <c r="V1271" i="1"/>
  <c r="W1271" i="1"/>
  <c r="X1271" i="1"/>
  <c r="Y1271" i="1"/>
  <c r="Z1271" i="1"/>
  <c r="AA1271" i="1"/>
  <c r="AB1271" i="1"/>
  <c r="AC1271" i="1"/>
  <c r="AD1271" i="1"/>
  <c r="AE1271" i="1"/>
  <c r="AF1271" i="1"/>
  <c r="AM1271" i="1"/>
  <c r="AN1271" i="1"/>
  <c r="AO1271" i="1"/>
  <c r="L1272" i="1"/>
  <c r="M1272" i="1"/>
  <c r="N1272" i="1"/>
  <c r="O1272" i="1"/>
  <c r="P1272" i="1"/>
  <c r="Q1272" i="1"/>
  <c r="R1272" i="1"/>
  <c r="S1272" i="1"/>
  <c r="T1272" i="1"/>
  <c r="U1272" i="1"/>
  <c r="V1272" i="1"/>
  <c r="W1272" i="1"/>
  <c r="X1272" i="1"/>
  <c r="Y1272" i="1"/>
  <c r="Z1272" i="1"/>
  <c r="AA1272" i="1"/>
  <c r="AB1272" i="1"/>
  <c r="AC1272" i="1"/>
  <c r="AD1272" i="1"/>
  <c r="AE1272" i="1"/>
  <c r="AF1272" i="1"/>
  <c r="AM1272" i="1"/>
  <c r="AN1272" i="1"/>
  <c r="AO1272" i="1"/>
  <c r="L1273" i="1"/>
  <c r="M1273" i="1"/>
  <c r="N1273" i="1"/>
  <c r="O1273" i="1"/>
  <c r="P1273" i="1"/>
  <c r="Q1273" i="1"/>
  <c r="R1273" i="1"/>
  <c r="S1273" i="1"/>
  <c r="T1273" i="1"/>
  <c r="U1273" i="1"/>
  <c r="V1273" i="1"/>
  <c r="W1273" i="1"/>
  <c r="X1273" i="1"/>
  <c r="Y1273" i="1"/>
  <c r="Z1273" i="1"/>
  <c r="AA1273" i="1"/>
  <c r="AB1273" i="1"/>
  <c r="AC1273" i="1"/>
  <c r="AD1273" i="1"/>
  <c r="AE1273" i="1"/>
  <c r="AF1273" i="1"/>
  <c r="AM1273" i="1"/>
  <c r="AN1273" i="1"/>
  <c r="AO1273" i="1"/>
  <c r="L1274" i="1"/>
  <c r="M1274" i="1"/>
  <c r="N1274" i="1"/>
  <c r="O1274" i="1"/>
  <c r="P1274" i="1"/>
  <c r="Q1274" i="1"/>
  <c r="R1274" i="1"/>
  <c r="S1274" i="1"/>
  <c r="T1274" i="1"/>
  <c r="U1274" i="1"/>
  <c r="V1274" i="1"/>
  <c r="W1274" i="1"/>
  <c r="X1274" i="1"/>
  <c r="Y1274" i="1"/>
  <c r="Z1274" i="1"/>
  <c r="AA1274" i="1"/>
  <c r="AB1274" i="1"/>
  <c r="AC1274" i="1"/>
  <c r="AD1274" i="1"/>
  <c r="AE1274" i="1"/>
  <c r="AF1274" i="1"/>
  <c r="AM1274" i="1"/>
  <c r="AN1274" i="1"/>
  <c r="AO1274" i="1"/>
  <c r="L1275" i="1"/>
  <c r="M1275" i="1"/>
  <c r="N1275" i="1"/>
  <c r="O1275" i="1"/>
  <c r="P1275" i="1"/>
  <c r="Q1275" i="1"/>
  <c r="R1275" i="1"/>
  <c r="S1275" i="1"/>
  <c r="T1275" i="1"/>
  <c r="U1275" i="1"/>
  <c r="V1275" i="1"/>
  <c r="W1275" i="1"/>
  <c r="X1275" i="1"/>
  <c r="Y1275" i="1"/>
  <c r="Z1275" i="1"/>
  <c r="AA1275" i="1"/>
  <c r="AB1275" i="1"/>
  <c r="AC1275" i="1"/>
  <c r="AD1275" i="1"/>
  <c r="AE1275" i="1"/>
  <c r="AF1275" i="1"/>
  <c r="AM1275" i="1"/>
  <c r="AN1275" i="1"/>
  <c r="AO1275" i="1"/>
  <c r="L1276" i="1"/>
  <c r="M1276" i="1"/>
  <c r="N1276" i="1"/>
  <c r="O1276" i="1"/>
  <c r="P1276" i="1"/>
  <c r="Q1276" i="1"/>
  <c r="R1276" i="1"/>
  <c r="S1276" i="1"/>
  <c r="T1276" i="1"/>
  <c r="U1276" i="1"/>
  <c r="V1276" i="1"/>
  <c r="W1276" i="1"/>
  <c r="X1276" i="1"/>
  <c r="Y1276" i="1"/>
  <c r="Z1276" i="1"/>
  <c r="AA1276" i="1"/>
  <c r="AB1276" i="1"/>
  <c r="AC1276" i="1"/>
  <c r="AD1276" i="1"/>
  <c r="AE1276" i="1"/>
  <c r="AF1276" i="1"/>
  <c r="AM1276" i="1"/>
  <c r="AN1276" i="1"/>
  <c r="AO1276" i="1"/>
  <c r="L1277" i="1"/>
  <c r="M1277" i="1"/>
  <c r="N1277" i="1"/>
  <c r="O1277" i="1"/>
  <c r="P1277" i="1"/>
  <c r="Q1277" i="1"/>
  <c r="R1277" i="1"/>
  <c r="S1277" i="1"/>
  <c r="T1277" i="1"/>
  <c r="U1277" i="1"/>
  <c r="V1277" i="1"/>
  <c r="W1277" i="1"/>
  <c r="X1277" i="1"/>
  <c r="Y1277" i="1"/>
  <c r="Z1277" i="1"/>
  <c r="AA1277" i="1"/>
  <c r="AB1277" i="1"/>
  <c r="AC1277" i="1"/>
  <c r="AD1277" i="1"/>
  <c r="AE1277" i="1"/>
  <c r="AF1277" i="1"/>
  <c r="AM1277" i="1"/>
  <c r="AN1277" i="1"/>
  <c r="AO1277" i="1"/>
  <c r="L1278" i="1"/>
  <c r="M1278" i="1"/>
  <c r="N1278" i="1"/>
  <c r="O1278" i="1"/>
  <c r="P1278" i="1"/>
  <c r="Q1278" i="1"/>
  <c r="R1278" i="1"/>
  <c r="S1278" i="1"/>
  <c r="T1278" i="1"/>
  <c r="U1278" i="1"/>
  <c r="V1278" i="1"/>
  <c r="W1278" i="1"/>
  <c r="X1278" i="1"/>
  <c r="Y1278" i="1"/>
  <c r="Z1278" i="1"/>
  <c r="AA1278" i="1"/>
  <c r="AB1278" i="1"/>
  <c r="AC1278" i="1"/>
  <c r="AD1278" i="1"/>
  <c r="AE1278" i="1"/>
  <c r="AF1278" i="1"/>
  <c r="AM1278" i="1"/>
  <c r="AN1278" i="1"/>
  <c r="AO1278" i="1"/>
  <c r="L1279" i="1"/>
  <c r="M1279" i="1"/>
  <c r="N1279" i="1"/>
  <c r="O1279" i="1"/>
  <c r="P1279" i="1"/>
  <c r="Q1279" i="1"/>
  <c r="R1279" i="1"/>
  <c r="S1279" i="1"/>
  <c r="T1279" i="1"/>
  <c r="U1279" i="1"/>
  <c r="V1279" i="1"/>
  <c r="W1279" i="1"/>
  <c r="X1279" i="1"/>
  <c r="Y1279" i="1"/>
  <c r="Z1279" i="1"/>
  <c r="AA1279" i="1"/>
  <c r="AB1279" i="1"/>
  <c r="AC1279" i="1"/>
  <c r="AD1279" i="1"/>
  <c r="AE1279" i="1"/>
  <c r="AF1279" i="1"/>
  <c r="AM1279" i="1"/>
  <c r="AN1279" i="1"/>
  <c r="AO1279" i="1"/>
  <c r="L1280" i="1"/>
  <c r="M1280" i="1"/>
  <c r="N1280" i="1"/>
  <c r="O1280" i="1"/>
  <c r="P1280" i="1"/>
  <c r="Q1280" i="1"/>
  <c r="R1280" i="1"/>
  <c r="S1280" i="1"/>
  <c r="T1280" i="1"/>
  <c r="U1280" i="1"/>
  <c r="V1280" i="1"/>
  <c r="W1280" i="1"/>
  <c r="X1280" i="1"/>
  <c r="Y1280" i="1"/>
  <c r="Z1280" i="1"/>
  <c r="AA1280" i="1"/>
  <c r="AB1280" i="1"/>
  <c r="AC1280" i="1"/>
  <c r="AD1280" i="1"/>
  <c r="AE1280" i="1"/>
  <c r="AF1280" i="1"/>
  <c r="AM1280" i="1"/>
  <c r="AN1280" i="1"/>
  <c r="AO1280" i="1"/>
  <c r="L1281" i="1"/>
  <c r="M1281" i="1"/>
  <c r="N1281" i="1"/>
  <c r="O1281" i="1"/>
  <c r="P1281" i="1"/>
  <c r="Q1281" i="1"/>
  <c r="R1281" i="1"/>
  <c r="S1281" i="1"/>
  <c r="T1281" i="1"/>
  <c r="U1281" i="1"/>
  <c r="V1281" i="1"/>
  <c r="W1281" i="1"/>
  <c r="X1281" i="1"/>
  <c r="Y1281" i="1"/>
  <c r="Z1281" i="1"/>
  <c r="AA1281" i="1"/>
  <c r="AB1281" i="1"/>
  <c r="AC1281" i="1"/>
  <c r="AD1281" i="1"/>
  <c r="AE1281" i="1"/>
  <c r="AF1281" i="1"/>
  <c r="AM1281" i="1"/>
  <c r="AN1281" i="1"/>
  <c r="AO1281" i="1"/>
  <c r="L1282" i="1"/>
  <c r="M1282" i="1"/>
  <c r="N1282" i="1"/>
  <c r="O1282" i="1"/>
  <c r="P1282" i="1"/>
  <c r="Q1282" i="1"/>
  <c r="R1282" i="1"/>
  <c r="S1282" i="1"/>
  <c r="T1282" i="1"/>
  <c r="U1282" i="1"/>
  <c r="V1282" i="1"/>
  <c r="W1282" i="1"/>
  <c r="X1282" i="1"/>
  <c r="Y1282" i="1"/>
  <c r="Z1282" i="1"/>
  <c r="AA1282" i="1"/>
  <c r="AB1282" i="1"/>
  <c r="AC1282" i="1"/>
  <c r="AD1282" i="1"/>
  <c r="AE1282" i="1"/>
  <c r="AF1282" i="1"/>
  <c r="AM1282" i="1"/>
  <c r="AN1282" i="1"/>
  <c r="AO1282" i="1"/>
  <c r="L1283" i="1"/>
  <c r="M1283" i="1"/>
  <c r="N1283" i="1"/>
  <c r="O1283" i="1"/>
  <c r="P1283" i="1"/>
  <c r="Q1283" i="1"/>
  <c r="R1283" i="1"/>
  <c r="S1283" i="1"/>
  <c r="T1283" i="1"/>
  <c r="U1283" i="1"/>
  <c r="V1283" i="1"/>
  <c r="W1283" i="1"/>
  <c r="X1283" i="1"/>
  <c r="Y1283" i="1"/>
  <c r="Z1283" i="1"/>
  <c r="AA1283" i="1"/>
  <c r="AB1283" i="1"/>
  <c r="AC1283" i="1"/>
  <c r="AD1283" i="1"/>
  <c r="AE1283" i="1"/>
  <c r="AF1283" i="1"/>
  <c r="AM1283" i="1"/>
  <c r="AN1283" i="1"/>
  <c r="AO1283" i="1"/>
  <c r="L1284" i="1"/>
  <c r="M1284" i="1"/>
  <c r="N1284" i="1"/>
  <c r="O1284" i="1"/>
  <c r="P1284" i="1"/>
  <c r="Q1284" i="1"/>
  <c r="R1284" i="1"/>
  <c r="S1284" i="1"/>
  <c r="T1284" i="1"/>
  <c r="U1284" i="1"/>
  <c r="V1284" i="1"/>
  <c r="W1284" i="1"/>
  <c r="X1284" i="1"/>
  <c r="Y1284" i="1"/>
  <c r="Z1284" i="1"/>
  <c r="AA1284" i="1"/>
  <c r="AB1284" i="1"/>
  <c r="AC1284" i="1"/>
  <c r="AD1284" i="1"/>
  <c r="AE1284" i="1"/>
  <c r="AF1284" i="1"/>
  <c r="AM1284" i="1"/>
  <c r="AN1284" i="1"/>
  <c r="AO1284" i="1"/>
  <c r="L1285" i="1"/>
  <c r="M1285" i="1"/>
  <c r="N1285" i="1"/>
  <c r="O1285" i="1"/>
  <c r="P1285" i="1"/>
  <c r="Q1285" i="1"/>
  <c r="R1285" i="1"/>
  <c r="S1285" i="1"/>
  <c r="T1285" i="1"/>
  <c r="U1285" i="1"/>
  <c r="V1285" i="1"/>
  <c r="W1285" i="1"/>
  <c r="X1285" i="1"/>
  <c r="Y1285" i="1"/>
  <c r="Z1285" i="1"/>
  <c r="AA1285" i="1"/>
  <c r="AB1285" i="1"/>
  <c r="AC1285" i="1"/>
  <c r="AD1285" i="1"/>
  <c r="AE1285" i="1"/>
  <c r="AF1285" i="1"/>
  <c r="AM1285" i="1"/>
  <c r="AN1285" i="1"/>
  <c r="AO1285" i="1"/>
  <c r="L1286" i="1"/>
  <c r="M1286" i="1"/>
  <c r="N1286" i="1"/>
  <c r="O1286" i="1"/>
  <c r="P1286" i="1"/>
  <c r="Q1286" i="1"/>
  <c r="R1286" i="1"/>
  <c r="S1286" i="1"/>
  <c r="T1286" i="1"/>
  <c r="U1286" i="1"/>
  <c r="V1286" i="1"/>
  <c r="W1286" i="1"/>
  <c r="X1286" i="1"/>
  <c r="Y1286" i="1"/>
  <c r="Z1286" i="1"/>
  <c r="AA1286" i="1"/>
  <c r="AB1286" i="1"/>
  <c r="AC1286" i="1"/>
  <c r="AD1286" i="1"/>
  <c r="AE1286" i="1"/>
  <c r="AF1286" i="1"/>
  <c r="AM1286" i="1"/>
  <c r="AN1286" i="1"/>
  <c r="AO1286" i="1"/>
  <c r="L1287" i="1"/>
  <c r="M1287" i="1"/>
  <c r="N1287" i="1"/>
  <c r="O1287" i="1"/>
  <c r="P1287" i="1"/>
  <c r="Q1287" i="1"/>
  <c r="R1287" i="1"/>
  <c r="S1287" i="1"/>
  <c r="T1287" i="1"/>
  <c r="U1287" i="1"/>
  <c r="V1287" i="1"/>
  <c r="W1287" i="1"/>
  <c r="X1287" i="1"/>
  <c r="Y1287" i="1"/>
  <c r="Z1287" i="1"/>
  <c r="AA1287" i="1"/>
  <c r="AB1287" i="1"/>
  <c r="AC1287" i="1"/>
  <c r="AD1287" i="1"/>
  <c r="AE1287" i="1"/>
  <c r="AF1287" i="1"/>
  <c r="AM1287" i="1"/>
  <c r="AN1287" i="1"/>
  <c r="AO1287" i="1"/>
  <c r="L1288" i="1"/>
  <c r="M1288" i="1"/>
  <c r="N1288" i="1"/>
  <c r="O1288" i="1"/>
  <c r="P1288" i="1"/>
  <c r="Q1288" i="1"/>
  <c r="R1288" i="1"/>
  <c r="S1288" i="1"/>
  <c r="T1288" i="1"/>
  <c r="U1288" i="1"/>
  <c r="V1288" i="1"/>
  <c r="W1288" i="1"/>
  <c r="X1288" i="1"/>
  <c r="Y1288" i="1"/>
  <c r="Z1288" i="1"/>
  <c r="AA1288" i="1"/>
  <c r="AB1288" i="1"/>
  <c r="AC1288" i="1"/>
  <c r="AD1288" i="1"/>
  <c r="AE1288" i="1"/>
  <c r="AF1288" i="1"/>
  <c r="AM1288" i="1"/>
  <c r="AN1288" i="1"/>
  <c r="AO1288" i="1"/>
  <c r="L1289" i="1"/>
  <c r="M1289" i="1"/>
  <c r="N1289" i="1"/>
  <c r="O1289" i="1"/>
  <c r="P1289" i="1"/>
  <c r="Q1289" i="1"/>
  <c r="R1289" i="1"/>
  <c r="S1289" i="1"/>
  <c r="T1289" i="1"/>
  <c r="U1289" i="1"/>
  <c r="V1289" i="1"/>
  <c r="W1289" i="1"/>
  <c r="X1289" i="1"/>
  <c r="Y1289" i="1"/>
  <c r="Z1289" i="1"/>
  <c r="AA1289" i="1"/>
  <c r="AB1289" i="1"/>
  <c r="AC1289" i="1"/>
  <c r="AD1289" i="1"/>
  <c r="AE1289" i="1"/>
  <c r="AF1289" i="1"/>
  <c r="AM1289" i="1"/>
  <c r="AN1289" i="1"/>
  <c r="AO1289" i="1"/>
  <c r="L1290" i="1"/>
  <c r="M1290" i="1"/>
  <c r="N1290" i="1"/>
  <c r="O1290" i="1"/>
  <c r="P1290" i="1"/>
  <c r="Q1290" i="1"/>
  <c r="R1290" i="1"/>
  <c r="S1290" i="1"/>
  <c r="T1290" i="1"/>
  <c r="U1290" i="1"/>
  <c r="V1290" i="1"/>
  <c r="W1290" i="1"/>
  <c r="X1290" i="1"/>
  <c r="Y1290" i="1"/>
  <c r="Z1290" i="1"/>
  <c r="AA1290" i="1"/>
  <c r="AB1290" i="1"/>
  <c r="AC1290" i="1"/>
  <c r="AD1290" i="1"/>
  <c r="AE1290" i="1"/>
  <c r="AF1290" i="1"/>
  <c r="AM1290" i="1"/>
  <c r="AN1290" i="1"/>
  <c r="AO1290" i="1"/>
  <c r="L1291" i="1"/>
  <c r="M1291" i="1"/>
  <c r="N1291" i="1"/>
  <c r="O1291" i="1"/>
  <c r="P1291" i="1"/>
  <c r="Q1291" i="1"/>
  <c r="R1291" i="1"/>
  <c r="S1291" i="1"/>
  <c r="T1291" i="1"/>
  <c r="U1291" i="1"/>
  <c r="V1291" i="1"/>
  <c r="W1291" i="1"/>
  <c r="X1291" i="1"/>
  <c r="Y1291" i="1"/>
  <c r="Z1291" i="1"/>
  <c r="AA1291" i="1"/>
  <c r="AB1291" i="1"/>
  <c r="AC1291" i="1"/>
  <c r="AD1291" i="1"/>
  <c r="AE1291" i="1"/>
  <c r="AF1291" i="1"/>
  <c r="AM1291" i="1"/>
  <c r="AN1291" i="1"/>
  <c r="AO1291" i="1"/>
  <c r="L1292" i="1"/>
  <c r="M1292" i="1"/>
  <c r="N1292" i="1"/>
  <c r="O1292" i="1"/>
  <c r="P1292" i="1"/>
  <c r="Q1292" i="1"/>
  <c r="R1292" i="1"/>
  <c r="S1292" i="1"/>
  <c r="T1292" i="1"/>
  <c r="U1292" i="1"/>
  <c r="V1292" i="1"/>
  <c r="W1292" i="1"/>
  <c r="X1292" i="1"/>
  <c r="Y1292" i="1"/>
  <c r="Z1292" i="1"/>
  <c r="AA1292" i="1"/>
  <c r="AB1292" i="1"/>
  <c r="AC1292" i="1"/>
  <c r="AD1292" i="1"/>
  <c r="AE1292" i="1"/>
  <c r="AF1292" i="1"/>
  <c r="AM1292" i="1"/>
  <c r="AN1292" i="1"/>
  <c r="AO1292" i="1"/>
  <c r="L1293" i="1"/>
  <c r="M1293" i="1"/>
  <c r="N1293" i="1"/>
  <c r="O1293" i="1"/>
  <c r="P1293" i="1"/>
  <c r="Q1293" i="1"/>
  <c r="R1293" i="1"/>
  <c r="S1293" i="1"/>
  <c r="T1293" i="1"/>
  <c r="U1293" i="1"/>
  <c r="V1293" i="1"/>
  <c r="W1293" i="1"/>
  <c r="X1293" i="1"/>
  <c r="Y1293" i="1"/>
  <c r="Z1293" i="1"/>
  <c r="AA1293" i="1"/>
  <c r="AB1293" i="1"/>
  <c r="AC1293" i="1"/>
  <c r="AD1293" i="1"/>
  <c r="AE1293" i="1"/>
  <c r="AF1293" i="1"/>
  <c r="AM1293" i="1"/>
  <c r="AN1293" i="1"/>
  <c r="AO1293" i="1"/>
  <c r="L1294" i="1"/>
  <c r="M1294" i="1"/>
  <c r="N1294" i="1"/>
  <c r="O1294" i="1"/>
  <c r="P1294" i="1"/>
  <c r="Q1294" i="1"/>
  <c r="R1294" i="1"/>
  <c r="S1294" i="1"/>
  <c r="T1294" i="1"/>
  <c r="U1294" i="1"/>
  <c r="V1294" i="1"/>
  <c r="W1294" i="1"/>
  <c r="X1294" i="1"/>
  <c r="Y1294" i="1"/>
  <c r="Z1294" i="1"/>
  <c r="AA1294" i="1"/>
  <c r="AB1294" i="1"/>
  <c r="AC1294" i="1"/>
  <c r="AD1294" i="1"/>
  <c r="AE1294" i="1"/>
  <c r="AF1294" i="1"/>
  <c r="AM1294" i="1"/>
  <c r="AN1294" i="1"/>
  <c r="AO1294" i="1"/>
  <c r="L1295" i="1"/>
  <c r="M1295" i="1"/>
  <c r="N1295" i="1"/>
  <c r="O1295" i="1"/>
  <c r="P1295" i="1"/>
  <c r="Q1295" i="1"/>
  <c r="R1295" i="1"/>
  <c r="S1295" i="1"/>
  <c r="T1295" i="1"/>
  <c r="U1295" i="1"/>
  <c r="V1295" i="1"/>
  <c r="W1295" i="1"/>
  <c r="X1295" i="1"/>
  <c r="Y1295" i="1"/>
  <c r="Z1295" i="1"/>
  <c r="AA1295" i="1"/>
  <c r="AB1295" i="1"/>
  <c r="AC1295" i="1"/>
  <c r="AD1295" i="1"/>
  <c r="AE1295" i="1"/>
  <c r="AF1295" i="1"/>
  <c r="AM1295" i="1"/>
  <c r="AN1295" i="1"/>
  <c r="AO1295" i="1"/>
  <c r="L1296" i="1"/>
  <c r="M1296" i="1"/>
  <c r="N1296" i="1"/>
  <c r="O1296" i="1"/>
  <c r="P1296" i="1"/>
  <c r="Q1296" i="1"/>
  <c r="R1296" i="1"/>
  <c r="S1296" i="1"/>
  <c r="T1296" i="1"/>
  <c r="U1296" i="1"/>
  <c r="V1296" i="1"/>
  <c r="W1296" i="1"/>
  <c r="X1296" i="1"/>
  <c r="Y1296" i="1"/>
  <c r="Z1296" i="1"/>
  <c r="AA1296" i="1"/>
  <c r="AB1296" i="1"/>
  <c r="AC1296" i="1"/>
  <c r="AD1296" i="1"/>
  <c r="AE1296" i="1"/>
  <c r="AF1296" i="1"/>
  <c r="AM1296" i="1"/>
  <c r="AN1296" i="1"/>
  <c r="AO1296" i="1"/>
  <c r="L1297" i="1"/>
  <c r="M1297" i="1"/>
  <c r="N1297" i="1"/>
  <c r="O1297" i="1"/>
  <c r="P1297" i="1"/>
  <c r="Q1297" i="1"/>
  <c r="R1297" i="1"/>
  <c r="S1297" i="1"/>
  <c r="T1297" i="1"/>
  <c r="U1297" i="1"/>
  <c r="V1297" i="1"/>
  <c r="W1297" i="1"/>
  <c r="X1297" i="1"/>
  <c r="Y1297" i="1"/>
  <c r="Z1297" i="1"/>
  <c r="AA1297" i="1"/>
  <c r="AB1297" i="1"/>
  <c r="AC1297" i="1"/>
  <c r="AD1297" i="1"/>
  <c r="AE1297" i="1"/>
  <c r="AF1297" i="1"/>
  <c r="AM1297" i="1"/>
  <c r="AN1297" i="1"/>
  <c r="AO1297" i="1"/>
  <c r="L1298" i="1"/>
  <c r="M1298" i="1"/>
  <c r="N1298" i="1"/>
  <c r="O1298" i="1"/>
  <c r="P1298" i="1"/>
  <c r="Q1298" i="1"/>
  <c r="R1298" i="1"/>
  <c r="S1298" i="1"/>
  <c r="T1298" i="1"/>
  <c r="U1298" i="1"/>
  <c r="V1298" i="1"/>
  <c r="W1298" i="1"/>
  <c r="X1298" i="1"/>
  <c r="Y1298" i="1"/>
  <c r="Z1298" i="1"/>
  <c r="AA1298" i="1"/>
  <c r="AB1298" i="1"/>
  <c r="AC1298" i="1"/>
  <c r="AD1298" i="1"/>
  <c r="AE1298" i="1"/>
  <c r="AF1298" i="1"/>
  <c r="AM1298" i="1"/>
  <c r="AN1298" i="1"/>
  <c r="AO1298" i="1"/>
  <c r="L1299" i="1"/>
  <c r="M1299" i="1"/>
  <c r="N1299" i="1"/>
  <c r="O1299" i="1"/>
  <c r="P1299" i="1"/>
  <c r="Q1299" i="1"/>
  <c r="R1299" i="1"/>
  <c r="S1299" i="1"/>
  <c r="T1299" i="1"/>
  <c r="U1299" i="1"/>
  <c r="V1299" i="1"/>
  <c r="W1299" i="1"/>
  <c r="X1299" i="1"/>
  <c r="Y1299" i="1"/>
  <c r="Z1299" i="1"/>
  <c r="AA1299" i="1"/>
  <c r="AB1299" i="1"/>
  <c r="AC1299" i="1"/>
  <c r="AD1299" i="1"/>
  <c r="AE1299" i="1"/>
  <c r="AF1299" i="1"/>
  <c r="AM1299" i="1"/>
  <c r="AN1299" i="1"/>
  <c r="AO1299" i="1"/>
  <c r="L1300" i="1"/>
  <c r="M1300" i="1"/>
  <c r="N1300" i="1"/>
  <c r="O1300" i="1"/>
  <c r="P1300" i="1"/>
  <c r="Q1300" i="1"/>
  <c r="R1300" i="1"/>
  <c r="S1300" i="1"/>
  <c r="T1300" i="1"/>
  <c r="U1300" i="1"/>
  <c r="V1300" i="1"/>
  <c r="W1300" i="1"/>
  <c r="X1300" i="1"/>
  <c r="Y1300" i="1"/>
  <c r="Z1300" i="1"/>
  <c r="AA1300" i="1"/>
  <c r="AB1300" i="1"/>
  <c r="AC1300" i="1"/>
  <c r="AD1300" i="1"/>
  <c r="AE1300" i="1"/>
  <c r="AF1300" i="1"/>
  <c r="AM1300" i="1"/>
  <c r="AN1300" i="1"/>
  <c r="AO1300" i="1"/>
  <c r="L1301" i="1"/>
  <c r="M1301" i="1"/>
  <c r="N1301" i="1"/>
  <c r="O1301" i="1"/>
  <c r="P1301" i="1"/>
  <c r="Q1301" i="1"/>
  <c r="R1301" i="1"/>
  <c r="S1301" i="1"/>
  <c r="T1301" i="1"/>
  <c r="U1301" i="1"/>
  <c r="V1301" i="1"/>
  <c r="W1301" i="1"/>
  <c r="X1301" i="1"/>
  <c r="Y1301" i="1"/>
  <c r="Z1301" i="1"/>
  <c r="AA1301" i="1"/>
  <c r="AB1301" i="1"/>
  <c r="AC1301" i="1"/>
  <c r="AD1301" i="1"/>
  <c r="AE1301" i="1"/>
  <c r="AF1301" i="1"/>
  <c r="AM1301" i="1"/>
  <c r="AN1301" i="1"/>
  <c r="AO1301" i="1"/>
  <c r="L1302" i="1"/>
  <c r="M1302" i="1"/>
  <c r="N1302" i="1"/>
  <c r="O1302" i="1"/>
  <c r="P1302" i="1"/>
  <c r="Q1302" i="1"/>
  <c r="R1302" i="1"/>
  <c r="S1302" i="1"/>
  <c r="T1302" i="1"/>
  <c r="U1302" i="1"/>
  <c r="V1302" i="1"/>
  <c r="W1302" i="1"/>
  <c r="X1302" i="1"/>
  <c r="Y1302" i="1"/>
  <c r="Z1302" i="1"/>
  <c r="AA1302" i="1"/>
  <c r="AB1302" i="1"/>
  <c r="AC1302" i="1"/>
  <c r="AD1302" i="1"/>
  <c r="AE1302" i="1"/>
  <c r="AF1302" i="1"/>
  <c r="AM1302" i="1"/>
  <c r="AN1302" i="1"/>
  <c r="AO1302" i="1"/>
  <c r="L1303" i="1"/>
  <c r="M1303" i="1"/>
  <c r="N1303" i="1"/>
  <c r="O1303" i="1"/>
  <c r="P1303" i="1"/>
  <c r="Q1303" i="1"/>
  <c r="R1303" i="1"/>
  <c r="S1303" i="1"/>
  <c r="T1303" i="1"/>
  <c r="U1303" i="1"/>
  <c r="V1303" i="1"/>
  <c r="W1303" i="1"/>
  <c r="X1303" i="1"/>
  <c r="Y1303" i="1"/>
  <c r="Z1303" i="1"/>
  <c r="AA1303" i="1"/>
  <c r="AB1303" i="1"/>
  <c r="AC1303" i="1"/>
  <c r="AD1303" i="1"/>
  <c r="AE1303" i="1"/>
  <c r="AF1303" i="1"/>
  <c r="AM1303" i="1"/>
  <c r="AN1303" i="1"/>
  <c r="AO1303" i="1"/>
  <c r="L1304" i="1"/>
  <c r="M1304" i="1"/>
  <c r="N1304" i="1"/>
  <c r="O1304" i="1"/>
  <c r="P1304" i="1"/>
  <c r="Q1304" i="1"/>
  <c r="R1304" i="1"/>
  <c r="S1304" i="1"/>
  <c r="T1304" i="1"/>
  <c r="U1304" i="1"/>
  <c r="V1304" i="1"/>
  <c r="W1304" i="1"/>
  <c r="X1304" i="1"/>
  <c r="Y1304" i="1"/>
  <c r="Z1304" i="1"/>
  <c r="AA1304" i="1"/>
  <c r="AB1304" i="1"/>
  <c r="AC1304" i="1"/>
  <c r="AD1304" i="1"/>
  <c r="AE1304" i="1"/>
  <c r="AF1304" i="1"/>
  <c r="AM1304" i="1"/>
  <c r="AN1304" i="1"/>
  <c r="AO1304" i="1"/>
  <c r="L1305" i="1"/>
  <c r="M1305" i="1"/>
  <c r="N1305" i="1"/>
  <c r="O1305" i="1"/>
  <c r="P1305" i="1"/>
  <c r="Q1305" i="1"/>
  <c r="R1305" i="1"/>
  <c r="S1305" i="1"/>
  <c r="T1305" i="1"/>
  <c r="U1305" i="1"/>
  <c r="V1305" i="1"/>
  <c r="W1305" i="1"/>
  <c r="X1305" i="1"/>
  <c r="Y1305" i="1"/>
  <c r="Z1305" i="1"/>
  <c r="AA1305" i="1"/>
  <c r="AB1305" i="1"/>
  <c r="AC1305" i="1"/>
  <c r="AD1305" i="1"/>
  <c r="AE1305" i="1"/>
  <c r="AF1305" i="1"/>
  <c r="AM1305" i="1"/>
  <c r="AN1305" i="1"/>
  <c r="AO1305" i="1"/>
  <c r="L1306" i="1"/>
  <c r="M1306" i="1"/>
  <c r="N1306" i="1"/>
  <c r="O1306" i="1"/>
  <c r="P1306" i="1"/>
  <c r="Q1306" i="1"/>
  <c r="R1306" i="1"/>
  <c r="S1306" i="1"/>
  <c r="T1306" i="1"/>
  <c r="U1306" i="1"/>
  <c r="V1306" i="1"/>
  <c r="W1306" i="1"/>
  <c r="X1306" i="1"/>
  <c r="Y1306" i="1"/>
  <c r="Z1306" i="1"/>
  <c r="AA1306" i="1"/>
  <c r="AB1306" i="1"/>
  <c r="AC1306" i="1"/>
  <c r="AD1306" i="1"/>
  <c r="AE1306" i="1"/>
  <c r="AF1306" i="1"/>
  <c r="AM1306" i="1"/>
  <c r="AN1306" i="1"/>
  <c r="AO1306" i="1"/>
  <c r="L1307" i="1"/>
  <c r="M1307" i="1"/>
  <c r="N1307" i="1"/>
  <c r="O1307" i="1"/>
  <c r="P1307" i="1"/>
  <c r="Q1307" i="1"/>
  <c r="R1307" i="1"/>
  <c r="S1307" i="1"/>
  <c r="T1307" i="1"/>
  <c r="U1307" i="1"/>
  <c r="V1307" i="1"/>
  <c r="W1307" i="1"/>
  <c r="X1307" i="1"/>
  <c r="Y1307" i="1"/>
  <c r="Z1307" i="1"/>
  <c r="AA1307" i="1"/>
  <c r="AB1307" i="1"/>
  <c r="AC1307" i="1"/>
  <c r="AD1307" i="1"/>
  <c r="AE1307" i="1"/>
  <c r="AF1307" i="1"/>
  <c r="AM1307" i="1"/>
  <c r="AN1307" i="1"/>
  <c r="AO1307" i="1"/>
  <c r="L1308" i="1"/>
  <c r="M1308" i="1"/>
  <c r="N1308" i="1"/>
  <c r="O1308" i="1"/>
  <c r="P1308" i="1"/>
  <c r="Q1308" i="1"/>
  <c r="R1308" i="1"/>
  <c r="S1308" i="1"/>
  <c r="T1308" i="1"/>
  <c r="U1308" i="1"/>
  <c r="V1308" i="1"/>
  <c r="W1308" i="1"/>
  <c r="X1308" i="1"/>
  <c r="Y1308" i="1"/>
  <c r="Z1308" i="1"/>
  <c r="AA1308" i="1"/>
  <c r="AB1308" i="1"/>
  <c r="AC1308" i="1"/>
  <c r="AD1308" i="1"/>
  <c r="AE1308" i="1"/>
  <c r="AF1308" i="1"/>
  <c r="AM1308" i="1"/>
  <c r="AN1308" i="1"/>
  <c r="AO1308" i="1"/>
  <c r="L1309" i="1"/>
  <c r="M1309" i="1"/>
  <c r="N1309" i="1"/>
  <c r="O1309" i="1"/>
  <c r="P1309" i="1"/>
  <c r="Q1309" i="1"/>
  <c r="R1309" i="1"/>
  <c r="S1309" i="1"/>
  <c r="T1309" i="1"/>
  <c r="U1309" i="1"/>
  <c r="V1309" i="1"/>
  <c r="W1309" i="1"/>
  <c r="X1309" i="1"/>
  <c r="Y1309" i="1"/>
  <c r="Z1309" i="1"/>
  <c r="AA1309" i="1"/>
  <c r="AB1309" i="1"/>
  <c r="AC1309" i="1"/>
  <c r="AD1309" i="1"/>
  <c r="AE1309" i="1"/>
  <c r="AF1309" i="1"/>
  <c r="AM1309" i="1"/>
  <c r="AN1309" i="1"/>
  <c r="AO1309" i="1"/>
  <c r="L1310" i="1"/>
  <c r="M1310" i="1"/>
  <c r="N1310" i="1"/>
  <c r="O1310" i="1"/>
  <c r="P1310" i="1"/>
  <c r="Q1310" i="1"/>
  <c r="R1310" i="1"/>
  <c r="S1310" i="1"/>
  <c r="T1310" i="1"/>
  <c r="U1310" i="1"/>
  <c r="V1310" i="1"/>
  <c r="W1310" i="1"/>
  <c r="X1310" i="1"/>
  <c r="Y1310" i="1"/>
  <c r="Z1310" i="1"/>
  <c r="AA1310" i="1"/>
  <c r="AB1310" i="1"/>
  <c r="AC1310" i="1"/>
  <c r="AD1310" i="1"/>
  <c r="AE1310" i="1"/>
  <c r="AF1310" i="1"/>
  <c r="AM1310" i="1"/>
  <c r="AN1310" i="1"/>
  <c r="AO1310" i="1"/>
  <c r="L1311" i="1"/>
  <c r="M1311" i="1"/>
  <c r="N1311" i="1"/>
  <c r="O1311" i="1"/>
  <c r="P1311" i="1"/>
  <c r="Q1311" i="1"/>
  <c r="R1311" i="1"/>
  <c r="S1311" i="1"/>
  <c r="T1311" i="1"/>
  <c r="U1311" i="1"/>
  <c r="V1311" i="1"/>
  <c r="W1311" i="1"/>
  <c r="X1311" i="1"/>
  <c r="Y1311" i="1"/>
  <c r="Z1311" i="1"/>
  <c r="AA1311" i="1"/>
  <c r="AB1311" i="1"/>
  <c r="AC1311" i="1"/>
  <c r="AD1311" i="1"/>
  <c r="AE1311" i="1"/>
  <c r="AF1311" i="1"/>
  <c r="AM1311" i="1"/>
  <c r="AN1311" i="1"/>
  <c r="AO1311" i="1"/>
  <c r="L1312" i="1"/>
  <c r="M1312" i="1"/>
  <c r="N1312" i="1"/>
  <c r="O1312" i="1"/>
  <c r="P1312" i="1"/>
  <c r="Q1312" i="1"/>
  <c r="R1312" i="1"/>
  <c r="S1312" i="1"/>
  <c r="T1312" i="1"/>
  <c r="U1312" i="1"/>
  <c r="V1312" i="1"/>
  <c r="W1312" i="1"/>
  <c r="X1312" i="1"/>
  <c r="Y1312" i="1"/>
  <c r="Z1312" i="1"/>
  <c r="AA1312" i="1"/>
  <c r="AB1312" i="1"/>
  <c r="AC1312" i="1"/>
  <c r="AD1312" i="1"/>
  <c r="AE1312" i="1"/>
  <c r="AF1312" i="1"/>
  <c r="AM1312" i="1"/>
  <c r="AN1312" i="1"/>
  <c r="AO1312" i="1"/>
  <c r="L1313" i="1"/>
  <c r="M1313" i="1"/>
  <c r="N1313" i="1"/>
  <c r="O1313" i="1"/>
  <c r="P1313" i="1"/>
  <c r="Q1313" i="1"/>
  <c r="R1313" i="1"/>
  <c r="S1313" i="1"/>
  <c r="T1313" i="1"/>
  <c r="U1313" i="1"/>
  <c r="V1313" i="1"/>
  <c r="W1313" i="1"/>
  <c r="X1313" i="1"/>
  <c r="Y1313" i="1"/>
  <c r="Z1313" i="1"/>
  <c r="AA1313" i="1"/>
  <c r="AB1313" i="1"/>
  <c r="AC1313" i="1"/>
  <c r="AD1313" i="1"/>
  <c r="AE1313" i="1"/>
  <c r="AF1313" i="1"/>
  <c r="AM1313" i="1"/>
  <c r="AN1313" i="1"/>
  <c r="AO1313" i="1"/>
  <c r="L1314" i="1"/>
  <c r="M1314" i="1"/>
  <c r="N1314" i="1"/>
  <c r="O1314" i="1"/>
  <c r="P1314" i="1"/>
  <c r="Q1314" i="1"/>
  <c r="R1314" i="1"/>
  <c r="S1314" i="1"/>
  <c r="T1314" i="1"/>
  <c r="U1314" i="1"/>
  <c r="V1314" i="1"/>
  <c r="W1314" i="1"/>
  <c r="X1314" i="1"/>
  <c r="Y1314" i="1"/>
  <c r="Z1314" i="1"/>
  <c r="AA1314" i="1"/>
  <c r="AB1314" i="1"/>
  <c r="AC1314" i="1"/>
  <c r="AD1314" i="1"/>
  <c r="AE1314" i="1"/>
  <c r="AF1314" i="1"/>
  <c r="AM1314" i="1"/>
  <c r="AN1314" i="1"/>
  <c r="AO1314" i="1"/>
  <c r="L1315" i="1"/>
  <c r="M1315" i="1"/>
  <c r="N1315" i="1"/>
  <c r="O1315" i="1"/>
  <c r="P1315" i="1"/>
  <c r="Q1315" i="1"/>
  <c r="R1315" i="1"/>
  <c r="S1315" i="1"/>
  <c r="T1315" i="1"/>
  <c r="U1315" i="1"/>
  <c r="V1315" i="1"/>
  <c r="W1315" i="1"/>
  <c r="X1315" i="1"/>
  <c r="Y1315" i="1"/>
  <c r="Z1315" i="1"/>
  <c r="AA1315" i="1"/>
  <c r="AB1315" i="1"/>
  <c r="AC1315" i="1"/>
  <c r="AD1315" i="1"/>
  <c r="AE1315" i="1"/>
  <c r="AF1315" i="1"/>
  <c r="AM1315" i="1"/>
  <c r="AN1315" i="1"/>
  <c r="AO1315" i="1"/>
  <c r="L1316" i="1"/>
  <c r="M1316" i="1"/>
  <c r="N1316" i="1"/>
  <c r="O1316" i="1"/>
  <c r="P1316" i="1"/>
  <c r="Q1316" i="1"/>
  <c r="R1316" i="1"/>
  <c r="S1316" i="1"/>
  <c r="T1316" i="1"/>
  <c r="U1316" i="1"/>
  <c r="V1316" i="1"/>
  <c r="W1316" i="1"/>
  <c r="X1316" i="1"/>
  <c r="Y1316" i="1"/>
  <c r="Z1316" i="1"/>
  <c r="AA1316" i="1"/>
  <c r="AB1316" i="1"/>
  <c r="AC1316" i="1"/>
  <c r="AD1316" i="1"/>
  <c r="AE1316" i="1"/>
  <c r="AF1316" i="1"/>
  <c r="AM1316" i="1"/>
  <c r="AN1316" i="1"/>
  <c r="AO1316" i="1"/>
  <c r="L1317" i="1"/>
  <c r="M1317" i="1"/>
  <c r="N1317" i="1"/>
  <c r="O1317" i="1"/>
  <c r="P1317" i="1"/>
  <c r="Q1317" i="1"/>
  <c r="R1317" i="1"/>
  <c r="S1317" i="1"/>
  <c r="T1317" i="1"/>
  <c r="U1317" i="1"/>
  <c r="V1317" i="1"/>
  <c r="W1317" i="1"/>
  <c r="X1317" i="1"/>
  <c r="Y1317" i="1"/>
  <c r="Z1317" i="1"/>
  <c r="AA1317" i="1"/>
  <c r="AB1317" i="1"/>
  <c r="AC1317" i="1"/>
  <c r="AD1317" i="1"/>
  <c r="AE1317" i="1"/>
  <c r="AF1317" i="1"/>
  <c r="AM1317" i="1"/>
  <c r="AN1317" i="1"/>
  <c r="AO1317" i="1"/>
  <c r="L1318" i="1"/>
  <c r="M1318" i="1"/>
  <c r="N1318" i="1"/>
  <c r="O1318" i="1"/>
  <c r="P1318" i="1"/>
  <c r="Q1318" i="1"/>
  <c r="R1318" i="1"/>
  <c r="S1318" i="1"/>
  <c r="T1318" i="1"/>
  <c r="U1318" i="1"/>
  <c r="V1318" i="1"/>
  <c r="W1318" i="1"/>
  <c r="X1318" i="1"/>
  <c r="Y1318" i="1"/>
  <c r="Z1318" i="1"/>
  <c r="AA1318" i="1"/>
  <c r="AB1318" i="1"/>
  <c r="AC1318" i="1"/>
  <c r="AD1318" i="1"/>
  <c r="AE1318" i="1"/>
  <c r="AF1318" i="1"/>
  <c r="AM1318" i="1"/>
  <c r="AN1318" i="1"/>
  <c r="AO1318" i="1"/>
  <c r="L1319" i="1"/>
  <c r="M1319" i="1"/>
  <c r="N1319" i="1"/>
  <c r="O1319" i="1"/>
  <c r="P1319" i="1"/>
  <c r="Q1319" i="1"/>
  <c r="R1319" i="1"/>
  <c r="S1319" i="1"/>
  <c r="T1319" i="1"/>
  <c r="U1319" i="1"/>
  <c r="V1319" i="1"/>
  <c r="W1319" i="1"/>
  <c r="X1319" i="1"/>
  <c r="Y1319" i="1"/>
  <c r="Z1319" i="1"/>
  <c r="AA1319" i="1"/>
  <c r="AB1319" i="1"/>
  <c r="AC1319" i="1"/>
  <c r="AD1319" i="1"/>
  <c r="AE1319" i="1"/>
  <c r="AF1319" i="1"/>
  <c r="AM1319" i="1"/>
  <c r="AN1319" i="1"/>
  <c r="AO1319" i="1"/>
  <c r="L1320" i="1"/>
  <c r="M1320" i="1"/>
  <c r="N1320" i="1"/>
  <c r="O1320" i="1"/>
  <c r="P1320" i="1"/>
  <c r="Q1320" i="1"/>
  <c r="R1320" i="1"/>
  <c r="S1320" i="1"/>
  <c r="T1320" i="1"/>
  <c r="U1320" i="1"/>
  <c r="V1320" i="1"/>
  <c r="W1320" i="1"/>
  <c r="X1320" i="1"/>
  <c r="Y1320" i="1"/>
  <c r="Z1320" i="1"/>
  <c r="AA1320" i="1"/>
  <c r="AB1320" i="1"/>
  <c r="AC1320" i="1"/>
  <c r="AD1320" i="1"/>
  <c r="AE1320" i="1"/>
  <c r="AF1320" i="1"/>
  <c r="AM1320" i="1"/>
  <c r="AN1320" i="1"/>
  <c r="AO1320" i="1"/>
  <c r="L1321" i="1"/>
  <c r="M1321" i="1"/>
  <c r="N1321" i="1"/>
  <c r="O1321" i="1"/>
  <c r="P1321" i="1"/>
  <c r="Q1321" i="1"/>
  <c r="R1321" i="1"/>
  <c r="S1321" i="1"/>
  <c r="T1321" i="1"/>
  <c r="U1321" i="1"/>
  <c r="V1321" i="1"/>
  <c r="W1321" i="1"/>
  <c r="X1321" i="1"/>
  <c r="Y1321" i="1"/>
  <c r="Z1321" i="1"/>
  <c r="AA1321" i="1"/>
  <c r="AB1321" i="1"/>
  <c r="AC1321" i="1"/>
  <c r="AD1321" i="1"/>
  <c r="AE1321" i="1"/>
  <c r="AF1321" i="1"/>
  <c r="AM1321" i="1"/>
  <c r="AN1321" i="1"/>
  <c r="AO1321" i="1"/>
  <c r="L1322" i="1"/>
  <c r="M1322" i="1"/>
  <c r="N1322" i="1"/>
  <c r="O1322" i="1"/>
  <c r="P1322" i="1"/>
  <c r="Q1322" i="1"/>
  <c r="R1322" i="1"/>
  <c r="S1322" i="1"/>
  <c r="T1322" i="1"/>
  <c r="U1322" i="1"/>
  <c r="V1322" i="1"/>
  <c r="W1322" i="1"/>
  <c r="X1322" i="1"/>
  <c r="Y1322" i="1"/>
  <c r="Z1322" i="1"/>
  <c r="AA1322" i="1"/>
  <c r="AB1322" i="1"/>
  <c r="AC1322" i="1"/>
  <c r="AD1322" i="1"/>
  <c r="AE1322" i="1"/>
  <c r="AF1322" i="1"/>
  <c r="AM1322" i="1"/>
  <c r="AN1322" i="1"/>
  <c r="AO1322" i="1"/>
  <c r="L1323" i="1"/>
  <c r="M1323" i="1"/>
  <c r="N1323" i="1"/>
  <c r="O1323" i="1"/>
  <c r="P1323" i="1"/>
  <c r="Q1323" i="1"/>
  <c r="R1323" i="1"/>
  <c r="S1323" i="1"/>
  <c r="T1323" i="1"/>
  <c r="U1323" i="1"/>
  <c r="V1323" i="1"/>
  <c r="W1323" i="1"/>
  <c r="X1323" i="1"/>
  <c r="Y1323" i="1"/>
  <c r="Z1323" i="1"/>
  <c r="AA1323" i="1"/>
  <c r="AB1323" i="1"/>
  <c r="AC1323" i="1"/>
  <c r="AD1323" i="1"/>
  <c r="AE1323" i="1"/>
  <c r="AF1323" i="1"/>
  <c r="AM1323" i="1"/>
  <c r="AN1323" i="1"/>
  <c r="AO1323" i="1"/>
  <c r="L1324" i="1"/>
  <c r="M1324" i="1"/>
  <c r="N1324" i="1"/>
  <c r="O1324" i="1"/>
  <c r="P1324" i="1"/>
  <c r="Q1324" i="1"/>
  <c r="R1324" i="1"/>
  <c r="S1324" i="1"/>
  <c r="T1324" i="1"/>
  <c r="U1324" i="1"/>
  <c r="V1324" i="1"/>
  <c r="W1324" i="1"/>
  <c r="X1324" i="1"/>
  <c r="Y1324" i="1"/>
  <c r="Z1324" i="1"/>
  <c r="AA1324" i="1"/>
  <c r="AB1324" i="1"/>
  <c r="AC1324" i="1"/>
  <c r="AD1324" i="1"/>
  <c r="AE1324" i="1"/>
  <c r="AF1324" i="1"/>
  <c r="AM1324" i="1"/>
  <c r="AN1324" i="1"/>
  <c r="AO1324" i="1"/>
  <c r="L1325" i="1"/>
  <c r="M1325" i="1"/>
  <c r="N1325" i="1"/>
  <c r="O1325" i="1"/>
  <c r="P1325" i="1"/>
  <c r="Q1325" i="1"/>
  <c r="R1325" i="1"/>
  <c r="S1325" i="1"/>
  <c r="T1325" i="1"/>
  <c r="U1325" i="1"/>
  <c r="V1325" i="1"/>
  <c r="W1325" i="1"/>
  <c r="X1325" i="1"/>
  <c r="Y1325" i="1"/>
  <c r="Z1325" i="1"/>
  <c r="AA1325" i="1"/>
  <c r="AB1325" i="1"/>
  <c r="AC1325" i="1"/>
  <c r="AD1325" i="1"/>
  <c r="AE1325" i="1"/>
  <c r="AF1325" i="1"/>
  <c r="AM1325" i="1"/>
  <c r="AN1325" i="1"/>
  <c r="AO1325" i="1"/>
  <c r="L1326" i="1"/>
  <c r="M1326" i="1"/>
  <c r="N1326" i="1"/>
  <c r="O1326" i="1"/>
  <c r="P1326" i="1"/>
  <c r="Q1326" i="1"/>
  <c r="R1326" i="1"/>
  <c r="S1326" i="1"/>
  <c r="T1326" i="1"/>
  <c r="U1326" i="1"/>
  <c r="V1326" i="1"/>
  <c r="W1326" i="1"/>
  <c r="X1326" i="1"/>
  <c r="Y1326" i="1"/>
  <c r="Z1326" i="1"/>
  <c r="AA1326" i="1"/>
  <c r="AB1326" i="1"/>
  <c r="AC1326" i="1"/>
  <c r="AD1326" i="1"/>
  <c r="AE1326" i="1"/>
  <c r="AF1326" i="1"/>
  <c r="AM1326" i="1"/>
  <c r="AN1326" i="1"/>
  <c r="AO1326" i="1"/>
  <c r="L1327" i="1"/>
  <c r="M1327" i="1"/>
  <c r="N1327" i="1"/>
  <c r="O1327" i="1"/>
  <c r="P1327" i="1"/>
  <c r="Q1327" i="1"/>
  <c r="R1327" i="1"/>
  <c r="S1327" i="1"/>
  <c r="T1327" i="1"/>
  <c r="U1327" i="1"/>
  <c r="V1327" i="1"/>
  <c r="W1327" i="1"/>
  <c r="X1327" i="1"/>
  <c r="Y1327" i="1"/>
  <c r="Z1327" i="1"/>
  <c r="AA1327" i="1"/>
  <c r="AB1327" i="1"/>
  <c r="AC1327" i="1"/>
  <c r="AD1327" i="1"/>
  <c r="AE1327" i="1"/>
  <c r="AF1327" i="1"/>
  <c r="AM1327" i="1"/>
  <c r="AN1327" i="1"/>
  <c r="AO1327" i="1"/>
  <c r="L1328" i="1"/>
  <c r="M1328" i="1"/>
  <c r="N1328" i="1"/>
  <c r="O1328" i="1"/>
  <c r="P1328" i="1"/>
  <c r="Q1328" i="1"/>
  <c r="R1328" i="1"/>
  <c r="S1328" i="1"/>
  <c r="T1328" i="1"/>
  <c r="U1328" i="1"/>
  <c r="V1328" i="1"/>
  <c r="W1328" i="1"/>
  <c r="X1328" i="1"/>
  <c r="Y1328" i="1"/>
  <c r="Z1328" i="1"/>
  <c r="AA1328" i="1"/>
  <c r="AB1328" i="1"/>
  <c r="AC1328" i="1"/>
  <c r="AD1328" i="1"/>
  <c r="AE1328" i="1"/>
  <c r="AF1328" i="1"/>
  <c r="AM1328" i="1"/>
  <c r="AN1328" i="1"/>
  <c r="AO1328" i="1"/>
  <c r="L1329" i="1"/>
  <c r="M1329" i="1"/>
  <c r="N1329" i="1"/>
  <c r="O1329" i="1"/>
  <c r="P1329" i="1"/>
  <c r="Q1329" i="1"/>
  <c r="R1329" i="1"/>
  <c r="S1329" i="1"/>
  <c r="T1329" i="1"/>
  <c r="U1329" i="1"/>
  <c r="V1329" i="1"/>
  <c r="W1329" i="1"/>
  <c r="X1329" i="1"/>
  <c r="Y1329" i="1"/>
  <c r="Z1329" i="1"/>
  <c r="AA1329" i="1"/>
  <c r="AB1329" i="1"/>
  <c r="AC1329" i="1"/>
  <c r="AD1329" i="1"/>
  <c r="AE1329" i="1"/>
  <c r="AF1329" i="1"/>
  <c r="AM1329" i="1"/>
  <c r="AN1329" i="1"/>
  <c r="AO1329" i="1"/>
  <c r="L1330" i="1"/>
  <c r="M1330" i="1"/>
  <c r="N1330" i="1"/>
  <c r="O1330" i="1"/>
  <c r="P1330" i="1"/>
  <c r="Q1330" i="1"/>
  <c r="R1330" i="1"/>
  <c r="S1330" i="1"/>
  <c r="T1330" i="1"/>
  <c r="U1330" i="1"/>
  <c r="V1330" i="1"/>
  <c r="W1330" i="1"/>
  <c r="X1330" i="1"/>
  <c r="Y1330" i="1"/>
  <c r="Z1330" i="1"/>
  <c r="AA1330" i="1"/>
  <c r="AB1330" i="1"/>
  <c r="AC1330" i="1"/>
  <c r="AD1330" i="1"/>
  <c r="AE1330" i="1"/>
  <c r="AF1330" i="1"/>
  <c r="AM1330" i="1"/>
  <c r="AN1330" i="1"/>
  <c r="AO1330" i="1"/>
  <c r="L1331" i="1"/>
  <c r="M1331" i="1"/>
  <c r="N1331" i="1"/>
  <c r="O1331" i="1"/>
  <c r="P1331" i="1"/>
  <c r="Q1331" i="1"/>
  <c r="R1331" i="1"/>
  <c r="S1331" i="1"/>
  <c r="T1331" i="1"/>
  <c r="U1331" i="1"/>
  <c r="V1331" i="1"/>
  <c r="W1331" i="1"/>
  <c r="X1331" i="1"/>
  <c r="Y1331" i="1"/>
  <c r="Z1331" i="1"/>
  <c r="AA1331" i="1"/>
  <c r="AB1331" i="1"/>
  <c r="AC1331" i="1"/>
  <c r="AD1331" i="1"/>
  <c r="AE1331" i="1"/>
  <c r="AF1331" i="1"/>
  <c r="AM1331" i="1"/>
  <c r="AN1331" i="1"/>
  <c r="AO1331" i="1"/>
  <c r="L1332" i="1"/>
  <c r="M1332" i="1"/>
  <c r="N1332" i="1"/>
  <c r="O1332" i="1"/>
  <c r="P1332" i="1"/>
  <c r="Q1332" i="1"/>
  <c r="R1332" i="1"/>
  <c r="S1332" i="1"/>
  <c r="T1332" i="1"/>
  <c r="U1332" i="1"/>
  <c r="V1332" i="1"/>
  <c r="W1332" i="1"/>
  <c r="X1332" i="1"/>
  <c r="Y1332" i="1"/>
  <c r="Z1332" i="1"/>
  <c r="AA1332" i="1"/>
  <c r="AB1332" i="1"/>
  <c r="AC1332" i="1"/>
  <c r="AD1332" i="1"/>
  <c r="AE1332" i="1"/>
  <c r="AF1332" i="1"/>
  <c r="AM1332" i="1"/>
  <c r="AN1332" i="1"/>
  <c r="AO1332" i="1"/>
  <c r="L1333" i="1"/>
  <c r="M1333" i="1"/>
  <c r="N1333" i="1"/>
  <c r="O1333" i="1"/>
  <c r="P1333" i="1"/>
  <c r="Q1333" i="1"/>
  <c r="R1333" i="1"/>
  <c r="S1333" i="1"/>
  <c r="T1333" i="1"/>
  <c r="U1333" i="1"/>
  <c r="V1333" i="1"/>
  <c r="W1333" i="1"/>
  <c r="X1333" i="1"/>
  <c r="Y1333" i="1"/>
  <c r="Z1333" i="1"/>
  <c r="AA1333" i="1"/>
  <c r="AB1333" i="1"/>
  <c r="AC1333" i="1"/>
  <c r="AD1333" i="1"/>
  <c r="AE1333" i="1"/>
  <c r="AF1333" i="1"/>
  <c r="AM1333" i="1"/>
  <c r="AN1333" i="1"/>
  <c r="AO1333" i="1"/>
  <c r="L1334" i="1"/>
  <c r="M1334" i="1"/>
  <c r="N1334" i="1"/>
  <c r="O1334" i="1"/>
  <c r="P1334" i="1"/>
  <c r="Q1334" i="1"/>
  <c r="R1334" i="1"/>
  <c r="S1334" i="1"/>
  <c r="T1334" i="1"/>
  <c r="U1334" i="1"/>
  <c r="V1334" i="1"/>
  <c r="W1334" i="1"/>
  <c r="X1334" i="1"/>
  <c r="Y1334" i="1"/>
  <c r="Z1334" i="1"/>
  <c r="AA1334" i="1"/>
  <c r="AB1334" i="1"/>
  <c r="AC1334" i="1"/>
  <c r="AD1334" i="1"/>
  <c r="AE1334" i="1"/>
  <c r="AF1334" i="1"/>
  <c r="AM1334" i="1"/>
  <c r="AN1334" i="1"/>
  <c r="AO1334" i="1"/>
  <c r="L1335" i="1"/>
  <c r="M1335" i="1"/>
  <c r="N1335" i="1"/>
  <c r="O1335" i="1"/>
  <c r="P1335" i="1"/>
  <c r="Q1335" i="1"/>
  <c r="R1335" i="1"/>
  <c r="S1335" i="1"/>
  <c r="T1335" i="1"/>
  <c r="U1335" i="1"/>
  <c r="V1335" i="1"/>
  <c r="W1335" i="1"/>
  <c r="X1335" i="1"/>
  <c r="Y1335" i="1"/>
  <c r="Z1335" i="1"/>
  <c r="AA1335" i="1"/>
  <c r="AB1335" i="1"/>
  <c r="AC1335" i="1"/>
  <c r="AD1335" i="1"/>
  <c r="AE1335" i="1"/>
  <c r="AF1335" i="1"/>
  <c r="AM1335" i="1"/>
  <c r="AN1335" i="1"/>
  <c r="AO1335" i="1"/>
  <c r="L1336" i="1"/>
  <c r="M1336" i="1"/>
  <c r="N1336" i="1"/>
  <c r="O1336" i="1"/>
  <c r="P1336" i="1"/>
  <c r="Q1336" i="1"/>
  <c r="R1336" i="1"/>
  <c r="S1336" i="1"/>
  <c r="T1336" i="1"/>
  <c r="U1336" i="1"/>
  <c r="V1336" i="1"/>
  <c r="W1336" i="1"/>
  <c r="X1336" i="1"/>
  <c r="Y1336" i="1"/>
  <c r="Z1336" i="1"/>
  <c r="AA1336" i="1"/>
  <c r="AB1336" i="1"/>
  <c r="AC1336" i="1"/>
  <c r="AD1336" i="1"/>
  <c r="AE1336" i="1"/>
  <c r="AF1336" i="1"/>
  <c r="AM1336" i="1"/>
  <c r="AN1336" i="1"/>
  <c r="AO1336" i="1"/>
  <c r="L1337" i="1"/>
  <c r="M1337" i="1"/>
  <c r="N1337" i="1"/>
  <c r="O1337" i="1"/>
  <c r="P1337" i="1"/>
  <c r="Q1337" i="1"/>
  <c r="R1337" i="1"/>
  <c r="S1337" i="1"/>
  <c r="T1337" i="1"/>
  <c r="U1337" i="1"/>
  <c r="V1337" i="1"/>
  <c r="W1337" i="1"/>
  <c r="X1337" i="1"/>
  <c r="Y1337" i="1"/>
  <c r="Z1337" i="1"/>
  <c r="AA1337" i="1"/>
  <c r="AB1337" i="1"/>
  <c r="AC1337" i="1"/>
  <c r="AD1337" i="1"/>
  <c r="AE1337" i="1"/>
  <c r="AF1337" i="1"/>
  <c r="AM1337" i="1"/>
  <c r="AN1337" i="1"/>
  <c r="AO1337" i="1"/>
  <c r="L1338" i="1"/>
  <c r="M1338" i="1"/>
  <c r="N1338" i="1"/>
  <c r="O1338" i="1"/>
  <c r="P1338" i="1"/>
  <c r="Q1338" i="1"/>
  <c r="R1338" i="1"/>
  <c r="S1338" i="1"/>
  <c r="T1338" i="1"/>
  <c r="U1338" i="1"/>
  <c r="V1338" i="1"/>
  <c r="W1338" i="1"/>
  <c r="X1338" i="1"/>
  <c r="Y1338" i="1"/>
  <c r="Z1338" i="1"/>
  <c r="AA1338" i="1"/>
  <c r="AB1338" i="1"/>
  <c r="AC1338" i="1"/>
  <c r="AD1338" i="1"/>
  <c r="AE1338" i="1"/>
  <c r="AF1338" i="1"/>
  <c r="AM1338" i="1"/>
  <c r="AN1338" i="1"/>
  <c r="AO1338" i="1"/>
  <c r="L1339" i="1"/>
  <c r="M1339" i="1"/>
  <c r="N1339" i="1"/>
  <c r="O1339" i="1"/>
  <c r="P1339" i="1"/>
  <c r="Q1339" i="1"/>
  <c r="R1339" i="1"/>
  <c r="S1339" i="1"/>
  <c r="T1339" i="1"/>
  <c r="U1339" i="1"/>
  <c r="V1339" i="1"/>
  <c r="W1339" i="1"/>
  <c r="X1339" i="1"/>
  <c r="Y1339" i="1"/>
  <c r="Z1339" i="1"/>
  <c r="AA1339" i="1"/>
  <c r="AB1339" i="1"/>
  <c r="AC1339" i="1"/>
  <c r="AD1339" i="1"/>
  <c r="AE1339" i="1"/>
  <c r="AF1339" i="1"/>
  <c r="AM1339" i="1"/>
  <c r="AN1339" i="1"/>
  <c r="AO1339" i="1"/>
  <c r="L1340" i="1"/>
  <c r="M1340" i="1"/>
  <c r="N1340" i="1"/>
  <c r="O1340" i="1"/>
  <c r="P1340" i="1"/>
  <c r="Q1340" i="1"/>
  <c r="R1340" i="1"/>
  <c r="S1340" i="1"/>
  <c r="T1340" i="1"/>
  <c r="U1340" i="1"/>
  <c r="V1340" i="1"/>
  <c r="W1340" i="1"/>
  <c r="X1340" i="1"/>
  <c r="Y1340" i="1"/>
  <c r="Z1340" i="1"/>
  <c r="AA1340" i="1"/>
  <c r="AB1340" i="1"/>
  <c r="AC1340" i="1"/>
  <c r="AD1340" i="1"/>
  <c r="AE1340" i="1"/>
  <c r="AF1340" i="1"/>
  <c r="AM1340" i="1"/>
  <c r="AN1340" i="1"/>
  <c r="AO1340" i="1"/>
  <c r="L1341" i="1"/>
  <c r="M1341" i="1"/>
  <c r="N1341" i="1"/>
  <c r="O1341" i="1"/>
  <c r="P1341" i="1"/>
  <c r="Q1341" i="1"/>
  <c r="R1341" i="1"/>
  <c r="S1341" i="1"/>
  <c r="T1341" i="1"/>
  <c r="U1341" i="1"/>
  <c r="V1341" i="1"/>
  <c r="W1341" i="1"/>
  <c r="X1341" i="1"/>
  <c r="Y1341" i="1"/>
  <c r="Z1341" i="1"/>
  <c r="AA1341" i="1"/>
  <c r="AB1341" i="1"/>
  <c r="AC1341" i="1"/>
  <c r="AD1341" i="1"/>
  <c r="AE1341" i="1"/>
  <c r="AF1341" i="1"/>
  <c r="AM1341" i="1"/>
  <c r="AN1341" i="1"/>
  <c r="AO1341" i="1"/>
  <c r="L1342" i="1"/>
  <c r="M1342" i="1"/>
  <c r="N1342" i="1"/>
  <c r="O1342" i="1"/>
  <c r="P1342" i="1"/>
  <c r="Q1342" i="1"/>
  <c r="R1342" i="1"/>
  <c r="S1342" i="1"/>
  <c r="T1342" i="1"/>
  <c r="U1342" i="1"/>
  <c r="V1342" i="1"/>
  <c r="W1342" i="1"/>
  <c r="X1342" i="1"/>
  <c r="Y1342" i="1"/>
  <c r="Z1342" i="1"/>
  <c r="AA1342" i="1"/>
  <c r="AB1342" i="1"/>
  <c r="AC1342" i="1"/>
  <c r="AD1342" i="1"/>
  <c r="AE1342" i="1"/>
  <c r="AF1342" i="1"/>
  <c r="AM1342" i="1"/>
  <c r="AN1342" i="1"/>
  <c r="AO1342" i="1"/>
  <c r="L1343" i="1"/>
  <c r="M1343" i="1"/>
  <c r="N1343" i="1"/>
  <c r="O1343" i="1"/>
  <c r="P1343" i="1"/>
  <c r="Q1343" i="1"/>
  <c r="R1343" i="1"/>
  <c r="S1343" i="1"/>
  <c r="T1343" i="1"/>
  <c r="U1343" i="1"/>
  <c r="V1343" i="1"/>
  <c r="W1343" i="1"/>
  <c r="X1343" i="1"/>
  <c r="Y1343" i="1"/>
  <c r="Z1343" i="1"/>
  <c r="AA1343" i="1"/>
  <c r="AB1343" i="1"/>
  <c r="AC1343" i="1"/>
  <c r="AD1343" i="1"/>
  <c r="AE1343" i="1"/>
  <c r="AF1343" i="1"/>
  <c r="AM1343" i="1"/>
  <c r="AN1343" i="1"/>
  <c r="AO1343" i="1"/>
  <c r="L1344" i="1"/>
  <c r="M1344" i="1"/>
  <c r="N1344" i="1"/>
  <c r="O1344" i="1"/>
  <c r="P1344" i="1"/>
  <c r="Q1344" i="1"/>
  <c r="R1344" i="1"/>
  <c r="S1344" i="1"/>
  <c r="T1344" i="1"/>
  <c r="U1344" i="1"/>
  <c r="V1344" i="1"/>
  <c r="W1344" i="1"/>
  <c r="X1344" i="1"/>
  <c r="Y1344" i="1"/>
  <c r="Z1344" i="1"/>
  <c r="AA1344" i="1"/>
  <c r="AB1344" i="1"/>
  <c r="AC1344" i="1"/>
  <c r="AD1344" i="1"/>
  <c r="AE1344" i="1"/>
  <c r="AF1344" i="1"/>
  <c r="AM1344" i="1"/>
  <c r="AN1344" i="1"/>
  <c r="AO1344" i="1"/>
  <c r="L1345" i="1"/>
  <c r="M1345" i="1"/>
  <c r="N1345" i="1"/>
  <c r="O1345" i="1"/>
  <c r="P1345" i="1"/>
  <c r="Q1345" i="1"/>
  <c r="R1345" i="1"/>
  <c r="S1345" i="1"/>
  <c r="T1345" i="1"/>
  <c r="U1345" i="1"/>
  <c r="V1345" i="1"/>
  <c r="W1345" i="1"/>
  <c r="X1345" i="1"/>
  <c r="Y1345" i="1"/>
  <c r="Z1345" i="1"/>
  <c r="AA1345" i="1"/>
  <c r="AB1345" i="1"/>
  <c r="AC1345" i="1"/>
  <c r="AD1345" i="1"/>
  <c r="AE1345" i="1"/>
  <c r="AF1345" i="1"/>
  <c r="AM1345" i="1"/>
  <c r="AN1345" i="1"/>
  <c r="AO1345" i="1"/>
  <c r="L1346" i="1"/>
  <c r="M1346" i="1"/>
  <c r="N1346" i="1"/>
  <c r="O1346" i="1"/>
  <c r="P1346" i="1"/>
  <c r="Q1346" i="1"/>
  <c r="R1346" i="1"/>
  <c r="S1346" i="1"/>
  <c r="T1346" i="1"/>
  <c r="U1346" i="1"/>
  <c r="V1346" i="1"/>
  <c r="W1346" i="1"/>
  <c r="X1346" i="1"/>
  <c r="Y1346" i="1"/>
  <c r="Z1346" i="1"/>
  <c r="AA1346" i="1"/>
  <c r="AB1346" i="1"/>
  <c r="AC1346" i="1"/>
  <c r="AD1346" i="1"/>
  <c r="AE1346" i="1"/>
  <c r="AF1346" i="1"/>
  <c r="AM1346" i="1"/>
  <c r="AN1346" i="1"/>
  <c r="AO1346" i="1"/>
  <c r="L1347" i="1"/>
  <c r="M1347" i="1"/>
  <c r="N1347" i="1"/>
  <c r="O1347" i="1"/>
  <c r="P1347" i="1"/>
  <c r="Q1347" i="1"/>
  <c r="R1347" i="1"/>
  <c r="S1347" i="1"/>
  <c r="T1347" i="1"/>
  <c r="U1347" i="1"/>
  <c r="V1347" i="1"/>
  <c r="W1347" i="1"/>
  <c r="X1347" i="1"/>
  <c r="Y1347" i="1"/>
  <c r="Z1347" i="1"/>
  <c r="AA1347" i="1"/>
  <c r="AB1347" i="1"/>
  <c r="AC1347" i="1"/>
  <c r="AD1347" i="1"/>
  <c r="AE1347" i="1"/>
  <c r="AF1347" i="1"/>
  <c r="AM1347" i="1"/>
  <c r="AN1347" i="1"/>
  <c r="AO1347" i="1"/>
  <c r="L1348" i="1"/>
  <c r="M1348" i="1"/>
  <c r="N1348" i="1"/>
  <c r="O1348" i="1"/>
  <c r="P1348" i="1"/>
  <c r="Q1348" i="1"/>
  <c r="R1348" i="1"/>
  <c r="S1348" i="1"/>
  <c r="T1348" i="1"/>
  <c r="U1348" i="1"/>
  <c r="V1348" i="1"/>
  <c r="W1348" i="1"/>
  <c r="X1348" i="1"/>
  <c r="Y1348" i="1"/>
  <c r="Z1348" i="1"/>
  <c r="AA1348" i="1"/>
  <c r="AB1348" i="1"/>
  <c r="AC1348" i="1"/>
  <c r="AD1348" i="1"/>
  <c r="AE1348" i="1"/>
  <c r="AF1348" i="1"/>
  <c r="AM1348" i="1"/>
  <c r="AN1348" i="1"/>
  <c r="AO1348" i="1"/>
  <c r="L1349" i="1"/>
  <c r="M1349" i="1"/>
  <c r="N1349" i="1"/>
  <c r="O1349" i="1"/>
  <c r="P1349" i="1"/>
  <c r="Q1349" i="1"/>
  <c r="R1349" i="1"/>
  <c r="S1349" i="1"/>
  <c r="T1349" i="1"/>
  <c r="U1349" i="1"/>
  <c r="V1349" i="1"/>
  <c r="W1349" i="1"/>
  <c r="X1349" i="1"/>
  <c r="Y1349" i="1"/>
  <c r="Z1349" i="1"/>
  <c r="AA1349" i="1"/>
  <c r="AB1349" i="1"/>
  <c r="AC1349" i="1"/>
  <c r="AD1349" i="1"/>
  <c r="AE1349" i="1"/>
  <c r="AF1349" i="1"/>
  <c r="AM1349" i="1"/>
  <c r="AN1349" i="1"/>
  <c r="AO1349" i="1"/>
  <c r="L1350" i="1"/>
  <c r="M1350" i="1"/>
  <c r="N1350" i="1"/>
  <c r="O1350" i="1"/>
  <c r="P1350" i="1"/>
  <c r="Q1350" i="1"/>
  <c r="R1350" i="1"/>
  <c r="S1350" i="1"/>
  <c r="T1350" i="1"/>
  <c r="U1350" i="1"/>
  <c r="V1350" i="1"/>
  <c r="W1350" i="1"/>
  <c r="X1350" i="1"/>
  <c r="Y1350" i="1"/>
  <c r="Z1350" i="1"/>
  <c r="AA1350" i="1"/>
  <c r="AB1350" i="1"/>
  <c r="AC1350" i="1"/>
  <c r="AD1350" i="1"/>
  <c r="AE1350" i="1"/>
  <c r="AF1350" i="1"/>
  <c r="AM1350" i="1"/>
  <c r="AN1350" i="1"/>
  <c r="AO1350" i="1"/>
  <c r="L1351" i="1"/>
  <c r="M1351" i="1"/>
  <c r="N1351" i="1"/>
  <c r="O1351" i="1"/>
  <c r="P1351" i="1"/>
  <c r="Q1351" i="1"/>
  <c r="R1351" i="1"/>
  <c r="S1351" i="1"/>
  <c r="T1351" i="1"/>
  <c r="U1351" i="1"/>
  <c r="V1351" i="1"/>
  <c r="W1351" i="1"/>
  <c r="X1351" i="1"/>
  <c r="Y1351" i="1"/>
  <c r="Z1351" i="1"/>
  <c r="AA1351" i="1"/>
  <c r="AB1351" i="1"/>
  <c r="AC1351" i="1"/>
  <c r="AD1351" i="1"/>
  <c r="AE1351" i="1"/>
  <c r="AF1351" i="1"/>
  <c r="AM1351" i="1"/>
  <c r="AN1351" i="1"/>
  <c r="AO1351" i="1"/>
  <c r="L1352" i="1"/>
  <c r="M1352" i="1"/>
  <c r="N1352" i="1"/>
  <c r="O1352" i="1"/>
  <c r="P1352" i="1"/>
  <c r="Q1352" i="1"/>
  <c r="R1352" i="1"/>
  <c r="S1352" i="1"/>
  <c r="T1352" i="1"/>
  <c r="U1352" i="1"/>
  <c r="V1352" i="1"/>
  <c r="W1352" i="1"/>
  <c r="X1352" i="1"/>
  <c r="Y1352" i="1"/>
  <c r="Z1352" i="1"/>
  <c r="AA1352" i="1"/>
  <c r="AB1352" i="1"/>
  <c r="AC1352" i="1"/>
  <c r="AD1352" i="1"/>
  <c r="AE1352" i="1"/>
  <c r="AF1352" i="1"/>
  <c r="AM1352" i="1"/>
  <c r="AN1352" i="1"/>
  <c r="AO1352" i="1"/>
  <c r="L1353" i="1"/>
  <c r="M1353" i="1"/>
  <c r="N1353" i="1"/>
  <c r="O1353" i="1"/>
  <c r="P1353" i="1"/>
  <c r="Q1353" i="1"/>
  <c r="R1353" i="1"/>
  <c r="S1353" i="1"/>
  <c r="T1353" i="1"/>
  <c r="U1353" i="1"/>
  <c r="V1353" i="1"/>
  <c r="W1353" i="1"/>
  <c r="X1353" i="1"/>
  <c r="Y1353" i="1"/>
  <c r="Z1353" i="1"/>
  <c r="AA1353" i="1"/>
  <c r="AB1353" i="1"/>
  <c r="AC1353" i="1"/>
  <c r="AD1353" i="1"/>
  <c r="AE1353" i="1"/>
  <c r="AF1353" i="1"/>
  <c r="AM1353" i="1"/>
  <c r="AN1353" i="1"/>
  <c r="AO1353" i="1"/>
  <c r="L1354" i="1"/>
  <c r="M1354" i="1"/>
  <c r="N1354" i="1"/>
  <c r="O1354" i="1"/>
  <c r="P1354" i="1"/>
  <c r="Q1354" i="1"/>
  <c r="R1354" i="1"/>
  <c r="S1354" i="1"/>
  <c r="T1354" i="1"/>
  <c r="U1354" i="1"/>
  <c r="V1354" i="1"/>
  <c r="W1354" i="1"/>
  <c r="X1354" i="1"/>
  <c r="Y1354" i="1"/>
  <c r="Z1354" i="1"/>
  <c r="AA1354" i="1"/>
  <c r="AB1354" i="1"/>
  <c r="AC1354" i="1"/>
  <c r="AD1354" i="1"/>
  <c r="AE1354" i="1"/>
  <c r="AF1354" i="1"/>
  <c r="AM1354" i="1"/>
  <c r="AN1354" i="1"/>
  <c r="AO1354" i="1"/>
  <c r="L1355" i="1"/>
  <c r="M1355" i="1"/>
  <c r="N1355" i="1"/>
  <c r="O1355" i="1"/>
  <c r="P1355" i="1"/>
  <c r="Q1355" i="1"/>
  <c r="R1355" i="1"/>
  <c r="S1355" i="1"/>
  <c r="T1355" i="1"/>
  <c r="U1355" i="1"/>
  <c r="V1355" i="1"/>
  <c r="W1355" i="1"/>
  <c r="X1355" i="1"/>
  <c r="Y1355" i="1"/>
  <c r="Z1355" i="1"/>
  <c r="AA1355" i="1"/>
  <c r="AB1355" i="1"/>
  <c r="AC1355" i="1"/>
  <c r="AD1355" i="1"/>
  <c r="AE1355" i="1"/>
  <c r="AF1355" i="1"/>
  <c r="AM1355" i="1"/>
  <c r="AN1355" i="1"/>
  <c r="AO1355" i="1"/>
  <c r="L1356" i="1"/>
  <c r="M1356" i="1"/>
  <c r="N1356" i="1"/>
  <c r="O1356" i="1"/>
  <c r="P1356" i="1"/>
  <c r="Q1356" i="1"/>
  <c r="R1356" i="1"/>
  <c r="S1356" i="1"/>
  <c r="T1356" i="1"/>
  <c r="U1356" i="1"/>
  <c r="V1356" i="1"/>
  <c r="W1356" i="1"/>
  <c r="X1356" i="1"/>
  <c r="Y1356" i="1"/>
  <c r="Z1356" i="1"/>
  <c r="AA1356" i="1"/>
  <c r="AB1356" i="1"/>
  <c r="AC1356" i="1"/>
  <c r="AD1356" i="1"/>
  <c r="AE1356" i="1"/>
  <c r="AF1356" i="1"/>
  <c r="AM1356" i="1"/>
  <c r="AN1356" i="1"/>
  <c r="AO1356" i="1"/>
  <c r="L1357" i="1"/>
  <c r="M1357" i="1"/>
  <c r="N1357" i="1"/>
  <c r="O1357" i="1"/>
  <c r="P1357" i="1"/>
  <c r="Q1357" i="1"/>
  <c r="R1357" i="1"/>
  <c r="S1357" i="1"/>
  <c r="T1357" i="1"/>
  <c r="U1357" i="1"/>
  <c r="V1357" i="1"/>
  <c r="W1357" i="1"/>
  <c r="X1357" i="1"/>
  <c r="Y1357" i="1"/>
  <c r="Z1357" i="1"/>
  <c r="AA1357" i="1"/>
  <c r="AB1357" i="1"/>
  <c r="AC1357" i="1"/>
  <c r="AD1357" i="1"/>
  <c r="AE1357" i="1"/>
  <c r="AF1357" i="1"/>
  <c r="AM1357" i="1"/>
  <c r="AN1357" i="1"/>
  <c r="AO1357" i="1"/>
  <c r="L1358" i="1"/>
  <c r="M1358" i="1"/>
  <c r="N1358" i="1"/>
  <c r="O1358" i="1"/>
  <c r="P1358" i="1"/>
  <c r="Q1358" i="1"/>
  <c r="R1358" i="1"/>
  <c r="S1358" i="1"/>
  <c r="T1358" i="1"/>
  <c r="U1358" i="1"/>
  <c r="V1358" i="1"/>
  <c r="W1358" i="1"/>
  <c r="X1358" i="1"/>
  <c r="Y1358" i="1"/>
  <c r="Z1358" i="1"/>
  <c r="AA1358" i="1"/>
  <c r="AB1358" i="1"/>
  <c r="AC1358" i="1"/>
  <c r="AD1358" i="1"/>
  <c r="AE1358" i="1"/>
  <c r="AF1358" i="1"/>
  <c r="AM1358" i="1"/>
  <c r="AN1358" i="1"/>
  <c r="AO1358" i="1"/>
  <c r="L1359" i="1"/>
  <c r="M1359" i="1"/>
  <c r="N1359" i="1"/>
  <c r="O1359" i="1"/>
  <c r="P1359" i="1"/>
  <c r="Q1359" i="1"/>
  <c r="R1359" i="1"/>
  <c r="S1359" i="1"/>
  <c r="T1359" i="1"/>
  <c r="U1359" i="1"/>
  <c r="V1359" i="1"/>
  <c r="W1359" i="1"/>
  <c r="X1359" i="1"/>
  <c r="Y1359" i="1"/>
  <c r="Z1359" i="1"/>
  <c r="AA1359" i="1"/>
  <c r="AB1359" i="1"/>
  <c r="AC1359" i="1"/>
  <c r="AD1359" i="1"/>
  <c r="AE1359" i="1"/>
  <c r="AF1359" i="1"/>
  <c r="AM1359" i="1"/>
  <c r="AN1359" i="1"/>
  <c r="AO1359" i="1"/>
  <c r="L1360" i="1"/>
  <c r="M1360" i="1"/>
  <c r="N1360" i="1"/>
  <c r="O1360" i="1"/>
  <c r="P1360" i="1"/>
  <c r="Q1360" i="1"/>
  <c r="R1360" i="1"/>
  <c r="S1360" i="1"/>
  <c r="T1360" i="1"/>
  <c r="U1360" i="1"/>
  <c r="V1360" i="1"/>
  <c r="W1360" i="1"/>
  <c r="X1360" i="1"/>
  <c r="Y1360" i="1"/>
  <c r="Z1360" i="1"/>
  <c r="AA1360" i="1"/>
  <c r="AB1360" i="1"/>
  <c r="AC1360" i="1"/>
  <c r="AD1360" i="1"/>
  <c r="AE1360" i="1"/>
  <c r="AF1360" i="1"/>
  <c r="AM1360" i="1"/>
  <c r="AN1360" i="1"/>
  <c r="AO1360" i="1"/>
  <c r="L1361" i="1"/>
  <c r="M1361" i="1"/>
  <c r="N1361" i="1"/>
  <c r="O1361" i="1"/>
  <c r="P1361" i="1"/>
  <c r="Q1361" i="1"/>
  <c r="R1361" i="1"/>
  <c r="S1361" i="1"/>
  <c r="T1361" i="1"/>
  <c r="U1361" i="1"/>
  <c r="V1361" i="1"/>
  <c r="W1361" i="1"/>
  <c r="X1361" i="1"/>
  <c r="Y1361" i="1"/>
  <c r="Z1361" i="1"/>
  <c r="AA1361" i="1"/>
  <c r="AB1361" i="1"/>
  <c r="AC1361" i="1"/>
  <c r="AD1361" i="1"/>
  <c r="AE1361" i="1"/>
  <c r="AF1361" i="1"/>
  <c r="AM1361" i="1"/>
  <c r="AN1361" i="1"/>
  <c r="AO1361" i="1"/>
  <c r="L1362" i="1"/>
  <c r="M1362" i="1"/>
  <c r="N1362" i="1"/>
  <c r="O1362" i="1"/>
  <c r="P1362" i="1"/>
  <c r="Q1362" i="1"/>
  <c r="R1362" i="1"/>
  <c r="S1362" i="1"/>
  <c r="T1362" i="1"/>
  <c r="U1362" i="1"/>
  <c r="V1362" i="1"/>
  <c r="W1362" i="1"/>
  <c r="X1362" i="1"/>
  <c r="Y1362" i="1"/>
  <c r="Z1362" i="1"/>
  <c r="AA1362" i="1"/>
  <c r="AB1362" i="1"/>
  <c r="AC1362" i="1"/>
  <c r="AD1362" i="1"/>
  <c r="AE1362" i="1"/>
  <c r="AF1362" i="1"/>
  <c r="AM1362" i="1"/>
  <c r="AN1362" i="1"/>
  <c r="AO1362" i="1"/>
  <c r="L1363" i="1"/>
  <c r="M1363" i="1"/>
  <c r="N1363" i="1"/>
  <c r="O1363" i="1"/>
  <c r="P1363" i="1"/>
  <c r="Q1363" i="1"/>
  <c r="R1363" i="1"/>
  <c r="S1363" i="1"/>
  <c r="T1363" i="1"/>
  <c r="U1363" i="1"/>
  <c r="V1363" i="1"/>
  <c r="W1363" i="1"/>
  <c r="X1363" i="1"/>
  <c r="Y1363" i="1"/>
  <c r="Z1363" i="1"/>
  <c r="AA1363" i="1"/>
  <c r="AB1363" i="1"/>
  <c r="AC1363" i="1"/>
  <c r="AD1363" i="1"/>
  <c r="AE1363" i="1"/>
  <c r="AF1363" i="1"/>
  <c r="AM1363" i="1"/>
  <c r="AN1363" i="1"/>
  <c r="AO1363" i="1"/>
  <c r="L1364" i="1"/>
  <c r="M1364" i="1"/>
  <c r="N1364" i="1"/>
  <c r="O1364" i="1"/>
  <c r="P1364" i="1"/>
  <c r="Q1364" i="1"/>
  <c r="R1364" i="1"/>
  <c r="S1364" i="1"/>
  <c r="T1364" i="1"/>
  <c r="U1364" i="1"/>
  <c r="V1364" i="1"/>
  <c r="W1364" i="1"/>
  <c r="X1364" i="1"/>
  <c r="Y1364" i="1"/>
  <c r="Z1364" i="1"/>
  <c r="AA1364" i="1"/>
  <c r="AB1364" i="1"/>
  <c r="AC1364" i="1"/>
  <c r="AD1364" i="1"/>
  <c r="AE1364" i="1"/>
  <c r="AF1364" i="1"/>
  <c r="AM1364" i="1"/>
  <c r="AN1364" i="1"/>
  <c r="AO1364" i="1"/>
  <c r="L1365" i="1"/>
  <c r="M1365" i="1"/>
  <c r="N1365" i="1"/>
  <c r="O1365" i="1"/>
  <c r="P1365" i="1"/>
  <c r="Q1365" i="1"/>
  <c r="R1365" i="1"/>
  <c r="S1365" i="1"/>
  <c r="T1365" i="1"/>
  <c r="U1365" i="1"/>
  <c r="V1365" i="1"/>
  <c r="W1365" i="1"/>
  <c r="X1365" i="1"/>
  <c r="Y1365" i="1"/>
  <c r="Z1365" i="1"/>
  <c r="AA1365" i="1"/>
  <c r="AB1365" i="1"/>
  <c r="AC1365" i="1"/>
  <c r="AD1365" i="1"/>
  <c r="AE1365" i="1"/>
  <c r="AF1365" i="1"/>
  <c r="AM1365" i="1"/>
  <c r="AN1365" i="1"/>
  <c r="AO1365" i="1"/>
  <c r="L1366" i="1"/>
  <c r="M1366" i="1"/>
  <c r="N1366" i="1"/>
  <c r="O1366" i="1"/>
  <c r="P1366" i="1"/>
  <c r="Q1366" i="1"/>
  <c r="R1366" i="1"/>
  <c r="S1366" i="1"/>
  <c r="T1366" i="1"/>
  <c r="U1366" i="1"/>
  <c r="V1366" i="1"/>
  <c r="W1366" i="1"/>
  <c r="X1366" i="1"/>
  <c r="Y1366" i="1"/>
  <c r="Z1366" i="1"/>
  <c r="AA1366" i="1"/>
  <c r="AB1366" i="1"/>
  <c r="AC1366" i="1"/>
  <c r="AD1366" i="1"/>
  <c r="AE1366" i="1"/>
  <c r="AF1366" i="1"/>
  <c r="AM1366" i="1"/>
  <c r="AN1366" i="1"/>
  <c r="AO1366" i="1"/>
  <c r="L1367" i="1"/>
  <c r="M1367" i="1"/>
  <c r="N1367" i="1"/>
  <c r="O1367" i="1"/>
  <c r="P1367" i="1"/>
  <c r="Q1367" i="1"/>
  <c r="R1367" i="1"/>
  <c r="S1367" i="1"/>
  <c r="T1367" i="1"/>
  <c r="U1367" i="1"/>
  <c r="V1367" i="1"/>
  <c r="W1367" i="1"/>
  <c r="X1367" i="1"/>
  <c r="Y1367" i="1"/>
  <c r="Z1367" i="1"/>
  <c r="AA1367" i="1"/>
  <c r="AB1367" i="1"/>
  <c r="AC1367" i="1"/>
  <c r="AD1367" i="1"/>
  <c r="AE1367" i="1"/>
  <c r="AF1367" i="1"/>
  <c r="AM1367" i="1"/>
  <c r="AN1367" i="1"/>
  <c r="AO1367" i="1"/>
  <c r="L1368" i="1"/>
  <c r="M1368" i="1"/>
  <c r="N1368" i="1"/>
  <c r="O1368" i="1"/>
  <c r="P1368" i="1"/>
  <c r="Q1368" i="1"/>
  <c r="R1368" i="1"/>
  <c r="S1368" i="1"/>
  <c r="T1368" i="1"/>
  <c r="U1368" i="1"/>
  <c r="V1368" i="1"/>
  <c r="W1368" i="1"/>
  <c r="X1368" i="1"/>
  <c r="Y1368" i="1"/>
  <c r="Z1368" i="1"/>
  <c r="AA1368" i="1"/>
  <c r="AB1368" i="1"/>
  <c r="AC1368" i="1"/>
  <c r="AD1368" i="1"/>
  <c r="AE1368" i="1"/>
  <c r="AF1368" i="1"/>
  <c r="AM1368" i="1"/>
  <c r="AN1368" i="1"/>
  <c r="AO1368" i="1"/>
  <c r="L1369" i="1"/>
  <c r="M1369" i="1"/>
  <c r="N1369" i="1"/>
  <c r="O1369" i="1"/>
  <c r="P1369" i="1"/>
  <c r="Q1369" i="1"/>
  <c r="R1369" i="1"/>
  <c r="S1369" i="1"/>
  <c r="T1369" i="1"/>
  <c r="U1369" i="1"/>
  <c r="V1369" i="1"/>
  <c r="W1369" i="1"/>
  <c r="X1369" i="1"/>
  <c r="Y1369" i="1"/>
  <c r="Z1369" i="1"/>
  <c r="AA1369" i="1"/>
  <c r="AB1369" i="1"/>
  <c r="AC1369" i="1"/>
  <c r="AD1369" i="1"/>
  <c r="AE1369" i="1"/>
  <c r="AF1369" i="1"/>
  <c r="AM1369" i="1"/>
  <c r="AN1369" i="1"/>
  <c r="AO1369" i="1"/>
  <c r="L1370" i="1"/>
  <c r="M1370" i="1"/>
  <c r="N1370" i="1"/>
  <c r="O1370" i="1"/>
  <c r="P1370" i="1"/>
  <c r="Q1370" i="1"/>
  <c r="R1370" i="1"/>
  <c r="S1370" i="1"/>
  <c r="T1370" i="1"/>
  <c r="U1370" i="1"/>
  <c r="V1370" i="1"/>
  <c r="W1370" i="1"/>
  <c r="X1370" i="1"/>
  <c r="Y1370" i="1"/>
  <c r="Z1370" i="1"/>
  <c r="AA1370" i="1"/>
  <c r="AB1370" i="1"/>
  <c r="AC1370" i="1"/>
  <c r="AD1370" i="1"/>
  <c r="AE1370" i="1"/>
  <c r="AF1370" i="1"/>
  <c r="AM1370" i="1"/>
  <c r="AN1370" i="1"/>
  <c r="AO1370" i="1"/>
  <c r="L1371" i="1"/>
  <c r="M1371" i="1"/>
  <c r="N1371" i="1"/>
  <c r="O1371" i="1"/>
  <c r="P1371" i="1"/>
  <c r="Q1371" i="1"/>
  <c r="R1371" i="1"/>
  <c r="S1371" i="1"/>
  <c r="T1371" i="1"/>
  <c r="U1371" i="1"/>
  <c r="V1371" i="1"/>
  <c r="W1371" i="1"/>
  <c r="X1371" i="1"/>
  <c r="Y1371" i="1"/>
  <c r="Z1371" i="1"/>
  <c r="AA1371" i="1"/>
  <c r="AB1371" i="1"/>
  <c r="AC1371" i="1"/>
  <c r="AD1371" i="1"/>
  <c r="AE1371" i="1"/>
  <c r="AF1371" i="1"/>
  <c r="AM1371" i="1"/>
  <c r="AN1371" i="1"/>
  <c r="AO1371" i="1"/>
  <c r="L1372" i="1"/>
  <c r="M1372" i="1"/>
  <c r="N1372" i="1"/>
  <c r="O1372" i="1"/>
  <c r="P1372" i="1"/>
  <c r="Q1372" i="1"/>
  <c r="R1372" i="1"/>
  <c r="S1372" i="1"/>
  <c r="T1372" i="1"/>
  <c r="U1372" i="1"/>
  <c r="V1372" i="1"/>
  <c r="W1372" i="1"/>
  <c r="X1372" i="1"/>
  <c r="Y1372" i="1"/>
  <c r="Z1372" i="1"/>
  <c r="AA1372" i="1"/>
  <c r="AB1372" i="1"/>
  <c r="AC1372" i="1"/>
  <c r="AD1372" i="1"/>
  <c r="AE1372" i="1"/>
  <c r="AF1372" i="1"/>
  <c r="AM1372" i="1"/>
  <c r="AN1372" i="1"/>
  <c r="AO1372" i="1"/>
  <c r="L1373" i="1"/>
  <c r="M1373" i="1"/>
  <c r="N1373" i="1"/>
  <c r="O1373" i="1"/>
  <c r="P1373" i="1"/>
  <c r="Q1373" i="1"/>
  <c r="R1373" i="1"/>
  <c r="S1373" i="1"/>
  <c r="T1373" i="1"/>
  <c r="U1373" i="1"/>
  <c r="V1373" i="1"/>
  <c r="W1373" i="1"/>
  <c r="X1373" i="1"/>
  <c r="Y1373" i="1"/>
  <c r="Z1373" i="1"/>
  <c r="AA1373" i="1"/>
  <c r="AB1373" i="1"/>
  <c r="AC1373" i="1"/>
  <c r="AD1373" i="1"/>
  <c r="AE1373" i="1"/>
  <c r="AF1373" i="1"/>
  <c r="AM1373" i="1"/>
  <c r="AN1373" i="1"/>
  <c r="AO1373" i="1"/>
  <c r="L1374" i="1"/>
  <c r="M1374" i="1"/>
  <c r="N1374" i="1"/>
  <c r="O1374" i="1"/>
  <c r="P1374" i="1"/>
  <c r="Q1374" i="1"/>
  <c r="R1374" i="1"/>
  <c r="S1374" i="1"/>
  <c r="T1374" i="1"/>
  <c r="U1374" i="1"/>
  <c r="V1374" i="1"/>
  <c r="W1374" i="1"/>
  <c r="X1374" i="1"/>
  <c r="Y1374" i="1"/>
  <c r="Z1374" i="1"/>
  <c r="AA1374" i="1"/>
  <c r="AB1374" i="1"/>
  <c r="AC1374" i="1"/>
  <c r="AD1374" i="1"/>
  <c r="AE1374" i="1"/>
  <c r="AF1374" i="1"/>
  <c r="AM1374" i="1"/>
  <c r="AN1374" i="1"/>
  <c r="AO1374" i="1"/>
  <c r="L1375" i="1"/>
  <c r="M1375" i="1"/>
  <c r="N1375" i="1"/>
  <c r="O1375" i="1"/>
  <c r="P1375" i="1"/>
  <c r="Q1375" i="1"/>
  <c r="R1375" i="1"/>
  <c r="S1375" i="1"/>
  <c r="T1375" i="1"/>
  <c r="U1375" i="1"/>
  <c r="V1375" i="1"/>
  <c r="W1375" i="1"/>
  <c r="X1375" i="1"/>
  <c r="Y1375" i="1"/>
  <c r="Z1375" i="1"/>
  <c r="AA1375" i="1"/>
  <c r="AB1375" i="1"/>
  <c r="AC1375" i="1"/>
  <c r="AD1375" i="1"/>
  <c r="AE1375" i="1"/>
  <c r="AF1375" i="1"/>
  <c r="AM1375" i="1"/>
  <c r="AN1375" i="1"/>
  <c r="AO1375" i="1"/>
  <c r="L1376" i="1"/>
  <c r="M1376" i="1"/>
  <c r="N1376" i="1"/>
  <c r="O1376" i="1"/>
  <c r="P1376" i="1"/>
  <c r="Q1376" i="1"/>
  <c r="R1376" i="1"/>
  <c r="S1376" i="1"/>
  <c r="T1376" i="1"/>
  <c r="U1376" i="1"/>
  <c r="V1376" i="1"/>
  <c r="W1376" i="1"/>
  <c r="X1376" i="1"/>
  <c r="Y1376" i="1"/>
  <c r="Z1376" i="1"/>
  <c r="AA1376" i="1"/>
  <c r="AB1376" i="1"/>
  <c r="AC1376" i="1"/>
  <c r="AD1376" i="1"/>
  <c r="AE1376" i="1"/>
  <c r="AF1376" i="1"/>
  <c r="AM1376" i="1"/>
  <c r="AN1376" i="1"/>
  <c r="AO1376" i="1"/>
  <c r="L1377" i="1"/>
  <c r="M1377" i="1"/>
  <c r="N1377" i="1"/>
  <c r="O1377" i="1"/>
  <c r="P1377" i="1"/>
  <c r="Q1377" i="1"/>
  <c r="R1377" i="1"/>
  <c r="S1377" i="1"/>
  <c r="T1377" i="1"/>
  <c r="U1377" i="1"/>
  <c r="V1377" i="1"/>
  <c r="W1377" i="1"/>
  <c r="X1377" i="1"/>
  <c r="Y1377" i="1"/>
  <c r="Z1377" i="1"/>
  <c r="AA1377" i="1"/>
  <c r="AB1377" i="1"/>
  <c r="AC1377" i="1"/>
  <c r="AD1377" i="1"/>
  <c r="AE1377" i="1"/>
  <c r="AF1377" i="1"/>
  <c r="AM1377" i="1"/>
  <c r="AN1377" i="1"/>
  <c r="AO1377" i="1"/>
  <c r="L1378" i="1"/>
  <c r="M1378" i="1"/>
  <c r="N1378" i="1"/>
  <c r="O1378" i="1"/>
  <c r="P1378" i="1"/>
  <c r="Q1378" i="1"/>
  <c r="R1378" i="1"/>
  <c r="S1378" i="1"/>
  <c r="T1378" i="1"/>
  <c r="U1378" i="1"/>
  <c r="V1378" i="1"/>
  <c r="W1378" i="1"/>
  <c r="X1378" i="1"/>
  <c r="Y1378" i="1"/>
  <c r="Z1378" i="1"/>
  <c r="AA1378" i="1"/>
  <c r="AB1378" i="1"/>
  <c r="AC1378" i="1"/>
  <c r="AD1378" i="1"/>
  <c r="AE1378" i="1"/>
  <c r="AF1378" i="1"/>
  <c r="AM1378" i="1"/>
  <c r="AN1378" i="1"/>
  <c r="AO1378" i="1"/>
  <c r="L1379" i="1"/>
  <c r="M1379" i="1"/>
  <c r="N1379" i="1"/>
  <c r="O1379" i="1"/>
  <c r="P1379" i="1"/>
  <c r="Q1379" i="1"/>
  <c r="R1379" i="1"/>
  <c r="S1379" i="1"/>
  <c r="T1379" i="1"/>
  <c r="U1379" i="1"/>
  <c r="V1379" i="1"/>
  <c r="W1379" i="1"/>
  <c r="X1379" i="1"/>
  <c r="Y1379" i="1"/>
  <c r="Z1379" i="1"/>
  <c r="AA1379" i="1"/>
  <c r="AB1379" i="1"/>
  <c r="AC1379" i="1"/>
  <c r="AD1379" i="1"/>
  <c r="AE1379" i="1"/>
  <c r="AF1379" i="1"/>
  <c r="AM1379" i="1"/>
  <c r="AN1379" i="1"/>
  <c r="AO1379" i="1"/>
  <c r="L1380" i="1"/>
  <c r="M1380" i="1"/>
  <c r="N1380" i="1"/>
  <c r="O1380" i="1"/>
  <c r="P1380" i="1"/>
  <c r="Q1380" i="1"/>
  <c r="R1380" i="1"/>
  <c r="S1380" i="1"/>
  <c r="T1380" i="1"/>
  <c r="U1380" i="1"/>
  <c r="V1380" i="1"/>
  <c r="W1380" i="1"/>
  <c r="X1380" i="1"/>
  <c r="Y1380" i="1"/>
  <c r="Z1380" i="1"/>
  <c r="AA1380" i="1"/>
  <c r="AB1380" i="1"/>
  <c r="AC1380" i="1"/>
  <c r="AD1380" i="1"/>
  <c r="AE1380" i="1"/>
  <c r="AF1380" i="1"/>
  <c r="AM1380" i="1"/>
  <c r="AN1380" i="1"/>
  <c r="AO1380" i="1"/>
  <c r="L1381" i="1"/>
  <c r="M1381" i="1"/>
  <c r="N1381" i="1"/>
  <c r="O1381" i="1"/>
  <c r="P1381" i="1"/>
  <c r="Q1381" i="1"/>
  <c r="R1381" i="1"/>
  <c r="S1381" i="1"/>
  <c r="T1381" i="1"/>
  <c r="U1381" i="1"/>
  <c r="V1381" i="1"/>
  <c r="W1381" i="1"/>
  <c r="X1381" i="1"/>
  <c r="Y1381" i="1"/>
  <c r="Z1381" i="1"/>
  <c r="AA1381" i="1"/>
  <c r="AB1381" i="1"/>
  <c r="AC1381" i="1"/>
  <c r="AD1381" i="1"/>
  <c r="AE1381" i="1"/>
  <c r="AF1381" i="1"/>
  <c r="AM1381" i="1"/>
  <c r="AN1381" i="1"/>
  <c r="AO1381" i="1"/>
  <c r="L1382" i="1"/>
  <c r="M1382" i="1"/>
  <c r="N1382" i="1"/>
  <c r="O1382" i="1"/>
  <c r="P1382" i="1"/>
  <c r="Q1382" i="1"/>
  <c r="R1382" i="1"/>
  <c r="S1382" i="1"/>
  <c r="T1382" i="1"/>
  <c r="U1382" i="1"/>
  <c r="V1382" i="1"/>
  <c r="W1382" i="1"/>
  <c r="X1382" i="1"/>
  <c r="Y1382" i="1"/>
  <c r="Z1382" i="1"/>
  <c r="AA1382" i="1"/>
  <c r="AB1382" i="1"/>
  <c r="AC1382" i="1"/>
  <c r="AD1382" i="1"/>
  <c r="AE1382" i="1"/>
  <c r="AF1382" i="1"/>
  <c r="AM1382" i="1"/>
  <c r="AN1382" i="1"/>
  <c r="AO1382" i="1"/>
  <c r="L1383" i="1"/>
  <c r="M1383" i="1"/>
  <c r="N1383" i="1"/>
  <c r="O1383" i="1"/>
  <c r="P1383" i="1"/>
  <c r="Q1383" i="1"/>
  <c r="R1383" i="1"/>
  <c r="S1383" i="1"/>
  <c r="T1383" i="1"/>
  <c r="U1383" i="1"/>
  <c r="V1383" i="1"/>
  <c r="W1383" i="1"/>
  <c r="X1383" i="1"/>
  <c r="Y1383" i="1"/>
  <c r="Z1383" i="1"/>
  <c r="AA1383" i="1"/>
  <c r="AB1383" i="1"/>
  <c r="AC1383" i="1"/>
  <c r="AD1383" i="1"/>
  <c r="AE1383" i="1"/>
  <c r="AF1383" i="1"/>
  <c r="AM1383" i="1"/>
  <c r="AN1383" i="1"/>
  <c r="AO1383" i="1"/>
  <c r="L1384" i="1"/>
  <c r="M1384" i="1"/>
  <c r="N1384" i="1"/>
  <c r="O1384" i="1"/>
  <c r="P1384" i="1"/>
  <c r="Q1384" i="1"/>
  <c r="R1384" i="1"/>
  <c r="S1384" i="1"/>
  <c r="T1384" i="1"/>
  <c r="U1384" i="1"/>
  <c r="V1384" i="1"/>
  <c r="W1384" i="1"/>
  <c r="X1384" i="1"/>
  <c r="Y1384" i="1"/>
  <c r="Z1384" i="1"/>
  <c r="AA1384" i="1"/>
  <c r="AB1384" i="1"/>
  <c r="AC1384" i="1"/>
  <c r="AD1384" i="1"/>
  <c r="AE1384" i="1"/>
  <c r="AF1384" i="1"/>
  <c r="AM1384" i="1"/>
  <c r="AN1384" i="1"/>
  <c r="AO1384" i="1"/>
  <c r="L1385" i="1"/>
  <c r="M1385" i="1"/>
  <c r="N1385" i="1"/>
  <c r="O1385" i="1"/>
  <c r="P1385" i="1"/>
  <c r="Q1385" i="1"/>
  <c r="R1385" i="1"/>
  <c r="S1385" i="1"/>
  <c r="T1385" i="1"/>
  <c r="U1385" i="1"/>
  <c r="V1385" i="1"/>
  <c r="W1385" i="1"/>
  <c r="X1385" i="1"/>
  <c r="Y1385" i="1"/>
  <c r="Z1385" i="1"/>
  <c r="AA1385" i="1"/>
  <c r="AB1385" i="1"/>
  <c r="AC1385" i="1"/>
  <c r="AD1385" i="1"/>
  <c r="AE1385" i="1"/>
  <c r="AF1385" i="1"/>
  <c r="AM1385" i="1"/>
  <c r="AN1385" i="1"/>
  <c r="AO1385" i="1"/>
  <c r="L1386" i="1"/>
  <c r="M1386" i="1"/>
  <c r="N1386" i="1"/>
  <c r="O1386" i="1"/>
  <c r="P1386" i="1"/>
  <c r="Q1386" i="1"/>
  <c r="R1386" i="1"/>
  <c r="S1386" i="1"/>
  <c r="T1386" i="1"/>
  <c r="U1386" i="1"/>
  <c r="V1386" i="1"/>
  <c r="W1386" i="1"/>
  <c r="X1386" i="1"/>
  <c r="Y1386" i="1"/>
  <c r="Z1386" i="1"/>
  <c r="AA1386" i="1"/>
  <c r="AB1386" i="1"/>
  <c r="AC1386" i="1"/>
  <c r="AD1386" i="1"/>
  <c r="AE1386" i="1"/>
  <c r="AF1386" i="1"/>
  <c r="AM1386" i="1"/>
  <c r="AN1386" i="1"/>
  <c r="AO1386" i="1"/>
  <c r="L1387" i="1"/>
  <c r="M1387" i="1"/>
  <c r="N1387" i="1"/>
  <c r="O1387" i="1"/>
  <c r="P1387" i="1"/>
  <c r="Q1387" i="1"/>
  <c r="R1387" i="1"/>
  <c r="S1387" i="1"/>
  <c r="T1387" i="1"/>
  <c r="U1387" i="1"/>
  <c r="V1387" i="1"/>
  <c r="W1387" i="1"/>
  <c r="X1387" i="1"/>
  <c r="Y1387" i="1"/>
  <c r="Z1387" i="1"/>
  <c r="AA1387" i="1"/>
  <c r="AB1387" i="1"/>
  <c r="AC1387" i="1"/>
  <c r="AD1387" i="1"/>
  <c r="AE1387" i="1"/>
  <c r="AF1387" i="1"/>
  <c r="AM1387" i="1"/>
  <c r="AN1387" i="1"/>
  <c r="AO1387" i="1"/>
  <c r="L1388" i="1"/>
  <c r="M1388" i="1"/>
  <c r="N1388" i="1"/>
  <c r="O1388" i="1"/>
  <c r="P1388" i="1"/>
  <c r="Q1388" i="1"/>
  <c r="R1388" i="1"/>
  <c r="S1388" i="1"/>
  <c r="T1388" i="1"/>
  <c r="U1388" i="1"/>
  <c r="V1388" i="1"/>
  <c r="W1388" i="1"/>
  <c r="X1388" i="1"/>
  <c r="Y1388" i="1"/>
  <c r="Z1388" i="1"/>
  <c r="AA1388" i="1"/>
  <c r="AB1388" i="1"/>
  <c r="AC1388" i="1"/>
  <c r="AD1388" i="1"/>
  <c r="AE1388" i="1"/>
  <c r="AF1388" i="1"/>
  <c r="AM1388" i="1"/>
  <c r="AN1388" i="1"/>
  <c r="AO1388" i="1"/>
  <c r="L1389" i="1"/>
  <c r="M1389" i="1"/>
  <c r="N1389" i="1"/>
  <c r="O1389" i="1"/>
  <c r="P1389" i="1"/>
  <c r="Q1389" i="1"/>
  <c r="R1389" i="1"/>
  <c r="S1389" i="1"/>
  <c r="T1389" i="1"/>
  <c r="U1389" i="1"/>
  <c r="V1389" i="1"/>
  <c r="W1389" i="1"/>
  <c r="X1389" i="1"/>
  <c r="Y1389" i="1"/>
  <c r="Z1389" i="1"/>
  <c r="AA1389" i="1"/>
  <c r="AB1389" i="1"/>
  <c r="AC1389" i="1"/>
  <c r="AD1389" i="1"/>
  <c r="AE1389" i="1"/>
  <c r="AF1389" i="1"/>
  <c r="AM1389" i="1"/>
  <c r="AN1389" i="1"/>
  <c r="AO1389" i="1"/>
  <c r="L1390" i="1"/>
  <c r="M1390" i="1"/>
  <c r="N1390" i="1"/>
  <c r="O1390" i="1"/>
  <c r="P1390" i="1"/>
  <c r="Q1390" i="1"/>
  <c r="R1390" i="1"/>
  <c r="S1390" i="1"/>
  <c r="T1390" i="1"/>
  <c r="U1390" i="1"/>
  <c r="V1390" i="1"/>
  <c r="W1390" i="1"/>
  <c r="X1390" i="1"/>
  <c r="Y1390" i="1"/>
  <c r="Z1390" i="1"/>
  <c r="AA1390" i="1"/>
  <c r="AB1390" i="1"/>
  <c r="AC1390" i="1"/>
  <c r="AD1390" i="1"/>
  <c r="AE1390" i="1"/>
  <c r="AF1390" i="1"/>
  <c r="AM1390" i="1"/>
  <c r="AN1390" i="1"/>
  <c r="AO1390" i="1"/>
  <c r="L1391" i="1"/>
  <c r="M1391" i="1"/>
  <c r="N1391" i="1"/>
  <c r="O1391" i="1"/>
  <c r="P1391" i="1"/>
  <c r="Q1391" i="1"/>
  <c r="R1391" i="1"/>
  <c r="S1391" i="1"/>
  <c r="T1391" i="1"/>
  <c r="U1391" i="1"/>
  <c r="V1391" i="1"/>
  <c r="W1391" i="1"/>
  <c r="X1391" i="1"/>
  <c r="Y1391" i="1"/>
  <c r="Z1391" i="1"/>
  <c r="AA1391" i="1"/>
  <c r="AB1391" i="1"/>
  <c r="AC1391" i="1"/>
  <c r="AD1391" i="1"/>
  <c r="AE1391" i="1"/>
  <c r="AF1391" i="1"/>
  <c r="AM1391" i="1"/>
  <c r="AN1391" i="1"/>
  <c r="AO1391" i="1"/>
  <c r="L1392" i="1"/>
  <c r="M1392" i="1"/>
  <c r="N1392" i="1"/>
  <c r="O1392" i="1"/>
  <c r="P1392" i="1"/>
  <c r="Q1392" i="1"/>
  <c r="R1392" i="1"/>
  <c r="S1392" i="1"/>
  <c r="T1392" i="1"/>
  <c r="U1392" i="1"/>
  <c r="V1392" i="1"/>
  <c r="W1392" i="1"/>
  <c r="X1392" i="1"/>
  <c r="Y1392" i="1"/>
  <c r="Z1392" i="1"/>
  <c r="AA1392" i="1"/>
  <c r="AB1392" i="1"/>
  <c r="AC1392" i="1"/>
  <c r="AD1392" i="1"/>
  <c r="AE1392" i="1"/>
  <c r="AF1392" i="1"/>
  <c r="AM1392" i="1"/>
  <c r="AN1392" i="1"/>
  <c r="AO1392" i="1"/>
  <c r="L1393" i="1"/>
  <c r="M1393" i="1"/>
  <c r="N1393" i="1"/>
  <c r="O1393" i="1"/>
  <c r="P1393" i="1"/>
  <c r="Q1393" i="1"/>
  <c r="R1393" i="1"/>
  <c r="S1393" i="1"/>
  <c r="T1393" i="1"/>
  <c r="U1393" i="1"/>
  <c r="V1393" i="1"/>
  <c r="W1393" i="1"/>
  <c r="X1393" i="1"/>
  <c r="Y1393" i="1"/>
  <c r="Z1393" i="1"/>
  <c r="AA1393" i="1"/>
  <c r="AB1393" i="1"/>
  <c r="AC1393" i="1"/>
  <c r="AD1393" i="1"/>
  <c r="AE1393" i="1"/>
  <c r="AF1393" i="1"/>
  <c r="AM1393" i="1"/>
  <c r="AN1393" i="1"/>
  <c r="AO1393" i="1"/>
  <c r="L1394" i="1"/>
  <c r="M1394" i="1"/>
  <c r="N1394" i="1"/>
  <c r="O1394" i="1"/>
  <c r="P1394" i="1"/>
  <c r="Q1394" i="1"/>
  <c r="R1394" i="1"/>
  <c r="S1394" i="1"/>
  <c r="T1394" i="1"/>
  <c r="U1394" i="1"/>
  <c r="V1394" i="1"/>
  <c r="W1394" i="1"/>
  <c r="X1394" i="1"/>
  <c r="Y1394" i="1"/>
  <c r="Z1394" i="1"/>
  <c r="AA1394" i="1"/>
  <c r="AB1394" i="1"/>
  <c r="AC1394" i="1"/>
  <c r="AD1394" i="1"/>
  <c r="AE1394" i="1"/>
  <c r="AF1394" i="1"/>
  <c r="AM1394" i="1"/>
  <c r="AN1394" i="1"/>
  <c r="AO1394" i="1"/>
  <c r="L1395" i="1"/>
  <c r="M1395" i="1"/>
  <c r="N1395" i="1"/>
  <c r="O1395" i="1"/>
  <c r="P1395" i="1"/>
  <c r="Q1395" i="1"/>
  <c r="R1395" i="1"/>
  <c r="S1395" i="1"/>
  <c r="T1395" i="1"/>
  <c r="U1395" i="1"/>
  <c r="V1395" i="1"/>
  <c r="W1395" i="1"/>
  <c r="X1395" i="1"/>
  <c r="Y1395" i="1"/>
  <c r="Z1395" i="1"/>
  <c r="AA1395" i="1"/>
  <c r="AB1395" i="1"/>
  <c r="AC1395" i="1"/>
  <c r="AD1395" i="1"/>
  <c r="AE1395" i="1"/>
  <c r="AF1395" i="1"/>
  <c r="AM1395" i="1"/>
  <c r="AN1395" i="1"/>
  <c r="AO1395" i="1"/>
  <c r="L1396" i="1"/>
  <c r="M1396" i="1"/>
  <c r="N1396" i="1"/>
  <c r="O1396" i="1"/>
  <c r="P1396" i="1"/>
  <c r="Q1396" i="1"/>
  <c r="R1396" i="1"/>
  <c r="S1396" i="1"/>
  <c r="T1396" i="1"/>
  <c r="U1396" i="1"/>
  <c r="V1396" i="1"/>
  <c r="W1396" i="1"/>
  <c r="X1396" i="1"/>
  <c r="Y1396" i="1"/>
  <c r="Z1396" i="1"/>
  <c r="AA1396" i="1"/>
  <c r="AB1396" i="1"/>
  <c r="AC1396" i="1"/>
  <c r="AD1396" i="1"/>
  <c r="AE1396" i="1"/>
  <c r="AF1396" i="1"/>
  <c r="AM1396" i="1"/>
  <c r="AN1396" i="1"/>
  <c r="AO1396" i="1"/>
  <c r="L1397" i="1"/>
  <c r="M1397" i="1"/>
  <c r="N1397" i="1"/>
  <c r="O1397" i="1"/>
  <c r="P1397" i="1"/>
  <c r="Q1397" i="1"/>
  <c r="R1397" i="1"/>
  <c r="S1397" i="1"/>
  <c r="T1397" i="1"/>
  <c r="U1397" i="1"/>
  <c r="V1397" i="1"/>
  <c r="W1397" i="1"/>
  <c r="X1397" i="1"/>
  <c r="Y1397" i="1"/>
  <c r="Z1397" i="1"/>
  <c r="AA1397" i="1"/>
  <c r="AB1397" i="1"/>
  <c r="AC1397" i="1"/>
  <c r="AD1397" i="1"/>
  <c r="AE1397" i="1"/>
  <c r="AF1397" i="1"/>
  <c r="AM1397" i="1"/>
  <c r="AN1397" i="1"/>
  <c r="AO1397" i="1"/>
  <c r="L1398" i="1"/>
  <c r="M1398" i="1"/>
  <c r="N1398" i="1"/>
  <c r="O1398" i="1"/>
  <c r="P1398" i="1"/>
  <c r="Q1398" i="1"/>
  <c r="R1398" i="1"/>
  <c r="S1398" i="1"/>
  <c r="T1398" i="1"/>
  <c r="U1398" i="1"/>
  <c r="V1398" i="1"/>
  <c r="W1398" i="1"/>
  <c r="X1398" i="1"/>
  <c r="Y1398" i="1"/>
  <c r="Z1398" i="1"/>
  <c r="AA1398" i="1"/>
  <c r="AB1398" i="1"/>
  <c r="AC1398" i="1"/>
  <c r="AD1398" i="1"/>
  <c r="AE1398" i="1"/>
  <c r="AF1398" i="1"/>
  <c r="AM1398" i="1"/>
  <c r="AN1398" i="1"/>
  <c r="AO1398" i="1"/>
  <c r="L1399" i="1"/>
  <c r="M1399" i="1"/>
  <c r="N1399" i="1"/>
  <c r="O1399" i="1"/>
  <c r="P1399" i="1"/>
  <c r="Q1399" i="1"/>
  <c r="R1399" i="1"/>
  <c r="S1399" i="1"/>
  <c r="T1399" i="1"/>
  <c r="U1399" i="1"/>
  <c r="V1399" i="1"/>
  <c r="W1399" i="1"/>
  <c r="X1399" i="1"/>
  <c r="Y1399" i="1"/>
  <c r="Z1399" i="1"/>
  <c r="AA1399" i="1"/>
  <c r="AB1399" i="1"/>
  <c r="AC1399" i="1"/>
  <c r="AD1399" i="1"/>
  <c r="AE1399" i="1"/>
  <c r="AF1399" i="1"/>
  <c r="AM1399" i="1"/>
  <c r="AN1399" i="1"/>
  <c r="AO1399" i="1"/>
  <c r="L1400" i="1"/>
  <c r="M1400" i="1"/>
  <c r="N1400" i="1"/>
  <c r="O1400" i="1"/>
  <c r="P1400" i="1"/>
  <c r="Q1400" i="1"/>
  <c r="R1400" i="1"/>
  <c r="S1400" i="1"/>
  <c r="T1400" i="1"/>
  <c r="U1400" i="1"/>
  <c r="V1400" i="1"/>
  <c r="W1400" i="1"/>
  <c r="X1400" i="1"/>
  <c r="Y1400" i="1"/>
  <c r="Z1400" i="1"/>
  <c r="AA1400" i="1"/>
  <c r="AB1400" i="1"/>
  <c r="AC1400" i="1"/>
  <c r="AD1400" i="1"/>
  <c r="AE1400" i="1"/>
  <c r="AF1400" i="1"/>
  <c r="AM1400" i="1"/>
  <c r="AN1400" i="1"/>
  <c r="AO1400" i="1"/>
  <c r="L1401" i="1"/>
  <c r="M1401" i="1"/>
  <c r="N1401" i="1"/>
  <c r="O1401" i="1"/>
  <c r="P1401" i="1"/>
  <c r="Q1401" i="1"/>
  <c r="R1401" i="1"/>
  <c r="S1401" i="1"/>
  <c r="T1401" i="1"/>
  <c r="U1401" i="1"/>
  <c r="V1401" i="1"/>
  <c r="W1401" i="1"/>
  <c r="X1401" i="1"/>
  <c r="Y1401" i="1"/>
  <c r="Z1401" i="1"/>
  <c r="AA1401" i="1"/>
  <c r="AB1401" i="1"/>
  <c r="AC1401" i="1"/>
  <c r="AD1401" i="1"/>
  <c r="AE1401" i="1"/>
  <c r="AF1401" i="1"/>
  <c r="AM1401" i="1"/>
  <c r="AN1401" i="1"/>
  <c r="AO1401" i="1"/>
  <c r="L1402" i="1"/>
  <c r="M1402" i="1"/>
  <c r="N1402" i="1"/>
  <c r="O1402" i="1"/>
  <c r="P1402" i="1"/>
  <c r="Q1402" i="1"/>
  <c r="R1402" i="1"/>
  <c r="S1402" i="1"/>
  <c r="T1402" i="1"/>
  <c r="U1402" i="1"/>
  <c r="V1402" i="1"/>
  <c r="W1402" i="1"/>
  <c r="X1402" i="1"/>
  <c r="Y1402" i="1"/>
  <c r="Z1402" i="1"/>
  <c r="AA1402" i="1"/>
  <c r="AB1402" i="1"/>
  <c r="AC1402" i="1"/>
  <c r="AD1402" i="1"/>
  <c r="AE1402" i="1"/>
  <c r="AF1402" i="1"/>
  <c r="AM1402" i="1"/>
  <c r="AN1402" i="1"/>
  <c r="AO1402" i="1"/>
  <c r="L1403" i="1"/>
  <c r="M1403" i="1"/>
  <c r="N1403" i="1"/>
  <c r="O1403" i="1"/>
  <c r="P1403" i="1"/>
  <c r="Q1403" i="1"/>
  <c r="R1403" i="1"/>
  <c r="S1403" i="1"/>
  <c r="T1403" i="1"/>
  <c r="U1403" i="1"/>
  <c r="V1403" i="1"/>
  <c r="W1403" i="1"/>
  <c r="X1403" i="1"/>
  <c r="Y1403" i="1"/>
  <c r="Z1403" i="1"/>
  <c r="AA1403" i="1"/>
  <c r="AB1403" i="1"/>
  <c r="AC1403" i="1"/>
  <c r="AD1403" i="1"/>
  <c r="AE1403" i="1"/>
  <c r="AF1403" i="1"/>
  <c r="AM1403" i="1"/>
  <c r="AN1403" i="1"/>
  <c r="AO1403" i="1"/>
  <c r="L1404" i="1"/>
  <c r="M1404" i="1"/>
  <c r="N1404" i="1"/>
  <c r="O1404" i="1"/>
  <c r="P1404" i="1"/>
  <c r="Q1404" i="1"/>
  <c r="R1404" i="1"/>
  <c r="S1404" i="1"/>
  <c r="T1404" i="1"/>
  <c r="U1404" i="1"/>
  <c r="V1404" i="1"/>
  <c r="W1404" i="1"/>
  <c r="X1404" i="1"/>
  <c r="Y1404" i="1"/>
  <c r="Z1404" i="1"/>
  <c r="AA1404" i="1"/>
  <c r="AB1404" i="1"/>
  <c r="AC1404" i="1"/>
  <c r="AD1404" i="1"/>
  <c r="AE1404" i="1"/>
  <c r="AF1404" i="1"/>
  <c r="AM1404" i="1"/>
  <c r="AN1404" i="1"/>
  <c r="AO1404" i="1"/>
  <c r="L1405" i="1"/>
  <c r="M1405" i="1"/>
  <c r="N1405" i="1"/>
  <c r="O1405" i="1"/>
  <c r="P1405" i="1"/>
  <c r="Q1405" i="1"/>
  <c r="R1405" i="1"/>
  <c r="S1405" i="1"/>
  <c r="T1405" i="1"/>
  <c r="U1405" i="1"/>
  <c r="V1405" i="1"/>
  <c r="W1405" i="1"/>
  <c r="X1405" i="1"/>
  <c r="Y1405" i="1"/>
  <c r="Z1405" i="1"/>
  <c r="AA1405" i="1"/>
  <c r="AB1405" i="1"/>
  <c r="AC1405" i="1"/>
  <c r="AD1405" i="1"/>
  <c r="AE1405" i="1"/>
  <c r="AF1405" i="1"/>
  <c r="AM1405" i="1"/>
  <c r="AN1405" i="1"/>
  <c r="AO1405" i="1"/>
  <c r="L1406" i="1"/>
  <c r="M1406" i="1"/>
  <c r="N1406" i="1"/>
  <c r="O1406" i="1"/>
  <c r="P1406" i="1"/>
  <c r="Q1406" i="1"/>
  <c r="R1406" i="1"/>
  <c r="S1406" i="1"/>
  <c r="T1406" i="1"/>
  <c r="U1406" i="1"/>
  <c r="V1406" i="1"/>
  <c r="W1406" i="1"/>
  <c r="X1406" i="1"/>
  <c r="Y1406" i="1"/>
  <c r="Z1406" i="1"/>
  <c r="AA1406" i="1"/>
  <c r="AB1406" i="1"/>
  <c r="AC1406" i="1"/>
  <c r="AD1406" i="1"/>
  <c r="AE1406" i="1"/>
  <c r="AF1406" i="1"/>
  <c r="AM1406" i="1"/>
  <c r="AN1406" i="1"/>
  <c r="AO1406" i="1"/>
  <c r="L1407" i="1"/>
  <c r="M1407" i="1"/>
  <c r="N1407" i="1"/>
  <c r="O1407" i="1"/>
  <c r="P1407" i="1"/>
  <c r="Q1407" i="1"/>
  <c r="R1407" i="1"/>
  <c r="S1407" i="1"/>
  <c r="T1407" i="1"/>
  <c r="U1407" i="1"/>
  <c r="V1407" i="1"/>
  <c r="W1407" i="1"/>
  <c r="X1407" i="1"/>
  <c r="Y1407" i="1"/>
  <c r="Z1407" i="1"/>
  <c r="AA1407" i="1"/>
  <c r="AB1407" i="1"/>
  <c r="AC1407" i="1"/>
  <c r="AD1407" i="1"/>
  <c r="AE1407" i="1"/>
  <c r="AF1407" i="1"/>
  <c r="AM1407" i="1"/>
  <c r="AN1407" i="1"/>
  <c r="AO1407" i="1"/>
  <c r="L1408" i="1"/>
  <c r="M1408" i="1"/>
  <c r="N1408" i="1"/>
  <c r="O1408" i="1"/>
  <c r="P1408" i="1"/>
  <c r="Q1408" i="1"/>
  <c r="R1408" i="1"/>
  <c r="S1408" i="1"/>
  <c r="T1408" i="1"/>
  <c r="U1408" i="1"/>
  <c r="V1408" i="1"/>
  <c r="W1408" i="1"/>
  <c r="X1408" i="1"/>
  <c r="Y1408" i="1"/>
  <c r="Z1408" i="1"/>
  <c r="AA1408" i="1"/>
  <c r="AB1408" i="1"/>
  <c r="AC1408" i="1"/>
  <c r="AD1408" i="1"/>
  <c r="AE1408" i="1"/>
  <c r="AF1408" i="1"/>
  <c r="AM1408" i="1"/>
  <c r="AN1408" i="1"/>
  <c r="AO1408" i="1"/>
  <c r="L1409" i="1"/>
  <c r="M1409" i="1"/>
  <c r="N1409" i="1"/>
  <c r="O1409" i="1"/>
  <c r="P1409" i="1"/>
  <c r="Q1409" i="1"/>
  <c r="R1409" i="1"/>
  <c r="S1409" i="1"/>
  <c r="T1409" i="1"/>
  <c r="U1409" i="1"/>
  <c r="V1409" i="1"/>
  <c r="W1409" i="1"/>
  <c r="X1409" i="1"/>
  <c r="Y1409" i="1"/>
  <c r="Z1409" i="1"/>
  <c r="AA1409" i="1"/>
  <c r="AB1409" i="1"/>
  <c r="AC1409" i="1"/>
  <c r="AD1409" i="1"/>
  <c r="AE1409" i="1"/>
  <c r="AF1409" i="1"/>
  <c r="AM1409" i="1"/>
  <c r="AN1409" i="1"/>
  <c r="AO1409" i="1"/>
  <c r="L1410" i="1"/>
  <c r="M1410" i="1"/>
  <c r="N1410" i="1"/>
  <c r="O1410" i="1"/>
  <c r="P1410" i="1"/>
  <c r="Q1410" i="1"/>
  <c r="R1410" i="1"/>
  <c r="S1410" i="1"/>
  <c r="T1410" i="1"/>
  <c r="U1410" i="1"/>
  <c r="V1410" i="1"/>
  <c r="W1410" i="1"/>
  <c r="X1410" i="1"/>
  <c r="Y1410" i="1"/>
  <c r="Z1410" i="1"/>
  <c r="AA1410" i="1"/>
  <c r="AB1410" i="1"/>
  <c r="AC1410" i="1"/>
  <c r="AD1410" i="1"/>
  <c r="AE1410" i="1"/>
  <c r="AF1410" i="1"/>
  <c r="AM1410" i="1"/>
  <c r="AN1410" i="1"/>
  <c r="AO1410" i="1"/>
  <c r="L1411" i="1"/>
  <c r="M1411" i="1"/>
  <c r="N1411" i="1"/>
  <c r="O1411" i="1"/>
  <c r="P1411" i="1"/>
  <c r="Q1411" i="1"/>
  <c r="R1411" i="1"/>
  <c r="S1411" i="1"/>
  <c r="T1411" i="1"/>
  <c r="U1411" i="1"/>
  <c r="V1411" i="1"/>
  <c r="W1411" i="1"/>
  <c r="X1411" i="1"/>
  <c r="Y1411" i="1"/>
  <c r="Z1411" i="1"/>
  <c r="AA1411" i="1"/>
  <c r="AB1411" i="1"/>
  <c r="AC1411" i="1"/>
  <c r="AD1411" i="1"/>
  <c r="AE1411" i="1"/>
  <c r="AF1411" i="1"/>
  <c r="AM1411" i="1"/>
  <c r="AN1411" i="1"/>
  <c r="AO1411" i="1"/>
  <c r="L1412" i="1"/>
  <c r="M1412" i="1"/>
  <c r="N1412" i="1"/>
  <c r="O1412" i="1"/>
  <c r="P1412" i="1"/>
  <c r="Q1412" i="1"/>
  <c r="R1412" i="1"/>
  <c r="S1412" i="1"/>
  <c r="T1412" i="1"/>
  <c r="U1412" i="1"/>
  <c r="V1412" i="1"/>
  <c r="W1412" i="1"/>
  <c r="X1412" i="1"/>
  <c r="Y1412" i="1"/>
  <c r="Z1412" i="1"/>
  <c r="AA1412" i="1"/>
  <c r="AB1412" i="1"/>
  <c r="AC1412" i="1"/>
  <c r="AD1412" i="1"/>
  <c r="AE1412" i="1"/>
  <c r="AF1412" i="1"/>
  <c r="AM1412" i="1"/>
  <c r="AN1412" i="1"/>
  <c r="AO1412" i="1"/>
  <c r="L1413" i="1"/>
  <c r="M1413" i="1"/>
  <c r="N1413" i="1"/>
  <c r="O1413" i="1"/>
  <c r="P1413" i="1"/>
  <c r="Q1413" i="1"/>
  <c r="R1413" i="1"/>
  <c r="S1413" i="1"/>
  <c r="T1413" i="1"/>
  <c r="U1413" i="1"/>
  <c r="V1413" i="1"/>
  <c r="W1413" i="1"/>
  <c r="X1413" i="1"/>
  <c r="Y1413" i="1"/>
  <c r="Z1413" i="1"/>
  <c r="AA1413" i="1"/>
  <c r="AB1413" i="1"/>
  <c r="AC1413" i="1"/>
  <c r="AD1413" i="1"/>
  <c r="AE1413" i="1"/>
  <c r="AF1413" i="1"/>
  <c r="AM1413" i="1"/>
  <c r="AN1413" i="1"/>
  <c r="AO1413" i="1"/>
  <c r="L1414" i="1"/>
  <c r="M1414" i="1"/>
  <c r="N1414" i="1"/>
  <c r="O1414" i="1"/>
  <c r="P1414" i="1"/>
  <c r="Q1414" i="1"/>
  <c r="R1414" i="1"/>
  <c r="S1414" i="1"/>
  <c r="T1414" i="1"/>
  <c r="U1414" i="1"/>
  <c r="V1414" i="1"/>
  <c r="W1414" i="1"/>
  <c r="X1414" i="1"/>
  <c r="Y1414" i="1"/>
  <c r="Z1414" i="1"/>
  <c r="AA1414" i="1"/>
  <c r="AB1414" i="1"/>
  <c r="AC1414" i="1"/>
  <c r="AD1414" i="1"/>
  <c r="AE1414" i="1"/>
  <c r="AF1414" i="1"/>
  <c r="AM1414" i="1"/>
  <c r="AN1414" i="1"/>
  <c r="AO1414" i="1"/>
  <c r="L1415" i="1"/>
  <c r="M1415" i="1"/>
  <c r="N1415" i="1"/>
  <c r="O1415" i="1"/>
  <c r="P1415" i="1"/>
  <c r="Q1415" i="1"/>
  <c r="R1415" i="1"/>
  <c r="S1415" i="1"/>
  <c r="T1415" i="1"/>
  <c r="U1415" i="1"/>
  <c r="V1415" i="1"/>
  <c r="W1415" i="1"/>
  <c r="X1415" i="1"/>
  <c r="Y1415" i="1"/>
  <c r="Z1415" i="1"/>
  <c r="AA1415" i="1"/>
  <c r="AB1415" i="1"/>
  <c r="AC1415" i="1"/>
  <c r="AD1415" i="1"/>
  <c r="AE1415" i="1"/>
  <c r="AF1415" i="1"/>
  <c r="AM1415" i="1"/>
  <c r="AN1415" i="1"/>
  <c r="AO1415" i="1"/>
  <c r="L1416" i="1"/>
  <c r="M1416" i="1"/>
  <c r="N1416" i="1"/>
  <c r="O1416" i="1"/>
  <c r="P1416" i="1"/>
  <c r="Q1416" i="1"/>
  <c r="R1416" i="1"/>
  <c r="S1416" i="1"/>
  <c r="T1416" i="1"/>
  <c r="U1416" i="1"/>
  <c r="V1416" i="1"/>
  <c r="W1416" i="1"/>
  <c r="X1416" i="1"/>
  <c r="Y1416" i="1"/>
  <c r="Z1416" i="1"/>
  <c r="AA1416" i="1"/>
  <c r="AB1416" i="1"/>
  <c r="AC1416" i="1"/>
  <c r="AD1416" i="1"/>
  <c r="AE1416" i="1"/>
  <c r="AF1416" i="1"/>
  <c r="AM1416" i="1"/>
  <c r="AN1416" i="1"/>
  <c r="AO1416" i="1"/>
  <c r="L1417" i="1"/>
  <c r="M1417" i="1"/>
  <c r="N1417" i="1"/>
  <c r="O1417" i="1"/>
  <c r="P1417" i="1"/>
  <c r="Q1417" i="1"/>
  <c r="R1417" i="1"/>
  <c r="S1417" i="1"/>
  <c r="T1417" i="1"/>
  <c r="U1417" i="1"/>
  <c r="V1417" i="1"/>
  <c r="W1417" i="1"/>
  <c r="X1417" i="1"/>
  <c r="Y1417" i="1"/>
  <c r="Z1417" i="1"/>
  <c r="AA1417" i="1"/>
  <c r="AB1417" i="1"/>
  <c r="AC1417" i="1"/>
  <c r="AD1417" i="1"/>
  <c r="AE1417" i="1"/>
  <c r="AF1417" i="1"/>
  <c r="AM1417" i="1"/>
  <c r="AN1417" i="1"/>
  <c r="AO1417" i="1"/>
  <c r="L1418" i="1"/>
  <c r="M1418" i="1"/>
  <c r="N1418" i="1"/>
  <c r="O1418" i="1"/>
  <c r="P1418" i="1"/>
  <c r="Q1418" i="1"/>
  <c r="R1418" i="1"/>
  <c r="S1418" i="1"/>
  <c r="T1418" i="1"/>
  <c r="U1418" i="1"/>
  <c r="V1418" i="1"/>
  <c r="W1418" i="1"/>
  <c r="X1418" i="1"/>
  <c r="Y1418" i="1"/>
  <c r="Z1418" i="1"/>
  <c r="AA1418" i="1"/>
  <c r="AB1418" i="1"/>
  <c r="AC1418" i="1"/>
  <c r="AD1418" i="1"/>
  <c r="AE1418" i="1"/>
  <c r="AF1418" i="1"/>
  <c r="AM1418" i="1"/>
  <c r="AN1418" i="1"/>
  <c r="AO1418" i="1"/>
  <c r="L1419" i="1"/>
  <c r="M1419" i="1"/>
  <c r="N1419" i="1"/>
  <c r="O1419" i="1"/>
  <c r="P1419" i="1"/>
  <c r="Q1419" i="1"/>
  <c r="R1419" i="1"/>
  <c r="S1419" i="1"/>
  <c r="T1419" i="1"/>
  <c r="U1419" i="1"/>
  <c r="V1419" i="1"/>
  <c r="W1419" i="1"/>
  <c r="X1419" i="1"/>
  <c r="Y1419" i="1"/>
  <c r="Z1419" i="1"/>
  <c r="AA1419" i="1"/>
  <c r="AB1419" i="1"/>
  <c r="AC1419" i="1"/>
  <c r="AD1419" i="1"/>
  <c r="AE1419" i="1"/>
  <c r="AF1419" i="1"/>
  <c r="AM1419" i="1"/>
  <c r="AN1419" i="1"/>
  <c r="AO1419" i="1"/>
  <c r="L1420" i="1"/>
  <c r="M1420" i="1"/>
  <c r="N1420" i="1"/>
  <c r="O1420" i="1"/>
  <c r="P1420" i="1"/>
  <c r="Q1420" i="1"/>
  <c r="R1420" i="1"/>
  <c r="S1420" i="1"/>
  <c r="T1420" i="1"/>
  <c r="U1420" i="1"/>
  <c r="V1420" i="1"/>
  <c r="W1420" i="1"/>
  <c r="X1420" i="1"/>
  <c r="Y1420" i="1"/>
  <c r="Z1420" i="1"/>
  <c r="AA1420" i="1"/>
  <c r="AB1420" i="1"/>
  <c r="AC1420" i="1"/>
  <c r="AD1420" i="1"/>
  <c r="AE1420" i="1"/>
  <c r="AF1420" i="1"/>
  <c r="AM1420" i="1"/>
  <c r="AN1420" i="1"/>
  <c r="AO1420" i="1"/>
  <c r="L1421" i="1"/>
  <c r="M1421" i="1"/>
  <c r="N1421" i="1"/>
  <c r="O1421" i="1"/>
  <c r="P1421" i="1"/>
  <c r="Q1421" i="1"/>
  <c r="R1421" i="1"/>
  <c r="S1421" i="1"/>
  <c r="T1421" i="1"/>
  <c r="U1421" i="1"/>
  <c r="V1421" i="1"/>
  <c r="W1421" i="1"/>
  <c r="X1421" i="1"/>
  <c r="Y1421" i="1"/>
  <c r="Z1421" i="1"/>
  <c r="AA1421" i="1"/>
  <c r="AB1421" i="1"/>
  <c r="AC1421" i="1"/>
  <c r="AD1421" i="1"/>
  <c r="AE1421" i="1"/>
  <c r="AF1421" i="1"/>
  <c r="AM1421" i="1"/>
  <c r="AN1421" i="1"/>
  <c r="AO1421" i="1"/>
  <c r="L1422" i="1"/>
  <c r="M1422" i="1"/>
  <c r="N1422" i="1"/>
  <c r="O1422" i="1"/>
  <c r="P1422" i="1"/>
  <c r="Q1422" i="1"/>
  <c r="R1422" i="1"/>
  <c r="S1422" i="1"/>
  <c r="T1422" i="1"/>
  <c r="U1422" i="1"/>
  <c r="V1422" i="1"/>
  <c r="W1422" i="1"/>
  <c r="X1422" i="1"/>
  <c r="Y1422" i="1"/>
  <c r="Z1422" i="1"/>
  <c r="AA1422" i="1"/>
  <c r="AB1422" i="1"/>
  <c r="AC1422" i="1"/>
  <c r="AD1422" i="1"/>
  <c r="AE1422" i="1"/>
  <c r="AF1422" i="1"/>
  <c r="AM1422" i="1"/>
  <c r="AN1422" i="1"/>
  <c r="AO1422" i="1"/>
  <c r="L1423" i="1"/>
  <c r="M1423" i="1"/>
  <c r="N1423" i="1"/>
  <c r="O1423" i="1"/>
  <c r="P1423" i="1"/>
  <c r="Q1423" i="1"/>
  <c r="R1423" i="1"/>
  <c r="S1423" i="1"/>
  <c r="T1423" i="1"/>
  <c r="U1423" i="1"/>
  <c r="V1423" i="1"/>
  <c r="W1423" i="1"/>
  <c r="X1423" i="1"/>
  <c r="Y1423" i="1"/>
  <c r="Z1423" i="1"/>
  <c r="AA1423" i="1"/>
  <c r="AB1423" i="1"/>
  <c r="AC1423" i="1"/>
  <c r="AD1423" i="1"/>
  <c r="AE1423" i="1"/>
  <c r="AF1423" i="1"/>
  <c r="AM1423" i="1"/>
  <c r="AN1423" i="1"/>
  <c r="AO1423" i="1"/>
  <c r="L1424" i="1"/>
  <c r="M1424" i="1"/>
  <c r="N1424" i="1"/>
  <c r="O1424" i="1"/>
  <c r="P1424" i="1"/>
  <c r="Q1424" i="1"/>
  <c r="R1424" i="1"/>
  <c r="S1424" i="1"/>
  <c r="T1424" i="1"/>
  <c r="U1424" i="1"/>
  <c r="V1424" i="1"/>
  <c r="W1424" i="1"/>
  <c r="X1424" i="1"/>
  <c r="Y1424" i="1"/>
  <c r="Z1424" i="1"/>
  <c r="AA1424" i="1"/>
  <c r="AB1424" i="1"/>
  <c r="AC1424" i="1"/>
  <c r="AD1424" i="1"/>
  <c r="AE1424" i="1"/>
  <c r="AF1424" i="1"/>
  <c r="AM1424" i="1"/>
  <c r="AN1424" i="1"/>
  <c r="AO1424" i="1"/>
  <c r="L1425" i="1"/>
  <c r="M1425" i="1"/>
  <c r="N1425" i="1"/>
  <c r="O1425" i="1"/>
  <c r="P1425" i="1"/>
  <c r="Q1425" i="1"/>
  <c r="R1425" i="1"/>
  <c r="S1425" i="1"/>
  <c r="T1425" i="1"/>
  <c r="U1425" i="1"/>
  <c r="V1425" i="1"/>
  <c r="W1425" i="1"/>
  <c r="X1425" i="1"/>
  <c r="Y1425" i="1"/>
  <c r="Z1425" i="1"/>
  <c r="AA1425" i="1"/>
  <c r="AB1425" i="1"/>
  <c r="AC1425" i="1"/>
  <c r="AD1425" i="1"/>
  <c r="AE1425" i="1"/>
  <c r="AF1425" i="1"/>
  <c r="AM1425" i="1"/>
  <c r="AN1425" i="1"/>
  <c r="AO1425" i="1"/>
  <c r="L1426" i="1"/>
  <c r="M1426" i="1"/>
  <c r="N1426" i="1"/>
  <c r="O1426" i="1"/>
  <c r="P1426" i="1"/>
  <c r="Q1426" i="1"/>
  <c r="R1426" i="1"/>
  <c r="S1426" i="1"/>
  <c r="T1426" i="1"/>
  <c r="U1426" i="1"/>
  <c r="V1426" i="1"/>
  <c r="W1426" i="1"/>
  <c r="X1426" i="1"/>
  <c r="Y1426" i="1"/>
  <c r="Z1426" i="1"/>
  <c r="AA1426" i="1"/>
  <c r="AB1426" i="1"/>
  <c r="AC1426" i="1"/>
  <c r="AD1426" i="1"/>
  <c r="AE1426" i="1"/>
  <c r="AF1426" i="1"/>
  <c r="AM1426" i="1"/>
  <c r="AN1426" i="1"/>
  <c r="AO1426" i="1"/>
  <c r="L1427" i="1"/>
  <c r="M1427" i="1"/>
  <c r="N1427" i="1"/>
  <c r="O1427" i="1"/>
  <c r="P1427" i="1"/>
  <c r="Q1427" i="1"/>
  <c r="R1427" i="1"/>
  <c r="S1427" i="1"/>
  <c r="T1427" i="1"/>
  <c r="U1427" i="1"/>
  <c r="V1427" i="1"/>
  <c r="W1427" i="1"/>
  <c r="X1427" i="1"/>
  <c r="Y1427" i="1"/>
  <c r="Z1427" i="1"/>
  <c r="AA1427" i="1"/>
  <c r="AB1427" i="1"/>
  <c r="AC1427" i="1"/>
  <c r="AD1427" i="1"/>
  <c r="AE1427" i="1"/>
  <c r="AF1427" i="1"/>
  <c r="AM1427" i="1"/>
  <c r="AN1427" i="1"/>
  <c r="AO1427" i="1"/>
  <c r="L1428" i="1"/>
  <c r="M1428" i="1"/>
  <c r="N1428" i="1"/>
  <c r="O1428" i="1"/>
  <c r="P1428" i="1"/>
  <c r="Q1428" i="1"/>
  <c r="R1428" i="1"/>
  <c r="S1428" i="1"/>
  <c r="T1428" i="1"/>
  <c r="U1428" i="1"/>
  <c r="V1428" i="1"/>
  <c r="W1428" i="1"/>
  <c r="X1428" i="1"/>
  <c r="Y1428" i="1"/>
  <c r="Z1428" i="1"/>
  <c r="AA1428" i="1"/>
  <c r="AB1428" i="1"/>
  <c r="AC1428" i="1"/>
  <c r="AD1428" i="1"/>
  <c r="AE1428" i="1"/>
  <c r="AF1428" i="1"/>
  <c r="AM1428" i="1"/>
  <c r="AN1428" i="1"/>
  <c r="AO1428" i="1"/>
  <c r="L1429" i="1"/>
  <c r="M1429" i="1"/>
  <c r="N1429" i="1"/>
  <c r="O1429" i="1"/>
  <c r="P1429" i="1"/>
  <c r="Q1429" i="1"/>
  <c r="R1429" i="1"/>
  <c r="S1429" i="1"/>
  <c r="T1429" i="1"/>
  <c r="U1429" i="1"/>
  <c r="V1429" i="1"/>
  <c r="W1429" i="1"/>
  <c r="X1429" i="1"/>
  <c r="Y1429" i="1"/>
  <c r="Z1429" i="1"/>
  <c r="AA1429" i="1"/>
  <c r="AB1429" i="1"/>
  <c r="AC1429" i="1"/>
  <c r="AD1429" i="1"/>
  <c r="AE1429" i="1"/>
  <c r="AF1429" i="1"/>
  <c r="AM1429" i="1"/>
  <c r="AN1429" i="1"/>
  <c r="AO1429" i="1"/>
  <c r="L1430" i="1"/>
  <c r="M1430" i="1"/>
  <c r="N1430" i="1"/>
  <c r="O1430" i="1"/>
  <c r="P1430" i="1"/>
  <c r="Q1430" i="1"/>
  <c r="R1430" i="1"/>
  <c r="S1430" i="1"/>
  <c r="T1430" i="1"/>
  <c r="U1430" i="1"/>
  <c r="V1430" i="1"/>
  <c r="W1430" i="1"/>
  <c r="X1430" i="1"/>
  <c r="Y1430" i="1"/>
  <c r="Z1430" i="1"/>
  <c r="AA1430" i="1"/>
  <c r="AB1430" i="1"/>
  <c r="AC1430" i="1"/>
  <c r="AD1430" i="1"/>
  <c r="AE1430" i="1"/>
  <c r="AF1430" i="1"/>
  <c r="AM1430" i="1"/>
  <c r="AN1430" i="1"/>
  <c r="AO1430" i="1"/>
  <c r="L1431" i="1"/>
  <c r="M1431" i="1"/>
  <c r="N1431" i="1"/>
  <c r="O1431" i="1"/>
  <c r="P1431" i="1"/>
  <c r="Q1431" i="1"/>
  <c r="R1431" i="1"/>
  <c r="S1431" i="1"/>
  <c r="T1431" i="1"/>
  <c r="U1431" i="1"/>
  <c r="V1431" i="1"/>
  <c r="W1431" i="1"/>
  <c r="X1431" i="1"/>
  <c r="Y1431" i="1"/>
  <c r="Z1431" i="1"/>
  <c r="AA1431" i="1"/>
  <c r="AB1431" i="1"/>
  <c r="AC1431" i="1"/>
  <c r="AD1431" i="1"/>
  <c r="AE1431" i="1"/>
  <c r="AF1431" i="1"/>
  <c r="AM1431" i="1"/>
  <c r="AN1431" i="1"/>
  <c r="AO1431" i="1"/>
  <c r="L1432" i="1"/>
  <c r="M1432" i="1"/>
  <c r="N1432" i="1"/>
  <c r="O1432" i="1"/>
  <c r="P1432" i="1"/>
  <c r="Q1432" i="1"/>
  <c r="R1432" i="1"/>
  <c r="S1432" i="1"/>
  <c r="T1432" i="1"/>
  <c r="U1432" i="1"/>
  <c r="V1432" i="1"/>
  <c r="W1432" i="1"/>
  <c r="X1432" i="1"/>
  <c r="Y1432" i="1"/>
  <c r="Z1432" i="1"/>
  <c r="AA1432" i="1"/>
  <c r="AB1432" i="1"/>
  <c r="AC1432" i="1"/>
  <c r="AD1432" i="1"/>
  <c r="AE1432" i="1"/>
  <c r="AF1432" i="1"/>
  <c r="AM1432" i="1"/>
  <c r="AN1432" i="1"/>
  <c r="AO1432" i="1"/>
  <c r="L1433" i="1"/>
  <c r="M1433" i="1"/>
  <c r="N1433" i="1"/>
  <c r="O1433" i="1"/>
  <c r="P1433" i="1"/>
  <c r="Q1433" i="1"/>
  <c r="R1433" i="1"/>
  <c r="S1433" i="1"/>
  <c r="T1433" i="1"/>
  <c r="U1433" i="1"/>
  <c r="V1433" i="1"/>
  <c r="W1433" i="1"/>
  <c r="X1433" i="1"/>
  <c r="Y1433" i="1"/>
  <c r="Z1433" i="1"/>
  <c r="AA1433" i="1"/>
  <c r="AB1433" i="1"/>
  <c r="AC1433" i="1"/>
  <c r="AD1433" i="1"/>
  <c r="AE1433" i="1"/>
  <c r="AF1433" i="1"/>
  <c r="AM1433" i="1"/>
  <c r="AN1433" i="1"/>
  <c r="AO1433" i="1"/>
  <c r="L1434" i="1"/>
  <c r="M1434" i="1"/>
  <c r="N1434" i="1"/>
  <c r="O1434" i="1"/>
  <c r="P1434" i="1"/>
  <c r="Q1434" i="1"/>
  <c r="R1434" i="1"/>
  <c r="S1434" i="1"/>
  <c r="T1434" i="1"/>
  <c r="U1434" i="1"/>
  <c r="V1434" i="1"/>
  <c r="W1434" i="1"/>
  <c r="X1434" i="1"/>
  <c r="Y1434" i="1"/>
  <c r="Z1434" i="1"/>
  <c r="AA1434" i="1"/>
  <c r="AB1434" i="1"/>
  <c r="AC1434" i="1"/>
  <c r="AD1434" i="1"/>
  <c r="AE1434" i="1"/>
  <c r="AF1434" i="1"/>
  <c r="AM1434" i="1"/>
  <c r="AN1434" i="1"/>
  <c r="AO1434" i="1"/>
  <c r="L1435" i="1"/>
  <c r="M1435" i="1"/>
  <c r="N1435" i="1"/>
  <c r="O1435" i="1"/>
  <c r="P1435" i="1"/>
  <c r="Q1435" i="1"/>
  <c r="R1435" i="1"/>
  <c r="S1435" i="1"/>
  <c r="T1435" i="1"/>
  <c r="U1435" i="1"/>
  <c r="V1435" i="1"/>
  <c r="W1435" i="1"/>
  <c r="X1435" i="1"/>
  <c r="Y1435" i="1"/>
  <c r="Z1435" i="1"/>
  <c r="AA1435" i="1"/>
  <c r="AB1435" i="1"/>
  <c r="AC1435" i="1"/>
  <c r="AD1435" i="1"/>
  <c r="AE1435" i="1"/>
  <c r="AF1435" i="1"/>
  <c r="AM1435" i="1"/>
  <c r="AN1435" i="1"/>
  <c r="AO1435" i="1"/>
  <c r="L1436" i="1"/>
  <c r="M1436" i="1"/>
  <c r="N1436" i="1"/>
  <c r="O1436" i="1"/>
  <c r="P1436" i="1"/>
  <c r="Q1436" i="1"/>
  <c r="R1436" i="1"/>
  <c r="S1436" i="1"/>
  <c r="T1436" i="1"/>
  <c r="U1436" i="1"/>
  <c r="V1436" i="1"/>
  <c r="W1436" i="1"/>
  <c r="X1436" i="1"/>
  <c r="Y1436" i="1"/>
  <c r="Z1436" i="1"/>
  <c r="AA1436" i="1"/>
  <c r="AB1436" i="1"/>
  <c r="AC1436" i="1"/>
  <c r="AD1436" i="1"/>
  <c r="AE1436" i="1"/>
  <c r="AF1436" i="1"/>
  <c r="AM1436" i="1"/>
  <c r="AN1436" i="1"/>
  <c r="AO1436" i="1"/>
  <c r="L1437" i="1"/>
  <c r="M1437" i="1"/>
  <c r="N1437" i="1"/>
  <c r="O1437" i="1"/>
  <c r="P1437" i="1"/>
  <c r="Q1437" i="1"/>
  <c r="R1437" i="1"/>
  <c r="S1437" i="1"/>
  <c r="T1437" i="1"/>
  <c r="U1437" i="1"/>
  <c r="V1437" i="1"/>
  <c r="W1437" i="1"/>
  <c r="X1437" i="1"/>
  <c r="Y1437" i="1"/>
  <c r="Z1437" i="1"/>
  <c r="AA1437" i="1"/>
  <c r="AB1437" i="1"/>
  <c r="AC1437" i="1"/>
  <c r="AD1437" i="1"/>
  <c r="AE1437" i="1"/>
  <c r="AF1437" i="1"/>
  <c r="AM1437" i="1"/>
  <c r="AN1437" i="1"/>
  <c r="AO1437" i="1"/>
  <c r="L1438" i="1"/>
  <c r="M1438" i="1"/>
  <c r="N1438" i="1"/>
  <c r="O1438" i="1"/>
  <c r="P1438" i="1"/>
  <c r="Q1438" i="1"/>
  <c r="R1438" i="1"/>
  <c r="S1438" i="1"/>
  <c r="T1438" i="1"/>
  <c r="U1438" i="1"/>
  <c r="V1438" i="1"/>
  <c r="W1438" i="1"/>
  <c r="X1438" i="1"/>
  <c r="Y1438" i="1"/>
  <c r="Z1438" i="1"/>
  <c r="AA1438" i="1"/>
  <c r="AB1438" i="1"/>
  <c r="AC1438" i="1"/>
  <c r="AD1438" i="1"/>
  <c r="AE1438" i="1"/>
  <c r="AF1438" i="1"/>
  <c r="AM1438" i="1"/>
  <c r="AN1438" i="1"/>
  <c r="AO1438" i="1"/>
  <c r="L1439" i="1"/>
  <c r="M1439" i="1"/>
  <c r="N1439" i="1"/>
  <c r="O1439" i="1"/>
  <c r="P1439" i="1"/>
  <c r="Q1439" i="1"/>
  <c r="R1439" i="1"/>
  <c r="S1439" i="1"/>
  <c r="T1439" i="1"/>
  <c r="U1439" i="1"/>
  <c r="V1439" i="1"/>
  <c r="W1439" i="1"/>
  <c r="X1439" i="1"/>
  <c r="Y1439" i="1"/>
  <c r="Z1439" i="1"/>
  <c r="AA1439" i="1"/>
  <c r="AB1439" i="1"/>
  <c r="AC1439" i="1"/>
  <c r="AD1439" i="1"/>
  <c r="AE1439" i="1"/>
  <c r="AF1439" i="1"/>
  <c r="AM1439" i="1"/>
  <c r="AN1439" i="1"/>
  <c r="AO1439" i="1"/>
  <c r="L1440" i="1"/>
  <c r="M1440" i="1"/>
  <c r="N1440" i="1"/>
  <c r="O1440" i="1"/>
  <c r="P1440" i="1"/>
  <c r="Q1440" i="1"/>
  <c r="R1440" i="1"/>
  <c r="S1440" i="1"/>
  <c r="T1440" i="1"/>
  <c r="U1440" i="1"/>
  <c r="V1440" i="1"/>
  <c r="W1440" i="1"/>
  <c r="X1440" i="1"/>
  <c r="Y1440" i="1"/>
  <c r="Z1440" i="1"/>
  <c r="AA1440" i="1"/>
  <c r="AB1440" i="1"/>
  <c r="AC1440" i="1"/>
  <c r="AD1440" i="1"/>
  <c r="AE1440" i="1"/>
  <c r="AF1440" i="1"/>
  <c r="AM1440" i="1"/>
  <c r="AN1440" i="1"/>
  <c r="AO1440" i="1"/>
  <c r="L1441" i="1"/>
  <c r="M1441" i="1"/>
  <c r="N1441" i="1"/>
  <c r="O1441" i="1"/>
  <c r="P1441" i="1"/>
  <c r="Q1441" i="1"/>
  <c r="R1441" i="1"/>
  <c r="S1441" i="1"/>
  <c r="T1441" i="1"/>
  <c r="U1441" i="1"/>
  <c r="V1441" i="1"/>
  <c r="W1441" i="1"/>
  <c r="X1441" i="1"/>
  <c r="Y1441" i="1"/>
  <c r="Z1441" i="1"/>
  <c r="AA1441" i="1"/>
  <c r="AB1441" i="1"/>
  <c r="AC1441" i="1"/>
  <c r="AD1441" i="1"/>
  <c r="AE1441" i="1"/>
  <c r="AF1441" i="1"/>
  <c r="AM1441" i="1"/>
  <c r="AN1441" i="1"/>
  <c r="AO1441" i="1"/>
  <c r="L1442" i="1"/>
  <c r="M1442" i="1"/>
  <c r="N1442" i="1"/>
  <c r="O1442" i="1"/>
  <c r="P1442" i="1"/>
  <c r="Q1442" i="1"/>
  <c r="R1442" i="1"/>
  <c r="S1442" i="1"/>
  <c r="T1442" i="1"/>
  <c r="U1442" i="1"/>
  <c r="V1442" i="1"/>
  <c r="W1442" i="1"/>
  <c r="X1442" i="1"/>
  <c r="Y1442" i="1"/>
  <c r="Z1442" i="1"/>
  <c r="AA1442" i="1"/>
  <c r="AB1442" i="1"/>
  <c r="AC1442" i="1"/>
  <c r="AD1442" i="1"/>
  <c r="AE1442" i="1"/>
  <c r="AF1442" i="1"/>
  <c r="AM1442" i="1"/>
  <c r="AN1442" i="1"/>
  <c r="AO1442" i="1"/>
  <c r="L1443" i="1"/>
  <c r="M1443" i="1"/>
  <c r="N1443" i="1"/>
  <c r="O1443" i="1"/>
  <c r="P1443" i="1"/>
  <c r="Q1443" i="1"/>
  <c r="R1443" i="1"/>
  <c r="S1443" i="1"/>
  <c r="T1443" i="1"/>
  <c r="U1443" i="1"/>
  <c r="V1443" i="1"/>
  <c r="W1443" i="1"/>
  <c r="X1443" i="1"/>
  <c r="Y1443" i="1"/>
  <c r="Z1443" i="1"/>
  <c r="AA1443" i="1"/>
  <c r="AB1443" i="1"/>
  <c r="AC1443" i="1"/>
  <c r="AD1443" i="1"/>
  <c r="AE1443" i="1"/>
  <c r="AF1443" i="1"/>
  <c r="AM1443" i="1"/>
  <c r="AN1443" i="1"/>
  <c r="AO1443" i="1"/>
  <c r="L1444" i="1"/>
  <c r="M1444" i="1"/>
  <c r="N1444" i="1"/>
  <c r="O1444" i="1"/>
  <c r="P1444" i="1"/>
  <c r="Q1444" i="1"/>
  <c r="R1444" i="1"/>
  <c r="S1444" i="1"/>
  <c r="T1444" i="1"/>
  <c r="U1444" i="1"/>
  <c r="V1444" i="1"/>
  <c r="W1444" i="1"/>
  <c r="X1444" i="1"/>
  <c r="Y1444" i="1"/>
  <c r="Z1444" i="1"/>
  <c r="AA1444" i="1"/>
  <c r="AB1444" i="1"/>
  <c r="AC1444" i="1"/>
  <c r="AD1444" i="1"/>
  <c r="AE1444" i="1"/>
  <c r="AF1444" i="1"/>
  <c r="AM1444" i="1"/>
  <c r="AN1444" i="1"/>
  <c r="AO1444" i="1"/>
  <c r="L1445" i="1"/>
  <c r="M1445" i="1"/>
  <c r="N1445" i="1"/>
  <c r="O1445" i="1"/>
  <c r="P1445" i="1"/>
  <c r="Q1445" i="1"/>
  <c r="R1445" i="1"/>
  <c r="S1445" i="1"/>
  <c r="T1445" i="1"/>
  <c r="U1445" i="1"/>
  <c r="V1445" i="1"/>
  <c r="W1445" i="1"/>
  <c r="X1445" i="1"/>
  <c r="Y1445" i="1"/>
  <c r="Z1445" i="1"/>
  <c r="AA1445" i="1"/>
  <c r="AB1445" i="1"/>
  <c r="AC1445" i="1"/>
  <c r="AD1445" i="1"/>
  <c r="AE1445" i="1"/>
  <c r="AF1445" i="1"/>
  <c r="AM1445" i="1"/>
  <c r="AN1445" i="1"/>
  <c r="AO1445" i="1"/>
  <c r="L1446" i="1"/>
  <c r="M1446" i="1"/>
  <c r="N1446" i="1"/>
  <c r="O1446" i="1"/>
  <c r="P1446" i="1"/>
  <c r="Q1446" i="1"/>
  <c r="R1446" i="1"/>
  <c r="S1446" i="1"/>
  <c r="T1446" i="1"/>
  <c r="U1446" i="1"/>
  <c r="V1446" i="1"/>
  <c r="W1446" i="1"/>
  <c r="X1446" i="1"/>
  <c r="Y1446" i="1"/>
  <c r="Z1446" i="1"/>
  <c r="AA1446" i="1"/>
  <c r="AB1446" i="1"/>
  <c r="AC1446" i="1"/>
  <c r="AD1446" i="1"/>
  <c r="AE1446" i="1"/>
  <c r="AF1446" i="1"/>
  <c r="AM1446" i="1"/>
  <c r="AN1446" i="1"/>
  <c r="AO1446" i="1"/>
  <c r="L1447" i="1"/>
  <c r="M1447" i="1"/>
  <c r="N1447" i="1"/>
  <c r="O1447" i="1"/>
  <c r="P1447" i="1"/>
  <c r="Q1447" i="1"/>
  <c r="R1447" i="1"/>
  <c r="S1447" i="1"/>
  <c r="T1447" i="1"/>
  <c r="U1447" i="1"/>
  <c r="V1447" i="1"/>
  <c r="W1447" i="1"/>
  <c r="X1447" i="1"/>
  <c r="Y1447" i="1"/>
  <c r="Z1447" i="1"/>
  <c r="AA1447" i="1"/>
  <c r="AB1447" i="1"/>
  <c r="AC1447" i="1"/>
  <c r="AD1447" i="1"/>
  <c r="AE1447" i="1"/>
  <c r="AF1447" i="1"/>
  <c r="AM1447" i="1"/>
  <c r="AN1447" i="1"/>
  <c r="AO1447" i="1"/>
  <c r="L1448" i="1"/>
  <c r="M1448" i="1"/>
  <c r="N1448" i="1"/>
  <c r="O1448" i="1"/>
  <c r="P1448" i="1"/>
  <c r="Q1448" i="1"/>
  <c r="R1448" i="1"/>
  <c r="S1448" i="1"/>
  <c r="T1448" i="1"/>
  <c r="U1448" i="1"/>
  <c r="V1448" i="1"/>
  <c r="W1448" i="1"/>
  <c r="X1448" i="1"/>
  <c r="Y1448" i="1"/>
  <c r="Z1448" i="1"/>
  <c r="AA1448" i="1"/>
  <c r="AB1448" i="1"/>
  <c r="AC1448" i="1"/>
  <c r="AD1448" i="1"/>
  <c r="AE1448" i="1"/>
  <c r="AF1448" i="1"/>
  <c r="AM1448" i="1"/>
  <c r="AN1448" i="1"/>
  <c r="AO1448" i="1"/>
  <c r="L1449" i="1"/>
  <c r="M1449" i="1"/>
  <c r="N1449" i="1"/>
  <c r="O1449" i="1"/>
  <c r="P1449" i="1"/>
  <c r="Q1449" i="1"/>
  <c r="R1449" i="1"/>
  <c r="S1449" i="1"/>
  <c r="T1449" i="1"/>
  <c r="U1449" i="1"/>
  <c r="V1449" i="1"/>
  <c r="W1449" i="1"/>
  <c r="X1449" i="1"/>
  <c r="Y1449" i="1"/>
  <c r="Z1449" i="1"/>
  <c r="AA1449" i="1"/>
  <c r="AB1449" i="1"/>
  <c r="AC1449" i="1"/>
  <c r="AD1449" i="1"/>
  <c r="AE1449" i="1"/>
  <c r="AF1449" i="1"/>
  <c r="AM1449" i="1"/>
  <c r="AN1449" i="1"/>
  <c r="AO1449" i="1"/>
  <c r="L1450" i="1"/>
  <c r="M1450" i="1"/>
  <c r="N1450" i="1"/>
  <c r="O1450" i="1"/>
  <c r="P1450" i="1"/>
  <c r="Q1450" i="1"/>
  <c r="R1450" i="1"/>
  <c r="S1450" i="1"/>
  <c r="T1450" i="1"/>
  <c r="U1450" i="1"/>
  <c r="V1450" i="1"/>
  <c r="W1450" i="1"/>
  <c r="X1450" i="1"/>
  <c r="Y1450" i="1"/>
  <c r="Z1450" i="1"/>
  <c r="AA1450" i="1"/>
  <c r="AB1450" i="1"/>
  <c r="AC1450" i="1"/>
  <c r="AD1450" i="1"/>
  <c r="AE1450" i="1"/>
  <c r="AF1450" i="1"/>
  <c r="AM1450" i="1"/>
  <c r="AN1450" i="1"/>
  <c r="AO1450" i="1"/>
  <c r="L1451" i="1"/>
  <c r="M1451" i="1"/>
  <c r="N1451" i="1"/>
  <c r="O1451" i="1"/>
  <c r="P1451" i="1"/>
  <c r="Q1451" i="1"/>
  <c r="R1451" i="1"/>
  <c r="S1451" i="1"/>
  <c r="T1451" i="1"/>
  <c r="U1451" i="1"/>
  <c r="V1451" i="1"/>
  <c r="W1451" i="1"/>
  <c r="X1451" i="1"/>
  <c r="Y1451" i="1"/>
  <c r="Z1451" i="1"/>
  <c r="AA1451" i="1"/>
  <c r="AB1451" i="1"/>
  <c r="AC1451" i="1"/>
  <c r="AD1451" i="1"/>
  <c r="AE1451" i="1"/>
  <c r="AF1451" i="1"/>
  <c r="AM1451" i="1"/>
  <c r="AN1451" i="1"/>
  <c r="AO1451" i="1"/>
  <c r="L1452" i="1"/>
  <c r="M1452" i="1"/>
  <c r="N1452" i="1"/>
  <c r="O1452" i="1"/>
  <c r="P1452" i="1"/>
  <c r="Q1452" i="1"/>
  <c r="R1452" i="1"/>
  <c r="S1452" i="1"/>
  <c r="T1452" i="1"/>
  <c r="U1452" i="1"/>
  <c r="V1452" i="1"/>
  <c r="W1452" i="1"/>
  <c r="X1452" i="1"/>
  <c r="Y1452" i="1"/>
  <c r="Z1452" i="1"/>
  <c r="AA1452" i="1"/>
  <c r="AB1452" i="1"/>
  <c r="AC1452" i="1"/>
  <c r="AD1452" i="1"/>
  <c r="AE1452" i="1"/>
  <c r="AF1452" i="1"/>
  <c r="AM1452" i="1"/>
  <c r="AN1452" i="1"/>
  <c r="AO1452" i="1"/>
  <c r="L1453" i="1"/>
  <c r="M1453" i="1"/>
  <c r="N1453" i="1"/>
  <c r="O1453" i="1"/>
  <c r="P1453" i="1"/>
  <c r="Q1453" i="1"/>
  <c r="R1453" i="1"/>
  <c r="S1453" i="1"/>
  <c r="T1453" i="1"/>
  <c r="U1453" i="1"/>
  <c r="V1453" i="1"/>
  <c r="W1453" i="1"/>
  <c r="X1453" i="1"/>
  <c r="Y1453" i="1"/>
  <c r="Z1453" i="1"/>
  <c r="AA1453" i="1"/>
  <c r="AB1453" i="1"/>
  <c r="AC1453" i="1"/>
  <c r="AD1453" i="1"/>
  <c r="AE1453" i="1"/>
  <c r="AF1453" i="1"/>
  <c r="AM1453" i="1"/>
  <c r="AN1453" i="1"/>
  <c r="AO1453" i="1"/>
  <c r="L1454" i="1"/>
  <c r="M1454" i="1"/>
  <c r="N1454" i="1"/>
  <c r="O1454" i="1"/>
  <c r="P1454" i="1"/>
  <c r="Q1454" i="1"/>
  <c r="R1454" i="1"/>
  <c r="S1454" i="1"/>
  <c r="T1454" i="1"/>
  <c r="U1454" i="1"/>
  <c r="V1454" i="1"/>
  <c r="W1454" i="1"/>
  <c r="X1454" i="1"/>
  <c r="Y1454" i="1"/>
  <c r="Z1454" i="1"/>
  <c r="AA1454" i="1"/>
  <c r="AB1454" i="1"/>
  <c r="AC1454" i="1"/>
  <c r="AD1454" i="1"/>
  <c r="AE1454" i="1"/>
  <c r="AF1454" i="1"/>
  <c r="AM1454" i="1"/>
  <c r="AN1454" i="1"/>
  <c r="AO1454" i="1"/>
  <c r="L1455" i="1"/>
  <c r="M1455" i="1"/>
  <c r="N1455" i="1"/>
  <c r="O1455" i="1"/>
  <c r="P1455" i="1"/>
  <c r="Q1455" i="1"/>
  <c r="R1455" i="1"/>
  <c r="S1455" i="1"/>
  <c r="T1455" i="1"/>
  <c r="U1455" i="1"/>
  <c r="V1455" i="1"/>
  <c r="W1455" i="1"/>
  <c r="X1455" i="1"/>
  <c r="Y1455" i="1"/>
  <c r="Z1455" i="1"/>
  <c r="AA1455" i="1"/>
  <c r="AB1455" i="1"/>
  <c r="AC1455" i="1"/>
  <c r="AD1455" i="1"/>
  <c r="AE1455" i="1"/>
  <c r="AF1455" i="1"/>
  <c r="AM1455" i="1"/>
  <c r="AN1455" i="1"/>
  <c r="AO1455" i="1"/>
  <c r="L1456" i="1"/>
  <c r="M1456" i="1"/>
  <c r="N1456" i="1"/>
  <c r="O1456" i="1"/>
  <c r="P1456" i="1"/>
  <c r="Q1456" i="1"/>
  <c r="R1456" i="1"/>
  <c r="S1456" i="1"/>
  <c r="T1456" i="1"/>
  <c r="U1456" i="1"/>
  <c r="V1456" i="1"/>
  <c r="W1456" i="1"/>
  <c r="X1456" i="1"/>
  <c r="Y1456" i="1"/>
  <c r="Z1456" i="1"/>
  <c r="AA1456" i="1"/>
  <c r="AB1456" i="1"/>
  <c r="AC1456" i="1"/>
  <c r="AD1456" i="1"/>
  <c r="AE1456" i="1"/>
  <c r="AF1456" i="1"/>
  <c r="AM1456" i="1"/>
  <c r="AN1456" i="1"/>
  <c r="AO1456" i="1"/>
  <c r="L1457" i="1"/>
  <c r="M1457" i="1"/>
  <c r="N1457" i="1"/>
  <c r="O1457" i="1"/>
  <c r="P1457" i="1"/>
  <c r="Q1457" i="1"/>
  <c r="R1457" i="1"/>
  <c r="S1457" i="1"/>
  <c r="T1457" i="1"/>
  <c r="U1457" i="1"/>
  <c r="V1457" i="1"/>
  <c r="W1457" i="1"/>
  <c r="X1457" i="1"/>
  <c r="Y1457" i="1"/>
  <c r="Z1457" i="1"/>
  <c r="AA1457" i="1"/>
  <c r="AB1457" i="1"/>
  <c r="AC1457" i="1"/>
  <c r="AD1457" i="1"/>
  <c r="AE1457" i="1"/>
  <c r="AF1457" i="1"/>
  <c r="AM1457" i="1"/>
  <c r="AN1457" i="1"/>
  <c r="AO1457" i="1"/>
  <c r="L1458" i="1"/>
  <c r="M1458" i="1"/>
  <c r="N1458" i="1"/>
  <c r="O1458" i="1"/>
  <c r="P1458" i="1"/>
  <c r="Q1458" i="1"/>
  <c r="R1458" i="1"/>
  <c r="S1458" i="1"/>
  <c r="T1458" i="1"/>
  <c r="U1458" i="1"/>
  <c r="V1458" i="1"/>
  <c r="W1458" i="1"/>
  <c r="X1458" i="1"/>
  <c r="Y1458" i="1"/>
  <c r="Z1458" i="1"/>
  <c r="AA1458" i="1"/>
  <c r="AB1458" i="1"/>
  <c r="AC1458" i="1"/>
  <c r="AD1458" i="1"/>
  <c r="AE1458" i="1"/>
  <c r="AF1458" i="1"/>
  <c r="AM1458" i="1"/>
  <c r="AN1458" i="1"/>
  <c r="AO1458" i="1"/>
  <c r="L1459" i="1"/>
  <c r="M1459" i="1"/>
  <c r="N1459" i="1"/>
  <c r="O1459" i="1"/>
  <c r="P1459" i="1"/>
  <c r="Q1459" i="1"/>
  <c r="R1459" i="1"/>
  <c r="S1459" i="1"/>
  <c r="T1459" i="1"/>
  <c r="U1459" i="1"/>
  <c r="V1459" i="1"/>
  <c r="W1459" i="1"/>
  <c r="X1459" i="1"/>
  <c r="Y1459" i="1"/>
  <c r="Z1459" i="1"/>
  <c r="AA1459" i="1"/>
  <c r="AB1459" i="1"/>
  <c r="AC1459" i="1"/>
  <c r="AD1459" i="1"/>
  <c r="AE1459" i="1"/>
  <c r="AF1459" i="1"/>
  <c r="AM1459" i="1"/>
  <c r="AN1459" i="1"/>
  <c r="AO1459" i="1"/>
  <c r="L1460" i="1"/>
  <c r="M1460" i="1"/>
  <c r="N1460" i="1"/>
  <c r="O1460" i="1"/>
  <c r="P1460" i="1"/>
  <c r="Q1460" i="1"/>
  <c r="R1460" i="1"/>
  <c r="S1460" i="1"/>
  <c r="T1460" i="1"/>
  <c r="U1460" i="1"/>
  <c r="V1460" i="1"/>
  <c r="W1460" i="1"/>
  <c r="X1460" i="1"/>
  <c r="Y1460" i="1"/>
  <c r="Z1460" i="1"/>
  <c r="AA1460" i="1"/>
  <c r="AB1460" i="1"/>
  <c r="AC1460" i="1"/>
  <c r="AD1460" i="1"/>
  <c r="AE1460" i="1"/>
  <c r="AF1460" i="1"/>
  <c r="AM1460" i="1"/>
  <c r="AN1460" i="1"/>
  <c r="AO1460" i="1"/>
  <c r="L1461" i="1"/>
  <c r="M1461" i="1"/>
  <c r="N1461" i="1"/>
  <c r="O1461" i="1"/>
  <c r="P1461" i="1"/>
  <c r="Q1461" i="1"/>
  <c r="R1461" i="1"/>
  <c r="S1461" i="1"/>
  <c r="T1461" i="1"/>
  <c r="U1461" i="1"/>
  <c r="V1461" i="1"/>
  <c r="W1461" i="1"/>
  <c r="X1461" i="1"/>
  <c r="Y1461" i="1"/>
  <c r="Z1461" i="1"/>
  <c r="AA1461" i="1"/>
  <c r="AB1461" i="1"/>
  <c r="AC1461" i="1"/>
  <c r="AD1461" i="1"/>
  <c r="AE1461" i="1"/>
  <c r="AF1461" i="1"/>
  <c r="AM1461" i="1"/>
  <c r="AN1461" i="1"/>
  <c r="AO1461" i="1"/>
  <c r="L1462" i="1"/>
  <c r="M1462" i="1"/>
  <c r="N1462" i="1"/>
  <c r="O1462" i="1"/>
  <c r="P1462" i="1"/>
  <c r="Q1462" i="1"/>
  <c r="R1462" i="1"/>
  <c r="S1462" i="1"/>
  <c r="T1462" i="1"/>
  <c r="U1462" i="1"/>
  <c r="V1462" i="1"/>
  <c r="W1462" i="1"/>
  <c r="X1462" i="1"/>
  <c r="Y1462" i="1"/>
  <c r="Z1462" i="1"/>
  <c r="AA1462" i="1"/>
  <c r="AB1462" i="1"/>
  <c r="AC1462" i="1"/>
  <c r="AD1462" i="1"/>
  <c r="AE1462" i="1"/>
  <c r="AF1462" i="1"/>
  <c r="AM1462" i="1"/>
  <c r="AN1462" i="1"/>
  <c r="AO1462" i="1"/>
  <c r="L1463" i="1"/>
  <c r="M1463" i="1"/>
  <c r="N1463" i="1"/>
  <c r="O1463" i="1"/>
  <c r="P1463" i="1"/>
  <c r="Q1463" i="1"/>
  <c r="R1463" i="1"/>
  <c r="S1463" i="1"/>
  <c r="T1463" i="1"/>
  <c r="U1463" i="1"/>
  <c r="V1463" i="1"/>
  <c r="W1463" i="1"/>
  <c r="X1463" i="1"/>
  <c r="Y1463" i="1"/>
  <c r="Z1463" i="1"/>
  <c r="AA1463" i="1"/>
  <c r="AB1463" i="1"/>
  <c r="AC1463" i="1"/>
  <c r="AD1463" i="1"/>
  <c r="AE1463" i="1"/>
  <c r="AF1463" i="1"/>
  <c r="AM1463" i="1"/>
  <c r="AN1463" i="1"/>
  <c r="AO1463" i="1"/>
  <c r="L1464" i="1"/>
  <c r="M1464" i="1"/>
  <c r="N1464" i="1"/>
  <c r="O1464" i="1"/>
  <c r="P1464" i="1"/>
  <c r="Q1464" i="1"/>
  <c r="R1464" i="1"/>
  <c r="S1464" i="1"/>
  <c r="T1464" i="1"/>
  <c r="U1464" i="1"/>
  <c r="V1464" i="1"/>
  <c r="W1464" i="1"/>
  <c r="X1464" i="1"/>
  <c r="Y1464" i="1"/>
  <c r="Z1464" i="1"/>
  <c r="AA1464" i="1"/>
  <c r="AB1464" i="1"/>
  <c r="AC1464" i="1"/>
  <c r="AD1464" i="1"/>
  <c r="AE1464" i="1"/>
  <c r="AF1464" i="1"/>
  <c r="AM1464" i="1"/>
  <c r="AN1464" i="1"/>
  <c r="AO1464" i="1"/>
  <c r="L1465" i="1"/>
  <c r="M1465" i="1"/>
  <c r="N1465" i="1"/>
  <c r="O1465" i="1"/>
  <c r="P1465" i="1"/>
  <c r="Q1465" i="1"/>
  <c r="R1465" i="1"/>
  <c r="S1465" i="1"/>
  <c r="T1465" i="1"/>
  <c r="U1465" i="1"/>
  <c r="V1465" i="1"/>
  <c r="W1465" i="1"/>
  <c r="X1465" i="1"/>
  <c r="Y1465" i="1"/>
  <c r="Z1465" i="1"/>
  <c r="AA1465" i="1"/>
  <c r="AB1465" i="1"/>
  <c r="AC1465" i="1"/>
  <c r="AD1465" i="1"/>
  <c r="AE1465" i="1"/>
  <c r="AF1465" i="1"/>
  <c r="AM1465" i="1"/>
  <c r="AN1465" i="1"/>
  <c r="AO1465" i="1"/>
  <c r="L1466" i="1"/>
  <c r="M1466" i="1"/>
  <c r="N1466" i="1"/>
  <c r="O1466" i="1"/>
  <c r="P1466" i="1"/>
  <c r="Q1466" i="1"/>
  <c r="R1466" i="1"/>
  <c r="S1466" i="1"/>
  <c r="T1466" i="1"/>
  <c r="U1466" i="1"/>
  <c r="V1466" i="1"/>
  <c r="W1466" i="1"/>
  <c r="X1466" i="1"/>
  <c r="Y1466" i="1"/>
  <c r="Z1466" i="1"/>
  <c r="AA1466" i="1"/>
  <c r="AB1466" i="1"/>
  <c r="AC1466" i="1"/>
  <c r="AD1466" i="1"/>
  <c r="AE1466" i="1"/>
  <c r="AF1466" i="1"/>
  <c r="AM1466" i="1"/>
  <c r="AN1466" i="1"/>
  <c r="AO1466" i="1"/>
  <c r="L1467" i="1"/>
  <c r="M1467" i="1"/>
  <c r="N1467" i="1"/>
  <c r="O1467" i="1"/>
  <c r="P1467" i="1"/>
  <c r="Q1467" i="1"/>
  <c r="R1467" i="1"/>
  <c r="S1467" i="1"/>
  <c r="T1467" i="1"/>
  <c r="U1467" i="1"/>
  <c r="V1467" i="1"/>
  <c r="W1467" i="1"/>
  <c r="X1467" i="1"/>
  <c r="Y1467" i="1"/>
  <c r="Z1467" i="1"/>
  <c r="AA1467" i="1"/>
  <c r="AB1467" i="1"/>
  <c r="AC1467" i="1"/>
  <c r="AD1467" i="1"/>
  <c r="AE1467" i="1"/>
  <c r="AF1467" i="1"/>
  <c r="AM1467" i="1"/>
  <c r="AN1467" i="1"/>
  <c r="AO1467" i="1"/>
  <c r="L1468" i="1"/>
  <c r="M1468" i="1"/>
  <c r="N1468" i="1"/>
  <c r="O1468" i="1"/>
  <c r="P1468" i="1"/>
  <c r="Q1468" i="1"/>
  <c r="R1468" i="1"/>
  <c r="S1468" i="1"/>
  <c r="T1468" i="1"/>
  <c r="U1468" i="1"/>
  <c r="V1468" i="1"/>
  <c r="W1468" i="1"/>
  <c r="X1468" i="1"/>
  <c r="Y1468" i="1"/>
  <c r="Z1468" i="1"/>
  <c r="AA1468" i="1"/>
  <c r="AB1468" i="1"/>
  <c r="AC1468" i="1"/>
  <c r="AD1468" i="1"/>
  <c r="AE1468" i="1"/>
  <c r="AF1468" i="1"/>
  <c r="AM1468" i="1"/>
  <c r="AN1468" i="1"/>
  <c r="AO1468" i="1"/>
  <c r="L1469" i="1"/>
  <c r="M1469" i="1"/>
  <c r="N1469" i="1"/>
  <c r="O1469" i="1"/>
  <c r="P1469" i="1"/>
  <c r="Q1469" i="1"/>
  <c r="R1469" i="1"/>
  <c r="S1469" i="1"/>
  <c r="T1469" i="1"/>
  <c r="U1469" i="1"/>
  <c r="V1469" i="1"/>
  <c r="W1469" i="1"/>
  <c r="X1469" i="1"/>
  <c r="Y1469" i="1"/>
  <c r="Z1469" i="1"/>
  <c r="AA1469" i="1"/>
  <c r="AB1469" i="1"/>
  <c r="AC1469" i="1"/>
  <c r="AD1469" i="1"/>
  <c r="AE1469" i="1"/>
  <c r="AF1469" i="1"/>
  <c r="AM1469" i="1"/>
  <c r="AN1469" i="1"/>
  <c r="AO1469" i="1"/>
  <c r="L1470" i="1"/>
  <c r="M1470" i="1"/>
  <c r="N1470" i="1"/>
  <c r="O1470" i="1"/>
  <c r="P1470" i="1"/>
  <c r="Q1470" i="1"/>
  <c r="R1470" i="1"/>
  <c r="S1470" i="1"/>
  <c r="T1470" i="1"/>
  <c r="U1470" i="1"/>
  <c r="V1470" i="1"/>
  <c r="W1470" i="1"/>
  <c r="X1470" i="1"/>
  <c r="Y1470" i="1"/>
  <c r="Z1470" i="1"/>
  <c r="AA1470" i="1"/>
  <c r="AB1470" i="1"/>
  <c r="AC1470" i="1"/>
  <c r="AD1470" i="1"/>
  <c r="AE1470" i="1"/>
  <c r="AF1470" i="1"/>
  <c r="AM1470" i="1"/>
  <c r="AN1470" i="1"/>
  <c r="AO1470" i="1"/>
  <c r="L1471" i="1"/>
  <c r="M1471" i="1"/>
  <c r="N1471" i="1"/>
  <c r="O1471" i="1"/>
  <c r="P1471" i="1"/>
  <c r="Q1471" i="1"/>
  <c r="R1471" i="1"/>
  <c r="S1471" i="1"/>
  <c r="T1471" i="1"/>
  <c r="U1471" i="1"/>
  <c r="V1471" i="1"/>
  <c r="W1471" i="1"/>
  <c r="X1471" i="1"/>
  <c r="Y1471" i="1"/>
  <c r="Z1471" i="1"/>
  <c r="AA1471" i="1"/>
  <c r="AB1471" i="1"/>
  <c r="AC1471" i="1"/>
  <c r="AD1471" i="1"/>
  <c r="AE1471" i="1"/>
  <c r="AF1471" i="1"/>
  <c r="AM1471" i="1"/>
  <c r="AN1471" i="1"/>
  <c r="AO1471" i="1"/>
  <c r="L1472" i="1"/>
  <c r="M1472" i="1"/>
  <c r="N1472" i="1"/>
  <c r="O1472" i="1"/>
  <c r="P1472" i="1"/>
  <c r="Q1472" i="1"/>
  <c r="R1472" i="1"/>
  <c r="S1472" i="1"/>
  <c r="T1472" i="1"/>
  <c r="U1472" i="1"/>
  <c r="V1472" i="1"/>
  <c r="W1472" i="1"/>
  <c r="X1472" i="1"/>
  <c r="Y1472" i="1"/>
  <c r="Z1472" i="1"/>
  <c r="AA1472" i="1"/>
  <c r="AB1472" i="1"/>
  <c r="AC1472" i="1"/>
  <c r="AD1472" i="1"/>
  <c r="AE1472" i="1"/>
  <c r="AF1472" i="1"/>
  <c r="AM1472" i="1"/>
  <c r="AN1472" i="1"/>
  <c r="AO1472" i="1"/>
  <c r="L1473" i="1"/>
  <c r="M1473" i="1"/>
  <c r="N1473" i="1"/>
  <c r="O1473" i="1"/>
  <c r="P1473" i="1"/>
  <c r="Q1473" i="1"/>
  <c r="R1473" i="1"/>
  <c r="S1473" i="1"/>
  <c r="T1473" i="1"/>
  <c r="U1473" i="1"/>
  <c r="V1473" i="1"/>
  <c r="W1473" i="1"/>
  <c r="X1473" i="1"/>
  <c r="Y1473" i="1"/>
  <c r="Z1473" i="1"/>
  <c r="AA1473" i="1"/>
  <c r="AB1473" i="1"/>
  <c r="AC1473" i="1"/>
  <c r="AD1473" i="1"/>
  <c r="AE1473" i="1"/>
  <c r="AF1473" i="1"/>
  <c r="AM1473" i="1"/>
  <c r="AN1473" i="1"/>
  <c r="AO1473" i="1"/>
  <c r="L1474" i="1"/>
  <c r="M1474" i="1"/>
  <c r="N1474" i="1"/>
  <c r="O1474" i="1"/>
  <c r="P1474" i="1"/>
  <c r="Q1474" i="1"/>
  <c r="R1474" i="1"/>
  <c r="S1474" i="1"/>
  <c r="T1474" i="1"/>
  <c r="U1474" i="1"/>
  <c r="V1474" i="1"/>
  <c r="W1474" i="1"/>
  <c r="X1474" i="1"/>
  <c r="Y1474" i="1"/>
  <c r="Z1474" i="1"/>
  <c r="AA1474" i="1"/>
  <c r="AB1474" i="1"/>
  <c r="AC1474" i="1"/>
  <c r="AD1474" i="1"/>
  <c r="AE1474" i="1"/>
  <c r="AF1474" i="1"/>
  <c r="AM1474" i="1"/>
  <c r="AN1474" i="1"/>
  <c r="AO1474" i="1"/>
  <c r="L1475" i="1"/>
  <c r="M1475" i="1"/>
  <c r="N1475" i="1"/>
  <c r="O1475" i="1"/>
  <c r="P1475" i="1"/>
  <c r="Q1475" i="1"/>
  <c r="R1475" i="1"/>
  <c r="S1475" i="1"/>
  <c r="T1475" i="1"/>
  <c r="U1475" i="1"/>
  <c r="V1475" i="1"/>
  <c r="W1475" i="1"/>
  <c r="X1475" i="1"/>
  <c r="Y1475" i="1"/>
  <c r="Z1475" i="1"/>
  <c r="AA1475" i="1"/>
  <c r="AB1475" i="1"/>
  <c r="AC1475" i="1"/>
  <c r="AD1475" i="1"/>
  <c r="AE1475" i="1"/>
  <c r="AF1475" i="1"/>
  <c r="AM1475" i="1"/>
  <c r="AN1475" i="1"/>
  <c r="AO1475" i="1"/>
  <c r="L1476" i="1"/>
  <c r="M1476" i="1"/>
  <c r="N1476" i="1"/>
  <c r="O1476" i="1"/>
  <c r="P1476" i="1"/>
  <c r="Q1476" i="1"/>
  <c r="R1476" i="1"/>
  <c r="S1476" i="1"/>
  <c r="T1476" i="1"/>
  <c r="U1476" i="1"/>
  <c r="V1476" i="1"/>
  <c r="W1476" i="1"/>
  <c r="X1476" i="1"/>
  <c r="Y1476" i="1"/>
  <c r="Z1476" i="1"/>
  <c r="AA1476" i="1"/>
  <c r="AB1476" i="1"/>
  <c r="AC1476" i="1"/>
  <c r="AD1476" i="1"/>
  <c r="AE1476" i="1"/>
  <c r="AF1476" i="1"/>
  <c r="AM1476" i="1"/>
  <c r="AN1476" i="1"/>
  <c r="AO1476" i="1"/>
  <c r="L1477" i="1"/>
  <c r="M1477" i="1"/>
  <c r="N1477" i="1"/>
  <c r="O1477" i="1"/>
  <c r="P1477" i="1"/>
  <c r="Q1477" i="1"/>
  <c r="R1477" i="1"/>
  <c r="S1477" i="1"/>
  <c r="T1477" i="1"/>
  <c r="U1477" i="1"/>
  <c r="V1477" i="1"/>
  <c r="W1477" i="1"/>
  <c r="X1477" i="1"/>
  <c r="Y1477" i="1"/>
  <c r="Z1477" i="1"/>
  <c r="AA1477" i="1"/>
  <c r="AB1477" i="1"/>
  <c r="AC1477" i="1"/>
  <c r="AD1477" i="1"/>
  <c r="AE1477" i="1"/>
  <c r="AF1477" i="1"/>
  <c r="AM1477" i="1"/>
  <c r="AN1477" i="1"/>
  <c r="AO1477" i="1"/>
  <c r="L1478" i="1"/>
  <c r="M1478" i="1"/>
  <c r="N1478" i="1"/>
  <c r="O1478" i="1"/>
  <c r="P1478" i="1"/>
  <c r="Q1478" i="1"/>
  <c r="R1478" i="1"/>
  <c r="S1478" i="1"/>
  <c r="T1478" i="1"/>
  <c r="U1478" i="1"/>
  <c r="V1478" i="1"/>
  <c r="W1478" i="1"/>
  <c r="X1478" i="1"/>
  <c r="Y1478" i="1"/>
  <c r="Z1478" i="1"/>
  <c r="AA1478" i="1"/>
  <c r="AB1478" i="1"/>
  <c r="AC1478" i="1"/>
  <c r="AD1478" i="1"/>
  <c r="AE1478" i="1"/>
  <c r="AF1478" i="1"/>
  <c r="AM1478" i="1"/>
  <c r="AN1478" i="1"/>
  <c r="AO1478" i="1"/>
  <c r="L1479" i="1"/>
  <c r="M1479" i="1"/>
  <c r="N1479" i="1"/>
  <c r="O1479" i="1"/>
  <c r="P1479" i="1"/>
  <c r="Q1479" i="1"/>
  <c r="R1479" i="1"/>
  <c r="S1479" i="1"/>
  <c r="T1479" i="1"/>
  <c r="U1479" i="1"/>
  <c r="V1479" i="1"/>
  <c r="W1479" i="1"/>
  <c r="X1479" i="1"/>
  <c r="Y1479" i="1"/>
  <c r="Z1479" i="1"/>
  <c r="AA1479" i="1"/>
  <c r="AB1479" i="1"/>
  <c r="AC1479" i="1"/>
  <c r="AD1479" i="1"/>
  <c r="AE1479" i="1"/>
  <c r="AF1479" i="1"/>
  <c r="AM1479" i="1"/>
  <c r="AN1479" i="1"/>
  <c r="AO1479" i="1"/>
  <c r="L1480" i="1"/>
  <c r="M1480" i="1"/>
  <c r="N1480" i="1"/>
  <c r="O1480" i="1"/>
  <c r="P1480" i="1"/>
  <c r="Q1480" i="1"/>
  <c r="R1480" i="1"/>
  <c r="S1480" i="1"/>
  <c r="T1480" i="1"/>
  <c r="U1480" i="1"/>
  <c r="V1480" i="1"/>
  <c r="W1480" i="1"/>
  <c r="X1480" i="1"/>
  <c r="Y1480" i="1"/>
  <c r="Z1480" i="1"/>
  <c r="AA1480" i="1"/>
  <c r="AB1480" i="1"/>
  <c r="AC1480" i="1"/>
  <c r="AD1480" i="1"/>
  <c r="AE1480" i="1"/>
  <c r="AF1480" i="1"/>
  <c r="AM1480" i="1"/>
  <c r="AN1480" i="1"/>
  <c r="AO1480" i="1"/>
  <c r="L1481" i="1"/>
  <c r="M1481" i="1"/>
  <c r="N1481" i="1"/>
  <c r="O1481" i="1"/>
  <c r="P1481" i="1"/>
  <c r="Q1481" i="1"/>
  <c r="R1481" i="1"/>
  <c r="S1481" i="1"/>
  <c r="T1481" i="1"/>
  <c r="U1481" i="1"/>
  <c r="V1481" i="1"/>
  <c r="W1481" i="1"/>
  <c r="X1481" i="1"/>
  <c r="Y1481" i="1"/>
  <c r="Z1481" i="1"/>
  <c r="AA1481" i="1"/>
  <c r="AB1481" i="1"/>
  <c r="AC1481" i="1"/>
  <c r="AD1481" i="1"/>
  <c r="AE1481" i="1"/>
  <c r="AF1481" i="1"/>
  <c r="AM1481" i="1"/>
  <c r="AN1481" i="1"/>
  <c r="AO1481" i="1"/>
  <c r="L1482" i="1"/>
  <c r="M1482" i="1"/>
  <c r="N1482" i="1"/>
  <c r="O1482" i="1"/>
  <c r="P1482" i="1"/>
  <c r="Q1482" i="1"/>
  <c r="R1482" i="1"/>
  <c r="S1482" i="1"/>
  <c r="T1482" i="1"/>
  <c r="U1482" i="1"/>
  <c r="V1482" i="1"/>
  <c r="W1482" i="1"/>
  <c r="X1482" i="1"/>
  <c r="Y1482" i="1"/>
  <c r="Z1482" i="1"/>
  <c r="AA1482" i="1"/>
  <c r="AB1482" i="1"/>
  <c r="AC1482" i="1"/>
  <c r="AD1482" i="1"/>
  <c r="AE1482" i="1"/>
  <c r="AF1482" i="1"/>
  <c r="AM1482" i="1"/>
  <c r="AN1482" i="1"/>
  <c r="AO1482" i="1"/>
  <c r="L1483" i="1"/>
  <c r="M1483" i="1"/>
  <c r="N1483" i="1"/>
  <c r="O1483" i="1"/>
  <c r="P1483" i="1"/>
  <c r="Q1483" i="1"/>
  <c r="R1483" i="1"/>
  <c r="S1483" i="1"/>
  <c r="T1483" i="1"/>
  <c r="U1483" i="1"/>
  <c r="V1483" i="1"/>
  <c r="W1483" i="1"/>
  <c r="X1483" i="1"/>
  <c r="Y1483" i="1"/>
  <c r="Z1483" i="1"/>
  <c r="AA1483" i="1"/>
  <c r="AB1483" i="1"/>
  <c r="AC1483" i="1"/>
  <c r="AD1483" i="1"/>
  <c r="AE1483" i="1"/>
  <c r="AF1483" i="1"/>
  <c r="AM1483" i="1"/>
  <c r="AN1483" i="1"/>
  <c r="AO1483" i="1"/>
  <c r="L1484" i="1"/>
  <c r="M1484" i="1"/>
  <c r="N1484" i="1"/>
  <c r="O1484" i="1"/>
  <c r="P1484" i="1"/>
  <c r="Q1484" i="1"/>
  <c r="R1484" i="1"/>
  <c r="S1484" i="1"/>
  <c r="T1484" i="1"/>
  <c r="U1484" i="1"/>
  <c r="V1484" i="1"/>
  <c r="W1484" i="1"/>
  <c r="X1484" i="1"/>
  <c r="Y1484" i="1"/>
  <c r="Z1484" i="1"/>
  <c r="AA1484" i="1"/>
  <c r="AB1484" i="1"/>
  <c r="AC1484" i="1"/>
  <c r="AD1484" i="1"/>
  <c r="AE1484" i="1"/>
  <c r="AF1484" i="1"/>
  <c r="AM1484" i="1"/>
  <c r="AN1484" i="1"/>
  <c r="AO1484" i="1"/>
  <c r="L1485" i="1"/>
  <c r="M1485" i="1"/>
  <c r="N1485" i="1"/>
  <c r="O1485" i="1"/>
  <c r="P1485" i="1"/>
  <c r="Q1485" i="1"/>
  <c r="R1485" i="1"/>
  <c r="S1485" i="1"/>
  <c r="T1485" i="1"/>
  <c r="U1485" i="1"/>
  <c r="V1485" i="1"/>
  <c r="W1485" i="1"/>
  <c r="X1485" i="1"/>
  <c r="Y1485" i="1"/>
  <c r="Z1485" i="1"/>
  <c r="AA1485" i="1"/>
  <c r="AB1485" i="1"/>
  <c r="AC1485" i="1"/>
  <c r="AD1485" i="1"/>
  <c r="AE1485" i="1"/>
  <c r="AF1485" i="1"/>
  <c r="AM1485" i="1"/>
  <c r="AN1485" i="1"/>
  <c r="AO1485" i="1"/>
  <c r="L1486" i="1"/>
  <c r="M1486" i="1"/>
  <c r="N1486" i="1"/>
  <c r="O1486" i="1"/>
  <c r="P1486" i="1"/>
  <c r="Q1486" i="1"/>
  <c r="R1486" i="1"/>
  <c r="S1486" i="1"/>
  <c r="T1486" i="1"/>
  <c r="U1486" i="1"/>
  <c r="V1486" i="1"/>
  <c r="W1486" i="1"/>
  <c r="X1486" i="1"/>
  <c r="Y1486" i="1"/>
  <c r="Z1486" i="1"/>
  <c r="AA1486" i="1"/>
  <c r="AB1486" i="1"/>
  <c r="AC1486" i="1"/>
  <c r="AD1486" i="1"/>
  <c r="AE1486" i="1"/>
  <c r="AF1486" i="1"/>
  <c r="AM1486" i="1"/>
  <c r="AN1486" i="1"/>
  <c r="AO1486" i="1"/>
  <c r="L1487" i="1"/>
  <c r="M1487" i="1"/>
  <c r="N1487" i="1"/>
  <c r="O1487" i="1"/>
  <c r="P1487" i="1"/>
  <c r="Q1487" i="1"/>
  <c r="R1487" i="1"/>
  <c r="S1487" i="1"/>
  <c r="T1487" i="1"/>
  <c r="U1487" i="1"/>
  <c r="V1487" i="1"/>
  <c r="W1487" i="1"/>
  <c r="X1487" i="1"/>
  <c r="Y1487" i="1"/>
  <c r="Z1487" i="1"/>
  <c r="AA1487" i="1"/>
  <c r="AB1487" i="1"/>
  <c r="AC1487" i="1"/>
  <c r="AD1487" i="1"/>
  <c r="AE1487" i="1"/>
  <c r="AF1487" i="1"/>
  <c r="AM1487" i="1"/>
  <c r="AN1487" i="1"/>
  <c r="AO1487" i="1"/>
  <c r="L1488" i="1"/>
  <c r="M1488" i="1"/>
  <c r="N1488" i="1"/>
  <c r="O1488" i="1"/>
  <c r="P1488" i="1"/>
  <c r="Q1488" i="1"/>
  <c r="R1488" i="1"/>
  <c r="S1488" i="1"/>
  <c r="T1488" i="1"/>
  <c r="U1488" i="1"/>
  <c r="V1488" i="1"/>
  <c r="W1488" i="1"/>
  <c r="X1488" i="1"/>
  <c r="Y1488" i="1"/>
  <c r="Z1488" i="1"/>
  <c r="AA1488" i="1"/>
  <c r="AB1488" i="1"/>
  <c r="AC1488" i="1"/>
  <c r="AD1488" i="1"/>
  <c r="AE1488" i="1"/>
  <c r="AF1488" i="1"/>
  <c r="AM1488" i="1"/>
  <c r="AN1488" i="1"/>
  <c r="AO1488" i="1"/>
  <c r="L1489" i="1"/>
  <c r="M1489" i="1"/>
  <c r="N1489" i="1"/>
  <c r="O1489" i="1"/>
  <c r="P1489" i="1"/>
  <c r="Q1489" i="1"/>
  <c r="R1489" i="1"/>
  <c r="S1489" i="1"/>
  <c r="T1489" i="1"/>
  <c r="U1489" i="1"/>
  <c r="V1489" i="1"/>
  <c r="W1489" i="1"/>
  <c r="X1489" i="1"/>
  <c r="Y1489" i="1"/>
  <c r="Z1489" i="1"/>
  <c r="AA1489" i="1"/>
  <c r="AB1489" i="1"/>
  <c r="AC1489" i="1"/>
  <c r="AD1489" i="1"/>
  <c r="AE1489" i="1"/>
  <c r="AF1489" i="1"/>
  <c r="AM1489" i="1"/>
  <c r="AN1489" i="1"/>
  <c r="AO1489" i="1"/>
  <c r="L1490" i="1"/>
  <c r="M1490" i="1"/>
  <c r="N1490" i="1"/>
  <c r="O1490" i="1"/>
  <c r="P1490" i="1"/>
  <c r="Q1490" i="1"/>
  <c r="R1490" i="1"/>
  <c r="S1490" i="1"/>
  <c r="T1490" i="1"/>
  <c r="U1490" i="1"/>
  <c r="V1490" i="1"/>
  <c r="W1490" i="1"/>
  <c r="X1490" i="1"/>
  <c r="Y1490" i="1"/>
  <c r="Z1490" i="1"/>
  <c r="AA1490" i="1"/>
  <c r="AB1490" i="1"/>
  <c r="AC1490" i="1"/>
  <c r="AD1490" i="1"/>
  <c r="AE1490" i="1"/>
  <c r="AF1490" i="1"/>
  <c r="AM1490" i="1"/>
  <c r="AN1490" i="1"/>
  <c r="AO1490" i="1"/>
  <c r="L1491" i="1"/>
  <c r="M1491" i="1"/>
  <c r="N1491" i="1"/>
  <c r="O1491" i="1"/>
  <c r="P1491" i="1"/>
  <c r="Q1491" i="1"/>
  <c r="R1491" i="1"/>
  <c r="S1491" i="1"/>
  <c r="T1491" i="1"/>
  <c r="U1491" i="1"/>
  <c r="V1491" i="1"/>
  <c r="W1491" i="1"/>
  <c r="X1491" i="1"/>
  <c r="Y1491" i="1"/>
  <c r="Z1491" i="1"/>
  <c r="AA1491" i="1"/>
  <c r="AB1491" i="1"/>
  <c r="AC1491" i="1"/>
  <c r="AD1491" i="1"/>
  <c r="AE1491" i="1"/>
  <c r="AF1491" i="1"/>
  <c r="AM1491" i="1"/>
  <c r="AN1491" i="1"/>
  <c r="AO1491" i="1"/>
  <c r="L1492" i="1"/>
  <c r="M1492" i="1"/>
  <c r="N1492" i="1"/>
  <c r="O1492" i="1"/>
  <c r="P1492" i="1"/>
  <c r="Q1492" i="1"/>
  <c r="R1492" i="1"/>
  <c r="S1492" i="1"/>
  <c r="T1492" i="1"/>
  <c r="U1492" i="1"/>
  <c r="V1492" i="1"/>
  <c r="W1492" i="1"/>
  <c r="X1492" i="1"/>
  <c r="Y1492" i="1"/>
  <c r="Z1492" i="1"/>
  <c r="AA1492" i="1"/>
  <c r="AB1492" i="1"/>
  <c r="AC1492" i="1"/>
  <c r="AD1492" i="1"/>
  <c r="AE1492" i="1"/>
  <c r="AF1492" i="1"/>
  <c r="AM1492" i="1"/>
  <c r="AN1492" i="1"/>
  <c r="AO1492" i="1"/>
  <c r="L1493" i="1"/>
  <c r="M1493" i="1"/>
  <c r="N1493" i="1"/>
  <c r="O1493" i="1"/>
  <c r="P1493" i="1"/>
  <c r="Q1493" i="1"/>
  <c r="R1493" i="1"/>
  <c r="S1493" i="1"/>
  <c r="T1493" i="1"/>
  <c r="U1493" i="1"/>
  <c r="V1493" i="1"/>
  <c r="W1493" i="1"/>
  <c r="X1493" i="1"/>
  <c r="Y1493" i="1"/>
  <c r="Z1493" i="1"/>
  <c r="AA1493" i="1"/>
  <c r="AB1493" i="1"/>
  <c r="AC1493" i="1"/>
  <c r="AD1493" i="1"/>
  <c r="AE1493" i="1"/>
  <c r="AF1493" i="1"/>
  <c r="AM1493" i="1"/>
  <c r="AN1493" i="1"/>
  <c r="AO1493" i="1"/>
  <c r="L1494" i="1"/>
  <c r="M1494" i="1"/>
  <c r="N1494" i="1"/>
  <c r="O1494" i="1"/>
  <c r="P1494" i="1"/>
  <c r="Q1494" i="1"/>
  <c r="R1494" i="1"/>
  <c r="S1494" i="1"/>
  <c r="T1494" i="1"/>
  <c r="U1494" i="1"/>
  <c r="V1494" i="1"/>
  <c r="W1494" i="1"/>
  <c r="X1494" i="1"/>
  <c r="Y1494" i="1"/>
  <c r="Z1494" i="1"/>
  <c r="AA1494" i="1"/>
  <c r="AB1494" i="1"/>
  <c r="AC1494" i="1"/>
  <c r="AD1494" i="1"/>
  <c r="AE1494" i="1"/>
  <c r="AF1494" i="1"/>
  <c r="AM1494" i="1"/>
  <c r="AN1494" i="1"/>
  <c r="AO1494" i="1"/>
  <c r="L1495" i="1"/>
  <c r="M1495" i="1"/>
  <c r="N1495" i="1"/>
  <c r="O1495" i="1"/>
  <c r="P1495" i="1"/>
  <c r="Q1495" i="1"/>
  <c r="R1495" i="1"/>
  <c r="S1495" i="1"/>
  <c r="T1495" i="1"/>
  <c r="U1495" i="1"/>
  <c r="V1495" i="1"/>
  <c r="W1495" i="1"/>
  <c r="X1495" i="1"/>
  <c r="Y1495" i="1"/>
  <c r="Z1495" i="1"/>
  <c r="AA1495" i="1"/>
  <c r="AB1495" i="1"/>
  <c r="AC1495" i="1"/>
  <c r="AD1495" i="1"/>
  <c r="AE1495" i="1"/>
  <c r="AF1495" i="1"/>
  <c r="AM1495" i="1"/>
  <c r="AN1495" i="1"/>
  <c r="AO1495" i="1"/>
  <c r="L1496" i="1"/>
  <c r="M1496" i="1"/>
  <c r="N1496" i="1"/>
  <c r="O1496" i="1"/>
  <c r="P1496" i="1"/>
  <c r="Q1496" i="1"/>
  <c r="R1496" i="1"/>
  <c r="S1496" i="1"/>
  <c r="T1496" i="1"/>
  <c r="U1496" i="1"/>
  <c r="V1496" i="1"/>
  <c r="W1496" i="1"/>
  <c r="X1496" i="1"/>
  <c r="Y1496" i="1"/>
  <c r="Z1496" i="1"/>
  <c r="AA1496" i="1"/>
  <c r="AB1496" i="1"/>
  <c r="AC1496" i="1"/>
  <c r="AD1496" i="1"/>
  <c r="AE1496" i="1"/>
  <c r="AF1496" i="1"/>
  <c r="AM1496" i="1"/>
  <c r="AN1496" i="1"/>
  <c r="AO1496" i="1"/>
  <c r="L1497" i="1"/>
  <c r="M1497" i="1"/>
  <c r="N1497" i="1"/>
  <c r="O1497" i="1"/>
  <c r="P1497" i="1"/>
  <c r="Q1497" i="1"/>
  <c r="R1497" i="1"/>
  <c r="S1497" i="1"/>
  <c r="T1497" i="1"/>
  <c r="U1497" i="1"/>
  <c r="V1497" i="1"/>
  <c r="W1497" i="1"/>
  <c r="X1497" i="1"/>
  <c r="Y1497" i="1"/>
  <c r="Z1497" i="1"/>
  <c r="AA1497" i="1"/>
  <c r="AB1497" i="1"/>
  <c r="AC1497" i="1"/>
  <c r="AD1497" i="1"/>
  <c r="AE1497" i="1"/>
  <c r="AF1497" i="1"/>
  <c r="AM1497" i="1"/>
  <c r="AN1497" i="1"/>
  <c r="AO1497" i="1"/>
  <c r="L1498" i="1"/>
  <c r="M1498" i="1"/>
  <c r="N1498" i="1"/>
  <c r="O1498" i="1"/>
  <c r="P1498" i="1"/>
  <c r="Q1498" i="1"/>
  <c r="R1498" i="1"/>
  <c r="S1498" i="1"/>
  <c r="T1498" i="1"/>
  <c r="U1498" i="1"/>
  <c r="V1498" i="1"/>
  <c r="W1498" i="1"/>
  <c r="X1498" i="1"/>
  <c r="Y1498" i="1"/>
  <c r="Z1498" i="1"/>
  <c r="AA1498" i="1"/>
  <c r="AB1498" i="1"/>
  <c r="AC1498" i="1"/>
  <c r="AD1498" i="1"/>
  <c r="AE1498" i="1"/>
  <c r="AF1498" i="1"/>
  <c r="AM1498" i="1"/>
  <c r="AN1498" i="1"/>
  <c r="AO1498" i="1"/>
  <c r="L1499" i="1"/>
  <c r="M1499" i="1"/>
  <c r="N1499" i="1"/>
  <c r="O1499" i="1"/>
  <c r="P1499" i="1"/>
  <c r="Q1499" i="1"/>
  <c r="R1499" i="1"/>
  <c r="S1499" i="1"/>
  <c r="T1499" i="1"/>
  <c r="U1499" i="1"/>
  <c r="V1499" i="1"/>
  <c r="W1499" i="1"/>
  <c r="X1499" i="1"/>
  <c r="Y1499" i="1"/>
  <c r="Z1499" i="1"/>
  <c r="AA1499" i="1"/>
  <c r="AB1499" i="1"/>
  <c r="AC1499" i="1"/>
  <c r="AD1499" i="1"/>
  <c r="AE1499" i="1"/>
  <c r="AF1499" i="1"/>
  <c r="AM1499" i="1"/>
  <c r="AN1499" i="1"/>
  <c r="AO1499" i="1"/>
  <c r="L1500" i="1"/>
  <c r="M1500" i="1"/>
  <c r="N1500" i="1"/>
  <c r="O1500" i="1"/>
  <c r="P1500" i="1"/>
  <c r="Q1500" i="1"/>
  <c r="R1500" i="1"/>
  <c r="S1500" i="1"/>
  <c r="T1500" i="1"/>
  <c r="U1500" i="1"/>
  <c r="V1500" i="1"/>
  <c r="W1500" i="1"/>
  <c r="X1500" i="1"/>
  <c r="Y1500" i="1"/>
  <c r="Z1500" i="1"/>
  <c r="AA1500" i="1"/>
  <c r="AB1500" i="1"/>
  <c r="AC1500" i="1"/>
  <c r="AD1500" i="1"/>
  <c r="AE1500" i="1"/>
  <c r="AF1500" i="1"/>
  <c r="AM1500" i="1"/>
  <c r="AN1500" i="1"/>
  <c r="AO1500" i="1"/>
  <c r="L1501" i="1"/>
  <c r="M1501" i="1"/>
  <c r="N1501" i="1"/>
  <c r="O1501" i="1"/>
  <c r="P1501" i="1"/>
  <c r="Q1501" i="1"/>
  <c r="R1501" i="1"/>
  <c r="S1501" i="1"/>
  <c r="T1501" i="1"/>
  <c r="U1501" i="1"/>
  <c r="V1501" i="1"/>
  <c r="W1501" i="1"/>
  <c r="X1501" i="1"/>
  <c r="Y1501" i="1"/>
  <c r="Z1501" i="1"/>
  <c r="AA1501" i="1"/>
  <c r="AB1501" i="1"/>
  <c r="AC1501" i="1"/>
  <c r="AD1501" i="1"/>
  <c r="AE1501" i="1"/>
  <c r="AF1501" i="1"/>
  <c r="AM1501" i="1"/>
  <c r="AN1501" i="1"/>
  <c r="AO1501" i="1"/>
  <c r="L1502" i="1"/>
  <c r="M1502" i="1"/>
  <c r="N1502" i="1"/>
  <c r="O1502" i="1"/>
  <c r="P1502" i="1"/>
  <c r="Q1502" i="1"/>
  <c r="R1502" i="1"/>
  <c r="S1502" i="1"/>
  <c r="T1502" i="1"/>
  <c r="U1502" i="1"/>
  <c r="V1502" i="1"/>
  <c r="W1502" i="1"/>
  <c r="X1502" i="1"/>
  <c r="Y1502" i="1"/>
  <c r="Z1502" i="1"/>
  <c r="AA1502" i="1"/>
  <c r="AB1502" i="1"/>
  <c r="AC1502" i="1"/>
  <c r="AD1502" i="1"/>
  <c r="AE1502" i="1"/>
  <c r="AF1502" i="1"/>
  <c r="AM1502" i="1"/>
  <c r="AN1502" i="1"/>
  <c r="AO1502" i="1"/>
  <c r="L1503" i="1"/>
  <c r="M1503" i="1"/>
  <c r="N1503" i="1"/>
  <c r="O1503" i="1"/>
  <c r="P1503" i="1"/>
  <c r="Q1503" i="1"/>
  <c r="R1503" i="1"/>
  <c r="S1503" i="1"/>
  <c r="T1503" i="1"/>
  <c r="U1503" i="1"/>
  <c r="V1503" i="1"/>
  <c r="W1503" i="1"/>
  <c r="X1503" i="1"/>
  <c r="Y1503" i="1"/>
  <c r="Z1503" i="1"/>
  <c r="AA1503" i="1"/>
  <c r="AB1503" i="1"/>
  <c r="AC1503" i="1"/>
  <c r="AD1503" i="1"/>
  <c r="AE1503" i="1"/>
  <c r="AF1503" i="1"/>
  <c r="AM1503" i="1"/>
  <c r="AN1503" i="1"/>
  <c r="AO1503" i="1"/>
  <c r="L1504" i="1"/>
  <c r="M1504" i="1"/>
  <c r="N1504" i="1"/>
  <c r="O1504" i="1"/>
  <c r="P1504" i="1"/>
  <c r="Q1504" i="1"/>
  <c r="R1504" i="1"/>
  <c r="S1504" i="1"/>
  <c r="T1504" i="1"/>
  <c r="U1504" i="1"/>
  <c r="V1504" i="1"/>
  <c r="W1504" i="1"/>
  <c r="X1504" i="1"/>
  <c r="Y1504" i="1"/>
  <c r="Z1504" i="1"/>
  <c r="AA1504" i="1"/>
  <c r="AB1504" i="1"/>
  <c r="AC1504" i="1"/>
  <c r="AD1504" i="1"/>
  <c r="AE1504" i="1"/>
  <c r="AF1504" i="1"/>
  <c r="AM1504" i="1"/>
  <c r="AN1504" i="1"/>
  <c r="AO1504" i="1"/>
  <c r="L1505" i="1"/>
  <c r="M1505" i="1"/>
  <c r="N1505" i="1"/>
  <c r="O1505" i="1"/>
  <c r="P1505" i="1"/>
  <c r="Q1505" i="1"/>
  <c r="R1505" i="1"/>
  <c r="S1505" i="1"/>
  <c r="T1505" i="1"/>
  <c r="U1505" i="1"/>
  <c r="V1505" i="1"/>
  <c r="W1505" i="1"/>
  <c r="X1505" i="1"/>
  <c r="Y1505" i="1"/>
  <c r="Z1505" i="1"/>
  <c r="AA1505" i="1"/>
  <c r="AB1505" i="1"/>
  <c r="AC1505" i="1"/>
  <c r="AD1505" i="1"/>
  <c r="AE1505" i="1"/>
  <c r="AF1505" i="1"/>
  <c r="AM1505" i="1"/>
  <c r="AN1505" i="1"/>
  <c r="AO1505" i="1"/>
  <c r="L1506" i="1"/>
  <c r="M1506" i="1"/>
  <c r="N1506" i="1"/>
  <c r="O1506" i="1"/>
  <c r="P1506" i="1"/>
  <c r="Q1506" i="1"/>
  <c r="R1506" i="1"/>
  <c r="S1506" i="1"/>
  <c r="T1506" i="1"/>
  <c r="U1506" i="1"/>
  <c r="V1506" i="1"/>
  <c r="W1506" i="1"/>
  <c r="X1506" i="1"/>
  <c r="Y1506" i="1"/>
  <c r="Z1506" i="1"/>
  <c r="AA1506" i="1"/>
  <c r="AB1506" i="1"/>
  <c r="AC1506" i="1"/>
  <c r="AD1506" i="1"/>
  <c r="AE1506" i="1"/>
  <c r="AF1506" i="1"/>
  <c r="AM1506" i="1"/>
  <c r="AN1506" i="1"/>
  <c r="AO1506" i="1"/>
  <c r="L1507" i="1"/>
  <c r="M1507" i="1"/>
  <c r="N1507" i="1"/>
  <c r="O1507" i="1"/>
  <c r="P1507" i="1"/>
  <c r="Q1507" i="1"/>
  <c r="R1507" i="1"/>
  <c r="S1507" i="1"/>
  <c r="T1507" i="1"/>
  <c r="U1507" i="1"/>
  <c r="V1507" i="1"/>
  <c r="W1507" i="1"/>
  <c r="X1507" i="1"/>
  <c r="Y1507" i="1"/>
  <c r="Z1507" i="1"/>
  <c r="AA1507" i="1"/>
  <c r="AB1507" i="1"/>
  <c r="AC1507" i="1"/>
  <c r="AD1507" i="1"/>
  <c r="AE1507" i="1"/>
  <c r="AF1507" i="1"/>
  <c r="AM1507" i="1"/>
  <c r="AN1507" i="1"/>
  <c r="AO1507" i="1"/>
  <c r="L1508" i="1"/>
  <c r="M1508" i="1"/>
  <c r="N1508" i="1"/>
  <c r="O1508" i="1"/>
  <c r="P1508" i="1"/>
  <c r="Q1508" i="1"/>
  <c r="R1508" i="1"/>
  <c r="S1508" i="1"/>
  <c r="T1508" i="1"/>
  <c r="U1508" i="1"/>
  <c r="V1508" i="1"/>
  <c r="W1508" i="1"/>
  <c r="X1508" i="1"/>
  <c r="Y1508" i="1"/>
  <c r="Z1508" i="1"/>
  <c r="AA1508" i="1"/>
  <c r="AB1508" i="1"/>
  <c r="AC1508" i="1"/>
  <c r="AD1508" i="1"/>
  <c r="AE1508" i="1"/>
  <c r="AF1508" i="1"/>
  <c r="AM1508" i="1"/>
  <c r="AN1508" i="1"/>
  <c r="AO1508" i="1"/>
  <c r="L1509" i="1"/>
  <c r="M1509" i="1"/>
  <c r="N1509" i="1"/>
  <c r="O1509" i="1"/>
  <c r="P1509" i="1"/>
  <c r="Q1509" i="1"/>
  <c r="R1509" i="1"/>
  <c r="S1509" i="1"/>
  <c r="T1509" i="1"/>
  <c r="U1509" i="1"/>
  <c r="V1509" i="1"/>
  <c r="W1509" i="1"/>
  <c r="X1509" i="1"/>
  <c r="Y1509" i="1"/>
  <c r="Z1509" i="1"/>
  <c r="AA1509" i="1"/>
  <c r="AB1509" i="1"/>
  <c r="AC1509" i="1"/>
  <c r="AD1509" i="1"/>
  <c r="AE1509" i="1"/>
  <c r="AF1509" i="1"/>
  <c r="AM1509" i="1"/>
  <c r="AN1509" i="1"/>
  <c r="AO1509" i="1"/>
  <c r="L1510" i="1"/>
  <c r="M1510" i="1"/>
  <c r="N1510" i="1"/>
  <c r="O1510" i="1"/>
  <c r="P1510" i="1"/>
  <c r="Q1510" i="1"/>
  <c r="R1510" i="1"/>
  <c r="S1510" i="1"/>
  <c r="T1510" i="1"/>
  <c r="U1510" i="1"/>
  <c r="V1510" i="1"/>
  <c r="W1510" i="1"/>
  <c r="X1510" i="1"/>
  <c r="Y1510" i="1"/>
  <c r="Z1510" i="1"/>
  <c r="AA1510" i="1"/>
  <c r="AB1510" i="1"/>
  <c r="AC1510" i="1"/>
  <c r="AD1510" i="1"/>
  <c r="AE1510" i="1"/>
  <c r="AF1510" i="1"/>
  <c r="AM1510" i="1"/>
  <c r="AN1510" i="1"/>
  <c r="AO1510" i="1"/>
  <c r="L1511" i="1"/>
  <c r="M1511" i="1"/>
  <c r="N1511" i="1"/>
  <c r="O1511" i="1"/>
  <c r="P1511" i="1"/>
  <c r="Q1511" i="1"/>
  <c r="R1511" i="1"/>
  <c r="S1511" i="1"/>
  <c r="T1511" i="1"/>
  <c r="U1511" i="1"/>
  <c r="V1511" i="1"/>
  <c r="W1511" i="1"/>
  <c r="X1511" i="1"/>
  <c r="Y1511" i="1"/>
  <c r="Z1511" i="1"/>
  <c r="AA1511" i="1"/>
  <c r="AB1511" i="1"/>
  <c r="AC1511" i="1"/>
  <c r="AD1511" i="1"/>
  <c r="AE1511" i="1"/>
  <c r="AF1511" i="1"/>
  <c r="AM1511" i="1"/>
  <c r="AN1511" i="1"/>
  <c r="AO1511" i="1"/>
  <c r="L1512" i="1"/>
  <c r="M1512" i="1"/>
  <c r="N1512" i="1"/>
  <c r="O1512" i="1"/>
  <c r="P1512" i="1"/>
  <c r="Q1512" i="1"/>
  <c r="R1512" i="1"/>
  <c r="S1512" i="1"/>
  <c r="T1512" i="1"/>
  <c r="U1512" i="1"/>
  <c r="V1512" i="1"/>
  <c r="W1512" i="1"/>
  <c r="X1512" i="1"/>
  <c r="Y1512" i="1"/>
  <c r="Z1512" i="1"/>
  <c r="AA1512" i="1"/>
  <c r="AB1512" i="1"/>
  <c r="AC1512" i="1"/>
  <c r="AD1512" i="1"/>
  <c r="AE1512" i="1"/>
  <c r="AF1512" i="1"/>
  <c r="AM1512" i="1"/>
  <c r="AN1512" i="1"/>
  <c r="AO1512" i="1"/>
  <c r="L1513" i="1"/>
  <c r="M1513" i="1"/>
  <c r="N1513" i="1"/>
  <c r="O1513" i="1"/>
  <c r="P1513" i="1"/>
  <c r="Q1513" i="1"/>
  <c r="R1513" i="1"/>
  <c r="S1513" i="1"/>
  <c r="T1513" i="1"/>
  <c r="U1513" i="1"/>
  <c r="V1513" i="1"/>
  <c r="W1513" i="1"/>
  <c r="X1513" i="1"/>
  <c r="Y1513" i="1"/>
  <c r="Z1513" i="1"/>
  <c r="AA1513" i="1"/>
  <c r="AB1513" i="1"/>
  <c r="AC1513" i="1"/>
  <c r="AD1513" i="1"/>
  <c r="AE1513" i="1"/>
  <c r="AF1513" i="1"/>
  <c r="AM1513" i="1"/>
  <c r="AN1513" i="1"/>
  <c r="AO1513" i="1"/>
  <c r="L1514" i="1"/>
  <c r="M1514" i="1"/>
  <c r="N1514" i="1"/>
  <c r="O1514" i="1"/>
  <c r="P1514" i="1"/>
  <c r="Q1514" i="1"/>
  <c r="R1514" i="1"/>
  <c r="S1514" i="1"/>
  <c r="T1514" i="1"/>
  <c r="U1514" i="1"/>
  <c r="V1514" i="1"/>
  <c r="W1514" i="1"/>
  <c r="X1514" i="1"/>
  <c r="Y1514" i="1"/>
  <c r="Z1514" i="1"/>
  <c r="AA1514" i="1"/>
  <c r="AB1514" i="1"/>
  <c r="AC1514" i="1"/>
  <c r="AD1514" i="1"/>
  <c r="AE1514" i="1"/>
  <c r="AF1514" i="1"/>
  <c r="AM1514" i="1"/>
  <c r="AN1514" i="1"/>
  <c r="AO1514" i="1"/>
  <c r="L1515" i="1"/>
  <c r="M1515" i="1"/>
  <c r="N1515" i="1"/>
  <c r="O1515" i="1"/>
  <c r="P1515" i="1"/>
  <c r="Q1515" i="1"/>
  <c r="R1515" i="1"/>
  <c r="S1515" i="1"/>
  <c r="T1515" i="1"/>
  <c r="U1515" i="1"/>
  <c r="V1515" i="1"/>
  <c r="W1515" i="1"/>
  <c r="X1515" i="1"/>
  <c r="Y1515" i="1"/>
  <c r="Z1515" i="1"/>
  <c r="AA1515" i="1"/>
  <c r="AB1515" i="1"/>
  <c r="AC1515" i="1"/>
  <c r="AD1515" i="1"/>
  <c r="AE1515" i="1"/>
  <c r="AF1515" i="1"/>
  <c r="AM1515" i="1"/>
  <c r="AN1515" i="1"/>
  <c r="AO1515" i="1"/>
  <c r="L1516" i="1"/>
  <c r="M1516" i="1"/>
  <c r="N1516" i="1"/>
  <c r="O1516" i="1"/>
  <c r="P1516" i="1"/>
  <c r="Q1516" i="1"/>
  <c r="R1516" i="1"/>
  <c r="S1516" i="1"/>
  <c r="T1516" i="1"/>
  <c r="U1516" i="1"/>
  <c r="V1516" i="1"/>
  <c r="W1516" i="1"/>
  <c r="X1516" i="1"/>
  <c r="Y1516" i="1"/>
  <c r="Z1516" i="1"/>
  <c r="AA1516" i="1"/>
  <c r="AB1516" i="1"/>
  <c r="AC1516" i="1"/>
  <c r="AD1516" i="1"/>
  <c r="AE1516" i="1"/>
  <c r="AF1516" i="1"/>
  <c r="AM1516" i="1"/>
  <c r="AN1516" i="1"/>
  <c r="AO1516" i="1"/>
  <c r="L1517" i="1"/>
  <c r="M1517" i="1"/>
  <c r="N1517" i="1"/>
  <c r="O1517" i="1"/>
  <c r="P1517" i="1"/>
  <c r="Q1517" i="1"/>
  <c r="R1517" i="1"/>
  <c r="S1517" i="1"/>
  <c r="T1517" i="1"/>
  <c r="U1517" i="1"/>
  <c r="V1517" i="1"/>
  <c r="W1517" i="1"/>
  <c r="X1517" i="1"/>
  <c r="Y1517" i="1"/>
  <c r="Z1517" i="1"/>
  <c r="AA1517" i="1"/>
  <c r="AB1517" i="1"/>
  <c r="AC1517" i="1"/>
  <c r="AD1517" i="1"/>
  <c r="AE1517" i="1"/>
  <c r="AF1517" i="1"/>
  <c r="AM1517" i="1"/>
  <c r="AN1517" i="1"/>
  <c r="AO1517" i="1"/>
  <c r="L1518" i="1"/>
  <c r="M1518" i="1"/>
  <c r="N1518" i="1"/>
  <c r="O1518" i="1"/>
  <c r="P1518" i="1"/>
  <c r="Q1518" i="1"/>
  <c r="R1518" i="1"/>
  <c r="S1518" i="1"/>
  <c r="T1518" i="1"/>
  <c r="U1518" i="1"/>
  <c r="V1518" i="1"/>
  <c r="W1518" i="1"/>
  <c r="X1518" i="1"/>
  <c r="Y1518" i="1"/>
  <c r="Z1518" i="1"/>
  <c r="AA1518" i="1"/>
  <c r="AB1518" i="1"/>
  <c r="AC1518" i="1"/>
  <c r="AD1518" i="1"/>
  <c r="AE1518" i="1"/>
  <c r="AF1518" i="1"/>
  <c r="AM1518" i="1"/>
  <c r="AN1518" i="1"/>
  <c r="AO1518" i="1"/>
  <c r="L1519" i="1"/>
  <c r="M1519" i="1"/>
  <c r="N1519" i="1"/>
  <c r="O1519" i="1"/>
  <c r="P1519" i="1"/>
  <c r="Q1519" i="1"/>
  <c r="R1519" i="1"/>
  <c r="S1519" i="1"/>
  <c r="T1519" i="1"/>
  <c r="U1519" i="1"/>
  <c r="V1519" i="1"/>
  <c r="W1519" i="1"/>
  <c r="X1519" i="1"/>
  <c r="Y1519" i="1"/>
  <c r="Z1519" i="1"/>
  <c r="AA1519" i="1"/>
  <c r="AB1519" i="1"/>
  <c r="AC1519" i="1"/>
  <c r="AD1519" i="1"/>
  <c r="AE1519" i="1"/>
  <c r="AF1519" i="1"/>
  <c r="AM1519" i="1"/>
  <c r="AN1519" i="1"/>
  <c r="AO1519" i="1"/>
  <c r="L1520" i="1"/>
  <c r="M1520" i="1"/>
  <c r="N1520" i="1"/>
  <c r="O1520" i="1"/>
  <c r="P1520" i="1"/>
  <c r="Q1520" i="1"/>
  <c r="R1520" i="1"/>
  <c r="S1520" i="1"/>
  <c r="T1520" i="1"/>
  <c r="U1520" i="1"/>
  <c r="V1520" i="1"/>
  <c r="W1520" i="1"/>
  <c r="X1520" i="1"/>
  <c r="Y1520" i="1"/>
  <c r="Z1520" i="1"/>
  <c r="AA1520" i="1"/>
  <c r="AB1520" i="1"/>
  <c r="AC1520" i="1"/>
  <c r="AD1520" i="1"/>
  <c r="AE1520" i="1"/>
  <c r="AF1520" i="1"/>
  <c r="AM1520" i="1"/>
  <c r="AN1520" i="1"/>
  <c r="AO1520" i="1"/>
  <c r="L1521" i="1"/>
  <c r="M1521" i="1"/>
  <c r="N1521" i="1"/>
  <c r="O1521" i="1"/>
  <c r="P1521" i="1"/>
  <c r="Q1521" i="1"/>
  <c r="R1521" i="1"/>
  <c r="S1521" i="1"/>
  <c r="T1521" i="1"/>
  <c r="U1521" i="1"/>
  <c r="V1521" i="1"/>
  <c r="W1521" i="1"/>
  <c r="X1521" i="1"/>
  <c r="Y1521" i="1"/>
  <c r="Z1521" i="1"/>
  <c r="AA1521" i="1"/>
  <c r="AB1521" i="1"/>
  <c r="AC1521" i="1"/>
  <c r="AD1521" i="1"/>
  <c r="AE1521" i="1"/>
  <c r="AF1521" i="1"/>
  <c r="AM1521" i="1"/>
  <c r="AN1521" i="1"/>
  <c r="AO1521" i="1"/>
  <c r="L1522" i="1"/>
  <c r="M1522" i="1"/>
  <c r="N1522" i="1"/>
  <c r="O1522" i="1"/>
  <c r="P1522" i="1"/>
  <c r="Q1522" i="1"/>
  <c r="R1522" i="1"/>
  <c r="S1522" i="1"/>
  <c r="T1522" i="1"/>
  <c r="U1522" i="1"/>
  <c r="V1522" i="1"/>
  <c r="W1522" i="1"/>
  <c r="X1522" i="1"/>
  <c r="Y1522" i="1"/>
  <c r="Z1522" i="1"/>
  <c r="AA1522" i="1"/>
  <c r="AB1522" i="1"/>
  <c r="AC1522" i="1"/>
  <c r="AD1522" i="1"/>
  <c r="AE1522" i="1"/>
  <c r="AF1522" i="1"/>
  <c r="AM1522" i="1"/>
  <c r="AN1522" i="1"/>
  <c r="AO1522" i="1"/>
  <c r="L1523" i="1"/>
  <c r="M1523" i="1"/>
  <c r="N1523" i="1"/>
  <c r="O1523" i="1"/>
  <c r="P1523" i="1"/>
  <c r="Q1523" i="1"/>
  <c r="R1523" i="1"/>
  <c r="S1523" i="1"/>
  <c r="T1523" i="1"/>
  <c r="U1523" i="1"/>
  <c r="V1523" i="1"/>
  <c r="W1523" i="1"/>
  <c r="X1523" i="1"/>
  <c r="Y1523" i="1"/>
  <c r="Z1523" i="1"/>
  <c r="AA1523" i="1"/>
  <c r="AB1523" i="1"/>
  <c r="AC1523" i="1"/>
  <c r="AD1523" i="1"/>
  <c r="AE1523" i="1"/>
  <c r="AF1523" i="1"/>
  <c r="AM1523" i="1"/>
  <c r="AN1523" i="1"/>
  <c r="AO1523" i="1"/>
  <c r="L1524" i="1"/>
  <c r="M1524" i="1"/>
  <c r="N1524" i="1"/>
  <c r="O1524" i="1"/>
  <c r="P1524" i="1"/>
  <c r="Q1524" i="1"/>
  <c r="R1524" i="1"/>
  <c r="S1524" i="1"/>
  <c r="T1524" i="1"/>
  <c r="U1524" i="1"/>
  <c r="V1524" i="1"/>
  <c r="W1524" i="1"/>
  <c r="X1524" i="1"/>
  <c r="Y1524" i="1"/>
  <c r="Z1524" i="1"/>
  <c r="AA1524" i="1"/>
  <c r="AB1524" i="1"/>
  <c r="AC1524" i="1"/>
  <c r="AD1524" i="1"/>
  <c r="AE1524" i="1"/>
  <c r="AF1524" i="1"/>
  <c r="AM1524" i="1"/>
  <c r="AN1524" i="1"/>
  <c r="AO1524" i="1"/>
  <c r="L1525" i="1"/>
  <c r="M1525" i="1"/>
  <c r="N1525" i="1"/>
  <c r="O1525" i="1"/>
  <c r="P1525" i="1"/>
  <c r="Q1525" i="1"/>
  <c r="R1525" i="1"/>
  <c r="S1525" i="1"/>
  <c r="T1525" i="1"/>
  <c r="U1525" i="1"/>
  <c r="V1525" i="1"/>
  <c r="W1525" i="1"/>
  <c r="X1525" i="1"/>
  <c r="Y1525" i="1"/>
  <c r="Z1525" i="1"/>
  <c r="AA1525" i="1"/>
  <c r="AB1525" i="1"/>
  <c r="AC1525" i="1"/>
  <c r="AD1525" i="1"/>
  <c r="AE1525" i="1"/>
  <c r="AF1525" i="1"/>
  <c r="AM1525" i="1"/>
  <c r="AN1525" i="1"/>
  <c r="AO1525" i="1"/>
  <c r="L1526" i="1"/>
  <c r="M1526" i="1"/>
  <c r="N1526" i="1"/>
  <c r="O1526" i="1"/>
  <c r="P1526" i="1"/>
  <c r="Q1526" i="1"/>
  <c r="R1526" i="1"/>
  <c r="S1526" i="1"/>
  <c r="T1526" i="1"/>
  <c r="U1526" i="1"/>
  <c r="V1526" i="1"/>
  <c r="W1526" i="1"/>
  <c r="X1526" i="1"/>
  <c r="Y1526" i="1"/>
  <c r="Z1526" i="1"/>
  <c r="AA1526" i="1"/>
  <c r="AB1526" i="1"/>
  <c r="AC1526" i="1"/>
  <c r="AD1526" i="1"/>
  <c r="AE1526" i="1"/>
  <c r="AF1526" i="1"/>
  <c r="AM1526" i="1"/>
  <c r="AN1526" i="1"/>
  <c r="AO1526" i="1"/>
  <c r="L1527" i="1"/>
  <c r="M1527" i="1"/>
  <c r="N1527" i="1"/>
  <c r="O1527" i="1"/>
  <c r="P1527" i="1"/>
  <c r="Q1527" i="1"/>
  <c r="R1527" i="1"/>
  <c r="S1527" i="1"/>
  <c r="T1527" i="1"/>
  <c r="U1527" i="1"/>
  <c r="V1527" i="1"/>
  <c r="W1527" i="1"/>
  <c r="X1527" i="1"/>
  <c r="Y1527" i="1"/>
  <c r="Z1527" i="1"/>
  <c r="AA1527" i="1"/>
  <c r="AB1527" i="1"/>
  <c r="AC1527" i="1"/>
  <c r="AD1527" i="1"/>
  <c r="AE1527" i="1"/>
  <c r="AF1527" i="1"/>
  <c r="AM1527" i="1"/>
  <c r="AN1527" i="1"/>
  <c r="AO1527" i="1"/>
  <c r="L1528" i="1"/>
  <c r="M1528" i="1"/>
  <c r="N1528" i="1"/>
  <c r="O1528" i="1"/>
  <c r="P1528" i="1"/>
  <c r="Q1528" i="1"/>
  <c r="R1528" i="1"/>
  <c r="S1528" i="1"/>
  <c r="T1528" i="1"/>
  <c r="U1528" i="1"/>
  <c r="V1528" i="1"/>
  <c r="W1528" i="1"/>
  <c r="X1528" i="1"/>
  <c r="Y1528" i="1"/>
  <c r="Z1528" i="1"/>
  <c r="AA1528" i="1"/>
  <c r="AB1528" i="1"/>
  <c r="AC1528" i="1"/>
  <c r="AD1528" i="1"/>
  <c r="AE1528" i="1"/>
  <c r="AF1528" i="1"/>
  <c r="AM1528" i="1"/>
  <c r="AN1528" i="1"/>
  <c r="AO1528" i="1"/>
  <c r="L1529" i="1"/>
  <c r="M1529" i="1"/>
  <c r="N1529" i="1"/>
  <c r="O1529" i="1"/>
  <c r="P1529" i="1"/>
  <c r="Q1529" i="1"/>
  <c r="R1529" i="1"/>
  <c r="S1529" i="1"/>
  <c r="T1529" i="1"/>
  <c r="U1529" i="1"/>
  <c r="V1529" i="1"/>
  <c r="W1529" i="1"/>
  <c r="X1529" i="1"/>
  <c r="Y1529" i="1"/>
  <c r="Z1529" i="1"/>
  <c r="AA1529" i="1"/>
  <c r="AB1529" i="1"/>
  <c r="AC1529" i="1"/>
  <c r="AD1529" i="1"/>
  <c r="AE1529" i="1"/>
  <c r="AF1529" i="1"/>
  <c r="AM1529" i="1"/>
  <c r="AN1529" i="1"/>
  <c r="AO1529" i="1"/>
  <c r="L1530" i="1"/>
  <c r="M1530" i="1"/>
  <c r="N1530" i="1"/>
  <c r="O1530" i="1"/>
  <c r="P1530" i="1"/>
  <c r="Q1530" i="1"/>
  <c r="R1530" i="1"/>
  <c r="S1530" i="1"/>
  <c r="T1530" i="1"/>
  <c r="U1530" i="1"/>
  <c r="V1530" i="1"/>
  <c r="W1530" i="1"/>
  <c r="X1530" i="1"/>
  <c r="Y1530" i="1"/>
  <c r="Z1530" i="1"/>
  <c r="AA1530" i="1"/>
  <c r="AB1530" i="1"/>
  <c r="AC1530" i="1"/>
  <c r="AD1530" i="1"/>
  <c r="AE1530" i="1"/>
  <c r="AF1530" i="1"/>
  <c r="AM1530" i="1"/>
  <c r="AN1530" i="1"/>
  <c r="AO1530" i="1"/>
  <c r="L1531" i="1"/>
  <c r="M1531" i="1"/>
  <c r="N1531" i="1"/>
  <c r="O1531" i="1"/>
  <c r="P1531" i="1"/>
  <c r="Q1531" i="1"/>
  <c r="R1531" i="1"/>
  <c r="S1531" i="1"/>
  <c r="T1531" i="1"/>
  <c r="U1531" i="1"/>
  <c r="V1531" i="1"/>
  <c r="W1531" i="1"/>
  <c r="X1531" i="1"/>
  <c r="Y1531" i="1"/>
  <c r="Z1531" i="1"/>
  <c r="AA1531" i="1"/>
  <c r="AB1531" i="1"/>
  <c r="AC1531" i="1"/>
  <c r="AD1531" i="1"/>
  <c r="AE1531" i="1"/>
  <c r="AF1531" i="1"/>
  <c r="AM1531" i="1"/>
  <c r="AN1531" i="1"/>
  <c r="AO1531" i="1"/>
  <c r="L1532" i="1"/>
  <c r="M1532" i="1"/>
  <c r="N1532" i="1"/>
  <c r="O1532" i="1"/>
  <c r="P1532" i="1"/>
  <c r="Q1532" i="1"/>
  <c r="R1532" i="1"/>
  <c r="S1532" i="1"/>
  <c r="T1532" i="1"/>
  <c r="U1532" i="1"/>
  <c r="V1532" i="1"/>
  <c r="W1532" i="1"/>
  <c r="X1532" i="1"/>
  <c r="Y1532" i="1"/>
  <c r="Z1532" i="1"/>
  <c r="AA1532" i="1"/>
  <c r="AB1532" i="1"/>
  <c r="AC1532" i="1"/>
  <c r="AD1532" i="1"/>
  <c r="AE1532" i="1"/>
  <c r="AF1532" i="1"/>
  <c r="AM1532" i="1"/>
  <c r="AN1532" i="1"/>
  <c r="AO1532" i="1"/>
  <c r="L1533" i="1"/>
  <c r="M1533" i="1"/>
  <c r="N1533" i="1"/>
  <c r="O1533" i="1"/>
  <c r="P1533" i="1"/>
  <c r="Q1533" i="1"/>
  <c r="R1533" i="1"/>
  <c r="S1533" i="1"/>
  <c r="T1533" i="1"/>
  <c r="AD1533" i="1"/>
  <c r="AE1533" i="1"/>
  <c r="AF1533" i="1"/>
  <c r="AM1533" i="1"/>
  <c r="AN1533" i="1"/>
  <c r="AO1533" i="1"/>
  <c r="U1539" i="1"/>
  <c r="V1539" i="1"/>
  <c r="W1539" i="1"/>
  <c r="X1539" i="1"/>
  <c r="Y1539" i="1"/>
  <c r="Z1539" i="1"/>
  <c r="AA1539" i="1"/>
  <c r="AB1539" i="1"/>
  <c r="AC1539" i="1"/>
  <c r="AD1539" i="1"/>
  <c r="AE1539" i="1"/>
  <c r="AF1539" i="1"/>
  <c r="AM1539" i="1"/>
  <c r="AN1539" i="1"/>
  <c r="AO1539" i="1"/>
  <c r="L1540" i="1"/>
  <c r="M1540" i="1"/>
  <c r="N1540" i="1"/>
  <c r="O1540" i="1"/>
  <c r="P1540" i="1"/>
  <c r="Q1540" i="1"/>
  <c r="R1540" i="1"/>
  <c r="S1540" i="1"/>
  <c r="T1540" i="1"/>
  <c r="U1540" i="1"/>
  <c r="V1540" i="1"/>
  <c r="W1540" i="1"/>
  <c r="X1540" i="1"/>
  <c r="Y1540" i="1"/>
  <c r="Z1540" i="1"/>
  <c r="AA1540" i="1"/>
  <c r="AB1540" i="1"/>
  <c r="AC1540" i="1"/>
  <c r="AD1540" i="1"/>
  <c r="AE1540" i="1"/>
  <c r="AF1540" i="1"/>
  <c r="AM1540" i="1"/>
  <c r="AN1540" i="1"/>
  <c r="AO1540" i="1"/>
  <c r="L1541" i="1"/>
  <c r="M1541" i="1"/>
  <c r="N1541" i="1"/>
  <c r="O1541" i="1"/>
  <c r="P1541" i="1"/>
  <c r="Q1541" i="1"/>
  <c r="R1541" i="1"/>
  <c r="S1541" i="1"/>
  <c r="T1541" i="1"/>
  <c r="U1541" i="1"/>
  <c r="V1541" i="1"/>
  <c r="W1541" i="1"/>
  <c r="X1541" i="1"/>
  <c r="Y1541" i="1"/>
  <c r="Z1541" i="1"/>
  <c r="AA1541" i="1"/>
  <c r="AB1541" i="1"/>
  <c r="AC1541" i="1"/>
  <c r="AD1541" i="1"/>
  <c r="AE1541" i="1"/>
  <c r="AF1541" i="1"/>
  <c r="AM1541" i="1"/>
  <c r="AN1541" i="1"/>
  <c r="AO1541" i="1"/>
  <c r="L1542" i="1"/>
  <c r="M1542" i="1"/>
  <c r="N1542" i="1"/>
  <c r="O1542" i="1"/>
  <c r="P1542" i="1"/>
  <c r="Q1542" i="1"/>
  <c r="R1542" i="1"/>
  <c r="S1542" i="1"/>
  <c r="T1542" i="1"/>
  <c r="U1542" i="1"/>
  <c r="V1542" i="1"/>
  <c r="W1542" i="1"/>
  <c r="X1542" i="1"/>
  <c r="Y1542" i="1"/>
  <c r="Z1542" i="1"/>
  <c r="AA1542" i="1"/>
  <c r="AB1542" i="1"/>
  <c r="AC1542" i="1"/>
  <c r="AD1542" i="1"/>
  <c r="AE1542" i="1"/>
  <c r="AF1542" i="1"/>
  <c r="AM1542" i="1"/>
  <c r="AN1542" i="1"/>
  <c r="AO1542" i="1"/>
  <c r="L1543" i="1"/>
  <c r="M1543" i="1"/>
  <c r="N1543" i="1"/>
  <c r="O1543" i="1"/>
  <c r="P1543" i="1"/>
  <c r="Q1543" i="1"/>
  <c r="R1543" i="1"/>
  <c r="S1543" i="1"/>
  <c r="T1543" i="1"/>
  <c r="U1543" i="1"/>
  <c r="V1543" i="1"/>
  <c r="W1543" i="1"/>
  <c r="X1543" i="1"/>
  <c r="Y1543" i="1"/>
  <c r="Z1543" i="1"/>
  <c r="AA1543" i="1"/>
  <c r="AB1543" i="1"/>
  <c r="AC1543" i="1"/>
  <c r="AD1543" i="1"/>
  <c r="AE1543" i="1"/>
  <c r="AF1543" i="1"/>
  <c r="AM1543" i="1"/>
  <c r="AN1543" i="1"/>
  <c r="AO1543" i="1"/>
  <c r="L1544" i="1"/>
  <c r="M1544" i="1"/>
  <c r="N1544" i="1"/>
  <c r="O1544" i="1"/>
  <c r="P1544" i="1"/>
  <c r="Q1544" i="1"/>
  <c r="R1544" i="1"/>
  <c r="S1544" i="1"/>
  <c r="T1544" i="1"/>
  <c r="U1544" i="1"/>
  <c r="V1544" i="1"/>
  <c r="W1544" i="1"/>
  <c r="X1544" i="1"/>
  <c r="Y1544" i="1"/>
  <c r="Z1544" i="1"/>
  <c r="AA1544" i="1"/>
  <c r="AB1544" i="1"/>
  <c r="AC1544" i="1"/>
  <c r="AD1544" i="1"/>
  <c r="AE1544" i="1"/>
  <c r="AF1544" i="1"/>
  <c r="AM1544" i="1"/>
  <c r="AN1544" i="1"/>
  <c r="AO1544" i="1"/>
  <c r="L1545" i="1"/>
  <c r="M1545" i="1"/>
  <c r="N1545" i="1"/>
  <c r="O1545" i="1"/>
  <c r="P1545" i="1"/>
  <c r="Q1545" i="1"/>
  <c r="R1545" i="1"/>
  <c r="S1545" i="1"/>
  <c r="T1545" i="1"/>
  <c r="U1545" i="1"/>
  <c r="V1545" i="1"/>
  <c r="W1545" i="1"/>
  <c r="X1545" i="1"/>
  <c r="Y1545" i="1"/>
  <c r="Z1545" i="1"/>
  <c r="AA1545" i="1"/>
  <c r="AB1545" i="1"/>
  <c r="AC1545" i="1"/>
  <c r="AD1545" i="1"/>
  <c r="AE1545" i="1"/>
  <c r="AF1545" i="1"/>
  <c r="AM1545" i="1"/>
  <c r="AN1545" i="1"/>
  <c r="AO1545" i="1"/>
  <c r="L1546" i="1"/>
  <c r="M1546" i="1"/>
  <c r="N1546" i="1"/>
  <c r="O1546" i="1"/>
  <c r="P1546" i="1"/>
  <c r="Q1546" i="1"/>
  <c r="R1546" i="1"/>
  <c r="S1546" i="1"/>
  <c r="T1546" i="1"/>
  <c r="U1546" i="1"/>
  <c r="V1546" i="1"/>
  <c r="W1546" i="1"/>
  <c r="X1546" i="1"/>
  <c r="Y1546" i="1"/>
  <c r="Z1546" i="1"/>
  <c r="AA1546" i="1"/>
  <c r="AB1546" i="1"/>
  <c r="AC1546" i="1"/>
  <c r="AD1546" i="1"/>
  <c r="AE1546" i="1"/>
  <c r="AF1546" i="1"/>
  <c r="AM1546" i="1"/>
  <c r="AN1546" i="1"/>
  <c r="AO1546" i="1"/>
  <c r="L1547" i="1"/>
  <c r="M1547" i="1"/>
  <c r="N1547" i="1"/>
  <c r="O1547" i="1"/>
  <c r="P1547" i="1"/>
  <c r="Q1547" i="1"/>
  <c r="R1547" i="1"/>
  <c r="S1547" i="1"/>
  <c r="T1547" i="1"/>
  <c r="U1547" i="1"/>
  <c r="V1547" i="1"/>
  <c r="W1547" i="1"/>
  <c r="X1547" i="1"/>
  <c r="Y1547" i="1"/>
  <c r="Z1547" i="1"/>
  <c r="AA1547" i="1"/>
  <c r="AB1547" i="1"/>
  <c r="AC1547" i="1"/>
  <c r="AD1547" i="1"/>
  <c r="AE1547" i="1"/>
  <c r="AF1547" i="1"/>
  <c r="AM1547" i="1"/>
  <c r="AN1547" i="1"/>
  <c r="AO1547" i="1"/>
  <c r="L1548" i="1"/>
  <c r="M1548" i="1"/>
  <c r="N1548" i="1"/>
  <c r="O1548" i="1"/>
  <c r="P1548" i="1"/>
  <c r="Q1548" i="1"/>
  <c r="R1548" i="1"/>
  <c r="S1548" i="1"/>
  <c r="T1548" i="1"/>
  <c r="U1548" i="1"/>
  <c r="V1548" i="1"/>
  <c r="W1548" i="1"/>
  <c r="X1548" i="1"/>
  <c r="Y1548" i="1"/>
  <c r="Z1548" i="1"/>
  <c r="AA1548" i="1"/>
  <c r="AB1548" i="1"/>
  <c r="AC1548" i="1"/>
  <c r="AD1548" i="1"/>
  <c r="AE1548" i="1"/>
  <c r="AF1548" i="1"/>
  <c r="AM1548" i="1"/>
  <c r="AN1548" i="1"/>
  <c r="AO1548" i="1"/>
  <c r="L1549" i="1"/>
  <c r="M1549" i="1"/>
  <c r="N1549" i="1"/>
  <c r="O1549" i="1"/>
  <c r="P1549" i="1"/>
  <c r="Q1549" i="1"/>
  <c r="R1549" i="1"/>
  <c r="S1549" i="1"/>
  <c r="T1549" i="1"/>
  <c r="U1549" i="1"/>
  <c r="V1549" i="1"/>
  <c r="W1549" i="1"/>
  <c r="X1549" i="1"/>
  <c r="Y1549" i="1"/>
  <c r="Z1549" i="1"/>
  <c r="AA1549" i="1"/>
  <c r="AB1549" i="1"/>
  <c r="AC1549" i="1"/>
  <c r="AD1549" i="1"/>
  <c r="AE1549" i="1"/>
  <c r="AF1549" i="1"/>
  <c r="AM1549" i="1"/>
  <c r="AN1549" i="1"/>
  <c r="AO1549" i="1"/>
  <c r="L1550" i="1"/>
  <c r="M1550" i="1"/>
  <c r="N1550" i="1"/>
  <c r="O1550" i="1"/>
  <c r="P1550" i="1"/>
  <c r="Q1550" i="1"/>
  <c r="R1550" i="1"/>
  <c r="S1550" i="1"/>
  <c r="T1550" i="1"/>
  <c r="U1550" i="1"/>
  <c r="V1550" i="1"/>
  <c r="W1550" i="1"/>
  <c r="X1550" i="1"/>
  <c r="Y1550" i="1"/>
  <c r="Z1550" i="1"/>
  <c r="AA1550" i="1"/>
  <c r="AB1550" i="1"/>
  <c r="AC1550" i="1"/>
  <c r="AD1550" i="1"/>
  <c r="AE1550" i="1"/>
  <c r="AF1550" i="1"/>
  <c r="AM1550" i="1"/>
  <c r="AN1550" i="1"/>
  <c r="AO1550" i="1"/>
  <c r="L1551" i="1"/>
  <c r="M1551" i="1"/>
  <c r="N1551" i="1"/>
  <c r="O1551" i="1"/>
  <c r="P1551" i="1"/>
  <c r="Q1551" i="1"/>
  <c r="R1551" i="1"/>
  <c r="S1551" i="1"/>
  <c r="T1551" i="1"/>
  <c r="U1551" i="1"/>
  <c r="V1551" i="1"/>
  <c r="W1551" i="1"/>
  <c r="X1551" i="1"/>
  <c r="Y1551" i="1"/>
  <c r="Z1551" i="1"/>
  <c r="AA1551" i="1"/>
  <c r="AB1551" i="1"/>
  <c r="AC1551" i="1"/>
  <c r="AD1551" i="1"/>
  <c r="AE1551" i="1"/>
  <c r="AF1551" i="1"/>
  <c r="AM1551" i="1"/>
  <c r="AN1551" i="1"/>
  <c r="AO1551" i="1"/>
  <c r="L1552" i="1"/>
  <c r="M1552" i="1"/>
  <c r="N1552" i="1"/>
  <c r="O1552" i="1"/>
  <c r="P1552" i="1"/>
  <c r="Q1552" i="1"/>
  <c r="R1552" i="1"/>
  <c r="S1552" i="1"/>
  <c r="T1552" i="1"/>
  <c r="U1552" i="1"/>
  <c r="V1552" i="1"/>
  <c r="W1552" i="1"/>
  <c r="X1552" i="1"/>
  <c r="Y1552" i="1"/>
  <c r="Z1552" i="1"/>
  <c r="AA1552" i="1"/>
  <c r="AB1552" i="1"/>
  <c r="AC1552" i="1"/>
  <c r="AD1552" i="1"/>
  <c r="AE1552" i="1"/>
  <c r="AF1552" i="1"/>
  <c r="AM1552" i="1"/>
  <c r="AN1552" i="1"/>
  <c r="AO1552" i="1"/>
  <c r="L1553" i="1"/>
  <c r="M1553" i="1"/>
  <c r="N1553" i="1"/>
  <c r="O1553" i="1"/>
  <c r="P1553" i="1"/>
  <c r="Q1553" i="1"/>
  <c r="R1553" i="1"/>
  <c r="S1553" i="1"/>
  <c r="T1553" i="1"/>
  <c r="U1553" i="1"/>
  <c r="V1553" i="1"/>
  <c r="W1553" i="1"/>
  <c r="X1553" i="1"/>
  <c r="Y1553" i="1"/>
  <c r="Z1553" i="1"/>
  <c r="AA1553" i="1"/>
  <c r="AB1553" i="1"/>
  <c r="AC1553" i="1"/>
  <c r="AD1553" i="1"/>
  <c r="AE1553" i="1"/>
  <c r="AF1553" i="1"/>
  <c r="AM1553" i="1"/>
  <c r="AN1553" i="1"/>
  <c r="AO1553" i="1"/>
  <c r="L1554" i="1"/>
  <c r="M1554" i="1"/>
  <c r="N1554" i="1"/>
  <c r="O1554" i="1"/>
  <c r="P1554" i="1"/>
  <c r="Q1554" i="1"/>
  <c r="R1554" i="1"/>
  <c r="S1554" i="1"/>
  <c r="T1554" i="1"/>
  <c r="U1554" i="1"/>
  <c r="V1554" i="1"/>
  <c r="W1554" i="1"/>
  <c r="X1554" i="1"/>
  <c r="Y1554" i="1"/>
  <c r="Z1554" i="1"/>
  <c r="AA1554" i="1"/>
  <c r="AB1554" i="1"/>
  <c r="AC1554" i="1"/>
  <c r="AD1554" i="1"/>
  <c r="AE1554" i="1"/>
  <c r="AF1554" i="1"/>
  <c r="AM1554" i="1"/>
  <c r="AN1554" i="1"/>
  <c r="AO1554" i="1"/>
  <c r="L1555" i="1"/>
  <c r="M1555" i="1"/>
  <c r="N1555" i="1"/>
  <c r="O1555" i="1"/>
  <c r="P1555" i="1"/>
  <c r="Q1555" i="1"/>
  <c r="R1555" i="1"/>
  <c r="S1555" i="1"/>
  <c r="T1555" i="1"/>
  <c r="U1555" i="1"/>
  <c r="V1555" i="1"/>
  <c r="W1555" i="1"/>
  <c r="X1555" i="1"/>
  <c r="Y1555" i="1"/>
  <c r="Z1555" i="1"/>
  <c r="AA1555" i="1"/>
  <c r="AB1555" i="1"/>
  <c r="AC1555" i="1"/>
  <c r="AD1555" i="1"/>
  <c r="AE1555" i="1"/>
  <c r="AF1555" i="1"/>
  <c r="AM1555" i="1"/>
  <c r="AN1555" i="1"/>
  <c r="AO1555" i="1"/>
  <c r="L1556" i="1"/>
  <c r="M1556" i="1"/>
  <c r="N1556" i="1"/>
  <c r="O1556" i="1"/>
  <c r="P1556" i="1"/>
  <c r="Q1556" i="1"/>
  <c r="R1556" i="1"/>
  <c r="S1556" i="1"/>
  <c r="T1556" i="1"/>
  <c r="U1556" i="1"/>
  <c r="V1556" i="1"/>
  <c r="W1556" i="1"/>
  <c r="X1556" i="1"/>
  <c r="Y1556" i="1"/>
  <c r="Z1556" i="1"/>
  <c r="AA1556" i="1"/>
  <c r="AB1556" i="1"/>
  <c r="AC1556" i="1"/>
  <c r="AD1556" i="1"/>
  <c r="AE1556" i="1"/>
  <c r="AF1556" i="1"/>
  <c r="AM1556" i="1"/>
  <c r="AN1556" i="1"/>
  <c r="AO1556" i="1"/>
  <c r="L1557" i="1"/>
  <c r="M1557" i="1"/>
  <c r="N1557" i="1"/>
  <c r="O1557" i="1"/>
  <c r="P1557" i="1"/>
  <c r="Q1557" i="1"/>
  <c r="R1557" i="1"/>
  <c r="S1557" i="1"/>
  <c r="T1557" i="1"/>
  <c r="AD1557" i="1"/>
  <c r="AE1557" i="1"/>
  <c r="AF1557" i="1"/>
  <c r="AM1557" i="1"/>
  <c r="AN1557" i="1"/>
  <c r="AO1557" i="1"/>
  <c r="U1563" i="1"/>
  <c r="V1563" i="1"/>
  <c r="W1563" i="1"/>
  <c r="X1563" i="1"/>
  <c r="Y1563" i="1"/>
  <c r="Z1563" i="1"/>
  <c r="AA1563" i="1"/>
  <c r="AB1563" i="1"/>
  <c r="AC1563" i="1"/>
  <c r="AD1563" i="1"/>
  <c r="AE1563" i="1"/>
  <c r="AF1563" i="1"/>
  <c r="AM1563" i="1"/>
  <c r="AN1563" i="1"/>
  <c r="AO1563" i="1"/>
  <c r="L1564" i="1"/>
  <c r="M1564" i="1"/>
  <c r="N1564" i="1"/>
  <c r="O1564" i="1"/>
  <c r="P1564" i="1"/>
  <c r="Q1564" i="1"/>
  <c r="R1564" i="1"/>
  <c r="S1564" i="1"/>
  <c r="T1564" i="1"/>
  <c r="U1564" i="1"/>
  <c r="V1564" i="1"/>
  <c r="W1564" i="1"/>
  <c r="X1564" i="1"/>
  <c r="Y1564" i="1"/>
  <c r="Z1564" i="1"/>
  <c r="AA1564" i="1"/>
  <c r="AB1564" i="1"/>
  <c r="AC1564" i="1"/>
  <c r="AD1564" i="1"/>
  <c r="AE1564" i="1"/>
  <c r="AF1564" i="1"/>
  <c r="AM1564" i="1"/>
  <c r="AN1564" i="1"/>
  <c r="AO1564" i="1"/>
  <c r="L1565" i="1"/>
  <c r="M1565" i="1"/>
  <c r="N1565" i="1"/>
  <c r="O1565" i="1"/>
  <c r="P1565" i="1"/>
  <c r="Q1565" i="1"/>
  <c r="R1565" i="1"/>
  <c r="S1565" i="1"/>
  <c r="T1565" i="1"/>
  <c r="U1565" i="1"/>
  <c r="V1565" i="1"/>
  <c r="W1565" i="1"/>
  <c r="X1565" i="1"/>
  <c r="Y1565" i="1"/>
  <c r="Z1565" i="1"/>
  <c r="AA1565" i="1"/>
  <c r="AB1565" i="1"/>
  <c r="AC1565" i="1"/>
  <c r="AD1565" i="1"/>
  <c r="AE1565" i="1"/>
  <c r="AF1565" i="1"/>
  <c r="AM1565" i="1"/>
  <c r="AN1565" i="1"/>
  <c r="AO1565" i="1"/>
  <c r="L1566" i="1"/>
  <c r="M1566" i="1"/>
  <c r="N1566" i="1"/>
  <c r="O1566" i="1"/>
  <c r="P1566" i="1"/>
  <c r="Q1566" i="1"/>
  <c r="R1566" i="1"/>
  <c r="S1566" i="1"/>
  <c r="T1566" i="1"/>
  <c r="U1566" i="1"/>
  <c r="V1566" i="1"/>
  <c r="W1566" i="1"/>
  <c r="X1566" i="1"/>
  <c r="Y1566" i="1"/>
  <c r="Z1566" i="1"/>
  <c r="AA1566" i="1"/>
  <c r="AB1566" i="1"/>
  <c r="AC1566" i="1"/>
  <c r="AD1566" i="1"/>
  <c r="AE1566" i="1"/>
  <c r="AF1566" i="1"/>
  <c r="AM1566" i="1"/>
  <c r="AN1566" i="1"/>
  <c r="AO1566" i="1"/>
  <c r="L1567" i="1"/>
  <c r="M1567" i="1"/>
  <c r="N1567" i="1"/>
  <c r="O1567" i="1"/>
  <c r="P1567" i="1"/>
  <c r="Q1567" i="1"/>
  <c r="R1567" i="1"/>
  <c r="S1567" i="1"/>
  <c r="T1567" i="1"/>
  <c r="U1567" i="1"/>
  <c r="V1567" i="1"/>
  <c r="W1567" i="1"/>
  <c r="X1567" i="1"/>
  <c r="Y1567" i="1"/>
  <c r="Z1567" i="1"/>
  <c r="AA1567" i="1"/>
  <c r="AB1567" i="1"/>
  <c r="AC1567" i="1"/>
  <c r="AD1567" i="1"/>
  <c r="AE1567" i="1"/>
  <c r="AF1567" i="1"/>
  <c r="AM1567" i="1"/>
  <c r="AN1567" i="1"/>
  <c r="AO1567" i="1"/>
  <c r="L1568" i="1"/>
  <c r="M1568" i="1"/>
  <c r="N1568" i="1"/>
  <c r="O1568" i="1"/>
  <c r="P1568" i="1"/>
  <c r="Q1568" i="1"/>
  <c r="R1568" i="1"/>
  <c r="S1568" i="1"/>
  <c r="T1568" i="1"/>
  <c r="U1568" i="1"/>
  <c r="V1568" i="1"/>
  <c r="W1568" i="1"/>
  <c r="X1568" i="1"/>
  <c r="Y1568" i="1"/>
  <c r="Z1568" i="1"/>
  <c r="AA1568" i="1"/>
  <c r="AB1568" i="1"/>
  <c r="AC1568" i="1"/>
  <c r="AD1568" i="1"/>
  <c r="AE1568" i="1"/>
  <c r="AF1568" i="1"/>
  <c r="AM1568" i="1"/>
  <c r="AN1568" i="1"/>
  <c r="AO1568" i="1"/>
  <c r="L1569" i="1"/>
  <c r="M1569" i="1"/>
  <c r="N1569" i="1"/>
  <c r="O1569" i="1"/>
  <c r="P1569" i="1"/>
  <c r="Q1569" i="1"/>
  <c r="R1569" i="1"/>
  <c r="S1569" i="1"/>
  <c r="T1569" i="1"/>
  <c r="U1569" i="1"/>
  <c r="V1569" i="1"/>
  <c r="W1569" i="1"/>
  <c r="X1569" i="1"/>
  <c r="Y1569" i="1"/>
  <c r="Z1569" i="1"/>
  <c r="AA1569" i="1"/>
  <c r="AB1569" i="1"/>
  <c r="AC1569" i="1"/>
  <c r="AD1569" i="1"/>
  <c r="AE1569" i="1"/>
  <c r="AF1569" i="1"/>
  <c r="AM1569" i="1"/>
  <c r="AN1569" i="1"/>
  <c r="AO1569" i="1"/>
  <c r="L1570" i="1"/>
  <c r="M1570" i="1"/>
  <c r="N1570" i="1"/>
  <c r="O1570" i="1"/>
  <c r="P1570" i="1"/>
  <c r="Q1570" i="1"/>
  <c r="R1570" i="1"/>
  <c r="S1570" i="1"/>
  <c r="T1570" i="1"/>
  <c r="U1570" i="1"/>
  <c r="V1570" i="1"/>
  <c r="W1570" i="1"/>
  <c r="X1570" i="1"/>
  <c r="Y1570" i="1"/>
  <c r="Z1570" i="1"/>
  <c r="AA1570" i="1"/>
  <c r="AB1570" i="1"/>
  <c r="AC1570" i="1"/>
  <c r="AD1570" i="1"/>
  <c r="AE1570" i="1"/>
  <c r="AF1570" i="1"/>
  <c r="AI1570" i="1"/>
  <c r="AK1570" i="1"/>
  <c r="AL1570" i="1"/>
  <c r="AM1570" i="1"/>
  <c r="AN1570" i="1"/>
  <c r="AO1570" i="1"/>
  <c r="K1571" i="1"/>
  <c r="L1571" i="1"/>
  <c r="M1571" i="1"/>
  <c r="N1571" i="1"/>
  <c r="O1571" i="1"/>
  <c r="P1571" i="1"/>
  <c r="Q1571" i="1"/>
  <c r="R1571" i="1"/>
  <c r="S1571" i="1"/>
  <c r="T1571" i="1"/>
  <c r="U1571" i="1"/>
  <c r="V1571" i="1"/>
  <c r="W1571" i="1"/>
  <c r="X1571" i="1"/>
  <c r="Y1571" i="1"/>
  <c r="Z1571" i="1"/>
  <c r="AA1571" i="1"/>
  <c r="AB1571" i="1"/>
  <c r="AC1571" i="1"/>
  <c r="AD1571" i="1"/>
  <c r="AE1571" i="1"/>
  <c r="AF1571" i="1"/>
  <c r="AI1571" i="1"/>
  <c r="AK1571" i="1"/>
  <c r="AL1571" i="1"/>
  <c r="AM1571" i="1"/>
  <c r="AN1571" i="1"/>
  <c r="AO1571" i="1"/>
  <c r="K1572" i="1"/>
  <c r="L1572" i="1"/>
  <c r="M1572" i="1"/>
  <c r="N1572" i="1"/>
  <c r="O1572" i="1"/>
  <c r="P1572" i="1"/>
  <c r="Q1572" i="1"/>
  <c r="R1572" i="1"/>
  <c r="S1572" i="1"/>
  <c r="T1572" i="1"/>
  <c r="U1572" i="1"/>
  <c r="V1572" i="1"/>
  <c r="W1572" i="1"/>
  <c r="X1572" i="1"/>
  <c r="Y1572" i="1"/>
  <c r="Z1572" i="1"/>
  <c r="AA1572" i="1"/>
  <c r="AB1572" i="1"/>
  <c r="AC1572" i="1"/>
  <c r="AD1572" i="1"/>
  <c r="AE1572" i="1"/>
  <c r="AF1572" i="1"/>
  <c r="AI1572" i="1"/>
  <c r="AK1572" i="1"/>
  <c r="AL1572" i="1"/>
  <c r="AM1572" i="1"/>
  <c r="AN1572" i="1"/>
  <c r="AO1572" i="1"/>
  <c r="K1573" i="1"/>
  <c r="L1573" i="1"/>
  <c r="M1573" i="1"/>
  <c r="N1573" i="1"/>
  <c r="O1573" i="1"/>
  <c r="P1573" i="1"/>
  <c r="Q1573" i="1"/>
  <c r="R1573" i="1"/>
  <c r="S1573" i="1"/>
  <c r="T1573" i="1"/>
  <c r="U1573" i="1"/>
  <c r="V1573" i="1"/>
  <c r="W1573" i="1"/>
  <c r="X1573" i="1"/>
  <c r="Y1573" i="1"/>
  <c r="Z1573" i="1"/>
  <c r="AA1573" i="1"/>
  <c r="AB1573" i="1"/>
  <c r="AC1573" i="1"/>
  <c r="AD1573" i="1"/>
  <c r="AE1573" i="1"/>
  <c r="AF1573" i="1"/>
  <c r="AI1573" i="1"/>
  <c r="AK1573" i="1"/>
  <c r="AL1573" i="1"/>
  <c r="AM1573" i="1"/>
  <c r="AN1573" i="1"/>
  <c r="AO1573" i="1"/>
  <c r="K1574" i="1"/>
  <c r="L1574" i="1"/>
  <c r="M1574" i="1"/>
  <c r="N1574" i="1"/>
  <c r="O1574" i="1"/>
  <c r="P1574" i="1"/>
  <c r="Q1574" i="1"/>
  <c r="R1574" i="1"/>
  <c r="S1574" i="1"/>
  <c r="T1574" i="1"/>
  <c r="U1574" i="1"/>
  <c r="V1574" i="1"/>
  <c r="W1574" i="1"/>
  <c r="X1574" i="1"/>
  <c r="Y1574" i="1"/>
  <c r="Z1574" i="1"/>
  <c r="AA1574" i="1"/>
  <c r="AB1574" i="1"/>
  <c r="AC1574" i="1"/>
  <c r="AD1574" i="1"/>
  <c r="AE1574" i="1"/>
  <c r="AF1574" i="1"/>
  <c r="AI1574" i="1"/>
  <c r="AK1574" i="1"/>
  <c r="AL1574" i="1"/>
  <c r="AM1574" i="1"/>
  <c r="AN1574" i="1"/>
  <c r="AO1574" i="1"/>
  <c r="K1575" i="1"/>
  <c r="L1575" i="1"/>
  <c r="M1575" i="1"/>
  <c r="N1575" i="1"/>
  <c r="O1575" i="1"/>
  <c r="P1575" i="1"/>
  <c r="Q1575" i="1"/>
  <c r="R1575" i="1"/>
  <c r="S1575" i="1"/>
  <c r="T1575" i="1"/>
  <c r="U1575" i="1"/>
  <c r="V1575" i="1"/>
  <c r="W1575" i="1"/>
  <c r="X1575" i="1"/>
  <c r="Y1575" i="1"/>
  <c r="Z1575" i="1"/>
  <c r="AA1575" i="1"/>
  <c r="AB1575" i="1"/>
  <c r="AC1575" i="1"/>
  <c r="AD1575" i="1"/>
  <c r="AE1575" i="1"/>
  <c r="AF1575" i="1"/>
  <c r="AI1575" i="1"/>
  <c r="AK1575" i="1"/>
  <c r="AL1575" i="1"/>
  <c r="AM1575" i="1"/>
  <c r="AN1575" i="1"/>
  <c r="AO1575" i="1"/>
  <c r="K1576" i="1"/>
  <c r="L1576" i="1"/>
  <c r="M1576" i="1"/>
  <c r="N1576" i="1"/>
  <c r="O1576" i="1"/>
  <c r="P1576" i="1"/>
  <c r="Q1576" i="1"/>
  <c r="R1576" i="1"/>
  <c r="S1576" i="1"/>
  <c r="T1576" i="1"/>
  <c r="U1576" i="1"/>
  <c r="V1576" i="1"/>
  <c r="W1576" i="1"/>
  <c r="X1576" i="1"/>
  <c r="Y1576" i="1"/>
  <c r="Z1576" i="1"/>
  <c r="AA1576" i="1"/>
  <c r="AB1576" i="1"/>
  <c r="AC1576" i="1"/>
  <c r="AD1576" i="1"/>
  <c r="AE1576" i="1"/>
  <c r="AF1576" i="1"/>
  <c r="AI1576" i="1"/>
  <c r="AK1576" i="1"/>
  <c r="AL1576" i="1"/>
  <c r="AM1576" i="1"/>
  <c r="AN1576" i="1"/>
  <c r="AO1576" i="1"/>
  <c r="K1577" i="1"/>
  <c r="L1577" i="1"/>
  <c r="M1577" i="1"/>
  <c r="N1577" i="1"/>
  <c r="O1577" i="1"/>
  <c r="P1577" i="1"/>
  <c r="Q1577" i="1"/>
  <c r="R1577" i="1"/>
  <c r="S1577" i="1"/>
  <c r="T1577" i="1"/>
  <c r="U1577" i="1"/>
  <c r="V1577" i="1"/>
  <c r="W1577" i="1"/>
  <c r="X1577" i="1"/>
  <c r="Y1577" i="1"/>
  <c r="Z1577" i="1"/>
  <c r="AA1577" i="1"/>
  <c r="AB1577" i="1"/>
  <c r="AC1577" i="1"/>
  <c r="AD1577" i="1"/>
  <c r="AE1577" i="1"/>
  <c r="AF1577" i="1"/>
  <c r="AI1577" i="1"/>
  <c r="AK1577" i="1"/>
  <c r="AL1577" i="1"/>
  <c r="AM1577" i="1"/>
  <c r="AN1577" i="1"/>
  <c r="AO1577" i="1"/>
  <c r="K1578" i="1"/>
  <c r="L1578" i="1"/>
  <c r="M1578" i="1"/>
  <c r="N1578" i="1"/>
  <c r="O1578" i="1"/>
  <c r="P1578" i="1"/>
  <c r="Q1578" i="1"/>
  <c r="R1578" i="1"/>
  <c r="S1578" i="1"/>
  <c r="T1578" i="1"/>
  <c r="U1578" i="1"/>
  <c r="V1578" i="1"/>
  <c r="W1578" i="1"/>
  <c r="X1578" i="1"/>
  <c r="Y1578" i="1"/>
  <c r="Z1578" i="1"/>
  <c r="AA1578" i="1"/>
  <c r="AB1578" i="1"/>
  <c r="AC1578" i="1"/>
  <c r="AD1578" i="1"/>
  <c r="AE1578" i="1"/>
  <c r="AF1578" i="1"/>
  <c r="AI1578" i="1"/>
  <c r="AK1578" i="1"/>
  <c r="AL1578" i="1"/>
  <c r="AM1578" i="1"/>
  <c r="AN1578" i="1"/>
  <c r="AO1578" i="1"/>
  <c r="K1579" i="1"/>
  <c r="L1579" i="1"/>
  <c r="M1579" i="1"/>
  <c r="N1579" i="1"/>
  <c r="O1579" i="1"/>
  <c r="P1579" i="1"/>
  <c r="Q1579" i="1"/>
  <c r="R1579" i="1"/>
  <c r="S1579" i="1"/>
  <c r="T1579" i="1"/>
  <c r="U1579" i="1"/>
  <c r="V1579" i="1"/>
  <c r="W1579" i="1"/>
  <c r="X1579" i="1"/>
  <c r="Y1579" i="1"/>
  <c r="Z1579" i="1"/>
  <c r="AA1579" i="1"/>
  <c r="AB1579" i="1"/>
  <c r="AC1579" i="1"/>
  <c r="AD1579" i="1"/>
  <c r="AE1579" i="1"/>
  <c r="AF1579" i="1"/>
  <c r="AI1579" i="1"/>
  <c r="AK1579" i="1"/>
  <c r="AL1579" i="1"/>
  <c r="AM1579" i="1"/>
  <c r="AN1579" i="1"/>
  <c r="AO1579" i="1"/>
  <c r="K1580" i="1"/>
  <c r="L1580" i="1"/>
  <c r="M1580" i="1"/>
  <c r="N1580" i="1"/>
  <c r="O1580" i="1"/>
  <c r="P1580" i="1"/>
  <c r="Q1580" i="1"/>
  <c r="R1580" i="1"/>
  <c r="S1580" i="1"/>
  <c r="T1580" i="1"/>
  <c r="U1580" i="1"/>
  <c r="V1580" i="1"/>
  <c r="W1580" i="1"/>
  <c r="X1580" i="1"/>
  <c r="Y1580" i="1"/>
  <c r="Z1580" i="1"/>
  <c r="AA1580" i="1"/>
  <c r="AB1580" i="1"/>
  <c r="AC1580" i="1"/>
  <c r="AD1580" i="1"/>
  <c r="AE1580" i="1"/>
  <c r="AF1580" i="1"/>
  <c r="AI1580" i="1"/>
  <c r="AK1580" i="1"/>
  <c r="AL1580" i="1"/>
  <c r="AM1580" i="1"/>
  <c r="AN1580" i="1"/>
  <c r="AO1580" i="1"/>
  <c r="K1581" i="1"/>
  <c r="L1581" i="1"/>
  <c r="M1581" i="1"/>
  <c r="N1581" i="1"/>
  <c r="O1581" i="1"/>
  <c r="P1581" i="1"/>
  <c r="Q1581" i="1"/>
  <c r="R1581" i="1"/>
  <c r="S1581" i="1"/>
  <c r="T1581" i="1"/>
  <c r="U1581" i="1"/>
  <c r="V1581" i="1"/>
  <c r="W1581" i="1"/>
  <c r="X1581" i="1"/>
  <c r="Y1581" i="1"/>
  <c r="Z1581" i="1"/>
  <c r="AA1581" i="1"/>
  <c r="AB1581" i="1"/>
  <c r="AC1581" i="1"/>
  <c r="AD1581" i="1"/>
  <c r="AE1581" i="1"/>
  <c r="AF1581" i="1"/>
  <c r="AI1581" i="1"/>
  <c r="AK1581" i="1"/>
  <c r="AL1581" i="1"/>
  <c r="AM1581" i="1"/>
  <c r="AN1581" i="1"/>
  <c r="AO1581" i="1"/>
  <c r="K1582" i="1"/>
  <c r="L1582" i="1"/>
  <c r="M1582" i="1"/>
  <c r="N1582" i="1"/>
  <c r="O1582" i="1"/>
  <c r="P1582" i="1"/>
  <c r="Q1582" i="1"/>
  <c r="R1582" i="1"/>
  <c r="S1582" i="1"/>
  <c r="T1582" i="1"/>
  <c r="U1582" i="1"/>
  <c r="V1582" i="1"/>
  <c r="W1582" i="1"/>
  <c r="X1582" i="1"/>
  <c r="Y1582" i="1"/>
  <c r="Z1582" i="1"/>
  <c r="AA1582" i="1"/>
  <c r="AB1582" i="1"/>
  <c r="AC1582" i="1"/>
  <c r="AD1582" i="1"/>
  <c r="AE1582" i="1"/>
  <c r="AF1582" i="1"/>
  <c r="AI1582" i="1"/>
  <c r="AK1582" i="1"/>
  <c r="AL1582" i="1"/>
  <c r="AM1582" i="1"/>
  <c r="AN1582" i="1"/>
  <c r="AO1582" i="1"/>
  <c r="K1583" i="1"/>
  <c r="L1583" i="1"/>
  <c r="M1583" i="1"/>
  <c r="N1583" i="1"/>
  <c r="O1583" i="1"/>
  <c r="P1583" i="1"/>
  <c r="Q1583" i="1"/>
  <c r="R1583" i="1"/>
  <c r="S1583" i="1"/>
  <c r="T1583" i="1"/>
  <c r="U1583" i="1"/>
  <c r="V1583" i="1"/>
  <c r="W1583" i="1"/>
  <c r="X1583" i="1"/>
  <c r="Y1583" i="1"/>
  <c r="Z1583" i="1"/>
  <c r="AA1583" i="1"/>
  <c r="AB1583" i="1"/>
  <c r="AC1583" i="1"/>
  <c r="AD1583" i="1"/>
  <c r="AE1583" i="1"/>
  <c r="AF1583" i="1"/>
  <c r="AI1583" i="1"/>
  <c r="AK1583" i="1"/>
  <c r="AL1583" i="1"/>
  <c r="AM1583" i="1"/>
  <c r="AN1583" i="1"/>
  <c r="AO1583" i="1"/>
  <c r="K1584" i="1"/>
  <c r="L1584" i="1"/>
  <c r="M1584" i="1"/>
  <c r="N1584" i="1"/>
  <c r="O1584" i="1"/>
  <c r="P1584" i="1"/>
  <c r="Q1584" i="1"/>
  <c r="R1584" i="1"/>
  <c r="S1584" i="1"/>
  <c r="T1584" i="1"/>
  <c r="U1584" i="1"/>
  <c r="V1584" i="1"/>
  <c r="W1584" i="1"/>
  <c r="X1584" i="1"/>
  <c r="Y1584" i="1"/>
  <c r="Z1584" i="1"/>
  <c r="AA1584" i="1"/>
  <c r="AB1584" i="1"/>
  <c r="AC1584" i="1"/>
  <c r="AD1584" i="1"/>
  <c r="AE1584" i="1"/>
  <c r="AF1584" i="1"/>
  <c r="AI1584" i="1"/>
  <c r="AK1584" i="1"/>
  <c r="AL1584" i="1"/>
  <c r="AM1584" i="1"/>
  <c r="AN1584" i="1"/>
  <c r="AO1584" i="1"/>
  <c r="K1585" i="1"/>
  <c r="L1585" i="1"/>
  <c r="M1585" i="1"/>
  <c r="N1585" i="1"/>
  <c r="O1585" i="1"/>
  <c r="P1585" i="1"/>
  <c r="Q1585" i="1"/>
  <c r="R1585" i="1"/>
  <c r="S1585" i="1"/>
  <c r="T1585" i="1"/>
  <c r="U1585" i="1"/>
  <c r="V1585" i="1"/>
  <c r="W1585" i="1"/>
  <c r="X1585" i="1"/>
  <c r="Y1585" i="1"/>
  <c r="Z1585" i="1"/>
  <c r="AA1585" i="1"/>
  <c r="AB1585" i="1"/>
  <c r="AC1585" i="1"/>
  <c r="AD1585" i="1"/>
  <c r="AE1585" i="1"/>
  <c r="AF1585" i="1"/>
  <c r="AI1585" i="1"/>
  <c r="AK1585" i="1"/>
  <c r="AL1585" i="1"/>
  <c r="AM1585" i="1"/>
  <c r="AN1585" i="1"/>
  <c r="AO1585" i="1"/>
  <c r="K1586" i="1"/>
  <c r="L1586" i="1"/>
  <c r="M1586" i="1"/>
  <c r="N1586" i="1"/>
  <c r="O1586" i="1"/>
  <c r="P1586" i="1"/>
  <c r="Q1586" i="1"/>
  <c r="R1586" i="1"/>
  <c r="S1586" i="1"/>
  <c r="T1586" i="1"/>
  <c r="U1586" i="1"/>
  <c r="V1586" i="1"/>
  <c r="W1586" i="1"/>
  <c r="X1586" i="1"/>
  <c r="Y1586" i="1"/>
  <c r="Z1586" i="1"/>
  <c r="AA1586" i="1"/>
  <c r="AB1586" i="1"/>
  <c r="AC1586" i="1"/>
  <c r="AD1586" i="1"/>
  <c r="AE1586" i="1"/>
  <c r="AF1586" i="1"/>
  <c r="AI1586" i="1"/>
  <c r="AK1586" i="1"/>
  <c r="AL1586" i="1"/>
  <c r="AM1586" i="1"/>
  <c r="AN1586" i="1"/>
  <c r="AO1586" i="1"/>
  <c r="K1587" i="1"/>
  <c r="L1587" i="1"/>
  <c r="M1587" i="1"/>
  <c r="N1587" i="1"/>
  <c r="O1587" i="1"/>
  <c r="P1587" i="1"/>
  <c r="Q1587" i="1"/>
  <c r="R1587" i="1"/>
  <c r="S1587" i="1"/>
  <c r="T1587" i="1"/>
  <c r="U1587" i="1"/>
  <c r="V1587" i="1"/>
  <c r="W1587" i="1"/>
  <c r="X1587" i="1"/>
  <c r="Y1587" i="1"/>
  <c r="Z1587" i="1"/>
  <c r="AA1587" i="1"/>
  <c r="AB1587" i="1"/>
  <c r="AC1587" i="1"/>
  <c r="AD1587" i="1"/>
  <c r="AE1587" i="1"/>
  <c r="AF1587" i="1"/>
  <c r="AI1587" i="1"/>
  <c r="AK1587" i="1"/>
  <c r="AL1587" i="1"/>
  <c r="AM1587" i="1"/>
  <c r="AN1587" i="1"/>
  <c r="AO1587" i="1"/>
  <c r="K1588" i="1"/>
  <c r="L1588" i="1"/>
  <c r="M1588" i="1"/>
  <c r="N1588" i="1"/>
  <c r="O1588" i="1"/>
  <c r="P1588" i="1"/>
  <c r="Q1588" i="1"/>
  <c r="R1588" i="1"/>
  <c r="S1588" i="1"/>
  <c r="T1588" i="1"/>
  <c r="U1588" i="1"/>
  <c r="V1588" i="1"/>
  <c r="W1588" i="1"/>
  <c r="X1588" i="1"/>
  <c r="Y1588" i="1"/>
  <c r="Z1588" i="1"/>
  <c r="AA1588" i="1"/>
  <c r="AB1588" i="1"/>
  <c r="AC1588" i="1"/>
  <c r="AD1588" i="1"/>
  <c r="AE1588" i="1"/>
  <c r="AF1588" i="1"/>
  <c r="AI1588" i="1"/>
  <c r="AK1588" i="1"/>
  <c r="AL1588" i="1"/>
  <c r="AM1588" i="1"/>
  <c r="AN1588" i="1"/>
  <c r="AO1588" i="1"/>
  <c r="K1589" i="1"/>
  <c r="L1589" i="1"/>
  <c r="M1589" i="1"/>
  <c r="N1589" i="1"/>
  <c r="O1589" i="1"/>
  <c r="P1589" i="1"/>
  <c r="Q1589" i="1"/>
  <c r="R1589" i="1"/>
  <c r="S1589" i="1"/>
  <c r="T1589" i="1"/>
  <c r="U1589" i="1"/>
  <c r="V1589" i="1"/>
  <c r="W1589" i="1"/>
  <c r="X1589" i="1"/>
  <c r="Y1589" i="1"/>
  <c r="Z1589" i="1"/>
  <c r="AA1589" i="1"/>
  <c r="AB1589" i="1"/>
  <c r="AC1589" i="1"/>
  <c r="AD1589" i="1"/>
  <c r="AE1589" i="1"/>
  <c r="AF1589" i="1"/>
  <c r="AI1589" i="1"/>
  <c r="AK1589" i="1"/>
  <c r="AL1589" i="1"/>
  <c r="AM1589" i="1"/>
  <c r="AN1589" i="1"/>
  <c r="AO1589" i="1"/>
  <c r="K1590" i="1"/>
  <c r="L1590" i="1"/>
  <c r="M1590" i="1"/>
  <c r="N1590" i="1"/>
  <c r="O1590" i="1"/>
  <c r="P1590" i="1"/>
  <c r="Q1590" i="1"/>
  <c r="R1590" i="1"/>
  <c r="S1590" i="1"/>
  <c r="T1590" i="1"/>
  <c r="U1590" i="1"/>
  <c r="V1590" i="1"/>
  <c r="W1590" i="1"/>
  <c r="X1590" i="1"/>
  <c r="Y1590" i="1"/>
  <c r="Z1590" i="1"/>
  <c r="AA1590" i="1"/>
  <c r="AB1590" i="1"/>
  <c r="AC1590" i="1"/>
  <c r="AD1590" i="1"/>
  <c r="AE1590" i="1"/>
  <c r="AF1590" i="1"/>
  <c r="AI1590" i="1"/>
  <c r="AK1590" i="1"/>
  <c r="AL1590" i="1"/>
  <c r="AM1590" i="1"/>
  <c r="AN1590" i="1"/>
  <c r="AO1590" i="1"/>
  <c r="K1591" i="1"/>
  <c r="L1591" i="1"/>
  <c r="M1591" i="1"/>
  <c r="N1591" i="1"/>
  <c r="O1591" i="1"/>
  <c r="P1591" i="1"/>
  <c r="Q1591" i="1"/>
  <c r="R1591" i="1"/>
  <c r="S1591" i="1"/>
  <c r="T1591" i="1"/>
  <c r="U1591" i="1"/>
  <c r="V1591" i="1"/>
  <c r="W1591" i="1"/>
  <c r="X1591" i="1"/>
  <c r="Y1591" i="1"/>
  <c r="Z1591" i="1"/>
  <c r="AA1591" i="1"/>
  <c r="AB1591" i="1"/>
  <c r="AC1591" i="1"/>
  <c r="AD1591" i="1"/>
  <c r="AE1591" i="1"/>
  <c r="AF1591" i="1"/>
  <c r="AI1591" i="1"/>
  <c r="AK1591" i="1"/>
  <c r="AL1591" i="1"/>
  <c r="AM1591" i="1"/>
  <c r="AN1591" i="1"/>
  <c r="AO1591" i="1"/>
  <c r="K1592" i="1"/>
  <c r="L1592" i="1"/>
  <c r="M1592" i="1"/>
  <c r="N1592" i="1"/>
  <c r="O1592" i="1"/>
  <c r="P1592" i="1"/>
  <c r="Q1592" i="1"/>
  <c r="R1592" i="1"/>
  <c r="S1592" i="1"/>
  <c r="T1592" i="1"/>
  <c r="U1592" i="1"/>
  <c r="V1592" i="1"/>
  <c r="W1592" i="1"/>
  <c r="X1592" i="1"/>
  <c r="Y1592" i="1"/>
  <c r="Z1592" i="1"/>
  <c r="AA1592" i="1"/>
  <c r="AB1592" i="1"/>
  <c r="AC1592" i="1"/>
  <c r="AD1592" i="1"/>
  <c r="AE1592" i="1"/>
  <c r="AF1592" i="1"/>
  <c r="AI1592" i="1"/>
  <c r="AK1592" i="1"/>
  <c r="AL1592" i="1"/>
  <c r="AM1592" i="1"/>
  <c r="AN1592" i="1"/>
  <c r="AO1592" i="1"/>
  <c r="K1593" i="1"/>
  <c r="L1593" i="1"/>
  <c r="M1593" i="1"/>
  <c r="N1593" i="1"/>
  <c r="O1593" i="1"/>
  <c r="P1593" i="1"/>
  <c r="Q1593" i="1"/>
  <c r="R1593" i="1"/>
  <c r="S1593" i="1"/>
  <c r="T1593" i="1"/>
  <c r="U1593" i="1"/>
  <c r="V1593" i="1"/>
  <c r="W1593" i="1"/>
  <c r="X1593" i="1"/>
  <c r="Y1593" i="1"/>
  <c r="Z1593" i="1"/>
  <c r="AA1593" i="1"/>
  <c r="AB1593" i="1"/>
  <c r="AC1593" i="1"/>
  <c r="AD1593" i="1"/>
  <c r="AE1593" i="1"/>
  <c r="AF1593" i="1"/>
  <c r="AI1593" i="1"/>
  <c r="AK1593" i="1"/>
  <c r="AL1593" i="1"/>
  <c r="AM1593" i="1"/>
  <c r="AN1593" i="1"/>
  <c r="AO1593" i="1"/>
  <c r="K1594" i="1"/>
  <c r="L1594" i="1"/>
  <c r="M1594" i="1"/>
  <c r="N1594" i="1"/>
  <c r="O1594" i="1"/>
  <c r="P1594" i="1"/>
  <c r="Q1594" i="1"/>
  <c r="R1594" i="1"/>
  <c r="S1594" i="1"/>
  <c r="T1594" i="1"/>
  <c r="U1594" i="1"/>
  <c r="V1594" i="1"/>
  <c r="W1594" i="1"/>
  <c r="X1594" i="1"/>
  <c r="Y1594" i="1"/>
  <c r="Z1594" i="1"/>
  <c r="AA1594" i="1"/>
  <c r="AB1594" i="1"/>
  <c r="AC1594" i="1"/>
  <c r="AD1594" i="1"/>
  <c r="AE1594" i="1"/>
  <c r="AF1594" i="1"/>
  <c r="AI1594" i="1"/>
  <c r="AK1594" i="1"/>
  <c r="AL1594" i="1"/>
  <c r="AM1594" i="1"/>
  <c r="AN1594" i="1"/>
  <c r="AO1594" i="1"/>
  <c r="K1595" i="1"/>
  <c r="L1595" i="1"/>
  <c r="M1595" i="1"/>
  <c r="N1595" i="1"/>
  <c r="O1595" i="1"/>
  <c r="P1595" i="1"/>
  <c r="Q1595" i="1"/>
  <c r="R1595" i="1"/>
  <c r="S1595" i="1"/>
  <c r="T1595" i="1"/>
  <c r="U1595" i="1"/>
  <c r="V1595" i="1"/>
  <c r="W1595" i="1"/>
  <c r="X1595" i="1"/>
  <c r="Y1595" i="1"/>
  <c r="Z1595" i="1"/>
  <c r="AA1595" i="1"/>
  <c r="AB1595" i="1"/>
  <c r="AC1595" i="1"/>
  <c r="AD1595" i="1"/>
  <c r="AE1595" i="1"/>
  <c r="AF1595" i="1"/>
  <c r="AI1595" i="1"/>
  <c r="AK1595" i="1"/>
  <c r="AL1595" i="1"/>
  <c r="AM1595" i="1"/>
  <c r="AN1595" i="1"/>
  <c r="AO1595" i="1"/>
  <c r="K1596" i="1"/>
  <c r="L1596" i="1"/>
  <c r="M1596" i="1"/>
  <c r="N1596" i="1"/>
  <c r="O1596" i="1"/>
  <c r="P1596" i="1"/>
  <c r="Q1596" i="1"/>
  <c r="R1596" i="1"/>
  <c r="S1596" i="1"/>
  <c r="T1596" i="1"/>
  <c r="U1596" i="1"/>
  <c r="V1596" i="1"/>
  <c r="W1596" i="1"/>
  <c r="X1596" i="1"/>
  <c r="Y1596" i="1"/>
  <c r="Z1596" i="1"/>
  <c r="AA1596" i="1"/>
  <c r="AB1596" i="1"/>
  <c r="AC1596" i="1"/>
  <c r="AD1596" i="1"/>
  <c r="AE1596" i="1"/>
  <c r="AF1596" i="1"/>
  <c r="AL1596" i="1"/>
  <c r="AM1596" i="1"/>
  <c r="AN1596" i="1"/>
  <c r="AO1596" i="1"/>
  <c r="K1597" i="1"/>
  <c r="L1597" i="1"/>
  <c r="M1597" i="1"/>
  <c r="N1597" i="1"/>
  <c r="O1597" i="1"/>
  <c r="P1597" i="1"/>
  <c r="Q1597" i="1"/>
  <c r="R1597" i="1"/>
  <c r="S1597" i="1"/>
  <c r="T1597" i="1"/>
  <c r="U1597" i="1"/>
  <c r="V1597" i="1"/>
  <c r="W1597" i="1"/>
  <c r="X1597" i="1"/>
  <c r="Y1597" i="1"/>
  <c r="Z1597" i="1"/>
  <c r="AA1597" i="1"/>
  <c r="AB1597" i="1"/>
  <c r="AC1597" i="1"/>
  <c r="AD1597" i="1"/>
  <c r="AE1597" i="1"/>
  <c r="AF1597" i="1"/>
  <c r="AL1597" i="1"/>
  <c r="AM1597" i="1"/>
  <c r="AN1597" i="1"/>
  <c r="AO1597" i="1"/>
  <c r="K1598" i="1"/>
  <c r="L1598" i="1"/>
  <c r="M1598" i="1"/>
  <c r="N1598" i="1"/>
  <c r="O1598" i="1"/>
  <c r="P1598" i="1"/>
  <c r="Q1598" i="1"/>
  <c r="R1598" i="1"/>
  <c r="S1598" i="1"/>
  <c r="T1598" i="1"/>
  <c r="U1598" i="1"/>
  <c r="V1598" i="1"/>
  <c r="W1598" i="1"/>
  <c r="X1598" i="1"/>
  <c r="Y1598" i="1"/>
  <c r="Z1598" i="1"/>
  <c r="AA1598" i="1"/>
  <c r="AB1598" i="1"/>
  <c r="AC1598" i="1"/>
  <c r="AD1598" i="1"/>
  <c r="AE1598" i="1"/>
  <c r="AF1598" i="1"/>
  <c r="AL1598" i="1"/>
  <c r="AM1598" i="1"/>
  <c r="AN1598" i="1"/>
  <c r="AO1598" i="1"/>
  <c r="K1599" i="1"/>
  <c r="L1599" i="1"/>
  <c r="M1599" i="1"/>
  <c r="N1599" i="1"/>
  <c r="O1599" i="1"/>
  <c r="P1599" i="1"/>
  <c r="Q1599" i="1"/>
  <c r="R1599" i="1"/>
  <c r="S1599" i="1"/>
  <c r="T1599" i="1"/>
  <c r="U1599" i="1"/>
  <c r="V1599" i="1"/>
  <c r="W1599" i="1"/>
  <c r="X1599" i="1"/>
  <c r="Y1599" i="1"/>
  <c r="Z1599" i="1"/>
  <c r="AA1599" i="1"/>
  <c r="AB1599" i="1"/>
  <c r="AC1599" i="1"/>
  <c r="AD1599" i="1"/>
  <c r="AE1599" i="1"/>
  <c r="AF1599" i="1"/>
  <c r="AL1599" i="1"/>
  <c r="AM1599" i="1"/>
  <c r="AN1599" i="1"/>
  <c r="AO1599" i="1"/>
  <c r="K1600" i="1"/>
  <c r="L1600" i="1"/>
  <c r="M1600" i="1"/>
  <c r="N1600" i="1"/>
  <c r="O1600" i="1"/>
  <c r="P1600" i="1"/>
  <c r="Q1600" i="1"/>
  <c r="R1600" i="1"/>
  <c r="S1600" i="1"/>
  <c r="T1600" i="1"/>
  <c r="U1600" i="1"/>
  <c r="V1600" i="1"/>
  <c r="W1600" i="1"/>
  <c r="X1600" i="1"/>
  <c r="Y1600" i="1"/>
  <c r="Z1600" i="1"/>
  <c r="AA1600" i="1"/>
  <c r="AB1600" i="1"/>
  <c r="AC1600" i="1"/>
  <c r="AD1600" i="1"/>
  <c r="AE1600" i="1"/>
  <c r="AF1600" i="1"/>
  <c r="AL1600" i="1"/>
  <c r="AM1600" i="1"/>
  <c r="AN1600" i="1"/>
  <c r="AO1600" i="1"/>
  <c r="K1601" i="1"/>
  <c r="L1601" i="1"/>
  <c r="M1601" i="1"/>
  <c r="N1601" i="1"/>
  <c r="O1601" i="1"/>
  <c r="P1601" i="1"/>
  <c r="Q1601" i="1"/>
  <c r="R1601" i="1"/>
  <c r="S1601" i="1"/>
  <c r="T1601" i="1"/>
  <c r="X1601" i="1"/>
  <c r="Z1601" i="1"/>
  <c r="AA1601" i="1"/>
  <c r="AD1601" i="1"/>
  <c r="AE1601" i="1"/>
  <c r="AF1601" i="1"/>
  <c r="AL1601" i="1"/>
  <c r="AM1601" i="1"/>
  <c r="AN1601" i="1"/>
  <c r="AO1601" i="1"/>
  <c r="U1607" i="1"/>
  <c r="V1607" i="1"/>
  <c r="W1607" i="1"/>
  <c r="X1607" i="1"/>
  <c r="Y1607" i="1"/>
  <c r="Z1607" i="1"/>
  <c r="AA1607" i="1"/>
  <c r="AB1607" i="1"/>
  <c r="AC1607" i="1"/>
  <c r="AD1607" i="1"/>
  <c r="AE1607" i="1"/>
  <c r="AF1607" i="1"/>
  <c r="AM1607" i="1"/>
  <c r="AN1607" i="1"/>
  <c r="AO1607" i="1"/>
  <c r="L1608" i="1"/>
  <c r="M1608" i="1"/>
  <c r="N1608" i="1"/>
  <c r="O1608" i="1"/>
  <c r="P1608" i="1"/>
  <c r="Q1608" i="1"/>
  <c r="R1608" i="1"/>
  <c r="S1608" i="1"/>
  <c r="T1608" i="1"/>
  <c r="U1608" i="1"/>
  <c r="V1608" i="1"/>
  <c r="W1608" i="1"/>
  <c r="X1608" i="1"/>
  <c r="Y1608" i="1"/>
  <c r="Z1608" i="1"/>
  <c r="AA1608" i="1"/>
  <c r="AB1608" i="1"/>
  <c r="AC1608" i="1"/>
  <c r="AD1608" i="1"/>
  <c r="AE1608" i="1"/>
  <c r="AF1608" i="1"/>
  <c r="AM1608" i="1"/>
  <c r="AN1608" i="1"/>
  <c r="AO1608" i="1"/>
  <c r="L1609" i="1"/>
  <c r="M1609" i="1"/>
  <c r="N1609" i="1"/>
  <c r="O1609" i="1"/>
  <c r="P1609" i="1"/>
  <c r="Q1609" i="1"/>
  <c r="R1609" i="1"/>
  <c r="S1609" i="1"/>
  <c r="T1609" i="1"/>
  <c r="U1609" i="1"/>
  <c r="V1609" i="1"/>
  <c r="W1609" i="1"/>
  <c r="X1609" i="1"/>
  <c r="Y1609" i="1"/>
  <c r="Z1609" i="1"/>
  <c r="AA1609" i="1"/>
  <c r="AB1609" i="1"/>
  <c r="AC1609" i="1"/>
  <c r="AD1609" i="1"/>
  <c r="AE1609" i="1"/>
  <c r="AF1609" i="1"/>
  <c r="AM1609" i="1"/>
  <c r="AN1609" i="1"/>
  <c r="AO1609" i="1"/>
  <c r="L1610" i="1"/>
  <c r="M1610" i="1"/>
  <c r="N1610" i="1"/>
  <c r="O1610" i="1"/>
  <c r="P1610" i="1"/>
  <c r="Q1610" i="1"/>
  <c r="R1610" i="1"/>
  <c r="S1610" i="1"/>
  <c r="T1610" i="1"/>
  <c r="U1610" i="1"/>
  <c r="V1610" i="1"/>
  <c r="W1610" i="1"/>
  <c r="X1610" i="1"/>
  <c r="Y1610" i="1"/>
  <c r="Z1610" i="1"/>
  <c r="AA1610" i="1"/>
  <c r="AB1610" i="1"/>
  <c r="AC1610" i="1"/>
  <c r="AD1610" i="1"/>
  <c r="AE1610" i="1"/>
  <c r="AF1610" i="1"/>
  <c r="AM1610" i="1"/>
  <c r="AN1610" i="1"/>
  <c r="AO1610" i="1"/>
  <c r="L1611" i="1"/>
  <c r="M1611" i="1"/>
  <c r="N1611" i="1"/>
  <c r="O1611" i="1"/>
  <c r="P1611" i="1"/>
  <c r="Q1611" i="1"/>
  <c r="R1611" i="1"/>
  <c r="S1611" i="1"/>
  <c r="T1611" i="1"/>
  <c r="U1611" i="1"/>
  <c r="V1611" i="1"/>
  <c r="W1611" i="1"/>
  <c r="X1611" i="1"/>
  <c r="Y1611" i="1"/>
  <c r="Z1611" i="1"/>
  <c r="AA1611" i="1"/>
  <c r="AB1611" i="1"/>
  <c r="AC1611" i="1"/>
  <c r="AD1611" i="1"/>
  <c r="AE1611" i="1"/>
  <c r="AF1611" i="1"/>
  <c r="AM1611" i="1"/>
  <c r="AN1611" i="1"/>
  <c r="AO1611" i="1"/>
  <c r="L1612" i="1"/>
  <c r="M1612" i="1"/>
  <c r="N1612" i="1"/>
  <c r="O1612" i="1"/>
  <c r="P1612" i="1"/>
  <c r="Q1612" i="1"/>
  <c r="R1612" i="1"/>
  <c r="S1612" i="1"/>
  <c r="T1612" i="1"/>
  <c r="U1612" i="1"/>
  <c r="V1612" i="1"/>
  <c r="W1612" i="1"/>
  <c r="X1612" i="1"/>
  <c r="Y1612" i="1"/>
  <c r="Z1612" i="1"/>
  <c r="AA1612" i="1"/>
  <c r="AB1612" i="1"/>
  <c r="AC1612" i="1"/>
  <c r="AD1612" i="1"/>
  <c r="AE1612" i="1"/>
  <c r="AF1612" i="1"/>
  <c r="AM1612" i="1"/>
  <c r="AN1612" i="1"/>
  <c r="AO1612" i="1"/>
  <c r="L1613" i="1"/>
  <c r="M1613" i="1"/>
  <c r="N1613" i="1"/>
  <c r="O1613" i="1"/>
  <c r="P1613" i="1"/>
  <c r="Q1613" i="1"/>
  <c r="R1613" i="1"/>
  <c r="S1613" i="1"/>
  <c r="T1613" i="1"/>
  <c r="U1613" i="1"/>
  <c r="V1613" i="1"/>
  <c r="W1613" i="1"/>
  <c r="X1613" i="1"/>
  <c r="Y1613" i="1"/>
  <c r="Z1613" i="1"/>
  <c r="AA1613" i="1"/>
  <c r="AB1613" i="1"/>
  <c r="AC1613" i="1"/>
  <c r="AD1613" i="1"/>
  <c r="AE1613" i="1"/>
  <c r="AF1613" i="1"/>
  <c r="AM1613" i="1"/>
  <c r="AN1613" i="1"/>
  <c r="AO1613" i="1"/>
  <c r="L1614" i="1"/>
  <c r="M1614" i="1"/>
  <c r="N1614" i="1"/>
  <c r="O1614" i="1"/>
  <c r="P1614" i="1"/>
  <c r="Q1614" i="1"/>
  <c r="R1614" i="1"/>
  <c r="S1614" i="1"/>
  <c r="T1614" i="1"/>
  <c r="U1614" i="1"/>
  <c r="V1614" i="1"/>
  <c r="W1614" i="1"/>
  <c r="X1614" i="1"/>
  <c r="Y1614" i="1"/>
  <c r="Z1614" i="1"/>
  <c r="AA1614" i="1"/>
  <c r="AB1614" i="1"/>
  <c r="AC1614" i="1"/>
  <c r="AD1614" i="1"/>
  <c r="AE1614" i="1"/>
  <c r="AF1614" i="1"/>
  <c r="AM1614" i="1"/>
  <c r="AN1614" i="1"/>
  <c r="AO1614" i="1"/>
  <c r="L1615" i="1"/>
  <c r="M1615" i="1"/>
  <c r="N1615" i="1"/>
  <c r="O1615" i="1"/>
  <c r="P1615" i="1"/>
  <c r="Q1615" i="1"/>
  <c r="R1615" i="1"/>
  <c r="S1615" i="1"/>
  <c r="T1615" i="1"/>
  <c r="U1615" i="1"/>
  <c r="V1615" i="1"/>
  <c r="W1615" i="1"/>
  <c r="X1615" i="1"/>
  <c r="Y1615" i="1"/>
  <c r="Z1615" i="1"/>
  <c r="AA1615" i="1"/>
  <c r="AB1615" i="1"/>
  <c r="AC1615" i="1"/>
  <c r="AD1615" i="1"/>
  <c r="AE1615" i="1"/>
  <c r="AF1615" i="1"/>
  <c r="AM1615" i="1"/>
  <c r="AN1615" i="1"/>
  <c r="AO1615" i="1"/>
  <c r="L1616" i="1"/>
  <c r="M1616" i="1"/>
  <c r="N1616" i="1"/>
  <c r="O1616" i="1"/>
  <c r="P1616" i="1"/>
  <c r="Q1616" i="1"/>
  <c r="R1616" i="1"/>
  <c r="S1616" i="1"/>
  <c r="T1616" i="1"/>
  <c r="U1616" i="1"/>
  <c r="V1616" i="1"/>
  <c r="W1616" i="1"/>
  <c r="X1616" i="1"/>
  <c r="Y1616" i="1"/>
  <c r="Z1616" i="1"/>
  <c r="AA1616" i="1"/>
  <c r="AB1616" i="1"/>
  <c r="AC1616" i="1"/>
  <c r="AD1616" i="1"/>
  <c r="AE1616" i="1"/>
  <c r="AF1616" i="1"/>
  <c r="AJ1616" i="1"/>
  <c r="AK1616" i="1"/>
  <c r="AL1616" i="1"/>
  <c r="AM1616" i="1"/>
  <c r="AN1616" i="1"/>
  <c r="AO1616" i="1"/>
  <c r="K1617" i="1"/>
  <c r="L1617" i="1"/>
  <c r="M1617" i="1"/>
  <c r="N1617" i="1"/>
  <c r="O1617" i="1"/>
  <c r="P1617" i="1"/>
  <c r="Q1617" i="1"/>
  <c r="R1617" i="1"/>
  <c r="S1617" i="1"/>
  <c r="T1617" i="1"/>
  <c r="U1617" i="1"/>
  <c r="V1617" i="1"/>
  <c r="W1617" i="1"/>
  <c r="X1617" i="1"/>
  <c r="Y1617" i="1"/>
  <c r="Z1617" i="1"/>
  <c r="AA1617" i="1"/>
  <c r="AB1617" i="1"/>
  <c r="AC1617" i="1"/>
  <c r="AD1617" i="1"/>
  <c r="AE1617" i="1"/>
  <c r="AF1617" i="1"/>
  <c r="AJ1617" i="1"/>
  <c r="AK1617" i="1"/>
  <c r="AL1617" i="1"/>
  <c r="AM1617" i="1"/>
  <c r="AN1617" i="1"/>
  <c r="AO1617" i="1"/>
  <c r="K1618" i="1"/>
  <c r="L1618" i="1"/>
  <c r="M1618" i="1"/>
  <c r="N1618" i="1"/>
  <c r="O1618" i="1"/>
  <c r="P1618" i="1"/>
  <c r="Q1618" i="1"/>
  <c r="R1618" i="1"/>
  <c r="S1618" i="1"/>
  <c r="T1618" i="1"/>
  <c r="U1618" i="1"/>
  <c r="V1618" i="1"/>
  <c r="W1618" i="1"/>
  <c r="X1618" i="1"/>
  <c r="Y1618" i="1"/>
  <c r="Z1618" i="1"/>
  <c r="AA1618" i="1"/>
  <c r="AB1618" i="1"/>
  <c r="AC1618" i="1"/>
  <c r="AD1618" i="1"/>
  <c r="AE1618" i="1"/>
  <c r="AF1618" i="1"/>
  <c r="AJ1618" i="1"/>
  <c r="AK1618" i="1"/>
  <c r="AL1618" i="1"/>
  <c r="AM1618" i="1"/>
  <c r="AN1618" i="1"/>
  <c r="AO1618" i="1"/>
  <c r="K1619" i="1"/>
  <c r="L1619" i="1"/>
  <c r="M1619" i="1"/>
  <c r="N1619" i="1"/>
  <c r="O1619" i="1"/>
  <c r="P1619" i="1"/>
  <c r="Q1619" i="1"/>
  <c r="R1619" i="1"/>
  <c r="S1619" i="1"/>
  <c r="T1619" i="1"/>
  <c r="U1619" i="1"/>
  <c r="V1619" i="1"/>
  <c r="W1619" i="1"/>
  <c r="X1619" i="1"/>
  <c r="Y1619" i="1"/>
  <c r="Z1619" i="1"/>
  <c r="AA1619" i="1"/>
  <c r="AB1619" i="1"/>
  <c r="AC1619" i="1"/>
  <c r="AD1619" i="1"/>
  <c r="AE1619" i="1"/>
  <c r="AF1619" i="1"/>
  <c r="AJ1619" i="1"/>
  <c r="AK1619" i="1"/>
  <c r="AL1619" i="1"/>
  <c r="AM1619" i="1"/>
  <c r="AN1619" i="1"/>
  <c r="AO1619" i="1"/>
  <c r="K1620" i="1"/>
  <c r="L1620" i="1"/>
  <c r="M1620" i="1"/>
  <c r="N1620" i="1"/>
  <c r="O1620" i="1"/>
  <c r="P1620" i="1"/>
  <c r="Q1620" i="1"/>
  <c r="R1620" i="1"/>
  <c r="S1620" i="1"/>
  <c r="T1620" i="1"/>
  <c r="U1620" i="1"/>
  <c r="V1620" i="1"/>
  <c r="W1620" i="1"/>
  <c r="X1620" i="1"/>
  <c r="Y1620" i="1"/>
  <c r="Z1620" i="1"/>
  <c r="AA1620" i="1"/>
  <c r="AB1620" i="1"/>
  <c r="AC1620" i="1"/>
  <c r="AD1620" i="1"/>
  <c r="AE1620" i="1"/>
  <c r="AF1620" i="1"/>
  <c r="AJ1620" i="1"/>
  <c r="AK1620" i="1"/>
  <c r="AL1620" i="1"/>
  <c r="AM1620" i="1"/>
  <c r="AN1620" i="1"/>
  <c r="AO1620" i="1"/>
  <c r="K1621" i="1"/>
  <c r="L1621" i="1"/>
  <c r="M1621" i="1"/>
  <c r="N1621" i="1"/>
  <c r="O1621" i="1"/>
  <c r="P1621" i="1"/>
  <c r="Q1621" i="1"/>
  <c r="R1621" i="1"/>
  <c r="S1621" i="1"/>
  <c r="T1621" i="1"/>
  <c r="U1621" i="1"/>
  <c r="V1621" i="1"/>
  <c r="W1621" i="1"/>
  <c r="X1621" i="1"/>
  <c r="Y1621" i="1"/>
  <c r="Z1621" i="1"/>
  <c r="AA1621" i="1"/>
  <c r="AB1621" i="1"/>
  <c r="AC1621" i="1"/>
  <c r="AD1621" i="1"/>
  <c r="AE1621" i="1"/>
  <c r="AF1621" i="1"/>
  <c r="AJ1621" i="1"/>
  <c r="AK1621" i="1"/>
  <c r="AL1621" i="1"/>
  <c r="AM1621" i="1"/>
  <c r="AN1621" i="1"/>
  <c r="AO1621" i="1"/>
  <c r="K1622" i="1"/>
  <c r="L1622" i="1"/>
  <c r="M1622" i="1"/>
  <c r="N1622" i="1"/>
  <c r="O1622" i="1"/>
  <c r="P1622" i="1"/>
  <c r="Q1622" i="1"/>
  <c r="R1622" i="1"/>
  <c r="S1622" i="1"/>
  <c r="T1622" i="1"/>
  <c r="U1622" i="1"/>
  <c r="V1622" i="1"/>
  <c r="W1622" i="1"/>
  <c r="X1622" i="1"/>
  <c r="Y1622" i="1"/>
  <c r="Z1622" i="1"/>
  <c r="AA1622" i="1"/>
  <c r="AB1622" i="1"/>
  <c r="AC1622" i="1"/>
  <c r="AD1622" i="1"/>
  <c r="AE1622" i="1"/>
  <c r="AF1622" i="1"/>
  <c r="AJ1622" i="1"/>
  <c r="AK1622" i="1"/>
  <c r="AL1622" i="1"/>
  <c r="AM1622" i="1"/>
  <c r="AN1622" i="1"/>
  <c r="AO1622" i="1"/>
  <c r="K1623" i="1"/>
  <c r="L1623" i="1"/>
  <c r="M1623" i="1"/>
  <c r="N1623" i="1"/>
  <c r="O1623" i="1"/>
  <c r="P1623" i="1"/>
  <c r="Q1623" i="1"/>
  <c r="R1623" i="1"/>
  <c r="S1623" i="1"/>
  <c r="T1623" i="1"/>
  <c r="U1623" i="1"/>
  <c r="V1623" i="1"/>
  <c r="W1623" i="1"/>
  <c r="X1623" i="1"/>
  <c r="Y1623" i="1"/>
  <c r="Z1623" i="1"/>
  <c r="AA1623" i="1"/>
  <c r="AB1623" i="1"/>
  <c r="AC1623" i="1"/>
  <c r="AD1623" i="1"/>
  <c r="AE1623" i="1"/>
  <c r="AF1623" i="1"/>
  <c r="AJ1623" i="1"/>
  <c r="AK1623" i="1"/>
  <c r="AL1623" i="1"/>
  <c r="AM1623" i="1"/>
  <c r="AN1623" i="1"/>
  <c r="AO1623" i="1"/>
  <c r="K1624" i="1"/>
  <c r="L1624" i="1"/>
  <c r="M1624" i="1"/>
  <c r="N1624" i="1"/>
  <c r="O1624" i="1"/>
  <c r="P1624" i="1"/>
  <c r="Q1624" i="1"/>
  <c r="R1624" i="1"/>
  <c r="S1624" i="1"/>
  <c r="T1624" i="1"/>
  <c r="U1624" i="1"/>
  <c r="V1624" i="1"/>
  <c r="W1624" i="1"/>
  <c r="X1624" i="1"/>
  <c r="Y1624" i="1"/>
  <c r="Z1624" i="1"/>
  <c r="AA1624" i="1"/>
  <c r="AB1624" i="1"/>
  <c r="AC1624" i="1"/>
  <c r="AD1624" i="1"/>
  <c r="AE1624" i="1"/>
  <c r="AF1624" i="1"/>
  <c r="AJ1624" i="1"/>
  <c r="AK1624" i="1"/>
  <c r="AL1624" i="1"/>
  <c r="AM1624" i="1"/>
  <c r="AN1624" i="1"/>
  <c r="AO1624" i="1"/>
  <c r="K1625" i="1"/>
  <c r="L1625" i="1"/>
  <c r="M1625" i="1"/>
  <c r="N1625" i="1"/>
  <c r="O1625" i="1"/>
  <c r="P1625" i="1"/>
  <c r="Q1625" i="1"/>
  <c r="R1625" i="1"/>
  <c r="S1625" i="1"/>
  <c r="T1625" i="1"/>
  <c r="U1625" i="1"/>
  <c r="V1625" i="1"/>
  <c r="W1625" i="1"/>
  <c r="X1625" i="1"/>
  <c r="Y1625" i="1"/>
  <c r="Z1625" i="1"/>
  <c r="AA1625" i="1"/>
  <c r="AB1625" i="1"/>
  <c r="AC1625" i="1"/>
  <c r="AD1625" i="1"/>
  <c r="AE1625" i="1"/>
  <c r="AF1625" i="1"/>
  <c r="AJ1625" i="1"/>
  <c r="AK1625" i="1"/>
  <c r="AL1625" i="1"/>
  <c r="AM1625" i="1"/>
  <c r="AN1625" i="1"/>
  <c r="AO1625" i="1"/>
  <c r="K1626" i="1"/>
  <c r="L1626" i="1"/>
  <c r="M1626" i="1"/>
  <c r="N1626" i="1"/>
  <c r="O1626" i="1"/>
  <c r="P1626" i="1"/>
  <c r="Q1626" i="1"/>
  <c r="R1626" i="1"/>
  <c r="S1626" i="1"/>
  <c r="T1626" i="1"/>
  <c r="U1626" i="1"/>
  <c r="V1626" i="1"/>
  <c r="W1626" i="1"/>
  <c r="X1626" i="1"/>
  <c r="Y1626" i="1"/>
  <c r="Z1626" i="1"/>
  <c r="AA1626" i="1"/>
  <c r="AB1626" i="1"/>
  <c r="AC1626" i="1"/>
  <c r="AD1626" i="1"/>
  <c r="AE1626" i="1"/>
  <c r="AF1626" i="1"/>
  <c r="AJ1626" i="1"/>
  <c r="AK1626" i="1"/>
  <c r="AL1626" i="1"/>
  <c r="AM1626" i="1"/>
  <c r="AN1626" i="1"/>
  <c r="AO1626" i="1"/>
  <c r="K1627" i="1"/>
  <c r="L1627" i="1"/>
  <c r="M1627" i="1"/>
  <c r="N1627" i="1"/>
  <c r="O1627" i="1"/>
  <c r="P1627" i="1"/>
  <c r="Q1627" i="1"/>
  <c r="R1627" i="1"/>
  <c r="S1627" i="1"/>
  <c r="T1627" i="1"/>
  <c r="U1627" i="1"/>
  <c r="V1627" i="1"/>
  <c r="W1627" i="1"/>
  <c r="X1627" i="1"/>
  <c r="Y1627" i="1"/>
  <c r="Z1627" i="1"/>
  <c r="AA1627" i="1"/>
  <c r="AB1627" i="1"/>
  <c r="AC1627" i="1"/>
  <c r="AD1627" i="1"/>
  <c r="AE1627" i="1"/>
  <c r="AF1627" i="1"/>
  <c r="AJ1627" i="1"/>
  <c r="AK1627" i="1"/>
  <c r="AL1627" i="1"/>
  <c r="AM1627" i="1"/>
  <c r="AN1627" i="1"/>
  <c r="AO1627" i="1"/>
  <c r="K1628" i="1"/>
  <c r="L1628" i="1"/>
  <c r="M1628" i="1"/>
  <c r="N1628" i="1"/>
  <c r="O1628" i="1"/>
  <c r="P1628" i="1"/>
  <c r="Q1628" i="1"/>
  <c r="R1628" i="1"/>
  <c r="S1628" i="1"/>
  <c r="T1628" i="1"/>
  <c r="U1628" i="1"/>
  <c r="V1628" i="1"/>
  <c r="W1628" i="1"/>
  <c r="X1628" i="1"/>
  <c r="Y1628" i="1"/>
  <c r="Z1628" i="1"/>
  <c r="AA1628" i="1"/>
  <c r="AB1628" i="1"/>
  <c r="AC1628" i="1"/>
  <c r="AD1628" i="1"/>
  <c r="AE1628" i="1"/>
  <c r="AF1628" i="1"/>
  <c r="AJ1628" i="1"/>
  <c r="AK1628" i="1"/>
  <c r="AL1628" i="1"/>
  <c r="AM1628" i="1"/>
  <c r="AN1628" i="1"/>
  <c r="AO1628" i="1"/>
  <c r="K1629" i="1"/>
  <c r="L1629" i="1"/>
  <c r="M1629" i="1"/>
  <c r="N1629" i="1"/>
  <c r="O1629" i="1"/>
  <c r="P1629" i="1"/>
  <c r="Q1629" i="1"/>
  <c r="R1629" i="1"/>
  <c r="S1629" i="1"/>
  <c r="T1629" i="1"/>
  <c r="U1629" i="1"/>
  <c r="V1629" i="1"/>
  <c r="W1629" i="1"/>
  <c r="X1629" i="1"/>
  <c r="Y1629" i="1"/>
  <c r="Z1629" i="1"/>
  <c r="AA1629" i="1"/>
  <c r="AB1629" i="1"/>
  <c r="AC1629" i="1"/>
  <c r="AD1629" i="1"/>
  <c r="AE1629" i="1"/>
  <c r="AF1629" i="1"/>
  <c r="AJ1629" i="1"/>
  <c r="AK1629" i="1"/>
  <c r="AL1629" i="1"/>
  <c r="AM1629" i="1"/>
  <c r="AN1629" i="1"/>
  <c r="AO1629" i="1"/>
  <c r="K1630" i="1"/>
  <c r="L1630" i="1"/>
  <c r="M1630" i="1"/>
  <c r="N1630" i="1"/>
  <c r="O1630" i="1"/>
  <c r="P1630" i="1"/>
  <c r="Q1630" i="1"/>
  <c r="R1630" i="1"/>
  <c r="S1630" i="1"/>
  <c r="T1630" i="1"/>
  <c r="U1630" i="1"/>
  <c r="V1630" i="1"/>
  <c r="W1630" i="1"/>
  <c r="X1630" i="1"/>
  <c r="Y1630" i="1"/>
  <c r="Z1630" i="1"/>
  <c r="AA1630" i="1"/>
  <c r="AB1630" i="1"/>
  <c r="AC1630" i="1"/>
  <c r="AD1630" i="1"/>
  <c r="AE1630" i="1"/>
  <c r="AF1630" i="1"/>
  <c r="AJ1630" i="1"/>
  <c r="AK1630" i="1"/>
  <c r="AL1630" i="1"/>
  <c r="AM1630" i="1"/>
  <c r="AN1630" i="1"/>
  <c r="AO1630" i="1"/>
  <c r="K1631" i="1"/>
  <c r="L1631" i="1"/>
  <c r="M1631" i="1"/>
  <c r="N1631" i="1"/>
  <c r="O1631" i="1"/>
  <c r="P1631" i="1"/>
  <c r="Q1631" i="1"/>
  <c r="R1631" i="1"/>
  <c r="S1631" i="1"/>
  <c r="T1631" i="1"/>
  <c r="U1631" i="1"/>
  <c r="V1631" i="1"/>
  <c r="W1631" i="1"/>
  <c r="X1631" i="1"/>
  <c r="Y1631" i="1"/>
  <c r="Z1631" i="1"/>
  <c r="AA1631" i="1"/>
  <c r="AB1631" i="1"/>
  <c r="AC1631" i="1"/>
  <c r="AD1631" i="1"/>
  <c r="AE1631" i="1"/>
  <c r="AF1631" i="1"/>
  <c r="AJ1631" i="1"/>
  <c r="AK1631" i="1"/>
  <c r="AL1631" i="1"/>
  <c r="AM1631" i="1"/>
  <c r="AN1631" i="1"/>
  <c r="AO1631" i="1"/>
  <c r="K1632" i="1"/>
  <c r="L1632" i="1"/>
  <c r="M1632" i="1"/>
  <c r="N1632" i="1"/>
  <c r="O1632" i="1"/>
  <c r="P1632" i="1"/>
  <c r="Q1632" i="1"/>
  <c r="R1632" i="1"/>
  <c r="S1632" i="1"/>
  <c r="T1632" i="1"/>
  <c r="U1632" i="1"/>
  <c r="V1632" i="1"/>
  <c r="W1632" i="1"/>
  <c r="X1632" i="1"/>
  <c r="Y1632" i="1"/>
  <c r="Z1632" i="1"/>
  <c r="AA1632" i="1"/>
  <c r="AB1632" i="1"/>
  <c r="AC1632" i="1"/>
  <c r="AD1632" i="1"/>
  <c r="AE1632" i="1"/>
  <c r="AF1632" i="1"/>
  <c r="AJ1632" i="1"/>
  <c r="AK1632" i="1"/>
  <c r="AL1632" i="1"/>
  <c r="AM1632" i="1"/>
  <c r="AN1632" i="1"/>
  <c r="AO1632" i="1"/>
  <c r="K1633" i="1"/>
  <c r="L1633" i="1"/>
  <c r="M1633" i="1"/>
  <c r="N1633" i="1"/>
  <c r="O1633" i="1"/>
  <c r="P1633" i="1"/>
  <c r="Q1633" i="1"/>
  <c r="R1633" i="1"/>
  <c r="S1633" i="1"/>
  <c r="T1633" i="1"/>
  <c r="U1633" i="1"/>
  <c r="V1633" i="1"/>
  <c r="W1633" i="1"/>
  <c r="X1633" i="1"/>
  <c r="Y1633" i="1"/>
  <c r="Z1633" i="1"/>
  <c r="AA1633" i="1"/>
  <c r="AB1633" i="1"/>
  <c r="AC1633" i="1"/>
  <c r="AD1633" i="1"/>
  <c r="AE1633" i="1"/>
  <c r="AF1633" i="1"/>
  <c r="AJ1633" i="1"/>
  <c r="AK1633" i="1"/>
  <c r="AL1633" i="1"/>
  <c r="AM1633" i="1"/>
  <c r="AN1633" i="1"/>
  <c r="AO1633" i="1"/>
  <c r="K1634" i="1"/>
  <c r="L1634" i="1"/>
  <c r="M1634" i="1"/>
  <c r="N1634" i="1"/>
  <c r="O1634" i="1"/>
  <c r="P1634" i="1"/>
  <c r="Q1634" i="1"/>
  <c r="R1634" i="1"/>
  <c r="S1634" i="1"/>
  <c r="T1634" i="1"/>
  <c r="U1634" i="1"/>
  <c r="V1634" i="1"/>
  <c r="W1634" i="1"/>
  <c r="X1634" i="1"/>
  <c r="Y1634" i="1"/>
  <c r="Z1634" i="1"/>
  <c r="AA1634" i="1"/>
  <c r="AB1634" i="1"/>
  <c r="AC1634" i="1"/>
  <c r="AD1634" i="1"/>
  <c r="AE1634" i="1"/>
  <c r="AF1634" i="1"/>
  <c r="AJ1634" i="1"/>
  <c r="AK1634" i="1"/>
  <c r="AL1634" i="1"/>
  <c r="AM1634" i="1"/>
  <c r="AN1634" i="1"/>
  <c r="AO1634" i="1"/>
  <c r="K1635" i="1"/>
  <c r="L1635" i="1"/>
  <c r="M1635" i="1"/>
  <c r="N1635" i="1"/>
  <c r="O1635" i="1"/>
  <c r="P1635" i="1"/>
  <c r="Q1635" i="1"/>
  <c r="R1635" i="1"/>
  <c r="S1635" i="1"/>
  <c r="T1635" i="1"/>
  <c r="U1635" i="1"/>
  <c r="V1635" i="1"/>
  <c r="W1635" i="1"/>
  <c r="X1635" i="1"/>
  <c r="Y1635" i="1"/>
  <c r="Z1635" i="1"/>
  <c r="AA1635" i="1"/>
  <c r="AB1635" i="1"/>
  <c r="AC1635" i="1"/>
  <c r="AD1635" i="1"/>
  <c r="AE1635" i="1"/>
  <c r="AF1635" i="1"/>
  <c r="AJ1635" i="1"/>
  <c r="AK1635" i="1"/>
  <c r="AL1635" i="1"/>
  <c r="AM1635" i="1"/>
  <c r="AN1635" i="1"/>
  <c r="AO1635" i="1"/>
  <c r="K1636" i="1"/>
  <c r="L1636" i="1"/>
  <c r="M1636" i="1"/>
  <c r="N1636" i="1"/>
  <c r="O1636" i="1"/>
  <c r="P1636" i="1"/>
  <c r="Q1636" i="1"/>
  <c r="R1636" i="1"/>
  <c r="S1636" i="1"/>
  <c r="T1636" i="1"/>
  <c r="U1636" i="1"/>
  <c r="V1636" i="1"/>
  <c r="W1636" i="1"/>
  <c r="X1636" i="1"/>
  <c r="Y1636" i="1"/>
  <c r="Z1636" i="1"/>
  <c r="AA1636" i="1"/>
  <c r="AB1636" i="1"/>
  <c r="AC1636" i="1"/>
  <c r="AD1636" i="1"/>
  <c r="AE1636" i="1"/>
  <c r="AF1636" i="1"/>
  <c r="AJ1636" i="1"/>
  <c r="AK1636" i="1"/>
  <c r="AL1636" i="1"/>
  <c r="AM1636" i="1"/>
  <c r="AN1636" i="1"/>
  <c r="AO1636" i="1"/>
  <c r="K1637" i="1"/>
  <c r="L1637" i="1"/>
  <c r="M1637" i="1"/>
  <c r="N1637" i="1"/>
  <c r="O1637" i="1"/>
  <c r="P1637" i="1"/>
  <c r="Q1637" i="1"/>
  <c r="R1637" i="1"/>
  <c r="S1637" i="1"/>
  <c r="T1637" i="1"/>
  <c r="U1637" i="1"/>
  <c r="V1637" i="1"/>
  <c r="W1637" i="1"/>
  <c r="X1637" i="1"/>
  <c r="Y1637" i="1"/>
  <c r="Z1637" i="1"/>
  <c r="AA1637" i="1"/>
  <c r="AB1637" i="1"/>
  <c r="AC1637" i="1"/>
  <c r="AD1637" i="1"/>
  <c r="AE1637" i="1"/>
  <c r="AF1637" i="1"/>
  <c r="AJ1637" i="1"/>
  <c r="AK1637" i="1"/>
  <c r="AL1637" i="1"/>
  <c r="AM1637" i="1"/>
  <c r="AN1637" i="1"/>
  <c r="AO1637" i="1"/>
  <c r="K1638" i="1"/>
  <c r="L1638" i="1"/>
  <c r="M1638" i="1"/>
  <c r="N1638" i="1"/>
  <c r="O1638" i="1"/>
  <c r="P1638" i="1"/>
  <c r="Q1638" i="1"/>
  <c r="R1638" i="1"/>
  <c r="S1638" i="1"/>
  <c r="T1638" i="1"/>
  <c r="U1638" i="1"/>
  <c r="V1638" i="1"/>
  <c r="W1638" i="1"/>
  <c r="X1638" i="1"/>
  <c r="Y1638" i="1"/>
  <c r="Z1638" i="1"/>
  <c r="AA1638" i="1"/>
  <c r="AB1638" i="1"/>
  <c r="AC1638" i="1"/>
  <c r="AD1638" i="1"/>
  <c r="AE1638" i="1"/>
  <c r="AF1638" i="1"/>
  <c r="AJ1638" i="1"/>
  <c r="AK1638" i="1"/>
  <c r="AL1638" i="1"/>
  <c r="AM1638" i="1"/>
  <c r="AN1638" i="1"/>
  <c r="AO1638" i="1"/>
  <c r="K1639" i="1"/>
  <c r="L1639" i="1"/>
  <c r="M1639" i="1"/>
  <c r="N1639" i="1"/>
  <c r="O1639" i="1"/>
  <c r="P1639" i="1"/>
  <c r="Q1639" i="1"/>
  <c r="R1639" i="1"/>
  <c r="S1639" i="1"/>
  <c r="T1639" i="1"/>
  <c r="U1639" i="1"/>
  <c r="V1639" i="1"/>
  <c r="W1639" i="1"/>
  <c r="X1639" i="1"/>
  <c r="Y1639" i="1"/>
  <c r="Z1639" i="1"/>
  <c r="AA1639" i="1"/>
  <c r="AB1639" i="1"/>
  <c r="AC1639" i="1"/>
  <c r="AD1639" i="1"/>
  <c r="AE1639" i="1"/>
  <c r="AF1639" i="1"/>
  <c r="AJ1639" i="1"/>
  <c r="AK1639" i="1"/>
  <c r="AL1639" i="1"/>
  <c r="AM1639" i="1"/>
  <c r="AN1639" i="1"/>
  <c r="AO1639" i="1"/>
  <c r="K1640" i="1"/>
  <c r="L1640" i="1"/>
  <c r="M1640" i="1"/>
  <c r="N1640" i="1"/>
  <c r="O1640" i="1"/>
  <c r="P1640" i="1"/>
  <c r="Q1640" i="1"/>
  <c r="R1640" i="1"/>
  <c r="S1640" i="1"/>
  <c r="T1640" i="1"/>
  <c r="U1640" i="1"/>
  <c r="V1640" i="1"/>
  <c r="W1640" i="1"/>
  <c r="X1640" i="1"/>
  <c r="Y1640" i="1"/>
  <c r="Z1640" i="1"/>
  <c r="AA1640" i="1"/>
  <c r="AB1640" i="1"/>
  <c r="AC1640" i="1"/>
  <c r="AD1640" i="1"/>
  <c r="AE1640" i="1"/>
  <c r="AF1640" i="1"/>
  <c r="AJ1640" i="1"/>
  <c r="AK1640" i="1"/>
  <c r="AL1640" i="1"/>
  <c r="AM1640" i="1"/>
  <c r="AN1640" i="1"/>
  <c r="AO1640" i="1"/>
  <c r="K1641" i="1"/>
  <c r="L1641" i="1"/>
  <c r="M1641" i="1"/>
  <c r="N1641" i="1"/>
  <c r="O1641" i="1"/>
  <c r="P1641" i="1"/>
  <c r="Q1641" i="1"/>
  <c r="R1641" i="1"/>
  <c r="S1641" i="1"/>
  <c r="T1641" i="1"/>
  <c r="U1641" i="1"/>
  <c r="V1641" i="1"/>
  <c r="W1641" i="1"/>
  <c r="X1641" i="1"/>
  <c r="Y1641" i="1"/>
  <c r="Z1641" i="1"/>
  <c r="AA1641" i="1"/>
  <c r="AB1641" i="1"/>
  <c r="AC1641" i="1"/>
  <c r="AD1641" i="1"/>
  <c r="AE1641" i="1"/>
  <c r="AF1641" i="1"/>
  <c r="AJ1641" i="1"/>
  <c r="AK1641" i="1"/>
  <c r="AL1641" i="1"/>
  <c r="AM1641" i="1"/>
  <c r="AN1641" i="1"/>
  <c r="AO1641" i="1"/>
  <c r="K1642" i="1"/>
  <c r="L1642" i="1"/>
  <c r="M1642" i="1"/>
  <c r="N1642" i="1"/>
  <c r="O1642" i="1"/>
  <c r="P1642" i="1"/>
  <c r="Q1642" i="1"/>
  <c r="R1642" i="1"/>
  <c r="S1642" i="1"/>
  <c r="T1642" i="1"/>
  <c r="X1642" i="1"/>
  <c r="Z1642" i="1"/>
  <c r="AA1642" i="1"/>
  <c r="AD1642" i="1"/>
  <c r="AE1642" i="1"/>
  <c r="AF1642" i="1"/>
  <c r="AJ1642" i="1"/>
  <c r="AK1642" i="1"/>
  <c r="AL1642" i="1"/>
  <c r="AM1642" i="1"/>
  <c r="AN1642" i="1"/>
  <c r="AO1642" i="1"/>
  <c r="H1645" i="1"/>
  <c r="U1648" i="1"/>
  <c r="V1648" i="1"/>
  <c r="W1648" i="1"/>
  <c r="X1648" i="1"/>
  <c r="Y1648" i="1"/>
  <c r="Z1648" i="1"/>
  <c r="AA1648" i="1"/>
  <c r="AB1648" i="1"/>
  <c r="AC1648" i="1"/>
  <c r="AD1648" i="1"/>
  <c r="AE1648" i="1"/>
  <c r="AF1648" i="1"/>
  <c r="AM1648" i="1"/>
  <c r="AN1648" i="1"/>
  <c r="AO1648" i="1"/>
  <c r="L1649" i="1"/>
  <c r="M1649" i="1"/>
  <c r="N1649" i="1"/>
  <c r="O1649" i="1"/>
  <c r="P1649" i="1"/>
  <c r="Q1649" i="1"/>
  <c r="R1649" i="1"/>
  <c r="S1649" i="1"/>
  <c r="T1649" i="1"/>
  <c r="U1649" i="1"/>
  <c r="V1649" i="1"/>
  <c r="W1649" i="1"/>
  <c r="X1649" i="1"/>
  <c r="Y1649" i="1"/>
  <c r="Z1649" i="1"/>
  <c r="AA1649" i="1"/>
  <c r="AB1649" i="1"/>
  <c r="AC1649" i="1"/>
  <c r="AD1649" i="1"/>
  <c r="AE1649" i="1"/>
  <c r="AF1649" i="1"/>
  <c r="AM1649" i="1"/>
  <c r="AN1649" i="1"/>
  <c r="AO1649" i="1"/>
  <c r="K1650" i="1"/>
  <c r="L1650" i="1"/>
  <c r="M1650" i="1"/>
  <c r="N1650" i="1"/>
  <c r="O1650" i="1"/>
  <c r="P1650" i="1"/>
  <c r="Q1650" i="1"/>
  <c r="R1650" i="1"/>
  <c r="S1650" i="1"/>
  <c r="T1650" i="1"/>
  <c r="U1650" i="1"/>
  <c r="V1650" i="1"/>
  <c r="W1650" i="1"/>
  <c r="X1650" i="1"/>
  <c r="Y1650" i="1"/>
  <c r="Z1650" i="1"/>
  <c r="AA1650" i="1"/>
  <c r="AB1650" i="1"/>
  <c r="AC1650" i="1"/>
  <c r="AD1650" i="1"/>
  <c r="AE1650" i="1"/>
  <c r="AF1650" i="1"/>
  <c r="AM1650" i="1"/>
  <c r="AN1650" i="1"/>
  <c r="AO1650" i="1"/>
  <c r="K1651" i="1"/>
  <c r="L1651" i="1"/>
  <c r="M1651" i="1"/>
  <c r="N1651" i="1"/>
  <c r="O1651" i="1"/>
  <c r="P1651" i="1"/>
  <c r="Q1651" i="1"/>
  <c r="R1651" i="1"/>
  <c r="S1651" i="1"/>
  <c r="T1651" i="1"/>
  <c r="U1651" i="1"/>
  <c r="V1651" i="1"/>
  <c r="W1651" i="1"/>
  <c r="X1651" i="1"/>
  <c r="Y1651" i="1"/>
  <c r="Z1651" i="1"/>
  <c r="AA1651" i="1"/>
  <c r="AB1651" i="1"/>
  <c r="AC1651" i="1"/>
  <c r="AD1651" i="1"/>
  <c r="AE1651" i="1"/>
  <c r="AF1651" i="1"/>
  <c r="AM1651" i="1"/>
  <c r="AN1651" i="1"/>
  <c r="AO1651" i="1"/>
  <c r="K1652" i="1"/>
  <c r="L1652" i="1"/>
  <c r="M1652" i="1"/>
  <c r="N1652" i="1"/>
  <c r="O1652" i="1"/>
  <c r="P1652" i="1"/>
  <c r="Q1652" i="1"/>
  <c r="R1652" i="1"/>
  <c r="S1652" i="1"/>
  <c r="T1652" i="1"/>
  <c r="U1652" i="1"/>
  <c r="V1652" i="1"/>
  <c r="W1652" i="1"/>
  <c r="X1652" i="1"/>
  <c r="Y1652" i="1"/>
  <c r="Z1652" i="1"/>
  <c r="AA1652" i="1"/>
  <c r="AB1652" i="1"/>
  <c r="AC1652" i="1"/>
  <c r="AD1652" i="1"/>
  <c r="AE1652" i="1"/>
  <c r="AF1652" i="1"/>
  <c r="AM1652" i="1"/>
  <c r="AN1652" i="1"/>
  <c r="AO1652" i="1"/>
  <c r="K1653" i="1"/>
  <c r="L1653" i="1"/>
  <c r="M1653" i="1"/>
  <c r="N1653" i="1"/>
  <c r="O1653" i="1"/>
  <c r="P1653" i="1"/>
  <c r="Q1653" i="1"/>
  <c r="R1653" i="1"/>
  <c r="S1653" i="1"/>
  <c r="T1653" i="1"/>
  <c r="U1653" i="1"/>
  <c r="V1653" i="1"/>
  <c r="W1653" i="1"/>
  <c r="X1653" i="1"/>
  <c r="Y1653" i="1"/>
  <c r="Z1653" i="1"/>
  <c r="AA1653" i="1"/>
  <c r="AB1653" i="1"/>
  <c r="AC1653" i="1"/>
  <c r="AD1653" i="1"/>
  <c r="AE1653" i="1"/>
  <c r="AF1653" i="1"/>
  <c r="AM1653" i="1"/>
  <c r="AN1653" i="1"/>
  <c r="AO1653" i="1"/>
  <c r="K1654" i="1"/>
  <c r="L1654" i="1"/>
  <c r="M1654" i="1"/>
  <c r="N1654" i="1"/>
  <c r="O1654" i="1"/>
  <c r="P1654" i="1"/>
  <c r="Q1654" i="1"/>
  <c r="R1654" i="1"/>
  <c r="S1654" i="1"/>
  <c r="T1654" i="1"/>
  <c r="U1654" i="1"/>
  <c r="V1654" i="1"/>
  <c r="W1654" i="1"/>
  <c r="X1654" i="1"/>
  <c r="Y1654" i="1"/>
  <c r="Z1654" i="1"/>
  <c r="AA1654" i="1"/>
  <c r="AB1654" i="1"/>
  <c r="AC1654" i="1"/>
  <c r="AD1654" i="1"/>
  <c r="AE1654" i="1"/>
  <c r="AF1654" i="1"/>
  <c r="AM1654" i="1"/>
  <c r="AN1654" i="1"/>
  <c r="AO1654" i="1"/>
  <c r="K1655" i="1"/>
  <c r="L1655" i="1"/>
  <c r="M1655" i="1"/>
  <c r="N1655" i="1"/>
  <c r="O1655" i="1"/>
  <c r="P1655" i="1"/>
  <c r="Q1655" i="1"/>
  <c r="R1655" i="1"/>
  <c r="S1655" i="1"/>
  <c r="T1655" i="1"/>
  <c r="U1655" i="1"/>
  <c r="V1655" i="1"/>
  <c r="W1655" i="1"/>
  <c r="X1655" i="1"/>
  <c r="Y1655" i="1"/>
  <c r="Z1655" i="1"/>
  <c r="AA1655" i="1"/>
  <c r="AB1655" i="1"/>
  <c r="AC1655" i="1"/>
  <c r="AD1655" i="1"/>
  <c r="AE1655" i="1"/>
  <c r="AF1655" i="1"/>
  <c r="AM1655" i="1"/>
  <c r="AN1655" i="1"/>
  <c r="AO1655" i="1"/>
  <c r="K1656" i="1"/>
  <c r="L1656" i="1"/>
  <c r="M1656" i="1"/>
  <c r="N1656" i="1"/>
  <c r="O1656" i="1"/>
  <c r="P1656" i="1"/>
  <c r="Q1656" i="1"/>
  <c r="R1656" i="1"/>
  <c r="S1656" i="1"/>
  <c r="T1656" i="1"/>
  <c r="U1656" i="1"/>
  <c r="V1656" i="1"/>
  <c r="W1656" i="1"/>
  <c r="X1656" i="1"/>
  <c r="Y1656" i="1"/>
  <c r="Z1656" i="1"/>
  <c r="AA1656" i="1"/>
  <c r="AB1656" i="1"/>
  <c r="AC1656" i="1"/>
  <c r="AD1656" i="1"/>
  <c r="AE1656" i="1"/>
  <c r="AF1656" i="1"/>
  <c r="AM1656" i="1"/>
  <c r="AN1656" i="1"/>
  <c r="AO1656" i="1"/>
  <c r="K1657" i="1"/>
  <c r="L1657" i="1"/>
  <c r="M1657" i="1"/>
  <c r="N1657" i="1"/>
  <c r="O1657" i="1"/>
  <c r="P1657" i="1"/>
  <c r="Q1657" i="1"/>
  <c r="R1657" i="1"/>
  <c r="S1657" i="1"/>
  <c r="T1657" i="1"/>
  <c r="U1657" i="1"/>
  <c r="V1657" i="1"/>
  <c r="W1657" i="1"/>
  <c r="X1657" i="1"/>
  <c r="Y1657" i="1"/>
  <c r="Z1657" i="1"/>
  <c r="AA1657" i="1"/>
  <c r="AB1657" i="1"/>
  <c r="AC1657" i="1"/>
  <c r="AD1657" i="1"/>
  <c r="AE1657" i="1"/>
  <c r="AF1657" i="1"/>
  <c r="AM1657" i="1"/>
  <c r="AN1657" i="1"/>
  <c r="AO1657" i="1"/>
  <c r="K1658" i="1"/>
  <c r="L1658" i="1"/>
  <c r="M1658" i="1"/>
  <c r="N1658" i="1"/>
  <c r="O1658" i="1"/>
  <c r="P1658" i="1"/>
  <c r="Q1658" i="1"/>
  <c r="R1658" i="1"/>
  <c r="S1658" i="1"/>
  <c r="T1658" i="1"/>
  <c r="U1658" i="1"/>
  <c r="V1658" i="1"/>
  <c r="W1658" i="1"/>
  <c r="X1658" i="1"/>
  <c r="Y1658" i="1"/>
  <c r="Z1658" i="1"/>
  <c r="AA1658" i="1"/>
  <c r="AB1658" i="1"/>
  <c r="AC1658" i="1"/>
  <c r="AD1658" i="1"/>
  <c r="AE1658" i="1"/>
  <c r="AF1658" i="1"/>
  <c r="AM1658" i="1"/>
  <c r="AN1658" i="1"/>
  <c r="AO1658" i="1"/>
  <c r="K1659" i="1"/>
  <c r="L1659" i="1"/>
  <c r="M1659" i="1"/>
  <c r="N1659" i="1"/>
  <c r="O1659" i="1"/>
  <c r="P1659" i="1"/>
  <c r="Q1659" i="1"/>
  <c r="R1659" i="1"/>
  <c r="S1659" i="1"/>
  <c r="T1659" i="1"/>
  <c r="U1659" i="1"/>
  <c r="V1659" i="1"/>
  <c r="W1659" i="1"/>
  <c r="X1659" i="1"/>
  <c r="Y1659" i="1"/>
  <c r="Z1659" i="1"/>
  <c r="AA1659" i="1"/>
  <c r="AB1659" i="1"/>
  <c r="AC1659" i="1"/>
  <c r="AD1659" i="1"/>
  <c r="AE1659" i="1"/>
  <c r="AF1659" i="1"/>
  <c r="AM1659" i="1"/>
  <c r="AN1659" i="1"/>
  <c r="AO1659" i="1"/>
  <c r="K1660" i="1"/>
  <c r="L1660" i="1"/>
  <c r="M1660" i="1"/>
  <c r="N1660" i="1"/>
  <c r="O1660" i="1"/>
  <c r="P1660" i="1"/>
  <c r="Q1660" i="1"/>
  <c r="R1660" i="1"/>
  <c r="S1660" i="1"/>
  <c r="T1660" i="1"/>
  <c r="U1660" i="1"/>
  <c r="V1660" i="1"/>
  <c r="W1660" i="1"/>
  <c r="X1660" i="1"/>
  <c r="Y1660" i="1"/>
  <c r="Z1660" i="1"/>
  <c r="AA1660" i="1"/>
  <c r="AB1660" i="1"/>
  <c r="AC1660" i="1"/>
  <c r="AD1660" i="1"/>
  <c r="AE1660" i="1"/>
  <c r="AF1660" i="1"/>
  <c r="AM1660" i="1"/>
  <c r="AN1660" i="1"/>
  <c r="AO1660" i="1"/>
  <c r="K1661" i="1"/>
  <c r="L1661" i="1"/>
  <c r="M1661" i="1"/>
  <c r="N1661" i="1"/>
  <c r="O1661" i="1"/>
  <c r="P1661" i="1"/>
  <c r="Q1661" i="1"/>
  <c r="R1661" i="1"/>
  <c r="S1661" i="1"/>
  <c r="T1661" i="1"/>
  <c r="U1661" i="1"/>
  <c r="V1661" i="1"/>
  <c r="W1661" i="1"/>
  <c r="X1661" i="1"/>
  <c r="Y1661" i="1"/>
  <c r="Z1661" i="1"/>
  <c r="AA1661" i="1"/>
  <c r="AB1661" i="1"/>
  <c r="AC1661" i="1"/>
  <c r="AD1661" i="1"/>
  <c r="AE1661" i="1"/>
  <c r="AF1661" i="1"/>
  <c r="AM1661" i="1"/>
  <c r="AN1661" i="1"/>
  <c r="AO1661" i="1"/>
  <c r="K1662" i="1"/>
  <c r="L1662" i="1"/>
  <c r="M1662" i="1"/>
  <c r="N1662" i="1"/>
  <c r="O1662" i="1"/>
  <c r="P1662" i="1"/>
  <c r="Q1662" i="1"/>
  <c r="R1662" i="1"/>
  <c r="S1662" i="1"/>
  <c r="T1662" i="1"/>
  <c r="U1662" i="1"/>
  <c r="V1662" i="1"/>
  <c r="W1662" i="1"/>
  <c r="X1662" i="1"/>
  <c r="Y1662" i="1"/>
  <c r="Z1662" i="1"/>
  <c r="AA1662" i="1"/>
  <c r="AB1662" i="1"/>
  <c r="AC1662" i="1"/>
  <c r="AD1662" i="1"/>
  <c r="AE1662" i="1"/>
  <c r="AF1662" i="1"/>
  <c r="AM1662" i="1"/>
  <c r="AN1662" i="1"/>
  <c r="AO1662" i="1"/>
  <c r="K1663" i="1"/>
  <c r="L1663" i="1"/>
  <c r="M1663" i="1"/>
  <c r="N1663" i="1"/>
  <c r="O1663" i="1"/>
  <c r="P1663" i="1"/>
  <c r="Q1663" i="1"/>
  <c r="R1663" i="1"/>
  <c r="S1663" i="1"/>
  <c r="T1663" i="1"/>
  <c r="U1663" i="1"/>
  <c r="V1663" i="1"/>
  <c r="W1663" i="1"/>
  <c r="X1663" i="1"/>
  <c r="Y1663" i="1"/>
  <c r="Z1663" i="1"/>
  <c r="AA1663" i="1"/>
  <c r="AB1663" i="1"/>
  <c r="AC1663" i="1"/>
  <c r="AD1663" i="1"/>
  <c r="AE1663" i="1"/>
  <c r="AF1663" i="1"/>
  <c r="AM1663" i="1"/>
  <c r="AN1663" i="1"/>
  <c r="AO1663" i="1"/>
  <c r="K1664" i="1"/>
  <c r="L1664" i="1"/>
  <c r="M1664" i="1"/>
  <c r="N1664" i="1"/>
  <c r="O1664" i="1"/>
  <c r="P1664" i="1"/>
  <c r="Q1664" i="1"/>
  <c r="R1664" i="1"/>
  <c r="S1664" i="1"/>
  <c r="T1664" i="1"/>
  <c r="U1664" i="1"/>
  <c r="V1664" i="1"/>
  <c r="W1664" i="1"/>
  <c r="X1664" i="1"/>
  <c r="Y1664" i="1"/>
  <c r="Z1664" i="1"/>
  <c r="AA1664" i="1"/>
  <c r="AB1664" i="1"/>
  <c r="AC1664" i="1"/>
  <c r="AD1664" i="1"/>
  <c r="AE1664" i="1"/>
  <c r="AF1664" i="1"/>
  <c r="AM1664" i="1"/>
  <c r="AN1664" i="1"/>
  <c r="AO1664" i="1"/>
  <c r="K1665" i="1"/>
  <c r="L1665" i="1"/>
  <c r="M1665" i="1"/>
  <c r="N1665" i="1"/>
  <c r="O1665" i="1"/>
  <c r="P1665" i="1"/>
  <c r="Q1665" i="1"/>
  <c r="R1665" i="1"/>
  <c r="S1665" i="1"/>
  <c r="T1665" i="1"/>
  <c r="U1665" i="1"/>
  <c r="V1665" i="1"/>
  <c r="W1665" i="1"/>
  <c r="X1665" i="1"/>
  <c r="Y1665" i="1"/>
  <c r="Z1665" i="1"/>
  <c r="AA1665" i="1"/>
  <c r="AB1665" i="1"/>
  <c r="AC1665" i="1"/>
  <c r="AD1665" i="1"/>
  <c r="AE1665" i="1"/>
  <c r="AF1665" i="1"/>
  <c r="AM1665" i="1"/>
  <c r="AN1665" i="1"/>
  <c r="AO1665" i="1"/>
  <c r="K1666" i="1"/>
  <c r="L1666" i="1"/>
  <c r="M1666" i="1"/>
  <c r="N1666" i="1"/>
  <c r="O1666" i="1"/>
  <c r="P1666" i="1"/>
  <c r="Q1666" i="1"/>
  <c r="R1666" i="1"/>
  <c r="S1666" i="1"/>
  <c r="T1666" i="1"/>
  <c r="U1666" i="1"/>
  <c r="V1666" i="1"/>
  <c r="W1666" i="1"/>
  <c r="X1666" i="1"/>
  <c r="Y1666" i="1"/>
  <c r="Z1666" i="1"/>
  <c r="AA1666" i="1"/>
  <c r="AB1666" i="1"/>
  <c r="AC1666" i="1"/>
  <c r="AD1666" i="1"/>
  <c r="AE1666" i="1"/>
  <c r="AF1666" i="1"/>
  <c r="AM1666" i="1"/>
  <c r="AN1666" i="1"/>
  <c r="AO1666" i="1"/>
  <c r="K1667" i="1"/>
  <c r="L1667" i="1"/>
  <c r="M1667" i="1"/>
  <c r="N1667" i="1"/>
  <c r="O1667" i="1"/>
  <c r="P1667" i="1"/>
  <c r="Q1667" i="1"/>
  <c r="R1667" i="1"/>
  <c r="S1667" i="1"/>
  <c r="T1667" i="1"/>
  <c r="U1667" i="1"/>
  <c r="V1667" i="1"/>
  <c r="W1667" i="1"/>
  <c r="X1667" i="1"/>
  <c r="Y1667" i="1"/>
  <c r="Z1667" i="1"/>
  <c r="AA1667" i="1"/>
  <c r="AB1667" i="1"/>
  <c r="AC1667" i="1"/>
  <c r="AD1667" i="1"/>
  <c r="AE1667" i="1"/>
  <c r="AF1667" i="1"/>
  <c r="AM1667" i="1"/>
  <c r="AN1667" i="1"/>
  <c r="AO1667" i="1"/>
  <c r="K1668" i="1"/>
  <c r="L1668" i="1"/>
  <c r="M1668" i="1"/>
  <c r="N1668" i="1"/>
  <c r="O1668" i="1"/>
  <c r="P1668" i="1"/>
  <c r="Q1668" i="1"/>
  <c r="R1668" i="1"/>
  <c r="S1668" i="1"/>
  <c r="T1668" i="1"/>
  <c r="U1668" i="1"/>
  <c r="V1668" i="1"/>
  <c r="W1668" i="1"/>
  <c r="X1668" i="1"/>
  <c r="Y1668" i="1"/>
  <c r="Z1668" i="1"/>
  <c r="AA1668" i="1"/>
  <c r="AB1668" i="1"/>
  <c r="AC1668" i="1"/>
  <c r="AD1668" i="1"/>
  <c r="AE1668" i="1"/>
  <c r="AF1668" i="1"/>
  <c r="AM1668" i="1"/>
  <c r="AN1668" i="1"/>
  <c r="AO1668" i="1"/>
  <c r="K1669" i="1"/>
  <c r="L1669" i="1"/>
  <c r="M1669" i="1"/>
  <c r="N1669" i="1"/>
  <c r="O1669" i="1"/>
  <c r="P1669" i="1"/>
  <c r="Q1669" i="1"/>
  <c r="R1669" i="1"/>
  <c r="S1669" i="1"/>
  <c r="T1669" i="1"/>
  <c r="U1669" i="1"/>
  <c r="V1669" i="1"/>
  <c r="W1669" i="1"/>
  <c r="X1669" i="1"/>
  <c r="Y1669" i="1"/>
  <c r="Z1669" i="1"/>
  <c r="AA1669" i="1"/>
  <c r="AB1669" i="1"/>
  <c r="AC1669" i="1"/>
  <c r="AD1669" i="1"/>
  <c r="AE1669" i="1"/>
  <c r="AF1669" i="1"/>
  <c r="AM1669" i="1"/>
  <c r="AN1669" i="1"/>
  <c r="AO1669" i="1"/>
  <c r="K1670" i="1"/>
  <c r="L1670" i="1"/>
  <c r="M1670" i="1"/>
  <c r="N1670" i="1"/>
  <c r="O1670" i="1"/>
  <c r="P1670" i="1"/>
  <c r="Q1670" i="1"/>
  <c r="R1670" i="1"/>
  <c r="S1670" i="1"/>
  <c r="T1670" i="1"/>
  <c r="U1670" i="1"/>
  <c r="V1670" i="1"/>
  <c r="W1670" i="1"/>
  <c r="X1670" i="1"/>
  <c r="Y1670" i="1"/>
  <c r="Z1670" i="1"/>
  <c r="AA1670" i="1"/>
  <c r="AB1670" i="1"/>
  <c r="AC1670" i="1"/>
  <c r="AD1670" i="1"/>
  <c r="AE1670" i="1"/>
  <c r="AF1670" i="1"/>
  <c r="AM1670" i="1"/>
  <c r="AN1670" i="1"/>
  <c r="AO1670" i="1"/>
  <c r="K1671" i="1"/>
  <c r="L1671" i="1"/>
  <c r="M1671" i="1"/>
  <c r="N1671" i="1"/>
  <c r="O1671" i="1"/>
  <c r="P1671" i="1"/>
  <c r="Q1671" i="1"/>
  <c r="R1671" i="1"/>
  <c r="S1671" i="1"/>
  <c r="T1671" i="1"/>
  <c r="U1671" i="1"/>
  <c r="V1671" i="1"/>
  <c r="W1671" i="1"/>
  <c r="X1671" i="1"/>
  <c r="Y1671" i="1"/>
  <c r="Z1671" i="1"/>
  <c r="AA1671" i="1"/>
  <c r="AB1671" i="1"/>
  <c r="AC1671" i="1"/>
  <c r="AD1671" i="1"/>
  <c r="AE1671" i="1"/>
  <c r="AF1671" i="1"/>
  <c r="AM1671" i="1"/>
  <c r="AN1671" i="1"/>
  <c r="AO1671" i="1"/>
  <c r="K1672" i="1"/>
  <c r="L1672" i="1"/>
  <c r="M1672" i="1"/>
  <c r="N1672" i="1"/>
  <c r="O1672" i="1"/>
  <c r="P1672" i="1"/>
  <c r="Q1672" i="1"/>
  <c r="R1672" i="1"/>
  <c r="S1672" i="1"/>
  <c r="T1672" i="1"/>
  <c r="U1672" i="1"/>
  <c r="V1672" i="1"/>
  <c r="W1672" i="1"/>
  <c r="X1672" i="1"/>
  <c r="Y1672" i="1"/>
  <c r="Z1672" i="1"/>
  <c r="AA1672" i="1"/>
  <c r="AB1672" i="1"/>
  <c r="AC1672" i="1"/>
  <c r="AD1672" i="1"/>
  <c r="AE1672" i="1"/>
  <c r="AF1672" i="1"/>
  <c r="AM1672" i="1"/>
  <c r="AN1672" i="1"/>
  <c r="AO1672" i="1"/>
  <c r="K1673" i="1"/>
  <c r="L1673" i="1"/>
  <c r="M1673" i="1"/>
  <c r="N1673" i="1"/>
  <c r="O1673" i="1"/>
  <c r="P1673" i="1"/>
  <c r="Q1673" i="1"/>
  <c r="R1673" i="1"/>
  <c r="S1673" i="1"/>
  <c r="T1673" i="1"/>
  <c r="U1673" i="1"/>
  <c r="V1673" i="1"/>
  <c r="W1673" i="1"/>
  <c r="X1673" i="1"/>
  <c r="Y1673" i="1"/>
  <c r="Z1673" i="1"/>
  <c r="AA1673" i="1"/>
  <c r="AB1673" i="1"/>
  <c r="AC1673" i="1"/>
  <c r="AD1673" i="1"/>
  <c r="AE1673" i="1"/>
  <c r="AF1673" i="1"/>
  <c r="AM1673" i="1"/>
  <c r="AN1673" i="1"/>
  <c r="AO1673" i="1"/>
  <c r="K1674" i="1"/>
  <c r="L1674" i="1"/>
  <c r="M1674" i="1"/>
  <c r="N1674" i="1"/>
  <c r="O1674" i="1"/>
  <c r="P1674" i="1"/>
  <c r="Q1674" i="1"/>
  <c r="R1674" i="1"/>
  <c r="S1674" i="1"/>
  <c r="T1674" i="1"/>
  <c r="U1674" i="1"/>
  <c r="V1674" i="1"/>
  <c r="W1674" i="1"/>
  <c r="X1674" i="1"/>
  <c r="Y1674" i="1"/>
  <c r="Z1674" i="1"/>
  <c r="AA1674" i="1"/>
  <c r="AB1674" i="1"/>
  <c r="AC1674" i="1"/>
  <c r="AD1674" i="1"/>
  <c r="AE1674" i="1"/>
  <c r="AF1674" i="1"/>
  <c r="AM1674" i="1"/>
  <c r="AN1674" i="1"/>
  <c r="AO1674" i="1"/>
  <c r="K1675" i="1"/>
  <c r="L1675" i="1"/>
  <c r="M1675" i="1"/>
  <c r="N1675" i="1"/>
  <c r="O1675" i="1"/>
  <c r="P1675" i="1"/>
  <c r="Q1675" i="1"/>
  <c r="R1675" i="1"/>
  <c r="S1675" i="1"/>
  <c r="T1675" i="1"/>
  <c r="U1675" i="1"/>
  <c r="V1675" i="1"/>
  <c r="W1675" i="1"/>
  <c r="X1675" i="1"/>
  <c r="Y1675" i="1"/>
  <c r="Z1675" i="1"/>
  <c r="AA1675" i="1"/>
  <c r="AB1675" i="1"/>
  <c r="AC1675" i="1"/>
  <c r="AD1675" i="1"/>
  <c r="AE1675" i="1"/>
  <c r="AF1675" i="1"/>
  <c r="AM1675" i="1"/>
  <c r="AN1675" i="1"/>
  <c r="AO1675" i="1"/>
  <c r="K1676" i="1"/>
  <c r="L1676" i="1"/>
  <c r="M1676" i="1"/>
  <c r="N1676" i="1"/>
  <c r="O1676" i="1"/>
  <c r="P1676" i="1"/>
  <c r="Q1676" i="1"/>
  <c r="R1676" i="1"/>
  <c r="S1676" i="1"/>
  <c r="T1676" i="1"/>
  <c r="U1676" i="1"/>
  <c r="V1676" i="1"/>
  <c r="W1676" i="1"/>
  <c r="X1676" i="1"/>
  <c r="Y1676" i="1"/>
  <c r="Z1676" i="1"/>
  <c r="AA1676" i="1"/>
  <c r="AB1676" i="1"/>
  <c r="AC1676" i="1"/>
  <c r="AD1676" i="1"/>
  <c r="AE1676" i="1"/>
  <c r="AF1676" i="1"/>
  <c r="AM1676" i="1"/>
  <c r="AN1676" i="1"/>
  <c r="AO1676" i="1"/>
  <c r="K1677" i="1"/>
  <c r="L1677" i="1"/>
  <c r="M1677" i="1"/>
  <c r="N1677" i="1"/>
  <c r="O1677" i="1"/>
  <c r="P1677" i="1"/>
  <c r="Q1677" i="1"/>
  <c r="R1677" i="1"/>
  <c r="S1677" i="1"/>
  <c r="T1677" i="1"/>
  <c r="U1677" i="1"/>
  <c r="V1677" i="1"/>
  <c r="W1677" i="1"/>
  <c r="X1677" i="1"/>
  <c r="Y1677" i="1"/>
  <c r="Z1677" i="1"/>
  <c r="AA1677" i="1"/>
  <c r="AB1677" i="1"/>
  <c r="AC1677" i="1"/>
  <c r="AD1677" i="1"/>
  <c r="AE1677" i="1"/>
  <c r="AF1677" i="1"/>
  <c r="AM1677" i="1"/>
  <c r="AN1677" i="1"/>
  <c r="AO1677" i="1"/>
  <c r="K1678" i="1"/>
  <c r="L1678" i="1"/>
  <c r="M1678" i="1"/>
  <c r="N1678" i="1"/>
  <c r="O1678" i="1"/>
  <c r="P1678" i="1"/>
  <c r="Q1678" i="1"/>
  <c r="R1678" i="1"/>
  <c r="S1678" i="1"/>
  <c r="T1678" i="1"/>
  <c r="U1678" i="1"/>
  <c r="V1678" i="1"/>
  <c r="W1678" i="1"/>
  <c r="X1678" i="1"/>
  <c r="Y1678" i="1"/>
  <c r="Z1678" i="1"/>
  <c r="AA1678" i="1"/>
  <c r="AB1678" i="1"/>
  <c r="AC1678" i="1"/>
  <c r="AD1678" i="1"/>
  <c r="AE1678" i="1"/>
  <c r="AF1678" i="1"/>
  <c r="AM1678" i="1"/>
  <c r="AN1678" i="1"/>
  <c r="AO1678" i="1"/>
  <c r="K1679" i="1"/>
  <c r="L1679" i="1"/>
  <c r="M1679" i="1"/>
  <c r="N1679" i="1"/>
  <c r="O1679" i="1"/>
  <c r="P1679" i="1"/>
  <c r="Q1679" i="1"/>
  <c r="R1679" i="1"/>
  <c r="S1679" i="1"/>
  <c r="T1679" i="1"/>
  <c r="U1679" i="1"/>
  <c r="V1679" i="1"/>
  <c r="W1679" i="1"/>
  <c r="X1679" i="1"/>
  <c r="Y1679" i="1"/>
  <c r="Z1679" i="1"/>
  <c r="AA1679" i="1"/>
  <c r="AB1679" i="1"/>
  <c r="AC1679" i="1"/>
  <c r="AD1679" i="1"/>
  <c r="AE1679" i="1"/>
  <c r="AF1679" i="1"/>
  <c r="AM1679" i="1"/>
  <c r="AN1679" i="1"/>
  <c r="AO1679" i="1"/>
  <c r="K1680" i="1"/>
  <c r="L1680" i="1"/>
  <c r="M1680" i="1"/>
  <c r="N1680" i="1"/>
  <c r="O1680" i="1"/>
  <c r="P1680" i="1"/>
  <c r="Q1680" i="1"/>
  <c r="R1680" i="1"/>
  <c r="S1680" i="1"/>
  <c r="T1680" i="1"/>
  <c r="U1680" i="1"/>
  <c r="V1680" i="1"/>
  <c r="W1680" i="1"/>
  <c r="X1680" i="1"/>
  <c r="Y1680" i="1"/>
  <c r="Z1680" i="1"/>
  <c r="AA1680" i="1"/>
  <c r="AB1680" i="1"/>
  <c r="AC1680" i="1"/>
  <c r="AD1680" i="1"/>
  <c r="AE1680" i="1"/>
  <c r="AF1680" i="1"/>
  <c r="AM1680" i="1"/>
  <c r="AN1680" i="1"/>
  <c r="AO1680" i="1"/>
  <c r="K1681" i="1"/>
  <c r="L1681" i="1"/>
  <c r="M1681" i="1"/>
  <c r="N1681" i="1"/>
  <c r="O1681" i="1"/>
  <c r="P1681" i="1"/>
  <c r="Q1681" i="1"/>
  <c r="R1681" i="1"/>
  <c r="S1681" i="1"/>
  <c r="T1681" i="1"/>
  <c r="U1681" i="1"/>
  <c r="V1681" i="1"/>
  <c r="W1681" i="1"/>
  <c r="X1681" i="1"/>
  <c r="Y1681" i="1"/>
  <c r="Z1681" i="1"/>
  <c r="AA1681" i="1"/>
  <c r="AB1681" i="1"/>
  <c r="AC1681" i="1"/>
  <c r="AD1681" i="1"/>
  <c r="AE1681" i="1"/>
  <c r="AF1681" i="1"/>
  <c r="AM1681" i="1"/>
  <c r="AN1681" i="1"/>
  <c r="AO1681" i="1"/>
  <c r="K1682" i="1"/>
  <c r="L1682" i="1"/>
  <c r="M1682" i="1"/>
  <c r="N1682" i="1"/>
  <c r="O1682" i="1"/>
  <c r="P1682" i="1"/>
  <c r="Q1682" i="1"/>
  <c r="R1682" i="1"/>
  <c r="S1682" i="1"/>
  <c r="T1682" i="1"/>
  <c r="U1682" i="1"/>
  <c r="V1682" i="1"/>
  <c r="W1682" i="1"/>
  <c r="X1682" i="1"/>
  <c r="Y1682" i="1"/>
  <c r="Z1682" i="1"/>
  <c r="AA1682" i="1"/>
  <c r="AB1682" i="1"/>
  <c r="AC1682" i="1"/>
  <c r="AD1682" i="1"/>
  <c r="AE1682" i="1"/>
  <c r="AF1682" i="1"/>
  <c r="AM1682" i="1"/>
  <c r="AN1682" i="1"/>
  <c r="AO1682" i="1"/>
  <c r="K1683" i="1"/>
  <c r="L1683" i="1"/>
  <c r="M1683" i="1"/>
  <c r="N1683" i="1"/>
  <c r="O1683" i="1"/>
  <c r="P1683" i="1"/>
  <c r="Q1683" i="1"/>
  <c r="R1683" i="1"/>
  <c r="S1683" i="1"/>
  <c r="T1683" i="1"/>
  <c r="U1683" i="1"/>
  <c r="V1683" i="1"/>
  <c r="W1683" i="1"/>
  <c r="X1683" i="1"/>
  <c r="Y1683" i="1"/>
  <c r="Z1683" i="1"/>
  <c r="AA1683" i="1"/>
  <c r="AB1683" i="1"/>
  <c r="AC1683" i="1"/>
  <c r="AD1683" i="1"/>
  <c r="AE1683" i="1"/>
  <c r="AF1683" i="1"/>
  <c r="AM1683" i="1"/>
  <c r="AN1683" i="1"/>
  <c r="AO1683" i="1"/>
  <c r="K1684" i="1"/>
  <c r="L1684" i="1"/>
  <c r="M1684" i="1"/>
  <c r="N1684" i="1"/>
  <c r="O1684" i="1"/>
  <c r="P1684" i="1"/>
  <c r="Q1684" i="1"/>
  <c r="R1684" i="1"/>
  <c r="S1684" i="1"/>
  <c r="T1684" i="1"/>
  <c r="U1684" i="1"/>
  <c r="V1684" i="1"/>
  <c r="W1684" i="1"/>
  <c r="X1684" i="1"/>
  <c r="Y1684" i="1"/>
  <c r="Z1684" i="1"/>
  <c r="AA1684" i="1"/>
  <c r="AB1684" i="1"/>
  <c r="AC1684" i="1"/>
  <c r="AD1684" i="1"/>
  <c r="AE1684" i="1"/>
  <c r="AF1684" i="1"/>
  <c r="AM1684" i="1"/>
  <c r="AN1684" i="1"/>
  <c r="AO1684" i="1"/>
  <c r="K1685" i="1"/>
  <c r="L1685" i="1"/>
  <c r="M1685" i="1"/>
  <c r="N1685" i="1"/>
  <c r="O1685" i="1"/>
  <c r="P1685" i="1"/>
  <c r="Q1685" i="1"/>
  <c r="R1685" i="1"/>
  <c r="S1685" i="1"/>
  <c r="T1685" i="1"/>
  <c r="U1685" i="1"/>
  <c r="V1685" i="1"/>
  <c r="W1685" i="1"/>
  <c r="X1685" i="1"/>
  <c r="Y1685" i="1"/>
  <c r="Z1685" i="1"/>
  <c r="AA1685" i="1"/>
  <c r="AB1685" i="1"/>
  <c r="AC1685" i="1"/>
  <c r="AD1685" i="1"/>
  <c r="AE1685" i="1"/>
  <c r="AF1685" i="1"/>
  <c r="AM1685" i="1"/>
  <c r="AN1685" i="1"/>
  <c r="AO1685" i="1"/>
  <c r="K1686" i="1"/>
  <c r="L1686" i="1"/>
  <c r="M1686" i="1"/>
  <c r="N1686" i="1"/>
  <c r="O1686" i="1"/>
  <c r="P1686" i="1"/>
  <c r="Q1686" i="1"/>
  <c r="R1686" i="1"/>
  <c r="S1686" i="1"/>
  <c r="T1686" i="1"/>
  <c r="U1686" i="1"/>
  <c r="V1686" i="1"/>
  <c r="W1686" i="1"/>
  <c r="X1686" i="1"/>
  <c r="Y1686" i="1"/>
  <c r="Z1686" i="1"/>
  <c r="AA1686" i="1"/>
  <c r="AB1686" i="1"/>
  <c r="AC1686" i="1"/>
  <c r="AD1686" i="1"/>
  <c r="AE1686" i="1"/>
  <c r="AF1686" i="1"/>
  <c r="AM1686" i="1"/>
  <c r="AN1686" i="1"/>
  <c r="AO1686" i="1"/>
  <c r="K1687" i="1"/>
  <c r="L1687" i="1"/>
  <c r="M1687" i="1"/>
  <c r="N1687" i="1"/>
  <c r="O1687" i="1"/>
  <c r="P1687" i="1"/>
  <c r="Q1687" i="1"/>
  <c r="R1687" i="1"/>
  <c r="S1687" i="1"/>
  <c r="T1687" i="1"/>
  <c r="U1687" i="1"/>
  <c r="V1687" i="1"/>
  <c r="W1687" i="1"/>
  <c r="X1687" i="1"/>
  <c r="Y1687" i="1"/>
  <c r="Z1687" i="1"/>
  <c r="AA1687" i="1"/>
  <c r="AB1687" i="1"/>
  <c r="AC1687" i="1"/>
  <c r="AD1687" i="1"/>
  <c r="AE1687" i="1"/>
  <c r="AF1687" i="1"/>
  <c r="AM1687" i="1"/>
  <c r="AN1687" i="1"/>
  <c r="AO1687" i="1"/>
  <c r="K1688" i="1"/>
  <c r="L1688" i="1"/>
  <c r="M1688" i="1"/>
  <c r="N1688" i="1"/>
  <c r="O1688" i="1"/>
  <c r="P1688" i="1"/>
  <c r="Q1688" i="1"/>
  <c r="R1688" i="1"/>
  <c r="S1688" i="1"/>
  <c r="T1688" i="1"/>
  <c r="U1688" i="1"/>
  <c r="V1688" i="1"/>
  <c r="W1688" i="1"/>
  <c r="X1688" i="1"/>
  <c r="Y1688" i="1"/>
  <c r="Z1688" i="1"/>
  <c r="AA1688" i="1"/>
  <c r="AB1688" i="1"/>
  <c r="AC1688" i="1"/>
  <c r="AD1688" i="1"/>
  <c r="AE1688" i="1"/>
  <c r="AF1688" i="1"/>
  <c r="AM1688" i="1"/>
  <c r="AN1688" i="1"/>
  <c r="AO1688" i="1"/>
  <c r="K1689" i="1"/>
  <c r="L1689" i="1"/>
  <c r="M1689" i="1"/>
  <c r="N1689" i="1"/>
  <c r="O1689" i="1"/>
  <c r="P1689" i="1"/>
  <c r="Q1689" i="1"/>
  <c r="R1689" i="1"/>
  <c r="S1689" i="1"/>
  <c r="T1689" i="1"/>
  <c r="U1689" i="1"/>
  <c r="V1689" i="1"/>
  <c r="W1689" i="1"/>
  <c r="X1689" i="1"/>
  <c r="Y1689" i="1"/>
  <c r="Z1689" i="1"/>
  <c r="AA1689" i="1"/>
  <c r="AB1689" i="1"/>
  <c r="AC1689" i="1"/>
  <c r="AD1689" i="1"/>
  <c r="AE1689" i="1"/>
  <c r="AF1689" i="1"/>
  <c r="AM1689" i="1"/>
  <c r="AN1689" i="1"/>
  <c r="AO1689" i="1"/>
  <c r="K1690" i="1"/>
  <c r="L1690" i="1"/>
  <c r="M1690" i="1"/>
  <c r="N1690" i="1"/>
  <c r="O1690" i="1"/>
  <c r="P1690" i="1"/>
  <c r="Q1690" i="1"/>
  <c r="R1690" i="1"/>
  <c r="S1690" i="1"/>
  <c r="T1690" i="1"/>
  <c r="U1690" i="1"/>
  <c r="V1690" i="1"/>
  <c r="W1690" i="1"/>
  <c r="X1690" i="1"/>
  <c r="Y1690" i="1"/>
  <c r="Z1690" i="1"/>
  <c r="AA1690" i="1"/>
  <c r="AB1690" i="1"/>
  <c r="AC1690" i="1"/>
  <c r="AD1690" i="1"/>
  <c r="AE1690" i="1"/>
  <c r="AF1690" i="1"/>
  <c r="AM1690" i="1"/>
  <c r="AN1690" i="1"/>
  <c r="AO1690" i="1"/>
  <c r="K1691" i="1"/>
  <c r="L1691" i="1"/>
  <c r="M1691" i="1"/>
  <c r="N1691" i="1"/>
  <c r="O1691" i="1"/>
  <c r="P1691" i="1"/>
  <c r="Q1691" i="1"/>
  <c r="R1691" i="1"/>
  <c r="S1691" i="1"/>
  <c r="T1691" i="1"/>
  <c r="U1691" i="1"/>
  <c r="V1691" i="1"/>
  <c r="W1691" i="1"/>
  <c r="X1691" i="1"/>
  <c r="Y1691" i="1"/>
  <c r="Z1691" i="1"/>
  <c r="AA1691" i="1"/>
  <c r="AB1691" i="1"/>
  <c r="AC1691" i="1"/>
  <c r="AD1691" i="1"/>
  <c r="AE1691" i="1"/>
  <c r="AF1691" i="1"/>
  <c r="AM1691" i="1"/>
  <c r="AN1691" i="1"/>
  <c r="AO1691" i="1"/>
  <c r="K1692" i="1"/>
  <c r="L1692" i="1"/>
  <c r="M1692" i="1"/>
  <c r="N1692" i="1"/>
  <c r="O1692" i="1"/>
  <c r="P1692" i="1"/>
  <c r="Q1692" i="1"/>
  <c r="R1692" i="1"/>
  <c r="S1692" i="1"/>
  <c r="T1692" i="1"/>
  <c r="U1692" i="1"/>
  <c r="V1692" i="1"/>
  <c r="W1692" i="1"/>
  <c r="X1692" i="1"/>
  <c r="Y1692" i="1"/>
  <c r="Z1692" i="1"/>
  <c r="AA1692" i="1"/>
  <c r="AB1692" i="1"/>
  <c r="AC1692" i="1"/>
  <c r="AD1692" i="1"/>
  <c r="AE1692" i="1"/>
  <c r="AF1692" i="1"/>
  <c r="AM1692" i="1"/>
  <c r="AN1692" i="1"/>
  <c r="AO1692" i="1"/>
  <c r="K1693" i="1"/>
  <c r="L1693" i="1"/>
  <c r="M1693" i="1"/>
  <c r="N1693" i="1"/>
  <c r="O1693" i="1"/>
  <c r="P1693" i="1"/>
  <c r="Q1693" i="1"/>
  <c r="R1693" i="1"/>
  <c r="S1693" i="1"/>
  <c r="T1693" i="1"/>
  <c r="U1693" i="1"/>
  <c r="V1693" i="1"/>
  <c r="W1693" i="1"/>
  <c r="X1693" i="1"/>
  <c r="Y1693" i="1"/>
  <c r="Z1693" i="1"/>
  <c r="AA1693" i="1"/>
  <c r="AB1693" i="1"/>
  <c r="AC1693" i="1"/>
  <c r="AD1693" i="1"/>
  <c r="AE1693" i="1"/>
  <c r="AF1693" i="1"/>
  <c r="AM1693" i="1"/>
  <c r="AN1693" i="1"/>
  <c r="AO1693" i="1"/>
  <c r="K1694" i="1"/>
  <c r="L1694" i="1"/>
  <c r="M1694" i="1"/>
  <c r="N1694" i="1"/>
  <c r="O1694" i="1"/>
  <c r="P1694" i="1"/>
  <c r="Q1694" i="1"/>
  <c r="R1694" i="1"/>
  <c r="S1694" i="1"/>
  <c r="T1694" i="1"/>
  <c r="X1694" i="1"/>
  <c r="Z1694" i="1"/>
  <c r="AA1694" i="1"/>
  <c r="AD1694" i="1"/>
  <c r="AE1694" i="1"/>
  <c r="AF1694" i="1"/>
  <c r="AM1694" i="1"/>
  <c r="AN1694" i="1"/>
  <c r="AO1694" i="1"/>
</calcChain>
</file>

<file path=xl/sharedStrings.xml><?xml version="1.0" encoding="utf-8"?>
<sst xmlns="http://schemas.openxmlformats.org/spreadsheetml/2006/main" count="2250" uniqueCount="193">
  <si>
    <t>1D Steady Open Channel Network Solver</t>
  </si>
  <si>
    <t>Two-pass steady 1D workbook: subcritical backwater, supercritical forewater, mixed-flow specific-force selection, and spill routing to drain.</t>
  </si>
  <si>
    <t>Parameter</t>
  </si>
  <si>
    <t>Unit</t>
  </si>
  <si>
    <t>Value</t>
  </si>
  <si>
    <t>Fundamental Inputs</t>
  </si>
  <si>
    <t>Boundary</t>
  </si>
  <si>
    <t>Segment</t>
  </si>
  <si>
    <t>End</t>
  </si>
  <si>
    <t>Type</t>
  </si>
  <si>
    <t>Resolved Stage</t>
  </si>
  <si>
    <t>Remarks</t>
  </si>
  <si>
    <t>Total inflow Q</t>
  </si>
  <si>
    <t>m3/s</t>
  </si>
  <si>
    <t>Acceleration g</t>
  </si>
  <si>
    <t>m/s2</t>
  </si>
  <si>
    <t>Inlet-UsProject</t>
  </si>
  <si>
    <t>UsProject</t>
  </si>
  <si>
    <t>start</t>
  </si>
  <si>
    <t>Known WSE</t>
  </si>
  <si>
    <t>Master inlet boundary</t>
  </si>
  <si>
    <t>Manning n</t>
  </si>
  <si>
    <t>-</t>
  </si>
  <si>
    <t>Density rho</t>
  </si>
  <si>
    <t>kg/m3</t>
  </si>
  <si>
    <t>Outlet-UsExit</t>
  </si>
  <si>
    <t>UsExit</t>
  </si>
  <si>
    <t>end</t>
  </si>
  <si>
    <t>None</t>
  </si>
  <si>
    <t>Master outlet boundary</t>
  </si>
  <si>
    <t>Default bank slope</t>
  </si>
  <si>
    <t>H:V</t>
  </si>
  <si>
    <t>Allowed BC types</t>
  </si>
  <si>
    <t>Known WSE / Known Depth / Normal Depth / Critical Depth / None / Spill End / Spill Zero</t>
  </si>
  <si>
    <t>Outlet-forebay</t>
  </si>
  <si>
    <t>forebay</t>
  </si>
  <si>
    <t>Expansion coeff Ke</t>
  </si>
  <si>
    <t>Outlet-sidechannel</t>
  </si>
  <si>
    <t>sidechannel</t>
  </si>
  <si>
    <t>Spill End</t>
  </si>
  <si>
    <t>Contraction coeff Kc</t>
  </si>
  <si>
    <t>Inlet-drain</t>
  </si>
  <si>
    <t>drain</t>
  </si>
  <si>
    <t>Spill Zero</t>
  </si>
  <si>
    <t>Bend coeff Kb</t>
  </si>
  <si>
    <t>Outlet-drain</t>
  </si>
  <si>
    <t>Junction coeff base</t>
  </si>
  <si>
    <t>Final alpha J1</t>
  </si>
  <si>
    <t>Spill coeff Cw</t>
  </si>
  <si>
    <t>Final alpha J2</t>
  </si>
  <si>
    <t>Stage relaxation</t>
  </si>
  <si>
    <t>Final J1 WSE</t>
  </si>
  <si>
    <t>m</t>
  </si>
  <si>
    <t>Split relaxation</t>
  </si>
  <si>
    <t>Final J2 WSE</t>
  </si>
  <si>
    <t>Momentum weight</t>
  </si>
  <si>
    <t>Total spill to drain</t>
  </si>
  <si>
    <t>Minimum depth</t>
  </si>
  <si>
    <t>J1 mixed residual</t>
  </si>
  <si>
    <t>Boundary slope</t>
  </si>
  <si>
    <t>J2 mixed residual</t>
  </si>
  <si>
    <t>Profile relaxation</t>
  </si>
  <si>
    <t>Profile tolerance</t>
  </si>
  <si>
    <t>Reset (0: Hold, 1: Eval)</t>
  </si>
  <si>
    <t>J1 initial WSE</t>
  </si>
  <si>
    <t>J2 initial WSE</t>
  </si>
  <si>
    <t>alpha J1 initial</t>
  </si>
  <si>
    <t>alpha J2 initial</t>
  </si>
  <si>
    <t>Junction Internal Boundary Conditions</t>
  </si>
  <si>
    <t>Junction solver follows mixed-flow split logic: subcritical branch backwater, supercritical upstream forewater, then specific-force control selection.</t>
  </si>
  <si>
    <t>From</t>
  </si>
  <si>
    <t>To</t>
  </si>
  <si>
    <t>Pts</t>
  </si>
  <si>
    <t>Length</t>
  </si>
  <si>
    <t>b_start</t>
  </si>
  <si>
    <t>b_end</t>
  </si>
  <si>
    <t>z_start</t>
  </si>
  <si>
    <t>z_end</t>
  </si>
  <si>
    <t>bed_start</t>
  </si>
  <si>
    <t>bed_end</t>
  </si>
  <si>
    <t>WS_start</t>
  </si>
  <si>
    <t>WS_end</t>
  </si>
  <si>
    <t>Q_in</t>
  </si>
  <si>
    <t>Q_spill</t>
  </si>
  <si>
    <t>Q_out</t>
  </si>
  <si>
    <t>y_avg</t>
  </si>
  <si>
    <t>Sf_avg</t>
  </si>
  <si>
    <t>hf</t>
  </si>
  <si>
    <t>h_junc</t>
  </si>
  <si>
    <t>h_total</t>
  </si>
  <si>
    <t>Profile</t>
  </si>
  <si>
    <t>Start ang</t>
  </si>
  <si>
    <t>End ang</t>
  </si>
  <si>
    <t>Inlet</t>
  </si>
  <si>
    <t>Junction1</t>
  </si>
  <si>
    <t>Mixed</t>
  </si>
  <si>
    <t>waterway</t>
  </si>
  <si>
    <t>Junction2</t>
  </si>
  <si>
    <t>Outlet</t>
  </si>
  <si>
    <t>0</t>
  </si>
  <si>
    <t>Iter</t>
  </si>
  <si>
    <t>alpha1</t>
  </si>
  <si>
    <t>alpha2</t>
  </si>
  <si>
    <t>J1_ws</t>
  </si>
  <si>
    <t>J2_ws</t>
  </si>
  <si>
    <t>Q_UsProject</t>
  </si>
  <si>
    <t>Q_waterway</t>
  </si>
  <si>
    <t>Q_UsExit</t>
  </si>
  <si>
    <t>Q_forebay</t>
  </si>
  <si>
    <t>Q_sidechannel</t>
  </si>
  <si>
    <t>WS_inlet</t>
  </si>
  <si>
    <t>WS_UsExit</t>
  </si>
  <si>
    <t>WS_forebay</t>
  </si>
  <si>
    <t>WS_sidechannel</t>
  </si>
  <si>
    <t>J1 from UsProject</t>
  </si>
  <si>
    <t>J1 from waterway</t>
  </si>
  <si>
    <t>J1 from UsExit</t>
  </si>
  <si>
    <t>J2 from waterway</t>
  </si>
  <si>
    <t>J2 from forebay</t>
  </si>
  <si>
    <t>J2 from sidechannel</t>
  </si>
  <si>
    <t>Mom J1</t>
  </si>
  <si>
    <t>Mom J2</t>
  </si>
  <si>
    <t>Err J1</t>
  </si>
  <si>
    <t>Err J2</t>
  </si>
  <si>
    <t>alpha1 next</t>
  </si>
  <si>
    <t>alpha2 next</t>
  </si>
  <si>
    <t>J1 next sub</t>
  </si>
  <si>
    <t>J2 next sub</t>
  </si>
  <si>
    <t>J1 sub stage</t>
  </si>
  <si>
    <t>J2 sub stage</t>
  </si>
  <si>
    <t>J1 super stage</t>
  </si>
  <si>
    <t>J2 super stage</t>
  </si>
  <si>
    <t>SF J1 sub</t>
  </si>
  <si>
    <t>SF J1 super</t>
  </si>
  <si>
    <t>SF J2 sub</t>
  </si>
  <si>
    <t>SF J2 super</t>
  </si>
  <si>
    <t>J1 control</t>
  </si>
  <si>
    <t>J2 control</t>
  </si>
  <si>
    <t>J1 next mixed</t>
  </si>
  <si>
    <t>J2 next mixed</t>
  </si>
  <si>
    <t>Segment: UsProject</t>
  </si>
  <si>
    <t>m length</t>
  </si>
  <si>
    <t>profile</t>
  </si>
  <si>
    <t>SN</t>
  </si>
  <si>
    <t>Dist</t>
  </si>
  <si>
    <t>Easting</t>
  </si>
  <si>
    <t>Northing</t>
  </si>
  <si>
    <t>Bed Z</t>
  </si>
  <si>
    <t>Width</t>
  </si>
  <si>
    <t>Side z</t>
  </si>
  <si>
    <t>Def Ang</t>
  </si>
  <si>
    <t>dx</t>
  </si>
  <si>
    <t>Q_used</t>
  </si>
  <si>
    <t>y_super</t>
  </si>
  <si>
    <t>A_super</t>
  </si>
  <si>
    <t>R_super</t>
  </si>
  <si>
    <t>v_super</t>
  </si>
  <si>
    <t>WS_super</t>
  </si>
  <si>
    <t>EG_super</t>
  </si>
  <si>
    <t>Sf_super</t>
  </si>
  <si>
    <t>Err_super</t>
  </si>
  <si>
    <t>Done_super</t>
  </si>
  <si>
    <t>y_sub</t>
  </si>
  <si>
    <t>A_sub</t>
  </si>
  <si>
    <t>R_sub</t>
  </si>
  <si>
    <t>v_sub</t>
  </si>
  <si>
    <t>WS_sub</t>
  </si>
  <si>
    <t>EG_sub</t>
  </si>
  <si>
    <t>Sf_sub</t>
  </si>
  <si>
    <t>Err_sub</t>
  </si>
  <si>
    <t>Done_sub</t>
  </si>
  <si>
    <t>y_final</t>
  </si>
  <si>
    <t>WS_final</t>
  </si>
  <si>
    <t>EG_final</t>
  </si>
  <si>
    <t>Crest_L</t>
  </si>
  <si>
    <t>Crest_R</t>
  </si>
  <si>
    <t>Spill_L</t>
  </si>
  <si>
    <t>Spill_R</t>
  </si>
  <si>
    <t>Spill_Q</t>
  </si>
  <si>
    <t>Cum_spill</t>
  </si>
  <si>
    <t>Fr_final</t>
  </si>
  <si>
    <t>Regime</t>
  </si>
  <si>
    <t>Sf_final</t>
  </si>
  <si>
    <t>deg</t>
  </si>
  <si>
    <t>m2</t>
  </si>
  <si>
    <t>m/s</t>
  </si>
  <si>
    <t>Normal</t>
  </si>
  <si>
    <t>Junction</t>
  </si>
  <si>
    <t>Segment: waterway</t>
  </si>
  <si>
    <t>Segment: UsExit</t>
  </si>
  <si>
    <t>Segment: forebay</t>
  </si>
  <si>
    <t>Segment: sidechannel</t>
  </si>
  <si>
    <t>Segment: drain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</si>
</sst>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9E8F7"/>
      </patternFill>
    </fill>
    <fill>
      <patternFill patternType="solid">
        <fgColor rgb="FFF5F5F5"/>
      </patternFill>
    </fill>
    <fill>
      <patternFill patternType="solid">
        <fgColor rgb="FFF2FAEB"/>
      </patternFill>
    </fill>
    <fill>
      <patternFill patternType="solid">
        <fgColor rgb="FFF5F0E0"/>
      </patternFill>
    </fill>
    <fill>
      <patternFill patternType="solid">
        <fgColor rgb="FFED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0" fillId="3" borderId="0" xfId="0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694"/>
  <sheetViews>
    <sheetView tabSelected="1" topLeftCell="A21" workbookViewId="0">
      <selection activeCell="J43" sqref="J43"/>
    </sheetView>
  </sheetViews>
  <sheetFormatPr defaultRowHeight="14.5" x14ac:dyDescent="0.35"/>
  <cols>
    <col min="1" max="4" width="14" customWidth="1"/>
    <col min="5" max="10" width="12" customWidth="1"/>
    <col min="11" max="17" width="18" customWidth="1"/>
    <col min="18" max="45" width="13" customWidth="1"/>
  </cols>
  <sheetData>
    <row r="1" spans="1:17" ht="18.5" x14ac:dyDescent="0.45">
      <c r="A1" s="1" t="s">
        <v>0</v>
      </c>
      <c r="B1" s="1"/>
      <c r="C1" s="1"/>
      <c r="D1" s="1"/>
      <c r="E1" s="1"/>
      <c r="F1" s="1"/>
      <c r="G1" s="1"/>
      <c r="H1" s="1"/>
      <c r="I1" s="1"/>
    </row>
    <row r="3" spans="1:17" x14ac:dyDescent="0.35">
      <c r="A3" t="s">
        <v>1</v>
      </c>
    </row>
    <row r="4" spans="1:17" x14ac:dyDescent="0.35">
      <c r="B4" s="2" t="s">
        <v>2</v>
      </c>
      <c r="C4" s="2" t="s">
        <v>3</v>
      </c>
      <c r="D4" s="2" t="s">
        <v>4</v>
      </c>
      <c r="H4" t="s">
        <v>5</v>
      </c>
      <c r="K4" s="3" t="s">
        <v>6</v>
      </c>
      <c r="L4" s="3" t="s">
        <v>7</v>
      </c>
      <c r="M4" s="3" t="s">
        <v>8</v>
      </c>
      <c r="N4" s="3" t="s">
        <v>9</v>
      </c>
      <c r="O4" s="3" t="s">
        <v>4</v>
      </c>
      <c r="P4" s="3" t="s">
        <v>10</v>
      </c>
      <c r="Q4" s="3" t="s">
        <v>11</v>
      </c>
    </row>
    <row r="5" spans="1:17" x14ac:dyDescent="0.35">
      <c r="B5" s="2" t="s">
        <v>12</v>
      </c>
      <c r="C5" s="2" t="s">
        <v>13</v>
      </c>
      <c r="D5" s="2">
        <v>51</v>
      </c>
      <c r="G5" t="s">
        <v>14</v>
      </c>
      <c r="H5" t="s">
        <v>15</v>
      </c>
      <c r="I5">
        <v>9.81</v>
      </c>
      <c r="K5" s="3" t="s">
        <v>16</v>
      </c>
      <c r="L5" s="3" t="s">
        <v>17</v>
      </c>
      <c r="M5" s="3" t="s">
        <v>18</v>
      </c>
      <c r="N5" s="3" t="s">
        <v>19</v>
      </c>
      <c r="O5" s="3">
        <v>637</v>
      </c>
      <c r="P5" s="3">
        <f>IF(OR(N5="Known WSE",N5="Known WS"),O5,IF(N5="Known Depth",(J31)+(O5),IF(N5="Normal Depth",(J31)+(MAX($D$16,POWER((ABS(N31)*$D$6)/(MAX(F31,0.1)*SQRT(MAX(ABS((K31-J31)/MAX(E31,0.000001)),$D$17))),3/5))),IF(N5="Critical Depth",(J31)+(MAX($D$16,POWER((ABS(N31)^2)/($I$5*MAX(F31,0.1)^2),1/3))),IF(OR(N5="None",N5="Spill End",N5="Spill Zero"),(J31)+$D$16,(J31)+(MAX($D$16,POWER((ABS(N31)*$D$6)/(MAX(F31,0.1)*SQRT(MAX(ABS((K31-J31)/MAX(E31,0.000001)),$D$17))),3/5))))))))</f>
        <v>637</v>
      </c>
      <c r="Q5" s="3" t="s">
        <v>20</v>
      </c>
    </row>
    <row r="6" spans="1:17" x14ac:dyDescent="0.35">
      <c r="B6" s="2" t="s">
        <v>21</v>
      </c>
      <c r="C6" s="2" t="s">
        <v>22</v>
      </c>
      <c r="D6" s="2">
        <v>1.4999999999999999E-2</v>
      </c>
      <c r="G6" t="s">
        <v>23</v>
      </c>
      <c r="H6" t="s">
        <v>24</v>
      </c>
      <c r="I6">
        <v>998.2</v>
      </c>
      <c r="K6" s="3" t="s">
        <v>25</v>
      </c>
      <c r="L6" s="3" t="s">
        <v>26</v>
      </c>
      <c r="M6" s="3" t="s">
        <v>27</v>
      </c>
      <c r="N6" s="3" t="s">
        <v>28</v>
      </c>
      <c r="O6" s="3"/>
      <c r="P6" s="3">
        <f>IF(OR(N6="Known WSE",N6="Known WS"),O6,IF(N6="Known Depth",(K33)+(O6),IF(N6="Normal Depth",(K33)+(MAX($D$16,POWER((ABS(P33)*$D$6)/(MAX(G33,0.1)*SQRT(MAX(ABS((K33-J33)/MAX(E33,0.000001)),$D$17))),3/5))),IF(N6="Critical Depth",(K33)+(MAX($D$16,POWER((ABS(P33)^2)/($I$5*MAX(G33,0.1)^2),1/3))),IF(OR(N6="None",N6="Spill End",N6="Spill Zero"),(K33)+$D$16,(K33)+(MAX($D$16,POWER((ABS(P33)*$D$6)/(MAX(G33,0.1)*SQRT(MAX(ABS((K33-J33)/MAX(E33,0.000001)),$D$17))),3/5))))))))</f>
        <v>634.3119999999999</v>
      </c>
      <c r="Q6" s="3" t="s">
        <v>29</v>
      </c>
    </row>
    <row r="7" spans="1:17" x14ac:dyDescent="0.35">
      <c r="B7" s="2" t="s">
        <v>30</v>
      </c>
      <c r="C7" s="2" t="s">
        <v>31</v>
      </c>
      <c r="D7" s="2">
        <v>0</v>
      </c>
      <c r="G7" t="s">
        <v>32</v>
      </c>
      <c r="H7" t="s">
        <v>22</v>
      </c>
      <c r="I7" t="s">
        <v>33</v>
      </c>
      <c r="K7" s="3" t="s">
        <v>34</v>
      </c>
      <c r="L7" s="3" t="s">
        <v>35</v>
      </c>
      <c r="M7" s="3" t="s">
        <v>27</v>
      </c>
      <c r="N7" s="3" t="s">
        <v>19</v>
      </c>
      <c r="O7" s="3">
        <v>635.5</v>
      </c>
      <c r="P7" s="3">
        <f>IF(OR(N7="Known WSE",N7="Known WS"),O7,IF(N7="Known Depth",(K34)+(O7),IF(N7="Normal Depth",(K34)+(MAX($D$16,POWER((ABS(P34)*$D$6)/(MAX(G34,0.1)*SQRT(MAX(ABS((K34-J34)/MAX(E34,0.000001)),$D$17))),3/5))),IF(N7="Critical Depth",(K34)+(MAX($D$16,POWER((ABS(P34)^2)/($I$5*MAX(G34,0.1)^2),1/3))),IF(OR(N7="None",N7="Spill End",N7="Spill Zero"),(K34)+$D$16,(K34)+(MAX($D$16,POWER((ABS(P34)*$D$6)/(MAX(G34,0.1)*SQRT(MAX(ABS((K34-J34)/MAX(E34,0.000001)),$D$17))),3/5))))))))</f>
        <v>635.5</v>
      </c>
      <c r="Q7" s="3" t="s">
        <v>29</v>
      </c>
    </row>
    <row r="8" spans="1:17" x14ac:dyDescent="0.35">
      <c r="B8" s="2" t="s">
        <v>36</v>
      </c>
      <c r="C8" s="2" t="s">
        <v>22</v>
      </c>
      <c r="D8" s="2">
        <v>0.3</v>
      </c>
      <c r="K8" s="3" t="s">
        <v>37</v>
      </c>
      <c r="L8" s="3" t="s">
        <v>38</v>
      </c>
      <c r="M8" s="3" t="s">
        <v>27</v>
      </c>
      <c r="N8" s="3" t="s">
        <v>39</v>
      </c>
      <c r="O8" s="3"/>
      <c r="P8" s="3">
        <f>IF(OR(N8="Known WSE",N8="Known WS"),O8,IF(N8="Known Depth",(K35)+(O8),IF(N8="Normal Depth",(K35)+(MAX($D$16,POWER((ABS(P35)*$D$6)/(MAX(G35,0.1)*SQRT(MAX(ABS((K35-J35)/MAX(E35,0.000001)),$D$17))),3/5))),IF(N8="Critical Depth",(K35)+(MAX($D$16,POWER((ABS(P35)^2)/($I$5*MAX(G35,0.1)^2),1/3))),IF(OR(N8="None",N8="Spill End",N8="Spill Zero"),(K35)+$D$16,(K35)+(MAX($D$16,POWER((ABS(P35)*$D$6)/(MAX(G35,0.1)*SQRT(MAX(ABS((K35-J35)/MAX(E35,0.000001)),$D$17))),3/5))))))))</f>
        <v>631.54999999999995</v>
      </c>
      <c r="Q8" s="3" t="s">
        <v>29</v>
      </c>
    </row>
    <row r="9" spans="1:17" x14ac:dyDescent="0.35">
      <c r="B9" s="2" t="s">
        <v>40</v>
      </c>
      <c r="C9" s="2" t="s">
        <v>22</v>
      </c>
      <c r="D9" s="2">
        <v>0.1</v>
      </c>
      <c r="K9" s="3" t="s">
        <v>41</v>
      </c>
      <c r="L9" s="3" t="s">
        <v>42</v>
      </c>
      <c r="M9" s="3" t="s">
        <v>18</v>
      </c>
      <c r="N9" s="3" t="s">
        <v>43</v>
      </c>
      <c r="O9" s="3"/>
      <c r="P9" s="3">
        <f>IF(OR(N9="Known WSE",N9="Known WS"),O9,IF(N9="Known Depth",(J36)+(O9),IF(N9="Normal Depth",(J36)+(MAX($D$16,POWER((ABS(N36)*$D$6)/(MAX(F36,0.1)*SQRT(MAX(ABS((K36-J36)/MAX(E36,0.000001)),$D$17))),3/5))),IF(N9="Critical Depth",(J36)+(MAX($D$16,POWER((ABS(N36)^2)/($I$5*MAX(F36,0.1)^2),1/3))),IF(OR(N9="None",N9="Spill End",N9="Spill Zero"),(J36)+$D$16,(J36)+(MAX($D$16,POWER((ABS(N36)*$D$6)/(MAX(F36,0.1)*SQRT(MAX(ABS((K36-J36)/MAX(E36,0.000001)),$D$17))),3/5))))))))</f>
        <v>631.54999999999995</v>
      </c>
      <c r="Q9" s="3" t="s">
        <v>20</v>
      </c>
    </row>
    <row r="10" spans="1:17" x14ac:dyDescent="0.35">
      <c r="B10" s="2" t="s">
        <v>44</v>
      </c>
      <c r="C10" s="2" t="s">
        <v>22</v>
      </c>
      <c r="D10" s="2">
        <v>0.15</v>
      </c>
      <c r="K10" s="3" t="s">
        <v>45</v>
      </c>
      <c r="L10" s="3" t="s">
        <v>42</v>
      </c>
      <c r="M10" s="3" t="s">
        <v>27</v>
      </c>
      <c r="N10" s="3" t="s">
        <v>19</v>
      </c>
      <c r="O10" s="3">
        <v>625</v>
      </c>
      <c r="P10" s="3">
        <f>IF(OR(N10="Known WSE",N10="Known WS"),O10,IF(N10="Known Depth",(K36)+(O10),IF(N10="Normal Depth",(K36)+(MAX($D$16,POWER((ABS(P36)*$D$6)/(MAX(G36,0.1)*SQRT(MAX(ABS((K36-J36)/MAX(E36,0.000001)),$D$17))),3/5))),IF(N10="Critical Depth",(K36)+(MAX($D$16,POWER((ABS(P36)^2)/($I$5*MAX(G36,0.1)^2),1/3))),IF(OR(N10="None",N10="Spill End",N10="Spill Zero"),(K36)+$D$16,(K36)+(MAX($D$16,POWER((ABS(P36)*$D$6)/(MAX(G36,0.1)*SQRT(MAX(ABS((K36-J36)/MAX(E36,0.000001)),$D$17))),3/5))))))))</f>
        <v>625</v>
      </c>
      <c r="Q10" s="3" t="s">
        <v>29</v>
      </c>
    </row>
    <row r="11" spans="1:17" x14ac:dyDescent="0.35">
      <c r="B11" s="2" t="s">
        <v>46</v>
      </c>
      <c r="C11" s="2" t="s">
        <v>22</v>
      </c>
      <c r="D11" s="2">
        <v>0.75</v>
      </c>
      <c r="G11" t="s">
        <v>47</v>
      </c>
      <c r="H11" t="s">
        <v>22</v>
      </c>
      <c r="I11">
        <f>Y122</f>
        <v>0</v>
      </c>
      <c r="K11" s="3"/>
      <c r="L11" s="3"/>
      <c r="M11" s="3"/>
      <c r="N11" s="3"/>
      <c r="O11" s="3"/>
      <c r="P11" s="3"/>
      <c r="Q11" s="3"/>
    </row>
    <row r="12" spans="1:17" x14ac:dyDescent="0.35">
      <c r="B12" s="2" t="s">
        <v>48</v>
      </c>
      <c r="C12" s="2" t="s">
        <v>22</v>
      </c>
      <c r="D12" s="2">
        <v>1.7</v>
      </c>
      <c r="G12" t="s">
        <v>49</v>
      </c>
      <c r="H12" t="s">
        <v>22</v>
      </c>
      <c r="I12">
        <f>Z122</f>
        <v>0</v>
      </c>
      <c r="K12" s="3"/>
      <c r="L12" s="3"/>
      <c r="M12" s="3"/>
      <c r="N12" s="3"/>
      <c r="O12" s="3"/>
      <c r="P12" s="3"/>
      <c r="Q12" s="3"/>
    </row>
    <row r="13" spans="1:17" x14ac:dyDescent="0.35">
      <c r="B13" s="2" t="s">
        <v>50</v>
      </c>
      <c r="C13" s="2" t="s">
        <v>22</v>
      </c>
      <c r="D13" s="2">
        <v>0.35</v>
      </c>
      <c r="G13" t="s">
        <v>51</v>
      </c>
      <c r="H13" t="s">
        <v>52</v>
      </c>
      <c r="I13">
        <f>AM122</f>
        <v>52432.141837663621</v>
      </c>
      <c r="K13" s="3"/>
      <c r="L13" s="3"/>
      <c r="M13" s="3"/>
      <c r="N13" s="3"/>
      <c r="O13" s="3"/>
      <c r="P13" s="3"/>
      <c r="Q13" s="3"/>
    </row>
    <row r="14" spans="1:17" x14ac:dyDescent="0.35">
      <c r="B14" s="2" t="s">
        <v>53</v>
      </c>
      <c r="C14" s="2" t="s">
        <v>22</v>
      </c>
      <c r="D14" s="2">
        <v>0.08</v>
      </c>
      <c r="G14" t="s">
        <v>54</v>
      </c>
      <c r="H14" t="s">
        <v>52</v>
      </c>
      <c r="I14">
        <f>AN122</f>
        <v>52432.14183766341</v>
      </c>
      <c r="K14" s="3"/>
      <c r="L14" s="3"/>
      <c r="M14" s="3"/>
      <c r="N14" s="3"/>
      <c r="O14" s="3"/>
      <c r="P14" s="3"/>
      <c r="Q14" s="3"/>
    </row>
    <row r="15" spans="1:17" x14ac:dyDescent="0.35">
      <c r="B15" s="2" t="s">
        <v>55</v>
      </c>
      <c r="C15" s="2" t="s">
        <v>22</v>
      </c>
      <c r="D15" s="2">
        <v>0.05</v>
      </c>
      <c r="G15" t="s">
        <v>56</v>
      </c>
      <c r="H15" t="s">
        <v>13</v>
      </c>
      <c r="I15" t="e">
        <f ca="1">N36</f>
        <v>#VALUE!</v>
      </c>
      <c r="K15" s="3"/>
      <c r="L15" s="3"/>
      <c r="M15" s="3"/>
      <c r="N15" s="3"/>
      <c r="O15" s="3"/>
      <c r="P15" s="3"/>
      <c r="Q15" s="3"/>
    </row>
    <row r="16" spans="1:17" x14ac:dyDescent="0.35">
      <c r="B16" s="2" t="s">
        <v>57</v>
      </c>
      <c r="C16" s="2" t="s">
        <v>52</v>
      </c>
      <c r="D16" s="2">
        <v>0.05</v>
      </c>
      <c r="G16" t="s">
        <v>58</v>
      </c>
      <c r="H16" t="s">
        <v>52</v>
      </c>
      <c r="I16">
        <f>AO122</f>
        <v>3.4197000786662102E-10</v>
      </c>
      <c r="K16" s="3"/>
      <c r="L16" s="3"/>
      <c r="M16" s="3"/>
      <c r="N16" s="3"/>
      <c r="O16" s="3"/>
      <c r="P16" s="3"/>
      <c r="Q16" s="3"/>
    </row>
    <row r="17" spans="1:24" x14ac:dyDescent="0.35">
      <c r="B17" s="2" t="s">
        <v>59</v>
      </c>
      <c r="C17" s="2" t="s">
        <v>22</v>
      </c>
      <c r="D17" s="2">
        <v>1E-3</v>
      </c>
      <c r="G17" t="s">
        <v>60</v>
      </c>
      <c r="H17" t="s">
        <v>52</v>
      </c>
      <c r="I17">
        <f>AP122</f>
        <v>3.4197000786662102E-10</v>
      </c>
      <c r="K17" s="3"/>
      <c r="L17" s="3"/>
      <c r="M17" s="3"/>
      <c r="N17" s="3"/>
      <c r="O17" s="3"/>
      <c r="P17" s="3"/>
      <c r="Q17" s="3"/>
    </row>
    <row r="18" spans="1:24" x14ac:dyDescent="0.35">
      <c r="B18" s="2" t="s">
        <v>61</v>
      </c>
      <c r="C18" s="2" t="s">
        <v>22</v>
      </c>
      <c r="D18" s="2">
        <v>0.15</v>
      </c>
      <c r="K18" s="3"/>
      <c r="L18" s="3"/>
      <c r="M18" s="3"/>
      <c r="N18" s="3"/>
      <c r="O18" s="3"/>
      <c r="P18" s="3"/>
      <c r="Q18" s="3"/>
    </row>
    <row r="19" spans="1:24" x14ac:dyDescent="0.35">
      <c r="B19" s="2" t="s">
        <v>62</v>
      </c>
      <c r="C19" s="2" t="s">
        <v>52</v>
      </c>
      <c r="D19" s="2">
        <v>1E-3</v>
      </c>
      <c r="K19" s="3"/>
      <c r="L19" s="3"/>
      <c r="M19" s="3"/>
      <c r="N19" s="3"/>
      <c r="O19" s="3"/>
      <c r="P19" s="3"/>
      <c r="Q19" s="3"/>
    </row>
    <row r="20" spans="1:24" x14ac:dyDescent="0.35">
      <c r="B20" s="2" t="s">
        <v>63</v>
      </c>
      <c r="C20" s="2" t="s">
        <v>22</v>
      </c>
      <c r="D20" s="2">
        <v>1</v>
      </c>
      <c r="K20" s="3"/>
      <c r="L20" s="3"/>
      <c r="M20" s="3"/>
      <c r="N20" s="3"/>
      <c r="O20" s="3"/>
      <c r="P20" s="3"/>
      <c r="Q20" s="3"/>
    </row>
    <row r="21" spans="1:24" x14ac:dyDescent="0.35">
      <c r="B21" s="2" t="s">
        <v>64</v>
      </c>
      <c r="C21" s="2" t="s">
        <v>52</v>
      </c>
      <c r="D21" s="2">
        <v>634.29999999999995</v>
      </c>
    </row>
    <row r="22" spans="1:24" x14ac:dyDescent="0.35">
      <c r="B22" s="2" t="s">
        <v>65</v>
      </c>
      <c r="C22" s="2" t="s">
        <v>52</v>
      </c>
      <c r="D22" s="2">
        <v>631.9</v>
      </c>
    </row>
    <row r="23" spans="1:24" x14ac:dyDescent="0.35">
      <c r="B23" s="2" t="s">
        <v>66</v>
      </c>
      <c r="C23" s="2" t="s">
        <v>22</v>
      </c>
      <c r="D23" s="2">
        <v>0.65</v>
      </c>
    </row>
    <row r="24" spans="1:24" x14ac:dyDescent="0.35">
      <c r="B24" s="2" t="s">
        <v>67</v>
      </c>
      <c r="C24" s="2" t="s">
        <v>22</v>
      </c>
      <c r="D24" s="2">
        <v>0.65</v>
      </c>
    </row>
    <row r="26" spans="1:24" x14ac:dyDescent="0.35">
      <c r="A26" t="s">
        <v>68</v>
      </c>
    </row>
    <row r="27" spans="1:24" x14ac:dyDescent="0.35">
      <c r="A27" t="s">
        <v>69</v>
      </c>
    </row>
    <row r="30" spans="1:24" x14ac:dyDescent="0.35">
      <c r="A30" s="4" t="s">
        <v>7</v>
      </c>
      <c r="B30" s="4" t="s">
        <v>70</v>
      </c>
      <c r="C30" s="4" t="s">
        <v>71</v>
      </c>
      <c r="D30" s="4" t="s">
        <v>72</v>
      </c>
      <c r="E30" s="4" t="s">
        <v>73</v>
      </c>
      <c r="F30" s="4" t="s">
        <v>74</v>
      </c>
      <c r="G30" s="4" t="s">
        <v>75</v>
      </c>
      <c r="H30" s="4" t="s">
        <v>76</v>
      </c>
      <c r="I30" s="4" t="s">
        <v>77</v>
      </c>
      <c r="J30" s="4" t="s">
        <v>78</v>
      </c>
      <c r="K30" s="4" t="s">
        <v>79</v>
      </c>
      <c r="L30" s="4" t="s">
        <v>80</v>
      </c>
      <c r="M30" s="4" t="s">
        <v>81</v>
      </c>
      <c r="N30" s="4" t="s">
        <v>82</v>
      </c>
      <c r="O30" s="4" t="s">
        <v>83</v>
      </c>
      <c r="P30" s="4" t="s">
        <v>84</v>
      </c>
      <c r="Q30" s="4" t="s">
        <v>85</v>
      </c>
      <c r="R30" s="4" t="s">
        <v>86</v>
      </c>
      <c r="S30" s="4" t="s">
        <v>87</v>
      </c>
      <c r="T30" s="4" t="s">
        <v>88</v>
      </c>
      <c r="U30" s="4" t="s">
        <v>89</v>
      </c>
      <c r="V30" s="4" t="s">
        <v>90</v>
      </c>
      <c r="W30" s="4" t="s">
        <v>91</v>
      </c>
      <c r="X30" s="4" t="s">
        <v>92</v>
      </c>
    </row>
    <row r="31" spans="1:24" x14ac:dyDescent="0.35">
      <c r="A31" t="s">
        <v>17</v>
      </c>
      <c r="B31" t="s">
        <v>93</v>
      </c>
      <c r="C31" t="s">
        <v>94</v>
      </c>
      <c r="D31">
        <v>12</v>
      </c>
      <c r="E31">
        <v>10.742000000000001</v>
      </c>
      <c r="F31">
        <v>6.0030000000000001</v>
      </c>
      <c r="G31">
        <v>6.5579999999999998</v>
      </c>
      <c r="H31">
        <v>0</v>
      </c>
      <c r="I31">
        <v>0</v>
      </c>
      <c r="J31">
        <v>634.32000000000005</v>
      </c>
      <c r="K31">
        <v>634.298</v>
      </c>
      <c r="L31">
        <f ca="1">AE133</f>
        <v>52432.152490461107</v>
      </c>
      <c r="M31">
        <f ca="1">AE144</f>
        <v>52432.141837663621</v>
      </c>
      <c r="N31">
        <f>$D$5</f>
        <v>51</v>
      </c>
      <c r="O31">
        <f>SUM(AK133:AK144)</f>
        <v>0</v>
      </c>
      <c r="P31">
        <f>MAX(0,K144-AK144)</f>
        <v>51</v>
      </c>
      <c r="Q31">
        <f ca="1">AVERAGE(AD133:AD144)</f>
        <v>51797.838123576839</v>
      </c>
      <c r="R31">
        <f ca="1">AVERAGE(AO133:AO144)</f>
        <v>1.3437190896682184E-12</v>
      </c>
      <c r="S31">
        <f t="shared" ref="S31:S36" ca="1" si="0">E31*R31</f>
        <v>1.4434230461216003E-11</v>
      </c>
      <c r="T31">
        <v>0</v>
      </c>
      <c r="U31">
        <f t="shared" ref="U31:U36" ca="1" si="1">S31+T31</f>
        <v>1.4434230461216003E-11</v>
      </c>
      <c r="V31" t="s">
        <v>95</v>
      </c>
      <c r="W31">
        <v>-118.02500000000001</v>
      </c>
      <c r="X31">
        <v>-117.982</v>
      </c>
    </row>
    <row r="32" spans="1:24" x14ac:dyDescent="0.35">
      <c r="A32" t="s">
        <v>96</v>
      </c>
      <c r="B32" t="s">
        <v>94</v>
      </c>
      <c r="C32" t="s">
        <v>97</v>
      </c>
      <c r="D32">
        <v>1384</v>
      </c>
      <c r="E32">
        <v>1382.3979999999999</v>
      </c>
      <c r="F32">
        <v>6.5579999999999998</v>
      </c>
      <c r="G32">
        <v>10.206</v>
      </c>
      <c r="H32">
        <v>0</v>
      </c>
      <c r="I32">
        <v>0</v>
      </c>
      <c r="J32">
        <v>634.298</v>
      </c>
      <c r="K32">
        <v>631.875</v>
      </c>
      <c r="L32">
        <f ca="1">AE150</f>
        <v>52432.141837663621</v>
      </c>
      <c r="M32">
        <f ca="1">AE1533</f>
        <v>52432.14183766341</v>
      </c>
      <c r="N32">
        <f>IF(N6="None",$D$5,$D$5*$I$11)</f>
        <v>51</v>
      </c>
      <c r="O32">
        <f>SUM(AK150:AK1533)</f>
        <v>0</v>
      </c>
      <c r="P32">
        <f>MAX(0,K1533-AK1533)</f>
        <v>51</v>
      </c>
      <c r="Q32">
        <f ca="1">AVERAGE(AD150:AD1533)</f>
        <v>51575.619223921036</v>
      </c>
      <c r="R32">
        <f ca="1">AVERAGE(AO150:AO1533)</f>
        <v>1.5184133567475889E-5</v>
      </c>
      <c r="S32">
        <f t="shared" ca="1" si="0"/>
        <v>2.0990515875411533E-2</v>
      </c>
      <c r="T32">
        <f>($D$11*0.13607488*(ABS(N33)/MAX(ABS($D$5),0.000001))^2*MAX(((ABS(N32)/MAX(((F32)+(H32)*(MAX($D$16,($I$13)-(J32))))*(MAX($D$16,($I$13)-(J32))),0.000001))^2)/(2*$I$5),((ABS(N32)/MAX(((G32)+(I32)*(MAX($D$16,($I$14)-(K32))))*(MAX($D$16,($I$14)-(K32))),0.000001))^2)/(2*$I$5)))</f>
        <v>0</v>
      </c>
      <c r="U32">
        <f t="shared" ca="1" si="1"/>
        <v>2.0990515875411533E-2</v>
      </c>
      <c r="V32" t="s">
        <v>95</v>
      </c>
      <c r="W32">
        <v>-161.27500000000001</v>
      </c>
      <c r="X32">
        <v>-90</v>
      </c>
    </row>
    <row r="33" spans="1:42" x14ac:dyDescent="0.35">
      <c r="A33" t="s">
        <v>26</v>
      </c>
      <c r="B33" t="s">
        <v>94</v>
      </c>
      <c r="C33" t="s">
        <v>98</v>
      </c>
      <c r="D33">
        <v>19</v>
      </c>
      <c r="E33">
        <v>17.254999999999999</v>
      </c>
      <c r="F33">
        <v>6.5579999999999998</v>
      </c>
      <c r="G33">
        <v>5.9939999999999998</v>
      </c>
      <c r="H33">
        <v>0</v>
      </c>
      <c r="I33">
        <v>0</v>
      </c>
      <c r="J33">
        <v>634.298</v>
      </c>
      <c r="K33">
        <v>634.26199999999994</v>
      </c>
      <c r="L33">
        <f ca="1">AE1539</f>
        <v>52432.141837663621</v>
      </c>
      <c r="M33">
        <f ca="1">AE1557</f>
        <v>52432.124342699914</v>
      </c>
      <c r="N33">
        <f>IF(N6="None",0,$D$5-N32)</f>
        <v>0</v>
      </c>
      <c r="O33">
        <f>SUM(AK1539:AK1557)</f>
        <v>0</v>
      </c>
      <c r="P33">
        <v>0</v>
      </c>
      <c r="Q33">
        <f ca="1">AVERAGE(AD1539:AD1557)</f>
        <v>51797.853134021141</v>
      </c>
      <c r="R33">
        <f ca="1">AVERAGE(AO1539:AO1557)</f>
        <v>0</v>
      </c>
      <c r="S33">
        <f t="shared" ca="1" si="0"/>
        <v>0</v>
      </c>
      <c r="T33">
        <f>($D$11*0.00000015*(ABS(N32)/MAX(ABS($D$5),0.000001))^2*MAX(((ABS(N33)/MAX(((F33)+(H33)*(MAX($D$16,($I$13)-(J33))))*(MAX($D$16,($I$13)-(J33))),0.000001))^2)/(2*$I$5),((ABS(N33)/MAX(((G33)+(I33)*(MAX($D$16,(P6)-(K33))))*(MAX($D$16,(P6)-(K33))),0.000001))^2)/(2*$I$5)))</f>
        <v>0</v>
      </c>
      <c r="U33">
        <f t="shared" ca="1" si="1"/>
        <v>0</v>
      </c>
      <c r="V33" t="s">
        <v>95</v>
      </c>
      <c r="W33">
        <v>-118.02500000000001</v>
      </c>
      <c r="X33">
        <v>-117.874</v>
      </c>
    </row>
    <row r="34" spans="1:42" x14ac:dyDescent="0.35">
      <c r="A34" t="s">
        <v>35</v>
      </c>
      <c r="B34" t="s">
        <v>97</v>
      </c>
      <c r="C34" t="s">
        <v>98</v>
      </c>
      <c r="D34">
        <v>39</v>
      </c>
      <c r="E34">
        <v>38</v>
      </c>
      <c r="F34">
        <v>10.206</v>
      </c>
      <c r="G34">
        <v>5.0049999999999999</v>
      </c>
      <c r="H34">
        <v>0</v>
      </c>
      <c r="I34">
        <v>0</v>
      </c>
      <c r="J34">
        <v>631.875</v>
      </c>
      <c r="K34">
        <v>621.97799999999995</v>
      </c>
      <c r="L34" t="e">
        <f ca="1">AE1563</f>
        <v>#VALUE!</v>
      </c>
      <c r="M34" t="e">
        <f ca="1">AE1601</f>
        <v>#VALUE!</v>
      </c>
      <c r="N34">
        <f>IF(AND(N7="None",N8="None"),0,IF(N8="None",N32,IF(N7="None",0,N32*$I$12)))</f>
        <v>0</v>
      </c>
      <c r="O34" t="e">
        <f ca="1">SUM(AK1563:AK1601)</f>
        <v>#VALUE!</v>
      </c>
      <c r="P34" t="e">
        <f ca="1">MAX(0,K1601-AK1601)</f>
        <v>#VALUE!</v>
      </c>
      <c r="Q34" t="e">
        <f ca="1">AVERAGE(AD1563:AD1601)</f>
        <v>#VALUE!</v>
      </c>
      <c r="R34" t="e">
        <f ca="1">AVERAGE(AO1563:AO1601)</f>
        <v>#VALUE!</v>
      </c>
      <c r="S34" t="e">
        <f t="shared" ca="1" si="0"/>
        <v>#VALUE!</v>
      </c>
      <c r="T34">
        <f>0</f>
        <v>0</v>
      </c>
      <c r="U34" t="e">
        <f t="shared" ca="1" si="1"/>
        <v>#VALUE!</v>
      </c>
      <c r="V34" t="s">
        <v>95</v>
      </c>
      <c r="W34">
        <v>-90</v>
      </c>
      <c r="X34">
        <v>-90</v>
      </c>
    </row>
    <row r="35" spans="1:42" x14ac:dyDescent="0.35">
      <c r="A35" t="s">
        <v>38</v>
      </c>
      <c r="B35" t="s">
        <v>97</v>
      </c>
      <c r="C35" t="s">
        <v>98</v>
      </c>
      <c r="D35">
        <v>36</v>
      </c>
      <c r="E35">
        <v>34.930999999999997</v>
      </c>
      <c r="F35">
        <v>10.206</v>
      </c>
      <c r="G35">
        <v>3.82</v>
      </c>
      <c r="H35">
        <v>0</v>
      </c>
      <c r="I35">
        <v>0</v>
      </c>
      <c r="J35">
        <v>631.5</v>
      </c>
      <c r="K35">
        <v>631.5</v>
      </c>
      <c r="L35" t="e">
        <f ca="1">AE1607</f>
        <v>#VALUE!</v>
      </c>
      <c r="M35" t="e">
        <f ca="1">AE1642</f>
        <v>#VALUE!</v>
      </c>
      <c r="N35">
        <f>IF(AND(N7="None",N8="None"),0,IF(N8="None",0,IF(N7="None",N32,N32-N34)))</f>
        <v>51</v>
      </c>
      <c r="O35" t="e">
        <f ca="1">SUM(AK1607:AK1642)</f>
        <v>#VALUE!</v>
      </c>
      <c r="P35">
        <v>0</v>
      </c>
      <c r="Q35" t="e">
        <f ca="1">AVERAGE(AD1607:AD1642)</f>
        <v>#VALUE!</v>
      </c>
      <c r="R35" t="e">
        <f ca="1">AVERAGE(AO1607:AO1642)</f>
        <v>#VALUE!</v>
      </c>
      <c r="S35" t="e">
        <f t="shared" ca="1" si="0"/>
        <v>#VALUE!</v>
      </c>
      <c r="T35">
        <f>($D$11*0.34699541*(ABS(N34)/MAX(ABS(N32),0.000001))^2*MAX(((ABS(N35)/MAX(((F35)+(H35)*(MAX($D$16,($I$14)-(J35))))*(MAX($D$16,($I$14)-(J35))),0.000001))^2)/(2*$I$5),((ABS(N35)/MAX(((G35)+(I35)*(MAX($D$16,(P8)-(K35))))*(MAX($D$16,(P8)-(K35))),0.000001))^2)/(2*$I$5)))</f>
        <v>0</v>
      </c>
      <c r="U35" t="e">
        <f t="shared" ca="1" si="1"/>
        <v>#VALUE!</v>
      </c>
      <c r="V35" t="s">
        <v>95</v>
      </c>
      <c r="W35">
        <v>-17.818999999999999</v>
      </c>
      <c r="X35">
        <v>-85.754999999999995</v>
      </c>
    </row>
    <row r="36" spans="1:42" x14ac:dyDescent="0.35">
      <c r="A36" t="s">
        <v>42</v>
      </c>
      <c r="B36" t="s">
        <v>93</v>
      </c>
      <c r="C36" t="s">
        <v>98</v>
      </c>
      <c r="D36">
        <v>47</v>
      </c>
      <c r="E36">
        <v>45.363</v>
      </c>
      <c r="F36">
        <v>2.0499999999999998</v>
      </c>
      <c r="G36">
        <v>3.2</v>
      </c>
      <c r="H36">
        <v>0</v>
      </c>
      <c r="I36">
        <v>0</v>
      </c>
      <c r="J36">
        <v>631.5</v>
      </c>
      <c r="K36">
        <v>622</v>
      </c>
      <c r="L36" t="e">
        <f ca="1">AE1648</f>
        <v>#VALUE!</v>
      </c>
      <c r="M36" t="e">
        <f ca="1">AE1694</f>
        <v>#VALUE!</v>
      </c>
      <c r="N36" t="e">
        <f ca="1">O34+O35</f>
        <v>#VALUE!</v>
      </c>
      <c r="O36" t="s">
        <v>99</v>
      </c>
      <c r="P36" t="e">
        <f ca="1">MAX(0,K1694-AK1694)</f>
        <v>#VALUE!</v>
      </c>
      <c r="Q36" t="e">
        <f ca="1">AVERAGE(AD1648:AD1694)</f>
        <v>#VALUE!</v>
      </c>
      <c r="R36" t="e">
        <f ca="1">AVERAGE(AO1648:AO1694)</f>
        <v>#VALUE!</v>
      </c>
      <c r="S36" t="e">
        <f t="shared" ca="1" si="0"/>
        <v>#VALUE!</v>
      </c>
      <c r="T36">
        <v>0</v>
      </c>
      <c r="U36" t="e">
        <f t="shared" ca="1" si="1"/>
        <v>#VALUE!</v>
      </c>
      <c r="V36" t="s">
        <v>95</v>
      </c>
      <c r="W36">
        <v>-65.100999999999999</v>
      </c>
      <c r="X36">
        <v>-90.405000000000001</v>
      </c>
    </row>
    <row r="42" spans="1:42" x14ac:dyDescent="0.35">
      <c r="A42" s="5" t="s">
        <v>100</v>
      </c>
      <c r="B42" s="5" t="s">
        <v>101</v>
      </c>
      <c r="C42" s="5" t="s">
        <v>102</v>
      </c>
      <c r="D42" s="5" t="s">
        <v>103</v>
      </c>
      <c r="E42" s="5" t="s">
        <v>104</v>
      </c>
      <c r="F42" s="5" t="s">
        <v>105</v>
      </c>
      <c r="G42" s="5" t="s">
        <v>106</v>
      </c>
      <c r="H42" s="5" t="s">
        <v>107</v>
      </c>
      <c r="I42" s="5" t="s">
        <v>108</v>
      </c>
      <c r="J42" s="5" t="s">
        <v>109</v>
      </c>
      <c r="K42" s="5" t="s">
        <v>110</v>
      </c>
      <c r="L42" s="5" t="s">
        <v>111</v>
      </c>
      <c r="M42" s="5" t="s">
        <v>112</v>
      </c>
      <c r="N42" s="5" t="s">
        <v>113</v>
      </c>
      <c r="O42" s="5" t="s">
        <v>114</v>
      </c>
      <c r="P42" s="5" t="s">
        <v>115</v>
      </c>
      <c r="Q42" s="5" t="s">
        <v>116</v>
      </c>
      <c r="R42" s="5" t="s">
        <v>117</v>
      </c>
      <c r="S42" s="5" t="s">
        <v>118</v>
      </c>
      <c r="T42" s="5" t="s">
        <v>119</v>
      </c>
      <c r="U42" s="5" t="s">
        <v>120</v>
      </c>
      <c r="V42" s="5" t="s">
        <v>121</v>
      </c>
      <c r="W42" s="5" t="s">
        <v>122</v>
      </c>
      <c r="X42" s="5" t="s">
        <v>123</v>
      </c>
      <c r="Y42" s="5" t="s">
        <v>124</v>
      </c>
      <c r="Z42" s="5" t="s">
        <v>125</v>
      </c>
      <c r="AA42" s="5" t="s">
        <v>126</v>
      </c>
      <c r="AB42" s="5" t="s">
        <v>127</v>
      </c>
      <c r="AC42" s="5" t="s">
        <v>128</v>
      </c>
      <c r="AD42" s="5" t="s">
        <v>129</v>
      </c>
      <c r="AE42" s="5" t="s">
        <v>130</v>
      </c>
      <c r="AF42" s="5" t="s">
        <v>131</v>
      </c>
      <c r="AG42" s="5" t="s">
        <v>132</v>
      </c>
      <c r="AH42" s="5" t="s">
        <v>133</v>
      </c>
      <c r="AI42" s="5" t="s">
        <v>134</v>
      </c>
      <c r="AJ42" s="5" t="s">
        <v>135</v>
      </c>
      <c r="AK42" s="5" t="s">
        <v>136</v>
      </c>
      <c r="AL42" s="5" t="s">
        <v>137</v>
      </c>
      <c r="AM42" s="5" t="s">
        <v>138</v>
      </c>
      <c r="AN42" s="5" t="s">
        <v>139</v>
      </c>
      <c r="AO42" s="5" t="s">
        <v>58</v>
      </c>
      <c r="AP42" s="5" t="s">
        <v>60</v>
      </c>
    </row>
    <row r="43" spans="1:42" x14ac:dyDescent="0.35">
      <c r="A43">
        <v>0</v>
      </c>
      <c r="B43">
        <f>$D$23</f>
        <v>0.65</v>
      </c>
      <c r="C43">
        <f>$D$24</f>
        <v>0.65</v>
      </c>
      <c r="D43">
        <f>$D$21</f>
        <v>634.29999999999995</v>
      </c>
      <c r="E43">
        <f>$D$22</f>
        <v>631.9</v>
      </c>
      <c r="F43">
        <f t="shared" ref="F43:F74" si="2">$D$5</f>
        <v>51</v>
      </c>
      <c r="G43">
        <f>IF(N6="None",F43,MAX(0,F43*B43))</f>
        <v>51</v>
      </c>
      <c r="H43">
        <f>IF(N6="None",0,MAX(0,F43-G43))</f>
        <v>0</v>
      </c>
      <c r="I43">
        <f>IF(AND(N7="None",N8="None"),0,IF(N8="None",G43,IF(N7="None",0,MAX(0,G43*C43))))</f>
        <v>33.15</v>
      </c>
      <c r="J43">
        <f>IF(AND(N7="None",N8="None"),0,IF(N8="None",0,IF(N7="None",G43,MAX(0,G43-I43))))</f>
        <v>17.850000000000001</v>
      </c>
      <c r="K43">
        <f>P5</f>
        <v>637</v>
      </c>
      <c r="L43">
        <f>P6</f>
        <v>634.3119999999999</v>
      </c>
      <c r="M43">
        <f>P7</f>
        <v>635.5</v>
      </c>
      <c r="N43">
        <f>P8</f>
        <v>631.54999999999995</v>
      </c>
      <c r="O43">
        <f>K43+((ABS(F43)/MAX(((F31)+(H31)*(MAX($D$16,(K43)-(J31))))*(MAX($D$16,(K43)-(J31))),0.000001))^2)/(2*$I$5)-((E31)*((((ABS(F43)*$D$6)/(MAX(((F31)+(H31)*(MAX($D$16,(K43)-(J31))))*(MAX($D$16,(K43)-(J31))),0.000001)*MAX(((((F31)+(H31)*(MAX($D$16,(K43)-(J31))))*(MAX($D$16,(K43)-(J31))))/MAX((F31)+2*(MAX($D$16,(K43)-(J31)))*SQRT(1+(H31)^2),0.000001))^(2/3),0.000001)))^2)+(((ABS(F43)*$D$6)/(MAX(((G31)+(I31)*(MAX($D$16,(D43)-(K31))))*(MAX($D$16,(D43)-(K31))),0.000001)*MAX(((((G31)+(I31)*(MAX($D$16,(D43)-(K31))))*(MAX($D$16,(D43)-(K31))))/MAX((G31)+2*(MAX($D$16,(D43)-(K31)))*SQRT(1+(I31)^2),0.000001))^(2/3),0.000001)))^2))/2)+(IF((ABS(F43)/MAX(((G31)+(I31)*(MAX($D$16,(D43)-(K31))))*(MAX($D$16,(D43)-(K31))),0.000001))&gt;(ABS(F43)/MAX(((F31)+(H31)*(MAX($D$16,(K43)-(J31))))*(MAX($D$16,(K43)-(J31))),0.000001)),$D$9*((((ABS(F43)/MAX(((G31)+(I31)*(MAX($D$16,(D43)-(K31))))*(MAX($D$16,(D43)-(K31))),0.000001))^2)/(2*$I$5))-(((ABS(F43)/MAX(((F31)+(H31)*(MAX($D$16,(K43)-(J31))))*(MAX($D$16,(K43)-(J31))),0.000001))^2)/(2*$I$5))),$D$8*((((ABS(F43)/MAX(((F31)+(H31)*(MAX($D$16,(K43)-(J31))))*(MAX($D$16,(K43)-(J31))),0.000001))^2)/(2*$I$5))-(((ABS(F43)/MAX(((G31)+(I31)*(MAX($D$16,(D43)-(K31))))*(MAX($D$16,(D43)-(K31))),0.000001))^2)/(2*$I$5)))))+($D$10*(ABS((X31)-(W31))/90)*MAX(((ABS(F43)/MAX(((F31)+(H31)*(MAX($D$16,(K43)-(J31))))*(MAX($D$16,(K43)-(J31))),0.000001))^2)/(2*$I$5),((ABS(F43)/MAX(((G31)+(I31)*(MAX($D$16,(D43)-(K31))))*(MAX($D$16,(D43)-(K31))),0.000001))^2)/(2*$I$5)))+(0)-((ABS(F43)/MAX(((G31)+(I31)*(MAX($D$16,(D43)-(K31))))*(MAX($D$16,(D43)-(K31))),0.000001))^2)/(2*$I$5)</f>
        <v>-2091.5872404992097</v>
      </c>
      <c r="P43">
        <f>E43+((ABS(G43)/MAX(((G32)+(I32)*(MAX($D$16,(E43)-(K32))))*(MAX($D$16,(E43)-(K32))),0.000001))^2)/(2*$I$5)+((E32)*((((ABS(G43)*$D$6)/(MAX(((F32)+(H32)*(MAX($D$16,(D43)-(J32))))*(MAX($D$16,(D43)-(J32))),0.000001)*MAX(((((F32)+(H32)*(MAX($D$16,(D43)-(J32))))*(MAX($D$16,(D43)-(J32))))/MAX((F32)+2*(MAX($D$16,(D43)-(J32)))*SQRT(1+(H32)^2),0.000001))^(2/3),0.000001)))^2)+(((ABS(G43)*$D$6)/(MAX(((G32)+(I32)*(MAX($D$16,(E43)-(K32))))*(MAX($D$16,(E43)-(K32))),0.000001)*MAX(((((G32)+(I32)*(MAX($D$16,(E43)-(K32))))*(MAX($D$16,(E43)-(K32))))/MAX((G32)+2*(MAX($D$16,(E43)-(K32)))*SQRT(1+(I32)^2),0.000001))^(2/3),0.000001)))^2))/2)+(IF((ABS(G43)/MAX(((G32)+(I32)*(MAX($D$16,(E43)-(K32))))*(MAX($D$16,(E43)-(K32))),0.000001))&gt;(ABS(G43)/MAX(((F32)+(H32)*(MAX($D$16,(D43)-(J32))))*(MAX($D$16,(D43)-(J32))),0.000001)),$D$9*((((ABS(G43)/MAX(((G32)+(I32)*(MAX($D$16,(E43)-(K32))))*(MAX($D$16,(E43)-(K32))),0.000001))^2)/(2*$I$5))-(((ABS(G43)/MAX(((F32)+(H32)*(MAX($D$16,(D43)-(J32))))*(MAX($D$16,(D43)-(J32))),0.000001))^2)/(2*$I$5))),$D$8*((((ABS(G43)/MAX(((F32)+(H32)*(MAX($D$16,(D43)-(J32))))*(MAX($D$16,(D43)-(J32))),0.000001))^2)/(2*$I$5))-(((ABS(G43)/MAX(((G32)+(I32)*(MAX($D$16,(E43)-(K32))))*(MAX($D$16,(E43)-(K32))),0.000001))^2)/(2*$I$5)))))+($D$10*(ABS((X32)-(W32))/90)*MAX(((ABS(G43)/MAX(((F32)+(H32)*(MAX($D$16,(D43)-(J32))))*(MAX($D$16,(D43)-(J32))),0.000001))^2)/(2*$I$5),((ABS(G43)/MAX(((G32)+(I32)*(MAX($D$16,(E43)-(K32))))*(MAX($D$16,(E43)-(K32))),0.000001))^2)/(2*$I$5)))+(($D$11*0.13607488*(ABS(H43)/MAX(ABS(F43),0.000001))^2*MAX(((ABS(G43)/MAX(((F32)+(H32)*(MAX($D$16,(D43)-(J32))))*(MAX($D$16,(D43)-(J32))),0.000001))^2)/(2*$I$5),((ABS(G43)/MAX(((G32)+(I32)*(MAX($D$16,(E43)-(K32))))*(MAX($D$16,(E43)-(K32))),0.000001))^2)/(2*$I$5))))-((ABS(G43)/MAX(((F32)+(H32)*(MAX($D$16,(D43)-(J32))))*(MAX($D$16,(D43)-(J32))),0.000001))^2)/(2*$I$5)</f>
        <v>294112.33893061354</v>
      </c>
      <c r="Q43">
        <f>L43+((ABS(H43)/MAX(((G33)+(I33)*(MAX($D$16,(L43)-(K33))))*(MAX($D$16,(L43)-(K33))),0.000001))^2)/(2*$I$5)+((E33)*((((ABS(H43)*$D$6)/(MAX(((F33)+(H33)*(MAX($D$16,(D43)-(J33))))*(MAX($D$16,(D43)-(J33))),0.000001)*MAX(((((F33)+(H33)*(MAX($D$16,(D43)-(J33))))*(MAX($D$16,(D43)-(J33))))/MAX((F33)+2*(MAX($D$16,(D43)-(J33)))*SQRT(1+(H33)^2),0.000001))^(2/3),0.000001)))^2)+(((ABS(H43)*$D$6)/(MAX(((G33)+(I33)*(MAX($D$16,(L43)-(K33))))*(MAX($D$16,(L43)-(K33))),0.000001)*MAX(((((G33)+(I33)*(MAX($D$16,(L43)-(K33))))*(MAX($D$16,(L43)-(K33))))/MAX((G33)+2*(MAX($D$16,(L43)-(K33)))*SQRT(1+(I33)^2),0.000001))^(2/3),0.000001)))^2))/2)+(IF((ABS(H43)/MAX(((G33)+(I33)*(MAX($D$16,(L43)-(K33))))*(MAX($D$16,(L43)-(K33))),0.000001))&gt;(ABS(H43)/MAX(((F33)+(H33)*(MAX($D$16,(D43)-(J33))))*(MAX($D$16,(D43)-(J33))),0.000001)),$D$9*((((ABS(H43)/MAX(((G33)+(I33)*(MAX($D$16,(L43)-(K33))))*(MAX($D$16,(L43)-(K33))),0.000001))^2)/(2*$I$5))-(((ABS(H43)/MAX(((F33)+(H33)*(MAX($D$16,(D43)-(J33))))*(MAX($D$16,(D43)-(J33))),0.000001))^2)/(2*$I$5))),$D$8*((((ABS(H43)/MAX(((F33)+(H33)*(MAX($D$16,(D43)-(J33))))*(MAX($D$16,(D43)-(J33))),0.000001))^2)/(2*$I$5))-(((ABS(H43)/MAX(((G33)+(I33)*(MAX($D$16,(L43)-(K33))))*(MAX($D$16,(L43)-(K33))),0.000001))^2)/(2*$I$5)))))+($D$10*(ABS((X33)-(W33))/90)*MAX(((ABS(H43)/MAX(((F33)+(H33)*(MAX($D$16,(D43)-(J33))))*(MAX($D$16,(D43)-(J33))),0.000001))^2)/(2*$I$5),((ABS(H43)/MAX(((G33)+(I33)*(MAX($D$16,(L43)-(K33))))*(MAX($D$16,(L43)-(K33))),0.000001))^2)/(2*$I$5)))+(($D$11*0.00000015*(ABS(G43)/MAX(ABS(F43),0.000001))^2*MAX(((ABS(H43)/MAX(((F33)+(H33)*(MAX($D$16,(D43)-(J33))))*(MAX($D$16,(D43)-(J33))),0.000001))^2)/(2*$I$5),((ABS(H43)/MAX(((G33)+(I33)*(MAX($D$16,(L43)-(K33))))*(MAX($D$16,(L43)-(K33))),0.000001))^2)/(2*$I$5))))-((ABS(H43)/MAX(((F33)+(H33)*(MAX($D$16,(D43)-(J33))))*(MAX($D$16,(D43)-(J33))),0.000001))^2)/(2*$I$5)</f>
        <v>634.3119999999999</v>
      </c>
      <c r="R43">
        <f>D43+((ABS(G43)/MAX(((F32)+(H32)*(MAX($D$16,(D43)-(J32))))*(MAX($D$16,(D43)-(J32))),0.000001))^2)/(2*$I$5)-((E32)*((((ABS(G43)*$D$6)/(MAX(((F32)+(H32)*(MAX($D$16,(D43)-(J32))))*(MAX($D$16,(D43)-(J32))),0.000001)*MAX(((((F32)+(H32)*(MAX($D$16,(D43)-(J32))))*(MAX($D$16,(D43)-(J32))))/MAX((F32)+2*(MAX($D$16,(D43)-(J32)))*SQRT(1+(H32)^2),0.000001))^(2/3),0.000001)))^2)+(((ABS(G43)*$D$6)/(MAX(((G32)+(I32)*(MAX($D$16,(E43)-(K32))))*(MAX($D$16,(E43)-(K32))),0.000001)*MAX(((((G32)+(I32)*(MAX($D$16,(E43)-(K32))))*(MAX($D$16,(E43)-(K32))))/MAX((G32)+2*(MAX($D$16,(E43)-(K32)))*SQRT(1+(I32)^2),0.000001))^(2/3),0.000001)))^2))/2)+(IF((ABS(G43)/MAX(((G32)+(I32)*(MAX($D$16,(E43)-(K32))))*(MAX($D$16,(E43)-(K32))),0.000001))&gt;(ABS(G43)/MAX(((F32)+(H32)*(MAX($D$16,(D43)-(J32))))*(MAX($D$16,(D43)-(J32))),0.000001)),$D$9*((((ABS(G43)/MAX(((G32)+(I32)*(MAX($D$16,(E43)-(K32))))*(MAX($D$16,(E43)-(K32))),0.000001))^2)/(2*$I$5))-(((ABS(G43)/MAX(((F32)+(H32)*(MAX($D$16,(D43)-(J32))))*(MAX($D$16,(D43)-(J32))),0.000001))^2)/(2*$I$5))),$D$8*((((ABS(G43)/MAX(((F32)+(H32)*(MAX($D$16,(D43)-(J32))))*(MAX($D$16,(D43)-(J32))),0.000001))^2)/(2*$I$5))-(((ABS(G43)/MAX(((G32)+(I32)*(MAX($D$16,(E43)-(K32))))*(MAX($D$16,(E43)-(K32))),0.000001))^2)/(2*$I$5)))))+($D$10*(ABS((X32)-(W32))/90)*MAX(((ABS(G43)/MAX(((F32)+(H32)*(MAX($D$16,(D43)-(J32))))*(MAX($D$16,(D43)-(J32))),0.000001))^2)/(2*$I$5),((ABS(G43)/MAX(((G32)+(I32)*(MAX($D$16,(E43)-(K32))))*(MAX($D$16,(E43)-(K32))),0.000001))^2)/(2*$I$5)))+(($D$11*0.13607488*(ABS(H43)/MAX(ABS(F43),0.000001))^2*MAX(((ABS(G43)/MAX(((F32)+(H32)*(MAX($D$16,(D43)-(J32))))*(MAX($D$16,(D43)-(J32))),0.000001))^2)/(2*$I$5),((ABS(G43)/MAX(((G32)+(I32)*(MAX($D$16,(E43)-(K32))))*(MAX($D$16,(E43)-(K32))),0.000001))^2)/(2*$I$5))))-((ABS(G43)/MAX(((G32)+(I32)*(MAX($D$16,(E43)-(K32))))*(MAX($D$16,(E43)-(K32))),0.000001))^2)/(2*$I$5)</f>
        <v>-292118.86046378763</v>
      </c>
      <c r="S43">
        <f>M43+((ABS(I43)/MAX(((G34)+(I34)*(MAX($D$16,(M43)-(K34))))*(MAX($D$16,(M43)-(K34))),0.000001))^2)/(2*$I$5)+((E34)*((((ABS(I43)*$D$6)/(MAX(((F34)+(H34)*(MAX($D$16,(E43)-(J34))))*(MAX($D$16,(E43)-(J34))),0.000001)*MAX(((((F34)+(H34)*(MAX($D$16,(E43)-(J34))))*(MAX($D$16,(E43)-(J34))))/MAX((F34)+2*(MAX($D$16,(E43)-(J34)))*SQRT(1+(H34)^2),0.000001))^(2/3),0.000001)))^2)+(((ABS(I43)*$D$6)/(MAX(((G34)+(I34)*(MAX($D$16,(M43)-(K34))))*(MAX($D$16,(M43)-(K34))),0.000001)*MAX(((((G34)+(I34)*(MAX($D$16,(M43)-(K34))))*(MAX($D$16,(M43)-(K34))))/MAX((G34)+2*(MAX($D$16,(M43)-(K34)))*SQRT(1+(I34)^2),0.000001))^(2/3),0.000001)))^2))/2)+(IF((ABS(I43)/MAX(((G34)+(I34)*(MAX($D$16,(M43)-(K34))))*(MAX($D$16,(M43)-(K34))),0.000001))&gt;(ABS(I43)/MAX(((F34)+(H34)*(MAX($D$16,(E43)-(J34))))*(MAX($D$16,(E43)-(J34))),0.000001)),$D$9*((((ABS(I43)/MAX(((G34)+(I34)*(MAX($D$16,(M43)-(K34))))*(MAX($D$16,(M43)-(K34))),0.000001))^2)/(2*$I$5))-(((ABS(I43)/MAX(((F34)+(H34)*(MAX($D$16,(E43)-(J34))))*(MAX($D$16,(E43)-(J34))),0.000001))^2)/(2*$I$5))),$D$8*((((ABS(I43)/MAX(((F34)+(H34)*(MAX($D$16,(E43)-(J34))))*(MAX($D$16,(E43)-(J34))),0.000001))^2)/(2*$I$5))-(((ABS(I43)/MAX(((G34)+(I34)*(MAX($D$16,(M43)-(K34))))*(MAX($D$16,(M43)-(K34))),0.000001))^2)/(2*$I$5)))))+($D$10*(ABS((X34)-(W34))/90)*MAX(((ABS(I43)/MAX(((F34)+(H34)*(MAX($D$16,(E43)-(J34))))*(MAX($D$16,(E43)-(J34))),0.000001))^2)/(2*$I$5),((ABS(I43)/MAX(((G34)+(I34)*(MAX($D$16,(M43)-(K34))))*(MAX($D$16,(M43)-(K34))),0.000001))^2)/(2*$I$5)))+(0)-((ABS(I43)/MAX(((F34)+(H34)*(MAX($D$16,(E43)-(J34))))*(MAX($D$16,(E43)-(J34))),0.000001))^2)/(2*$I$5)</f>
        <v>1477.1598400346709</v>
      </c>
      <c r="T43">
        <f>N43+((ABS(J43)/MAX(((G35)+(I35)*(MAX($D$16,(N43)-(K35))))*(MAX($D$16,(N43)-(K35))),0.000001))^2)/(2*$I$5)+((E35)*((((ABS(J43)*$D$6)/(MAX(((F35)+(H35)*(MAX($D$16,(E43)-(J35))))*(MAX($D$16,(E43)-(J35))),0.000001)*MAX(((((F35)+(H35)*(MAX($D$16,(E43)-(J35))))*(MAX($D$16,(E43)-(J35))))/MAX((F35)+2*(MAX($D$16,(E43)-(J35)))*SQRT(1+(H35)^2),0.000001))^(2/3),0.000001)))^2)+(((ABS(J43)*$D$6)/(MAX(((G35)+(I35)*(MAX($D$16,(N43)-(K35))))*(MAX($D$16,(N43)-(K35))),0.000001)*MAX(((((G35)+(I35)*(MAX($D$16,(N43)-(K35))))*(MAX($D$16,(N43)-(K35))))/MAX((G35)+2*(MAX($D$16,(N43)-(K35)))*SQRT(1+(I35)^2),0.000001))^(2/3),0.000001)))^2))/2)+(IF((ABS(J43)/MAX(((G35)+(I35)*(MAX($D$16,(N43)-(K35))))*(MAX($D$16,(N43)-(K35))),0.000001))&gt;(ABS(J43)/MAX(((F35)+(H35)*(MAX($D$16,(E43)-(J35))))*(MAX($D$16,(E43)-(J35))),0.000001)),$D$9*((((ABS(J43)/MAX(((G35)+(I35)*(MAX($D$16,(N43)-(K35))))*(MAX($D$16,(N43)-(K35))),0.000001))^2)/(2*$I$5))-(((ABS(J43)/MAX(((F35)+(H35)*(MAX($D$16,(E43)-(J35))))*(MAX($D$16,(E43)-(J35))),0.000001))^2)/(2*$I$5))),$D$8*((((ABS(J43)/MAX(((F35)+(H35)*(MAX($D$16,(E43)-(J35))))*(MAX($D$16,(E43)-(J35))),0.000001))^2)/(2*$I$5))-(((ABS(J43)/MAX(((G35)+(I35)*(MAX($D$16,(N43)-(K35))))*(MAX($D$16,(N43)-(K35))),0.000001))^2)/(2*$I$5)))))+($D$10*(ABS((X35)-(W35))/90)*MAX(((ABS(J43)/MAX(((F35)+(H35)*(MAX($D$16,(E43)-(J35))))*(MAX($D$16,(E43)-(J35))),0.000001))^2)/(2*$I$5),((ABS(J43)/MAX(((G35)+(I35)*(MAX($D$16,(N43)-(K35))))*(MAX($D$16,(N43)-(K35))),0.000001))^2)/(2*$I$5)))+(($D$11*0.34699541*(ABS(I43)/MAX(ABS(G43),0.000001))^2*MAX(((ABS(J43)/MAX(((F35)+(H35)*(MAX($D$16,(E43)-(J35))))*(MAX($D$16,(E43)-(J35))),0.000001))^2)/(2*$I$5),((ABS(J43)/MAX(((G35)+(I35)*(MAX($D$16,(N43)-(K35))))*(MAX($D$16,(N43)-(K35))),0.000001))^2)/(2*$I$5))))-((ABS(J43)/MAX(((F35)+(H35)*(MAX($D$16,(E43)-(J35))))*(MAX($D$16,(E43)-(J35))),0.000001))^2)/(2*$I$5)</f>
        <v>3148.3858552655356</v>
      </c>
      <c r="U43">
        <f>(((((F32)*(MAX($D$16,(D43)-(J32)))^2)/2+(H32)*(MAX($D$16,(D43)-(J32)))^3/3+(ABS(G43)^2)/($I$5*MAX(((F32)+(H32)*(MAX($D$16,(D43)-(J32))))*(MAX($D$16,(D43)-(J32))),0.000001)))*0.72785025)-((((F33)*(MAX($D$16,(D43)-(J33)))^2)/2+(H33)*(MAX($D$16,(D43)-(J33)))^3/3+(ABS(H43)^2)/($I$5*MAX(((F33)+(H33)*(MAX($D$16,(D43)-(J33))))*(MAX($D$16,(D43)-(J33))),0.000001)))*0.99999971))/MAX(((G31)*(MAX($D$16,(D43)-(K31)))^2)/2+(I31)*(MAX($D$16,(D43)-(K31)))^3/3+(ABS(F43)^2)/($I$5*MAX(((G31)+(I31)*(MAX($D$16,(D43)-(K31))))*(MAX($D$16,(D43)-(K31))),0.000001)),0.000001)</f>
        <v>0.72784011212415178</v>
      </c>
      <c r="V43">
        <f>(((((F34)*(MAX($D$16,(E43)-(J34)))^2)/2+(H34)*(MAX($D$16,(E43)-(J34)))^3/3+(ABS(I43)^2)/($I$5*MAX(((F34)+(H34)*(MAX($D$16,(E43)-(J34))))*(MAX($D$16,(E43)-(J34))),0.000001)))*1)-((((F35)*(MAX($D$16,(E43)-(J35)))^2)/2+(H35)*(MAX($D$16,(E43)-(J35)))^3/3+(ABS(J43)^2)/($I$5*MAX(((F35)+(H35)*(MAX($D$16,(E43)-(J35))))*(MAX($D$16,(E43)-(J35))),0.000001)))*0.30600918))/MAX(((G32)*(MAX($D$16,(E43)-(K32)))^2)/2+(I32)*(MAX($D$16,(E43)-(K32)))^3/3+(ABS(G43)^2)/($I$5*MAX(((G32)+(I32)*(MAX($D$16,(E43)-(K32))))*(MAX($D$16,(E43)-(K32))),0.000001)),0.000001)</f>
        <v>0.41734766354790165</v>
      </c>
      <c r="W43">
        <f>IF(N6="None",ABS(P43-D43),MAX(ABS(P43-D43),ABS(Q43-D43)))</f>
        <v>293478.03893061355</v>
      </c>
      <c r="X43">
        <f>IF(AND(N7="None",N8="None"),0,IF(N8="None",ABS(S43-E43),IF(N7="None",ABS(T43-E43),MAX(ABS(S43-E43),ABS(T43-E43)))))</f>
        <v>2516.4858552655355</v>
      </c>
      <c r="AA43">
        <f t="shared" ref="AA43:AA74" si="3">D43+$D$13*(AC43-D43)</f>
        <v>103351.61362571474</v>
      </c>
      <c r="AB43">
        <f t="shared" ref="AB43:AB74" si="4">E43+$D$13*(AD43-E43)</f>
        <v>1512.6700493429373</v>
      </c>
      <c r="AC43">
        <f>IF(N6="None",P43,MAX(P43,Q43))</f>
        <v>294112.33893061354</v>
      </c>
      <c r="AD43">
        <f>IF(AND(N7="None",N8="None"),E43,IF(N8="None",S43,IF(N7="None",T43,MAX(S43,T43))))</f>
        <v>3148.3858552655356</v>
      </c>
      <c r="AE43">
        <f t="shared" ref="AE43:AE74" si="5">O43</f>
        <v>-2091.5872404992097</v>
      </c>
      <c r="AF43">
        <f t="shared" ref="AF43:AF74" si="6">R43</f>
        <v>-292118.86046378763</v>
      </c>
      <c r="AG43">
        <f>((G31)*(MAX($D$16,(AC43)-(K31)))^2)/2+(I31)*(MAX($D$16,(AC43)-(K31)))^3/3+(ABS(F43)^2)/($I$5*MAX(((G31)+(I31)*(MAX($D$16,(AC43)-(K31))))*(MAX($D$16,(AC43)-(K31))),0.000001))</f>
        <v>282418173107.27612</v>
      </c>
      <c r="AH43">
        <f>((G31)*(MAX($D$16,(AE43)-(K31)))^2)/2+(I31)*(MAX($D$16,(AE43)-(K31)))^3/3+(ABS(F43)^2)/($I$5*MAX(((G31)+(I31)*(MAX($D$16,(AE43)-(K31))))*(MAX($D$16,(AE43)-(K31))),0.000001))</f>
        <v>808.60110594434002</v>
      </c>
      <c r="AI43">
        <f>((G32)*(MAX($D$16,(AD43)-(K32)))^2)/2+(I32)*(MAX($D$16,(AD43)-(K32)))^3/3+(ABS(G43)^2)/($I$5*MAX(((G32)+(I32)*(MAX($D$16,(AD43)-(K32))))*(MAX($D$16,(AD43)-(K32))),0.000001))</f>
        <v>32316415.602790587</v>
      </c>
      <c r="AJ43">
        <f>((G32)*(MAX($D$16,(AF43)-(K32)))^2)/2+(I32)*(MAX($D$16,(AF43)-(K32)))^3/3+(ABS(G43)^2)/($I$5*MAX(((G32)+(I32)*(MAX($D$16,(AF43)-(K32))))*(MAX($D$16,(AF43)-(K32))),0.000001))</f>
        <v>519.58480272613974</v>
      </c>
      <c r="AK43" t="str">
        <f t="shared" ref="AK43:AK74" si="7">IF(AH43&gt;=AG43,"Supercritical","Subcritical")</f>
        <v>Subcritical</v>
      </c>
      <c r="AL43" t="str">
        <f t="shared" ref="AL43:AL74" si="8">IF(AJ43&gt;=AI43,"Supercritical","Subcritical")</f>
        <v>Subcritical</v>
      </c>
      <c r="AM43">
        <f t="shared" ref="AM43:AM74" si="9">D43+$D$13*(IF(AK43="Supercritical",AE43,AC43)-D43)</f>
        <v>103351.61362571474</v>
      </c>
      <c r="AN43">
        <f t="shared" ref="AN43:AN74" si="10">E43+$D$13*(IF(AL43="Supercritical",AF43,AD43)-E43)</f>
        <v>1512.6700493429373</v>
      </c>
      <c r="AO43">
        <f t="shared" ref="AO43:AO74" si="11">ABS(IF(AK43="Supercritical",AE43,AC43)-D43)</f>
        <v>293478.03893061355</v>
      </c>
      <c r="AP43">
        <f t="shared" ref="AP43:AP74" si="12">ABS(IF(AL43="Supercritical",AF43,AD43)-E43)</f>
        <v>2516.4858552655355</v>
      </c>
    </row>
    <row r="44" spans="1:42" x14ac:dyDescent="0.35">
      <c r="A44">
        <v>1</v>
      </c>
      <c r="B44">
        <f t="shared" ref="B44:B75" si="13">Y43</f>
        <v>0</v>
      </c>
      <c r="C44">
        <f t="shared" ref="C44:C75" si="14">Z43</f>
        <v>0</v>
      </c>
      <c r="D44">
        <f t="shared" ref="D44:D75" si="15">AM43</f>
        <v>103351.61362571474</v>
      </c>
      <c r="E44">
        <f t="shared" ref="E44:E75" si="16">AN43</f>
        <v>1512.6700493429373</v>
      </c>
      <c r="F44">
        <f t="shared" si="2"/>
        <v>51</v>
      </c>
      <c r="G44">
        <f>IF(N6="None",F44,MAX(0,F44*B44))</f>
        <v>51</v>
      </c>
      <c r="H44">
        <f>IF(N6="None",0,MAX(0,F44-G44))</f>
        <v>0</v>
      </c>
      <c r="I44">
        <f>IF(AND(N7="None",N8="None"),0,IF(N8="None",G44,IF(N7="None",0,MAX(0,G44*C44))))</f>
        <v>0</v>
      </c>
      <c r="J44">
        <f>IF(AND(N7="None",N8="None"),0,IF(N8="None",0,IF(N7="None",G44,MAX(0,G44-I44))))</f>
        <v>51</v>
      </c>
      <c r="K44">
        <f>P5</f>
        <v>637</v>
      </c>
      <c r="L44">
        <f>P6</f>
        <v>634.3119999999999</v>
      </c>
      <c r="M44">
        <f>P7</f>
        <v>635.5</v>
      </c>
      <c r="N44">
        <f>P8</f>
        <v>631.54999999999995</v>
      </c>
      <c r="O44">
        <f>K44+((ABS(F44)/MAX(((F31)+(H31)*(MAX($D$16,(K44)-(J31))))*(MAX($D$16,(K44)-(J31))),0.000001))^2)/(2*$I$5)-((E31)*((((ABS(F44)*$D$6)/(MAX(((F31)+(H31)*(MAX($D$16,(K44)-(J31))))*(MAX($D$16,(K44)-(J31))),0.000001)*MAX(((((F31)+(H31)*(MAX($D$16,(K44)-(J31))))*(MAX($D$16,(K44)-(J31))))/MAX((F31)+2*(MAX($D$16,(K44)-(J31)))*SQRT(1+(H31)^2),0.000001))^(2/3),0.000001)))^2)+(((ABS(F44)*$D$6)/(MAX(((G31)+(I31)*(MAX($D$16,(D44)-(K31))))*(MAX($D$16,(D44)-(K31))),0.000001)*MAX(((((G31)+(I31)*(MAX($D$16,(D44)-(K31))))*(MAX($D$16,(D44)-(K31))))/MAX((G31)+2*(MAX($D$16,(D44)-(K31)))*SQRT(1+(I31)^2),0.000001))^(2/3),0.000001)))^2))/2)+(IF((ABS(F44)/MAX(((G31)+(I31)*(MAX($D$16,(D44)-(K31))))*(MAX($D$16,(D44)-(K31))),0.000001))&gt;(ABS(F44)/MAX(((F31)+(H31)*(MAX($D$16,(K44)-(J31))))*(MAX($D$16,(K44)-(J31))),0.000001)),$D$9*((((ABS(F44)/MAX(((G31)+(I31)*(MAX($D$16,(D44)-(K31))))*(MAX($D$16,(D44)-(K31))),0.000001))^2)/(2*$I$5))-(((ABS(F44)/MAX(((F31)+(H31)*(MAX($D$16,(K44)-(J31))))*(MAX($D$16,(K44)-(J31))),0.000001))^2)/(2*$I$5))),$D$8*((((ABS(F44)/MAX(((F31)+(H31)*(MAX($D$16,(K44)-(J31))))*(MAX($D$16,(K44)-(J31))),0.000001))^2)/(2*$I$5))-(((ABS(F44)/MAX(((G31)+(I31)*(MAX($D$16,(D44)-(K31))))*(MAX($D$16,(D44)-(K31))),0.000001))^2)/(2*$I$5)))))+($D$10*(ABS((X31)-(W31))/90)*MAX(((ABS(F44)/MAX(((F31)+(H31)*(MAX($D$16,(K44)-(J31))))*(MAX($D$16,(K44)-(J31))),0.000001))^2)/(2*$I$5),((ABS(F44)/MAX(((G31)+(I31)*(MAX($D$16,(D44)-(K31))))*(MAX($D$16,(D44)-(K31))),0.000001))^2)/(2*$I$5)))+(0)-((ABS(F44)/MAX(((G31)+(I31)*(MAX($D$16,(D44)-(K31))))*(MAX($D$16,(D44)-(K31))),0.000001))^2)/(2*$I$5)</f>
        <v>637.65825101201608</v>
      </c>
      <c r="P44">
        <f>E44+((ABS(G44)/MAX(((G32)+(I32)*(MAX($D$16,(E44)-(K32))))*(MAX($D$16,(E44)-(K32))),0.000001))^2)/(2*$I$5)+((E32)*((((ABS(G44)*$D$6)/(MAX(((F32)+(H32)*(MAX($D$16,(D44)-(J32))))*(MAX($D$16,(D44)-(J32))),0.000001)*MAX(((((F32)+(H32)*(MAX($D$16,(D44)-(J32))))*(MAX($D$16,(D44)-(J32))))/MAX((F32)+2*(MAX($D$16,(D44)-(J32)))*SQRT(1+(H32)^2),0.000001))^(2/3),0.000001)))^2)+(((ABS(G44)*$D$6)/(MAX(((G32)+(I32)*(MAX($D$16,(E44)-(K32))))*(MAX($D$16,(E44)-(K32))),0.000001)*MAX(((((G32)+(I32)*(MAX($D$16,(E44)-(K32))))*(MAX($D$16,(E44)-(K32))))/MAX((G32)+2*(MAX($D$16,(E44)-(K32)))*SQRT(1+(I32)^2),0.000001))^(2/3),0.000001)))^2))/2)+(IF((ABS(G44)/MAX(((G32)+(I32)*(MAX($D$16,(E44)-(K32))))*(MAX($D$16,(E44)-(K32))),0.000001))&gt;(ABS(G44)/MAX(((F32)+(H32)*(MAX($D$16,(D44)-(J32))))*(MAX($D$16,(D44)-(J32))),0.000001)),$D$9*((((ABS(G44)/MAX(((G32)+(I32)*(MAX($D$16,(E44)-(K32))))*(MAX($D$16,(E44)-(K32))),0.000001))^2)/(2*$I$5))-(((ABS(G44)/MAX(((F32)+(H32)*(MAX($D$16,(D44)-(J32))))*(MAX($D$16,(D44)-(J32))),0.000001))^2)/(2*$I$5))),$D$8*((((ABS(G44)/MAX(((F32)+(H32)*(MAX($D$16,(D44)-(J32))))*(MAX($D$16,(D44)-(J32))),0.000001))^2)/(2*$I$5))-(((ABS(G44)/MAX(((G32)+(I32)*(MAX($D$16,(E44)-(K32))))*(MAX($D$16,(E44)-(K32))),0.000001))^2)/(2*$I$5)))))+($D$10*(ABS((X32)-(W32))/90)*MAX(((ABS(G44)/MAX(((F32)+(H32)*(MAX($D$16,(D44)-(J32))))*(MAX($D$16,(D44)-(J32))),0.000001))^2)/(2*$I$5),((ABS(G44)/MAX(((G32)+(I32)*(MAX($D$16,(E44)-(K32))))*(MAX($D$16,(E44)-(K32))),0.000001))^2)/(2*$I$5)))+(($D$11*0.13607488*(ABS(H44)/MAX(ABS(F44),0.000001))^2*MAX(((ABS(G44)/MAX(((F32)+(H32)*(MAX($D$16,(D44)-(J32))))*(MAX($D$16,(D44)-(J32))),0.000001))^2)/(2*$I$5),((ABS(G44)/MAX(((G32)+(I32)*(MAX($D$16,(E44)-(K32))))*(MAX($D$16,(E44)-(K32))),0.000001))^2)/(2*$I$5))))-((ABS(G44)/MAX(((F32)+(H32)*(MAX($D$16,(D44)-(J32))))*(MAX($D$16,(D44)-(J32))),0.000001))^2)/(2*$I$5)</f>
        <v>1512.6700519164194</v>
      </c>
      <c r="Q44">
        <f>L44+((ABS(H44)/MAX(((G33)+(I33)*(MAX($D$16,(L44)-(K33))))*(MAX($D$16,(L44)-(K33))),0.000001))^2)/(2*$I$5)+((E33)*((((ABS(H44)*$D$6)/(MAX(((F33)+(H33)*(MAX($D$16,(D44)-(J33))))*(MAX($D$16,(D44)-(J33))),0.000001)*MAX(((((F33)+(H33)*(MAX($D$16,(D44)-(J33))))*(MAX($D$16,(D44)-(J33))))/MAX((F33)+2*(MAX($D$16,(D44)-(J33)))*SQRT(1+(H33)^2),0.000001))^(2/3),0.000001)))^2)+(((ABS(H44)*$D$6)/(MAX(((G33)+(I33)*(MAX($D$16,(L44)-(K33))))*(MAX($D$16,(L44)-(K33))),0.000001)*MAX(((((G33)+(I33)*(MAX($D$16,(L44)-(K33))))*(MAX($D$16,(L44)-(K33))))/MAX((G33)+2*(MAX($D$16,(L44)-(K33)))*SQRT(1+(I33)^2),0.000001))^(2/3),0.000001)))^2))/2)+(IF((ABS(H44)/MAX(((G33)+(I33)*(MAX($D$16,(L44)-(K33))))*(MAX($D$16,(L44)-(K33))),0.000001))&gt;(ABS(H44)/MAX(((F33)+(H33)*(MAX($D$16,(D44)-(J33))))*(MAX($D$16,(D44)-(J33))),0.000001)),$D$9*((((ABS(H44)/MAX(((G33)+(I33)*(MAX($D$16,(L44)-(K33))))*(MAX($D$16,(L44)-(K33))),0.000001))^2)/(2*$I$5))-(((ABS(H44)/MAX(((F33)+(H33)*(MAX($D$16,(D44)-(J33))))*(MAX($D$16,(D44)-(J33))),0.000001))^2)/(2*$I$5))),$D$8*((((ABS(H44)/MAX(((F33)+(H33)*(MAX($D$16,(D44)-(J33))))*(MAX($D$16,(D44)-(J33))),0.000001))^2)/(2*$I$5))-(((ABS(H44)/MAX(((G33)+(I33)*(MAX($D$16,(L44)-(K33))))*(MAX($D$16,(L44)-(K33))),0.000001))^2)/(2*$I$5)))))+($D$10*(ABS((X33)-(W33))/90)*MAX(((ABS(H44)/MAX(((F33)+(H33)*(MAX($D$16,(D44)-(J33))))*(MAX($D$16,(D44)-(J33))),0.000001))^2)/(2*$I$5),((ABS(H44)/MAX(((G33)+(I33)*(MAX($D$16,(L44)-(K33))))*(MAX($D$16,(L44)-(K33))),0.000001))^2)/(2*$I$5)))+(($D$11*0.00000015*(ABS(G44)/MAX(ABS(F44),0.000001))^2*MAX(((ABS(H44)/MAX(((F33)+(H33)*(MAX($D$16,(D44)-(J33))))*(MAX($D$16,(D44)-(J33))),0.000001))^2)/(2*$I$5),((ABS(H44)/MAX(((G33)+(I33)*(MAX($D$16,(L44)-(K33))))*(MAX($D$16,(L44)-(K33))),0.000001))^2)/(2*$I$5))))-((ABS(H44)/MAX(((F33)+(H33)*(MAX($D$16,(D44)-(J33))))*(MAX($D$16,(D44)-(J33))),0.000001))^2)/(2*$I$5)</f>
        <v>634.3119999999999</v>
      </c>
      <c r="R44">
        <f>D44+((ABS(G44)/MAX(((F32)+(H32)*(MAX($D$16,(D44)-(J32))))*(MAX($D$16,(D44)-(J32))),0.000001))^2)/(2*$I$5)-((E32)*((((ABS(G44)*$D$6)/(MAX(((F32)+(H32)*(MAX($D$16,(D44)-(J32))))*(MAX($D$16,(D44)-(J32))),0.000001)*MAX(((((F32)+(H32)*(MAX($D$16,(D44)-(J32))))*(MAX($D$16,(D44)-(J32))))/MAX((F32)+2*(MAX($D$16,(D44)-(J32)))*SQRT(1+(H32)^2),0.000001))^(2/3),0.000001)))^2)+(((ABS(G44)*$D$6)/(MAX(((G32)+(I32)*(MAX($D$16,(E44)-(K32))))*(MAX($D$16,(E44)-(K32))),0.000001)*MAX(((((G32)+(I32)*(MAX($D$16,(E44)-(K32))))*(MAX($D$16,(E44)-(K32))))/MAX((G32)+2*(MAX($D$16,(E44)-(K32)))*SQRT(1+(I32)^2),0.000001))^(2/3),0.000001)))^2))/2)+(IF((ABS(G44)/MAX(((G32)+(I32)*(MAX($D$16,(E44)-(K32))))*(MAX($D$16,(E44)-(K32))),0.000001))&gt;(ABS(G44)/MAX(((F32)+(H32)*(MAX($D$16,(D44)-(J32))))*(MAX($D$16,(D44)-(J32))),0.000001)),$D$9*((((ABS(G44)/MAX(((G32)+(I32)*(MAX($D$16,(E44)-(K32))))*(MAX($D$16,(E44)-(K32))),0.000001))^2)/(2*$I$5))-(((ABS(G44)/MAX(((F32)+(H32)*(MAX($D$16,(D44)-(J32))))*(MAX($D$16,(D44)-(J32))),0.000001))^2)/(2*$I$5))),$D$8*((((ABS(G44)/MAX(((F32)+(H32)*(MAX($D$16,(D44)-(J32))))*(MAX($D$16,(D44)-(J32))),0.000001))^2)/(2*$I$5))-(((ABS(G44)/MAX(((G32)+(I32)*(MAX($D$16,(E44)-(K32))))*(MAX($D$16,(E44)-(K32))),0.000001))^2)/(2*$I$5)))))+($D$10*(ABS((X32)-(W32))/90)*MAX(((ABS(G44)/MAX(((F32)+(H32)*(MAX($D$16,(D44)-(J32))))*(MAX($D$16,(D44)-(J32))),0.000001))^2)/(2*$I$5),((ABS(G44)/MAX(((G32)+(I32)*(MAX($D$16,(E44)-(K32))))*(MAX($D$16,(E44)-(K32))),0.000001))^2)/(2*$I$5)))+(($D$11*0.13607488*(ABS(H44)/MAX(ABS(F44),0.000001))^2*MAX(((ABS(G44)/MAX(((F32)+(H32)*(MAX($D$16,(D44)-(J32))))*(MAX($D$16,(D44)-(J32))),0.000001))^2)/(2*$I$5),((ABS(G44)/MAX(((G32)+(I32)*(MAX($D$16,(E44)-(K32))))*(MAX($D$16,(E44)-(K32))),0.000001))^2)/(2*$I$5))))-((ABS(G44)/MAX(((G32)+(I32)*(MAX($D$16,(E44)-(K32))))*(MAX($D$16,(E44)-(K32))),0.000001))^2)/(2*$I$5)</f>
        <v>103351.61362385908</v>
      </c>
      <c r="S44">
        <f>M44+((ABS(I44)/MAX(((G34)+(I34)*(MAX($D$16,(M44)-(K34))))*(MAX($D$16,(M44)-(K34))),0.000001))^2)/(2*$I$5)+((E34)*((((ABS(I44)*$D$6)/(MAX(((F34)+(H34)*(MAX($D$16,(E44)-(J34))))*(MAX($D$16,(E44)-(J34))),0.000001)*MAX(((((F34)+(H34)*(MAX($D$16,(E44)-(J34))))*(MAX($D$16,(E44)-(J34))))/MAX((F34)+2*(MAX($D$16,(E44)-(J34)))*SQRT(1+(H34)^2),0.000001))^(2/3),0.000001)))^2)+(((ABS(I44)*$D$6)/(MAX(((G34)+(I34)*(MAX($D$16,(M44)-(K34))))*(MAX($D$16,(M44)-(K34))),0.000001)*MAX(((((G34)+(I34)*(MAX($D$16,(M44)-(K34))))*(MAX($D$16,(M44)-(K34))))/MAX((G34)+2*(MAX($D$16,(M44)-(K34)))*SQRT(1+(I34)^2),0.000001))^(2/3),0.000001)))^2))/2)+(IF((ABS(I44)/MAX(((G34)+(I34)*(MAX($D$16,(M44)-(K34))))*(MAX($D$16,(M44)-(K34))),0.000001))&gt;(ABS(I44)/MAX(((F34)+(H34)*(MAX($D$16,(E44)-(J34))))*(MAX($D$16,(E44)-(J34))),0.000001)),$D$9*((((ABS(I44)/MAX(((G34)+(I34)*(MAX($D$16,(M44)-(K34))))*(MAX($D$16,(M44)-(K34))),0.000001))^2)/(2*$I$5))-(((ABS(I44)/MAX(((F34)+(H34)*(MAX($D$16,(E44)-(J34))))*(MAX($D$16,(E44)-(J34))),0.000001))^2)/(2*$I$5))),$D$8*((((ABS(I44)/MAX(((F34)+(H34)*(MAX($D$16,(E44)-(J34))))*(MAX($D$16,(E44)-(J34))),0.000001))^2)/(2*$I$5))-(((ABS(I44)/MAX(((G34)+(I34)*(MAX($D$16,(M44)-(K34))))*(MAX($D$16,(M44)-(K34))),0.000001))^2)/(2*$I$5)))))+($D$10*(ABS((X34)-(W34))/90)*MAX(((ABS(I44)/MAX(((F34)+(H34)*(MAX($D$16,(E44)-(J34))))*(MAX($D$16,(E44)-(J34))),0.000001))^2)/(2*$I$5),((ABS(I44)/MAX(((G34)+(I34)*(MAX($D$16,(M44)-(K34))))*(MAX($D$16,(M44)-(K34))),0.000001))^2)/(2*$I$5)))+(0)-((ABS(I44)/MAX(((F34)+(H34)*(MAX($D$16,(E44)-(J34))))*(MAX($D$16,(E44)-(J34))),0.000001))^2)/(2*$I$5)</f>
        <v>635.5</v>
      </c>
      <c r="T44">
        <f>N44+((ABS(J44)/MAX(((G35)+(I35)*(MAX($D$16,(N44)-(K35))))*(MAX($D$16,(N44)-(K35))),0.000001))^2)/(2*$I$5)+((E35)*((((ABS(J44)*$D$6)/(MAX(((F35)+(H35)*(MAX($D$16,(E44)-(J35))))*(MAX($D$16,(E44)-(J35))),0.000001)*MAX(((((F35)+(H35)*(MAX($D$16,(E44)-(J35))))*(MAX($D$16,(E44)-(J35))))/MAX((F35)+2*(MAX($D$16,(E44)-(J35)))*SQRT(1+(H35)^2),0.000001))^(2/3),0.000001)))^2)+(((ABS(J44)*$D$6)/(MAX(((G35)+(I35)*(MAX($D$16,(N44)-(K35))))*(MAX($D$16,(N44)-(K35))),0.000001)*MAX(((((G35)+(I35)*(MAX($D$16,(N44)-(K35))))*(MAX($D$16,(N44)-(K35))))/MAX((G35)+2*(MAX($D$16,(N44)-(K35)))*SQRT(1+(I35)^2),0.000001))^(2/3),0.000001)))^2))/2)+(IF((ABS(J44)/MAX(((G35)+(I35)*(MAX($D$16,(N44)-(K35))))*(MAX($D$16,(N44)-(K35))),0.000001))&gt;(ABS(J44)/MAX(((F35)+(H35)*(MAX($D$16,(E44)-(J35))))*(MAX($D$16,(E44)-(J35))),0.000001)),$D$9*((((ABS(J44)/MAX(((G35)+(I35)*(MAX($D$16,(N44)-(K35))))*(MAX($D$16,(N44)-(K35))),0.000001))^2)/(2*$I$5))-(((ABS(J44)/MAX(((F35)+(H35)*(MAX($D$16,(E44)-(J35))))*(MAX($D$16,(E44)-(J35))),0.000001))^2)/(2*$I$5))),$D$8*((((ABS(J44)/MAX(((F35)+(H35)*(MAX($D$16,(E44)-(J35))))*(MAX($D$16,(E44)-(J35))),0.000001))^2)/(2*$I$5))-(((ABS(J44)/MAX(((G35)+(I35)*(MAX($D$16,(N44)-(K35))))*(MAX($D$16,(N44)-(K35))),0.000001))^2)/(2*$I$5)))))+($D$10*(ABS((X35)-(W35))/90)*MAX(((ABS(J44)/MAX(((F35)+(H35)*(MAX($D$16,(E44)-(J35))))*(MAX($D$16,(E44)-(J35))),0.000001))^2)/(2*$I$5),((ABS(J44)/MAX(((G35)+(I35)*(MAX($D$16,(N44)-(K35))))*(MAX($D$16,(N44)-(K35))),0.000001))^2)/(2*$I$5)))+(($D$11*0.34699541*(ABS(I44)/MAX(ABS(G44),0.000001))^2*MAX(((ABS(J44)/MAX(((F35)+(H35)*(MAX($D$16,(E44)-(J35))))*(MAX($D$16,(E44)-(J35))),0.000001))^2)/(2*$I$5),((ABS(J44)/MAX(((G35)+(I35)*(MAX($D$16,(N44)-(K35))))*(MAX($D$16,(N44)-(K35))),0.000001))^2)/(2*$I$5))))-((ABS(J44)/MAX(((F35)+(H35)*(MAX($D$16,(E44)-(J35))))*(MAX($D$16,(E44)-(J35))),0.000001))^2)/(2*$I$5)</f>
        <v>20784.033522135363</v>
      </c>
      <c r="U44">
        <f>(((((F32)*(MAX($D$16,(D44)-(J32)))^2)/2+(H32)*(MAX($D$16,(D44)-(J32)))^3/3+(ABS(G44)^2)/($I$5*MAX(((F32)+(H32)*(MAX($D$16,(D44)-(J32))))*(MAX($D$16,(D44)-(J32))),0.000001)))*0.72785025)-((((F33)*(MAX($D$16,(D44)-(J33)))^2)/2+(H33)*(MAX($D$16,(D44)-(J33)))^3/3+(ABS(H44)^2)/($I$5*MAX(((F33)+(H33)*(MAX($D$16,(D44)-(J33))))*(MAX($D$16,(D44)-(J33))),0.000001)))*0.99999971))/MAX(((G31)*(MAX($D$16,(D44)-(K31)))^2)/2+(I31)*(MAX($D$16,(D44)-(K31)))^3/3+(ABS(F44)^2)/($I$5*MAX(((G31)+(I31)*(MAX($D$16,(D44)-(K31))))*(MAX($D$16,(D44)-(K31))),0.000001)),0.000001)</f>
        <v>-0.27214945999998846</v>
      </c>
      <c r="V44">
        <f>(((((F34)*(MAX($D$16,(E44)-(J34)))^2)/2+(H34)*(MAX($D$16,(E44)-(J34)))^3/3+(ABS(I44)^2)/($I$5*MAX(((F34)+(H34)*(MAX($D$16,(E44)-(J34))))*(MAX($D$16,(E44)-(J34))),0.000001)))*1)-((((F35)*(MAX($D$16,(E44)-(J35)))^2)/2+(H35)*(MAX($D$16,(E44)-(J35)))^3/3+(ABS(J44)^2)/($I$5*MAX(((F35)+(H35)*(MAX($D$16,(E44)-(J35))))*(MAX($D$16,(E44)-(J35))),0.000001)))*0.30600918))/MAX(((G32)*(MAX($D$16,(E44)-(K32)))^2)/2+(I32)*(MAX($D$16,(E44)-(K32)))^3/3+(ABS(G44)^2)/($I$5*MAX(((G32)+(I32)*(MAX($D$16,(E44)-(K32))))*(MAX($D$16,(E44)-(K32))),0.000001)),0.000001)</f>
        <v>0.69373018921972329</v>
      </c>
      <c r="W44">
        <f>IF(N6="None",ABS(P44-D44),MAX(ABS(P44-D44),ABS(Q44-D44)))</f>
        <v>101838.94357379833</v>
      </c>
      <c r="X44">
        <f>IF(AND(N7="None",N8="None"),0,IF(N8="None",ABS(S44-E44),IF(N7="None",ABS(T44-E44),MAX(ABS(S44-E44),ABS(T44-E44)))))</f>
        <v>19271.363472792425</v>
      </c>
      <c r="AA44">
        <f t="shared" si="3"/>
        <v>67707.983374885342</v>
      </c>
      <c r="AB44">
        <f t="shared" si="4"/>
        <v>8257.6472648202853</v>
      </c>
      <c r="AC44">
        <f>IF(N6="None",P44,MAX(P44,Q44))</f>
        <v>1512.6700519164194</v>
      </c>
      <c r="AD44">
        <f>IF(AND(N7="None",N8="None"),E44,IF(N8="None",S44,IF(N7="None",T44,MAX(S44,T44))))</f>
        <v>20784.033522135363</v>
      </c>
      <c r="AE44">
        <f t="shared" si="5"/>
        <v>637.65825101201608</v>
      </c>
      <c r="AF44">
        <f t="shared" si="6"/>
        <v>103351.61362385908</v>
      </c>
      <c r="AG44">
        <f>((G31)*(MAX($D$16,(AC44)-(K31)))^2)/2+(I31)*(MAX($D$16,(AC44)-(K31)))^3/3+(ABS(F44)^2)/($I$5*MAX(((G31)+(I31)*(MAX($D$16,(AC44)-(K31))))*(MAX($D$16,(AC44)-(K31))),0.000001))</f>
        <v>2529871.3825745238</v>
      </c>
      <c r="AH44">
        <f>((G31)*(MAX($D$16,(AE44)-(K31)))^2)/2+(I31)*(MAX($D$16,(AE44)-(K31)))^3/3+(ABS(F44)^2)/($I$5*MAX(((G31)+(I31)*(MAX($D$16,(AE44)-(K31))))*(MAX($D$16,(AE44)-(K31))),0.000001))</f>
        <v>49.055863350204703</v>
      </c>
      <c r="AI44">
        <f>((G32)*(MAX($D$16,(AD44)-(K32)))^2)/2+(I32)*(MAX($D$16,(AD44)-(K32)))^3/3+(ABS(G44)^2)/($I$5*MAX(((G32)+(I32)*(MAX($D$16,(AD44)-(K32))))*(MAX($D$16,(AD44)-(K32))),0.000001))</f>
        <v>2072376743.2970848</v>
      </c>
      <c r="AJ44">
        <f>((G32)*(MAX($D$16,(AF44)-(K32)))^2)/2+(I32)*(MAX($D$16,(AF44)-(K32)))^3/3+(ABS(G44)^2)/($I$5*MAX(((G32)+(I32)*(MAX($D$16,(AF44)-(K32))))*(MAX($D$16,(AF44)-(K32))),0.000001))</f>
        <v>53843512019.174141</v>
      </c>
      <c r="AK44" t="str">
        <f t="shared" si="7"/>
        <v>Subcritical</v>
      </c>
      <c r="AL44" t="str">
        <f t="shared" si="8"/>
        <v>Supercritical</v>
      </c>
      <c r="AM44">
        <f t="shared" si="9"/>
        <v>67707.983374885342</v>
      </c>
      <c r="AN44">
        <f t="shared" si="10"/>
        <v>37156.300300423587</v>
      </c>
      <c r="AO44">
        <f t="shared" si="11"/>
        <v>101838.94357379833</v>
      </c>
      <c r="AP44">
        <f t="shared" si="12"/>
        <v>101838.94357451615</v>
      </c>
    </row>
    <row r="45" spans="1:42" x14ac:dyDescent="0.35">
      <c r="A45">
        <v>2</v>
      </c>
      <c r="B45">
        <f t="shared" si="13"/>
        <v>0</v>
      </c>
      <c r="C45">
        <f t="shared" si="14"/>
        <v>0</v>
      </c>
      <c r="D45">
        <f t="shared" si="15"/>
        <v>67707.983374885342</v>
      </c>
      <c r="E45">
        <f t="shared" si="16"/>
        <v>37156.300300423587</v>
      </c>
      <c r="F45">
        <f t="shared" si="2"/>
        <v>51</v>
      </c>
      <c r="G45">
        <f>IF(N6="None",F45,MAX(0,F45*B45))</f>
        <v>51</v>
      </c>
      <c r="H45">
        <f>IF(N6="None",0,MAX(0,F45-G45))</f>
        <v>0</v>
      </c>
      <c r="I45">
        <f>IF(AND(N7="None",N8="None"),0,IF(N8="None",G45,IF(N7="None",0,MAX(0,G45*C45))))</f>
        <v>0</v>
      </c>
      <c r="J45">
        <f>IF(AND(N7="None",N8="None"),0,IF(N8="None",0,IF(N7="None",G45,MAX(0,G45-I45))))</f>
        <v>51</v>
      </c>
      <c r="K45">
        <f>P5</f>
        <v>637</v>
      </c>
      <c r="L45">
        <f>P6</f>
        <v>634.3119999999999</v>
      </c>
      <c r="M45">
        <f>P7</f>
        <v>635.5</v>
      </c>
      <c r="N45">
        <f>P8</f>
        <v>631.54999999999995</v>
      </c>
      <c r="O45">
        <f>K45+((ABS(F45)/MAX(((F31)+(H31)*(MAX($D$16,(K45)-(J31))))*(MAX($D$16,(K45)-(J31))),0.000001))^2)/(2*$I$5)-((E31)*((((ABS(F45)*$D$6)/(MAX(((F31)+(H31)*(MAX($D$16,(K45)-(J31))))*(MAX($D$16,(K45)-(J31))),0.000001)*MAX(((((F31)+(H31)*(MAX($D$16,(K45)-(J31))))*(MAX($D$16,(K45)-(J31))))/MAX((F31)+2*(MAX($D$16,(K45)-(J31)))*SQRT(1+(H31)^2),0.000001))^(2/3),0.000001)))^2)+(((ABS(F45)*$D$6)/(MAX(((G31)+(I31)*(MAX($D$16,(D45)-(K31))))*(MAX($D$16,(D45)-(K31))),0.000001)*MAX(((((G31)+(I31)*(MAX($D$16,(D45)-(K31))))*(MAX($D$16,(D45)-(K31))))/MAX((G31)+2*(MAX($D$16,(D45)-(K31)))*SQRT(1+(I31)^2),0.000001))^(2/3),0.000001)))^2))/2)+(IF((ABS(F45)/MAX(((G31)+(I31)*(MAX($D$16,(D45)-(K31))))*(MAX($D$16,(D45)-(K31))),0.000001))&gt;(ABS(F45)/MAX(((F31)+(H31)*(MAX($D$16,(K45)-(J31))))*(MAX($D$16,(K45)-(J31))),0.000001)),$D$9*((((ABS(F45)/MAX(((G31)+(I31)*(MAX($D$16,(D45)-(K31))))*(MAX($D$16,(D45)-(K31))),0.000001))^2)/(2*$I$5))-(((ABS(F45)/MAX(((F31)+(H31)*(MAX($D$16,(K45)-(J31))))*(MAX($D$16,(K45)-(J31))),0.000001))^2)/(2*$I$5))),$D$8*((((ABS(F45)/MAX(((F31)+(H31)*(MAX($D$16,(K45)-(J31))))*(MAX($D$16,(K45)-(J31))),0.000001))^2)/(2*$I$5))-(((ABS(F45)/MAX(((G31)+(I31)*(MAX($D$16,(D45)-(K31))))*(MAX($D$16,(D45)-(K31))),0.000001))^2)/(2*$I$5)))))+($D$10*(ABS((X31)-(W31))/90)*MAX(((ABS(F45)/MAX(((F31)+(H31)*(MAX($D$16,(K45)-(J31))))*(MAX($D$16,(K45)-(J31))),0.000001))^2)/(2*$I$5),((ABS(F45)/MAX(((G31)+(I31)*(MAX($D$16,(D45)-(K31))))*(MAX($D$16,(D45)-(K31))),0.000001))^2)/(2*$I$5)))+(0)-((ABS(F45)/MAX(((G31)+(I31)*(MAX($D$16,(D45)-(K31))))*(MAX($D$16,(D45)-(K31))),0.000001))^2)/(2*$I$5)</f>
        <v>637.65825101150335</v>
      </c>
      <c r="P45">
        <f>E45+((ABS(G45)/MAX(((G32)+(I32)*(MAX($D$16,(E45)-(K32))))*(MAX($D$16,(E45)-(K32))),0.000001))^2)/(2*$I$5)+((E32)*((((ABS(G45)*$D$6)/(MAX(((F32)+(H32)*(MAX($D$16,(D45)-(J32))))*(MAX($D$16,(D45)-(J32))),0.000001)*MAX(((((F32)+(H32)*(MAX($D$16,(D45)-(J32))))*(MAX($D$16,(D45)-(J32))))/MAX((F32)+2*(MAX($D$16,(D45)-(J32)))*SQRT(1+(H32)^2),0.000001))^(2/3),0.000001)))^2)+(((ABS(G45)*$D$6)/(MAX(((G32)+(I32)*(MAX($D$16,(E45)-(K32))))*(MAX($D$16,(E45)-(K32))),0.000001)*MAX(((((G32)+(I32)*(MAX($D$16,(E45)-(K32))))*(MAX($D$16,(E45)-(K32))))/MAX((G32)+2*(MAX($D$16,(E45)-(K32)))*SQRT(1+(I32)^2),0.000001))^(2/3),0.000001)))^2))/2)+(IF((ABS(G45)/MAX(((G32)+(I32)*(MAX($D$16,(E45)-(K32))))*(MAX($D$16,(E45)-(K32))),0.000001))&gt;(ABS(G45)/MAX(((F32)+(H32)*(MAX($D$16,(D45)-(J32))))*(MAX($D$16,(D45)-(J32))),0.000001)),$D$9*((((ABS(G45)/MAX(((G32)+(I32)*(MAX($D$16,(E45)-(K32))))*(MAX($D$16,(E45)-(K32))),0.000001))^2)/(2*$I$5))-(((ABS(G45)/MAX(((F32)+(H32)*(MAX($D$16,(D45)-(J32))))*(MAX($D$16,(D45)-(J32))),0.000001))^2)/(2*$I$5))),$D$8*((((ABS(G45)/MAX(((F32)+(H32)*(MAX($D$16,(D45)-(J32))))*(MAX($D$16,(D45)-(J32))),0.000001))^2)/(2*$I$5))-(((ABS(G45)/MAX(((G32)+(I32)*(MAX($D$16,(E45)-(K32))))*(MAX($D$16,(E45)-(K32))),0.000001))^2)/(2*$I$5)))))+($D$10*(ABS((X32)-(W32))/90)*MAX(((ABS(G45)/MAX(((F32)+(H32)*(MAX($D$16,(D45)-(J32))))*(MAX($D$16,(D45)-(J32))),0.000001))^2)/(2*$I$5),((ABS(G45)/MAX(((G32)+(I32)*(MAX($D$16,(E45)-(K32))))*(MAX($D$16,(E45)-(K32))),0.000001))^2)/(2*$I$5)))+(($D$11*0.13607488*(ABS(H45)/MAX(ABS(F45),0.000001))^2*MAX(((ABS(G45)/MAX(((F32)+(H32)*(MAX($D$16,(D45)-(J32))))*(MAX($D$16,(D45)-(J32))),0.000001))^2)/(2*$I$5),((ABS(G45)/MAX(((G32)+(I32)*(MAX($D$16,(E45)-(K32))))*(MAX($D$16,(E45)-(K32))),0.000001))^2)/(2*$I$5))))-((ABS(G45)/MAX(((F32)+(H32)*(MAX($D$16,(D45)-(J32))))*(MAX($D$16,(D45)-(J32))),0.000001))^2)/(2*$I$5)</f>
        <v>37156.300300424766</v>
      </c>
      <c r="Q45">
        <f>L45+((ABS(H45)/MAX(((G33)+(I33)*(MAX($D$16,(L45)-(K33))))*(MAX($D$16,(L45)-(K33))),0.000001))^2)/(2*$I$5)+((E33)*((((ABS(H45)*$D$6)/(MAX(((F33)+(H33)*(MAX($D$16,(D45)-(J33))))*(MAX($D$16,(D45)-(J33))),0.000001)*MAX(((((F33)+(H33)*(MAX($D$16,(D45)-(J33))))*(MAX($D$16,(D45)-(J33))))/MAX((F33)+2*(MAX($D$16,(D45)-(J33)))*SQRT(1+(H33)^2),0.000001))^(2/3),0.000001)))^2)+(((ABS(H45)*$D$6)/(MAX(((G33)+(I33)*(MAX($D$16,(L45)-(K33))))*(MAX($D$16,(L45)-(K33))),0.000001)*MAX(((((G33)+(I33)*(MAX($D$16,(L45)-(K33))))*(MAX($D$16,(L45)-(K33))))/MAX((G33)+2*(MAX($D$16,(L45)-(K33)))*SQRT(1+(I33)^2),0.000001))^(2/3),0.000001)))^2))/2)+(IF((ABS(H45)/MAX(((G33)+(I33)*(MAX($D$16,(L45)-(K33))))*(MAX($D$16,(L45)-(K33))),0.000001))&gt;(ABS(H45)/MAX(((F33)+(H33)*(MAX($D$16,(D45)-(J33))))*(MAX($D$16,(D45)-(J33))),0.000001)),$D$9*((((ABS(H45)/MAX(((G33)+(I33)*(MAX($D$16,(L45)-(K33))))*(MAX($D$16,(L45)-(K33))),0.000001))^2)/(2*$I$5))-(((ABS(H45)/MAX(((F33)+(H33)*(MAX($D$16,(D45)-(J33))))*(MAX($D$16,(D45)-(J33))),0.000001))^2)/(2*$I$5))),$D$8*((((ABS(H45)/MAX(((F33)+(H33)*(MAX($D$16,(D45)-(J33))))*(MAX($D$16,(D45)-(J33))),0.000001))^2)/(2*$I$5))-(((ABS(H45)/MAX(((G33)+(I33)*(MAX($D$16,(L45)-(K33))))*(MAX($D$16,(L45)-(K33))),0.000001))^2)/(2*$I$5)))))+($D$10*(ABS((X33)-(W33))/90)*MAX(((ABS(H45)/MAX(((F33)+(H33)*(MAX($D$16,(D45)-(J33))))*(MAX($D$16,(D45)-(J33))),0.000001))^2)/(2*$I$5),((ABS(H45)/MAX(((G33)+(I33)*(MAX($D$16,(L45)-(K33))))*(MAX($D$16,(L45)-(K33))),0.000001))^2)/(2*$I$5)))+(($D$11*0.00000015*(ABS(G45)/MAX(ABS(F45),0.000001))^2*MAX(((ABS(H45)/MAX(((F33)+(H33)*(MAX($D$16,(D45)-(J33))))*(MAX($D$16,(D45)-(J33))),0.000001))^2)/(2*$I$5),((ABS(H45)/MAX(((G33)+(I33)*(MAX($D$16,(L45)-(K33))))*(MAX($D$16,(L45)-(K33))),0.000001))^2)/(2*$I$5))))-((ABS(H45)/MAX(((F33)+(H33)*(MAX($D$16,(D45)-(J33))))*(MAX($D$16,(D45)-(J33))),0.000001))^2)/(2*$I$5)</f>
        <v>634.3119999999999</v>
      </c>
      <c r="R45">
        <f>D45+((ABS(G45)/MAX(((F32)+(H32)*(MAX($D$16,(D45)-(J32))))*(MAX($D$16,(D45)-(J32))),0.000001))^2)/(2*$I$5)-((E32)*((((ABS(G45)*$D$6)/(MAX(((F32)+(H32)*(MAX($D$16,(D45)-(J32))))*(MAX($D$16,(D45)-(J32))),0.000001)*MAX(((((F32)+(H32)*(MAX($D$16,(D45)-(J32))))*(MAX($D$16,(D45)-(J32))))/MAX((F32)+2*(MAX($D$16,(D45)-(J32)))*SQRT(1+(H32)^2),0.000001))^(2/3),0.000001)))^2)+(((ABS(G45)*$D$6)/(MAX(((G32)+(I32)*(MAX($D$16,(E45)-(K32))))*(MAX($D$16,(E45)-(K32))),0.000001)*MAX(((((G32)+(I32)*(MAX($D$16,(E45)-(K32))))*(MAX($D$16,(E45)-(K32))))/MAX((G32)+2*(MAX($D$16,(E45)-(K32)))*SQRT(1+(I32)^2),0.000001))^(2/3),0.000001)))^2))/2)+(IF((ABS(G45)/MAX(((G32)+(I32)*(MAX($D$16,(E45)-(K32))))*(MAX($D$16,(E45)-(K32))),0.000001))&gt;(ABS(G45)/MAX(((F32)+(H32)*(MAX($D$16,(D45)-(J32))))*(MAX($D$16,(D45)-(J32))),0.000001)),$D$9*((((ABS(G45)/MAX(((G32)+(I32)*(MAX($D$16,(E45)-(K32))))*(MAX($D$16,(E45)-(K32))),0.000001))^2)/(2*$I$5))-(((ABS(G45)/MAX(((F32)+(H32)*(MAX($D$16,(D45)-(J32))))*(MAX($D$16,(D45)-(J32))),0.000001))^2)/(2*$I$5))),$D$8*((((ABS(G45)/MAX(((F32)+(H32)*(MAX($D$16,(D45)-(J32))))*(MAX($D$16,(D45)-(J32))),0.000001))^2)/(2*$I$5))-(((ABS(G45)/MAX(((G32)+(I32)*(MAX($D$16,(E45)-(K32))))*(MAX($D$16,(E45)-(K32))),0.000001))^2)/(2*$I$5)))))+($D$10*(ABS((X32)-(W32))/90)*MAX(((ABS(G45)/MAX(((F32)+(H32)*(MAX($D$16,(D45)-(J32))))*(MAX($D$16,(D45)-(J32))),0.000001))^2)/(2*$I$5),((ABS(G45)/MAX(((G32)+(I32)*(MAX($D$16,(E45)-(K32))))*(MAX($D$16,(E45)-(K32))),0.000001))^2)/(2*$I$5)))+(($D$11*0.13607488*(ABS(H45)/MAX(ABS(F45),0.000001))^2*MAX(((ABS(G45)/MAX(((F32)+(H32)*(MAX($D$16,(D45)-(J32))))*(MAX($D$16,(D45)-(J32))),0.000001))^2)/(2*$I$5),((ABS(G45)/MAX(((G32)+(I32)*(MAX($D$16,(E45)-(K32))))*(MAX($D$16,(E45)-(K32))),0.000001))^2)/(2*$I$5))))-((ABS(G45)/MAX(((G32)+(I32)*(MAX($D$16,(E45)-(K32))))*(MAX($D$16,(E45)-(K32))),0.000001))^2)/(2*$I$5)</f>
        <v>67707.983374884454</v>
      </c>
      <c r="S45">
        <f>M45+((ABS(I45)/MAX(((G34)+(I34)*(MAX($D$16,(M45)-(K34))))*(MAX($D$16,(M45)-(K34))),0.000001))^2)/(2*$I$5)+((E34)*((((ABS(I45)*$D$6)/(MAX(((F34)+(H34)*(MAX($D$16,(E45)-(J34))))*(MAX($D$16,(E45)-(J34))),0.000001)*MAX(((((F34)+(H34)*(MAX($D$16,(E45)-(J34))))*(MAX($D$16,(E45)-(J34))))/MAX((F34)+2*(MAX($D$16,(E45)-(J34)))*SQRT(1+(H34)^2),0.000001))^(2/3),0.000001)))^2)+(((ABS(I45)*$D$6)/(MAX(((G34)+(I34)*(MAX($D$16,(M45)-(K34))))*(MAX($D$16,(M45)-(K34))),0.000001)*MAX(((((G34)+(I34)*(MAX($D$16,(M45)-(K34))))*(MAX($D$16,(M45)-(K34))))/MAX((G34)+2*(MAX($D$16,(M45)-(K34)))*SQRT(1+(I34)^2),0.000001))^(2/3),0.000001)))^2))/2)+(IF((ABS(I45)/MAX(((G34)+(I34)*(MAX($D$16,(M45)-(K34))))*(MAX($D$16,(M45)-(K34))),0.000001))&gt;(ABS(I45)/MAX(((F34)+(H34)*(MAX($D$16,(E45)-(J34))))*(MAX($D$16,(E45)-(J34))),0.000001)),$D$9*((((ABS(I45)/MAX(((G34)+(I34)*(MAX($D$16,(M45)-(K34))))*(MAX($D$16,(M45)-(K34))),0.000001))^2)/(2*$I$5))-(((ABS(I45)/MAX(((F34)+(H34)*(MAX($D$16,(E45)-(J34))))*(MAX($D$16,(E45)-(J34))),0.000001))^2)/(2*$I$5))),$D$8*((((ABS(I45)/MAX(((F34)+(H34)*(MAX($D$16,(E45)-(J34))))*(MAX($D$16,(E45)-(J34))),0.000001))^2)/(2*$I$5))-(((ABS(I45)/MAX(((G34)+(I34)*(MAX($D$16,(M45)-(K34))))*(MAX($D$16,(M45)-(K34))),0.000001))^2)/(2*$I$5)))))+($D$10*(ABS((X34)-(W34))/90)*MAX(((ABS(I45)/MAX(((F34)+(H34)*(MAX($D$16,(E45)-(J34))))*(MAX($D$16,(E45)-(J34))),0.000001))^2)/(2*$I$5),((ABS(I45)/MAX(((G34)+(I34)*(MAX($D$16,(M45)-(K34))))*(MAX($D$16,(M45)-(K34))),0.000001))^2)/(2*$I$5)))+(0)-((ABS(I45)/MAX(((F34)+(H34)*(MAX($D$16,(E45)-(J34))))*(MAX($D$16,(E45)-(J34))),0.000001))^2)/(2*$I$5)</f>
        <v>635.5</v>
      </c>
      <c r="T45">
        <f>N45+((ABS(J45)/MAX(((G35)+(I35)*(MAX($D$16,(N45)-(K35))))*(MAX($D$16,(N45)-(K35))),0.000001))^2)/(2*$I$5)+((E35)*((((ABS(J45)*$D$6)/(MAX(((F35)+(H35)*(MAX($D$16,(E45)-(J35))))*(MAX($D$16,(E45)-(J35))),0.000001)*MAX(((((F35)+(H35)*(MAX($D$16,(E45)-(J35))))*(MAX($D$16,(E45)-(J35))))/MAX((F35)+2*(MAX($D$16,(E45)-(J35)))*SQRT(1+(H35)^2),0.000001))^(2/3),0.000001)))^2)+(((ABS(J45)*$D$6)/(MAX(((G35)+(I35)*(MAX($D$16,(N45)-(K35))))*(MAX($D$16,(N45)-(K35))),0.000001)*MAX(((((G35)+(I35)*(MAX($D$16,(N45)-(K35))))*(MAX($D$16,(N45)-(K35))))/MAX((G35)+2*(MAX($D$16,(N45)-(K35)))*SQRT(1+(I35)^2),0.000001))^(2/3),0.000001)))^2))/2)+(IF((ABS(J45)/MAX(((G35)+(I35)*(MAX($D$16,(N45)-(K35))))*(MAX($D$16,(N45)-(K35))),0.000001))&gt;(ABS(J45)/MAX(((F35)+(H35)*(MAX($D$16,(E45)-(J35))))*(MAX($D$16,(E45)-(J35))),0.000001)),$D$9*((((ABS(J45)/MAX(((G35)+(I35)*(MAX($D$16,(N45)-(K35))))*(MAX($D$16,(N45)-(K35))),0.000001))^2)/(2*$I$5))-(((ABS(J45)/MAX(((F35)+(H35)*(MAX($D$16,(E45)-(J35))))*(MAX($D$16,(E45)-(J35))),0.000001))^2)/(2*$I$5))),$D$8*((((ABS(J45)/MAX(((F35)+(H35)*(MAX($D$16,(E45)-(J35))))*(MAX($D$16,(E45)-(J35))),0.000001))^2)/(2*$I$5))-(((ABS(J45)/MAX(((G35)+(I35)*(MAX($D$16,(N45)-(K35))))*(MAX($D$16,(N45)-(K35))),0.000001))^2)/(2*$I$5)))))+($D$10*(ABS((X35)-(W35))/90)*MAX(((ABS(J45)/MAX(((F35)+(H35)*(MAX($D$16,(E45)-(J35))))*(MAX($D$16,(E45)-(J35))),0.000001))^2)/(2*$I$5),((ABS(J45)/MAX(((G35)+(I35)*(MAX($D$16,(N45)-(K35))))*(MAX($D$16,(N45)-(K35))),0.000001))^2)/(2*$I$5)))+(($D$11*0.34699541*(ABS(I45)/MAX(ABS(G45),0.000001))^2*MAX(((ABS(J45)/MAX(((F35)+(H35)*(MAX($D$16,(E45)-(J35))))*(MAX($D$16,(E45)-(J35))),0.000001))^2)/(2*$I$5),((ABS(J45)/MAX(((G35)+(I35)*(MAX($D$16,(N45)-(K35))))*(MAX($D$16,(N45)-(K35))),0.000001))^2)/(2*$I$5))))-((ABS(J45)/MAX(((F35)+(H35)*(MAX($D$16,(E45)-(J35))))*(MAX($D$16,(E45)-(J35))),0.000001))^2)/(2*$I$5)</f>
        <v>20784.033523922859</v>
      </c>
      <c r="U45">
        <f>(((((F32)*(MAX($D$16,(D45)-(J32)))^2)/2+(H32)*(MAX($D$16,(D45)-(J32)))^3/3+(ABS(G45)^2)/($I$5*MAX(((F32)+(H32)*(MAX($D$16,(D45)-(J32))))*(MAX($D$16,(D45)-(J32))),0.000001)))*0.72785025)-((((F33)*(MAX($D$16,(D45)-(J33)))^2)/2+(H33)*(MAX($D$16,(D45)-(J33)))^3/3+(ABS(H45)^2)/($I$5*MAX(((F33)+(H33)*(MAX($D$16,(D45)-(J33))))*(MAX($D$16,(D45)-(J33))),0.000001)))*0.99999971))/MAX(((G31)*(MAX($D$16,(D45)-(K31)))^2)/2+(I31)*(MAX($D$16,(D45)-(K31)))^3/3+(ABS(F45)^2)/($I$5*MAX(((G31)+(I31)*(MAX($D$16,(D45)-(K31))))*(MAX($D$16,(D45)-(K31))),0.000001)),0.000001)</f>
        <v>-0.27214945999995899</v>
      </c>
      <c r="V45">
        <f>(((((F34)*(MAX($D$16,(E45)-(J34)))^2)/2+(H34)*(MAX($D$16,(E45)-(J34)))^3/3+(ABS(I45)^2)/($I$5*MAX(((F34)+(H34)*(MAX($D$16,(E45)-(J34))))*(MAX($D$16,(E45)-(J34))),0.000001)))*1)-((((F35)*(MAX($D$16,(E45)-(J35)))^2)/2+(H35)*(MAX($D$16,(E45)-(J35)))^3/3+(ABS(J45)^2)/($I$5*MAX(((F35)+(H35)*(MAX($D$16,(E45)-(J35))))*(MAX($D$16,(E45)-(J35))),0.000001)))*0.30600918))/MAX(((G32)*(MAX($D$16,(E45)-(K32)))^2)/2+(I32)*(MAX($D$16,(E45)-(K32)))^3/3+(ABS(G45)^2)/($I$5*MAX(((G32)+(I32)*(MAX($D$16,(E45)-(K32))))*(MAX($D$16,(E45)-(K32))),0.000001)),0.000001)</f>
        <v>0.69398453631271084</v>
      </c>
      <c r="W45">
        <f>IF(N6="None",ABS(P45-D45),MAX(ABS(P45-D45),ABS(Q45-D45)))</f>
        <v>30551.683074460576</v>
      </c>
      <c r="X45">
        <f>IF(AND(N7="None",N8="None"),0,IF(N8="None",ABS(S45-E45),IF(N7="None",ABS(T45-E45),MAX(ABS(S45-E45),ABS(T45-E45)))))</f>
        <v>36520.800300423587</v>
      </c>
      <c r="AA45">
        <f t="shared" si="3"/>
        <v>57014.89429882414</v>
      </c>
      <c r="AB45">
        <f t="shared" si="4"/>
        <v>31426.006928648334</v>
      </c>
      <c r="AC45">
        <f>IF(N6="None",P45,MAX(P45,Q45))</f>
        <v>37156.300300424766</v>
      </c>
      <c r="AD45">
        <f>IF(AND(N7="None",N8="None"),E45,IF(N8="None",S45,IF(N7="None",T45,MAX(S45,T45))))</f>
        <v>20784.033523922859</v>
      </c>
      <c r="AE45">
        <f t="shared" si="5"/>
        <v>637.65825101150335</v>
      </c>
      <c r="AF45">
        <f t="shared" si="6"/>
        <v>67707.983374884454</v>
      </c>
      <c r="AG45">
        <f>((G31)*(MAX($D$16,(AC45)-(K31)))^2)/2+(I31)*(MAX($D$16,(AC45)-(K31)))^3/3+(ABS(F45)^2)/($I$5*MAX(((G31)+(I31)*(MAX($D$16,(AC45)-(K31))))*(MAX($D$16,(AC45)-(K31))),0.000001))</f>
        <v>4373715962.0147953</v>
      </c>
      <c r="AH45">
        <f>((G31)*(MAX($D$16,(AE45)-(K31)))^2)/2+(I31)*(MAX($D$16,(AE45)-(K31)))^3/3+(ABS(F45)^2)/($I$5*MAX(((G31)+(I31)*(MAX($D$16,(AE45)-(K31))))*(MAX($D$16,(AE45)-(K31))),0.000001))</f>
        <v>49.055863340741837</v>
      </c>
      <c r="AI45">
        <f>((G32)*(MAX($D$16,(AD45)-(K32)))^2)/2+(I32)*(MAX($D$16,(AD45)-(K32)))^3/3+(ABS(G45)^2)/($I$5*MAX(((G32)+(I32)*(MAX($D$16,(AD45)-(K32))))*(MAX($D$16,(AD45)-(K32))),0.000001))</f>
        <v>2072376743.6647243</v>
      </c>
      <c r="AJ45">
        <f>((G32)*(MAX($D$16,(AF45)-(K32)))^2)/2+(I32)*(MAX($D$16,(AF45)-(K32)))^3/3+(ABS(G45)^2)/($I$5*MAX(((G32)+(I32)*(MAX($D$16,(AF45)-(K32))))*(MAX($D$16,(AF45)-(K32))),0.000001))</f>
        <v>22959439618.012691</v>
      </c>
      <c r="AK45" t="str">
        <f t="shared" si="7"/>
        <v>Subcritical</v>
      </c>
      <c r="AL45" t="str">
        <f t="shared" si="8"/>
        <v>Supercritical</v>
      </c>
      <c r="AM45">
        <f t="shared" si="9"/>
        <v>57014.89429882414</v>
      </c>
      <c r="AN45">
        <f t="shared" si="10"/>
        <v>47849.389376484891</v>
      </c>
      <c r="AO45">
        <f t="shared" si="11"/>
        <v>30551.683074460576</v>
      </c>
      <c r="AP45">
        <f t="shared" si="12"/>
        <v>30551.683074460867</v>
      </c>
    </row>
    <row r="46" spans="1:42" x14ac:dyDescent="0.35">
      <c r="A46">
        <v>3</v>
      </c>
      <c r="B46">
        <f t="shared" si="13"/>
        <v>0</v>
      </c>
      <c r="C46">
        <f t="shared" si="14"/>
        <v>0</v>
      </c>
      <c r="D46">
        <f t="shared" si="15"/>
        <v>57014.89429882414</v>
      </c>
      <c r="E46">
        <f t="shared" si="16"/>
        <v>47849.389376484891</v>
      </c>
      <c r="F46">
        <f t="shared" si="2"/>
        <v>51</v>
      </c>
      <c r="G46">
        <f>IF(N6="None",F46,MAX(0,F46*B46))</f>
        <v>51</v>
      </c>
      <c r="H46">
        <f>IF(N6="None",0,MAX(0,F46-G46))</f>
        <v>0</v>
      </c>
      <c r="I46">
        <f>IF(AND(N7="None",N8="None"),0,IF(N8="None",G46,IF(N7="None",0,MAX(0,G46*C46))))</f>
        <v>0</v>
      </c>
      <c r="J46">
        <f>IF(AND(N7="None",N8="None"),0,IF(N8="None",0,IF(N7="None",G46,MAX(0,G46-I46))))</f>
        <v>51</v>
      </c>
      <c r="K46">
        <f>P5</f>
        <v>637</v>
      </c>
      <c r="L46">
        <f>P6</f>
        <v>634.3119999999999</v>
      </c>
      <c r="M46">
        <f>P7</f>
        <v>635.5</v>
      </c>
      <c r="N46">
        <f>P8</f>
        <v>631.54999999999995</v>
      </c>
      <c r="O46">
        <f>K46+((ABS(F46)/MAX(((F31)+(H31)*(MAX($D$16,(K46)-(J31))))*(MAX($D$16,(K46)-(J31))),0.000001))^2)/(2*$I$5)-((E31)*((((ABS(F46)*$D$6)/(MAX(((F31)+(H31)*(MAX($D$16,(K46)-(J31))))*(MAX($D$16,(K46)-(J31))),0.000001)*MAX(((((F31)+(H31)*(MAX($D$16,(K46)-(J31))))*(MAX($D$16,(K46)-(J31))))/MAX((F31)+2*(MAX($D$16,(K46)-(J31)))*SQRT(1+(H31)^2),0.000001))^(2/3),0.000001)))^2)+(((ABS(F46)*$D$6)/(MAX(((G31)+(I31)*(MAX($D$16,(D46)-(K31))))*(MAX($D$16,(D46)-(K31))),0.000001)*MAX(((((G31)+(I31)*(MAX($D$16,(D46)-(K31))))*(MAX($D$16,(D46)-(K31))))/MAX((G31)+2*(MAX($D$16,(D46)-(K31)))*SQRT(1+(I31)^2),0.000001))^(2/3),0.000001)))^2))/2)+(IF((ABS(F46)/MAX(((G31)+(I31)*(MAX($D$16,(D46)-(K31))))*(MAX($D$16,(D46)-(K31))),0.000001))&gt;(ABS(F46)/MAX(((F31)+(H31)*(MAX($D$16,(K46)-(J31))))*(MAX($D$16,(K46)-(J31))),0.000001)),$D$9*((((ABS(F46)/MAX(((G31)+(I31)*(MAX($D$16,(D46)-(K31))))*(MAX($D$16,(D46)-(K31))),0.000001))^2)/(2*$I$5))-(((ABS(F46)/MAX(((F31)+(H31)*(MAX($D$16,(K46)-(J31))))*(MAX($D$16,(K46)-(J31))),0.000001))^2)/(2*$I$5))),$D$8*((((ABS(F46)/MAX(((F31)+(H31)*(MAX($D$16,(K46)-(J31))))*(MAX($D$16,(K46)-(J31))),0.000001))^2)/(2*$I$5))-(((ABS(F46)/MAX(((G31)+(I31)*(MAX($D$16,(D46)-(K31))))*(MAX($D$16,(D46)-(K31))),0.000001))^2)/(2*$I$5)))))+($D$10*(ABS((X31)-(W31))/90)*MAX(((ABS(F46)/MAX(((F31)+(H31)*(MAX($D$16,(K46)-(J31))))*(MAX($D$16,(K46)-(J31))),0.000001))^2)/(2*$I$5),((ABS(F46)/MAX(((G31)+(I31)*(MAX($D$16,(D46)-(K31))))*(MAX($D$16,(D46)-(K31))),0.000001))^2)/(2*$I$5)))+(0)-((ABS(F46)/MAX(((G31)+(I31)*(MAX($D$16,(D46)-(K31))))*(MAX($D$16,(D46)-(K31))),0.000001))^2)/(2*$I$5)</f>
        <v>637.65825101113205</v>
      </c>
      <c r="P46">
        <f>E46+((ABS(G46)/MAX(((G32)+(I32)*(MAX($D$16,(E46)-(K32))))*(MAX($D$16,(E46)-(K32))),0.000001))^2)/(2*$I$5)+((E32)*((((ABS(G46)*$D$6)/(MAX(((F32)+(H32)*(MAX($D$16,(D46)-(J32))))*(MAX($D$16,(D46)-(J32))),0.000001)*MAX(((((F32)+(H32)*(MAX($D$16,(D46)-(J32))))*(MAX($D$16,(D46)-(J32))))/MAX((F32)+2*(MAX($D$16,(D46)-(J32)))*SQRT(1+(H32)^2),0.000001))^(2/3),0.000001)))^2)+(((ABS(G46)*$D$6)/(MAX(((G32)+(I32)*(MAX($D$16,(E46)-(K32))))*(MAX($D$16,(E46)-(K32))),0.000001)*MAX(((((G32)+(I32)*(MAX($D$16,(E46)-(K32))))*(MAX($D$16,(E46)-(K32))))/MAX((G32)+2*(MAX($D$16,(E46)-(K32)))*SQRT(1+(I32)^2),0.000001))^(2/3),0.000001)))^2))/2)+(IF((ABS(G46)/MAX(((G32)+(I32)*(MAX($D$16,(E46)-(K32))))*(MAX($D$16,(E46)-(K32))),0.000001))&gt;(ABS(G46)/MAX(((F32)+(H32)*(MAX($D$16,(D46)-(J32))))*(MAX($D$16,(D46)-(J32))),0.000001)),$D$9*((((ABS(G46)/MAX(((G32)+(I32)*(MAX($D$16,(E46)-(K32))))*(MAX($D$16,(E46)-(K32))),0.000001))^2)/(2*$I$5))-(((ABS(G46)/MAX(((F32)+(H32)*(MAX($D$16,(D46)-(J32))))*(MAX($D$16,(D46)-(J32))),0.000001))^2)/(2*$I$5))),$D$8*((((ABS(G46)/MAX(((F32)+(H32)*(MAX($D$16,(D46)-(J32))))*(MAX($D$16,(D46)-(J32))),0.000001))^2)/(2*$I$5))-(((ABS(G46)/MAX(((G32)+(I32)*(MAX($D$16,(E46)-(K32))))*(MAX($D$16,(E46)-(K32))),0.000001))^2)/(2*$I$5)))))+($D$10*(ABS((X32)-(W32))/90)*MAX(((ABS(G46)/MAX(((F32)+(H32)*(MAX($D$16,(D46)-(J32))))*(MAX($D$16,(D46)-(J32))),0.000001))^2)/(2*$I$5),((ABS(G46)/MAX(((G32)+(I32)*(MAX($D$16,(E46)-(K32))))*(MAX($D$16,(E46)-(K32))),0.000001))^2)/(2*$I$5)))+(($D$11*0.13607488*(ABS(H46)/MAX(ABS(F46),0.000001))^2*MAX(((ABS(G46)/MAX(((F32)+(H32)*(MAX($D$16,(D46)-(J32))))*(MAX($D$16,(D46)-(J32))),0.000001))^2)/(2*$I$5),((ABS(G46)/MAX(((G32)+(I32)*(MAX($D$16,(E46)-(K32))))*(MAX($D$16,(E46)-(K32))),0.000001))^2)/(2*$I$5))))-((ABS(G46)/MAX(((F32)+(H32)*(MAX($D$16,(D46)-(J32))))*(MAX($D$16,(D46)-(J32))),0.000001))^2)/(2*$I$5)</f>
        <v>47849.389376485531</v>
      </c>
      <c r="Q46">
        <f>L46+((ABS(H46)/MAX(((G33)+(I33)*(MAX($D$16,(L46)-(K33))))*(MAX($D$16,(L46)-(K33))),0.000001))^2)/(2*$I$5)+((E33)*((((ABS(H46)*$D$6)/(MAX(((F33)+(H33)*(MAX($D$16,(D46)-(J33))))*(MAX($D$16,(D46)-(J33))),0.000001)*MAX(((((F33)+(H33)*(MAX($D$16,(D46)-(J33))))*(MAX($D$16,(D46)-(J33))))/MAX((F33)+2*(MAX($D$16,(D46)-(J33)))*SQRT(1+(H33)^2),0.000001))^(2/3),0.000001)))^2)+(((ABS(H46)*$D$6)/(MAX(((G33)+(I33)*(MAX($D$16,(L46)-(K33))))*(MAX($D$16,(L46)-(K33))),0.000001)*MAX(((((G33)+(I33)*(MAX($D$16,(L46)-(K33))))*(MAX($D$16,(L46)-(K33))))/MAX((G33)+2*(MAX($D$16,(L46)-(K33)))*SQRT(1+(I33)^2),0.000001))^(2/3),0.000001)))^2))/2)+(IF((ABS(H46)/MAX(((G33)+(I33)*(MAX($D$16,(L46)-(K33))))*(MAX($D$16,(L46)-(K33))),0.000001))&gt;(ABS(H46)/MAX(((F33)+(H33)*(MAX($D$16,(D46)-(J33))))*(MAX($D$16,(D46)-(J33))),0.000001)),$D$9*((((ABS(H46)/MAX(((G33)+(I33)*(MAX($D$16,(L46)-(K33))))*(MAX($D$16,(L46)-(K33))),0.000001))^2)/(2*$I$5))-(((ABS(H46)/MAX(((F33)+(H33)*(MAX($D$16,(D46)-(J33))))*(MAX($D$16,(D46)-(J33))),0.000001))^2)/(2*$I$5))),$D$8*((((ABS(H46)/MAX(((F33)+(H33)*(MAX($D$16,(D46)-(J33))))*(MAX($D$16,(D46)-(J33))),0.000001))^2)/(2*$I$5))-(((ABS(H46)/MAX(((G33)+(I33)*(MAX($D$16,(L46)-(K33))))*(MAX($D$16,(L46)-(K33))),0.000001))^2)/(2*$I$5)))))+($D$10*(ABS((X33)-(W33))/90)*MAX(((ABS(H46)/MAX(((F33)+(H33)*(MAX($D$16,(D46)-(J33))))*(MAX($D$16,(D46)-(J33))),0.000001))^2)/(2*$I$5),((ABS(H46)/MAX(((G33)+(I33)*(MAX($D$16,(L46)-(K33))))*(MAX($D$16,(L46)-(K33))),0.000001))^2)/(2*$I$5)))+(($D$11*0.00000015*(ABS(G46)/MAX(ABS(F46),0.000001))^2*MAX(((ABS(H46)/MAX(((F33)+(H33)*(MAX($D$16,(D46)-(J33))))*(MAX($D$16,(D46)-(J33))),0.000001))^2)/(2*$I$5),((ABS(H46)/MAX(((G33)+(I33)*(MAX($D$16,(L46)-(K33))))*(MAX($D$16,(L46)-(K33))),0.000001))^2)/(2*$I$5))))-((ABS(H46)/MAX(((F33)+(H33)*(MAX($D$16,(D46)-(J33))))*(MAX($D$16,(D46)-(J33))),0.000001))^2)/(2*$I$5)</f>
        <v>634.3119999999999</v>
      </c>
      <c r="R46">
        <f>D46+((ABS(G46)/MAX(((F32)+(H32)*(MAX($D$16,(D46)-(J32))))*(MAX($D$16,(D46)-(J32))),0.000001))^2)/(2*$I$5)-((E32)*((((ABS(G46)*$D$6)/(MAX(((F32)+(H32)*(MAX($D$16,(D46)-(J32))))*(MAX($D$16,(D46)-(J32))),0.000001)*MAX(((((F32)+(H32)*(MAX($D$16,(D46)-(J32))))*(MAX($D$16,(D46)-(J32))))/MAX((F32)+2*(MAX($D$16,(D46)-(J32)))*SQRT(1+(H32)^2),0.000001))^(2/3),0.000001)))^2)+(((ABS(G46)*$D$6)/(MAX(((G32)+(I32)*(MAX($D$16,(E46)-(K32))))*(MAX($D$16,(E46)-(K32))),0.000001)*MAX(((((G32)+(I32)*(MAX($D$16,(E46)-(K32))))*(MAX($D$16,(E46)-(K32))))/MAX((G32)+2*(MAX($D$16,(E46)-(K32)))*SQRT(1+(I32)^2),0.000001))^(2/3),0.000001)))^2))/2)+(IF((ABS(G46)/MAX(((G32)+(I32)*(MAX($D$16,(E46)-(K32))))*(MAX($D$16,(E46)-(K32))),0.000001))&gt;(ABS(G46)/MAX(((F32)+(H32)*(MAX($D$16,(D46)-(J32))))*(MAX($D$16,(D46)-(J32))),0.000001)),$D$9*((((ABS(G46)/MAX(((G32)+(I32)*(MAX($D$16,(E46)-(K32))))*(MAX($D$16,(E46)-(K32))),0.000001))^2)/(2*$I$5))-(((ABS(G46)/MAX(((F32)+(H32)*(MAX($D$16,(D46)-(J32))))*(MAX($D$16,(D46)-(J32))),0.000001))^2)/(2*$I$5))),$D$8*((((ABS(G46)/MAX(((F32)+(H32)*(MAX($D$16,(D46)-(J32))))*(MAX($D$16,(D46)-(J32))),0.000001))^2)/(2*$I$5))-(((ABS(G46)/MAX(((G32)+(I32)*(MAX($D$16,(E46)-(K32))))*(MAX($D$16,(E46)-(K32))),0.000001))^2)/(2*$I$5)))))+($D$10*(ABS((X32)-(W32))/90)*MAX(((ABS(G46)/MAX(((F32)+(H32)*(MAX($D$16,(D46)-(J32))))*(MAX($D$16,(D46)-(J32))),0.000001))^2)/(2*$I$5),((ABS(G46)/MAX(((G32)+(I32)*(MAX($D$16,(E46)-(K32))))*(MAX($D$16,(E46)-(K32))),0.000001))^2)/(2*$I$5)))+(($D$11*0.13607488*(ABS(H46)/MAX(ABS(F46),0.000001))^2*MAX(((ABS(G46)/MAX(((F32)+(H32)*(MAX($D$16,(D46)-(J32))))*(MAX($D$16,(D46)-(J32))),0.000001))^2)/(2*$I$5),((ABS(G46)/MAX(((G32)+(I32)*(MAX($D$16,(E46)-(K32))))*(MAX($D$16,(E46)-(K32))),0.000001))^2)/(2*$I$5))))-((ABS(G46)/MAX(((G32)+(I32)*(MAX($D$16,(E46)-(K32))))*(MAX($D$16,(E46)-(K32))),0.000001))^2)/(2*$I$5)</f>
        <v>57014.894298823965</v>
      </c>
      <c r="S46">
        <f>M46+((ABS(I46)/MAX(((G34)+(I34)*(MAX($D$16,(M46)-(K34))))*(MAX($D$16,(M46)-(K34))),0.000001))^2)/(2*$I$5)+((E34)*((((ABS(I46)*$D$6)/(MAX(((F34)+(H34)*(MAX($D$16,(E46)-(J34))))*(MAX($D$16,(E46)-(J34))),0.000001)*MAX(((((F34)+(H34)*(MAX($D$16,(E46)-(J34))))*(MAX($D$16,(E46)-(J34))))/MAX((F34)+2*(MAX($D$16,(E46)-(J34)))*SQRT(1+(H34)^2),0.000001))^(2/3),0.000001)))^2)+(((ABS(I46)*$D$6)/(MAX(((G34)+(I34)*(MAX($D$16,(M46)-(K34))))*(MAX($D$16,(M46)-(K34))),0.000001)*MAX(((((G34)+(I34)*(MAX($D$16,(M46)-(K34))))*(MAX($D$16,(M46)-(K34))))/MAX((G34)+2*(MAX($D$16,(M46)-(K34)))*SQRT(1+(I34)^2),0.000001))^(2/3),0.000001)))^2))/2)+(IF((ABS(I46)/MAX(((G34)+(I34)*(MAX($D$16,(M46)-(K34))))*(MAX($D$16,(M46)-(K34))),0.000001))&gt;(ABS(I46)/MAX(((F34)+(H34)*(MAX($D$16,(E46)-(J34))))*(MAX($D$16,(E46)-(J34))),0.000001)),$D$9*((((ABS(I46)/MAX(((G34)+(I34)*(MAX($D$16,(M46)-(K34))))*(MAX($D$16,(M46)-(K34))),0.000001))^2)/(2*$I$5))-(((ABS(I46)/MAX(((F34)+(H34)*(MAX($D$16,(E46)-(J34))))*(MAX($D$16,(E46)-(J34))),0.000001))^2)/(2*$I$5))),$D$8*((((ABS(I46)/MAX(((F34)+(H34)*(MAX($D$16,(E46)-(J34))))*(MAX($D$16,(E46)-(J34))),0.000001))^2)/(2*$I$5))-(((ABS(I46)/MAX(((G34)+(I34)*(MAX($D$16,(M46)-(K34))))*(MAX($D$16,(M46)-(K34))),0.000001))^2)/(2*$I$5)))))+($D$10*(ABS((X34)-(W34))/90)*MAX(((ABS(I46)/MAX(((F34)+(H34)*(MAX($D$16,(E46)-(J34))))*(MAX($D$16,(E46)-(J34))),0.000001))^2)/(2*$I$5),((ABS(I46)/MAX(((G34)+(I34)*(MAX($D$16,(M46)-(K34))))*(MAX($D$16,(M46)-(K34))),0.000001))^2)/(2*$I$5)))+(0)-((ABS(I46)/MAX(((F34)+(H34)*(MAX($D$16,(E46)-(J34))))*(MAX($D$16,(E46)-(J34))),0.000001))^2)/(2*$I$5)</f>
        <v>635.5</v>
      </c>
      <c r="T46">
        <f>N46+((ABS(J46)/MAX(((G35)+(I35)*(MAX($D$16,(N46)-(K35))))*(MAX($D$16,(N46)-(K35))),0.000001))^2)/(2*$I$5)+((E35)*((((ABS(J46)*$D$6)/(MAX(((F35)+(H35)*(MAX($D$16,(E46)-(J35))))*(MAX($D$16,(E46)-(J35))),0.000001)*MAX(((((F35)+(H35)*(MAX($D$16,(E46)-(J35))))*(MAX($D$16,(E46)-(J35))))/MAX((F35)+2*(MAX($D$16,(E46)-(J35)))*SQRT(1+(H35)^2),0.000001))^(2/3),0.000001)))^2)+(((ABS(J46)*$D$6)/(MAX(((G35)+(I35)*(MAX($D$16,(N46)-(K35))))*(MAX($D$16,(N46)-(K35))),0.000001)*MAX(((((G35)+(I35)*(MAX($D$16,(N46)-(K35))))*(MAX($D$16,(N46)-(K35))))/MAX((G35)+2*(MAX($D$16,(N46)-(K35)))*SQRT(1+(I35)^2),0.000001))^(2/3),0.000001)))^2))/2)+(IF((ABS(J46)/MAX(((G35)+(I35)*(MAX($D$16,(N46)-(K35))))*(MAX($D$16,(N46)-(K35))),0.000001))&gt;(ABS(J46)/MAX(((F35)+(H35)*(MAX($D$16,(E46)-(J35))))*(MAX($D$16,(E46)-(J35))),0.000001)),$D$9*((((ABS(J46)/MAX(((G35)+(I35)*(MAX($D$16,(N46)-(K35))))*(MAX($D$16,(N46)-(K35))),0.000001))^2)/(2*$I$5))-(((ABS(J46)/MAX(((F35)+(H35)*(MAX($D$16,(E46)-(J35))))*(MAX($D$16,(E46)-(J35))),0.000001))^2)/(2*$I$5))),$D$8*((((ABS(J46)/MAX(((F35)+(H35)*(MAX($D$16,(E46)-(J35))))*(MAX($D$16,(E46)-(J35))),0.000001))^2)/(2*$I$5))-(((ABS(J46)/MAX(((G35)+(I35)*(MAX($D$16,(N46)-(K35))))*(MAX($D$16,(N46)-(K35))),0.000001))^2)/(2*$I$5)))))+($D$10*(ABS((X35)-(W35))/90)*MAX(((ABS(J46)/MAX(((F35)+(H35)*(MAX($D$16,(E46)-(J35))))*(MAX($D$16,(E46)-(J35))),0.000001))^2)/(2*$I$5),((ABS(J46)/MAX(((G35)+(I35)*(MAX($D$16,(N46)-(K35))))*(MAX($D$16,(N46)-(K35))),0.000001))^2)/(2*$I$5)))+(($D$11*0.34699541*(ABS(I46)/MAX(ABS(G46),0.000001))^2*MAX(((ABS(J46)/MAX(((F35)+(H35)*(MAX($D$16,(E46)-(J35))))*(MAX($D$16,(E46)-(J35))),0.000001))^2)/(2*$I$5),((ABS(J46)/MAX(((G35)+(I35)*(MAX($D$16,(N46)-(K35))))*(MAX($D$16,(N46)-(K35))),0.000001))^2)/(2*$I$5))))-((ABS(J46)/MAX(((F35)+(H35)*(MAX($D$16,(E46)-(J35))))*(MAX($D$16,(E46)-(J35))),0.000001))^2)/(2*$I$5)</f>
        <v>20784.033523923277</v>
      </c>
      <c r="U46">
        <f>(((((F32)*(MAX($D$16,(D46)-(J32)))^2)/2+(H32)*(MAX($D$16,(D46)-(J32)))^3/3+(ABS(G46)^2)/($I$5*MAX(((F32)+(H32)*(MAX($D$16,(D46)-(J32))))*(MAX($D$16,(D46)-(J32))),0.000001)))*0.72785025)-((((F33)*(MAX($D$16,(D46)-(J33)))^2)/2+(H33)*(MAX($D$16,(D46)-(J33)))^3/3+(ABS(H46)^2)/($I$5*MAX(((F33)+(H33)*(MAX($D$16,(D46)-(J33))))*(MAX($D$16,(D46)-(J33))),0.000001)))*0.99999971))/MAX(((G31)*(MAX($D$16,(D46)-(K31)))^2)/2+(I31)*(MAX($D$16,(D46)-(K31)))^3/3+(ABS(F46)^2)/($I$5*MAX(((G31)+(I31)*(MAX($D$16,(D46)-(K31))))*(MAX($D$16,(D46)-(K31))),0.000001)),0.000001)</f>
        <v>-0.27214945999993123</v>
      </c>
      <c r="V46">
        <f>(((((F34)*(MAX($D$16,(E46)-(J34)))^2)/2+(H34)*(MAX($D$16,(E46)-(J34)))^3/3+(ABS(I46)^2)/($I$5*MAX(((F34)+(H34)*(MAX($D$16,(E46)-(J34))))*(MAX($D$16,(E46)-(J34))),0.000001)))*1)-((((F35)*(MAX($D$16,(E46)-(J35)))^2)/2+(H35)*(MAX($D$16,(E46)-(J35)))^3/3+(ABS(J46)^2)/($I$5*MAX(((F35)+(H35)*(MAX($D$16,(E46)-(J35))))*(MAX($D$16,(E46)-(J35))),0.000001)))*0.30600918))/MAX(((G32)*(MAX($D$16,(E46)-(K32)))^2)/2+(I32)*(MAX($D$16,(E46)-(K32)))^3/3+(ABS(G46)^2)/($I$5*MAX(((G32)+(I32)*(MAX($D$16,(E46)-(K32))))*(MAX($D$16,(E46)-(K32))),0.000001)),0.000001)</f>
        <v>0.69398595935026697</v>
      </c>
      <c r="W46">
        <f>IF(N6="None",ABS(P46-D46),MAX(ABS(P46-D46),ABS(Q46-D46)))</f>
        <v>9165.5049223386086</v>
      </c>
      <c r="X46">
        <f>IF(AND(N7="None",N8="None"),0,IF(N8="None",ABS(S46-E46),IF(N7="None",ABS(T46-E46),MAX(ABS(S46-E46),ABS(T46-E46)))))</f>
        <v>47213.889376484891</v>
      </c>
      <c r="AA46">
        <f t="shared" si="3"/>
        <v>53806.967576005627</v>
      </c>
      <c r="AB46">
        <f t="shared" si="4"/>
        <v>38376.51482808833</v>
      </c>
      <c r="AC46">
        <f>IF(N6="None",P46,MAX(P46,Q46))</f>
        <v>47849.389376485531</v>
      </c>
      <c r="AD46">
        <f>IF(AND(N7="None",N8="None"),E46,IF(N8="None",S46,IF(N7="None",T46,MAX(S46,T46))))</f>
        <v>20784.033523923277</v>
      </c>
      <c r="AE46">
        <f t="shared" si="5"/>
        <v>637.65825101113205</v>
      </c>
      <c r="AF46">
        <f t="shared" si="6"/>
        <v>57014.894298823965</v>
      </c>
      <c r="AG46">
        <f>((G31)*(MAX($D$16,(AC46)-(K31)))^2)/2+(I31)*(MAX($D$16,(AC46)-(K31)))^3/3+(ABS(F46)^2)/($I$5*MAX(((G31)+(I31)*(MAX($D$16,(AC46)-(K31))))*(MAX($D$16,(AC46)-(K31))),0.000001))</f>
        <v>7309759455.2499657</v>
      </c>
      <c r="AH46">
        <f>((G31)*(MAX($D$16,(AE46)-(K31)))^2)/2+(I31)*(MAX($D$16,(AE46)-(K31)))^3/3+(ABS(F46)^2)/($I$5*MAX(((G31)+(I31)*(MAX($D$16,(AE46)-(K31))))*(MAX($D$16,(AE46)-(K31))),0.000001))</f>
        <v>49.055863333889135</v>
      </c>
      <c r="AI46">
        <f>((G32)*(MAX($D$16,(AD46)-(K32)))^2)/2+(I32)*(MAX($D$16,(AD46)-(K32)))^3/3+(ABS(G46)^2)/($I$5*MAX(((G32)+(I32)*(MAX($D$16,(AD46)-(K32))))*(MAX($D$16,(AD46)-(K32))),0.000001))</f>
        <v>2072376743.6648104</v>
      </c>
      <c r="AJ46">
        <f>((G32)*(MAX($D$16,(AF46)-(K32)))^2)/2+(I32)*(MAX($D$16,(AF46)-(K32)))^3/3+(ABS(G46)^2)/($I$5*MAX(((G32)+(I32)*(MAX($D$16,(AF46)-(K32))))*(MAX($D$16,(AF46)-(K32))),0.000001))</f>
        <v>16222665947.37915</v>
      </c>
      <c r="AK46" t="str">
        <f t="shared" si="7"/>
        <v>Subcritical</v>
      </c>
      <c r="AL46" t="str">
        <f t="shared" si="8"/>
        <v>Supercritical</v>
      </c>
      <c r="AM46">
        <f t="shared" si="9"/>
        <v>53806.967576005627</v>
      </c>
      <c r="AN46">
        <f t="shared" si="10"/>
        <v>51057.316099303564</v>
      </c>
      <c r="AO46">
        <f t="shared" si="11"/>
        <v>9165.5049223386086</v>
      </c>
      <c r="AP46">
        <f t="shared" si="12"/>
        <v>9165.5049223390743</v>
      </c>
    </row>
    <row r="47" spans="1:42" x14ac:dyDescent="0.35">
      <c r="A47">
        <v>4</v>
      </c>
      <c r="B47">
        <f t="shared" si="13"/>
        <v>0</v>
      </c>
      <c r="C47">
        <f t="shared" si="14"/>
        <v>0</v>
      </c>
      <c r="D47">
        <f t="shared" si="15"/>
        <v>53806.967576005627</v>
      </c>
      <c r="E47">
        <f t="shared" si="16"/>
        <v>51057.316099303564</v>
      </c>
      <c r="F47">
        <f t="shared" si="2"/>
        <v>51</v>
      </c>
      <c r="G47">
        <f>IF(N6="None",F47,MAX(0,F47*B47))</f>
        <v>51</v>
      </c>
      <c r="H47">
        <f>IF(N6="None",0,MAX(0,F47-G47))</f>
        <v>0</v>
      </c>
      <c r="I47">
        <f>IF(AND(N7="None",N8="None"),0,IF(N8="None",G47,IF(N7="None",0,MAX(0,G47*C47))))</f>
        <v>0</v>
      </c>
      <c r="J47">
        <f>IF(AND(N7="None",N8="None"),0,IF(N8="None",0,IF(N7="None",G47,MAX(0,G47-I47))))</f>
        <v>51</v>
      </c>
      <c r="K47">
        <f>P5</f>
        <v>637</v>
      </c>
      <c r="L47">
        <f>P6</f>
        <v>634.3119999999999</v>
      </c>
      <c r="M47">
        <f>P7</f>
        <v>635.5</v>
      </c>
      <c r="N47">
        <f>P8</f>
        <v>631.54999999999995</v>
      </c>
      <c r="O47">
        <f>K47+((ABS(F47)/MAX(((F31)+(H31)*(MAX($D$16,(K47)-(J31))))*(MAX($D$16,(K47)-(J31))),0.000001))^2)/(2*$I$5)-((E31)*((((ABS(F47)*$D$6)/(MAX(((F31)+(H31)*(MAX($D$16,(K47)-(J31))))*(MAX($D$16,(K47)-(J31))),0.000001)*MAX(((((F31)+(H31)*(MAX($D$16,(K47)-(J31))))*(MAX($D$16,(K47)-(J31))))/MAX((F31)+2*(MAX($D$16,(K47)-(J31)))*SQRT(1+(H31)^2),0.000001))^(2/3),0.000001)))^2)+(((ABS(F47)*$D$6)/(MAX(((G31)+(I31)*(MAX($D$16,(D47)-(K31))))*(MAX($D$16,(D47)-(K31))),0.000001)*MAX(((((G31)+(I31)*(MAX($D$16,(D47)-(K31))))*(MAX($D$16,(D47)-(K31))))/MAX((G31)+2*(MAX($D$16,(D47)-(K31)))*SQRT(1+(I31)^2),0.000001))^(2/3),0.000001)))^2))/2)+(IF((ABS(F47)/MAX(((G31)+(I31)*(MAX($D$16,(D47)-(K31))))*(MAX($D$16,(D47)-(K31))),0.000001))&gt;(ABS(F47)/MAX(((F31)+(H31)*(MAX($D$16,(K47)-(J31))))*(MAX($D$16,(K47)-(J31))),0.000001)),$D$9*((((ABS(F47)/MAX(((G31)+(I31)*(MAX($D$16,(D47)-(K31))))*(MAX($D$16,(D47)-(K31))),0.000001))^2)/(2*$I$5))-(((ABS(F47)/MAX(((F31)+(H31)*(MAX($D$16,(K47)-(J31))))*(MAX($D$16,(K47)-(J31))),0.000001))^2)/(2*$I$5))),$D$8*((((ABS(F47)/MAX(((F31)+(H31)*(MAX($D$16,(K47)-(J31))))*(MAX($D$16,(K47)-(J31))),0.000001))^2)/(2*$I$5))-(((ABS(F47)/MAX(((G31)+(I31)*(MAX($D$16,(D47)-(K31))))*(MAX($D$16,(D47)-(K31))),0.000001))^2)/(2*$I$5)))))+($D$10*(ABS((X31)-(W31))/90)*MAX(((ABS(F47)/MAX(((F31)+(H31)*(MAX($D$16,(K47)-(J31))))*(MAX($D$16,(K47)-(J31))),0.000001))^2)/(2*$I$5),((ABS(F47)/MAX(((G31)+(I31)*(MAX($D$16,(D47)-(K31))))*(MAX($D$16,(D47)-(K31))),0.000001))^2)/(2*$I$5)))+(0)-((ABS(F47)/MAX(((G31)+(I31)*(MAX($D$16,(D47)-(K31))))*(MAX($D$16,(D47)-(K31))),0.000001))^2)/(2*$I$5)</f>
        <v>637.65825101097471</v>
      </c>
      <c r="P47">
        <f>E47+((ABS(G47)/MAX(((G32)+(I32)*(MAX($D$16,(E47)-(K32))))*(MAX($D$16,(E47)-(K32))),0.000001))^2)/(2*$I$5)+((E32)*((((ABS(G47)*$D$6)/(MAX(((F32)+(H32)*(MAX($D$16,(D47)-(J32))))*(MAX($D$16,(D47)-(J32))),0.000001)*MAX(((((F32)+(H32)*(MAX($D$16,(D47)-(J32))))*(MAX($D$16,(D47)-(J32))))/MAX((F32)+2*(MAX($D$16,(D47)-(J32)))*SQRT(1+(H32)^2),0.000001))^(2/3),0.000001)))^2)+(((ABS(G47)*$D$6)/(MAX(((G32)+(I32)*(MAX($D$16,(E47)-(K32))))*(MAX($D$16,(E47)-(K32))),0.000001)*MAX(((((G32)+(I32)*(MAX($D$16,(E47)-(K32))))*(MAX($D$16,(E47)-(K32))))/MAX((G32)+2*(MAX($D$16,(E47)-(K32)))*SQRT(1+(I32)^2),0.000001))^(2/3),0.000001)))^2))/2)+(IF((ABS(G47)/MAX(((G32)+(I32)*(MAX($D$16,(E47)-(K32))))*(MAX($D$16,(E47)-(K32))),0.000001))&gt;(ABS(G47)/MAX(((F32)+(H32)*(MAX($D$16,(D47)-(J32))))*(MAX($D$16,(D47)-(J32))),0.000001)),$D$9*((((ABS(G47)/MAX(((G32)+(I32)*(MAX($D$16,(E47)-(K32))))*(MAX($D$16,(E47)-(K32))),0.000001))^2)/(2*$I$5))-(((ABS(G47)/MAX(((F32)+(H32)*(MAX($D$16,(D47)-(J32))))*(MAX($D$16,(D47)-(J32))),0.000001))^2)/(2*$I$5))),$D$8*((((ABS(G47)/MAX(((F32)+(H32)*(MAX($D$16,(D47)-(J32))))*(MAX($D$16,(D47)-(J32))),0.000001))^2)/(2*$I$5))-(((ABS(G47)/MAX(((G32)+(I32)*(MAX($D$16,(E47)-(K32))))*(MAX($D$16,(E47)-(K32))),0.000001))^2)/(2*$I$5)))))+($D$10*(ABS((X32)-(W32))/90)*MAX(((ABS(G47)/MAX(((F32)+(H32)*(MAX($D$16,(D47)-(J32))))*(MAX($D$16,(D47)-(J32))),0.000001))^2)/(2*$I$5),((ABS(G47)/MAX(((G32)+(I32)*(MAX($D$16,(E47)-(K32))))*(MAX($D$16,(E47)-(K32))),0.000001))^2)/(2*$I$5)))+(($D$11*0.13607488*(ABS(H47)/MAX(ABS(F47),0.000001))^2*MAX(((ABS(G47)/MAX(((F32)+(H32)*(MAX($D$16,(D47)-(J32))))*(MAX($D$16,(D47)-(J32))),0.000001))^2)/(2*$I$5),((ABS(G47)/MAX(((G32)+(I32)*(MAX($D$16,(E47)-(K32))))*(MAX($D$16,(E47)-(K32))),0.000001))^2)/(2*$I$5))))-((ABS(G47)/MAX(((F32)+(H32)*(MAX($D$16,(D47)-(J32))))*(MAX($D$16,(D47)-(J32))),0.000001))^2)/(2*$I$5)</f>
        <v>51057.316099304138</v>
      </c>
      <c r="Q47">
        <f>L47+((ABS(H47)/MAX(((G33)+(I33)*(MAX($D$16,(L47)-(K33))))*(MAX($D$16,(L47)-(K33))),0.000001))^2)/(2*$I$5)+((E33)*((((ABS(H47)*$D$6)/(MAX(((F33)+(H33)*(MAX($D$16,(D47)-(J33))))*(MAX($D$16,(D47)-(J33))),0.000001)*MAX(((((F33)+(H33)*(MAX($D$16,(D47)-(J33))))*(MAX($D$16,(D47)-(J33))))/MAX((F33)+2*(MAX($D$16,(D47)-(J33)))*SQRT(1+(H33)^2),0.000001))^(2/3),0.000001)))^2)+(((ABS(H47)*$D$6)/(MAX(((G33)+(I33)*(MAX($D$16,(L47)-(K33))))*(MAX($D$16,(L47)-(K33))),0.000001)*MAX(((((G33)+(I33)*(MAX($D$16,(L47)-(K33))))*(MAX($D$16,(L47)-(K33))))/MAX((G33)+2*(MAX($D$16,(L47)-(K33)))*SQRT(1+(I33)^2),0.000001))^(2/3),0.000001)))^2))/2)+(IF((ABS(H47)/MAX(((G33)+(I33)*(MAX($D$16,(L47)-(K33))))*(MAX($D$16,(L47)-(K33))),0.000001))&gt;(ABS(H47)/MAX(((F33)+(H33)*(MAX($D$16,(D47)-(J33))))*(MAX($D$16,(D47)-(J33))),0.000001)),$D$9*((((ABS(H47)/MAX(((G33)+(I33)*(MAX($D$16,(L47)-(K33))))*(MAX($D$16,(L47)-(K33))),0.000001))^2)/(2*$I$5))-(((ABS(H47)/MAX(((F33)+(H33)*(MAX($D$16,(D47)-(J33))))*(MAX($D$16,(D47)-(J33))),0.000001))^2)/(2*$I$5))),$D$8*((((ABS(H47)/MAX(((F33)+(H33)*(MAX($D$16,(D47)-(J33))))*(MAX($D$16,(D47)-(J33))),0.000001))^2)/(2*$I$5))-(((ABS(H47)/MAX(((G33)+(I33)*(MAX($D$16,(L47)-(K33))))*(MAX($D$16,(L47)-(K33))),0.000001))^2)/(2*$I$5)))))+($D$10*(ABS((X33)-(W33))/90)*MAX(((ABS(H47)/MAX(((F33)+(H33)*(MAX($D$16,(D47)-(J33))))*(MAX($D$16,(D47)-(J33))),0.000001))^2)/(2*$I$5),((ABS(H47)/MAX(((G33)+(I33)*(MAX($D$16,(L47)-(K33))))*(MAX($D$16,(L47)-(K33))),0.000001))^2)/(2*$I$5)))+(($D$11*0.00000015*(ABS(G47)/MAX(ABS(F47),0.000001))^2*MAX(((ABS(H47)/MAX(((F33)+(H33)*(MAX($D$16,(D47)-(J33))))*(MAX($D$16,(D47)-(J33))),0.000001))^2)/(2*$I$5),((ABS(H47)/MAX(((G33)+(I33)*(MAX($D$16,(L47)-(K33))))*(MAX($D$16,(L47)-(K33))),0.000001))^2)/(2*$I$5))))-((ABS(H47)/MAX(((F33)+(H33)*(MAX($D$16,(D47)-(J33))))*(MAX($D$16,(D47)-(J33))),0.000001))^2)/(2*$I$5)</f>
        <v>634.3119999999999</v>
      </c>
      <c r="R47">
        <f>D47+((ABS(G47)/MAX(((F32)+(H32)*(MAX($D$16,(D47)-(J32))))*(MAX($D$16,(D47)-(J32))),0.000001))^2)/(2*$I$5)-((E32)*((((ABS(G47)*$D$6)/(MAX(((F32)+(H32)*(MAX($D$16,(D47)-(J32))))*(MAX($D$16,(D47)-(J32))),0.000001)*MAX(((((F32)+(H32)*(MAX($D$16,(D47)-(J32))))*(MAX($D$16,(D47)-(J32))))/MAX((F32)+2*(MAX($D$16,(D47)-(J32)))*SQRT(1+(H32)^2),0.000001))^(2/3),0.000001)))^2)+(((ABS(G47)*$D$6)/(MAX(((G32)+(I32)*(MAX($D$16,(E47)-(K32))))*(MAX($D$16,(E47)-(K32))),0.000001)*MAX(((((G32)+(I32)*(MAX($D$16,(E47)-(K32))))*(MAX($D$16,(E47)-(K32))))/MAX((G32)+2*(MAX($D$16,(E47)-(K32)))*SQRT(1+(I32)^2),0.000001))^(2/3),0.000001)))^2))/2)+(IF((ABS(G47)/MAX(((G32)+(I32)*(MAX($D$16,(E47)-(K32))))*(MAX($D$16,(E47)-(K32))),0.000001))&gt;(ABS(G47)/MAX(((F32)+(H32)*(MAX($D$16,(D47)-(J32))))*(MAX($D$16,(D47)-(J32))),0.000001)),$D$9*((((ABS(G47)/MAX(((G32)+(I32)*(MAX($D$16,(E47)-(K32))))*(MAX($D$16,(E47)-(K32))),0.000001))^2)/(2*$I$5))-(((ABS(G47)/MAX(((F32)+(H32)*(MAX($D$16,(D47)-(J32))))*(MAX($D$16,(D47)-(J32))),0.000001))^2)/(2*$I$5))),$D$8*((((ABS(G47)/MAX(((F32)+(H32)*(MAX($D$16,(D47)-(J32))))*(MAX($D$16,(D47)-(J32))),0.000001))^2)/(2*$I$5))-(((ABS(G47)/MAX(((G32)+(I32)*(MAX($D$16,(E47)-(K32))))*(MAX($D$16,(E47)-(K32))),0.000001))^2)/(2*$I$5)))))+($D$10*(ABS((X32)-(W32))/90)*MAX(((ABS(G47)/MAX(((F32)+(H32)*(MAX($D$16,(D47)-(J32))))*(MAX($D$16,(D47)-(J32))),0.000001))^2)/(2*$I$5),((ABS(G47)/MAX(((G32)+(I32)*(MAX($D$16,(E47)-(K32))))*(MAX($D$16,(E47)-(K32))),0.000001))^2)/(2*$I$5)))+(($D$11*0.13607488*(ABS(H47)/MAX(ABS(F47),0.000001))^2*MAX(((ABS(G47)/MAX(((F32)+(H32)*(MAX($D$16,(D47)-(J32))))*(MAX($D$16,(D47)-(J32))),0.000001))^2)/(2*$I$5),((ABS(G47)/MAX(((G32)+(I32)*(MAX($D$16,(E47)-(K32))))*(MAX($D$16,(E47)-(K32))),0.000001))^2)/(2*$I$5))))-((ABS(G47)/MAX(((G32)+(I32)*(MAX($D$16,(E47)-(K32))))*(MAX($D$16,(E47)-(K32))),0.000001))^2)/(2*$I$5)</f>
        <v>53806.967576005663</v>
      </c>
      <c r="S47">
        <f>M47+((ABS(I47)/MAX(((G34)+(I34)*(MAX($D$16,(M47)-(K34))))*(MAX($D$16,(M47)-(K34))),0.000001))^2)/(2*$I$5)+((E34)*((((ABS(I47)*$D$6)/(MAX(((F34)+(H34)*(MAX($D$16,(E47)-(J34))))*(MAX($D$16,(E47)-(J34))),0.000001)*MAX(((((F34)+(H34)*(MAX($D$16,(E47)-(J34))))*(MAX($D$16,(E47)-(J34))))/MAX((F34)+2*(MAX($D$16,(E47)-(J34)))*SQRT(1+(H34)^2),0.000001))^(2/3),0.000001)))^2)+(((ABS(I47)*$D$6)/(MAX(((G34)+(I34)*(MAX($D$16,(M47)-(K34))))*(MAX($D$16,(M47)-(K34))),0.000001)*MAX(((((G34)+(I34)*(MAX($D$16,(M47)-(K34))))*(MAX($D$16,(M47)-(K34))))/MAX((G34)+2*(MAX($D$16,(M47)-(K34)))*SQRT(1+(I34)^2),0.000001))^(2/3),0.000001)))^2))/2)+(IF((ABS(I47)/MAX(((G34)+(I34)*(MAX($D$16,(M47)-(K34))))*(MAX($D$16,(M47)-(K34))),0.000001))&gt;(ABS(I47)/MAX(((F34)+(H34)*(MAX($D$16,(E47)-(J34))))*(MAX($D$16,(E47)-(J34))),0.000001)),$D$9*((((ABS(I47)/MAX(((G34)+(I34)*(MAX($D$16,(M47)-(K34))))*(MAX($D$16,(M47)-(K34))),0.000001))^2)/(2*$I$5))-(((ABS(I47)/MAX(((F34)+(H34)*(MAX($D$16,(E47)-(J34))))*(MAX($D$16,(E47)-(J34))),0.000001))^2)/(2*$I$5))),$D$8*((((ABS(I47)/MAX(((F34)+(H34)*(MAX($D$16,(E47)-(J34))))*(MAX($D$16,(E47)-(J34))),0.000001))^2)/(2*$I$5))-(((ABS(I47)/MAX(((G34)+(I34)*(MAX($D$16,(M47)-(K34))))*(MAX($D$16,(M47)-(K34))),0.000001))^2)/(2*$I$5)))))+($D$10*(ABS((X34)-(W34))/90)*MAX(((ABS(I47)/MAX(((F34)+(H34)*(MAX($D$16,(E47)-(J34))))*(MAX($D$16,(E47)-(J34))),0.000001))^2)/(2*$I$5),((ABS(I47)/MAX(((G34)+(I34)*(MAX($D$16,(M47)-(K34))))*(MAX($D$16,(M47)-(K34))),0.000001))^2)/(2*$I$5)))+(0)-((ABS(I47)/MAX(((F34)+(H34)*(MAX($D$16,(E47)-(J34))))*(MAX($D$16,(E47)-(J34))),0.000001))^2)/(2*$I$5)</f>
        <v>635.5</v>
      </c>
      <c r="T47">
        <f>N47+((ABS(J47)/MAX(((G35)+(I35)*(MAX($D$16,(N47)-(K35))))*(MAX($D$16,(N47)-(K35))),0.000001))^2)/(2*$I$5)+((E35)*((((ABS(J47)*$D$6)/(MAX(((F35)+(H35)*(MAX($D$16,(E47)-(J35))))*(MAX($D$16,(E47)-(J35))),0.000001)*MAX(((((F35)+(H35)*(MAX($D$16,(E47)-(J35))))*(MAX($D$16,(E47)-(J35))))/MAX((F35)+2*(MAX($D$16,(E47)-(J35)))*SQRT(1+(H35)^2),0.000001))^(2/3),0.000001)))^2)+(((ABS(J47)*$D$6)/(MAX(((G35)+(I35)*(MAX($D$16,(N47)-(K35))))*(MAX($D$16,(N47)-(K35))),0.000001)*MAX(((((G35)+(I35)*(MAX($D$16,(N47)-(K35))))*(MAX($D$16,(N47)-(K35))))/MAX((G35)+2*(MAX($D$16,(N47)-(K35)))*SQRT(1+(I35)^2),0.000001))^(2/3),0.000001)))^2))/2)+(IF((ABS(J47)/MAX(((G35)+(I35)*(MAX($D$16,(N47)-(K35))))*(MAX($D$16,(N47)-(K35))),0.000001))&gt;(ABS(J47)/MAX(((F35)+(H35)*(MAX($D$16,(E47)-(J35))))*(MAX($D$16,(E47)-(J35))),0.000001)),$D$9*((((ABS(J47)/MAX(((G35)+(I35)*(MAX($D$16,(N47)-(K35))))*(MAX($D$16,(N47)-(K35))),0.000001))^2)/(2*$I$5))-(((ABS(J47)/MAX(((F35)+(H35)*(MAX($D$16,(E47)-(J35))))*(MAX($D$16,(E47)-(J35))),0.000001))^2)/(2*$I$5))),$D$8*((((ABS(J47)/MAX(((F35)+(H35)*(MAX($D$16,(E47)-(J35))))*(MAX($D$16,(E47)-(J35))),0.000001))^2)/(2*$I$5))-(((ABS(J47)/MAX(((G35)+(I35)*(MAX($D$16,(N47)-(K35))))*(MAX($D$16,(N47)-(K35))),0.000001))^2)/(2*$I$5)))))+($D$10*(ABS((X35)-(W35))/90)*MAX(((ABS(J47)/MAX(((F35)+(H35)*(MAX($D$16,(E47)-(J35))))*(MAX($D$16,(E47)-(J35))),0.000001))^2)/(2*$I$5),((ABS(J47)/MAX(((G35)+(I35)*(MAX($D$16,(N47)-(K35))))*(MAX($D$16,(N47)-(K35))),0.000001))^2)/(2*$I$5)))+(($D$11*0.34699541*(ABS(I47)/MAX(ABS(G47),0.000001))^2*MAX(((ABS(J47)/MAX(((F35)+(H35)*(MAX($D$16,(E47)-(J35))))*(MAX($D$16,(E47)-(J35))),0.000001))^2)/(2*$I$5),((ABS(J47)/MAX(((G35)+(I35)*(MAX($D$16,(N47)-(K35))))*(MAX($D$16,(N47)-(K35))),0.000001))^2)/(2*$I$5))))-((ABS(J47)/MAX(((F35)+(H35)*(MAX($D$16,(E47)-(J35))))*(MAX($D$16,(E47)-(J35))),0.000001))^2)/(2*$I$5)</f>
        <v>20784.03352392335</v>
      </c>
      <c r="U47">
        <f>(((((F32)*(MAX($D$16,(D47)-(J32)))^2)/2+(H32)*(MAX($D$16,(D47)-(J32)))^3/3+(ABS(G47)^2)/($I$5*MAX(((F32)+(H32)*(MAX($D$16,(D47)-(J32))))*(MAX($D$16,(D47)-(J32))),0.000001)))*0.72785025)-((((F33)*(MAX($D$16,(D47)-(J33)))^2)/2+(H33)*(MAX($D$16,(D47)-(J33)))^3/3+(ABS(H47)^2)/($I$5*MAX(((F33)+(H33)*(MAX($D$16,(D47)-(J33))))*(MAX($D$16,(D47)-(J33))),0.000001)))*0.99999971))/MAX(((G31)*(MAX($D$16,(D47)-(K31)))^2)/2+(I31)*(MAX($D$16,(D47)-(K31)))^3/3+(ABS(F47)^2)/($I$5*MAX(((G31)+(I31)*(MAX($D$16,(D47)-(K31))))*(MAX($D$16,(D47)-(K31))),0.000001)),0.000001)</f>
        <v>-0.27214945999991791</v>
      </c>
      <c r="V47">
        <f>(((((F34)*(MAX($D$16,(E47)-(J34)))^2)/2+(H34)*(MAX($D$16,(E47)-(J34)))^3/3+(ABS(I47)^2)/($I$5*MAX(((F34)+(H34)*(MAX($D$16,(E47)-(J34))))*(MAX($D$16,(E47)-(J34))),0.000001)))*1)-((((F35)*(MAX($D$16,(E47)-(J35)))^2)/2+(H35)*(MAX($D$16,(E47)-(J35)))^3/3+(ABS(J47)^2)/($I$5*MAX(((F35)+(H35)*(MAX($D$16,(E47)-(J35))))*(MAX($D$16,(E47)-(J35))),0.000001)))*0.30600918))/MAX(((G32)*(MAX($D$16,(E47)-(K32)))^2)/2+(I32)*(MAX($D$16,(E47)-(K32)))^3/3+(ABS(G47)^2)/($I$5*MAX(((G32)+(I32)*(MAX($D$16,(E47)-(K32))))*(MAX($D$16,(E47)-(K32))),0.000001)),0.000001)</f>
        <v>0.69398626857247869</v>
      </c>
      <c r="W47">
        <f>IF(N6="None",ABS(P47-D47),MAX(ABS(P47-D47),ABS(Q47-D47)))</f>
        <v>2749.6514767014887</v>
      </c>
      <c r="X47">
        <f>IF(AND(N7="None",N8="None"),0,IF(N8="None",ABS(S47-E47),IF(N7="None",ABS(T47-E47),MAX(ABS(S47-E47),ABS(T47-E47)))))</f>
        <v>50421.816099303564</v>
      </c>
      <c r="AA47">
        <f t="shared" si="3"/>
        <v>52844.589559160107</v>
      </c>
      <c r="AB47">
        <f t="shared" si="4"/>
        <v>40461.667197920491</v>
      </c>
      <c r="AC47">
        <f>IF(N6="None",P47,MAX(P47,Q47))</f>
        <v>51057.316099304138</v>
      </c>
      <c r="AD47">
        <f>IF(AND(N7="None",N8="None"),E47,IF(N8="None",S47,IF(N7="None",T47,MAX(S47,T47))))</f>
        <v>20784.03352392335</v>
      </c>
      <c r="AE47">
        <f t="shared" si="5"/>
        <v>637.65825101097471</v>
      </c>
      <c r="AF47">
        <f t="shared" si="6"/>
        <v>53806.967576005663</v>
      </c>
      <c r="AG47">
        <f>((G31)*(MAX($D$16,(AC47)-(K31)))^2)/2+(I31)*(MAX($D$16,(AC47)-(K31)))^3/3+(ABS(F47)^2)/($I$5*MAX(((G31)+(I31)*(MAX($D$16,(AC47)-(K31))))*(MAX($D$16,(AC47)-(K31))),0.000001))</f>
        <v>8336794393.1627874</v>
      </c>
      <c r="AH47">
        <f>((G31)*(MAX($D$16,(AE47)-(K31)))^2)/2+(I31)*(MAX($D$16,(AE47)-(K31)))^3/3+(ABS(F47)^2)/($I$5*MAX(((G31)+(I31)*(MAX($D$16,(AE47)-(K31))))*(MAX($D$16,(AE47)-(K31))),0.000001))</f>
        <v>49.055863330985233</v>
      </c>
      <c r="AI47">
        <f>((G32)*(MAX($D$16,(AD47)-(K32)))^2)/2+(I32)*(MAX($D$16,(AD47)-(K32)))^3/3+(ABS(G47)^2)/($I$5*MAX(((G32)+(I32)*(MAX($D$16,(AD47)-(K32))))*(MAX($D$16,(AD47)-(K32))),0.000001))</f>
        <v>2072376743.6648252</v>
      </c>
      <c r="AJ47">
        <f>((G32)*(MAX($D$16,(AF47)-(K32)))^2)/2+(I32)*(MAX($D$16,(AF47)-(K32)))^3/3+(ABS(G47)^2)/($I$5*MAX(((G32)+(I32)*(MAX($D$16,(AF47)-(K32))))*(MAX($D$16,(AF47)-(K32))),0.000001))</f>
        <v>14429194170.792427</v>
      </c>
      <c r="AK47" t="str">
        <f t="shared" si="7"/>
        <v>Subcritical</v>
      </c>
      <c r="AL47" t="str">
        <f t="shared" si="8"/>
        <v>Supercritical</v>
      </c>
      <c r="AM47">
        <f t="shared" si="9"/>
        <v>52844.589559160107</v>
      </c>
      <c r="AN47">
        <f t="shared" si="10"/>
        <v>52019.694116149301</v>
      </c>
      <c r="AO47">
        <f t="shared" si="11"/>
        <v>2749.6514767014887</v>
      </c>
      <c r="AP47">
        <f t="shared" si="12"/>
        <v>2749.6514767020999</v>
      </c>
    </row>
    <row r="48" spans="1:42" x14ac:dyDescent="0.35">
      <c r="A48">
        <v>5</v>
      </c>
      <c r="B48">
        <f t="shared" si="13"/>
        <v>0</v>
      </c>
      <c r="C48">
        <f t="shared" si="14"/>
        <v>0</v>
      </c>
      <c r="D48">
        <f t="shared" si="15"/>
        <v>52844.589559160107</v>
      </c>
      <c r="E48">
        <f t="shared" si="16"/>
        <v>52019.694116149301</v>
      </c>
      <c r="F48">
        <f t="shared" si="2"/>
        <v>51</v>
      </c>
      <c r="G48">
        <f>IF(N6="None",F48,MAX(0,F48*B48))</f>
        <v>51</v>
      </c>
      <c r="H48">
        <f>IF(N6="None",0,MAX(0,F48-G48))</f>
        <v>0</v>
      </c>
      <c r="I48">
        <f>IF(AND(N7="None",N8="None"),0,IF(N8="None",G48,IF(N7="None",0,MAX(0,G48*C48))))</f>
        <v>0</v>
      </c>
      <c r="J48">
        <f>IF(AND(N7="None",N8="None"),0,IF(N8="None",0,IF(N7="None",G48,MAX(0,G48-I48))))</f>
        <v>51</v>
      </c>
      <c r="K48">
        <f>P5</f>
        <v>637</v>
      </c>
      <c r="L48">
        <f>P6</f>
        <v>634.3119999999999</v>
      </c>
      <c r="M48">
        <f>P7</f>
        <v>635.5</v>
      </c>
      <c r="N48">
        <f>P8</f>
        <v>631.54999999999995</v>
      </c>
      <c r="O48">
        <f>K48+((ABS(F48)/MAX(((F31)+(H31)*(MAX($D$16,(K48)-(J31))))*(MAX($D$16,(K48)-(J31))),0.000001))^2)/(2*$I$5)-((E31)*((((ABS(F48)*$D$6)/(MAX(((F31)+(H31)*(MAX($D$16,(K48)-(J31))))*(MAX($D$16,(K48)-(J31))),0.000001)*MAX(((((F31)+(H31)*(MAX($D$16,(K48)-(J31))))*(MAX($D$16,(K48)-(J31))))/MAX((F31)+2*(MAX($D$16,(K48)-(J31)))*SQRT(1+(H31)^2),0.000001))^(2/3),0.000001)))^2)+(((ABS(F48)*$D$6)/(MAX(((G31)+(I31)*(MAX($D$16,(D48)-(K31))))*(MAX($D$16,(D48)-(K31))),0.000001)*MAX(((((G31)+(I31)*(MAX($D$16,(D48)-(K31))))*(MAX($D$16,(D48)-(K31))))/MAX((G31)+2*(MAX($D$16,(D48)-(K31)))*SQRT(1+(I31)^2),0.000001))^(2/3),0.000001)))^2))/2)+(IF((ABS(F48)/MAX(((G31)+(I31)*(MAX($D$16,(D48)-(K31))))*(MAX($D$16,(D48)-(K31))),0.000001))&gt;(ABS(F48)/MAX(((F31)+(H31)*(MAX($D$16,(K48)-(J31))))*(MAX($D$16,(K48)-(J31))),0.000001)),$D$9*((((ABS(F48)/MAX(((G31)+(I31)*(MAX($D$16,(D48)-(K31))))*(MAX($D$16,(D48)-(K31))),0.000001))^2)/(2*$I$5))-(((ABS(F48)/MAX(((F31)+(H31)*(MAX($D$16,(K48)-(J31))))*(MAX($D$16,(K48)-(J31))),0.000001))^2)/(2*$I$5))),$D$8*((((ABS(F48)/MAX(((F31)+(H31)*(MAX($D$16,(K48)-(J31))))*(MAX($D$16,(K48)-(J31))),0.000001))^2)/(2*$I$5))-(((ABS(F48)/MAX(((G31)+(I31)*(MAX($D$16,(D48)-(K31))))*(MAX($D$16,(D48)-(K31))),0.000001))^2)/(2*$I$5)))))+($D$10*(ABS((X31)-(W31))/90)*MAX(((ABS(F48)/MAX(((F31)+(H31)*(MAX($D$16,(K48)-(J31))))*(MAX($D$16,(K48)-(J31))),0.000001))^2)/(2*$I$5),((ABS(F48)/MAX(((G31)+(I31)*(MAX($D$16,(D48)-(K31))))*(MAX($D$16,(D48)-(K31))),0.000001))^2)/(2*$I$5)))+(0)-((ABS(F48)/MAX(((G31)+(I31)*(MAX($D$16,(D48)-(K31))))*(MAX($D$16,(D48)-(K31))),0.000001))^2)/(2*$I$5)</f>
        <v>637.65825101092184</v>
      </c>
      <c r="P48">
        <f>E48+((ABS(G48)/MAX(((G32)+(I32)*(MAX($D$16,(E48)-(K32))))*(MAX($D$16,(E48)-(K32))),0.000001))^2)/(2*$I$5)+((E32)*((((ABS(G48)*$D$6)/(MAX(((F32)+(H32)*(MAX($D$16,(D48)-(J32))))*(MAX($D$16,(D48)-(J32))),0.000001)*MAX(((((F32)+(H32)*(MAX($D$16,(D48)-(J32))))*(MAX($D$16,(D48)-(J32))))/MAX((F32)+2*(MAX($D$16,(D48)-(J32)))*SQRT(1+(H32)^2),0.000001))^(2/3),0.000001)))^2)+(((ABS(G48)*$D$6)/(MAX(((G32)+(I32)*(MAX($D$16,(E48)-(K32))))*(MAX($D$16,(E48)-(K32))),0.000001)*MAX(((((G32)+(I32)*(MAX($D$16,(E48)-(K32))))*(MAX($D$16,(E48)-(K32))))/MAX((G32)+2*(MAX($D$16,(E48)-(K32)))*SQRT(1+(I32)^2),0.000001))^(2/3),0.000001)))^2))/2)+(IF((ABS(G48)/MAX(((G32)+(I32)*(MAX($D$16,(E48)-(K32))))*(MAX($D$16,(E48)-(K32))),0.000001))&gt;(ABS(G48)/MAX(((F32)+(H32)*(MAX($D$16,(D48)-(J32))))*(MAX($D$16,(D48)-(J32))),0.000001)),$D$9*((((ABS(G48)/MAX(((G32)+(I32)*(MAX($D$16,(E48)-(K32))))*(MAX($D$16,(E48)-(K32))),0.000001))^2)/(2*$I$5))-(((ABS(G48)/MAX(((F32)+(H32)*(MAX($D$16,(D48)-(J32))))*(MAX($D$16,(D48)-(J32))),0.000001))^2)/(2*$I$5))),$D$8*((((ABS(G48)/MAX(((F32)+(H32)*(MAX($D$16,(D48)-(J32))))*(MAX($D$16,(D48)-(J32))),0.000001))^2)/(2*$I$5))-(((ABS(G48)/MAX(((G32)+(I32)*(MAX($D$16,(E48)-(K32))))*(MAX($D$16,(E48)-(K32))),0.000001))^2)/(2*$I$5)))))+($D$10*(ABS((X32)-(W32))/90)*MAX(((ABS(G48)/MAX(((F32)+(H32)*(MAX($D$16,(D48)-(J32))))*(MAX($D$16,(D48)-(J32))),0.000001))^2)/(2*$I$5),((ABS(G48)/MAX(((G32)+(I32)*(MAX($D$16,(E48)-(K32))))*(MAX($D$16,(E48)-(K32))),0.000001))^2)/(2*$I$5)))+(($D$11*0.13607488*(ABS(H48)/MAX(ABS(F48),0.000001))^2*MAX(((ABS(G48)/MAX(((F32)+(H32)*(MAX($D$16,(D48)-(J32))))*(MAX($D$16,(D48)-(J32))),0.000001))^2)/(2*$I$5),((ABS(G48)/MAX(((G32)+(I32)*(MAX($D$16,(E48)-(K32))))*(MAX($D$16,(E48)-(K32))),0.000001))^2)/(2*$I$5))))-((ABS(G48)/MAX(((F32)+(H32)*(MAX($D$16,(D48)-(J32))))*(MAX($D$16,(D48)-(J32))),0.000001))^2)/(2*$I$5)</f>
        <v>52019.694116149854</v>
      </c>
      <c r="Q48">
        <f>L48+((ABS(H48)/MAX(((G33)+(I33)*(MAX($D$16,(L48)-(K33))))*(MAX($D$16,(L48)-(K33))),0.000001))^2)/(2*$I$5)+((E33)*((((ABS(H48)*$D$6)/(MAX(((F33)+(H33)*(MAX($D$16,(D48)-(J33))))*(MAX($D$16,(D48)-(J33))),0.000001)*MAX(((((F33)+(H33)*(MAX($D$16,(D48)-(J33))))*(MAX($D$16,(D48)-(J33))))/MAX((F33)+2*(MAX($D$16,(D48)-(J33)))*SQRT(1+(H33)^2),0.000001))^(2/3),0.000001)))^2)+(((ABS(H48)*$D$6)/(MAX(((G33)+(I33)*(MAX($D$16,(L48)-(K33))))*(MAX($D$16,(L48)-(K33))),0.000001)*MAX(((((G33)+(I33)*(MAX($D$16,(L48)-(K33))))*(MAX($D$16,(L48)-(K33))))/MAX((G33)+2*(MAX($D$16,(L48)-(K33)))*SQRT(1+(I33)^2),0.000001))^(2/3),0.000001)))^2))/2)+(IF((ABS(H48)/MAX(((G33)+(I33)*(MAX($D$16,(L48)-(K33))))*(MAX($D$16,(L48)-(K33))),0.000001))&gt;(ABS(H48)/MAX(((F33)+(H33)*(MAX($D$16,(D48)-(J33))))*(MAX($D$16,(D48)-(J33))),0.000001)),$D$9*((((ABS(H48)/MAX(((G33)+(I33)*(MAX($D$16,(L48)-(K33))))*(MAX($D$16,(L48)-(K33))),0.000001))^2)/(2*$I$5))-(((ABS(H48)/MAX(((F33)+(H33)*(MAX($D$16,(D48)-(J33))))*(MAX($D$16,(D48)-(J33))),0.000001))^2)/(2*$I$5))),$D$8*((((ABS(H48)/MAX(((F33)+(H33)*(MAX($D$16,(D48)-(J33))))*(MAX($D$16,(D48)-(J33))),0.000001))^2)/(2*$I$5))-(((ABS(H48)/MAX(((G33)+(I33)*(MAX($D$16,(L48)-(K33))))*(MAX($D$16,(L48)-(K33))),0.000001))^2)/(2*$I$5)))))+($D$10*(ABS((X33)-(W33))/90)*MAX(((ABS(H48)/MAX(((F33)+(H33)*(MAX($D$16,(D48)-(J33))))*(MAX($D$16,(D48)-(J33))),0.000001))^2)/(2*$I$5),((ABS(H48)/MAX(((G33)+(I33)*(MAX($D$16,(L48)-(K33))))*(MAX($D$16,(L48)-(K33))),0.000001))^2)/(2*$I$5)))+(($D$11*0.00000015*(ABS(G48)/MAX(ABS(F48),0.000001))^2*MAX(((ABS(H48)/MAX(((F33)+(H33)*(MAX($D$16,(D48)-(J33))))*(MAX($D$16,(D48)-(J33))),0.000001))^2)/(2*$I$5),((ABS(H48)/MAX(((G33)+(I33)*(MAX($D$16,(L48)-(K33))))*(MAX($D$16,(L48)-(K33))),0.000001))^2)/(2*$I$5))))-((ABS(H48)/MAX(((F33)+(H33)*(MAX($D$16,(D48)-(J33))))*(MAX($D$16,(D48)-(J33))),0.000001))^2)/(2*$I$5)</f>
        <v>634.3119999999999</v>
      </c>
      <c r="R48">
        <f>D48+((ABS(G48)/MAX(((F32)+(H32)*(MAX($D$16,(D48)-(J32))))*(MAX($D$16,(D48)-(J32))),0.000001))^2)/(2*$I$5)-((E32)*((((ABS(G48)*$D$6)/(MAX(((F32)+(H32)*(MAX($D$16,(D48)-(J32))))*(MAX($D$16,(D48)-(J32))),0.000001)*MAX(((((F32)+(H32)*(MAX($D$16,(D48)-(J32))))*(MAX($D$16,(D48)-(J32))))/MAX((F32)+2*(MAX($D$16,(D48)-(J32)))*SQRT(1+(H32)^2),0.000001))^(2/3),0.000001)))^2)+(((ABS(G48)*$D$6)/(MAX(((G32)+(I32)*(MAX($D$16,(E48)-(K32))))*(MAX($D$16,(E48)-(K32))),0.000001)*MAX(((((G32)+(I32)*(MAX($D$16,(E48)-(K32))))*(MAX($D$16,(E48)-(K32))))/MAX((G32)+2*(MAX($D$16,(E48)-(K32)))*SQRT(1+(I32)^2),0.000001))^(2/3),0.000001)))^2))/2)+(IF((ABS(G48)/MAX(((G32)+(I32)*(MAX($D$16,(E48)-(K32))))*(MAX($D$16,(E48)-(K32))),0.000001))&gt;(ABS(G48)/MAX(((F32)+(H32)*(MAX($D$16,(D48)-(J32))))*(MAX($D$16,(D48)-(J32))),0.000001)),$D$9*((((ABS(G48)/MAX(((G32)+(I32)*(MAX($D$16,(E48)-(K32))))*(MAX($D$16,(E48)-(K32))),0.000001))^2)/(2*$I$5))-(((ABS(G48)/MAX(((F32)+(H32)*(MAX($D$16,(D48)-(J32))))*(MAX($D$16,(D48)-(J32))),0.000001))^2)/(2*$I$5))),$D$8*((((ABS(G48)/MAX(((F32)+(H32)*(MAX($D$16,(D48)-(J32))))*(MAX($D$16,(D48)-(J32))),0.000001))^2)/(2*$I$5))-(((ABS(G48)/MAX(((G32)+(I32)*(MAX($D$16,(E48)-(K32))))*(MAX($D$16,(E48)-(K32))),0.000001))^2)/(2*$I$5)))))+($D$10*(ABS((X32)-(W32))/90)*MAX(((ABS(G48)/MAX(((F32)+(H32)*(MAX($D$16,(D48)-(J32))))*(MAX($D$16,(D48)-(J32))),0.000001))^2)/(2*$I$5),((ABS(G48)/MAX(((G32)+(I32)*(MAX($D$16,(E48)-(K32))))*(MAX($D$16,(E48)-(K32))),0.000001))^2)/(2*$I$5)))+(($D$11*0.13607488*(ABS(H48)/MAX(ABS(F48),0.000001))^2*MAX(((ABS(G48)/MAX(((F32)+(H32)*(MAX($D$16,(D48)-(J32))))*(MAX($D$16,(D48)-(J32))),0.000001))^2)/(2*$I$5),((ABS(G48)/MAX(((G32)+(I32)*(MAX($D$16,(E48)-(K32))))*(MAX($D$16,(E48)-(K32))),0.000001))^2)/(2*$I$5))))-((ABS(G48)/MAX(((G32)+(I32)*(MAX($D$16,(E48)-(K32))))*(MAX($D$16,(E48)-(K32))),0.000001))^2)/(2*$I$5)</f>
        <v>52844.589559160209</v>
      </c>
      <c r="S48">
        <f>M48+((ABS(I48)/MAX(((G34)+(I34)*(MAX($D$16,(M48)-(K34))))*(MAX($D$16,(M48)-(K34))),0.000001))^2)/(2*$I$5)+((E34)*((((ABS(I48)*$D$6)/(MAX(((F34)+(H34)*(MAX($D$16,(E48)-(J34))))*(MAX($D$16,(E48)-(J34))),0.000001)*MAX(((((F34)+(H34)*(MAX($D$16,(E48)-(J34))))*(MAX($D$16,(E48)-(J34))))/MAX((F34)+2*(MAX($D$16,(E48)-(J34)))*SQRT(1+(H34)^2),0.000001))^(2/3),0.000001)))^2)+(((ABS(I48)*$D$6)/(MAX(((G34)+(I34)*(MAX($D$16,(M48)-(K34))))*(MAX($D$16,(M48)-(K34))),0.000001)*MAX(((((G34)+(I34)*(MAX($D$16,(M48)-(K34))))*(MAX($D$16,(M48)-(K34))))/MAX((G34)+2*(MAX($D$16,(M48)-(K34)))*SQRT(1+(I34)^2),0.000001))^(2/3),0.000001)))^2))/2)+(IF((ABS(I48)/MAX(((G34)+(I34)*(MAX($D$16,(M48)-(K34))))*(MAX($D$16,(M48)-(K34))),0.000001))&gt;(ABS(I48)/MAX(((F34)+(H34)*(MAX($D$16,(E48)-(J34))))*(MAX($D$16,(E48)-(J34))),0.000001)),$D$9*((((ABS(I48)/MAX(((G34)+(I34)*(MAX($D$16,(M48)-(K34))))*(MAX($D$16,(M48)-(K34))),0.000001))^2)/(2*$I$5))-(((ABS(I48)/MAX(((F34)+(H34)*(MAX($D$16,(E48)-(J34))))*(MAX($D$16,(E48)-(J34))),0.000001))^2)/(2*$I$5))),$D$8*((((ABS(I48)/MAX(((F34)+(H34)*(MAX($D$16,(E48)-(J34))))*(MAX($D$16,(E48)-(J34))),0.000001))^2)/(2*$I$5))-(((ABS(I48)/MAX(((G34)+(I34)*(MAX($D$16,(M48)-(K34))))*(MAX($D$16,(M48)-(K34))),0.000001))^2)/(2*$I$5)))))+($D$10*(ABS((X34)-(W34))/90)*MAX(((ABS(I48)/MAX(((F34)+(H34)*(MAX($D$16,(E48)-(J34))))*(MAX($D$16,(E48)-(J34))),0.000001))^2)/(2*$I$5),((ABS(I48)/MAX(((G34)+(I34)*(MAX($D$16,(M48)-(K34))))*(MAX($D$16,(M48)-(K34))),0.000001))^2)/(2*$I$5)))+(0)-((ABS(I48)/MAX(((F34)+(H34)*(MAX($D$16,(E48)-(J34))))*(MAX($D$16,(E48)-(J34))),0.000001))^2)/(2*$I$5)</f>
        <v>635.5</v>
      </c>
      <c r="T48">
        <f>N48+((ABS(J48)/MAX(((G35)+(I35)*(MAX($D$16,(N48)-(K35))))*(MAX($D$16,(N48)-(K35))),0.000001))^2)/(2*$I$5)+((E35)*((((ABS(J48)*$D$6)/(MAX(((F35)+(H35)*(MAX($D$16,(E48)-(J35))))*(MAX($D$16,(E48)-(J35))),0.000001)*MAX(((((F35)+(H35)*(MAX($D$16,(E48)-(J35))))*(MAX($D$16,(E48)-(J35))))/MAX((F35)+2*(MAX($D$16,(E48)-(J35)))*SQRT(1+(H35)^2),0.000001))^(2/3),0.000001)))^2)+(((ABS(J48)*$D$6)/(MAX(((G35)+(I35)*(MAX($D$16,(N48)-(K35))))*(MAX($D$16,(N48)-(K35))),0.000001)*MAX(((((G35)+(I35)*(MAX($D$16,(N48)-(K35))))*(MAX($D$16,(N48)-(K35))))/MAX((G35)+2*(MAX($D$16,(N48)-(K35)))*SQRT(1+(I35)^2),0.000001))^(2/3),0.000001)))^2))/2)+(IF((ABS(J48)/MAX(((G35)+(I35)*(MAX($D$16,(N48)-(K35))))*(MAX($D$16,(N48)-(K35))),0.000001))&gt;(ABS(J48)/MAX(((F35)+(H35)*(MAX($D$16,(E48)-(J35))))*(MAX($D$16,(E48)-(J35))),0.000001)),$D$9*((((ABS(J48)/MAX(((G35)+(I35)*(MAX($D$16,(N48)-(K35))))*(MAX($D$16,(N48)-(K35))),0.000001))^2)/(2*$I$5))-(((ABS(J48)/MAX(((F35)+(H35)*(MAX($D$16,(E48)-(J35))))*(MAX($D$16,(E48)-(J35))),0.000001))^2)/(2*$I$5))),$D$8*((((ABS(J48)/MAX(((F35)+(H35)*(MAX($D$16,(E48)-(J35))))*(MAX($D$16,(E48)-(J35))),0.000001))^2)/(2*$I$5))-(((ABS(J48)/MAX(((G35)+(I35)*(MAX($D$16,(N48)-(K35))))*(MAX($D$16,(N48)-(K35))),0.000001))^2)/(2*$I$5)))))+($D$10*(ABS((X35)-(W35))/90)*MAX(((ABS(J48)/MAX(((F35)+(H35)*(MAX($D$16,(E48)-(J35))))*(MAX($D$16,(E48)-(J35))),0.000001))^2)/(2*$I$5),((ABS(J48)/MAX(((G35)+(I35)*(MAX($D$16,(N48)-(K35))))*(MAX($D$16,(N48)-(K35))),0.000001))^2)/(2*$I$5)))+(($D$11*0.34699541*(ABS(I48)/MAX(ABS(G48),0.000001))^2*MAX(((ABS(J48)/MAX(((F35)+(H35)*(MAX($D$16,(E48)-(J35))))*(MAX($D$16,(E48)-(J35))),0.000001))^2)/(2*$I$5),((ABS(J48)/MAX(((G35)+(I35)*(MAX($D$16,(N48)-(K35))))*(MAX($D$16,(N48)-(K35))),0.000001))^2)/(2*$I$5))))-((ABS(J48)/MAX(((F35)+(H35)*(MAX($D$16,(E48)-(J35))))*(MAX($D$16,(E48)-(J35))),0.000001))^2)/(2*$I$5)</f>
        <v>20784.033523923375</v>
      </c>
      <c r="U48">
        <f>(((((F32)*(MAX($D$16,(D48)-(J32)))^2)/2+(H32)*(MAX($D$16,(D48)-(J32)))^3/3+(ABS(G48)^2)/($I$5*MAX(((F32)+(H32)*(MAX($D$16,(D48)-(J32))))*(MAX($D$16,(D48)-(J32))),0.000001)))*0.72785025)-((((F33)*(MAX($D$16,(D48)-(J33)))^2)/2+(H33)*(MAX($D$16,(D48)-(J33)))^3/3+(ABS(H48)^2)/($I$5*MAX(((F33)+(H33)*(MAX($D$16,(D48)-(J33))))*(MAX($D$16,(D48)-(J33))),0.000001)))*0.99999971))/MAX(((G31)*(MAX($D$16,(D48)-(K31)))^2)/2+(I31)*(MAX($D$16,(D48)-(K31)))^3/3+(ABS(F48)^2)/($I$5*MAX(((G31)+(I31)*(MAX($D$16,(D48)-(K31))))*(MAX($D$16,(D48)-(K31))),0.000001)),0.000001)</f>
        <v>-0.2721494599999133</v>
      </c>
      <c r="V48">
        <f>(((((F34)*(MAX($D$16,(E48)-(J34)))^2)/2+(H34)*(MAX($D$16,(E48)-(J34)))^3/3+(ABS(I48)^2)/($I$5*MAX(((F34)+(H34)*(MAX($D$16,(E48)-(J34))))*(MAX($D$16,(E48)-(J34))),0.000001)))*1)-((((F35)*(MAX($D$16,(E48)-(J35)))^2)/2+(H35)*(MAX($D$16,(E48)-(J35)))^3/3+(ABS(J48)^2)/($I$5*MAX(((F35)+(H35)*(MAX($D$16,(E48)-(J35))))*(MAX($D$16,(E48)-(J35))),0.000001)))*0.30600918))/MAX(((G32)*(MAX($D$16,(E48)-(K32)))^2)/2+(I32)*(MAX($D$16,(E48)-(K32)))^3/3+(ABS(G48)^2)/($I$5*MAX(((G32)+(I32)*(MAX($D$16,(E48)-(K32))))*(MAX($D$16,(E48)-(K32))),0.000001)),0.000001)</f>
        <v>0.69398635381076912</v>
      </c>
      <c r="W48">
        <f>IF(N6="None",ABS(P48-D48),MAX(ABS(P48-D48),ABS(Q48-D48)))</f>
        <v>824.89544301025308</v>
      </c>
      <c r="X48">
        <f>IF(AND(N7="None",N8="None"),0,IF(N8="None",ABS(S48-E48),IF(N7="None",ABS(T48-E48),MAX(ABS(S48-E48),ABS(T48-E48)))))</f>
        <v>51384.194116149301</v>
      </c>
      <c r="AA48">
        <f t="shared" si="3"/>
        <v>52555.876154106518</v>
      </c>
      <c r="AB48">
        <f t="shared" si="4"/>
        <v>41087.212908870228</v>
      </c>
      <c r="AC48">
        <f>IF(N6="None",P48,MAX(P48,Q48))</f>
        <v>52019.694116149854</v>
      </c>
      <c r="AD48">
        <f>IF(AND(N7="None",N8="None"),E48,IF(N8="None",S48,IF(N7="None",T48,MAX(S48,T48))))</f>
        <v>20784.033523923375</v>
      </c>
      <c r="AE48">
        <f t="shared" si="5"/>
        <v>637.65825101092184</v>
      </c>
      <c r="AF48">
        <f t="shared" si="6"/>
        <v>52844.589559160209</v>
      </c>
      <c r="AG48">
        <f>((G31)*(MAX($D$16,(AC48)-(K31)))^2)/2+(I31)*(MAX($D$16,(AC48)-(K31)))^3/3+(ABS(F48)^2)/($I$5*MAX(((G31)+(I31)*(MAX($D$16,(AC48)-(K31))))*(MAX($D$16,(AC48)-(K31))),0.000001))</f>
        <v>8658064844.6314754</v>
      </c>
      <c r="AH48">
        <f>((G31)*(MAX($D$16,(AE48)-(K31)))^2)/2+(I31)*(MAX($D$16,(AE48)-(K31)))^3/3+(ABS(F48)^2)/($I$5*MAX(((G31)+(I31)*(MAX($D$16,(AE48)-(K31))))*(MAX($D$16,(AE48)-(K31))),0.000001))</f>
        <v>49.055863330009579</v>
      </c>
      <c r="AI48">
        <f>((G32)*(MAX($D$16,(AD48)-(K32)))^2)/2+(I32)*(MAX($D$16,(AD48)-(K32)))^3/3+(ABS(G48)^2)/($I$5*MAX(((G32)+(I32)*(MAX($D$16,(AD48)-(K32))))*(MAX($D$16,(AD48)-(K32))),0.000001))</f>
        <v>2072376743.6648307</v>
      </c>
      <c r="AJ48">
        <f>((G32)*(MAX($D$16,(AF48)-(K32)))^2)/2+(I32)*(MAX($D$16,(AF48)-(K32)))^3/3+(ABS(G48)^2)/($I$5*MAX(((G32)+(I32)*(MAX($D$16,(AF48)-(K32))))*(MAX($D$16,(AF48)-(K32))),0.000001))</f>
        <v>13911633067.030743</v>
      </c>
      <c r="AK48" t="str">
        <f t="shared" si="7"/>
        <v>Subcritical</v>
      </c>
      <c r="AL48" t="str">
        <f t="shared" si="8"/>
        <v>Supercritical</v>
      </c>
      <c r="AM48">
        <f t="shared" si="9"/>
        <v>52555.876154106518</v>
      </c>
      <c r="AN48">
        <f t="shared" si="10"/>
        <v>52308.407521203117</v>
      </c>
      <c r="AO48">
        <f t="shared" si="11"/>
        <v>824.89544301025308</v>
      </c>
      <c r="AP48">
        <f t="shared" si="12"/>
        <v>824.89544301090791</v>
      </c>
    </row>
    <row r="49" spans="1:42" x14ac:dyDescent="0.35">
      <c r="A49">
        <v>6</v>
      </c>
      <c r="B49">
        <f t="shared" si="13"/>
        <v>0</v>
      </c>
      <c r="C49">
        <f t="shared" si="14"/>
        <v>0</v>
      </c>
      <c r="D49">
        <f t="shared" si="15"/>
        <v>52555.876154106518</v>
      </c>
      <c r="E49">
        <f t="shared" si="16"/>
        <v>52308.407521203117</v>
      </c>
      <c r="F49">
        <f t="shared" si="2"/>
        <v>51</v>
      </c>
      <c r="G49">
        <f>IF(N6="None",F49,MAX(0,F49*B49))</f>
        <v>51</v>
      </c>
      <c r="H49">
        <f>IF(N6="None",0,MAX(0,F49-G49))</f>
        <v>0</v>
      </c>
      <c r="I49">
        <f>IF(AND(N7="None",N8="None"),0,IF(N8="None",G49,IF(N7="None",0,MAX(0,G49*C49))))</f>
        <v>0</v>
      </c>
      <c r="J49">
        <f>IF(AND(N7="None",N8="None"),0,IF(N8="None",0,IF(N7="None",G49,MAX(0,G49-I49))))</f>
        <v>51</v>
      </c>
      <c r="K49">
        <f>P5</f>
        <v>637</v>
      </c>
      <c r="L49">
        <f>P6</f>
        <v>634.3119999999999</v>
      </c>
      <c r="M49">
        <f>P7</f>
        <v>635.5</v>
      </c>
      <c r="N49">
        <f>P8</f>
        <v>631.54999999999995</v>
      </c>
      <c r="O49">
        <f>K49+((ABS(F49)/MAX(((F31)+(H31)*(MAX($D$16,(K49)-(J31))))*(MAX($D$16,(K49)-(J31))),0.000001))^2)/(2*$I$5)-((E31)*((((ABS(F49)*$D$6)/(MAX(((F31)+(H31)*(MAX($D$16,(K49)-(J31))))*(MAX($D$16,(K49)-(J31))),0.000001)*MAX(((((F31)+(H31)*(MAX($D$16,(K49)-(J31))))*(MAX($D$16,(K49)-(J31))))/MAX((F31)+2*(MAX($D$16,(K49)-(J31)))*SQRT(1+(H31)^2),0.000001))^(2/3),0.000001)))^2)+(((ABS(F49)*$D$6)/(MAX(((G31)+(I31)*(MAX($D$16,(D49)-(K31))))*(MAX($D$16,(D49)-(K31))),0.000001)*MAX(((((G31)+(I31)*(MAX($D$16,(D49)-(K31))))*(MAX($D$16,(D49)-(K31))))/MAX((G31)+2*(MAX($D$16,(D49)-(K31)))*SQRT(1+(I31)^2),0.000001))^(2/3),0.000001)))^2))/2)+(IF((ABS(F49)/MAX(((G31)+(I31)*(MAX($D$16,(D49)-(K31))))*(MAX($D$16,(D49)-(K31))),0.000001))&gt;(ABS(F49)/MAX(((F31)+(H31)*(MAX($D$16,(K49)-(J31))))*(MAX($D$16,(K49)-(J31))),0.000001)),$D$9*((((ABS(F49)/MAX(((G31)+(I31)*(MAX($D$16,(D49)-(K31))))*(MAX($D$16,(D49)-(K31))),0.000001))^2)/(2*$I$5))-(((ABS(F49)/MAX(((F31)+(H31)*(MAX($D$16,(K49)-(J31))))*(MAX($D$16,(K49)-(J31))),0.000001))^2)/(2*$I$5))),$D$8*((((ABS(F49)/MAX(((F31)+(H31)*(MAX($D$16,(K49)-(J31))))*(MAX($D$16,(K49)-(J31))),0.000001))^2)/(2*$I$5))-(((ABS(F49)/MAX(((G31)+(I31)*(MAX($D$16,(D49)-(K31))))*(MAX($D$16,(D49)-(K31))),0.000001))^2)/(2*$I$5)))))+($D$10*(ABS((X31)-(W31))/90)*MAX(((ABS(F49)/MAX(((F31)+(H31)*(MAX($D$16,(K49)-(J31))))*(MAX($D$16,(K49)-(J31))),0.000001))^2)/(2*$I$5),((ABS(F49)/MAX(((G31)+(I31)*(MAX($D$16,(D49)-(K31))))*(MAX($D$16,(D49)-(K31))),0.000001))^2)/(2*$I$5)))+(0)-((ABS(F49)/MAX(((G31)+(I31)*(MAX($D$16,(D49)-(K31))))*(MAX($D$16,(D49)-(K31))),0.000001))^2)/(2*$I$5)</f>
        <v>637.65825101090536</v>
      </c>
      <c r="P49">
        <f>E49+((ABS(G49)/MAX(((G32)+(I32)*(MAX($D$16,(E49)-(K32))))*(MAX($D$16,(E49)-(K32))),0.000001))^2)/(2*$I$5)+((E32)*((((ABS(G49)*$D$6)/(MAX(((F32)+(H32)*(MAX($D$16,(D49)-(J32))))*(MAX($D$16,(D49)-(J32))),0.000001)*MAX(((((F32)+(H32)*(MAX($D$16,(D49)-(J32))))*(MAX($D$16,(D49)-(J32))))/MAX((F32)+2*(MAX($D$16,(D49)-(J32)))*SQRT(1+(H32)^2),0.000001))^(2/3),0.000001)))^2)+(((ABS(G49)*$D$6)/(MAX(((G32)+(I32)*(MAX($D$16,(E49)-(K32))))*(MAX($D$16,(E49)-(K32))),0.000001)*MAX(((((G32)+(I32)*(MAX($D$16,(E49)-(K32))))*(MAX($D$16,(E49)-(K32))))/MAX((G32)+2*(MAX($D$16,(E49)-(K32)))*SQRT(1+(I32)^2),0.000001))^(2/3),0.000001)))^2))/2)+(IF((ABS(G49)/MAX(((G32)+(I32)*(MAX($D$16,(E49)-(K32))))*(MAX($D$16,(E49)-(K32))),0.000001))&gt;(ABS(G49)/MAX(((F32)+(H32)*(MAX($D$16,(D49)-(J32))))*(MAX($D$16,(D49)-(J32))),0.000001)),$D$9*((((ABS(G49)/MAX(((G32)+(I32)*(MAX($D$16,(E49)-(K32))))*(MAX($D$16,(E49)-(K32))),0.000001))^2)/(2*$I$5))-(((ABS(G49)/MAX(((F32)+(H32)*(MAX($D$16,(D49)-(J32))))*(MAX($D$16,(D49)-(J32))),0.000001))^2)/(2*$I$5))),$D$8*((((ABS(G49)/MAX(((F32)+(H32)*(MAX($D$16,(D49)-(J32))))*(MAX($D$16,(D49)-(J32))),0.000001))^2)/(2*$I$5))-(((ABS(G49)/MAX(((G32)+(I32)*(MAX($D$16,(E49)-(K32))))*(MAX($D$16,(E49)-(K32))),0.000001))^2)/(2*$I$5)))))+($D$10*(ABS((X32)-(W32))/90)*MAX(((ABS(G49)/MAX(((F32)+(H32)*(MAX($D$16,(D49)-(J32))))*(MAX($D$16,(D49)-(J32))),0.000001))^2)/(2*$I$5),((ABS(G49)/MAX(((G32)+(I32)*(MAX($D$16,(E49)-(K32))))*(MAX($D$16,(E49)-(K32))),0.000001))^2)/(2*$I$5)))+(($D$11*0.13607488*(ABS(H49)/MAX(ABS(F49),0.000001))^2*MAX(((ABS(G49)/MAX(((F32)+(H32)*(MAX($D$16,(D49)-(J32))))*(MAX($D$16,(D49)-(J32))),0.000001))^2)/(2*$I$5),((ABS(G49)/MAX(((G32)+(I32)*(MAX($D$16,(E49)-(K32))))*(MAX($D$16,(E49)-(K32))),0.000001))^2)/(2*$I$5))))-((ABS(G49)/MAX(((F32)+(H32)*(MAX($D$16,(D49)-(J32))))*(MAX($D$16,(D49)-(J32))),0.000001))^2)/(2*$I$5)</f>
        <v>52308.40752120367</v>
      </c>
      <c r="Q49">
        <f>L49+((ABS(H49)/MAX(((G33)+(I33)*(MAX($D$16,(L49)-(K33))))*(MAX($D$16,(L49)-(K33))),0.000001))^2)/(2*$I$5)+((E33)*((((ABS(H49)*$D$6)/(MAX(((F33)+(H33)*(MAX($D$16,(D49)-(J33))))*(MAX($D$16,(D49)-(J33))),0.000001)*MAX(((((F33)+(H33)*(MAX($D$16,(D49)-(J33))))*(MAX($D$16,(D49)-(J33))))/MAX((F33)+2*(MAX($D$16,(D49)-(J33)))*SQRT(1+(H33)^2),0.000001))^(2/3),0.000001)))^2)+(((ABS(H49)*$D$6)/(MAX(((G33)+(I33)*(MAX($D$16,(L49)-(K33))))*(MAX($D$16,(L49)-(K33))),0.000001)*MAX(((((G33)+(I33)*(MAX($D$16,(L49)-(K33))))*(MAX($D$16,(L49)-(K33))))/MAX((G33)+2*(MAX($D$16,(L49)-(K33)))*SQRT(1+(I33)^2),0.000001))^(2/3),0.000001)))^2))/2)+(IF((ABS(H49)/MAX(((G33)+(I33)*(MAX($D$16,(L49)-(K33))))*(MAX($D$16,(L49)-(K33))),0.000001))&gt;(ABS(H49)/MAX(((F33)+(H33)*(MAX($D$16,(D49)-(J33))))*(MAX($D$16,(D49)-(J33))),0.000001)),$D$9*((((ABS(H49)/MAX(((G33)+(I33)*(MAX($D$16,(L49)-(K33))))*(MAX($D$16,(L49)-(K33))),0.000001))^2)/(2*$I$5))-(((ABS(H49)/MAX(((F33)+(H33)*(MAX($D$16,(D49)-(J33))))*(MAX($D$16,(D49)-(J33))),0.000001))^2)/(2*$I$5))),$D$8*((((ABS(H49)/MAX(((F33)+(H33)*(MAX($D$16,(D49)-(J33))))*(MAX($D$16,(D49)-(J33))),0.000001))^2)/(2*$I$5))-(((ABS(H49)/MAX(((G33)+(I33)*(MAX($D$16,(L49)-(K33))))*(MAX($D$16,(L49)-(K33))),0.000001))^2)/(2*$I$5)))))+($D$10*(ABS((X33)-(W33))/90)*MAX(((ABS(H49)/MAX(((F33)+(H33)*(MAX($D$16,(D49)-(J33))))*(MAX($D$16,(D49)-(J33))),0.000001))^2)/(2*$I$5),((ABS(H49)/MAX(((G33)+(I33)*(MAX($D$16,(L49)-(K33))))*(MAX($D$16,(L49)-(K33))),0.000001))^2)/(2*$I$5)))+(($D$11*0.00000015*(ABS(G49)/MAX(ABS(F49),0.000001))^2*MAX(((ABS(H49)/MAX(((F33)+(H33)*(MAX($D$16,(D49)-(J33))))*(MAX($D$16,(D49)-(J33))),0.000001))^2)/(2*$I$5),((ABS(H49)/MAX(((G33)+(I33)*(MAX($D$16,(L49)-(K33))))*(MAX($D$16,(L49)-(K33))),0.000001))^2)/(2*$I$5))))-((ABS(H49)/MAX(((F33)+(H33)*(MAX($D$16,(D49)-(J33))))*(MAX($D$16,(D49)-(J33))),0.000001))^2)/(2*$I$5)</f>
        <v>634.3119999999999</v>
      </c>
      <c r="R49">
        <f>D49+((ABS(G49)/MAX(((F32)+(H32)*(MAX($D$16,(D49)-(J32))))*(MAX($D$16,(D49)-(J32))),0.000001))^2)/(2*$I$5)-((E32)*((((ABS(G49)*$D$6)/(MAX(((F32)+(H32)*(MAX($D$16,(D49)-(J32))))*(MAX($D$16,(D49)-(J32))),0.000001)*MAX(((((F32)+(H32)*(MAX($D$16,(D49)-(J32))))*(MAX($D$16,(D49)-(J32))))/MAX((F32)+2*(MAX($D$16,(D49)-(J32)))*SQRT(1+(H32)^2),0.000001))^(2/3),0.000001)))^2)+(((ABS(G49)*$D$6)/(MAX(((G32)+(I32)*(MAX($D$16,(E49)-(K32))))*(MAX($D$16,(E49)-(K32))),0.000001)*MAX(((((G32)+(I32)*(MAX($D$16,(E49)-(K32))))*(MAX($D$16,(E49)-(K32))))/MAX((G32)+2*(MAX($D$16,(E49)-(K32)))*SQRT(1+(I32)^2),0.000001))^(2/3),0.000001)))^2))/2)+(IF((ABS(G49)/MAX(((G32)+(I32)*(MAX($D$16,(E49)-(K32))))*(MAX($D$16,(E49)-(K32))),0.000001))&gt;(ABS(G49)/MAX(((F32)+(H32)*(MAX($D$16,(D49)-(J32))))*(MAX($D$16,(D49)-(J32))),0.000001)),$D$9*((((ABS(G49)/MAX(((G32)+(I32)*(MAX($D$16,(E49)-(K32))))*(MAX($D$16,(E49)-(K32))),0.000001))^2)/(2*$I$5))-(((ABS(G49)/MAX(((F32)+(H32)*(MAX($D$16,(D49)-(J32))))*(MAX($D$16,(D49)-(J32))),0.000001))^2)/(2*$I$5))),$D$8*((((ABS(G49)/MAX(((F32)+(H32)*(MAX($D$16,(D49)-(J32))))*(MAX($D$16,(D49)-(J32))),0.000001))^2)/(2*$I$5))-(((ABS(G49)/MAX(((G32)+(I32)*(MAX($D$16,(E49)-(K32))))*(MAX($D$16,(E49)-(K32))),0.000001))^2)/(2*$I$5)))))+($D$10*(ABS((X32)-(W32))/90)*MAX(((ABS(G49)/MAX(((F32)+(H32)*(MAX($D$16,(D49)-(J32))))*(MAX($D$16,(D49)-(J32))),0.000001))^2)/(2*$I$5),((ABS(G49)/MAX(((G32)+(I32)*(MAX($D$16,(E49)-(K32))))*(MAX($D$16,(E49)-(K32))),0.000001))^2)/(2*$I$5)))+(($D$11*0.13607488*(ABS(H49)/MAX(ABS(F49),0.000001))^2*MAX(((ABS(G49)/MAX(((F32)+(H32)*(MAX($D$16,(D49)-(J32))))*(MAX($D$16,(D49)-(J32))),0.000001))^2)/(2*$I$5),((ABS(G49)/MAX(((G32)+(I32)*(MAX($D$16,(E49)-(K32))))*(MAX($D$16,(E49)-(K32))),0.000001))^2)/(2*$I$5))))-((ABS(G49)/MAX(((G32)+(I32)*(MAX($D$16,(E49)-(K32))))*(MAX($D$16,(E49)-(K32))),0.000001))^2)/(2*$I$5)</f>
        <v>52555.876154106634</v>
      </c>
      <c r="S49">
        <f>M49+((ABS(I49)/MAX(((G34)+(I34)*(MAX($D$16,(M49)-(K34))))*(MAX($D$16,(M49)-(K34))),0.000001))^2)/(2*$I$5)+((E34)*((((ABS(I49)*$D$6)/(MAX(((F34)+(H34)*(MAX($D$16,(E49)-(J34))))*(MAX($D$16,(E49)-(J34))),0.000001)*MAX(((((F34)+(H34)*(MAX($D$16,(E49)-(J34))))*(MAX($D$16,(E49)-(J34))))/MAX((F34)+2*(MAX($D$16,(E49)-(J34)))*SQRT(1+(H34)^2),0.000001))^(2/3),0.000001)))^2)+(((ABS(I49)*$D$6)/(MAX(((G34)+(I34)*(MAX($D$16,(M49)-(K34))))*(MAX($D$16,(M49)-(K34))),0.000001)*MAX(((((G34)+(I34)*(MAX($D$16,(M49)-(K34))))*(MAX($D$16,(M49)-(K34))))/MAX((G34)+2*(MAX($D$16,(M49)-(K34)))*SQRT(1+(I34)^2),0.000001))^(2/3),0.000001)))^2))/2)+(IF((ABS(I49)/MAX(((G34)+(I34)*(MAX($D$16,(M49)-(K34))))*(MAX($D$16,(M49)-(K34))),0.000001))&gt;(ABS(I49)/MAX(((F34)+(H34)*(MAX($D$16,(E49)-(J34))))*(MAX($D$16,(E49)-(J34))),0.000001)),$D$9*((((ABS(I49)/MAX(((G34)+(I34)*(MAX($D$16,(M49)-(K34))))*(MAX($D$16,(M49)-(K34))),0.000001))^2)/(2*$I$5))-(((ABS(I49)/MAX(((F34)+(H34)*(MAX($D$16,(E49)-(J34))))*(MAX($D$16,(E49)-(J34))),0.000001))^2)/(2*$I$5))),$D$8*((((ABS(I49)/MAX(((F34)+(H34)*(MAX($D$16,(E49)-(J34))))*(MAX($D$16,(E49)-(J34))),0.000001))^2)/(2*$I$5))-(((ABS(I49)/MAX(((G34)+(I34)*(MAX($D$16,(M49)-(K34))))*(MAX($D$16,(M49)-(K34))),0.000001))^2)/(2*$I$5)))))+($D$10*(ABS((X34)-(W34))/90)*MAX(((ABS(I49)/MAX(((F34)+(H34)*(MAX($D$16,(E49)-(J34))))*(MAX($D$16,(E49)-(J34))),0.000001))^2)/(2*$I$5),((ABS(I49)/MAX(((G34)+(I34)*(MAX($D$16,(M49)-(K34))))*(MAX($D$16,(M49)-(K34))),0.000001))^2)/(2*$I$5)))+(0)-((ABS(I49)/MAX(((F34)+(H34)*(MAX($D$16,(E49)-(J34))))*(MAX($D$16,(E49)-(J34))),0.000001))^2)/(2*$I$5)</f>
        <v>635.5</v>
      </c>
      <c r="T49">
        <f>N49+((ABS(J49)/MAX(((G35)+(I35)*(MAX($D$16,(N49)-(K35))))*(MAX($D$16,(N49)-(K35))),0.000001))^2)/(2*$I$5)+((E35)*((((ABS(J49)*$D$6)/(MAX(((F35)+(H35)*(MAX($D$16,(E49)-(J35))))*(MAX($D$16,(E49)-(J35))),0.000001)*MAX(((((F35)+(H35)*(MAX($D$16,(E49)-(J35))))*(MAX($D$16,(E49)-(J35))))/MAX((F35)+2*(MAX($D$16,(E49)-(J35)))*SQRT(1+(H35)^2),0.000001))^(2/3),0.000001)))^2)+(((ABS(J49)*$D$6)/(MAX(((G35)+(I35)*(MAX($D$16,(N49)-(K35))))*(MAX($D$16,(N49)-(K35))),0.000001)*MAX(((((G35)+(I35)*(MAX($D$16,(N49)-(K35))))*(MAX($D$16,(N49)-(K35))))/MAX((G35)+2*(MAX($D$16,(N49)-(K35)))*SQRT(1+(I35)^2),0.000001))^(2/3),0.000001)))^2))/2)+(IF((ABS(J49)/MAX(((G35)+(I35)*(MAX($D$16,(N49)-(K35))))*(MAX($D$16,(N49)-(K35))),0.000001))&gt;(ABS(J49)/MAX(((F35)+(H35)*(MAX($D$16,(E49)-(J35))))*(MAX($D$16,(E49)-(J35))),0.000001)),$D$9*((((ABS(J49)/MAX(((G35)+(I35)*(MAX($D$16,(N49)-(K35))))*(MAX($D$16,(N49)-(K35))),0.000001))^2)/(2*$I$5))-(((ABS(J49)/MAX(((F35)+(H35)*(MAX($D$16,(E49)-(J35))))*(MAX($D$16,(E49)-(J35))),0.000001))^2)/(2*$I$5))),$D$8*((((ABS(J49)/MAX(((F35)+(H35)*(MAX($D$16,(E49)-(J35))))*(MAX($D$16,(E49)-(J35))),0.000001))^2)/(2*$I$5))-(((ABS(J49)/MAX(((G35)+(I35)*(MAX($D$16,(N49)-(K35))))*(MAX($D$16,(N49)-(K35))),0.000001))^2)/(2*$I$5)))))+($D$10*(ABS((X35)-(W35))/90)*MAX(((ABS(J49)/MAX(((F35)+(H35)*(MAX($D$16,(E49)-(J35))))*(MAX($D$16,(E49)-(J35))),0.000001))^2)/(2*$I$5),((ABS(J49)/MAX(((G35)+(I35)*(MAX($D$16,(N49)-(K35))))*(MAX($D$16,(N49)-(K35))),0.000001))^2)/(2*$I$5)))+(($D$11*0.34699541*(ABS(I49)/MAX(ABS(G49),0.000001))^2*MAX(((ABS(J49)/MAX(((F35)+(H35)*(MAX($D$16,(E49)-(J35))))*(MAX($D$16,(E49)-(J35))),0.000001))^2)/(2*$I$5),((ABS(J49)/MAX(((G35)+(I35)*(MAX($D$16,(N49)-(K35))))*(MAX($D$16,(N49)-(K35))),0.000001))^2)/(2*$I$5))))-((ABS(J49)/MAX(((F35)+(H35)*(MAX($D$16,(E49)-(J35))))*(MAX($D$16,(E49)-(J35))),0.000001))^2)/(2*$I$5)</f>
        <v>20784.033523923379</v>
      </c>
      <c r="U49">
        <f>(((((F32)*(MAX($D$16,(D49)-(J32)))^2)/2+(H32)*(MAX($D$16,(D49)-(J32)))^3/3+(ABS(G49)^2)/($I$5*MAX(((F32)+(H32)*(MAX($D$16,(D49)-(J32))))*(MAX($D$16,(D49)-(J32))),0.000001)))*0.72785025)-((((F33)*(MAX($D$16,(D49)-(J33)))^2)/2+(H33)*(MAX($D$16,(D49)-(J33)))^3/3+(ABS(H49)^2)/($I$5*MAX(((F33)+(H33)*(MAX($D$16,(D49)-(J33))))*(MAX($D$16,(D49)-(J33))),0.000001)))*0.99999971))/MAX(((G31)*(MAX($D$16,(D49)-(K31)))^2)/2+(I31)*(MAX($D$16,(D49)-(K31)))^3/3+(ABS(F49)^2)/($I$5*MAX(((G31)+(I31)*(MAX($D$16,(D49)-(K31))))*(MAX($D$16,(D49)-(K31))),0.000001)),0.000001)</f>
        <v>-0.27214945999991186</v>
      </c>
      <c r="V49">
        <f>(((((F34)*(MAX($D$16,(E49)-(J34)))^2)/2+(H34)*(MAX($D$16,(E49)-(J34)))^3/3+(ABS(I49)^2)/($I$5*MAX(((F34)+(H34)*(MAX($D$16,(E49)-(J34))))*(MAX($D$16,(E49)-(J34))),0.000001)))*1)-((((F35)*(MAX($D$16,(E49)-(J35)))^2)/2+(H35)*(MAX($D$16,(E49)-(J35)))^3/3+(ABS(J49)^2)/($I$5*MAX(((F35)+(H35)*(MAX($D$16,(E49)-(J35))))*(MAX($D$16,(E49)-(J35))),0.000001)))*0.30600918))/MAX(((G32)*(MAX($D$16,(E49)-(K32)))^2)/2+(I32)*(MAX($D$16,(E49)-(K32)))^3/3+(ABS(G49)^2)/($I$5*MAX(((G32)+(I32)*(MAX($D$16,(E49)-(K32))))*(MAX($D$16,(E49)-(K32))),0.000001)),0.000001)</f>
        <v>0.69398637876316682</v>
      </c>
      <c r="W49">
        <f>IF(N6="None",ABS(P49-D49),MAX(ABS(P49-D49),ABS(Q49-D49)))</f>
        <v>247.46863290284819</v>
      </c>
      <c r="X49">
        <f>IF(AND(N7="None",N8="None"),0,IF(N8="None",ABS(S49-E49),IF(N7="None",ABS(T49-E49),MAX(ABS(S49-E49),ABS(T49-E49)))))</f>
        <v>51672.907521203117</v>
      </c>
      <c r="AA49">
        <f t="shared" si="3"/>
        <v>52469.26213259052</v>
      </c>
      <c r="AB49">
        <f t="shared" si="4"/>
        <v>41274.876622155207</v>
      </c>
      <c r="AC49">
        <f>IF(N6="None",P49,MAX(P49,Q49))</f>
        <v>52308.40752120367</v>
      </c>
      <c r="AD49">
        <f>IF(AND(N7="None",N8="None"),E49,IF(N8="None",S49,IF(N7="None",T49,MAX(S49,T49))))</f>
        <v>20784.033523923379</v>
      </c>
      <c r="AE49">
        <f t="shared" si="5"/>
        <v>637.65825101090536</v>
      </c>
      <c r="AF49">
        <f t="shared" si="6"/>
        <v>52555.876154106634</v>
      </c>
      <c r="AG49">
        <f>((G31)*(MAX($D$16,(AC49)-(K31)))^2)/2+(I31)*(MAX($D$16,(AC49)-(K31)))^3/3+(ABS(F49)^2)/($I$5*MAX(((G31)+(I31)*(MAX($D$16,(AC49)-(K31))))*(MAX($D$16,(AC49)-(K31))),0.000001))</f>
        <v>8755630377.3806458</v>
      </c>
      <c r="AH49">
        <f>((G31)*(MAX($D$16,(AE49)-(K31)))^2)/2+(I31)*(MAX($D$16,(AE49)-(K31)))^3/3+(ABS(F49)^2)/($I$5*MAX(((G31)+(I31)*(MAX($D$16,(AE49)-(K31))))*(MAX($D$16,(AE49)-(K31))),0.000001))</f>
        <v>49.055863329705332</v>
      </c>
      <c r="AI49">
        <f>((G32)*(MAX($D$16,(AD49)-(K32)))^2)/2+(I32)*(MAX($D$16,(AD49)-(K32)))^3/3+(ABS(G49)^2)/($I$5*MAX(((G32)+(I32)*(MAX($D$16,(AD49)-(K32))))*(MAX($D$16,(AD49)-(K32))),0.000001))</f>
        <v>2072376743.6648314</v>
      </c>
      <c r="AJ49">
        <f>((G32)*(MAX($D$16,(AF49)-(K32)))^2)/2+(I32)*(MAX($D$16,(AF49)-(K32)))^3/3+(ABS(G49)^2)/($I$5*MAX(((G32)+(I32)*(MAX($D$16,(AF49)-(K32))))*(MAX($D$16,(AF49)-(K32))),0.000001))</f>
        <v>13758207974.531555</v>
      </c>
      <c r="AK49" t="str">
        <f t="shared" si="7"/>
        <v>Subcritical</v>
      </c>
      <c r="AL49" t="str">
        <f t="shared" si="8"/>
        <v>Supercritical</v>
      </c>
      <c r="AM49">
        <f t="shared" si="9"/>
        <v>52469.26213259052</v>
      </c>
      <c r="AN49">
        <f t="shared" si="10"/>
        <v>52395.021542719347</v>
      </c>
      <c r="AO49">
        <f t="shared" si="11"/>
        <v>247.46863290284819</v>
      </c>
      <c r="AP49">
        <f t="shared" si="12"/>
        <v>247.46863290351757</v>
      </c>
    </row>
    <row r="50" spans="1:42" x14ac:dyDescent="0.35">
      <c r="A50">
        <v>7</v>
      </c>
      <c r="B50">
        <f t="shared" si="13"/>
        <v>0</v>
      </c>
      <c r="C50">
        <f t="shared" si="14"/>
        <v>0</v>
      </c>
      <c r="D50">
        <f t="shared" si="15"/>
        <v>52469.26213259052</v>
      </c>
      <c r="E50">
        <f t="shared" si="16"/>
        <v>52395.021542719347</v>
      </c>
      <c r="F50">
        <f t="shared" si="2"/>
        <v>51</v>
      </c>
      <c r="G50">
        <f>IF(N6="None",F50,MAX(0,F50*B50))</f>
        <v>51</v>
      </c>
      <c r="H50">
        <f>IF(N6="None",0,MAX(0,F50-G50))</f>
        <v>0</v>
      </c>
      <c r="I50">
        <f>IF(AND(N7="None",N8="None"),0,IF(N8="None",G50,IF(N7="None",0,MAX(0,G50*C50))))</f>
        <v>0</v>
      </c>
      <c r="J50">
        <f>IF(AND(N7="None",N8="None"),0,IF(N8="None",0,IF(N7="None",G50,MAX(0,G50-I50))))</f>
        <v>51</v>
      </c>
      <c r="K50">
        <f>P5</f>
        <v>637</v>
      </c>
      <c r="L50">
        <f>P6</f>
        <v>634.3119999999999</v>
      </c>
      <c r="M50">
        <f>P7</f>
        <v>635.5</v>
      </c>
      <c r="N50">
        <f>P8</f>
        <v>631.54999999999995</v>
      </c>
      <c r="O50">
        <f>K50+((ABS(F50)/MAX(((F31)+(H31)*(MAX($D$16,(K50)-(J31))))*(MAX($D$16,(K50)-(J31))),0.000001))^2)/(2*$I$5)-((E31)*((((ABS(F50)*$D$6)/(MAX(((F31)+(H31)*(MAX($D$16,(K50)-(J31))))*(MAX($D$16,(K50)-(J31))),0.000001)*MAX(((((F31)+(H31)*(MAX($D$16,(K50)-(J31))))*(MAX($D$16,(K50)-(J31))))/MAX((F31)+2*(MAX($D$16,(K50)-(J31)))*SQRT(1+(H31)^2),0.000001))^(2/3),0.000001)))^2)+(((ABS(F50)*$D$6)/(MAX(((G31)+(I31)*(MAX($D$16,(D50)-(K31))))*(MAX($D$16,(D50)-(K31))),0.000001)*MAX(((((G31)+(I31)*(MAX($D$16,(D50)-(K31))))*(MAX($D$16,(D50)-(K31))))/MAX((G31)+2*(MAX($D$16,(D50)-(K31)))*SQRT(1+(I31)^2),0.000001))^(2/3),0.000001)))^2))/2)+(IF((ABS(F50)/MAX(((G31)+(I31)*(MAX($D$16,(D50)-(K31))))*(MAX($D$16,(D50)-(K31))),0.000001))&gt;(ABS(F50)/MAX(((F31)+(H31)*(MAX($D$16,(K50)-(J31))))*(MAX($D$16,(K50)-(J31))),0.000001)),$D$9*((((ABS(F50)/MAX(((G31)+(I31)*(MAX($D$16,(D50)-(K31))))*(MAX($D$16,(D50)-(K31))),0.000001))^2)/(2*$I$5))-(((ABS(F50)/MAX(((F31)+(H31)*(MAX($D$16,(K50)-(J31))))*(MAX($D$16,(K50)-(J31))),0.000001))^2)/(2*$I$5))),$D$8*((((ABS(F50)/MAX(((F31)+(H31)*(MAX($D$16,(K50)-(J31))))*(MAX($D$16,(K50)-(J31))),0.000001))^2)/(2*$I$5))-(((ABS(F50)/MAX(((G31)+(I31)*(MAX($D$16,(D50)-(K31))))*(MAX($D$16,(D50)-(K31))),0.000001))^2)/(2*$I$5)))))+($D$10*(ABS((X31)-(W31))/90)*MAX(((ABS(F50)/MAX(((F31)+(H31)*(MAX($D$16,(K50)-(J31))))*(MAX($D$16,(K50)-(J31))),0.000001))^2)/(2*$I$5),((ABS(F50)/MAX(((G31)+(I31)*(MAX($D$16,(D50)-(K31))))*(MAX($D$16,(D50)-(K31))),0.000001))^2)/(2*$I$5)))+(0)-((ABS(F50)/MAX(((G31)+(I31)*(MAX($D$16,(D50)-(K31))))*(MAX($D$16,(D50)-(K31))),0.000001))^2)/(2*$I$5)</f>
        <v>637.65825101090047</v>
      </c>
      <c r="P50">
        <f>E50+((ABS(G50)/MAX(((G32)+(I32)*(MAX($D$16,(E50)-(K32))))*(MAX($D$16,(E50)-(K32))),0.000001))^2)/(2*$I$5)+((E32)*((((ABS(G50)*$D$6)/(MAX(((F32)+(H32)*(MAX($D$16,(D50)-(J32))))*(MAX($D$16,(D50)-(J32))),0.000001)*MAX(((((F32)+(H32)*(MAX($D$16,(D50)-(J32))))*(MAX($D$16,(D50)-(J32))))/MAX((F32)+2*(MAX($D$16,(D50)-(J32)))*SQRT(1+(H32)^2),0.000001))^(2/3),0.000001)))^2)+(((ABS(G50)*$D$6)/(MAX(((G32)+(I32)*(MAX($D$16,(E50)-(K32))))*(MAX($D$16,(E50)-(K32))),0.000001)*MAX(((((G32)+(I32)*(MAX($D$16,(E50)-(K32))))*(MAX($D$16,(E50)-(K32))))/MAX((G32)+2*(MAX($D$16,(E50)-(K32)))*SQRT(1+(I32)^2),0.000001))^(2/3),0.000001)))^2))/2)+(IF((ABS(G50)/MAX(((G32)+(I32)*(MAX($D$16,(E50)-(K32))))*(MAX($D$16,(E50)-(K32))),0.000001))&gt;(ABS(G50)/MAX(((F32)+(H32)*(MAX($D$16,(D50)-(J32))))*(MAX($D$16,(D50)-(J32))),0.000001)),$D$9*((((ABS(G50)/MAX(((G32)+(I32)*(MAX($D$16,(E50)-(K32))))*(MAX($D$16,(E50)-(K32))),0.000001))^2)/(2*$I$5))-(((ABS(G50)/MAX(((F32)+(H32)*(MAX($D$16,(D50)-(J32))))*(MAX($D$16,(D50)-(J32))),0.000001))^2)/(2*$I$5))),$D$8*((((ABS(G50)/MAX(((F32)+(H32)*(MAX($D$16,(D50)-(J32))))*(MAX($D$16,(D50)-(J32))),0.000001))^2)/(2*$I$5))-(((ABS(G50)/MAX(((G32)+(I32)*(MAX($D$16,(E50)-(K32))))*(MAX($D$16,(E50)-(K32))),0.000001))^2)/(2*$I$5)))))+($D$10*(ABS((X32)-(W32))/90)*MAX(((ABS(G50)/MAX(((F32)+(H32)*(MAX($D$16,(D50)-(J32))))*(MAX($D$16,(D50)-(J32))),0.000001))^2)/(2*$I$5),((ABS(G50)/MAX(((G32)+(I32)*(MAX($D$16,(E50)-(K32))))*(MAX($D$16,(E50)-(K32))),0.000001))^2)/(2*$I$5)))+(($D$11*0.13607488*(ABS(H50)/MAX(ABS(F50),0.000001))^2*MAX(((ABS(G50)/MAX(((F32)+(H32)*(MAX($D$16,(D50)-(J32))))*(MAX($D$16,(D50)-(J32))),0.000001))^2)/(2*$I$5),((ABS(G50)/MAX(((G32)+(I32)*(MAX($D$16,(E50)-(K32))))*(MAX($D$16,(E50)-(K32))),0.000001))^2)/(2*$I$5))))-((ABS(G50)/MAX(((F32)+(H32)*(MAX($D$16,(D50)-(J32))))*(MAX($D$16,(D50)-(J32))),0.000001))^2)/(2*$I$5)</f>
        <v>52395.021542719893</v>
      </c>
      <c r="Q50">
        <f>L50+((ABS(H50)/MAX(((G33)+(I33)*(MAX($D$16,(L50)-(K33))))*(MAX($D$16,(L50)-(K33))),0.000001))^2)/(2*$I$5)+((E33)*((((ABS(H50)*$D$6)/(MAX(((F33)+(H33)*(MAX($D$16,(D50)-(J33))))*(MAX($D$16,(D50)-(J33))),0.000001)*MAX(((((F33)+(H33)*(MAX($D$16,(D50)-(J33))))*(MAX($D$16,(D50)-(J33))))/MAX((F33)+2*(MAX($D$16,(D50)-(J33)))*SQRT(1+(H33)^2),0.000001))^(2/3),0.000001)))^2)+(((ABS(H50)*$D$6)/(MAX(((G33)+(I33)*(MAX($D$16,(L50)-(K33))))*(MAX($D$16,(L50)-(K33))),0.000001)*MAX(((((G33)+(I33)*(MAX($D$16,(L50)-(K33))))*(MAX($D$16,(L50)-(K33))))/MAX((G33)+2*(MAX($D$16,(L50)-(K33)))*SQRT(1+(I33)^2),0.000001))^(2/3),0.000001)))^2))/2)+(IF((ABS(H50)/MAX(((G33)+(I33)*(MAX($D$16,(L50)-(K33))))*(MAX($D$16,(L50)-(K33))),0.000001))&gt;(ABS(H50)/MAX(((F33)+(H33)*(MAX($D$16,(D50)-(J33))))*(MAX($D$16,(D50)-(J33))),0.000001)),$D$9*((((ABS(H50)/MAX(((G33)+(I33)*(MAX($D$16,(L50)-(K33))))*(MAX($D$16,(L50)-(K33))),0.000001))^2)/(2*$I$5))-(((ABS(H50)/MAX(((F33)+(H33)*(MAX($D$16,(D50)-(J33))))*(MAX($D$16,(D50)-(J33))),0.000001))^2)/(2*$I$5))),$D$8*((((ABS(H50)/MAX(((F33)+(H33)*(MAX($D$16,(D50)-(J33))))*(MAX($D$16,(D50)-(J33))),0.000001))^2)/(2*$I$5))-(((ABS(H50)/MAX(((G33)+(I33)*(MAX($D$16,(L50)-(K33))))*(MAX($D$16,(L50)-(K33))),0.000001))^2)/(2*$I$5)))))+($D$10*(ABS((X33)-(W33))/90)*MAX(((ABS(H50)/MAX(((F33)+(H33)*(MAX($D$16,(D50)-(J33))))*(MAX($D$16,(D50)-(J33))),0.000001))^2)/(2*$I$5),((ABS(H50)/MAX(((G33)+(I33)*(MAX($D$16,(L50)-(K33))))*(MAX($D$16,(L50)-(K33))),0.000001))^2)/(2*$I$5)))+(($D$11*0.00000015*(ABS(G50)/MAX(ABS(F50),0.000001))^2*MAX(((ABS(H50)/MAX(((F33)+(H33)*(MAX($D$16,(D50)-(J33))))*(MAX($D$16,(D50)-(J33))),0.000001))^2)/(2*$I$5),((ABS(H50)/MAX(((G33)+(I33)*(MAX($D$16,(L50)-(K33))))*(MAX($D$16,(L50)-(K33))),0.000001))^2)/(2*$I$5))))-((ABS(H50)/MAX(((F33)+(H33)*(MAX($D$16,(D50)-(J33))))*(MAX($D$16,(D50)-(J33))),0.000001))^2)/(2*$I$5)</f>
        <v>634.3119999999999</v>
      </c>
      <c r="R50">
        <f>D50+((ABS(G50)/MAX(((F32)+(H32)*(MAX($D$16,(D50)-(J32))))*(MAX($D$16,(D50)-(J32))),0.000001))^2)/(2*$I$5)-((E32)*((((ABS(G50)*$D$6)/(MAX(((F32)+(H32)*(MAX($D$16,(D50)-(J32))))*(MAX($D$16,(D50)-(J32))),0.000001)*MAX(((((F32)+(H32)*(MAX($D$16,(D50)-(J32))))*(MAX($D$16,(D50)-(J32))))/MAX((F32)+2*(MAX($D$16,(D50)-(J32)))*SQRT(1+(H32)^2),0.000001))^(2/3),0.000001)))^2)+(((ABS(G50)*$D$6)/(MAX(((G32)+(I32)*(MAX($D$16,(E50)-(K32))))*(MAX($D$16,(E50)-(K32))),0.000001)*MAX(((((G32)+(I32)*(MAX($D$16,(E50)-(K32))))*(MAX($D$16,(E50)-(K32))))/MAX((G32)+2*(MAX($D$16,(E50)-(K32)))*SQRT(1+(I32)^2),0.000001))^(2/3),0.000001)))^2))/2)+(IF((ABS(G50)/MAX(((G32)+(I32)*(MAX($D$16,(E50)-(K32))))*(MAX($D$16,(E50)-(K32))),0.000001))&gt;(ABS(G50)/MAX(((F32)+(H32)*(MAX($D$16,(D50)-(J32))))*(MAX($D$16,(D50)-(J32))),0.000001)),$D$9*((((ABS(G50)/MAX(((G32)+(I32)*(MAX($D$16,(E50)-(K32))))*(MAX($D$16,(E50)-(K32))),0.000001))^2)/(2*$I$5))-(((ABS(G50)/MAX(((F32)+(H32)*(MAX($D$16,(D50)-(J32))))*(MAX($D$16,(D50)-(J32))),0.000001))^2)/(2*$I$5))),$D$8*((((ABS(G50)/MAX(((F32)+(H32)*(MAX($D$16,(D50)-(J32))))*(MAX($D$16,(D50)-(J32))),0.000001))^2)/(2*$I$5))-(((ABS(G50)/MAX(((G32)+(I32)*(MAX($D$16,(E50)-(K32))))*(MAX($D$16,(E50)-(K32))),0.000001))^2)/(2*$I$5)))))+($D$10*(ABS((X32)-(W32))/90)*MAX(((ABS(G50)/MAX(((F32)+(H32)*(MAX($D$16,(D50)-(J32))))*(MAX($D$16,(D50)-(J32))),0.000001))^2)/(2*$I$5),((ABS(G50)/MAX(((G32)+(I32)*(MAX($D$16,(E50)-(K32))))*(MAX($D$16,(E50)-(K32))),0.000001))^2)/(2*$I$5)))+(($D$11*0.13607488*(ABS(H50)/MAX(ABS(F50),0.000001))^2*MAX(((ABS(G50)/MAX(((F32)+(H32)*(MAX($D$16,(D50)-(J32))))*(MAX($D$16,(D50)-(J32))),0.000001))^2)/(2*$I$5),((ABS(G50)/MAX(((G32)+(I32)*(MAX($D$16,(E50)-(K32))))*(MAX($D$16,(E50)-(K32))),0.000001))^2)/(2*$I$5))))-((ABS(G50)/MAX(((G32)+(I32)*(MAX($D$16,(E50)-(K32))))*(MAX($D$16,(E50)-(K32))),0.000001))^2)/(2*$I$5)</f>
        <v>52469.262132590658</v>
      </c>
      <c r="S50">
        <f>M50+((ABS(I50)/MAX(((G34)+(I34)*(MAX($D$16,(M50)-(K34))))*(MAX($D$16,(M50)-(K34))),0.000001))^2)/(2*$I$5)+((E34)*((((ABS(I50)*$D$6)/(MAX(((F34)+(H34)*(MAX($D$16,(E50)-(J34))))*(MAX($D$16,(E50)-(J34))),0.000001)*MAX(((((F34)+(H34)*(MAX($D$16,(E50)-(J34))))*(MAX($D$16,(E50)-(J34))))/MAX((F34)+2*(MAX($D$16,(E50)-(J34)))*SQRT(1+(H34)^2),0.000001))^(2/3),0.000001)))^2)+(((ABS(I50)*$D$6)/(MAX(((G34)+(I34)*(MAX($D$16,(M50)-(K34))))*(MAX($D$16,(M50)-(K34))),0.000001)*MAX(((((G34)+(I34)*(MAX($D$16,(M50)-(K34))))*(MAX($D$16,(M50)-(K34))))/MAX((G34)+2*(MAX($D$16,(M50)-(K34)))*SQRT(1+(I34)^2),0.000001))^(2/3),0.000001)))^2))/2)+(IF((ABS(I50)/MAX(((G34)+(I34)*(MAX($D$16,(M50)-(K34))))*(MAX($D$16,(M50)-(K34))),0.000001))&gt;(ABS(I50)/MAX(((F34)+(H34)*(MAX($D$16,(E50)-(J34))))*(MAX($D$16,(E50)-(J34))),0.000001)),$D$9*((((ABS(I50)/MAX(((G34)+(I34)*(MAX($D$16,(M50)-(K34))))*(MAX($D$16,(M50)-(K34))),0.000001))^2)/(2*$I$5))-(((ABS(I50)/MAX(((F34)+(H34)*(MAX($D$16,(E50)-(J34))))*(MAX($D$16,(E50)-(J34))),0.000001))^2)/(2*$I$5))),$D$8*((((ABS(I50)/MAX(((F34)+(H34)*(MAX($D$16,(E50)-(J34))))*(MAX($D$16,(E50)-(J34))),0.000001))^2)/(2*$I$5))-(((ABS(I50)/MAX(((G34)+(I34)*(MAX($D$16,(M50)-(K34))))*(MAX($D$16,(M50)-(K34))),0.000001))^2)/(2*$I$5)))))+($D$10*(ABS((X34)-(W34))/90)*MAX(((ABS(I50)/MAX(((F34)+(H34)*(MAX($D$16,(E50)-(J34))))*(MAX($D$16,(E50)-(J34))),0.000001))^2)/(2*$I$5),((ABS(I50)/MAX(((G34)+(I34)*(MAX($D$16,(M50)-(K34))))*(MAX($D$16,(M50)-(K34))),0.000001))^2)/(2*$I$5)))+(0)-((ABS(I50)/MAX(((F34)+(H34)*(MAX($D$16,(E50)-(J34))))*(MAX($D$16,(E50)-(J34))),0.000001))^2)/(2*$I$5)</f>
        <v>635.5</v>
      </c>
      <c r="T50">
        <f>N50+((ABS(J50)/MAX(((G35)+(I35)*(MAX($D$16,(N50)-(K35))))*(MAX($D$16,(N50)-(K35))),0.000001))^2)/(2*$I$5)+((E35)*((((ABS(J50)*$D$6)/(MAX(((F35)+(H35)*(MAX($D$16,(E50)-(J35))))*(MAX($D$16,(E50)-(J35))),0.000001)*MAX(((((F35)+(H35)*(MAX($D$16,(E50)-(J35))))*(MAX($D$16,(E50)-(J35))))/MAX((F35)+2*(MAX($D$16,(E50)-(J35)))*SQRT(1+(H35)^2),0.000001))^(2/3),0.000001)))^2)+(((ABS(J50)*$D$6)/(MAX(((G35)+(I35)*(MAX($D$16,(N50)-(K35))))*(MAX($D$16,(N50)-(K35))),0.000001)*MAX(((((G35)+(I35)*(MAX($D$16,(N50)-(K35))))*(MAX($D$16,(N50)-(K35))))/MAX((G35)+2*(MAX($D$16,(N50)-(K35)))*SQRT(1+(I35)^2),0.000001))^(2/3),0.000001)))^2))/2)+(IF((ABS(J50)/MAX(((G35)+(I35)*(MAX($D$16,(N50)-(K35))))*(MAX($D$16,(N50)-(K35))),0.000001))&gt;(ABS(J50)/MAX(((F35)+(H35)*(MAX($D$16,(E50)-(J35))))*(MAX($D$16,(E50)-(J35))),0.000001)),$D$9*((((ABS(J50)/MAX(((G35)+(I35)*(MAX($D$16,(N50)-(K35))))*(MAX($D$16,(N50)-(K35))),0.000001))^2)/(2*$I$5))-(((ABS(J50)/MAX(((F35)+(H35)*(MAX($D$16,(E50)-(J35))))*(MAX($D$16,(E50)-(J35))),0.000001))^2)/(2*$I$5))),$D$8*((((ABS(J50)/MAX(((F35)+(H35)*(MAX($D$16,(E50)-(J35))))*(MAX($D$16,(E50)-(J35))),0.000001))^2)/(2*$I$5))-(((ABS(J50)/MAX(((G35)+(I35)*(MAX($D$16,(N50)-(K35))))*(MAX($D$16,(N50)-(K35))),0.000001))^2)/(2*$I$5)))))+($D$10*(ABS((X35)-(W35))/90)*MAX(((ABS(J50)/MAX(((F35)+(H35)*(MAX($D$16,(E50)-(J35))))*(MAX($D$16,(E50)-(J35))),0.000001))^2)/(2*$I$5),((ABS(J50)/MAX(((G35)+(I35)*(MAX($D$16,(N50)-(K35))))*(MAX($D$16,(N50)-(K35))),0.000001))^2)/(2*$I$5)))+(($D$11*0.34699541*(ABS(I50)/MAX(ABS(G50),0.000001))^2*MAX(((ABS(J50)/MAX(((F35)+(H35)*(MAX($D$16,(E50)-(J35))))*(MAX($D$16,(E50)-(J35))),0.000001))^2)/(2*$I$5),((ABS(J50)/MAX(((G35)+(I35)*(MAX($D$16,(N50)-(K35))))*(MAX($D$16,(N50)-(K35))),0.000001))^2)/(2*$I$5))))-((ABS(J50)/MAX(((F35)+(H35)*(MAX($D$16,(E50)-(J35))))*(MAX($D$16,(E50)-(J35))),0.000001))^2)/(2*$I$5)</f>
        <v>20784.033523923379</v>
      </c>
      <c r="U50">
        <f>(((((F32)*(MAX($D$16,(D50)-(J32)))^2)/2+(H32)*(MAX($D$16,(D50)-(J32)))^3/3+(ABS(G50)^2)/($I$5*MAX(((F32)+(H32)*(MAX($D$16,(D50)-(J32))))*(MAX($D$16,(D50)-(J32))),0.000001)))*0.72785025)-((((F33)*(MAX($D$16,(D50)-(J33)))^2)/2+(H33)*(MAX($D$16,(D50)-(J33)))^3/3+(ABS(H50)^2)/($I$5*MAX(((F33)+(H33)*(MAX($D$16,(D50)-(J33))))*(MAX($D$16,(D50)-(J33))),0.000001)))*0.99999971))/MAX(((G31)*(MAX($D$16,(D50)-(K31)))^2)/2+(I31)*(MAX($D$16,(D50)-(K31)))^3/3+(ABS(F50)^2)/($I$5*MAX(((G31)+(I31)*(MAX($D$16,(D50)-(K31))))*(MAX($D$16,(D50)-(K31))),0.000001)),0.000001)</f>
        <v>-0.27214945999991141</v>
      </c>
      <c r="V50">
        <f>(((((F34)*(MAX($D$16,(E50)-(J34)))^2)/2+(H34)*(MAX($D$16,(E50)-(J34)))^3/3+(ABS(I50)^2)/($I$5*MAX(((F34)+(H34)*(MAX($D$16,(E50)-(J34))))*(MAX($D$16,(E50)-(J34))),0.000001)))*1)-((((F35)*(MAX($D$16,(E50)-(J35)))^2)/2+(H35)*(MAX($D$16,(E50)-(J35)))^3/3+(ABS(J50)^2)/($I$5*MAX(((F35)+(H35)*(MAX($D$16,(E50)-(J35))))*(MAX($D$16,(E50)-(J35))),0.000001)))*0.30600918))/MAX(((G32)*(MAX($D$16,(E50)-(K32)))^2)/2+(I32)*(MAX($D$16,(E50)-(K32)))^3/3+(ABS(G50)^2)/($I$5*MAX(((G32)+(I32)*(MAX($D$16,(E50)-(K32))))*(MAX($D$16,(E50)-(K32))),0.000001)),0.000001)</f>
        <v>0.69398638619460828</v>
      </c>
      <c r="W50">
        <f>IF(N6="None",ABS(P50-D50),MAX(ABS(P50-D50),ABS(Q50-D50)))</f>
        <v>74.240589870627446</v>
      </c>
      <c r="X50">
        <f>IF(AND(N7="None",N8="None"),0,IF(N8="None",ABS(S50-E50),IF(N7="None",ABS(T50-E50),MAX(ABS(S50-E50),ABS(T50-E50)))))</f>
        <v>51759.521542719347</v>
      </c>
      <c r="AA50">
        <f t="shared" si="3"/>
        <v>52443.277926135801</v>
      </c>
      <c r="AB50">
        <f t="shared" si="4"/>
        <v>41331.175736140758</v>
      </c>
      <c r="AC50">
        <f>IF(N6="None",P50,MAX(P50,Q50))</f>
        <v>52395.021542719893</v>
      </c>
      <c r="AD50">
        <f>IF(AND(N7="None",N8="None"),E50,IF(N8="None",S50,IF(N7="None",T50,MAX(S50,T50))))</f>
        <v>20784.033523923379</v>
      </c>
      <c r="AE50">
        <f t="shared" si="5"/>
        <v>637.65825101090047</v>
      </c>
      <c r="AF50">
        <f t="shared" si="6"/>
        <v>52469.262132590658</v>
      </c>
      <c r="AG50">
        <f>((G31)*(MAX($D$16,(AC50)-(K31)))^2)/2+(I31)*(MAX($D$16,(AC50)-(K31)))^3/3+(ABS(F50)^2)/($I$5*MAX(((G31)+(I31)*(MAX($D$16,(AC50)-(K31))))*(MAX($D$16,(AC50)-(K31))),0.000001))</f>
        <v>8785006632.9631939</v>
      </c>
      <c r="AH50">
        <f>((G31)*(MAX($D$16,(AE50)-(K31)))^2)/2+(I31)*(MAX($D$16,(AE50)-(K31)))^3/3+(ABS(F50)^2)/($I$5*MAX(((G31)+(I31)*(MAX($D$16,(AE50)-(K31))))*(MAX($D$16,(AE50)-(K31))),0.000001))</f>
        <v>49.055863329615121</v>
      </c>
      <c r="AI50">
        <f>((G32)*(MAX($D$16,(AD50)-(K32)))^2)/2+(I32)*(MAX($D$16,(AD50)-(K32)))^3/3+(ABS(G50)^2)/($I$5*MAX(((G32)+(I32)*(MAX($D$16,(AD50)-(K32))))*(MAX($D$16,(AD50)-(K32))),0.000001))</f>
        <v>2072376743.6648314</v>
      </c>
      <c r="AJ50">
        <f>((G32)*(MAX($D$16,(AF50)-(K32)))^2)/2+(I32)*(MAX($D$16,(AF50)-(K32)))^3/3+(ABS(G50)^2)/($I$5*MAX(((G32)+(I32)*(MAX($D$16,(AF50)-(K32))))*(MAX($D$16,(AF50)-(K32))),0.000001))</f>
        <v>13712346338.258488</v>
      </c>
      <c r="AK50" t="str">
        <f t="shared" si="7"/>
        <v>Subcritical</v>
      </c>
      <c r="AL50" t="str">
        <f t="shared" si="8"/>
        <v>Supercritical</v>
      </c>
      <c r="AM50">
        <f t="shared" si="9"/>
        <v>52443.277926135801</v>
      </c>
      <c r="AN50">
        <f t="shared" si="10"/>
        <v>52421.005749174306</v>
      </c>
      <c r="AO50">
        <f t="shared" si="11"/>
        <v>74.240589870627446</v>
      </c>
      <c r="AP50">
        <f t="shared" si="12"/>
        <v>74.240589871311386</v>
      </c>
    </row>
    <row r="51" spans="1:42" x14ac:dyDescent="0.35">
      <c r="A51">
        <v>8</v>
      </c>
      <c r="B51">
        <f t="shared" si="13"/>
        <v>0</v>
      </c>
      <c r="C51">
        <f t="shared" si="14"/>
        <v>0</v>
      </c>
      <c r="D51">
        <f t="shared" si="15"/>
        <v>52443.277926135801</v>
      </c>
      <c r="E51">
        <f t="shared" si="16"/>
        <v>52421.005749174306</v>
      </c>
      <c r="F51">
        <f t="shared" si="2"/>
        <v>51</v>
      </c>
      <c r="G51">
        <f>IF(N6="None",F51,MAX(0,F51*B51))</f>
        <v>51</v>
      </c>
      <c r="H51">
        <f>IF(N6="None",0,MAX(0,F51-G51))</f>
        <v>0</v>
      </c>
      <c r="I51">
        <f>IF(AND(N7="None",N8="None"),0,IF(N8="None",G51,IF(N7="None",0,MAX(0,G51*C51))))</f>
        <v>0</v>
      </c>
      <c r="J51">
        <f>IF(AND(N7="None",N8="None"),0,IF(N8="None",0,IF(N7="None",G51,MAX(0,G51-I51))))</f>
        <v>51</v>
      </c>
      <c r="K51">
        <f>P5</f>
        <v>637</v>
      </c>
      <c r="L51">
        <f>P6</f>
        <v>634.3119999999999</v>
      </c>
      <c r="M51">
        <f>P7</f>
        <v>635.5</v>
      </c>
      <c r="N51">
        <f>P8</f>
        <v>631.54999999999995</v>
      </c>
      <c r="O51">
        <f>K51+((ABS(F51)/MAX(((F31)+(H31)*(MAX($D$16,(K51)-(J31))))*(MAX($D$16,(K51)-(J31))),0.000001))^2)/(2*$I$5)-((E31)*((((ABS(F51)*$D$6)/(MAX(((F31)+(H31)*(MAX($D$16,(K51)-(J31))))*(MAX($D$16,(K51)-(J31))),0.000001)*MAX(((((F31)+(H31)*(MAX($D$16,(K51)-(J31))))*(MAX($D$16,(K51)-(J31))))/MAX((F31)+2*(MAX($D$16,(K51)-(J31)))*SQRT(1+(H31)^2),0.000001))^(2/3),0.000001)))^2)+(((ABS(F51)*$D$6)/(MAX(((G31)+(I31)*(MAX($D$16,(D51)-(K31))))*(MAX($D$16,(D51)-(K31))),0.000001)*MAX(((((G31)+(I31)*(MAX($D$16,(D51)-(K31))))*(MAX($D$16,(D51)-(K31))))/MAX((G31)+2*(MAX($D$16,(D51)-(K31)))*SQRT(1+(I31)^2),0.000001))^(2/3),0.000001)))^2))/2)+(IF((ABS(F51)/MAX(((G31)+(I31)*(MAX($D$16,(D51)-(K31))))*(MAX($D$16,(D51)-(K31))),0.000001))&gt;(ABS(F51)/MAX(((F31)+(H31)*(MAX($D$16,(K51)-(J31))))*(MAX($D$16,(K51)-(J31))),0.000001)),$D$9*((((ABS(F51)/MAX(((G31)+(I31)*(MAX($D$16,(D51)-(K31))))*(MAX($D$16,(D51)-(K31))),0.000001))^2)/(2*$I$5))-(((ABS(F51)/MAX(((F31)+(H31)*(MAX($D$16,(K51)-(J31))))*(MAX($D$16,(K51)-(J31))),0.000001))^2)/(2*$I$5))),$D$8*((((ABS(F51)/MAX(((F31)+(H31)*(MAX($D$16,(K51)-(J31))))*(MAX($D$16,(K51)-(J31))),0.000001))^2)/(2*$I$5))-(((ABS(F51)/MAX(((G31)+(I31)*(MAX($D$16,(D51)-(K31))))*(MAX($D$16,(D51)-(K31))),0.000001))^2)/(2*$I$5)))))+($D$10*(ABS((X31)-(W31))/90)*MAX(((ABS(F51)/MAX(((F31)+(H31)*(MAX($D$16,(K51)-(J31))))*(MAX($D$16,(K51)-(J31))),0.000001))^2)/(2*$I$5),((ABS(F51)/MAX(((G31)+(I31)*(MAX($D$16,(D51)-(K31))))*(MAX($D$16,(D51)-(K31))),0.000001))^2)/(2*$I$5)))+(0)-((ABS(F51)/MAX(((G31)+(I31)*(MAX($D$16,(D51)-(K31))))*(MAX($D$16,(D51)-(K31))),0.000001))^2)/(2*$I$5)</f>
        <v>637.65825101089899</v>
      </c>
      <c r="P51">
        <f>E51+((ABS(G51)/MAX(((G32)+(I32)*(MAX($D$16,(E51)-(K32))))*(MAX($D$16,(E51)-(K32))),0.000001))^2)/(2*$I$5)+((E32)*((((ABS(G51)*$D$6)/(MAX(((F32)+(H32)*(MAX($D$16,(D51)-(J32))))*(MAX($D$16,(D51)-(J32))),0.000001)*MAX(((((F32)+(H32)*(MAX($D$16,(D51)-(J32))))*(MAX($D$16,(D51)-(J32))))/MAX((F32)+2*(MAX($D$16,(D51)-(J32)))*SQRT(1+(H32)^2),0.000001))^(2/3),0.000001)))^2)+(((ABS(G51)*$D$6)/(MAX(((G32)+(I32)*(MAX($D$16,(E51)-(K32))))*(MAX($D$16,(E51)-(K32))),0.000001)*MAX(((((G32)+(I32)*(MAX($D$16,(E51)-(K32))))*(MAX($D$16,(E51)-(K32))))/MAX((G32)+2*(MAX($D$16,(E51)-(K32)))*SQRT(1+(I32)^2),0.000001))^(2/3),0.000001)))^2))/2)+(IF((ABS(G51)/MAX(((G32)+(I32)*(MAX($D$16,(E51)-(K32))))*(MAX($D$16,(E51)-(K32))),0.000001))&gt;(ABS(G51)/MAX(((F32)+(H32)*(MAX($D$16,(D51)-(J32))))*(MAX($D$16,(D51)-(J32))),0.000001)),$D$9*((((ABS(G51)/MAX(((G32)+(I32)*(MAX($D$16,(E51)-(K32))))*(MAX($D$16,(E51)-(K32))),0.000001))^2)/(2*$I$5))-(((ABS(G51)/MAX(((F32)+(H32)*(MAX($D$16,(D51)-(J32))))*(MAX($D$16,(D51)-(J32))),0.000001))^2)/(2*$I$5))),$D$8*((((ABS(G51)/MAX(((F32)+(H32)*(MAX($D$16,(D51)-(J32))))*(MAX($D$16,(D51)-(J32))),0.000001))^2)/(2*$I$5))-(((ABS(G51)/MAX(((G32)+(I32)*(MAX($D$16,(E51)-(K32))))*(MAX($D$16,(E51)-(K32))),0.000001))^2)/(2*$I$5)))))+($D$10*(ABS((X32)-(W32))/90)*MAX(((ABS(G51)/MAX(((F32)+(H32)*(MAX($D$16,(D51)-(J32))))*(MAX($D$16,(D51)-(J32))),0.000001))^2)/(2*$I$5),((ABS(G51)/MAX(((G32)+(I32)*(MAX($D$16,(E51)-(K32))))*(MAX($D$16,(E51)-(K32))),0.000001))^2)/(2*$I$5)))+(($D$11*0.13607488*(ABS(H51)/MAX(ABS(F51),0.000001))^2*MAX(((ABS(G51)/MAX(((F32)+(H32)*(MAX($D$16,(D51)-(J32))))*(MAX($D$16,(D51)-(J32))),0.000001))^2)/(2*$I$5),((ABS(G51)/MAX(((G32)+(I32)*(MAX($D$16,(E51)-(K32))))*(MAX($D$16,(E51)-(K32))),0.000001))^2)/(2*$I$5))))-((ABS(G51)/MAX(((F32)+(H32)*(MAX($D$16,(D51)-(J32))))*(MAX($D$16,(D51)-(J32))),0.000001))^2)/(2*$I$5)</f>
        <v>52421.005749174859</v>
      </c>
      <c r="Q51">
        <f>L51+((ABS(H51)/MAX(((G33)+(I33)*(MAX($D$16,(L51)-(K33))))*(MAX($D$16,(L51)-(K33))),0.000001))^2)/(2*$I$5)+((E33)*((((ABS(H51)*$D$6)/(MAX(((F33)+(H33)*(MAX($D$16,(D51)-(J33))))*(MAX($D$16,(D51)-(J33))),0.000001)*MAX(((((F33)+(H33)*(MAX($D$16,(D51)-(J33))))*(MAX($D$16,(D51)-(J33))))/MAX((F33)+2*(MAX($D$16,(D51)-(J33)))*SQRT(1+(H33)^2),0.000001))^(2/3),0.000001)))^2)+(((ABS(H51)*$D$6)/(MAX(((G33)+(I33)*(MAX($D$16,(L51)-(K33))))*(MAX($D$16,(L51)-(K33))),0.000001)*MAX(((((G33)+(I33)*(MAX($D$16,(L51)-(K33))))*(MAX($D$16,(L51)-(K33))))/MAX((G33)+2*(MAX($D$16,(L51)-(K33)))*SQRT(1+(I33)^2),0.000001))^(2/3),0.000001)))^2))/2)+(IF((ABS(H51)/MAX(((G33)+(I33)*(MAX($D$16,(L51)-(K33))))*(MAX($D$16,(L51)-(K33))),0.000001))&gt;(ABS(H51)/MAX(((F33)+(H33)*(MAX($D$16,(D51)-(J33))))*(MAX($D$16,(D51)-(J33))),0.000001)),$D$9*((((ABS(H51)/MAX(((G33)+(I33)*(MAX($D$16,(L51)-(K33))))*(MAX($D$16,(L51)-(K33))),0.000001))^2)/(2*$I$5))-(((ABS(H51)/MAX(((F33)+(H33)*(MAX($D$16,(D51)-(J33))))*(MAX($D$16,(D51)-(J33))),0.000001))^2)/(2*$I$5))),$D$8*((((ABS(H51)/MAX(((F33)+(H33)*(MAX($D$16,(D51)-(J33))))*(MAX($D$16,(D51)-(J33))),0.000001))^2)/(2*$I$5))-(((ABS(H51)/MAX(((G33)+(I33)*(MAX($D$16,(L51)-(K33))))*(MAX($D$16,(L51)-(K33))),0.000001))^2)/(2*$I$5)))))+($D$10*(ABS((X33)-(W33))/90)*MAX(((ABS(H51)/MAX(((F33)+(H33)*(MAX($D$16,(D51)-(J33))))*(MAX($D$16,(D51)-(J33))),0.000001))^2)/(2*$I$5),((ABS(H51)/MAX(((G33)+(I33)*(MAX($D$16,(L51)-(K33))))*(MAX($D$16,(L51)-(K33))),0.000001))^2)/(2*$I$5)))+(($D$11*0.00000015*(ABS(G51)/MAX(ABS(F51),0.000001))^2*MAX(((ABS(H51)/MAX(((F33)+(H33)*(MAX($D$16,(D51)-(J33))))*(MAX($D$16,(D51)-(J33))),0.000001))^2)/(2*$I$5),((ABS(H51)/MAX(((G33)+(I33)*(MAX($D$16,(L51)-(K33))))*(MAX($D$16,(L51)-(K33))),0.000001))^2)/(2*$I$5))))-((ABS(H51)/MAX(((F33)+(H33)*(MAX($D$16,(D51)-(J33))))*(MAX($D$16,(D51)-(J33))),0.000001))^2)/(2*$I$5)</f>
        <v>634.3119999999999</v>
      </c>
      <c r="R51">
        <f>D51+((ABS(G51)/MAX(((F32)+(H32)*(MAX($D$16,(D51)-(J32))))*(MAX($D$16,(D51)-(J32))),0.000001))^2)/(2*$I$5)-((E32)*((((ABS(G51)*$D$6)/(MAX(((F32)+(H32)*(MAX($D$16,(D51)-(J32))))*(MAX($D$16,(D51)-(J32))),0.000001)*MAX(((((F32)+(H32)*(MAX($D$16,(D51)-(J32))))*(MAX($D$16,(D51)-(J32))))/MAX((F32)+2*(MAX($D$16,(D51)-(J32)))*SQRT(1+(H32)^2),0.000001))^(2/3),0.000001)))^2)+(((ABS(G51)*$D$6)/(MAX(((G32)+(I32)*(MAX($D$16,(E51)-(K32))))*(MAX($D$16,(E51)-(K32))),0.000001)*MAX(((((G32)+(I32)*(MAX($D$16,(E51)-(K32))))*(MAX($D$16,(E51)-(K32))))/MAX((G32)+2*(MAX($D$16,(E51)-(K32)))*SQRT(1+(I32)^2),0.000001))^(2/3),0.000001)))^2))/2)+(IF((ABS(G51)/MAX(((G32)+(I32)*(MAX($D$16,(E51)-(K32))))*(MAX($D$16,(E51)-(K32))),0.000001))&gt;(ABS(G51)/MAX(((F32)+(H32)*(MAX($D$16,(D51)-(J32))))*(MAX($D$16,(D51)-(J32))),0.000001)),$D$9*((((ABS(G51)/MAX(((G32)+(I32)*(MAX($D$16,(E51)-(K32))))*(MAX($D$16,(E51)-(K32))),0.000001))^2)/(2*$I$5))-(((ABS(G51)/MAX(((F32)+(H32)*(MAX($D$16,(D51)-(J32))))*(MAX($D$16,(D51)-(J32))),0.000001))^2)/(2*$I$5))),$D$8*((((ABS(G51)/MAX(((F32)+(H32)*(MAX($D$16,(D51)-(J32))))*(MAX($D$16,(D51)-(J32))),0.000001))^2)/(2*$I$5))-(((ABS(G51)/MAX(((G32)+(I32)*(MAX($D$16,(E51)-(K32))))*(MAX($D$16,(E51)-(K32))),0.000001))^2)/(2*$I$5)))))+($D$10*(ABS((X32)-(W32))/90)*MAX(((ABS(G51)/MAX(((F32)+(H32)*(MAX($D$16,(D51)-(J32))))*(MAX($D$16,(D51)-(J32))),0.000001))^2)/(2*$I$5),((ABS(G51)/MAX(((G32)+(I32)*(MAX($D$16,(E51)-(K32))))*(MAX($D$16,(E51)-(K32))),0.000001))^2)/(2*$I$5)))+(($D$11*0.13607488*(ABS(H51)/MAX(ABS(F51),0.000001))^2*MAX(((ABS(G51)/MAX(((F32)+(H32)*(MAX($D$16,(D51)-(J32))))*(MAX($D$16,(D51)-(J32))),0.000001))^2)/(2*$I$5),((ABS(G51)/MAX(((G32)+(I32)*(MAX($D$16,(E51)-(K32))))*(MAX($D$16,(E51)-(K32))),0.000001))^2)/(2*$I$5))))-((ABS(G51)/MAX(((G32)+(I32)*(MAX($D$16,(E51)-(K32))))*(MAX($D$16,(E51)-(K32))),0.000001))^2)/(2*$I$5)</f>
        <v>52443.277926135932</v>
      </c>
      <c r="S51">
        <f>M51+((ABS(I51)/MAX(((G34)+(I34)*(MAX($D$16,(M51)-(K34))))*(MAX($D$16,(M51)-(K34))),0.000001))^2)/(2*$I$5)+((E34)*((((ABS(I51)*$D$6)/(MAX(((F34)+(H34)*(MAX($D$16,(E51)-(J34))))*(MAX($D$16,(E51)-(J34))),0.000001)*MAX(((((F34)+(H34)*(MAX($D$16,(E51)-(J34))))*(MAX($D$16,(E51)-(J34))))/MAX((F34)+2*(MAX($D$16,(E51)-(J34)))*SQRT(1+(H34)^2),0.000001))^(2/3),0.000001)))^2)+(((ABS(I51)*$D$6)/(MAX(((G34)+(I34)*(MAX($D$16,(M51)-(K34))))*(MAX($D$16,(M51)-(K34))),0.000001)*MAX(((((G34)+(I34)*(MAX($D$16,(M51)-(K34))))*(MAX($D$16,(M51)-(K34))))/MAX((G34)+2*(MAX($D$16,(M51)-(K34)))*SQRT(1+(I34)^2),0.000001))^(2/3),0.000001)))^2))/2)+(IF((ABS(I51)/MAX(((G34)+(I34)*(MAX($D$16,(M51)-(K34))))*(MAX($D$16,(M51)-(K34))),0.000001))&gt;(ABS(I51)/MAX(((F34)+(H34)*(MAX($D$16,(E51)-(J34))))*(MAX($D$16,(E51)-(J34))),0.000001)),$D$9*((((ABS(I51)/MAX(((G34)+(I34)*(MAX($D$16,(M51)-(K34))))*(MAX($D$16,(M51)-(K34))),0.000001))^2)/(2*$I$5))-(((ABS(I51)/MAX(((F34)+(H34)*(MAX($D$16,(E51)-(J34))))*(MAX($D$16,(E51)-(J34))),0.000001))^2)/(2*$I$5))),$D$8*((((ABS(I51)/MAX(((F34)+(H34)*(MAX($D$16,(E51)-(J34))))*(MAX($D$16,(E51)-(J34))),0.000001))^2)/(2*$I$5))-(((ABS(I51)/MAX(((G34)+(I34)*(MAX($D$16,(M51)-(K34))))*(MAX($D$16,(M51)-(K34))),0.000001))^2)/(2*$I$5)))))+($D$10*(ABS((X34)-(W34))/90)*MAX(((ABS(I51)/MAX(((F34)+(H34)*(MAX($D$16,(E51)-(J34))))*(MAX($D$16,(E51)-(J34))),0.000001))^2)/(2*$I$5),((ABS(I51)/MAX(((G34)+(I34)*(MAX($D$16,(M51)-(K34))))*(MAX($D$16,(M51)-(K34))),0.000001))^2)/(2*$I$5)))+(0)-((ABS(I51)/MAX(((F34)+(H34)*(MAX($D$16,(E51)-(J34))))*(MAX($D$16,(E51)-(J34))),0.000001))^2)/(2*$I$5)</f>
        <v>635.5</v>
      </c>
      <c r="T51">
        <f>N51+((ABS(J51)/MAX(((G35)+(I35)*(MAX($D$16,(N51)-(K35))))*(MAX($D$16,(N51)-(K35))),0.000001))^2)/(2*$I$5)+((E35)*((((ABS(J51)*$D$6)/(MAX(((F35)+(H35)*(MAX($D$16,(E51)-(J35))))*(MAX($D$16,(E51)-(J35))),0.000001)*MAX(((((F35)+(H35)*(MAX($D$16,(E51)-(J35))))*(MAX($D$16,(E51)-(J35))))/MAX((F35)+2*(MAX($D$16,(E51)-(J35)))*SQRT(1+(H35)^2),0.000001))^(2/3),0.000001)))^2)+(((ABS(J51)*$D$6)/(MAX(((G35)+(I35)*(MAX($D$16,(N51)-(K35))))*(MAX($D$16,(N51)-(K35))),0.000001)*MAX(((((G35)+(I35)*(MAX($D$16,(N51)-(K35))))*(MAX($D$16,(N51)-(K35))))/MAX((G35)+2*(MAX($D$16,(N51)-(K35)))*SQRT(1+(I35)^2),0.000001))^(2/3),0.000001)))^2))/2)+(IF((ABS(J51)/MAX(((G35)+(I35)*(MAX($D$16,(N51)-(K35))))*(MAX($D$16,(N51)-(K35))),0.000001))&gt;(ABS(J51)/MAX(((F35)+(H35)*(MAX($D$16,(E51)-(J35))))*(MAX($D$16,(E51)-(J35))),0.000001)),$D$9*((((ABS(J51)/MAX(((G35)+(I35)*(MAX($D$16,(N51)-(K35))))*(MAX($D$16,(N51)-(K35))),0.000001))^2)/(2*$I$5))-(((ABS(J51)/MAX(((F35)+(H35)*(MAX($D$16,(E51)-(J35))))*(MAX($D$16,(E51)-(J35))),0.000001))^2)/(2*$I$5))),$D$8*((((ABS(J51)/MAX(((F35)+(H35)*(MAX($D$16,(E51)-(J35))))*(MAX($D$16,(E51)-(J35))),0.000001))^2)/(2*$I$5))-(((ABS(J51)/MAX(((G35)+(I35)*(MAX($D$16,(N51)-(K35))))*(MAX($D$16,(N51)-(K35))),0.000001))^2)/(2*$I$5)))))+($D$10*(ABS((X35)-(W35))/90)*MAX(((ABS(J51)/MAX(((F35)+(H35)*(MAX($D$16,(E51)-(J35))))*(MAX($D$16,(E51)-(J35))),0.000001))^2)/(2*$I$5),((ABS(J51)/MAX(((G35)+(I35)*(MAX($D$16,(N51)-(K35))))*(MAX($D$16,(N51)-(K35))),0.000001))^2)/(2*$I$5)))+(($D$11*0.34699541*(ABS(I51)/MAX(ABS(G51),0.000001))^2*MAX(((ABS(J51)/MAX(((F35)+(H35)*(MAX($D$16,(E51)-(J35))))*(MAX($D$16,(E51)-(J35))),0.000001))^2)/(2*$I$5),((ABS(J51)/MAX(((G35)+(I35)*(MAX($D$16,(N51)-(K35))))*(MAX($D$16,(N51)-(K35))),0.000001))^2)/(2*$I$5))))-((ABS(J51)/MAX(((F35)+(H35)*(MAX($D$16,(E51)-(J35))))*(MAX($D$16,(E51)-(J35))),0.000001))^2)/(2*$I$5)</f>
        <v>20784.033523923383</v>
      </c>
      <c r="U51">
        <f>(((((F32)*(MAX($D$16,(D51)-(J32)))^2)/2+(H32)*(MAX($D$16,(D51)-(J32)))^3/3+(ABS(G51)^2)/($I$5*MAX(((F32)+(H32)*(MAX($D$16,(D51)-(J32))))*(MAX($D$16,(D51)-(J32))),0.000001)))*0.72785025)-((((F33)*(MAX($D$16,(D51)-(J33)))^2)/2+(H33)*(MAX($D$16,(D51)-(J33)))^3/3+(ABS(H51)^2)/($I$5*MAX(((F33)+(H33)*(MAX($D$16,(D51)-(J33))))*(MAX($D$16,(D51)-(J33))),0.000001)))*0.99999971))/MAX(((G31)*(MAX($D$16,(D51)-(K31)))^2)/2+(I31)*(MAX($D$16,(D51)-(K31)))^3/3+(ABS(F51)^2)/($I$5*MAX(((G31)+(I31)*(MAX($D$16,(D51)-(K31))))*(MAX($D$16,(D51)-(K31))),0.000001)),0.000001)</f>
        <v>-0.27214945999991125</v>
      </c>
      <c r="V51">
        <f>(((((F34)*(MAX($D$16,(E51)-(J34)))^2)/2+(H34)*(MAX($D$16,(E51)-(J34)))^3/3+(ABS(I51)^2)/($I$5*MAX(((F34)+(H34)*(MAX($D$16,(E51)-(J34))))*(MAX($D$16,(E51)-(J34))),0.000001)))*1)-((((F35)*(MAX($D$16,(E51)-(J35)))^2)/2+(H35)*(MAX($D$16,(E51)-(J35)))^3/3+(ABS(J51)^2)/($I$5*MAX(((F35)+(H35)*(MAX($D$16,(E51)-(J35))))*(MAX($D$16,(E51)-(J35))),0.000001)))*0.30600918))/MAX(((G32)*(MAX($D$16,(E51)-(K32)))^2)/2+(I32)*(MAX($D$16,(E51)-(K32)))^3/3+(ABS(G51)^2)/($I$5*MAX(((G32)+(I32)*(MAX($D$16,(E51)-(K32))))*(MAX($D$16,(E51)-(K32))),0.000001)),0.000001)</f>
        <v>0.69398638841919336</v>
      </c>
      <c r="W51">
        <f>IF(N6="None",ABS(P51-D51),MAX(ABS(P51-D51),ABS(Q51-D51)))</f>
        <v>22.272176960941579</v>
      </c>
      <c r="X51">
        <f>IF(AND(N7="None",N8="None"),0,IF(N8="None",ABS(S51-E51),IF(N7="None",ABS(T51-E51),MAX(ABS(S51-E51),ABS(T51-E51)))))</f>
        <v>51785.505749174306</v>
      </c>
      <c r="AA51">
        <f t="shared" si="3"/>
        <v>52435.482664199473</v>
      </c>
      <c r="AB51">
        <f t="shared" si="4"/>
        <v>41348.065470336485</v>
      </c>
      <c r="AC51">
        <f>IF(N6="None",P51,MAX(P51,Q51))</f>
        <v>52421.005749174859</v>
      </c>
      <c r="AD51">
        <f>IF(AND(N7="None",N8="None"),E51,IF(N8="None",S51,IF(N7="None",T51,MAX(S51,T51))))</f>
        <v>20784.033523923383</v>
      </c>
      <c r="AE51">
        <f t="shared" si="5"/>
        <v>637.65825101089899</v>
      </c>
      <c r="AF51">
        <f t="shared" si="6"/>
        <v>52443.277926135932</v>
      </c>
      <c r="AG51">
        <f>((G31)*(MAX($D$16,(AC51)-(K31)))^2)/2+(I31)*(MAX($D$16,(AC51)-(K31)))^3/3+(ABS(F51)^2)/($I$5*MAX(((G31)+(I31)*(MAX($D$16,(AC51)-(K31))))*(MAX($D$16,(AC51)-(K31))),0.000001))</f>
        <v>8793829103.2561874</v>
      </c>
      <c r="AH51">
        <f>((G31)*(MAX($D$16,(AE51)-(K31)))^2)/2+(I31)*(MAX($D$16,(AE51)-(K31)))^3/3+(ABS(F51)^2)/($I$5*MAX(((G31)+(I31)*(MAX($D$16,(AE51)-(K31))))*(MAX($D$16,(AE51)-(K31))),0.000001))</f>
        <v>49.055863329587837</v>
      </c>
      <c r="AI51">
        <f>((G32)*(MAX($D$16,(AD51)-(K32)))^2)/2+(I32)*(MAX($D$16,(AD51)-(K32)))^3/3+(ABS(G51)^2)/($I$5*MAX(((G32)+(I32)*(MAX($D$16,(AD51)-(K32))))*(MAX($D$16,(AD51)-(K32))),0.000001))</f>
        <v>2072376743.6648321</v>
      </c>
      <c r="AJ51">
        <f>((G32)*(MAX($D$16,(AF51)-(K32)))^2)/2+(I32)*(MAX($D$16,(AF51)-(K32)))^3/3+(ABS(G51)^2)/($I$5*MAX(((G32)+(I32)*(MAX($D$16,(AF51)-(K32))))*(MAX($D$16,(AF51)-(K32))),0.000001))</f>
        <v>13698602777.609501</v>
      </c>
      <c r="AK51" t="str">
        <f t="shared" si="7"/>
        <v>Subcritical</v>
      </c>
      <c r="AL51" t="str">
        <f t="shared" si="8"/>
        <v>Supercritical</v>
      </c>
      <c r="AM51">
        <f t="shared" si="9"/>
        <v>52435.482664199473</v>
      </c>
      <c r="AN51">
        <f t="shared" si="10"/>
        <v>52428.801011110874</v>
      </c>
      <c r="AO51">
        <f t="shared" si="11"/>
        <v>22.272176960941579</v>
      </c>
      <c r="AP51">
        <f t="shared" si="12"/>
        <v>22.272176961625519</v>
      </c>
    </row>
    <row r="52" spans="1:42" x14ac:dyDescent="0.35">
      <c r="A52">
        <v>9</v>
      </c>
      <c r="B52">
        <f t="shared" si="13"/>
        <v>0</v>
      </c>
      <c r="C52">
        <f t="shared" si="14"/>
        <v>0</v>
      </c>
      <c r="D52">
        <f t="shared" si="15"/>
        <v>52435.482664199473</v>
      </c>
      <c r="E52">
        <f t="shared" si="16"/>
        <v>52428.801011110874</v>
      </c>
      <c r="F52">
        <f t="shared" si="2"/>
        <v>51</v>
      </c>
      <c r="G52">
        <f>IF(N6="None",F52,MAX(0,F52*B52))</f>
        <v>51</v>
      </c>
      <c r="H52">
        <f>IF(N6="None",0,MAX(0,F52-G52))</f>
        <v>0</v>
      </c>
      <c r="I52">
        <f>IF(AND(N7="None",N8="None"),0,IF(N8="None",G52,IF(N7="None",0,MAX(0,G52*C52))))</f>
        <v>0</v>
      </c>
      <c r="J52">
        <f>IF(AND(N7="None",N8="None"),0,IF(N8="None",0,IF(N7="None",G52,MAX(0,G52-I52))))</f>
        <v>51</v>
      </c>
      <c r="K52">
        <f>P5</f>
        <v>637</v>
      </c>
      <c r="L52">
        <f>P6</f>
        <v>634.3119999999999</v>
      </c>
      <c r="M52">
        <f>P7</f>
        <v>635.5</v>
      </c>
      <c r="N52">
        <f>P8</f>
        <v>631.54999999999995</v>
      </c>
      <c r="O52">
        <f>K52+((ABS(F52)/MAX(((F31)+(H31)*(MAX($D$16,(K52)-(J31))))*(MAX($D$16,(K52)-(J31))),0.000001))^2)/(2*$I$5)-((E31)*((((ABS(F52)*$D$6)/(MAX(((F31)+(H31)*(MAX($D$16,(K52)-(J31))))*(MAX($D$16,(K52)-(J31))),0.000001)*MAX(((((F31)+(H31)*(MAX($D$16,(K52)-(J31))))*(MAX($D$16,(K52)-(J31))))/MAX((F31)+2*(MAX($D$16,(K52)-(J31)))*SQRT(1+(H31)^2),0.000001))^(2/3),0.000001)))^2)+(((ABS(F52)*$D$6)/(MAX(((G31)+(I31)*(MAX($D$16,(D52)-(K31))))*(MAX($D$16,(D52)-(K31))),0.000001)*MAX(((((G31)+(I31)*(MAX($D$16,(D52)-(K31))))*(MAX($D$16,(D52)-(K31))))/MAX((G31)+2*(MAX($D$16,(D52)-(K31)))*SQRT(1+(I31)^2),0.000001))^(2/3),0.000001)))^2))/2)+(IF((ABS(F52)/MAX(((G31)+(I31)*(MAX($D$16,(D52)-(K31))))*(MAX($D$16,(D52)-(K31))),0.000001))&gt;(ABS(F52)/MAX(((F31)+(H31)*(MAX($D$16,(K52)-(J31))))*(MAX($D$16,(K52)-(J31))),0.000001)),$D$9*((((ABS(F52)/MAX(((G31)+(I31)*(MAX($D$16,(D52)-(K31))))*(MAX($D$16,(D52)-(K31))),0.000001))^2)/(2*$I$5))-(((ABS(F52)/MAX(((F31)+(H31)*(MAX($D$16,(K52)-(J31))))*(MAX($D$16,(K52)-(J31))),0.000001))^2)/(2*$I$5))),$D$8*((((ABS(F52)/MAX(((F31)+(H31)*(MAX($D$16,(K52)-(J31))))*(MAX($D$16,(K52)-(J31))),0.000001))^2)/(2*$I$5))-(((ABS(F52)/MAX(((G31)+(I31)*(MAX($D$16,(D52)-(K31))))*(MAX($D$16,(D52)-(K31))),0.000001))^2)/(2*$I$5)))))+($D$10*(ABS((X31)-(W31))/90)*MAX(((ABS(F52)/MAX(((F31)+(H31)*(MAX($D$16,(K52)-(J31))))*(MAX($D$16,(K52)-(J31))),0.000001))^2)/(2*$I$5),((ABS(F52)/MAX(((G31)+(I31)*(MAX($D$16,(D52)-(K31))))*(MAX($D$16,(D52)-(K31))),0.000001))^2)/(2*$I$5)))+(0)-((ABS(F52)/MAX(((G31)+(I31)*(MAX($D$16,(D52)-(K31))))*(MAX($D$16,(D52)-(K31))),0.000001))^2)/(2*$I$5)</f>
        <v>637.65825101089854</v>
      </c>
      <c r="P52">
        <f>E52+((ABS(G52)/MAX(((G32)+(I32)*(MAX($D$16,(E52)-(K32))))*(MAX($D$16,(E52)-(K32))),0.000001))^2)/(2*$I$5)+((E32)*((((ABS(G52)*$D$6)/(MAX(((F32)+(H32)*(MAX($D$16,(D52)-(J32))))*(MAX($D$16,(D52)-(J32))),0.000001)*MAX(((((F32)+(H32)*(MAX($D$16,(D52)-(J32))))*(MAX($D$16,(D52)-(J32))))/MAX((F32)+2*(MAX($D$16,(D52)-(J32)))*SQRT(1+(H32)^2),0.000001))^(2/3),0.000001)))^2)+(((ABS(G52)*$D$6)/(MAX(((G32)+(I32)*(MAX($D$16,(E52)-(K32))))*(MAX($D$16,(E52)-(K32))),0.000001)*MAX(((((G32)+(I32)*(MAX($D$16,(E52)-(K32))))*(MAX($D$16,(E52)-(K32))))/MAX((G32)+2*(MAX($D$16,(E52)-(K32)))*SQRT(1+(I32)^2),0.000001))^(2/3),0.000001)))^2))/2)+(IF((ABS(G52)/MAX(((G32)+(I32)*(MAX($D$16,(E52)-(K32))))*(MAX($D$16,(E52)-(K32))),0.000001))&gt;(ABS(G52)/MAX(((F32)+(H32)*(MAX($D$16,(D52)-(J32))))*(MAX($D$16,(D52)-(J32))),0.000001)),$D$9*((((ABS(G52)/MAX(((G32)+(I32)*(MAX($D$16,(E52)-(K32))))*(MAX($D$16,(E52)-(K32))),0.000001))^2)/(2*$I$5))-(((ABS(G52)/MAX(((F32)+(H32)*(MAX($D$16,(D52)-(J32))))*(MAX($D$16,(D52)-(J32))),0.000001))^2)/(2*$I$5))),$D$8*((((ABS(G52)/MAX(((F32)+(H32)*(MAX($D$16,(D52)-(J32))))*(MAX($D$16,(D52)-(J32))),0.000001))^2)/(2*$I$5))-(((ABS(G52)/MAX(((G32)+(I32)*(MAX($D$16,(E52)-(K32))))*(MAX($D$16,(E52)-(K32))),0.000001))^2)/(2*$I$5)))))+($D$10*(ABS((X32)-(W32))/90)*MAX(((ABS(G52)/MAX(((F32)+(H32)*(MAX($D$16,(D52)-(J32))))*(MAX($D$16,(D52)-(J32))),0.000001))^2)/(2*$I$5),((ABS(G52)/MAX(((G32)+(I32)*(MAX($D$16,(E52)-(K32))))*(MAX($D$16,(E52)-(K32))),0.000001))^2)/(2*$I$5)))+(($D$11*0.13607488*(ABS(H52)/MAX(ABS(F52),0.000001))^2*MAX(((ABS(G52)/MAX(((F32)+(H32)*(MAX($D$16,(D52)-(J32))))*(MAX($D$16,(D52)-(J32))),0.000001))^2)/(2*$I$5),((ABS(G52)/MAX(((G32)+(I32)*(MAX($D$16,(E52)-(K32))))*(MAX($D$16,(E52)-(K32))),0.000001))^2)/(2*$I$5))))-((ABS(G52)/MAX(((F32)+(H32)*(MAX($D$16,(D52)-(J32))))*(MAX($D$16,(D52)-(J32))),0.000001))^2)/(2*$I$5)</f>
        <v>52428.801011111427</v>
      </c>
      <c r="Q52">
        <f>L52+((ABS(H52)/MAX(((G33)+(I33)*(MAX($D$16,(L52)-(K33))))*(MAX($D$16,(L52)-(K33))),0.000001))^2)/(2*$I$5)+((E33)*((((ABS(H52)*$D$6)/(MAX(((F33)+(H33)*(MAX($D$16,(D52)-(J33))))*(MAX($D$16,(D52)-(J33))),0.000001)*MAX(((((F33)+(H33)*(MAX($D$16,(D52)-(J33))))*(MAX($D$16,(D52)-(J33))))/MAX((F33)+2*(MAX($D$16,(D52)-(J33)))*SQRT(1+(H33)^2),0.000001))^(2/3),0.000001)))^2)+(((ABS(H52)*$D$6)/(MAX(((G33)+(I33)*(MAX($D$16,(L52)-(K33))))*(MAX($D$16,(L52)-(K33))),0.000001)*MAX(((((G33)+(I33)*(MAX($D$16,(L52)-(K33))))*(MAX($D$16,(L52)-(K33))))/MAX((G33)+2*(MAX($D$16,(L52)-(K33)))*SQRT(1+(I33)^2),0.000001))^(2/3),0.000001)))^2))/2)+(IF((ABS(H52)/MAX(((G33)+(I33)*(MAX($D$16,(L52)-(K33))))*(MAX($D$16,(L52)-(K33))),0.000001))&gt;(ABS(H52)/MAX(((F33)+(H33)*(MAX($D$16,(D52)-(J33))))*(MAX($D$16,(D52)-(J33))),0.000001)),$D$9*((((ABS(H52)/MAX(((G33)+(I33)*(MAX($D$16,(L52)-(K33))))*(MAX($D$16,(L52)-(K33))),0.000001))^2)/(2*$I$5))-(((ABS(H52)/MAX(((F33)+(H33)*(MAX($D$16,(D52)-(J33))))*(MAX($D$16,(D52)-(J33))),0.000001))^2)/(2*$I$5))),$D$8*((((ABS(H52)/MAX(((F33)+(H33)*(MAX($D$16,(D52)-(J33))))*(MAX($D$16,(D52)-(J33))),0.000001))^2)/(2*$I$5))-(((ABS(H52)/MAX(((G33)+(I33)*(MAX($D$16,(L52)-(K33))))*(MAX($D$16,(L52)-(K33))),0.000001))^2)/(2*$I$5)))))+($D$10*(ABS((X33)-(W33))/90)*MAX(((ABS(H52)/MAX(((F33)+(H33)*(MAX($D$16,(D52)-(J33))))*(MAX($D$16,(D52)-(J33))),0.000001))^2)/(2*$I$5),((ABS(H52)/MAX(((G33)+(I33)*(MAX($D$16,(L52)-(K33))))*(MAX($D$16,(L52)-(K33))),0.000001))^2)/(2*$I$5)))+(($D$11*0.00000015*(ABS(G52)/MAX(ABS(F52),0.000001))^2*MAX(((ABS(H52)/MAX(((F33)+(H33)*(MAX($D$16,(D52)-(J33))))*(MAX($D$16,(D52)-(J33))),0.000001))^2)/(2*$I$5),((ABS(H52)/MAX(((G33)+(I33)*(MAX($D$16,(L52)-(K33))))*(MAX($D$16,(L52)-(K33))),0.000001))^2)/(2*$I$5))))-((ABS(H52)/MAX(((F33)+(H33)*(MAX($D$16,(D52)-(J33))))*(MAX($D$16,(D52)-(J33))),0.000001))^2)/(2*$I$5)</f>
        <v>634.3119999999999</v>
      </c>
      <c r="R52">
        <f>D52+((ABS(G52)/MAX(((F32)+(H32)*(MAX($D$16,(D52)-(J32))))*(MAX($D$16,(D52)-(J32))),0.000001))^2)/(2*$I$5)-((E32)*((((ABS(G52)*$D$6)/(MAX(((F32)+(H32)*(MAX($D$16,(D52)-(J32))))*(MAX($D$16,(D52)-(J32))),0.000001)*MAX(((((F32)+(H32)*(MAX($D$16,(D52)-(J32))))*(MAX($D$16,(D52)-(J32))))/MAX((F32)+2*(MAX($D$16,(D52)-(J32)))*SQRT(1+(H32)^2),0.000001))^(2/3),0.000001)))^2)+(((ABS(G52)*$D$6)/(MAX(((G32)+(I32)*(MAX($D$16,(E52)-(K32))))*(MAX($D$16,(E52)-(K32))),0.000001)*MAX(((((G32)+(I32)*(MAX($D$16,(E52)-(K32))))*(MAX($D$16,(E52)-(K32))))/MAX((G32)+2*(MAX($D$16,(E52)-(K32)))*SQRT(1+(I32)^2),0.000001))^(2/3),0.000001)))^2))/2)+(IF((ABS(G52)/MAX(((G32)+(I32)*(MAX($D$16,(E52)-(K32))))*(MAX($D$16,(E52)-(K32))),0.000001))&gt;(ABS(G52)/MAX(((F32)+(H32)*(MAX($D$16,(D52)-(J32))))*(MAX($D$16,(D52)-(J32))),0.000001)),$D$9*((((ABS(G52)/MAX(((G32)+(I32)*(MAX($D$16,(E52)-(K32))))*(MAX($D$16,(E52)-(K32))),0.000001))^2)/(2*$I$5))-(((ABS(G52)/MAX(((F32)+(H32)*(MAX($D$16,(D52)-(J32))))*(MAX($D$16,(D52)-(J32))),0.000001))^2)/(2*$I$5))),$D$8*((((ABS(G52)/MAX(((F32)+(H32)*(MAX($D$16,(D52)-(J32))))*(MAX($D$16,(D52)-(J32))),0.000001))^2)/(2*$I$5))-(((ABS(G52)/MAX(((G32)+(I32)*(MAX($D$16,(E52)-(K32))))*(MAX($D$16,(E52)-(K32))),0.000001))^2)/(2*$I$5)))))+($D$10*(ABS((X32)-(W32))/90)*MAX(((ABS(G52)/MAX(((F32)+(H32)*(MAX($D$16,(D52)-(J32))))*(MAX($D$16,(D52)-(J32))),0.000001))^2)/(2*$I$5),((ABS(G52)/MAX(((G32)+(I32)*(MAX($D$16,(E52)-(K32))))*(MAX($D$16,(E52)-(K32))),0.000001))^2)/(2*$I$5)))+(($D$11*0.13607488*(ABS(H52)/MAX(ABS(F52),0.000001))^2*MAX(((ABS(G52)/MAX(((F32)+(H32)*(MAX($D$16,(D52)-(J32))))*(MAX($D$16,(D52)-(J32))),0.000001))^2)/(2*$I$5),((ABS(G52)/MAX(((G32)+(I32)*(MAX($D$16,(E52)-(K32))))*(MAX($D$16,(E52)-(K32))),0.000001))^2)/(2*$I$5))))-((ABS(G52)/MAX(((G32)+(I32)*(MAX($D$16,(E52)-(K32))))*(MAX($D$16,(E52)-(K32))),0.000001))^2)/(2*$I$5)</f>
        <v>52435.482664199604</v>
      </c>
      <c r="S52">
        <f>M52+((ABS(I52)/MAX(((G34)+(I34)*(MAX($D$16,(M52)-(K34))))*(MAX($D$16,(M52)-(K34))),0.000001))^2)/(2*$I$5)+((E34)*((((ABS(I52)*$D$6)/(MAX(((F34)+(H34)*(MAX($D$16,(E52)-(J34))))*(MAX($D$16,(E52)-(J34))),0.000001)*MAX(((((F34)+(H34)*(MAX($D$16,(E52)-(J34))))*(MAX($D$16,(E52)-(J34))))/MAX((F34)+2*(MAX($D$16,(E52)-(J34)))*SQRT(1+(H34)^2),0.000001))^(2/3),0.000001)))^2)+(((ABS(I52)*$D$6)/(MAX(((G34)+(I34)*(MAX($D$16,(M52)-(K34))))*(MAX($D$16,(M52)-(K34))),0.000001)*MAX(((((G34)+(I34)*(MAX($D$16,(M52)-(K34))))*(MAX($D$16,(M52)-(K34))))/MAX((G34)+2*(MAX($D$16,(M52)-(K34)))*SQRT(1+(I34)^2),0.000001))^(2/3),0.000001)))^2))/2)+(IF((ABS(I52)/MAX(((G34)+(I34)*(MAX($D$16,(M52)-(K34))))*(MAX($D$16,(M52)-(K34))),0.000001))&gt;(ABS(I52)/MAX(((F34)+(H34)*(MAX($D$16,(E52)-(J34))))*(MAX($D$16,(E52)-(J34))),0.000001)),$D$9*((((ABS(I52)/MAX(((G34)+(I34)*(MAX($D$16,(M52)-(K34))))*(MAX($D$16,(M52)-(K34))),0.000001))^2)/(2*$I$5))-(((ABS(I52)/MAX(((F34)+(H34)*(MAX($D$16,(E52)-(J34))))*(MAX($D$16,(E52)-(J34))),0.000001))^2)/(2*$I$5))),$D$8*((((ABS(I52)/MAX(((F34)+(H34)*(MAX($D$16,(E52)-(J34))))*(MAX($D$16,(E52)-(J34))),0.000001))^2)/(2*$I$5))-(((ABS(I52)/MAX(((G34)+(I34)*(MAX($D$16,(M52)-(K34))))*(MAX($D$16,(M52)-(K34))),0.000001))^2)/(2*$I$5)))))+($D$10*(ABS((X34)-(W34))/90)*MAX(((ABS(I52)/MAX(((F34)+(H34)*(MAX($D$16,(E52)-(J34))))*(MAX($D$16,(E52)-(J34))),0.000001))^2)/(2*$I$5),((ABS(I52)/MAX(((G34)+(I34)*(MAX($D$16,(M52)-(K34))))*(MAX($D$16,(M52)-(K34))),0.000001))^2)/(2*$I$5)))+(0)-((ABS(I52)/MAX(((F34)+(H34)*(MAX($D$16,(E52)-(J34))))*(MAX($D$16,(E52)-(J34))),0.000001))^2)/(2*$I$5)</f>
        <v>635.5</v>
      </c>
      <c r="T52">
        <f>N52+((ABS(J52)/MAX(((G35)+(I35)*(MAX($D$16,(N52)-(K35))))*(MAX($D$16,(N52)-(K35))),0.000001))^2)/(2*$I$5)+((E35)*((((ABS(J52)*$D$6)/(MAX(((F35)+(H35)*(MAX($D$16,(E52)-(J35))))*(MAX($D$16,(E52)-(J35))),0.000001)*MAX(((((F35)+(H35)*(MAX($D$16,(E52)-(J35))))*(MAX($D$16,(E52)-(J35))))/MAX((F35)+2*(MAX($D$16,(E52)-(J35)))*SQRT(1+(H35)^2),0.000001))^(2/3),0.000001)))^2)+(((ABS(J52)*$D$6)/(MAX(((G35)+(I35)*(MAX($D$16,(N52)-(K35))))*(MAX($D$16,(N52)-(K35))),0.000001)*MAX(((((G35)+(I35)*(MAX($D$16,(N52)-(K35))))*(MAX($D$16,(N52)-(K35))))/MAX((G35)+2*(MAX($D$16,(N52)-(K35)))*SQRT(1+(I35)^2),0.000001))^(2/3),0.000001)))^2))/2)+(IF((ABS(J52)/MAX(((G35)+(I35)*(MAX($D$16,(N52)-(K35))))*(MAX($D$16,(N52)-(K35))),0.000001))&gt;(ABS(J52)/MAX(((F35)+(H35)*(MAX($D$16,(E52)-(J35))))*(MAX($D$16,(E52)-(J35))),0.000001)),$D$9*((((ABS(J52)/MAX(((G35)+(I35)*(MAX($D$16,(N52)-(K35))))*(MAX($D$16,(N52)-(K35))),0.000001))^2)/(2*$I$5))-(((ABS(J52)/MAX(((F35)+(H35)*(MAX($D$16,(E52)-(J35))))*(MAX($D$16,(E52)-(J35))),0.000001))^2)/(2*$I$5))),$D$8*((((ABS(J52)/MAX(((F35)+(H35)*(MAX($D$16,(E52)-(J35))))*(MAX($D$16,(E52)-(J35))),0.000001))^2)/(2*$I$5))-(((ABS(J52)/MAX(((G35)+(I35)*(MAX($D$16,(N52)-(K35))))*(MAX($D$16,(N52)-(K35))),0.000001))^2)/(2*$I$5)))))+($D$10*(ABS((X35)-(W35))/90)*MAX(((ABS(J52)/MAX(((F35)+(H35)*(MAX($D$16,(E52)-(J35))))*(MAX($D$16,(E52)-(J35))),0.000001))^2)/(2*$I$5),((ABS(J52)/MAX(((G35)+(I35)*(MAX($D$16,(N52)-(K35))))*(MAX($D$16,(N52)-(K35))),0.000001))^2)/(2*$I$5)))+(($D$11*0.34699541*(ABS(I52)/MAX(ABS(G52),0.000001))^2*MAX(((ABS(J52)/MAX(((F35)+(H35)*(MAX($D$16,(E52)-(J35))))*(MAX($D$16,(E52)-(J35))),0.000001))^2)/(2*$I$5),((ABS(J52)/MAX(((G35)+(I35)*(MAX($D$16,(N52)-(K35))))*(MAX($D$16,(N52)-(K35))),0.000001))^2)/(2*$I$5))))-((ABS(J52)/MAX(((F35)+(H35)*(MAX($D$16,(E52)-(J35))))*(MAX($D$16,(E52)-(J35))),0.000001))^2)/(2*$I$5)</f>
        <v>20784.033523923383</v>
      </c>
      <c r="U52">
        <f>(((((F32)*(MAX($D$16,(D52)-(J32)))^2)/2+(H32)*(MAX($D$16,(D52)-(J32)))^3/3+(ABS(G52)^2)/($I$5*MAX(((F32)+(H32)*(MAX($D$16,(D52)-(J32))))*(MAX($D$16,(D52)-(J32))),0.000001)))*0.72785025)-((((F33)*(MAX($D$16,(D52)-(J33)))^2)/2+(H33)*(MAX($D$16,(D52)-(J33)))^3/3+(ABS(H52)^2)/($I$5*MAX(((F33)+(H33)*(MAX($D$16,(D52)-(J33))))*(MAX($D$16,(D52)-(J33))),0.000001)))*0.99999971))/MAX(((G31)*(MAX($D$16,(D52)-(K31)))^2)/2+(I31)*(MAX($D$16,(D52)-(K31)))^3/3+(ABS(F52)^2)/($I$5*MAX(((G31)+(I31)*(MAX($D$16,(D52)-(K31))))*(MAX($D$16,(D52)-(K31))),0.000001)),0.000001)</f>
        <v>-0.27214945999991136</v>
      </c>
      <c r="V52">
        <f>(((((F34)*(MAX($D$16,(E52)-(J34)))^2)/2+(H34)*(MAX($D$16,(E52)-(J34)))^3/3+(ABS(I52)^2)/($I$5*MAX(((F34)+(H34)*(MAX($D$16,(E52)-(J34))))*(MAX($D$16,(E52)-(J34))),0.000001)))*1)-((((F35)*(MAX($D$16,(E52)-(J35)))^2)/2+(H35)*(MAX($D$16,(E52)-(J35)))^3/3+(ABS(J52)^2)/($I$5*MAX(((F35)+(H35)*(MAX($D$16,(E52)-(J35))))*(MAX($D$16,(E52)-(J35))),0.000001)))*0.30600918))/MAX(((G32)*(MAX($D$16,(E52)-(K32)))^2)/2+(I32)*(MAX($D$16,(E52)-(K32)))^3/3+(ABS(G52)^2)/($I$5*MAX(((G32)+(I32)*(MAX($D$16,(E52)-(K32))))*(MAX($D$16,(E52)-(K32))),0.000001)),0.000001)</f>
        <v>0.69398638908613386</v>
      </c>
      <c r="W52">
        <f>IF(N6="None",ABS(P52-D52),MAX(ABS(P52-D52),ABS(Q52-D52)))</f>
        <v>6.681653088046005</v>
      </c>
      <c r="X52">
        <f>IF(AND(N7="None",N8="None"),0,IF(N8="None",ABS(S52-E52),IF(N7="None",ABS(T52-E52),MAX(ABS(S52-E52),ABS(T52-E52)))))</f>
        <v>51793.301011110874</v>
      </c>
      <c r="AA52">
        <f t="shared" si="3"/>
        <v>52433.14408561866</v>
      </c>
      <c r="AB52">
        <f t="shared" si="4"/>
        <v>41353.132390595252</v>
      </c>
      <c r="AC52">
        <f>IF(N6="None",P52,MAX(P52,Q52))</f>
        <v>52428.801011111427</v>
      </c>
      <c r="AD52">
        <f>IF(AND(N7="None",N8="None"),E52,IF(N8="None",S52,IF(N7="None",T52,MAX(S52,T52))))</f>
        <v>20784.033523923383</v>
      </c>
      <c r="AE52">
        <f t="shared" si="5"/>
        <v>637.65825101089854</v>
      </c>
      <c r="AF52">
        <f t="shared" si="6"/>
        <v>52435.482664199604</v>
      </c>
      <c r="AG52">
        <f>((G31)*(MAX($D$16,(AC52)-(K31)))^2)/2+(I31)*(MAX($D$16,(AC52)-(K31)))^3/3+(ABS(F52)^2)/($I$5*MAX(((G31)+(I31)*(MAX($D$16,(AC52)-(K31))))*(MAX($D$16,(AC52)-(K31))),0.000001))</f>
        <v>8796476707.7697506</v>
      </c>
      <c r="AH52">
        <f>((G31)*(MAX($D$16,(AE52)-(K31)))^2)/2+(I31)*(MAX($D$16,(AE52)-(K31)))^3/3+(ABS(F52)^2)/($I$5*MAX(((G31)+(I31)*(MAX($D$16,(AE52)-(K31))))*(MAX($D$16,(AE52)-(K31))),0.000001))</f>
        <v>49.055863329579452</v>
      </c>
      <c r="AI52">
        <f>((G32)*(MAX($D$16,(AD52)-(K32)))^2)/2+(I32)*(MAX($D$16,(AD52)-(K32)))^3/3+(ABS(G52)^2)/($I$5*MAX(((G32)+(I32)*(MAX($D$16,(AD52)-(K32))))*(MAX($D$16,(AD52)-(K32))),0.000001))</f>
        <v>2072376743.6648321</v>
      </c>
      <c r="AJ52">
        <f>((G32)*(MAX($D$16,(AF52)-(K32)))^2)/2+(I32)*(MAX($D$16,(AF52)-(K32)))^3/3+(ABS(G52)^2)/($I$5*MAX(((G32)+(I32)*(MAX($D$16,(AF52)-(K32))))*(MAX($D$16,(AF52)-(K32))),0.000001))</f>
        <v>13694481053.135813</v>
      </c>
      <c r="AK52" t="str">
        <f t="shared" si="7"/>
        <v>Subcritical</v>
      </c>
      <c r="AL52" t="str">
        <f t="shared" si="8"/>
        <v>Supercritical</v>
      </c>
      <c r="AM52">
        <f t="shared" si="9"/>
        <v>52433.14408561866</v>
      </c>
      <c r="AN52">
        <f t="shared" si="10"/>
        <v>52431.139589691928</v>
      </c>
      <c r="AO52">
        <f t="shared" si="11"/>
        <v>6.681653088046005</v>
      </c>
      <c r="AP52">
        <f t="shared" si="12"/>
        <v>6.681653088729945</v>
      </c>
    </row>
    <row r="53" spans="1:42" x14ac:dyDescent="0.35">
      <c r="A53">
        <v>10</v>
      </c>
      <c r="B53">
        <f t="shared" si="13"/>
        <v>0</v>
      </c>
      <c r="C53">
        <f t="shared" si="14"/>
        <v>0</v>
      </c>
      <c r="D53">
        <f t="shared" si="15"/>
        <v>52433.14408561866</v>
      </c>
      <c r="E53">
        <f t="shared" si="16"/>
        <v>52431.139589691928</v>
      </c>
      <c r="F53">
        <f t="shared" si="2"/>
        <v>51</v>
      </c>
      <c r="G53">
        <f>IF(N6="None",F53,MAX(0,F53*B53))</f>
        <v>51</v>
      </c>
      <c r="H53">
        <f>IF(N6="None",0,MAX(0,F53-G53))</f>
        <v>0</v>
      </c>
      <c r="I53">
        <f>IF(AND(N7="None",N8="None"),0,IF(N8="None",G53,IF(N7="None",0,MAX(0,G53*C53))))</f>
        <v>0</v>
      </c>
      <c r="J53">
        <f>IF(AND(N7="None",N8="None"),0,IF(N8="None",0,IF(N7="None",G53,MAX(0,G53-I53))))</f>
        <v>51</v>
      </c>
      <c r="K53">
        <f>P5</f>
        <v>637</v>
      </c>
      <c r="L53">
        <f>P6</f>
        <v>634.3119999999999</v>
      </c>
      <c r="M53">
        <f>P7</f>
        <v>635.5</v>
      </c>
      <c r="N53">
        <f>P8</f>
        <v>631.54999999999995</v>
      </c>
      <c r="O53">
        <f>K53+((ABS(F53)/MAX(((F31)+(H31)*(MAX($D$16,(K53)-(J31))))*(MAX($D$16,(K53)-(J31))),0.000001))^2)/(2*$I$5)-((E31)*((((ABS(F53)*$D$6)/(MAX(((F31)+(H31)*(MAX($D$16,(K53)-(J31))))*(MAX($D$16,(K53)-(J31))),0.000001)*MAX(((((F31)+(H31)*(MAX($D$16,(K53)-(J31))))*(MAX($D$16,(K53)-(J31))))/MAX((F31)+2*(MAX($D$16,(K53)-(J31)))*SQRT(1+(H31)^2),0.000001))^(2/3),0.000001)))^2)+(((ABS(F53)*$D$6)/(MAX(((G31)+(I31)*(MAX($D$16,(D53)-(K31))))*(MAX($D$16,(D53)-(K31))),0.000001)*MAX(((((G31)+(I31)*(MAX($D$16,(D53)-(K31))))*(MAX($D$16,(D53)-(K31))))/MAX((G31)+2*(MAX($D$16,(D53)-(K31)))*SQRT(1+(I31)^2),0.000001))^(2/3),0.000001)))^2))/2)+(IF((ABS(F53)/MAX(((G31)+(I31)*(MAX($D$16,(D53)-(K31))))*(MAX($D$16,(D53)-(K31))),0.000001))&gt;(ABS(F53)/MAX(((F31)+(H31)*(MAX($D$16,(K53)-(J31))))*(MAX($D$16,(K53)-(J31))),0.000001)),$D$9*((((ABS(F53)/MAX(((G31)+(I31)*(MAX($D$16,(D53)-(K31))))*(MAX($D$16,(D53)-(K31))),0.000001))^2)/(2*$I$5))-(((ABS(F53)/MAX(((F31)+(H31)*(MAX($D$16,(K53)-(J31))))*(MAX($D$16,(K53)-(J31))),0.000001))^2)/(2*$I$5))),$D$8*((((ABS(F53)/MAX(((F31)+(H31)*(MAX($D$16,(K53)-(J31))))*(MAX($D$16,(K53)-(J31))),0.000001))^2)/(2*$I$5))-(((ABS(F53)/MAX(((G31)+(I31)*(MAX($D$16,(D53)-(K31))))*(MAX($D$16,(D53)-(K31))),0.000001))^2)/(2*$I$5)))))+($D$10*(ABS((X31)-(W31))/90)*MAX(((ABS(F53)/MAX(((F31)+(H31)*(MAX($D$16,(K53)-(J31))))*(MAX($D$16,(K53)-(J31))),0.000001))^2)/(2*$I$5),((ABS(F53)/MAX(((G31)+(I31)*(MAX($D$16,(D53)-(K31))))*(MAX($D$16,(D53)-(K31))),0.000001))^2)/(2*$I$5)))+(0)-((ABS(F53)/MAX(((G31)+(I31)*(MAX($D$16,(D53)-(K31))))*(MAX($D$16,(D53)-(K31))),0.000001))^2)/(2*$I$5)</f>
        <v>637.65825101089843</v>
      </c>
      <c r="P53">
        <f>E53+((ABS(G53)/MAX(((G32)+(I32)*(MAX($D$16,(E53)-(K32))))*(MAX($D$16,(E53)-(K32))),0.000001))^2)/(2*$I$5)+((E32)*((((ABS(G53)*$D$6)/(MAX(((F32)+(H32)*(MAX($D$16,(D53)-(J32))))*(MAX($D$16,(D53)-(J32))),0.000001)*MAX(((((F32)+(H32)*(MAX($D$16,(D53)-(J32))))*(MAX($D$16,(D53)-(J32))))/MAX((F32)+2*(MAX($D$16,(D53)-(J32)))*SQRT(1+(H32)^2),0.000001))^(2/3),0.000001)))^2)+(((ABS(G53)*$D$6)/(MAX(((G32)+(I32)*(MAX($D$16,(E53)-(K32))))*(MAX($D$16,(E53)-(K32))),0.000001)*MAX(((((G32)+(I32)*(MAX($D$16,(E53)-(K32))))*(MAX($D$16,(E53)-(K32))))/MAX((G32)+2*(MAX($D$16,(E53)-(K32)))*SQRT(1+(I32)^2),0.000001))^(2/3),0.000001)))^2))/2)+(IF((ABS(G53)/MAX(((G32)+(I32)*(MAX($D$16,(E53)-(K32))))*(MAX($D$16,(E53)-(K32))),0.000001))&gt;(ABS(G53)/MAX(((F32)+(H32)*(MAX($D$16,(D53)-(J32))))*(MAX($D$16,(D53)-(J32))),0.000001)),$D$9*((((ABS(G53)/MAX(((G32)+(I32)*(MAX($D$16,(E53)-(K32))))*(MAX($D$16,(E53)-(K32))),0.000001))^2)/(2*$I$5))-(((ABS(G53)/MAX(((F32)+(H32)*(MAX($D$16,(D53)-(J32))))*(MAX($D$16,(D53)-(J32))),0.000001))^2)/(2*$I$5))),$D$8*((((ABS(G53)/MAX(((F32)+(H32)*(MAX($D$16,(D53)-(J32))))*(MAX($D$16,(D53)-(J32))),0.000001))^2)/(2*$I$5))-(((ABS(G53)/MAX(((G32)+(I32)*(MAX($D$16,(E53)-(K32))))*(MAX($D$16,(E53)-(K32))),0.000001))^2)/(2*$I$5)))))+($D$10*(ABS((X32)-(W32))/90)*MAX(((ABS(G53)/MAX(((F32)+(H32)*(MAX($D$16,(D53)-(J32))))*(MAX($D$16,(D53)-(J32))),0.000001))^2)/(2*$I$5),((ABS(G53)/MAX(((G32)+(I32)*(MAX($D$16,(E53)-(K32))))*(MAX($D$16,(E53)-(K32))),0.000001))^2)/(2*$I$5)))+(($D$11*0.13607488*(ABS(H53)/MAX(ABS(F53),0.000001))^2*MAX(((ABS(G53)/MAX(((F32)+(H32)*(MAX($D$16,(D53)-(J32))))*(MAX($D$16,(D53)-(J32))),0.000001))^2)/(2*$I$5),((ABS(G53)/MAX(((G32)+(I32)*(MAX($D$16,(E53)-(K32))))*(MAX($D$16,(E53)-(K32))),0.000001))^2)/(2*$I$5))))-((ABS(G53)/MAX(((F32)+(H32)*(MAX($D$16,(D53)-(J32))))*(MAX($D$16,(D53)-(J32))),0.000001))^2)/(2*$I$5)</f>
        <v>52431.139589692481</v>
      </c>
      <c r="Q53">
        <f>L53+((ABS(H53)/MAX(((G33)+(I33)*(MAX($D$16,(L53)-(K33))))*(MAX($D$16,(L53)-(K33))),0.000001))^2)/(2*$I$5)+((E33)*((((ABS(H53)*$D$6)/(MAX(((F33)+(H33)*(MAX($D$16,(D53)-(J33))))*(MAX($D$16,(D53)-(J33))),0.000001)*MAX(((((F33)+(H33)*(MAX($D$16,(D53)-(J33))))*(MAX($D$16,(D53)-(J33))))/MAX((F33)+2*(MAX($D$16,(D53)-(J33)))*SQRT(1+(H33)^2),0.000001))^(2/3),0.000001)))^2)+(((ABS(H53)*$D$6)/(MAX(((G33)+(I33)*(MAX($D$16,(L53)-(K33))))*(MAX($D$16,(L53)-(K33))),0.000001)*MAX(((((G33)+(I33)*(MAX($D$16,(L53)-(K33))))*(MAX($D$16,(L53)-(K33))))/MAX((G33)+2*(MAX($D$16,(L53)-(K33)))*SQRT(1+(I33)^2),0.000001))^(2/3),0.000001)))^2))/2)+(IF((ABS(H53)/MAX(((G33)+(I33)*(MAX($D$16,(L53)-(K33))))*(MAX($D$16,(L53)-(K33))),0.000001))&gt;(ABS(H53)/MAX(((F33)+(H33)*(MAX($D$16,(D53)-(J33))))*(MAX($D$16,(D53)-(J33))),0.000001)),$D$9*((((ABS(H53)/MAX(((G33)+(I33)*(MAX($D$16,(L53)-(K33))))*(MAX($D$16,(L53)-(K33))),0.000001))^2)/(2*$I$5))-(((ABS(H53)/MAX(((F33)+(H33)*(MAX($D$16,(D53)-(J33))))*(MAX($D$16,(D53)-(J33))),0.000001))^2)/(2*$I$5))),$D$8*((((ABS(H53)/MAX(((F33)+(H33)*(MAX($D$16,(D53)-(J33))))*(MAX($D$16,(D53)-(J33))),0.000001))^2)/(2*$I$5))-(((ABS(H53)/MAX(((G33)+(I33)*(MAX($D$16,(L53)-(K33))))*(MAX($D$16,(L53)-(K33))),0.000001))^2)/(2*$I$5)))))+($D$10*(ABS((X33)-(W33))/90)*MAX(((ABS(H53)/MAX(((F33)+(H33)*(MAX($D$16,(D53)-(J33))))*(MAX($D$16,(D53)-(J33))),0.000001))^2)/(2*$I$5),((ABS(H53)/MAX(((G33)+(I33)*(MAX($D$16,(L53)-(K33))))*(MAX($D$16,(L53)-(K33))),0.000001))^2)/(2*$I$5)))+(($D$11*0.00000015*(ABS(G53)/MAX(ABS(F53),0.000001))^2*MAX(((ABS(H53)/MAX(((F33)+(H33)*(MAX($D$16,(D53)-(J33))))*(MAX($D$16,(D53)-(J33))),0.000001))^2)/(2*$I$5),((ABS(H53)/MAX(((G33)+(I33)*(MAX($D$16,(L53)-(K33))))*(MAX($D$16,(L53)-(K33))),0.000001))^2)/(2*$I$5))))-((ABS(H53)/MAX(((F33)+(H33)*(MAX($D$16,(D53)-(J33))))*(MAX($D$16,(D53)-(J33))),0.000001))^2)/(2*$I$5)</f>
        <v>634.3119999999999</v>
      </c>
      <c r="R53">
        <f>D53+((ABS(G53)/MAX(((F32)+(H32)*(MAX($D$16,(D53)-(J32))))*(MAX($D$16,(D53)-(J32))),0.000001))^2)/(2*$I$5)-((E32)*((((ABS(G53)*$D$6)/(MAX(((F32)+(H32)*(MAX($D$16,(D53)-(J32))))*(MAX($D$16,(D53)-(J32))),0.000001)*MAX(((((F32)+(H32)*(MAX($D$16,(D53)-(J32))))*(MAX($D$16,(D53)-(J32))))/MAX((F32)+2*(MAX($D$16,(D53)-(J32)))*SQRT(1+(H32)^2),0.000001))^(2/3),0.000001)))^2)+(((ABS(G53)*$D$6)/(MAX(((G32)+(I32)*(MAX($D$16,(E53)-(K32))))*(MAX($D$16,(E53)-(K32))),0.000001)*MAX(((((G32)+(I32)*(MAX($D$16,(E53)-(K32))))*(MAX($D$16,(E53)-(K32))))/MAX((G32)+2*(MAX($D$16,(E53)-(K32)))*SQRT(1+(I32)^2),0.000001))^(2/3),0.000001)))^2))/2)+(IF((ABS(G53)/MAX(((G32)+(I32)*(MAX($D$16,(E53)-(K32))))*(MAX($D$16,(E53)-(K32))),0.000001))&gt;(ABS(G53)/MAX(((F32)+(H32)*(MAX($D$16,(D53)-(J32))))*(MAX($D$16,(D53)-(J32))),0.000001)),$D$9*((((ABS(G53)/MAX(((G32)+(I32)*(MAX($D$16,(E53)-(K32))))*(MAX($D$16,(E53)-(K32))),0.000001))^2)/(2*$I$5))-(((ABS(G53)/MAX(((F32)+(H32)*(MAX($D$16,(D53)-(J32))))*(MAX($D$16,(D53)-(J32))),0.000001))^2)/(2*$I$5))),$D$8*((((ABS(G53)/MAX(((F32)+(H32)*(MAX($D$16,(D53)-(J32))))*(MAX($D$16,(D53)-(J32))),0.000001))^2)/(2*$I$5))-(((ABS(G53)/MAX(((G32)+(I32)*(MAX($D$16,(E53)-(K32))))*(MAX($D$16,(E53)-(K32))),0.000001))^2)/(2*$I$5)))))+($D$10*(ABS((X32)-(W32))/90)*MAX(((ABS(G53)/MAX(((F32)+(H32)*(MAX($D$16,(D53)-(J32))))*(MAX($D$16,(D53)-(J32))),0.000001))^2)/(2*$I$5),((ABS(G53)/MAX(((G32)+(I32)*(MAX($D$16,(E53)-(K32))))*(MAX($D$16,(E53)-(K32))),0.000001))^2)/(2*$I$5)))+(($D$11*0.13607488*(ABS(H53)/MAX(ABS(F53),0.000001))^2*MAX(((ABS(G53)/MAX(((F32)+(H32)*(MAX($D$16,(D53)-(J32))))*(MAX($D$16,(D53)-(J32))),0.000001))^2)/(2*$I$5),((ABS(G53)/MAX(((G32)+(I32)*(MAX($D$16,(E53)-(K32))))*(MAX($D$16,(E53)-(K32))),0.000001))^2)/(2*$I$5))))-((ABS(G53)/MAX(((G32)+(I32)*(MAX($D$16,(E53)-(K32))))*(MAX($D$16,(E53)-(K32))),0.000001))^2)/(2*$I$5)</f>
        <v>52433.144085618791</v>
      </c>
      <c r="S53">
        <f>M53+((ABS(I53)/MAX(((G34)+(I34)*(MAX($D$16,(M53)-(K34))))*(MAX($D$16,(M53)-(K34))),0.000001))^2)/(2*$I$5)+((E34)*((((ABS(I53)*$D$6)/(MAX(((F34)+(H34)*(MAX($D$16,(E53)-(J34))))*(MAX($D$16,(E53)-(J34))),0.000001)*MAX(((((F34)+(H34)*(MAX($D$16,(E53)-(J34))))*(MAX($D$16,(E53)-(J34))))/MAX((F34)+2*(MAX($D$16,(E53)-(J34)))*SQRT(1+(H34)^2),0.000001))^(2/3),0.000001)))^2)+(((ABS(I53)*$D$6)/(MAX(((G34)+(I34)*(MAX($D$16,(M53)-(K34))))*(MAX($D$16,(M53)-(K34))),0.000001)*MAX(((((G34)+(I34)*(MAX($D$16,(M53)-(K34))))*(MAX($D$16,(M53)-(K34))))/MAX((G34)+2*(MAX($D$16,(M53)-(K34)))*SQRT(1+(I34)^2),0.000001))^(2/3),0.000001)))^2))/2)+(IF((ABS(I53)/MAX(((G34)+(I34)*(MAX($D$16,(M53)-(K34))))*(MAX($D$16,(M53)-(K34))),0.000001))&gt;(ABS(I53)/MAX(((F34)+(H34)*(MAX($D$16,(E53)-(J34))))*(MAX($D$16,(E53)-(J34))),0.000001)),$D$9*((((ABS(I53)/MAX(((G34)+(I34)*(MAX($D$16,(M53)-(K34))))*(MAX($D$16,(M53)-(K34))),0.000001))^2)/(2*$I$5))-(((ABS(I53)/MAX(((F34)+(H34)*(MAX($D$16,(E53)-(J34))))*(MAX($D$16,(E53)-(J34))),0.000001))^2)/(2*$I$5))),$D$8*((((ABS(I53)/MAX(((F34)+(H34)*(MAX($D$16,(E53)-(J34))))*(MAX($D$16,(E53)-(J34))),0.000001))^2)/(2*$I$5))-(((ABS(I53)/MAX(((G34)+(I34)*(MAX($D$16,(M53)-(K34))))*(MAX($D$16,(M53)-(K34))),0.000001))^2)/(2*$I$5)))))+($D$10*(ABS((X34)-(W34))/90)*MAX(((ABS(I53)/MAX(((F34)+(H34)*(MAX($D$16,(E53)-(J34))))*(MAX($D$16,(E53)-(J34))),0.000001))^2)/(2*$I$5),((ABS(I53)/MAX(((G34)+(I34)*(MAX($D$16,(M53)-(K34))))*(MAX($D$16,(M53)-(K34))),0.000001))^2)/(2*$I$5)))+(0)-((ABS(I53)/MAX(((F34)+(H34)*(MAX($D$16,(E53)-(J34))))*(MAX($D$16,(E53)-(J34))),0.000001))^2)/(2*$I$5)</f>
        <v>635.5</v>
      </c>
      <c r="T53">
        <f>N53+((ABS(J53)/MAX(((G35)+(I35)*(MAX($D$16,(N53)-(K35))))*(MAX($D$16,(N53)-(K35))),0.000001))^2)/(2*$I$5)+((E35)*((((ABS(J53)*$D$6)/(MAX(((F35)+(H35)*(MAX($D$16,(E53)-(J35))))*(MAX($D$16,(E53)-(J35))),0.000001)*MAX(((((F35)+(H35)*(MAX($D$16,(E53)-(J35))))*(MAX($D$16,(E53)-(J35))))/MAX((F35)+2*(MAX($D$16,(E53)-(J35)))*SQRT(1+(H35)^2),0.000001))^(2/3),0.000001)))^2)+(((ABS(J53)*$D$6)/(MAX(((G35)+(I35)*(MAX($D$16,(N53)-(K35))))*(MAX($D$16,(N53)-(K35))),0.000001)*MAX(((((G35)+(I35)*(MAX($D$16,(N53)-(K35))))*(MAX($D$16,(N53)-(K35))))/MAX((G35)+2*(MAX($D$16,(N53)-(K35)))*SQRT(1+(I35)^2),0.000001))^(2/3),0.000001)))^2))/2)+(IF((ABS(J53)/MAX(((G35)+(I35)*(MAX($D$16,(N53)-(K35))))*(MAX($D$16,(N53)-(K35))),0.000001))&gt;(ABS(J53)/MAX(((F35)+(H35)*(MAX($D$16,(E53)-(J35))))*(MAX($D$16,(E53)-(J35))),0.000001)),$D$9*((((ABS(J53)/MAX(((G35)+(I35)*(MAX($D$16,(N53)-(K35))))*(MAX($D$16,(N53)-(K35))),0.000001))^2)/(2*$I$5))-(((ABS(J53)/MAX(((F35)+(H35)*(MAX($D$16,(E53)-(J35))))*(MAX($D$16,(E53)-(J35))),0.000001))^2)/(2*$I$5))),$D$8*((((ABS(J53)/MAX(((F35)+(H35)*(MAX($D$16,(E53)-(J35))))*(MAX($D$16,(E53)-(J35))),0.000001))^2)/(2*$I$5))-(((ABS(J53)/MAX(((G35)+(I35)*(MAX($D$16,(N53)-(K35))))*(MAX($D$16,(N53)-(K35))),0.000001))^2)/(2*$I$5)))))+($D$10*(ABS((X35)-(W35))/90)*MAX(((ABS(J53)/MAX(((F35)+(H35)*(MAX($D$16,(E53)-(J35))))*(MAX($D$16,(E53)-(J35))),0.000001))^2)/(2*$I$5),((ABS(J53)/MAX(((G35)+(I35)*(MAX($D$16,(N53)-(K35))))*(MAX($D$16,(N53)-(K35))),0.000001))^2)/(2*$I$5)))+(($D$11*0.34699541*(ABS(I53)/MAX(ABS(G53),0.000001))^2*MAX(((ABS(J53)/MAX(((F35)+(H35)*(MAX($D$16,(E53)-(J35))))*(MAX($D$16,(E53)-(J35))),0.000001))^2)/(2*$I$5),((ABS(J53)/MAX(((G35)+(I35)*(MAX($D$16,(N53)-(K35))))*(MAX($D$16,(N53)-(K35))),0.000001))^2)/(2*$I$5))))-((ABS(J53)/MAX(((F35)+(H35)*(MAX($D$16,(E53)-(J35))))*(MAX($D$16,(E53)-(J35))),0.000001))^2)/(2*$I$5)</f>
        <v>20784.033523923383</v>
      </c>
      <c r="U53">
        <f>(((((F32)*(MAX($D$16,(D53)-(J32)))^2)/2+(H32)*(MAX($D$16,(D53)-(J32)))^3/3+(ABS(G53)^2)/($I$5*MAX(((F32)+(H32)*(MAX($D$16,(D53)-(J32))))*(MAX($D$16,(D53)-(J32))),0.000001)))*0.72785025)-((((F33)*(MAX($D$16,(D53)-(J33)))^2)/2+(H33)*(MAX($D$16,(D53)-(J33)))^3/3+(ABS(H53)^2)/($I$5*MAX(((F33)+(H33)*(MAX($D$16,(D53)-(J33))))*(MAX($D$16,(D53)-(J33))),0.000001)))*0.99999971))/MAX(((G31)*(MAX($D$16,(D53)-(K31)))^2)/2+(I31)*(MAX($D$16,(D53)-(K31)))^3/3+(ABS(F53)^2)/($I$5*MAX(((G31)+(I31)*(MAX($D$16,(D53)-(K31))))*(MAX($D$16,(D53)-(K31))),0.000001)),0.000001)</f>
        <v>-0.2721494599999113</v>
      </c>
      <c r="V53">
        <f>(((((F34)*(MAX($D$16,(E53)-(J34)))^2)/2+(H34)*(MAX($D$16,(E53)-(J34)))^3/3+(ABS(I53)^2)/($I$5*MAX(((F34)+(H34)*(MAX($D$16,(E53)-(J34))))*(MAX($D$16,(E53)-(J34))),0.000001)))*1)-((((F35)*(MAX($D$16,(E53)-(J35)))^2)/2+(H35)*(MAX($D$16,(E53)-(J35)))^3/3+(ABS(J53)^2)/($I$5*MAX(((F35)+(H35)*(MAX($D$16,(E53)-(J35))))*(MAX($D$16,(E53)-(J35))),0.000001)))*0.30600918))/MAX(((G32)*(MAX($D$16,(E53)-(K32)))^2)/2+(I32)*(MAX($D$16,(E53)-(K32)))^3/3+(ABS(G53)^2)/($I$5*MAX(((G32)+(I32)*(MAX($D$16,(E53)-(K32))))*(MAX($D$16,(E53)-(K32))),0.000001)),0.000001)</f>
        <v>0.69398638928617662</v>
      </c>
      <c r="W53">
        <f>IF(N6="None",ABS(P53-D53),MAX(ABS(P53-D53),ABS(Q53-D53)))</f>
        <v>2.0044959261795157</v>
      </c>
      <c r="X53">
        <f>IF(AND(N7="None",N8="None"),0,IF(N8="None",ABS(S53-E53),IF(N7="None",ABS(T53-E53),MAX(ABS(S53-E53),ABS(T53-E53)))))</f>
        <v>51795.639589691928</v>
      </c>
      <c r="AA53">
        <f t="shared" si="3"/>
        <v>52432.442512044494</v>
      </c>
      <c r="AB53">
        <f t="shared" si="4"/>
        <v>41354.652466672938</v>
      </c>
      <c r="AC53">
        <f>IF(N6="None",P53,MAX(P53,Q53))</f>
        <v>52431.139589692481</v>
      </c>
      <c r="AD53">
        <f>IF(AND(N7="None",N8="None"),E53,IF(N8="None",S53,IF(N7="None",T53,MAX(S53,T53))))</f>
        <v>20784.033523923383</v>
      </c>
      <c r="AE53">
        <f t="shared" si="5"/>
        <v>637.65825101089843</v>
      </c>
      <c r="AF53">
        <f t="shared" si="6"/>
        <v>52433.144085618791</v>
      </c>
      <c r="AG53">
        <f>((G31)*(MAX($D$16,(AC53)-(K31)))^2)/2+(I31)*(MAX($D$16,(AC53)-(K31)))^3/3+(ABS(F53)^2)/($I$5*MAX(((G31)+(I31)*(MAX($D$16,(AC53)-(K31))))*(MAX($D$16,(AC53)-(K31))),0.000001))</f>
        <v>8797271066.8321571</v>
      </c>
      <c r="AH53">
        <f>((G31)*(MAX($D$16,(AE53)-(K31)))^2)/2+(I31)*(MAX($D$16,(AE53)-(K31)))^3/3+(ABS(F53)^2)/($I$5*MAX(((G31)+(I31)*(MAX($D$16,(AE53)-(K31))))*(MAX($D$16,(AE53)-(K31))),0.000001))</f>
        <v>49.055863329577349</v>
      </c>
      <c r="AI53">
        <f>((G32)*(MAX($D$16,(AD53)-(K32)))^2)/2+(I32)*(MAX($D$16,(AD53)-(K32)))^3/3+(ABS(G53)^2)/($I$5*MAX(((G32)+(I32)*(MAX($D$16,(AD53)-(K32))))*(MAX($D$16,(AD53)-(K32))),0.000001))</f>
        <v>2072376743.6648321</v>
      </c>
      <c r="AJ53">
        <f>((G32)*(MAX($D$16,(AF53)-(K32)))^2)/2+(I32)*(MAX($D$16,(AF53)-(K32)))^3/3+(ABS(G53)^2)/($I$5*MAX(((G32)+(I32)*(MAX($D$16,(AF53)-(K32))))*(MAX($D$16,(AF53)-(K32))),0.000001))</f>
        <v>13693244656.728636</v>
      </c>
      <c r="AK53" t="str">
        <f t="shared" si="7"/>
        <v>Subcritical</v>
      </c>
      <c r="AL53" t="str">
        <f t="shared" si="8"/>
        <v>Supercritical</v>
      </c>
      <c r="AM53">
        <f t="shared" si="9"/>
        <v>52432.442512044494</v>
      </c>
      <c r="AN53">
        <f t="shared" si="10"/>
        <v>52431.841163266326</v>
      </c>
      <c r="AO53">
        <f t="shared" si="11"/>
        <v>2.0044959261795157</v>
      </c>
      <c r="AP53">
        <f t="shared" si="12"/>
        <v>2.0044959268634557</v>
      </c>
    </row>
    <row r="54" spans="1:42" x14ac:dyDescent="0.35">
      <c r="A54">
        <v>11</v>
      </c>
      <c r="B54">
        <f t="shared" si="13"/>
        <v>0</v>
      </c>
      <c r="C54">
        <f t="shared" si="14"/>
        <v>0</v>
      </c>
      <c r="D54">
        <f t="shared" si="15"/>
        <v>52432.442512044494</v>
      </c>
      <c r="E54">
        <f t="shared" si="16"/>
        <v>52431.841163266326</v>
      </c>
      <c r="F54">
        <f t="shared" si="2"/>
        <v>51</v>
      </c>
      <c r="G54">
        <f>IF(N6="None",F54,MAX(0,F54*B54))</f>
        <v>51</v>
      </c>
      <c r="H54">
        <f>IF(N6="None",0,MAX(0,F54-G54))</f>
        <v>0</v>
      </c>
      <c r="I54">
        <f>IF(AND(N7="None",N8="None"),0,IF(N8="None",G54,IF(N7="None",0,MAX(0,G54*C54))))</f>
        <v>0</v>
      </c>
      <c r="J54">
        <f>IF(AND(N7="None",N8="None"),0,IF(N8="None",0,IF(N7="None",G54,MAX(0,G54-I54))))</f>
        <v>51</v>
      </c>
      <c r="K54">
        <f>P5</f>
        <v>637</v>
      </c>
      <c r="L54">
        <f>P6</f>
        <v>634.3119999999999</v>
      </c>
      <c r="M54">
        <f>P7</f>
        <v>635.5</v>
      </c>
      <c r="N54">
        <f>P8</f>
        <v>631.54999999999995</v>
      </c>
      <c r="O54">
        <f>K54+((ABS(F54)/MAX(((F31)+(H31)*(MAX($D$16,(K54)-(J31))))*(MAX($D$16,(K54)-(J31))),0.000001))^2)/(2*$I$5)-((E31)*((((ABS(F54)*$D$6)/(MAX(((F31)+(H31)*(MAX($D$16,(K54)-(J31))))*(MAX($D$16,(K54)-(J31))),0.000001)*MAX(((((F31)+(H31)*(MAX($D$16,(K54)-(J31))))*(MAX($D$16,(K54)-(J31))))/MAX((F31)+2*(MAX($D$16,(K54)-(J31)))*SQRT(1+(H31)^2),0.000001))^(2/3),0.000001)))^2)+(((ABS(F54)*$D$6)/(MAX(((G31)+(I31)*(MAX($D$16,(D54)-(K31))))*(MAX($D$16,(D54)-(K31))),0.000001)*MAX(((((G31)+(I31)*(MAX($D$16,(D54)-(K31))))*(MAX($D$16,(D54)-(K31))))/MAX((G31)+2*(MAX($D$16,(D54)-(K31)))*SQRT(1+(I31)^2),0.000001))^(2/3),0.000001)))^2))/2)+(IF((ABS(F54)/MAX(((G31)+(I31)*(MAX($D$16,(D54)-(K31))))*(MAX($D$16,(D54)-(K31))),0.000001))&gt;(ABS(F54)/MAX(((F31)+(H31)*(MAX($D$16,(K54)-(J31))))*(MAX($D$16,(K54)-(J31))),0.000001)),$D$9*((((ABS(F54)/MAX(((G31)+(I31)*(MAX($D$16,(D54)-(K31))))*(MAX($D$16,(D54)-(K31))),0.000001))^2)/(2*$I$5))-(((ABS(F54)/MAX(((F31)+(H31)*(MAX($D$16,(K54)-(J31))))*(MAX($D$16,(K54)-(J31))),0.000001))^2)/(2*$I$5))),$D$8*((((ABS(F54)/MAX(((F31)+(H31)*(MAX($D$16,(K54)-(J31))))*(MAX($D$16,(K54)-(J31))),0.000001))^2)/(2*$I$5))-(((ABS(F54)/MAX(((G31)+(I31)*(MAX($D$16,(D54)-(K31))))*(MAX($D$16,(D54)-(K31))),0.000001))^2)/(2*$I$5)))))+($D$10*(ABS((X31)-(W31))/90)*MAX(((ABS(F54)/MAX(((F31)+(H31)*(MAX($D$16,(K54)-(J31))))*(MAX($D$16,(K54)-(J31))),0.000001))^2)/(2*$I$5),((ABS(F54)/MAX(((G31)+(I31)*(MAX($D$16,(D54)-(K31))))*(MAX($D$16,(D54)-(K31))),0.000001))^2)/(2*$I$5)))+(0)-((ABS(F54)/MAX(((G31)+(I31)*(MAX($D$16,(D54)-(K31))))*(MAX($D$16,(D54)-(K31))),0.000001))^2)/(2*$I$5)</f>
        <v>637.65825101089831</v>
      </c>
      <c r="P54">
        <f>E54+((ABS(G54)/MAX(((G32)+(I32)*(MAX($D$16,(E54)-(K32))))*(MAX($D$16,(E54)-(K32))),0.000001))^2)/(2*$I$5)+((E32)*((((ABS(G54)*$D$6)/(MAX(((F32)+(H32)*(MAX($D$16,(D54)-(J32))))*(MAX($D$16,(D54)-(J32))),0.000001)*MAX(((((F32)+(H32)*(MAX($D$16,(D54)-(J32))))*(MAX($D$16,(D54)-(J32))))/MAX((F32)+2*(MAX($D$16,(D54)-(J32)))*SQRT(1+(H32)^2),0.000001))^(2/3),0.000001)))^2)+(((ABS(G54)*$D$6)/(MAX(((G32)+(I32)*(MAX($D$16,(E54)-(K32))))*(MAX($D$16,(E54)-(K32))),0.000001)*MAX(((((G32)+(I32)*(MAX($D$16,(E54)-(K32))))*(MAX($D$16,(E54)-(K32))))/MAX((G32)+2*(MAX($D$16,(E54)-(K32)))*SQRT(1+(I32)^2),0.000001))^(2/3),0.000001)))^2))/2)+(IF((ABS(G54)/MAX(((G32)+(I32)*(MAX($D$16,(E54)-(K32))))*(MAX($D$16,(E54)-(K32))),0.000001))&gt;(ABS(G54)/MAX(((F32)+(H32)*(MAX($D$16,(D54)-(J32))))*(MAX($D$16,(D54)-(J32))),0.000001)),$D$9*((((ABS(G54)/MAX(((G32)+(I32)*(MAX($D$16,(E54)-(K32))))*(MAX($D$16,(E54)-(K32))),0.000001))^2)/(2*$I$5))-(((ABS(G54)/MAX(((F32)+(H32)*(MAX($D$16,(D54)-(J32))))*(MAX($D$16,(D54)-(J32))),0.000001))^2)/(2*$I$5))),$D$8*((((ABS(G54)/MAX(((F32)+(H32)*(MAX($D$16,(D54)-(J32))))*(MAX($D$16,(D54)-(J32))),0.000001))^2)/(2*$I$5))-(((ABS(G54)/MAX(((G32)+(I32)*(MAX($D$16,(E54)-(K32))))*(MAX($D$16,(E54)-(K32))),0.000001))^2)/(2*$I$5)))))+($D$10*(ABS((X32)-(W32))/90)*MAX(((ABS(G54)/MAX(((F32)+(H32)*(MAX($D$16,(D54)-(J32))))*(MAX($D$16,(D54)-(J32))),0.000001))^2)/(2*$I$5),((ABS(G54)/MAX(((G32)+(I32)*(MAX($D$16,(E54)-(K32))))*(MAX($D$16,(E54)-(K32))),0.000001))^2)/(2*$I$5)))+(($D$11*0.13607488*(ABS(H54)/MAX(ABS(F54),0.000001))^2*MAX(((ABS(G54)/MAX(((F32)+(H32)*(MAX($D$16,(D54)-(J32))))*(MAX($D$16,(D54)-(J32))),0.000001))^2)/(2*$I$5),((ABS(G54)/MAX(((G32)+(I32)*(MAX($D$16,(E54)-(K32))))*(MAX($D$16,(E54)-(K32))),0.000001))^2)/(2*$I$5))))-((ABS(G54)/MAX(((F32)+(H32)*(MAX($D$16,(D54)-(J32))))*(MAX($D$16,(D54)-(J32))),0.000001))^2)/(2*$I$5)</f>
        <v>52431.841163266879</v>
      </c>
      <c r="Q54">
        <f>L54+((ABS(H54)/MAX(((G33)+(I33)*(MAX($D$16,(L54)-(K33))))*(MAX($D$16,(L54)-(K33))),0.000001))^2)/(2*$I$5)+((E33)*((((ABS(H54)*$D$6)/(MAX(((F33)+(H33)*(MAX($D$16,(D54)-(J33))))*(MAX($D$16,(D54)-(J33))),0.000001)*MAX(((((F33)+(H33)*(MAX($D$16,(D54)-(J33))))*(MAX($D$16,(D54)-(J33))))/MAX((F33)+2*(MAX($D$16,(D54)-(J33)))*SQRT(1+(H33)^2),0.000001))^(2/3),0.000001)))^2)+(((ABS(H54)*$D$6)/(MAX(((G33)+(I33)*(MAX($D$16,(L54)-(K33))))*(MAX($D$16,(L54)-(K33))),0.000001)*MAX(((((G33)+(I33)*(MAX($D$16,(L54)-(K33))))*(MAX($D$16,(L54)-(K33))))/MAX((G33)+2*(MAX($D$16,(L54)-(K33)))*SQRT(1+(I33)^2),0.000001))^(2/3),0.000001)))^2))/2)+(IF((ABS(H54)/MAX(((G33)+(I33)*(MAX($D$16,(L54)-(K33))))*(MAX($D$16,(L54)-(K33))),0.000001))&gt;(ABS(H54)/MAX(((F33)+(H33)*(MAX($D$16,(D54)-(J33))))*(MAX($D$16,(D54)-(J33))),0.000001)),$D$9*((((ABS(H54)/MAX(((G33)+(I33)*(MAX($D$16,(L54)-(K33))))*(MAX($D$16,(L54)-(K33))),0.000001))^2)/(2*$I$5))-(((ABS(H54)/MAX(((F33)+(H33)*(MAX($D$16,(D54)-(J33))))*(MAX($D$16,(D54)-(J33))),0.000001))^2)/(2*$I$5))),$D$8*((((ABS(H54)/MAX(((F33)+(H33)*(MAX($D$16,(D54)-(J33))))*(MAX($D$16,(D54)-(J33))),0.000001))^2)/(2*$I$5))-(((ABS(H54)/MAX(((G33)+(I33)*(MAX($D$16,(L54)-(K33))))*(MAX($D$16,(L54)-(K33))),0.000001))^2)/(2*$I$5)))))+($D$10*(ABS((X33)-(W33))/90)*MAX(((ABS(H54)/MAX(((F33)+(H33)*(MAX($D$16,(D54)-(J33))))*(MAX($D$16,(D54)-(J33))),0.000001))^2)/(2*$I$5),((ABS(H54)/MAX(((G33)+(I33)*(MAX($D$16,(L54)-(K33))))*(MAX($D$16,(L54)-(K33))),0.000001))^2)/(2*$I$5)))+(($D$11*0.00000015*(ABS(G54)/MAX(ABS(F54),0.000001))^2*MAX(((ABS(H54)/MAX(((F33)+(H33)*(MAX($D$16,(D54)-(J33))))*(MAX($D$16,(D54)-(J33))),0.000001))^2)/(2*$I$5),((ABS(H54)/MAX(((G33)+(I33)*(MAX($D$16,(L54)-(K33))))*(MAX($D$16,(L54)-(K33))),0.000001))^2)/(2*$I$5))))-((ABS(H54)/MAX(((F33)+(H33)*(MAX($D$16,(D54)-(J33))))*(MAX($D$16,(D54)-(J33))),0.000001))^2)/(2*$I$5)</f>
        <v>634.3119999999999</v>
      </c>
      <c r="R54">
        <f>D54+((ABS(G54)/MAX(((F32)+(H32)*(MAX($D$16,(D54)-(J32))))*(MAX($D$16,(D54)-(J32))),0.000001))^2)/(2*$I$5)-((E32)*((((ABS(G54)*$D$6)/(MAX(((F32)+(H32)*(MAX($D$16,(D54)-(J32))))*(MAX($D$16,(D54)-(J32))),0.000001)*MAX(((((F32)+(H32)*(MAX($D$16,(D54)-(J32))))*(MAX($D$16,(D54)-(J32))))/MAX((F32)+2*(MAX($D$16,(D54)-(J32)))*SQRT(1+(H32)^2),0.000001))^(2/3),0.000001)))^2)+(((ABS(G54)*$D$6)/(MAX(((G32)+(I32)*(MAX($D$16,(E54)-(K32))))*(MAX($D$16,(E54)-(K32))),0.000001)*MAX(((((G32)+(I32)*(MAX($D$16,(E54)-(K32))))*(MAX($D$16,(E54)-(K32))))/MAX((G32)+2*(MAX($D$16,(E54)-(K32)))*SQRT(1+(I32)^2),0.000001))^(2/3),0.000001)))^2))/2)+(IF((ABS(G54)/MAX(((G32)+(I32)*(MAX($D$16,(E54)-(K32))))*(MAX($D$16,(E54)-(K32))),0.000001))&gt;(ABS(G54)/MAX(((F32)+(H32)*(MAX($D$16,(D54)-(J32))))*(MAX($D$16,(D54)-(J32))),0.000001)),$D$9*((((ABS(G54)/MAX(((G32)+(I32)*(MAX($D$16,(E54)-(K32))))*(MAX($D$16,(E54)-(K32))),0.000001))^2)/(2*$I$5))-(((ABS(G54)/MAX(((F32)+(H32)*(MAX($D$16,(D54)-(J32))))*(MAX($D$16,(D54)-(J32))),0.000001))^2)/(2*$I$5))),$D$8*((((ABS(G54)/MAX(((F32)+(H32)*(MAX($D$16,(D54)-(J32))))*(MAX($D$16,(D54)-(J32))),0.000001))^2)/(2*$I$5))-(((ABS(G54)/MAX(((G32)+(I32)*(MAX($D$16,(E54)-(K32))))*(MAX($D$16,(E54)-(K32))),0.000001))^2)/(2*$I$5)))))+($D$10*(ABS((X32)-(W32))/90)*MAX(((ABS(G54)/MAX(((F32)+(H32)*(MAX($D$16,(D54)-(J32))))*(MAX($D$16,(D54)-(J32))),0.000001))^2)/(2*$I$5),((ABS(G54)/MAX(((G32)+(I32)*(MAX($D$16,(E54)-(K32))))*(MAX($D$16,(E54)-(K32))),0.000001))^2)/(2*$I$5)))+(($D$11*0.13607488*(ABS(H54)/MAX(ABS(F54),0.000001))^2*MAX(((ABS(G54)/MAX(((F32)+(H32)*(MAX($D$16,(D54)-(J32))))*(MAX($D$16,(D54)-(J32))),0.000001))^2)/(2*$I$5),((ABS(G54)/MAX(((G32)+(I32)*(MAX($D$16,(E54)-(K32))))*(MAX($D$16,(E54)-(K32))),0.000001))^2)/(2*$I$5))))-((ABS(G54)/MAX(((G32)+(I32)*(MAX($D$16,(E54)-(K32))))*(MAX($D$16,(E54)-(K32))),0.000001))^2)/(2*$I$5)</f>
        <v>52432.442512044625</v>
      </c>
      <c r="S54">
        <f>M54+((ABS(I54)/MAX(((G34)+(I34)*(MAX($D$16,(M54)-(K34))))*(MAX($D$16,(M54)-(K34))),0.000001))^2)/(2*$I$5)+((E34)*((((ABS(I54)*$D$6)/(MAX(((F34)+(H34)*(MAX($D$16,(E54)-(J34))))*(MAX($D$16,(E54)-(J34))),0.000001)*MAX(((((F34)+(H34)*(MAX($D$16,(E54)-(J34))))*(MAX($D$16,(E54)-(J34))))/MAX((F34)+2*(MAX($D$16,(E54)-(J34)))*SQRT(1+(H34)^2),0.000001))^(2/3),0.000001)))^2)+(((ABS(I54)*$D$6)/(MAX(((G34)+(I34)*(MAX($D$16,(M54)-(K34))))*(MAX($D$16,(M54)-(K34))),0.000001)*MAX(((((G34)+(I34)*(MAX($D$16,(M54)-(K34))))*(MAX($D$16,(M54)-(K34))))/MAX((G34)+2*(MAX($D$16,(M54)-(K34)))*SQRT(1+(I34)^2),0.000001))^(2/3),0.000001)))^2))/2)+(IF((ABS(I54)/MAX(((G34)+(I34)*(MAX($D$16,(M54)-(K34))))*(MAX($D$16,(M54)-(K34))),0.000001))&gt;(ABS(I54)/MAX(((F34)+(H34)*(MAX($D$16,(E54)-(J34))))*(MAX($D$16,(E54)-(J34))),0.000001)),$D$9*((((ABS(I54)/MAX(((G34)+(I34)*(MAX($D$16,(M54)-(K34))))*(MAX($D$16,(M54)-(K34))),0.000001))^2)/(2*$I$5))-(((ABS(I54)/MAX(((F34)+(H34)*(MAX($D$16,(E54)-(J34))))*(MAX($D$16,(E54)-(J34))),0.000001))^2)/(2*$I$5))),$D$8*((((ABS(I54)/MAX(((F34)+(H34)*(MAX($D$16,(E54)-(J34))))*(MAX($D$16,(E54)-(J34))),0.000001))^2)/(2*$I$5))-(((ABS(I54)/MAX(((G34)+(I34)*(MAX($D$16,(M54)-(K34))))*(MAX($D$16,(M54)-(K34))),0.000001))^2)/(2*$I$5)))))+($D$10*(ABS((X34)-(W34))/90)*MAX(((ABS(I54)/MAX(((F34)+(H34)*(MAX($D$16,(E54)-(J34))))*(MAX($D$16,(E54)-(J34))),0.000001))^2)/(2*$I$5),((ABS(I54)/MAX(((G34)+(I34)*(MAX($D$16,(M54)-(K34))))*(MAX($D$16,(M54)-(K34))),0.000001))^2)/(2*$I$5)))+(0)-((ABS(I54)/MAX(((F34)+(H34)*(MAX($D$16,(E54)-(J34))))*(MAX($D$16,(E54)-(J34))),0.000001))^2)/(2*$I$5)</f>
        <v>635.5</v>
      </c>
      <c r="T54">
        <f>N54+((ABS(J54)/MAX(((G35)+(I35)*(MAX($D$16,(N54)-(K35))))*(MAX($D$16,(N54)-(K35))),0.000001))^2)/(2*$I$5)+((E35)*((((ABS(J54)*$D$6)/(MAX(((F35)+(H35)*(MAX($D$16,(E54)-(J35))))*(MAX($D$16,(E54)-(J35))),0.000001)*MAX(((((F35)+(H35)*(MAX($D$16,(E54)-(J35))))*(MAX($D$16,(E54)-(J35))))/MAX((F35)+2*(MAX($D$16,(E54)-(J35)))*SQRT(1+(H35)^2),0.000001))^(2/3),0.000001)))^2)+(((ABS(J54)*$D$6)/(MAX(((G35)+(I35)*(MAX($D$16,(N54)-(K35))))*(MAX($D$16,(N54)-(K35))),0.000001)*MAX(((((G35)+(I35)*(MAX($D$16,(N54)-(K35))))*(MAX($D$16,(N54)-(K35))))/MAX((G35)+2*(MAX($D$16,(N54)-(K35)))*SQRT(1+(I35)^2),0.000001))^(2/3),0.000001)))^2))/2)+(IF((ABS(J54)/MAX(((G35)+(I35)*(MAX($D$16,(N54)-(K35))))*(MAX($D$16,(N54)-(K35))),0.000001))&gt;(ABS(J54)/MAX(((F35)+(H35)*(MAX($D$16,(E54)-(J35))))*(MAX($D$16,(E54)-(J35))),0.000001)),$D$9*((((ABS(J54)/MAX(((G35)+(I35)*(MAX($D$16,(N54)-(K35))))*(MAX($D$16,(N54)-(K35))),0.000001))^2)/(2*$I$5))-(((ABS(J54)/MAX(((F35)+(H35)*(MAX($D$16,(E54)-(J35))))*(MAX($D$16,(E54)-(J35))),0.000001))^2)/(2*$I$5))),$D$8*((((ABS(J54)/MAX(((F35)+(H35)*(MAX($D$16,(E54)-(J35))))*(MAX($D$16,(E54)-(J35))),0.000001))^2)/(2*$I$5))-(((ABS(J54)/MAX(((G35)+(I35)*(MAX($D$16,(N54)-(K35))))*(MAX($D$16,(N54)-(K35))),0.000001))^2)/(2*$I$5)))))+($D$10*(ABS((X35)-(W35))/90)*MAX(((ABS(J54)/MAX(((F35)+(H35)*(MAX($D$16,(E54)-(J35))))*(MAX($D$16,(E54)-(J35))),0.000001))^2)/(2*$I$5),((ABS(J54)/MAX(((G35)+(I35)*(MAX($D$16,(N54)-(K35))))*(MAX($D$16,(N54)-(K35))),0.000001))^2)/(2*$I$5)))+(($D$11*0.34699541*(ABS(I54)/MAX(ABS(G54),0.000001))^2*MAX(((ABS(J54)/MAX(((F35)+(H35)*(MAX($D$16,(E54)-(J35))))*(MAX($D$16,(E54)-(J35))),0.000001))^2)/(2*$I$5),((ABS(J54)/MAX(((G35)+(I35)*(MAX($D$16,(N54)-(K35))))*(MAX($D$16,(N54)-(K35))),0.000001))^2)/(2*$I$5))))-((ABS(J54)/MAX(((F35)+(H35)*(MAX($D$16,(E54)-(J35))))*(MAX($D$16,(E54)-(J35))),0.000001))^2)/(2*$I$5)</f>
        <v>20784.033523923383</v>
      </c>
      <c r="U54">
        <f>(((((F32)*(MAX($D$16,(D54)-(J32)))^2)/2+(H32)*(MAX($D$16,(D54)-(J32)))^3/3+(ABS(G54)^2)/($I$5*MAX(((F32)+(H32)*(MAX($D$16,(D54)-(J32))))*(MAX($D$16,(D54)-(J32))),0.000001)))*0.72785025)-((((F33)*(MAX($D$16,(D54)-(J33)))^2)/2+(H33)*(MAX($D$16,(D54)-(J33)))^3/3+(ABS(H54)^2)/($I$5*MAX(((F33)+(H33)*(MAX($D$16,(D54)-(J33))))*(MAX($D$16,(D54)-(J33))),0.000001)))*0.99999971))/MAX(((G31)*(MAX($D$16,(D54)-(K31)))^2)/2+(I31)*(MAX($D$16,(D54)-(K31)))^3/3+(ABS(F54)^2)/($I$5*MAX(((G31)+(I31)*(MAX($D$16,(D54)-(K31))))*(MAX($D$16,(D54)-(K31))),0.000001)),0.000001)</f>
        <v>-0.2721494599999113</v>
      </c>
      <c r="V54">
        <f>(((((F34)*(MAX($D$16,(E54)-(J34)))^2)/2+(H34)*(MAX($D$16,(E54)-(J34)))^3/3+(ABS(I54)^2)/($I$5*MAX(((F34)+(H34)*(MAX($D$16,(E54)-(J34))))*(MAX($D$16,(E54)-(J34))),0.000001)))*1)-((((F35)*(MAX($D$16,(E54)-(J35)))^2)/2+(H35)*(MAX($D$16,(E54)-(J35)))^3/3+(ABS(J54)^2)/($I$5*MAX(((F35)+(H35)*(MAX($D$16,(E54)-(J35))))*(MAX($D$16,(E54)-(J35))),0.000001)))*0.30600918))/MAX(((G32)*(MAX($D$16,(E54)-(K32)))^2)/2+(I32)*(MAX($D$16,(E54)-(K32)))^3/3+(ABS(G54)^2)/($I$5*MAX(((G32)+(I32)*(MAX($D$16,(E54)-(K32))))*(MAX($D$16,(E54)-(K32))),0.000001)),0.000001)</f>
        <v>0.69398638934618606</v>
      </c>
      <c r="W54">
        <f>IF(N6="None",ABS(P54-D54),MAX(ABS(P54-D54),ABS(Q54-D54)))</f>
        <v>0.60134877761447569</v>
      </c>
      <c r="X54">
        <f>IF(AND(N7="None",N8="None"),0,IF(N8="None",ABS(S54-E54),IF(N7="None",ABS(T54-E54),MAX(ABS(S54-E54),ABS(T54-E54)))))</f>
        <v>51796.341163266326</v>
      </c>
      <c r="AA54">
        <f t="shared" si="3"/>
        <v>52432.232039972332</v>
      </c>
      <c r="AB54">
        <f t="shared" si="4"/>
        <v>41355.108489496299</v>
      </c>
      <c r="AC54">
        <f>IF(N6="None",P54,MAX(P54,Q54))</f>
        <v>52431.841163266879</v>
      </c>
      <c r="AD54">
        <f>IF(AND(N7="None",N8="None"),E54,IF(N8="None",S54,IF(N7="None",T54,MAX(S54,T54))))</f>
        <v>20784.033523923383</v>
      </c>
      <c r="AE54">
        <f t="shared" si="5"/>
        <v>637.65825101089831</v>
      </c>
      <c r="AF54">
        <f t="shared" si="6"/>
        <v>52432.442512044625</v>
      </c>
      <c r="AG54">
        <f>((G31)*(MAX($D$16,(AC54)-(K31)))^2)/2+(I31)*(MAX($D$16,(AC54)-(K31)))^3/3+(ABS(F54)^2)/($I$5*MAX(((G31)+(I31)*(MAX($D$16,(AC54)-(K31))))*(MAX($D$16,(AC54)-(K31))),0.000001))</f>
        <v>8797509381.5446529</v>
      </c>
      <c r="AH54">
        <f>((G31)*(MAX($D$16,(AE54)-(K31)))^2)/2+(I31)*(MAX($D$16,(AE54)-(K31)))^3/3+(ABS(F54)^2)/($I$5*MAX(((G31)+(I31)*(MAX($D$16,(AE54)-(K31))))*(MAX($D$16,(AE54)-(K31))),0.000001))</f>
        <v>49.055863329575246</v>
      </c>
      <c r="AI54">
        <f>((G32)*(MAX($D$16,(AD54)-(K32)))^2)/2+(I32)*(MAX($D$16,(AD54)-(K32)))^3/3+(ABS(G54)^2)/($I$5*MAX(((G32)+(I32)*(MAX($D$16,(AD54)-(K32))))*(MAX($D$16,(AD54)-(K32))),0.000001))</f>
        <v>2072376743.6648321</v>
      </c>
      <c r="AJ54">
        <f>((G32)*(MAX($D$16,(AF54)-(K32)))^2)/2+(I32)*(MAX($D$16,(AF54)-(K32)))^3/3+(ABS(G54)^2)/($I$5*MAX(((G32)+(I32)*(MAX($D$16,(AF54)-(K32))))*(MAX($D$16,(AF54)-(K32))),0.000001))</f>
        <v>13692873748.690664</v>
      </c>
      <c r="AK54" t="str">
        <f t="shared" si="7"/>
        <v>Subcritical</v>
      </c>
      <c r="AL54" t="str">
        <f t="shared" si="8"/>
        <v>Supercritical</v>
      </c>
      <c r="AM54">
        <f t="shared" si="9"/>
        <v>52432.232039972332</v>
      </c>
      <c r="AN54">
        <f t="shared" si="10"/>
        <v>52432.051635338728</v>
      </c>
      <c r="AO54">
        <f t="shared" si="11"/>
        <v>0.60134877761447569</v>
      </c>
      <c r="AP54">
        <f t="shared" si="12"/>
        <v>0.60134877829841571</v>
      </c>
    </row>
    <row r="55" spans="1:42" x14ac:dyDescent="0.35">
      <c r="A55">
        <v>12</v>
      </c>
      <c r="B55">
        <f t="shared" si="13"/>
        <v>0</v>
      </c>
      <c r="C55">
        <f t="shared" si="14"/>
        <v>0</v>
      </c>
      <c r="D55">
        <f t="shared" si="15"/>
        <v>52432.232039972332</v>
      </c>
      <c r="E55">
        <f t="shared" si="16"/>
        <v>52432.051635338728</v>
      </c>
      <c r="F55">
        <f t="shared" si="2"/>
        <v>51</v>
      </c>
      <c r="G55">
        <f>IF(N6="None",F55,MAX(0,F55*B55))</f>
        <v>51</v>
      </c>
      <c r="H55">
        <f>IF(N6="None",0,MAX(0,F55-G55))</f>
        <v>0</v>
      </c>
      <c r="I55">
        <f>IF(AND(N7="None",N8="None"),0,IF(N8="None",G55,IF(N7="None",0,MAX(0,G55*C55))))</f>
        <v>0</v>
      </c>
      <c r="J55">
        <f>IF(AND(N7="None",N8="None"),0,IF(N8="None",0,IF(N7="None",G55,MAX(0,G55-I55))))</f>
        <v>51</v>
      </c>
      <c r="K55">
        <f>P5</f>
        <v>637</v>
      </c>
      <c r="L55">
        <f>P6</f>
        <v>634.3119999999999</v>
      </c>
      <c r="M55">
        <f>P7</f>
        <v>635.5</v>
      </c>
      <c r="N55">
        <f>P8</f>
        <v>631.54999999999995</v>
      </c>
      <c r="O55">
        <f>K55+((ABS(F55)/MAX(((F31)+(H31)*(MAX($D$16,(K55)-(J31))))*(MAX($D$16,(K55)-(J31))),0.000001))^2)/(2*$I$5)-((E31)*((((ABS(F55)*$D$6)/(MAX(((F31)+(H31)*(MAX($D$16,(K55)-(J31))))*(MAX($D$16,(K55)-(J31))),0.000001)*MAX(((((F31)+(H31)*(MAX($D$16,(K55)-(J31))))*(MAX($D$16,(K55)-(J31))))/MAX((F31)+2*(MAX($D$16,(K55)-(J31)))*SQRT(1+(H31)^2),0.000001))^(2/3),0.000001)))^2)+(((ABS(F55)*$D$6)/(MAX(((G31)+(I31)*(MAX($D$16,(D55)-(K31))))*(MAX($D$16,(D55)-(K31))),0.000001)*MAX(((((G31)+(I31)*(MAX($D$16,(D55)-(K31))))*(MAX($D$16,(D55)-(K31))))/MAX((G31)+2*(MAX($D$16,(D55)-(K31)))*SQRT(1+(I31)^2),0.000001))^(2/3),0.000001)))^2))/2)+(IF((ABS(F55)/MAX(((G31)+(I31)*(MAX($D$16,(D55)-(K31))))*(MAX($D$16,(D55)-(K31))),0.000001))&gt;(ABS(F55)/MAX(((F31)+(H31)*(MAX($D$16,(K55)-(J31))))*(MAX($D$16,(K55)-(J31))),0.000001)),$D$9*((((ABS(F55)/MAX(((G31)+(I31)*(MAX($D$16,(D55)-(K31))))*(MAX($D$16,(D55)-(K31))),0.000001))^2)/(2*$I$5))-(((ABS(F55)/MAX(((F31)+(H31)*(MAX($D$16,(K55)-(J31))))*(MAX($D$16,(K55)-(J31))),0.000001))^2)/(2*$I$5))),$D$8*((((ABS(F55)/MAX(((F31)+(H31)*(MAX($D$16,(K55)-(J31))))*(MAX($D$16,(K55)-(J31))),0.000001))^2)/(2*$I$5))-(((ABS(F55)/MAX(((G31)+(I31)*(MAX($D$16,(D55)-(K31))))*(MAX($D$16,(D55)-(K31))),0.000001))^2)/(2*$I$5)))))+($D$10*(ABS((X31)-(W31))/90)*MAX(((ABS(F55)/MAX(((F31)+(H31)*(MAX($D$16,(K55)-(J31))))*(MAX($D$16,(K55)-(J31))),0.000001))^2)/(2*$I$5),((ABS(F55)/MAX(((G31)+(I31)*(MAX($D$16,(D55)-(K31))))*(MAX($D$16,(D55)-(K31))),0.000001))^2)/(2*$I$5)))+(0)-((ABS(F55)/MAX(((G31)+(I31)*(MAX($D$16,(D55)-(K31))))*(MAX($D$16,(D55)-(K31))),0.000001))^2)/(2*$I$5)</f>
        <v>637.65825101089831</v>
      </c>
      <c r="P55">
        <f>E55+((ABS(G55)/MAX(((G32)+(I32)*(MAX($D$16,(E55)-(K32))))*(MAX($D$16,(E55)-(K32))),0.000001))^2)/(2*$I$5)+((E32)*((((ABS(G55)*$D$6)/(MAX(((F32)+(H32)*(MAX($D$16,(D55)-(J32))))*(MAX($D$16,(D55)-(J32))),0.000001)*MAX(((((F32)+(H32)*(MAX($D$16,(D55)-(J32))))*(MAX($D$16,(D55)-(J32))))/MAX((F32)+2*(MAX($D$16,(D55)-(J32)))*SQRT(1+(H32)^2),0.000001))^(2/3),0.000001)))^2)+(((ABS(G55)*$D$6)/(MAX(((G32)+(I32)*(MAX($D$16,(E55)-(K32))))*(MAX($D$16,(E55)-(K32))),0.000001)*MAX(((((G32)+(I32)*(MAX($D$16,(E55)-(K32))))*(MAX($D$16,(E55)-(K32))))/MAX((G32)+2*(MAX($D$16,(E55)-(K32)))*SQRT(1+(I32)^2),0.000001))^(2/3),0.000001)))^2))/2)+(IF((ABS(G55)/MAX(((G32)+(I32)*(MAX($D$16,(E55)-(K32))))*(MAX($D$16,(E55)-(K32))),0.000001))&gt;(ABS(G55)/MAX(((F32)+(H32)*(MAX($D$16,(D55)-(J32))))*(MAX($D$16,(D55)-(J32))),0.000001)),$D$9*((((ABS(G55)/MAX(((G32)+(I32)*(MAX($D$16,(E55)-(K32))))*(MAX($D$16,(E55)-(K32))),0.000001))^2)/(2*$I$5))-(((ABS(G55)/MAX(((F32)+(H32)*(MAX($D$16,(D55)-(J32))))*(MAX($D$16,(D55)-(J32))),0.000001))^2)/(2*$I$5))),$D$8*((((ABS(G55)/MAX(((F32)+(H32)*(MAX($D$16,(D55)-(J32))))*(MAX($D$16,(D55)-(J32))),0.000001))^2)/(2*$I$5))-(((ABS(G55)/MAX(((G32)+(I32)*(MAX($D$16,(E55)-(K32))))*(MAX($D$16,(E55)-(K32))),0.000001))^2)/(2*$I$5)))))+($D$10*(ABS((X32)-(W32))/90)*MAX(((ABS(G55)/MAX(((F32)+(H32)*(MAX($D$16,(D55)-(J32))))*(MAX($D$16,(D55)-(J32))),0.000001))^2)/(2*$I$5),((ABS(G55)/MAX(((G32)+(I32)*(MAX($D$16,(E55)-(K32))))*(MAX($D$16,(E55)-(K32))),0.000001))^2)/(2*$I$5)))+(($D$11*0.13607488*(ABS(H55)/MAX(ABS(F55),0.000001))^2*MAX(((ABS(G55)/MAX(((F32)+(H32)*(MAX($D$16,(D55)-(J32))))*(MAX($D$16,(D55)-(J32))),0.000001))^2)/(2*$I$5),((ABS(G55)/MAX(((G32)+(I32)*(MAX($D$16,(E55)-(K32))))*(MAX($D$16,(E55)-(K32))),0.000001))^2)/(2*$I$5))))-((ABS(G55)/MAX(((F32)+(H32)*(MAX($D$16,(D55)-(J32))))*(MAX($D$16,(D55)-(J32))),0.000001))^2)/(2*$I$5)</f>
        <v>52432.051635339281</v>
      </c>
      <c r="Q55">
        <f>L55+((ABS(H55)/MAX(((G33)+(I33)*(MAX($D$16,(L55)-(K33))))*(MAX($D$16,(L55)-(K33))),0.000001))^2)/(2*$I$5)+((E33)*((((ABS(H55)*$D$6)/(MAX(((F33)+(H33)*(MAX($D$16,(D55)-(J33))))*(MAX($D$16,(D55)-(J33))),0.000001)*MAX(((((F33)+(H33)*(MAX($D$16,(D55)-(J33))))*(MAX($D$16,(D55)-(J33))))/MAX((F33)+2*(MAX($D$16,(D55)-(J33)))*SQRT(1+(H33)^2),0.000001))^(2/3),0.000001)))^2)+(((ABS(H55)*$D$6)/(MAX(((G33)+(I33)*(MAX($D$16,(L55)-(K33))))*(MAX($D$16,(L55)-(K33))),0.000001)*MAX(((((G33)+(I33)*(MAX($D$16,(L55)-(K33))))*(MAX($D$16,(L55)-(K33))))/MAX((G33)+2*(MAX($D$16,(L55)-(K33)))*SQRT(1+(I33)^2),0.000001))^(2/3),0.000001)))^2))/2)+(IF((ABS(H55)/MAX(((G33)+(I33)*(MAX($D$16,(L55)-(K33))))*(MAX($D$16,(L55)-(K33))),0.000001))&gt;(ABS(H55)/MAX(((F33)+(H33)*(MAX($D$16,(D55)-(J33))))*(MAX($D$16,(D55)-(J33))),0.000001)),$D$9*((((ABS(H55)/MAX(((G33)+(I33)*(MAX($D$16,(L55)-(K33))))*(MAX($D$16,(L55)-(K33))),0.000001))^2)/(2*$I$5))-(((ABS(H55)/MAX(((F33)+(H33)*(MAX($D$16,(D55)-(J33))))*(MAX($D$16,(D55)-(J33))),0.000001))^2)/(2*$I$5))),$D$8*((((ABS(H55)/MAX(((F33)+(H33)*(MAX($D$16,(D55)-(J33))))*(MAX($D$16,(D55)-(J33))),0.000001))^2)/(2*$I$5))-(((ABS(H55)/MAX(((G33)+(I33)*(MAX($D$16,(L55)-(K33))))*(MAX($D$16,(L55)-(K33))),0.000001))^2)/(2*$I$5)))))+($D$10*(ABS((X33)-(W33))/90)*MAX(((ABS(H55)/MAX(((F33)+(H33)*(MAX($D$16,(D55)-(J33))))*(MAX($D$16,(D55)-(J33))),0.000001))^2)/(2*$I$5),((ABS(H55)/MAX(((G33)+(I33)*(MAX($D$16,(L55)-(K33))))*(MAX($D$16,(L55)-(K33))),0.000001))^2)/(2*$I$5)))+(($D$11*0.00000015*(ABS(G55)/MAX(ABS(F55),0.000001))^2*MAX(((ABS(H55)/MAX(((F33)+(H33)*(MAX($D$16,(D55)-(J33))))*(MAX($D$16,(D55)-(J33))),0.000001))^2)/(2*$I$5),((ABS(H55)/MAX(((G33)+(I33)*(MAX($D$16,(L55)-(K33))))*(MAX($D$16,(L55)-(K33))),0.000001))^2)/(2*$I$5))))-((ABS(H55)/MAX(((F33)+(H33)*(MAX($D$16,(D55)-(J33))))*(MAX($D$16,(D55)-(J33))),0.000001))^2)/(2*$I$5)</f>
        <v>634.3119999999999</v>
      </c>
      <c r="R55">
        <f>D55+((ABS(G55)/MAX(((F32)+(H32)*(MAX($D$16,(D55)-(J32))))*(MAX($D$16,(D55)-(J32))),0.000001))^2)/(2*$I$5)-((E32)*((((ABS(G55)*$D$6)/(MAX(((F32)+(H32)*(MAX($D$16,(D55)-(J32))))*(MAX($D$16,(D55)-(J32))),0.000001)*MAX(((((F32)+(H32)*(MAX($D$16,(D55)-(J32))))*(MAX($D$16,(D55)-(J32))))/MAX((F32)+2*(MAX($D$16,(D55)-(J32)))*SQRT(1+(H32)^2),0.000001))^(2/3),0.000001)))^2)+(((ABS(G55)*$D$6)/(MAX(((G32)+(I32)*(MAX($D$16,(E55)-(K32))))*(MAX($D$16,(E55)-(K32))),0.000001)*MAX(((((G32)+(I32)*(MAX($D$16,(E55)-(K32))))*(MAX($D$16,(E55)-(K32))))/MAX((G32)+2*(MAX($D$16,(E55)-(K32)))*SQRT(1+(I32)^2),0.000001))^(2/3),0.000001)))^2))/2)+(IF((ABS(G55)/MAX(((G32)+(I32)*(MAX($D$16,(E55)-(K32))))*(MAX($D$16,(E55)-(K32))),0.000001))&gt;(ABS(G55)/MAX(((F32)+(H32)*(MAX($D$16,(D55)-(J32))))*(MAX($D$16,(D55)-(J32))),0.000001)),$D$9*((((ABS(G55)/MAX(((G32)+(I32)*(MAX($D$16,(E55)-(K32))))*(MAX($D$16,(E55)-(K32))),0.000001))^2)/(2*$I$5))-(((ABS(G55)/MAX(((F32)+(H32)*(MAX($D$16,(D55)-(J32))))*(MAX($D$16,(D55)-(J32))),0.000001))^2)/(2*$I$5))),$D$8*((((ABS(G55)/MAX(((F32)+(H32)*(MAX($D$16,(D55)-(J32))))*(MAX($D$16,(D55)-(J32))),0.000001))^2)/(2*$I$5))-(((ABS(G55)/MAX(((G32)+(I32)*(MAX($D$16,(E55)-(K32))))*(MAX($D$16,(E55)-(K32))),0.000001))^2)/(2*$I$5)))))+($D$10*(ABS((X32)-(W32))/90)*MAX(((ABS(G55)/MAX(((F32)+(H32)*(MAX($D$16,(D55)-(J32))))*(MAX($D$16,(D55)-(J32))),0.000001))^2)/(2*$I$5),((ABS(G55)/MAX(((G32)+(I32)*(MAX($D$16,(E55)-(K32))))*(MAX($D$16,(E55)-(K32))),0.000001))^2)/(2*$I$5)))+(($D$11*0.13607488*(ABS(H55)/MAX(ABS(F55),0.000001))^2*MAX(((ABS(G55)/MAX(((F32)+(H32)*(MAX($D$16,(D55)-(J32))))*(MAX($D$16,(D55)-(J32))),0.000001))^2)/(2*$I$5),((ABS(G55)/MAX(((G32)+(I32)*(MAX($D$16,(E55)-(K32))))*(MAX($D$16,(E55)-(K32))),0.000001))^2)/(2*$I$5))))-((ABS(G55)/MAX(((G32)+(I32)*(MAX($D$16,(E55)-(K32))))*(MAX($D$16,(E55)-(K32))),0.000001))^2)/(2*$I$5)</f>
        <v>52432.232039972463</v>
      </c>
      <c r="S55">
        <f>M55+((ABS(I55)/MAX(((G34)+(I34)*(MAX($D$16,(M55)-(K34))))*(MAX($D$16,(M55)-(K34))),0.000001))^2)/(2*$I$5)+((E34)*((((ABS(I55)*$D$6)/(MAX(((F34)+(H34)*(MAX($D$16,(E55)-(J34))))*(MAX($D$16,(E55)-(J34))),0.000001)*MAX(((((F34)+(H34)*(MAX($D$16,(E55)-(J34))))*(MAX($D$16,(E55)-(J34))))/MAX((F34)+2*(MAX($D$16,(E55)-(J34)))*SQRT(1+(H34)^2),0.000001))^(2/3),0.000001)))^2)+(((ABS(I55)*$D$6)/(MAX(((G34)+(I34)*(MAX($D$16,(M55)-(K34))))*(MAX($D$16,(M55)-(K34))),0.000001)*MAX(((((G34)+(I34)*(MAX($D$16,(M55)-(K34))))*(MAX($D$16,(M55)-(K34))))/MAX((G34)+2*(MAX($D$16,(M55)-(K34)))*SQRT(1+(I34)^2),0.000001))^(2/3),0.000001)))^2))/2)+(IF((ABS(I55)/MAX(((G34)+(I34)*(MAX($D$16,(M55)-(K34))))*(MAX($D$16,(M55)-(K34))),0.000001))&gt;(ABS(I55)/MAX(((F34)+(H34)*(MAX($D$16,(E55)-(J34))))*(MAX($D$16,(E55)-(J34))),0.000001)),$D$9*((((ABS(I55)/MAX(((G34)+(I34)*(MAX($D$16,(M55)-(K34))))*(MAX($D$16,(M55)-(K34))),0.000001))^2)/(2*$I$5))-(((ABS(I55)/MAX(((F34)+(H34)*(MAX($D$16,(E55)-(J34))))*(MAX($D$16,(E55)-(J34))),0.000001))^2)/(2*$I$5))),$D$8*((((ABS(I55)/MAX(((F34)+(H34)*(MAX($D$16,(E55)-(J34))))*(MAX($D$16,(E55)-(J34))),0.000001))^2)/(2*$I$5))-(((ABS(I55)/MAX(((G34)+(I34)*(MAX($D$16,(M55)-(K34))))*(MAX($D$16,(M55)-(K34))),0.000001))^2)/(2*$I$5)))))+($D$10*(ABS((X34)-(W34))/90)*MAX(((ABS(I55)/MAX(((F34)+(H34)*(MAX($D$16,(E55)-(J34))))*(MAX($D$16,(E55)-(J34))),0.000001))^2)/(2*$I$5),((ABS(I55)/MAX(((G34)+(I34)*(MAX($D$16,(M55)-(K34))))*(MAX($D$16,(M55)-(K34))),0.000001))^2)/(2*$I$5)))+(0)-((ABS(I55)/MAX(((F34)+(H34)*(MAX($D$16,(E55)-(J34))))*(MAX($D$16,(E55)-(J34))),0.000001))^2)/(2*$I$5)</f>
        <v>635.5</v>
      </c>
      <c r="T55">
        <f>N55+((ABS(J55)/MAX(((G35)+(I35)*(MAX($D$16,(N55)-(K35))))*(MAX($D$16,(N55)-(K35))),0.000001))^2)/(2*$I$5)+((E35)*((((ABS(J55)*$D$6)/(MAX(((F35)+(H35)*(MAX($D$16,(E55)-(J35))))*(MAX($D$16,(E55)-(J35))),0.000001)*MAX(((((F35)+(H35)*(MAX($D$16,(E55)-(J35))))*(MAX($D$16,(E55)-(J35))))/MAX((F35)+2*(MAX($D$16,(E55)-(J35)))*SQRT(1+(H35)^2),0.000001))^(2/3),0.000001)))^2)+(((ABS(J55)*$D$6)/(MAX(((G35)+(I35)*(MAX($D$16,(N55)-(K35))))*(MAX($D$16,(N55)-(K35))),0.000001)*MAX(((((G35)+(I35)*(MAX($D$16,(N55)-(K35))))*(MAX($D$16,(N55)-(K35))))/MAX((G35)+2*(MAX($D$16,(N55)-(K35)))*SQRT(1+(I35)^2),0.000001))^(2/3),0.000001)))^2))/2)+(IF((ABS(J55)/MAX(((G35)+(I35)*(MAX($D$16,(N55)-(K35))))*(MAX($D$16,(N55)-(K35))),0.000001))&gt;(ABS(J55)/MAX(((F35)+(H35)*(MAX($D$16,(E55)-(J35))))*(MAX($D$16,(E55)-(J35))),0.000001)),$D$9*((((ABS(J55)/MAX(((G35)+(I35)*(MAX($D$16,(N55)-(K35))))*(MAX($D$16,(N55)-(K35))),0.000001))^2)/(2*$I$5))-(((ABS(J55)/MAX(((F35)+(H35)*(MAX($D$16,(E55)-(J35))))*(MAX($D$16,(E55)-(J35))),0.000001))^2)/(2*$I$5))),$D$8*((((ABS(J55)/MAX(((F35)+(H35)*(MAX($D$16,(E55)-(J35))))*(MAX($D$16,(E55)-(J35))),0.000001))^2)/(2*$I$5))-(((ABS(J55)/MAX(((G35)+(I35)*(MAX($D$16,(N55)-(K35))))*(MAX($D$16,(N55)-(K35))),0.000001))^2)/(2*$I$5)))))+($D$10*(ABS((X35)-(W35))/90)*MAX(((ABS(J55)/MAX(((F35)+(H35)*(MAX($D$16,(E55)-(J35))))*(MAX($D$16,(E55)-(J35))),0.000001))^2)/(2*$I$5),((ABS(J55)/MAX(((G35)+(I35)*(MAX($D$16,(N55)-(K35))))*(MAX($D$16,(N55)-(K35))),0.000001))^2)/(2*$I$5)))+(($D$11*0.34699541*(ABS(I55)/MAX(ABS(G55),0.000001))^2*MAX(((ABS(J55)/MAX(((F35)+(H35)*(MAX($D$16,(E55)-(J35))))*(MAX($D$16,(E55)-(J35))),0.000001))^2)/(2*$I$5),((ABS(J55)/MAX(((G35)+(I35)*(MAX($D$16,(N55)-(K35))))*(MAX($D$16,(N55)-(K35))),0.000001))^2)/(2*$I$5))))-((ABS(J55)/MAX(((F35)+(H35)*(MAX($D$16,(E55)-(J35))))*(MAX($D$16,(E55)-(J35))),0.000001))^2)/(2*$I$5)</f>
        <v>20784.033523923383</v>
      </c>
      <c r="U55">
        <f>(((((F32)*(MAX($D$16,(D55)-(J32)))^2)/2+(H32)*(MAX($D$16,(D55)-(J32)))^3/3+(ABS(G55)^2)/($I$5*MAX(((F32)+(H32)*(MAX($D$16,(D55)-(J32))))*(MAX($D$16,(D55)-(J32))),0.000001)))*0.72785025)-((((F33)*(MAX($D$16,(D55)-(J33)))^2)/2+(H33)*(MAX($D$16,(D55)-(J33)))^3/3+(ABS(H55)^2)/($I$5*MAX(((F33)+(H33)*(MAX($D$16,(D55)-(J33))))*(MAX($D$16,(D55)-(J33))),0.000001)))*0.99999971))/MAX(((G31)*(MAX($D$16,(D55)-(K31)))^2)/2+(I31)*(MAX($D$16,(D55)-(K31)))^3/3+(ABS(F55)^2)/($I$5*MAX(((G31)+(I31)*(MAX($D$16,(D55)-(K31))))*(MAX($D$16,(D55)-(K31))),0.000001)),0.000001)</f>
        <v>-0.27214945999991119</v>
      </c>
      <c r="V55">
        <f>(((((F34)*(MAX($D$16,(E55)-(J34)))^2)/2+(H34)*(MAX($D$16,(E55)-(J34)))^3/3+(ABS(I55)^2)/($I$5*MAX(((F34)+(H34)*(MAX($D$16,(E55)-(J34))))*(MAX($D$16,(E55)-(J34))),0.000001)))*1)-((((F35)*(MAX($D$16,(E55)-(J35)))^2)/2+(H35)*(MAX($D$16,(E55)-(J35)))^3/3+(ABS(J55)^2)/($I$5*MAX(((F35)+(H35)*(MAX($D$16,(E55)-(J35))))*(MAX($D$16,(E55)-(J35))),0.000001)))*0.30600918))/MAX(((G32)*(MAX($D$16,(E55)-(K32)))^2)/2+(I32)*(MAX($D$16,(E55)-(K32)))^3/3+(ABS(G55)^2)/($I$5*MAX(((G32)+(I32)*(MAX($D$16,(E55)-(K32))))*(MAX($D$16,(E55)-(K32))),0.000001)),0.000001)</f>
        <v>0.69398638936418866</v>
      </c>
      <c r="W55">
        <f>IF(N6="None",ABS(P55-D55),MAX(ABS(P55-D55),ABS(Q55-D55)))</f>
        <v>0.18040463305078447</v>
      </c>
      <c r="X55">
        <f>IF(AND(N7="None",N8="None"),0,IF(N8="None",ABS(S55-E55),IF(N7="None",ABS(T55-E55),MAX(ABS(S55-E55),ABS(T55-E55)))))</f>
        <v>51796.551635338728</v>
      </c>
      <c r="AA55">
        <f t="shared" si="3"/>
        <v>52432.168898350763</v>
      </c>
      <c r="AB55">
        <f t="shared" si="4"/>
        <v>41355.245296343361</v>
      </c>
      <c r="AC55">
        <f>IF(N6="None",P55,MAX(P55,Q55))</f>
        <v>52432.051635339281</v>
      </c>
      <c r="AD55">
        <f>IF(AND(N7="None",N8="None"),E55,IF(N8="None",S55,IF(N7="None",T55,MAX(S55,T55))))</f>
        <v>20784.033523923383</v>
      </c>
      <c r="AE55">
        <f t="shared" si="5"/>
        <v>637.65825101089831</v>
      </c>
      <c r="AF55">
        <f t="shared" si="6"/>
        <v>52432.232039972463</v>
      </c>
      <c r="AG55">
        <f>((G31)*(MAX($D$16,(AC55)-(K31)))^2)/2+(I31)*(MAX($D$16,(AC55)-(K31)))^3/3+(ABS(F55)^2)/($I$5*MAX(((G31)+(I31)*(MAX($D$16,(AC55)-(K31))))*(MAX($D$16,(AC55)-(K31))),0.000001))</f>
        <v>8797580876.5878677</v>
      </c>
      <c r="AH55">
        <f>((G31)*(MAX($D$16,(AE55)-(K31)))^2)/2+(I31)*(MAX($D$16,(AE55)-(K31)))^3/3+(ABS(F55)^2)/($I$5*MAX(((G31)+(I31)*(MAX($D$16,(AE55)-(K31))))*(MAX($D$16,(AE55)-(K31))),0.000001))</f>
        <v>49.055863329575246</v>
      </c>
      <c r="AI55">
        <f>((G32)*(MAX($D$16,(AD55)-(K32)))^2)/2+(I32)*(MAX($D$16,(AD55)-(K32)))^3/3+(ABS(G55)^2)/($I$5*MAX(((G32)+(I32)*(MAX($D$16,(AD55)-(K32))))*(MAX($D$16,(AD55)-(K32))),0.000001))</f>
        <v>2072376743.6648321</v>
      </c>
      <c r="AJ55">
        <f>((G32)*(MAX($D$16,(AF55)-(K32)))^2)/2+(I32)*(MAX($D$16,(AF55)-(K32)))^3/3+(ABS(G55)^2)/($I$5*MAX(((G32)+(I32)*(MAX($D$16,(AF55)-(K32))))*(MAX($D$16,(AF55)-(K32))),0.000001))</f>
        <v>13692762477.258892</v>
      </c>
      <c r="AK55" t="str">
        <f t="shared" si="7"/>
        <v>Subcritical</v>
      </c>
      <c r="AL55" t="str">
        <f t="shared" si="8"/>
        <v>Supercritical</v>
      </c>
      <c r="AM55">
        <f t="shared" si="9"/>
        <v>52432.168898350763</v>
      </c>
      <c r="AN55">
        <f t="shared" si="10"/>
        <v>52432.114776960538</v>
      </c>
      <c r="AO55">
        <f t="shared" si="11"/>
        <v>0.18040463305078447</v>
      </c>
      <c r="AP55">
        <f t="shared" si="12"/>
        <v>0.18040463373472448</v>
      </c>
    </row>
    <row r="56" spans="1:42" x14ac:dyDescent="0.35">
      <c r="A56">
        <v>13</v>
      </c>
      <c r="B56">
        <f t="shared" si="13"/>
        <v>0</v>
      </c>
      <c r="C56">
        <f t="shared" si="14"/>
        <v>0</v>
      </c>
      <c r="D56">
        <f t="shared" si="15"/>
        <v>52432.168898350763</v>
      </c>
      <c r="E56">
        <f t="shared" si="16"/>
        <v>52432.114776960538</v>
      </c>
      <c r="F56">
        <f t="shared" si="2"/>
        <v>51</v>
      </c>
      <c r="G56">
        <f>IF(N6="None",F56,MAX(0,F56*B56))</f>
        <v>51</v>
      </c>
      <c r="H56">
        <f>IF(N6="None",0,MAX(0,F56-G56))</f>
        <v>0</v>
      </c>
      <c r="I56">
        <f>IF(AND(N7="None",N8="None"),0,IF(N8="None",G56,IF(N7="None",0,MAX(0,G56*C56))))</f>
        <v>0</v>
      </c>
      <c r="J56">
        <f>IF(AND(N7="None",N8="None"),0,IF(N8="None",0,IF(N7="None",G56,MAX(0,G56-I56))))</f>
        <v>51</v>
      </c>
      <c r="K56">
        <f>P5</f>
        <v>637</v>
      </c>
      <c r="L56">
        <f>P6</f>
        <v>634.3119999999999</v>
      </c>
      <c r="M56">
        <f>P7</f>
        <v>635.5</v>
      </c>
      <c r="N56">
        <f>P8</f>
        <v>631.54999999999995</v>
      </c>
      <c r="O56">
        <f>K56+((ABS(F56)/MAX(((F31)+(H31)*(MAX($D$16,(K56)-(J31))))*(MAX($D$16,(K56)-(J31))),0.000001))^2)/(2*$I$5)-((E31)*((((ABS(F56)*$D$6)/(MAX(((F31)+(H31)*(MAX($D$16,(K56)-(J31))))*(MAX($D$16,(K56)-(J31))),0.000001)*MAX(((((F31)+(H31)*(MAX($D$16,(K56)-(J31))))*(MAX($D$16,(K56)-(J31))))/MAX((F31)+2*(MAX($D$16,(K56)-(J31)))*SQRT(1+(H31)^2),0.000001))^(2/3),0.000001)))^2)+(((ABS(F56)*$D$6)/(MAX(((G31)+(I31)*(MAX($D$16,(D56)-(K31))))*(MAX($D$16,(D56)-(K31))),0.000001)*MAX(((((G31)+(I31)*(MAX($D$16,(D56)-(K31))))*(MAX($D$16,(D56)-(K31))))/MAX((G31)+2*(MAX($D$16,(D56)-(K31)))*SQRT(1+(I31)^2),0.000001))^(2/3),0.000001)))^2))/2)+(IF((ABS(F56)/MAX(((G31)+(I31)*(MAX($D$16,(D56)-(K31))))*(MAX($D$16,(D56)-(K31))),0.000001))&gt;(ABS(F56)/MAX(((F31)+(H31)*(MAX($D$16,(K56)-(J31))))*(MAX($D$16,(K56)-(J31))),0.000001)),$D$9*((((ABS(F56)/MAX(((G31)+(I31)*(MAX($D$16,(D56)-(K31))))*(MAX($D$16,(D56)-(K31))),0.000001))^2)/(2*$I$5))-(((ABS(F56)/MAX(((F31)+(H31)*(MAX($D$16,(K56)-(J31))))*(MAX($D$16,(K56)-(J31))),0.000001))^2)/(2*$I$5))),$D$8*((((ABS(F56)/MAX(((F31)+(H31)*(MAX($D$16,(K56)-(J31))))*(MAX($D$16,(K56)-(J31))),0.000001))^2)/(2*$I$5))-(((ABS(F56)/MAX(((G31)+(I31)*(MAX($D$16,(D56)-(K31))))*(MAX($D$16,(D56)-(K31))),0.000001))^2)/(2*$I$5)))))+($D$10*(ABS((X31)-(W31))/90)*MAX(((ABS(F56)/MAX(((F31)+(H31)*(MAX($D$16,(K56)-(J31))))*(MAX($D$16,(K56)-(J31))),0.000001))^2)/(2*$I$5),((ABS(F56)/MAX(((G31)+(I31)*(MAX($D$16,(D56)-(K31))))*(MAX($D$16,(D56)-(K31))),0.000001))^2)/(2*$I$5)))+(0)-((ABS(F56)/MAX(((G31)+(I31)*(MAX($D$16,(D56)-(K31))))*(MAX($D$16,(D56)-(K31))),0.000001))^2)/(2*$I$5)</f>
        <v>637.65825101089831</v>
      </c>
      <c r="P56">
        <f>E56+((ABS(G56)/MAX(((G32)+(I32)*(MAX($D$16,(E56)-(K32))))*(MAX($D$16,(E56)-(K32))),0.000001))^2)/(2*$I$5)+((E32)*((((ABS(G56)*$D$6)/(MAX(((F32)+(H32)*(MAX($D$16,(D56)-(J32))))*(MAX($D$16,(D56)-(J32))),0.000001)*MAX(((((F32)+(H32)*(MAX($D$16,(D56)-(J32))))*(MAX($D$16,(D56)-(J32))))/MAX((F32)+2*(MAX($D$16,(D56)-(J32)))*SQRT(1+(H32)^2),0.000001))^(2/3),0.000001)))^2)+(((ABS(G56)*$D$6)/(MAX(((G32)+(I32)*(MAX($D$16,(E56)-(K32))))*(MAX($D$16,(E56)-(K32))),0.000001)*MAX(((((G32)+(I32)*(MAX($D$16,(E56)-(K32))))*(MAX($D$16,(E56)-(K32))))/MAX((G32)+2*(MAX($D$16,(E56)-(K32)))*SQRT(1+(I32)^2),0.000001))^(2/3),0.000001)))^2))/2)+(IF((ABS(G56)/MAX(((G32)+(I32)*(MAX($D$16,(E56)-(K32))))*(MAX($D$16,(E56)-(K32))),0.000001))&gt;(ABS(G56)/MAX(((F32)+(H32)*(MAX($D$16,(D56)-(J32))))*(MAX($D$16,(D56)-(J32))),0.000001)),$D$9*((((ABS(G56)/MAX(((G32)+(I32)*(MAX($D$16,(E56)-(K32))))*(MAX($D$16,(E56)-(K32))),0.000001))^2)/(2*$I$5))-(((ABS(G56)/MAX(((F32)+(H32)*(MAX($D$16,(D56)-(J32))))*(MAX($D$16,(D56)-(J32))),0.000001))^2)/(2*$I$5))),$D$8*((((ABS(G56)/MAX(((F32)+(H32)*(MAX($D$16,(D56)-(J32))))*(MAX($D$16,(D56)-(J32))),0.000001))^2)/(2*$I$5))-(((ABS(G56)/MAX(((G32)+(I32)*(MAX($D$16,(E56)-(K32))))*(MAX($D$16,(E56)-(K32))),0.000001))^2)/(2*$I$5)))))+($D$10*(ABS((X32)-(W32))/90)*MAX(((ABS(G56)/MAX(((F32)+(H32)*(MAX($D$16,(D56)-(J32))))*(MAX($D$16,(D56)-(J32))),0.000001))^2)/(2*$I$5),((ABS(G56)/MAX(((G32)+(I32)*(MAX($D$16,(E56)-(K32))))*(MAX($D$16,(E56)-(K32))),0.000001))^2)/(2*$I$5)))+(($D$11*0.13607488*(ABS(H56)/MAX(ABS(F56),0.000001))^2*MAX(((ABS(G56)/MAX(((F32)+(H32)*(MAX($D$16,(D56)-(J32))))*(MAX($D$16,(D56)-(J32))),0.000001))^2)/(2*$I$5),((ABS(G56)/MAX(((G32)+(I32)*(MAX($D$16,(E56)-(K32))))*(MAX($D$16,(E56)-(K32))),0.000001))^2)/(2*$I$5))))-((ABS(G56)/MAX(((F32)+(H32)*(MAX($D$16,(D56)-(J32))))*(MAX($D$16,(D56)-(J32))),0.000001))^2)/(2*$I$5)</f>
        <v>52432.114776961091</v>
      </c>
      <c r="Q56">
        <f>L56+((ABS(H56)/MAX(((G33)+(I33)*(MAX($D$16,(L56)-(K33))))*(MAX($D$16,(L56)-(K33))),0.000001))^2)/(2*$I$5)+((E33)*((((ABS(H56)*$D$6)/(MAX(((F33)+(H33)*(MAX($D$16,(D56)-(J33))))*(MAX($D$16,(D56)-(J33))),0.000001)*MAX(((((F33)+(H33)*(MAX($D$16,(D56)-(J33))))*(MAX($D$16,(D56)-(J33))))/MAX((F33)+2*(MAX($D$16,(D56)-(J33)))*SQRT(1+(H33)^2),0.000001))^(2/3),0.000001)))^2)+(((ABS(H56)*$D$6)/(MAX(((G33)+(I33)*(MAX($D$16,(L56)-(K33))))*(MAX($D$16,(L56)-(K33))),0.000001)*MAX(((((G33)+(I33)*(MAX($D$16,(L56)-(K33))))*(MAX($D$16,(L56)-(K33))))/MAX((G33)+2*(MAX($D$16,(L56)-(K33)))*SQRT(1+(I33)^2),0.000001))^(2/3),0.000001)))^2))/2)+(IF((ABS(H56)/MAX(((G33)+(I33)*(MAX($D$16,(L56)-(K33))))*(MAX($D$16,(L56)-(K33))),0.000001))&gt;(ABS(H56)/MAX(((F33)+(H33)*(MAX($D$16,(D56)-(J33))))*(MAX($D$16,(D56)-(J33))),0.000001)),$D$9*((((ABS(H56)/MAX(((G33)+(I33)*(MAX($D$16,(L56)-(K33))))*(MAX($D$16,(L56)-(K33))),0.000001))^2)/(2*$I$5))-(((ABS(H56)/MAX(((F33)+(H33)*(MAX($D$16,(D56)-(J33))))*(MAX($D$16,(D56)-(J33))),0.000001))^2)/(2*$I$5))),$D$8*((((ABS(H56)/MAX(((F33)+(H33)*(MAX($D$16,(D56)-(J33))))*(MAX($D$16,(D56)-(J33))),0.000001))^2)/(2*$I$5))-(((ABS(H56)/MAX(((G33)+(I33)*(MAX($D$16,(L56)-(K33))))*(MAX($D$16,(L56)-(K33))),0.000001))^2)/(2*$I$5)))))+($D$10*(ABS((X33)-(W33))/90)*MAX(((ABS(H56)/MAX(((F33)+(H33)*(MAX($D$16,(D56)-(J33))))*(MAX($D$16,(D56)-(J33))),0.000001))^2)/(2*$I$5),((ABS(H56)/MAX(((G33)+(I33)*(MAX($D$16,(L56)-(K33))))*(MAX($D$16,(L56)-(K33))),0.000001))^2)/(2*$I$5)))+(($D$11*0.00000015*(ABS(G56)/MAX(ABS(F56),0.000001))^2*MAX(((ABS(H56)/MAX(((F33)+(H33)*(MAX($D$16,(D56)-(J33))))*(MAX($D$16,(D56)-(J33))),0.000001))^2)/(2*$I$5),((ABS(H56)/MAX(((G33)+(I33)*(MAX($D$16,(L56)-(K33))))*(MAX($D$16,(L56)-(K33))),0.000001))^2)/(2*$I$5))))-((ABS(H56)/MAX(((F33)+(H33)*(MAX($D$16,(D56)-(J33))))*(MAX($D$16,(D56)-(J33))),0.000001))^2)/(2*$I$5)</f>
        <v>634.3119999999999</v>
      </c>
      <c r="R56">
        <f>D56+((ABS(G56)/MAX(((F32)+(H32)*(MAX($D$16,(D56)-(J32))))*(MAX($D$16,(D56)-(J32))),0.000001))^2)/(2*$I$5)-((E32)*((((ABS(G56)*$D$6)/(MAX(((F32)+(H32)*(MAX($D$16,(D56)-(J32))))*(MAX($D$16,(D56)-(J32))),0.000001)*MAX(((((F32)+(H32)*(MAX($D$16,(D56)-(J32))))*(MAX($D$16,(D56)-(J32))))/MAX((F32)+2*(MAX($D$16,(D56)-(J32)))*SQRT(1+(H32)^2),0.000001))^(2/3),0.000001)))^2)+(((ABS(G56)*$D$6)/(MAX(((G32)+(I32)*(MAX($D$16,(E56)-(K32))))*(MAX($D$16,(E56)-(K32))),0.000001)*MAX(((((G32)+(I32)*(MAX($D$16,(E56)-(K32))))*(MAX($D$16,(E56)-(K32))))/MAX((G32)+2*(MAX($D$16,(E56)-(K32)))*SQRT(1+(I32)^2),0.000001))^(2/3),0.000001)))^2))/2)+(IF((ABS(G56)/MAX(((G32)+(I32)*(MAX($D$16,(E56)-(K32))))*(MAX($D$16,(E56)-(K32))),0.000001))&gt;(ABS(G56)/MAX(((F32)+(H32)*(MAX($D$16,(D56)-(J32))))*(MAX($D$16,(D56)-(J32))),0.000001)),$D$9*((((ABS(G56)/MAX(((G32)+(I32)*(MAX($D$16,(E56)-(K32))))*(MAX($D$16,(E56)-(K32))),0.000001))^2)/(2*$I$5))-(((ABS(G56)/MAX(((F32)+(H32)*(MAX($D$16,(D56)-(J32))))*(MAX($D$16,(D56)-(J32))),0.000001))^2)/(2*$I$5))),$D$8*((((ABS(G56)/MAX(((F32)+(H32)*(MAX($D$16,(D56)-(J32))))*(MAX($D$16,(D56)-(J32))),0.000001))^2)/(2*$I$5))-(((ABS(G56)/MAX(((G32)+(I32)*(MAX($D$16,(E56)-(K32))))*(MAX($D$16,(E56)-(K32))),0.000001))^2)/(2*$I$5)))))+($D$10*(ABS((X32)-(W32))/90)*MAX(((ABS(G56)/MAX(((F32)+(H32)*(MAX($D$16,(D56)-(J32))))*(MAX($D$16,(D56)-(J32))),0.000001))^2)/(2*$I$5),((ABS(G56)/MAX(((G32)+(I32)*(MAX($D$16,(E56)-(K32))))*(MAX($D$16,(E56)-(K32))),0.000001))^2)/(2*$I$5)))+(($D$11*0.13607488*(ABS(H56)/MAX(ABS(F56),0.000001))^2*MAX(((ABS(G56)/MAX(((F32)+(H32)*(MAX($D$16,(D56)-(J32))))*(MAX($D$16,(D56)-(J32))),0.000001))^2)/(2*$I$5),((ABS(G56)/MAX(((G32)+(I32)*(MAX($D$16,(E56)-(K32))))*(MAX($D$16,(E56)-(K32))),0.000001))^2)/(2*$I$5))))-((ABS(G56)/MAX(((G32)+(I32)*(MAX($D$16,(E56)-(K32))))*(MAX($D$16,(E56)-(K32))),0.000001))^2)/(2*$I$5)</f>
        <v>52432.168898350894</v>
      </c>
      <c r="S56">
        <f>M56+((ABS(I56)/MAX(((G34)+(I34)*(MAX($D$16,(M56)-(K34))))*(MAX($D$16,(M56)-(K34))),0.000001))^2)/(2*$I$5)+((E34)*((((ABS(I56)*$D$6)/(MAX(((F34)+(H34)*(MAX($D$16,(E56)-(J34))))*(MAX($D$16,(E56)-(J34))),0.000001)*MAX(((((F34)+(H34)*(MAX($D$16,(E56)-(J34))))*(MAX($D$16,(E56)-(J34))))/MAX((F34)+2*(MAX($D$16,(E56)-(J34)))*SQRT(1+(H34)^2),0.000001))^(2/3),0.000001)))^2)+(((ABS(I56)*$D$6)/(MAX(((G34)+(I34)*(MAX($D$16,(M56)-(K34))))*(MAX($D$16,(M56)-(K34))),0.000001)*MAX(((((G34)+(I34)*(MAX($D$16,(M56)-(K34))))*(MAX($D$16,(M56)-(K34))))/MAX((G34)+2*(MAX($D$16,(M56)-(K34)))*SQRT(1+(I34)^2),0.000001))^(2/3),0.000001)))^2))/2)+(IF((ABS(I56)/MAX(((G34)+(I34)*(MAX($D$16,(M56)-(K34))))*(MAX($D$16,(M56)-(K34))),0.000001))&gt;(ABS(I56)/MAX(((F34)+(H34)*(MAX($D$16,(E56)-(J34))))*(MAX($D$16,(E56)-(J34))),0.000001)),$D$9*((((ABS(I56)/MAX(((G34)+(I34)*(MAX($D$16,(M56)-(K34))))*(MAX($D$16,(M56)-(K34))),0.000001))^2)/(2*$I$5))-(((ABS(I56)/MAX(((F34)+(H34)*(MAX($D$16,(E56)-(J34))))*(MAX($D$16,(E56)-(J34))),0.000001))^2)/(2*$I$5))),$D$8*((((ABS(I56)/MAX(((F34)+(H34)*(MAX($D$16,(E56)-(J34))))*(MAX($D$16,(E56)-(J34))),0.000001))^2)/(2*$I$5))-(((ABS(I56)/MAX(((G34)+(I34)*(MAX($D$16,(M56)-(K34))))*(MAX($D$16,(M56)-(K34))),0.000001))^2)/(2*$I$5)))))+($D$10*(ABS((X34)-(W34))/90)*MAX(((ABS(I56)/MAX(((F34)+(H34)*(MAX($D$16,(E56)-(J34))))*(MAX($D$16,(E56)-(J34))),0.000001))^2)/(2*$I$5),((ABS(I56)/MAX(((G34)+(I34)*(MAX($D$16,(M56)-(K34))))*(MAX($D$16,(M56)-(K34))),0.000001))^2)/(2*$I$5)))+(0)-((ABS(I56)/MAX(((F34)+(H34)*(MAX($D$16,(E56)-(J34))))*(MAX($D$16,(E56)-(J34))),0.000001))^2)/(2*$I$5)</f>
        <v>635.5</v>
      </c>
      <c r="T56">
        <f>N56+((ABS(J56)/MAX(((G35)+(I35)*(MAX($D$16,(N56)-(K35))))*(MAX($D$16,(N56)-(K35))),0.000001))^2)/(2*$I$5)+((E35)*((((ABS(J56)*$D$6)/(MAX(((F35)+(H35)*(MAX($D$16,(E56)-(J35))))*(MAX($D$16,(E56)-(J35))),0.000001)*MAX(((((F35)+(H35)*(MAX($D$16,(E56)-(J35))))*(MAX($D$16,(E56)-(J35))))/MAX((F35)+2*(MAX($D$16,(E56)-(J35)))*SQRT(1+(H35)^2),0.000001))^(2/3),0.000001)))^2)+(((ABS(J56)*$D$6)/(MAX(((G35)+(I35)*(MAX($D$16,(N56)-(K35))))*(MAX($D$16,(N56)-(K35))),0.000001)*MAX(((((G35)+(I35)*(MAX($D$16,(N56)-(K35))))*(MAX($D$16,(N56)-(K35))))/MAX((G35)+2*(MAX($D$16,(N56)-(K35)))*SQRT(1+(I35)^2),0.000001))^(2/3),0.000001)))^2))/2)+(IF((ABS(J56)/MAX(((G35)+(I35)*(MAX($D$16,(N56)-(K35))))*(MAX($D$16,(N56)-(K35))),0.000001))&gt;(ABS(J56)/MAX(((F35)+(H35)*(MAX($D$16,(E56)-(J35))))*(MAX($D$16,(E56)-(J35))),0.000001)),$D$9*((((ABS(J56)/MAX(((G35)+(I35)*(MAX($D$16,(N56)-(K35))))*(MAX($D$16,(N56)-(K35))),0.000001))^2)/(2*$I$5))-(((ABS(J56)/MAX(((F35)+(H35)*(MAX($D$16,(E56)-(J35))))*(MAX($D$16,(E56)-(J35))),0.000001))^2)/(2*$I$5))),$D$8*((((ABS(J56)/MAX(((F35)+(H35)*(MAX($D$16,(E56)-(J35))))*(MAX($D$16,(E56)-(J35))),0.000001))^2)/(2*$I$5))-(((ABS(J56)/MAX(((G35)+(I35)*(MAX($D$16,(N56)-(K35))))*(MAX($D$16,(N56)-(K35))),0.000001))^2)/(2*$I$5)))))+($D$10*(ABS((X35)-(W35))/90)*MAX(((ABS(J56)/MAX(((F35)+(H35)*(MAX($D$16,(E56)-(J35))))*(MAX($D$16,(E56)-(J35))),0.000001))^2)/(2*$I$5),((ABS(J56)/MAX(((G35)+(I35)*(MAX($D$16,(N56)-(K35))))*(MAX($D$16,(N56)-(K35))),0.000001))^2)/(2*$I$5)))+(($D$11*0.34699541*(ABS(I56)/MAX(ABS(G56),0.000001))^2*MAX(((ABS(J56)/MAX(((F35)+(H35)*(MAX($D$16,(E56)-(J35))))*(MAX($D$16,(E56)-(J35))),0.000001))^2)/(2*$I$5),((ABS(J56)/MAX(((G35)+(I35)*(MAX($D$16,(N56)-(K35))))*(MAX($D$16,(N56)-(K35))),0.000001))^2)/(2*$I$5))))-((ABS(J56)/MAX(((F35)+(H35)*(MAX($D$16,(E56)-(J35))))*(MAX($D$16,(E56)-(J35))),0.000001))^2)/(2*$I$5)</f>
        <v>20784.033523923383</v>
      </c>
      <c r="U56">
        <f>(((((F32)*(MAX($D$16,(D56)-(J32)))^2)/2+(H32)*(MAX($D$16,(D56)-(J32)))^3/3+(ABS(G56)^2)/($I$5*MAX(((F32)+(H32)*(MAX($D$16,(D56)-(J32))))*(MAX($D$16,(D56)-(J32))),0.000001)))*0.72785025)-((((F33)*(MAX($D$16,(D56)-(J33)))^2)/2+(H33)*(MAX($D$16,(D56)-(J33)))^3/3+(ABS(H56)^2)/($I$5*MAX(((F33)+(H33)*(MAX($D$16,(D56)-(J33))))*(MAX($D$16,(D56)-(J33))),0.000001)))*0.99999971))/MAX(((G31)*(MAX($D$16,(D56)-(K31)))^2)/2+(I31)*(MAX($D$16,(D56)-(K31)))^3/3+(ABS(F56)^2)/($I$5*MAX(((G31)+(I31)*(MAX($D$16,(D56)-(K31))))*(MAX($D$16,(D56)-(K31))),0.000001)),0.000001)</f>
        <v>-0.2721494599999113</v>
      </c>
      <c r="V56">
        <f>(((((F34)*(MAX($D$16,(E56)-(J34)))^2)/2+(H34)*(MAX($D$16,(E56)-(J34)))^3/3+(ABS(I56)^2)/($I$5*MAX(((F34)+(H34)*(MAX($D$16,(E56)-(J34))))*(MAX($D$16,(E56)-(J34))),0.000001)))*1)-((((F35)*(MAX($D$16,(E56)-(J35)))^2)/2+(H35)*(MAX($D$16,(E56)-(J35)))^3/3+(ABS(J56)^2)/($I$5*MAX(((F35)+(H35)*(MAX($D$16,(E56)-(J35))))*(MAX($D$16,(E56)-(J35))),0.000001)))*0.30600918))/MAX(((G32)*(MAX($D$16,(E56)-(K32)))^2)/2+(I32)*(MAX($D$16,(E56)-(K32)))^3/3+(ABS(G56)^2)/($I$5*MAX(((G32)+(I32)*(MAX($D$16,(E56)-(K32))))*(MAX($D$16,(E56)-(K32))),0.000001)),0.000001)</f>
        <v>0.69398638936958923</v>
      </c>
      <c r="W56">
        <f>IF(N6="None",ABS(P56-D56),MAX(ABS(P56-D56),ABS(Q56-D56)))</f>
        <v>5.4121389672218356E-2</v>
      </c>
      <c r="X56">
        <f>IF(AND(N7="None",N8="None"),0,IF(N8="None",ABS(S56-E56),IF(N7="None",ABS(T56-E56),MAX(ABS(S56-E56),ABS(T56-E56)))))</f>
        <v>51796.614776960538</v>
      </c>
      <c r="AA56">
        <f t="shared" si="3"/>
        <v>52432.149955864377</v>
      </c>
      <c r="AB56">
        <f t="shared" si="4"/>
        <v>41355.286338397535</v>
      </c>
      <c r="AC56">
        <f>IF(N6="None",P56,MAX(P56,Q56))</f>
        <v>52432.114776961091</v>
      </c>
      <c r="AD56">
        <f>IF(AND(N7="None",N8="None"),E56,IF(N8="None",S56,IF(N7="None",T56,MAX(S56,T56))))</f>
        <v>20784.033523923383</v>
      </c>
      <c r="AE56">
        <f t="shared" si="5"/>
        <v>637.65825101089831</v>
      </c>
      <c r="AF56">
        <f t="shared" si="6"/>
        <v>52432.168898350894</v>
      </c>
      <c r="AG56">
        <f>((G31)*(MAX($D$16,(AC56)-(K31)))^2)/2+(I31)*(MAX($D$16,(AC56)-(K31)))^3/3+(ABS(F56)^2)/($I$5*MAX(((G31)+(I31)*(MAX($D$16,(AC56)-(K31))))*(MAX($D$16,(AC56)-(K31))),0.000001))</f>
        <v>8797602325.1575108</v>
      </c>
      <c r="AH56">
        <f>((G31)*(MAX($D$16,(AE56)-(K31)))^2)/2+(I31)*(MAX($D$16,(AE56)-(K31)))^3/3+(ABS(F56)^2)/($I$5*MAX(((G31)+(I31)*(MAX($D$16,(AE56)-(K31))))*(MAX($D$16,(AE56)-(K31))),0.000001))</f>
        <v>49.055863329575246</v>
      </c>
      <c r="AI56">
        <f>((G32)*(MAX($D$16,(AD56)-(K32)))^2)/2+(I32)*(MAX($D$16,(AD56)-(K32)))^3/3+(ABS(G56)^2)/($I$5*MAX(((G32)+(I32)*(MAX($D$16,(AD56)-(K32))))*(MAX($D$16,(AD56)-(K32))),0.000001))</f>
        <v>2072376743.6648321</v>
      </c>
      <c r="AJ56">
        <f>((G32)*(MAX($D$16,(AF56)-(K32)))^2)/2+(I32)*(MAX($D$16,(AF56)-(K32)))^3/3+(ABS(G56)^2)/($I$5*MAX(((G32)+(I32)*(MAX($D$16,(AF56)-(K32))))*(MAX($D$16,(AF56)-(K32))),0.000001))</f>
        <v>13692729095.917564</v>
      </c>
      <c r="AK56" t="str">
        <f t="shared" si="7"/>
        <v>Subcritical</v>
      </c>
      <c r="AL56" t="str">
        <f t="shared" si="8"/>
        <v>Supercritical</v>
      </c>
      <c r="AM56">
        <f t="shared" si="9"/>
        <v>52432.149955864377</v>
      </c>
      <c r="AN56">
        <f t="shared" si="10"/>
        <v>52432.133719447163</v>
      </c>
      <c r="AO56">
        <f t="shared" si="11"/>
        <v>5.4121389672218356E-2</v>
      </c>
      <c r="AP56">
        <f t="shared" si="12"/>
        <v>5.4121390356158372E-2</v>
      </c>
    </row>
    <row r="57" spans="1:42" x14ac:dyDescent="0.35">
      <c r="A57">
        <v>14</v>
      </c>
      <c r="B57">
        <f t="shared" si="13"/>
        <v>0</v>
      </c>
      <c r="C57">
        <f t="shared" si="14"/>
        <v>0</v>
      </c>
      <c r="D57">
        <f t="shared" si="15"/>
        <v>52432.149955864377</v>
      </c>
      <c r="E57">
        <f t="shared" si="16"/>
        <v>52432.133719447163</v>
      </c>
      <c r="F57">
        <f t="shared" si="2"/>
        <v>51</v>
      </c>
      <c r="G57">
        <f>IF(N6="None",F57,MAX(0,F57*B57))</f>
        <v>51</v>
      </c>
      <c r="H57">
        <f>IF(N6="None",0,MAX(0,F57-G57))</f>
        <v>0</v>
      </c>
      <c r="I57">
        <f>IF(AND(N7="None",N8="None"),0,IF(N8="None",G57,IF(N7="None",0,MAX(0,G57*C57))))</f>
        <v>0</v>
      </c>
      <c r="J57">
        <f>IF(AND(N7="None",N8="None"),0,IF(N8="None",0,IF(N7="None",G57,MAX(0,G57-I57))))</f>
        <v>51</v>
      </c>
      <c r="K57">
        <f>P5</f>
        <v>637</v>
      </c>
      <c r="L57">
        <f>P6</f>
        <v>634.3119999999999</v>
      </c>
      <c r="M57">
        <f>P7</f>
        <v>635.5</v>
      </c>
      <c r="N57">
        <f>P8</f>
        <v>631.54999999999995</v>
      </c>
      <c r="O57">
        <f>K57+((ABS(F57)/MAX(((F31)+(H31)*(MAX($D$16,(K57)-(J31))))*(MAX($D$16,(K57)-(J31))),0.000001))^2)/(2*$I$5)-((E31)*((((ABS(F57)*$D$6)/(MAX(((F31)+(H31)*(MAX($D$16,(K57)-(J31))))*(MAX($D$16,(K57)-(J31))),0.000001)*MAX(((((F31)+(H31)*(MAX($D$16,(K57)-(J31))))*(MAX($D$16,(K57)-(J31))))/MAX((F31)+2*(MAX($D$16,(K57)-(J31)))*SQRT(1+(H31)^2),0.000001))^(2/3),0.000001)))^2)+(((ABS(F57)*$D$6)/(MAX(((G31)+(I31)*(MAX($D$16,(D57)-(K31))))*(MAX($D$16,(D57)-(K31))),0.000001)*MAX(((((G31)+(I31)*(MAX($D$16,(D57)-(K31))))*(MAX($D$16,(D57)-(K31))))/MAX((G31)+2*(MAX($D$16,(D57)-(K31)))*SQRT(1+(I31)^2),0.000001))^(2/3),0.000001)))^2))/2)+(IF((ABS(F57)/MAX(((G31)+(I31)*(MAX($D$16,(D57)-(K31))))*(MAX($D$16,(D57)-(K31))),0.000001))&gt;(ABS(F57)/MAX(((F31)+(H31)*(MAX($D$16,(K57)-(J31))))*(MAX($D$16,(K57)-(J31))),0.000001)),$D$9*((((ABS(F57)/MAX(((G31)+(I31)*(MAX($D$16,(D57)-(K31))))*(MAX($D$16,(D57)-(K31))),0.000001))^2)/(2*$I$5))-(((ABS(F57)/MAX(((F31)+(H31)*(MAX($D$16,(K57)-(J31))))*(MAX($D$16,(K57)-(J31))),0.000001))^2)/(2*$I$5))),$D$8*((((ABS(F57)/MAX(((F31)+(H31)*(MAX($D$16,(K57)-(J31))))*(MAX($D$16,(K57)-(J31))),0.000001))^2)/(2*$I$5))-(((ABS(F57)/MAX(((G31)+(I31)*(MAX($D$16,(D57)-(K31))))*(MAX($D$16,(D57)-(K31))),0.000001))^2)/(2*$I$5)))))+($D$10*(ABS((X31)-(W31))/90)*MAX(((ABS(F57)/MAX(((F31)+(H31)*(MAX($D$16,(K57)-(J31))))*(MAX($D$16,(K57)-(J31))),0.000001))^2)/(2*$I$5),((ABS(F57)/MAX(((G31)+(I31)*(MAX($D$16,(D57)-(K31))))*(MAX($D$16,(D57)-(K31))),0.000001))^2)/(2*$I$5)))+(0)-((ABS(F57)/MAX(((G31)+(I31)*(MAX($D$16,(D57)-(K31))))*(MAX($D$16,(D57)-(K31))),0.000001))^2)/(2*$I$5)</f>
        <v>637.65825101089831</v>
      </c>
      <c r="P57">
        <f>E57+((ABS(G57)/MAX(((G32)+(I32)*(MAX($D$16,(E57)-(K32))))*(MAX($D$16,(E57)-(K32))),0.000001))^2)/(2*$I$5)+((E32)*((((ABS(G57)*$D$6)/(MAX(((F32)+(H32)*(MAX($D$16,(D57)-(J32))))*(MAX($D$16,(D57)-(J32))),0.000001)*MAX(((((F32)+(H32)*(MAX($D$16,(D57)-(J32))))*(MAX($D$16,(D57)-(J32))))/MAX((F32)+2*(MAX($D$16,(D57)-(J32)))*SQRT(1+(H32)^2),0.000001))^(2/3),0.000001)))^2)+(((ABS(G57)*$D$6)/(MAX(((G32)+(I32)*(MAX($D$16,(E57)-(K32))))*(MAX($D$16,(E57)-(K32))),0.000001)*MAX(((((G32)+(I32)*(MAX($D$16,(E57)-(K32))))*(MAX($D$16,(E57)-(K32))))/MAX((G32)+2*(MAX($D$16,(E57)-(K32)))*SQRT(1+(I32)^2),0.000001))^(2/3),0.000001)))^2))/2)+(IF((ABS(G57)/MAX(((G32)+(I32)*(MAX($D$16,(E57)-(K32))))*(MAX($D$16,(E57)-(K32))),0.000001))&gt;(ABS(G57)/MAX(((F32)+(H32)*(MAX($D$16,(D57)-(J32))))*(MAX($D$16,(D57)-(J32))),0.000001)),$D$9*((((ABS(G57)/MAX(((G32)+(I32)*(MAX($D$16,(E57)-(K32))))*(MAX($D$16,(E57)-(K32))),0.000001))^2)/(2*$I$5))-(((ABS(G57)/MAX(((F32)+(H32)*(MAX($D$16,(D57)-(J32))))*(MAX($D$16,(D57)-(J32))),0.000001))^2)/(2*$I$5))),$D$8*((((ABS(G57)/MAX(((F32)+(H32)*(MAX($D$16,(D57)-(J32))))*(MAX($D$16,(D57)-(J32))),0.000001))^2)/(2*$I$5))-(((ABS(G57)/MAX(((G32)+(I32)*(MAX($D$16,(E57)-(K32))))*(MAX($D$16,(E57)-(K32))),0.000001))^2)/(2*$I$5)))))+($D$10*(ABS((X32)-(W32))/90)*MAX(((ABS(G57)/MAX(((F32)+(H32)*(MAX($D$16,(D57)-(J32))))*(MAX($D$16,(D57)-(J32))),0.000001))^2)/(2*$I$5),((ABS(G57)/MAX(((G32)+(I32)*(MAX($D$16,(E57)-(K32))))*(MAX($D$16,(E57)-(K32))),0.000001))^2)/(2*$I$5)))+(($D$11*0.13607488*(ABS(H57)/MAX(ABS(F57),0.000001))^2*MAX(((ABS(G57)/MAX(((F32)+(H32)*(MAX($D$16,(D57)-(J32))))*(MAX($D$16,(D57)-(J32))),0.000001))^2)/(2*$I$5),((ABS(G57)/MAX(((G32)+(I32)*(MAX($D$16,(E57)-(K32))))*(MAX($D$16,(E57)-(K32))),0.000001))^2)/(2*$I$5))))-((ABS(G57)/MAX(((F32)+(H32)*(MAX($D$16,(D57)-(J32))))*(MAX($D$16,(D57)-(J32))),0.000001))^2)/(2*$I$5)</f>
        <v>52432.133719447716</v>
      </c>
      <c r="Q57">
        <f>L57+((ABS(H57)/MAX(((G33)+(I33)*(MAX($D$16,(L57)-(K33))))*(MAX($D$16,(L57)-(K33))),0.000001))^2)/(2*$I$5)+((E33)*((((ABS(H57)*$D$6)/(MAX(((F33)+(H33)*(MAX($D$16,(D57)-(J33))))*(MAX($D$16,(D57)-(J33))),0.000001)*MAX(((((F33)+(H33)*(MAX($D$16,(D57)-(J33))))*(MAX($D$16,(D57)-(J33))))/MAX((F33)+2*(MAX($D$16,(D57)-(J33)))*SQRT(1+(H33)^2),0.000001))^(2/3),0.000001)))^2)+(((ABS(H57)*$D$6)/(MAX(((G33)+(I33)*(MAX($D$16,(L57)-(K33))))*(MAX($D$16,(L57)-(K33))),0.000001)*MAX(((((G33)+(I33)*(MAX($D$16,(L57)-(K33))))*(MAX($D$16,(L57)-(K33))))/MAX((G33)+2*(MAX($D$16,(L57)-(K33)))*SQRT(1+(I33)^2),0.000001))^(2/3),0.000001)))^2))/2)+(IF((ABS(H57)/MAX(((G33)+(I33)*(MAX($D$16,(L57)-(K33))))*(MAX($D$16,(L57)-(K33))),0.000001))&gt;(ABS(H57)/MAX(((F33)+(H33)*(MAX($D$16,(D57)-(J33))))*(MAX($D$16,(D57)-(J33))),0.000001)),$D$9*((((ABS(H57)/MAX(((G33)+(I33)*(MAX($D$16,(L57)-(K33))))*(MAX($D$16,(L57)-(K33))),0.000001))^2)/(2*$I$5))-(((ABS(H57)/MAX(((F33)+(H33)*(MAX($D$16,(D57)-(J33))))*(MAX($D$16,(D57)-(J33))),0.000001))^2)/(2*$I$5))),$D$8*((((ABS(H57)/MAX(((F33)+(H33)*(MAX($D$16,(D57)-(J33))))*(MAX($D$16,(D57)-(J33))),0.000001))^2)/(2*$I$5))-(((ABS(H57)/MAX(((G33)+(I33)*(MAX($D$16,(L57)-(K33))))*(MAX($D$16,(L57)-(K33))),0.000001))^2)/(2*$I$5)))))+($D$10*(ABS((X33)-(W33))/90)*MAX(((ABS(H57)/MAX(((F33)+(H33)*(MAX($D$16,(D57)-(J33))))*(MAX($D$16,(D57)-(J33))),0.000001))^2)/(2*$I$5),((ABS(H57)/MAX(((G33)+(I33)*(MAX($D$16,(L57)-(K33))))*(MAX($D$16,(L57)-(K33))),0.000001))^2)/(2*$I$5)))+(($D$11*0.00000015*(ABS(G57)/MAX(ABS(F57),0.000001))^2*MAX(((ABS(H57)/MAX(((F33)+(H33)*(MAX($D$16,(D57)-(J33))))*(MAX($D$16,(D57)-(J33))),0.000001))^2)/(2*$I$5),((ABS(H57)/MAX(((G33)+(I33)*(MAX($D$16,(L57)-(K33))))*(MAX($D$16,(L57)-(K33))),0.000001))^2)/(2*$I$5))))-((ABS(H57)/MAX(((F33)+(H33)*(MAX($D$16,(D57)-(J33))))*(MAX($D$16,(D57)-(J33))),0.000001))^2)/(2*$I$5)</f>
        <v>634.3119999999999</v>
      </c>
      <c r="R57">
        <f>D57+((ABS(G57)/MAX(((F32)+(H32)*(MAX($D$16,(D57)-(J32))))*(MAX($D$16,(D57)-(J32))),0.000001))^2)/(2*$I$5)-((E32)*((((ABS(G57)*$D$6)/(MAX(((F32)+(H32)*(MAX($D$16,(D57)-(J32))))*(MAX($D$16,(D57)-(J32))),0.000001)*MAX(((((F32)+(H32)*(MAX($D$16,(D57)-(J32))))*(MAX($D$16,(D57)-(J32))))/MAX((F32)+2*(MAX($D$16,(D57)-(J32)))*SQRT(1+(H32)^2),0.000001))^(2/3),0.000001)))^2)+(((ABS(G57)*$D$6)/(MAX(((G32)+(I32)*(MAX($D$16,(E57)-(K32))))*(MAX($D$16,(E57)-(K32))),0.000001)*MAX(((((G32)+(I32)*(MAX($D$16,(E57)-(K32))))*(MAX($D$16,(E57)-(K32))))/MAX((G32)+2*(MAX($D$16,(E57)-(K32)))*SQRT(1+(I32)^2),0.000001))^(2/3),0.000001)))^2))/2)+(IF((ABS(G57)/MAX(((G32)+(I32)*(MAX($D$16,(E57)-(K32))))*(MAX($D$16,(E57)-(K32))),0.000001))&gt;(ABS(G57)/MAX(((F32)+(H32)*(MAX($D$16,(D57)-(J32))))*(MAX($D$16,(D57)-(J32))),0.000001)),$D$9*((((ABS(G57)/MAX(((G32)+(I32)*(MAX($D$16,(E57)-(K32))))*(MAX($D$16,(E57)-(K32))),0.000001))^2)/(2*$I$5))-(((ABS(G57)/MAX(((F32)+(H32)*(MAX($D$16,(D57)-(J32))))*(MAX($D$16,(D57)-(J32))),0.000001))^2)/(2*$I$5))),$D$8*((((ABS(G57)/MAX(((F32)+(H32)*(MAX($D$16,(D57)-(J32))))*(MAX($D$16,(D57)-(J32))),0.000001))^2)/(2*$I$5))-(((ABS(G57)/MAX(((G32)+(I32)*(MAX($D$16,(E57)-(K32))))*(MAX($D$16,(E57)-(K32))),0.000001))^2)/(2*$I$5)))))+($D$10*(ABS((X32)-(W32))/90)*MAX(((ABS(G57)/MAX(((F32)+(H32)*(MAX($D$16,(D57)-(J32))))*(MAX($D$16,(D57)-(J32))),0.000001))^2)/(2*$I$5),((ABS(G57)/MAX(((G32)+(I32)*(MAX($D$16,(E57)-(K32))))*(MAX($D$16,(E57)-(K32))),0.000001))^2)/(2*$I$5)))+(($D$11*0.13607488*(ABS(H57)/MAX(ABS(F57),0.000001))^2*MAX(((ABS(G57)/MAX(((F32)+(H32)*(MAX($D$16,(D57)-(J32))))*(MAX($D$16,(D57)-(J32))),0.000001))^2)/(2*$I$5),((ABS(G57)/MAX(((G32)+(I32)*(MAX($D$16,(E57)-(K32))))*(MAX($D$16,(E57)-(K32))),0.000001))^2)/(2*$I$5))))-((ABS(G57)/MAX(((G32)+(I32)*(MAX($D$16,(E57)-(K32))))*(MAX($D$16,(E57)-(K32))),0.000001))^2)/(2*$I$5)</f>
        <v>52432.149955864508</v>
      </c>
      <c r="S57">
        <f>M57+((ABS(I57)/MAX(((G34)+(I34)*(MAX($D$16,(M57)-(K34))))*(MAX($D$16,(M57)-(K34))),0.000001))^2)/(2*$I$5)+((E34)*((((ABS(I57)*$D$6)/(MAX(((F34)+(H34)*(MAX($D$16,(E57)-(J34))))*(MAX($D$16,(E57)-(J34))),0.000001)*MAX(((((F34)+(H34)*(MAX($D$16,(E57)-(J34))))*(MAX($D$16,(E57)-(J34))))/MAX((F34)+2*(MAX($D$16,(E57)-(J34)))*SQRT(1+(H34)^2),0.000001))^(2/3),0.000001)))^2)+(((ABS(I57)*$D$6)/(MAX(((G34)+(I34)*(MAX($D$16,(M57)-(K34))))*(MAX($D$16,(M57)-(K34))),0.000001)*MAX(((((G34)+(I34)*(MAX($D$16,(M57)-(K34))))*(MAX($D$16,(M57)-(K34))))/MAX((G34)+2*(MAX($D$16,(M57)-(K34)))*SQRT(1+(I34)^2),0.000001))^(2/3),0.000001)))^2))/2)+(IF((ABS(I57)/MAX(((G34)+(I34)*(MAX($D$16,(M57)-(K34))))*(MAX($D$16,(M57)-(K34))),0.000001))&gt;(ABS(I57)/MAX(((F34)+(H34)*(MAX($D$16,(E57)-(J34))))*(MAX($D$16,(E57)-(J34))),0.000001)),$D$9*((((ABS(I57)/MAX(((G34)+(I34)*(MAX($D$16,(M57)-(K34))))*(MAX($D$16,(M57)-(K34))),0.000001))^2)/(2*$I$5))-(((ABS(I57)/MAX(((F34)+(H34)*(MAX($D$16,(E57)-(J34))))*(MAX($D$16,(E57)-(J34))),0.000001))^2)/(2*$I$5))),$D$8*((((ABS(I57)/MAX(((F34)+(H34)*(MAX($D$16,(E57)-(J34))))*(MAX($D$16,(E57)-(J34))),0.000001))^2)/(2*$I$5))-(((ABS(I57)/MAX(((G34)+(I34)*(MAX($D$16,(M57)-(K34))))*(MAX($D$16,(M57)-(K34))),0.000001))^2)/(2*$I$5)))))+($D$10*(ABS((X34)-(W34))/90)*MAX(((ABS(I57)/MAX(((F34)+(H34)*(MAX($D$16,(E57)-(J34))))*(MAX($D$16,(E57)-(J34))),0.000001))^2)/(2*$I$5),((ABS(I57)/MAX(((G34)+(I34)*(MAX($D$16,(M57)-(K34))))*(MAX($D$16,(M57)-(K34))),0.000001))^2)/(2*$I$5)))+(0)-((ABS(I57)/MAX(((F34)+(H34)*(MAX($D$16,(E57)-(J34))))*(MAX($D$16,(E57)-(J34))),0.000001))^2)/(2*$I$5)</f>
        <v>635.5</v>
      </c>
      <c r="T57">
        <f>N57+((ABS(J57)/MAX(((G35)+(I35)*(MAX($D$16,(N57)-(K35))))*(MAX($D$16,(N57)-(K35))),0.000001))^2)/(2*$I$5)+((E35)*((((ABS(J57)*$D$6)/(MAX(((F35)+(H35)*(MAX($D$16,(E57)-(J35))))*(MAX($D$16,(E57)-(J35))),0.000001)*MAX(((((F35)+(H35)*(MAX($D$16,(E57)-(J35))))*(MAX($D$16,(E57)-(J35))))/MAX((F35)+2*(MAX($D$16,(E57)-(J35)))*SQRT(1+(H35)^2),0.000001))^(2/3),0.000001)))^2)+(((ABS(J57)*$D$6)/(MAX(((G35)+(I35)*(MAX($D$16,(N57)-(K35))))*(MAX($D$16,(N57)-(K35))),0.000001)*MAX(((((G35)+(I35)*(MAX($D$16,(N57)-(K35))))*(MAX($D$16,(N57)-(K35))))/MAX((G35)+2*(MAX($D$16,(N57)-(K35)))*SQRT(1+(I35)^2),0.000001))^(2/3),0.000001)))^2))/2)+(IF((ABS(J57)/MAX(((G35)+(I35)*(MAX($D$16,(N57)-(K35))))*(MAX($D$16,(N57)-(K35))),0.000001))&gt;(ABS(J57)/MAX(((F35)+(H35)*(MAX($D$16,(E57)-(J35))))*(MAX($D$16,(E57)-(J35))),0.000001)),$D$9*((((ABS(J57)/MAX(((G35)+(I35)*(MAX($D$16,(N57)-(K35))))*(MAX($D$16,(N57)-(K35))),0.000001))^2)/(2*$I$5))-(((ABS(J57)/MAX(((F35)+(H35)*(MAX($D$16,(E57)-(J35))))*(MAX($D$16,(E57)-(J35))),0.000001))^2)/(2*$I$5))),$D$8*((((ABS(J57)/MAX(((F35)+(H35)*(MAX($D$16,(E57)-(J35))))*(MAX($D$16,(E57)-(J35))),0.000001))^2)/(2*$I$5))-(((ABS(J57)/MAX(((G35)+(I35)*(MAX($D$16,(N57)-(K35))))*(MAX($D$16,(N57)-(K35))),0.000001))^2)/(2*$I$5)))))+($D$10*(ABS((X35)-(W35))/90)*MAX(((ABS(J57)/MAX(((F35)+(H35)*(MAX($D$16,(E57)-(J35))))*(MAX($D$16,(E57)-(J35))),0.000001))^2)/(2*$I$5),((ABS(J57)/MAX(((G35)+(I35)*(MAX($D$16,(N57)-(K35))))*(MAX($D$16,(N57)-(K35))),0.000001))^2)/(2*$I$5)))+(($D$11*0.34699541*(ABS(I57)/MAX(ABS(G57),0.000001))^2*MAX(((ABS(J57)/MAX(((F35)+(H35)*(MAX($D$16,(E57)-(J35))))*(MAX($D$16,(E57)-(J35))),0.000001))^2)/(2*$I$5),((ABS(J57)/MAX(((G35)+(I35)*(MAX($D$16,(N57)-(K35))))*(MAX($D$16,(N57)-(K35))),0.000001))^2)/(2*$I$5))))-((ABS(J57)/MAX(((F35)+(H35)*(MAX($D$16,(E57)-(J35))))*(MAX($D$16,(E57)-(J35))),0.000001))^2)/(2*$I$5)</f>
        <v>20784.033523923383</v>
      </c>
      <c r="U57">
        <f>(((((F32)*(MAX($D$16,(D57)-(J32)))^2)/2+(H32)*(MAX($D$16,(D57)-(J32)))^3/3+(ABS(G57)^2)/($I$5*MAX(((F32)+(H32)*(MAX($D$16,(D57)-(J32))))*(MAX($D$16,(D57)-(J32))),0.000001)))*0.72785025)-((((F33)*(MAX($D$16,(D57)-(J33)))^2)/2+(H33)*(MAX($D$16,(D57)-(J33)))^3/3+(ABS(H57)^2)/($I$5*MAX(((F33)+(H33)*(MAX($D$16,(D57)-(J33))))*(MAX($D$16,(D57)-(J33))),0.000001)))*0.99999971))/MAX(((G31)*(MAX($D$16,(D57)-(K31)))^2)/2+(I31)*(MAX($D$16,(D57)-(K31)))^3/3+(ABS(F57)^2)/($I$5*MAX(((G31)+(I31)*(MAX($D$16,(D57)-(K31))))*(MAX($D$16,(D57)-(K31))),0.000001)),0.000001)</f>
        <v>-0.27214945999991125</v>
      </c>
      <c r="V57">
        <f>(((((F34)*(MAX($D$16,(E57)-(J34)))^2)/2+(H34)*(MAX($D$16,(E57)-(J34)))^3/3+(ABS(I57)^2)/($I$5*MAX(((F34)+(H34)*(MAX($D$16,(E57)-(J34))))*(MAX($D$16,(E57)-(J34))),0.000001)))*1)-((((F35)*(MAX($D$16,(E57)-(J35)))^2)/2+(H35)*(MAX($D$16,(E57)-(J35)))^3/3+(ABS(J57)^2)/($I$5*MAX(((F35)+(H35)*(MAX($D$16,(E57)-(J35))))*(MAX($D$16,(E57)-(J35))),0.000001)))*0.30600918))/MAX(((G32)*(MAX($D$16,(E57)-(K32)))^2)/2+(I32)*(MAX($D$16,(E57)-(K32)))^3/3+(ABS(G57)^2)/($I$5*MAX(((G32)+(I32)*(MAX($D$16,(E57)-(K32))))*(MAX($D$16,(E57)-(K32))),0.000001)),0.000001)</f>
        <v>0.69398638937120949</v>
      </c>
      <c r="W57">
        <f>IF(N6="None",ABS(P57-D57),MAX(ABS(P57-D57),ABS(Q57-D57)))</f>
        <v>1.623641666083131E-2</v>
      </c>
      <c r="X57">
        <f>IF(AND(N7="None",N8="None"),0,IF(N8="None",ABS(S57-E57),IF(N7="None",ABS(T57-E57),MAX(ABS(S57-E57),ABS(T57-E57)))))</f>
        <v>51796.633719447163</v>
      </c>
      <c r="AA57">
        <f t="shared" si="3"/>
        <v>52432.144273118545</v>
      </c>
      <c r="AB57">
        <f t="shared" si="4"/>
        <v>41355.298651013843</v>
      </c>
      <c r="AC57">
        <f>IF(N6="None",P57,MAX(P57,Q57))</f>
        <v>52432.133719447716</v>
      </c>
      <c r="AD57">
        <f>IF(AND(N7="None",N8="None"),E57,IF(N8="None",S57,IF(N7="None",T57,MAX(S57,T57))))</f>
        <v>20784.033523923383</v>
      </c>
      <c r="AE57">
        <f t="shared" si="5"/>
        <v>637.65825101089831</v>
      </c>
      <c r="AF57">
        <f t="shared" si="6"/>
        <v>52432.149955864508</v>
      </c>
      <c r="AG57">
        <f>((G31)*(MAX($D$16,(AC57)-(K31)))^2)/2+(I31)*(MAX($D$16,(AC57)-(K31)))^3/3+(ABS(F57)^2)/($I$5*MAX(((G31)+(I31)*(MAX($D$16,(AC57)-(K31))))*(MAX($D$16,(AC57)-(K31))),0.000001))</f>
        <v>8797608759.733532</v>
      </c>
      <c r="AH57">
        <f>((G31)*(MAX($D$16,(AE57)-(K31)))^2)/2+(I31)*(MAX($D$16,(AE57)-(K31)))^3/3+(ABS(F57)^2)/($I$5*MAX(((G31)+(I31)*(MAX($D$16,(AE57)-(K31))))*(MAX($D$16,(AE57)-(K31))),0.000001))</f>
        <v>49.055863329575246</v>
      </c>
      <c r="AI57">
        <f>((G32)*(MAX($D$16,(AD57)-(K32)))^2)/2+(I32)*(MAX($D$16,(AD57)-(K32)))^3/3+(ABS(G57)^2)/($I$5*MAX(((G32)+(I32)*(MAX($D$16,(AD57)-(K32))))*(MAX($D$16,(AD57)-(K32))),0.000001))</f>
        <v>2072376743.6648321</v>
      </c>
      <c r="AJ57">
        <f>((G32)*(MAX($D$16,(AF57)-(K32)))^2)/2+(I32)*(MAX($D$16,(AF57)-(K32)))^3/3+(ABS(G57)^2)/($I$5*MAX(((G32)+(I32)*(MAX($D$16,(AF57)-(K32))))*(MAX($D$16,(AF57)-(K32))),0.000001))</f>
        <v>13692719081.523146</v>
      </c>
      <c r="AK57" t="str">
        <f t="shared" si="7"/>
        <v>Subcritical</v>
      </c>
      <c r="AL57" t="str">
        <f t="shared" si="8"/>
        <v>Supercritical</v>
      </c>
      <c r="AM57">
        <f t="shared" si="9"/>
        <v>52432.144273118545</v>
      </c>
      <c r="AN57">
        <f t="shared" si="10"/>
        <v>52432.139402193236</v>
      </c>
      <c r="AO57">
        <f t="shared" si="11"/>
        <v>1.623641666083131E-2</v>
      </c>
      <c r="AP57">
        <f t="shared" si="12"/>
        <v>1.6236417344771326E-2</v>
      </c>
    </row>
    <row r="58" spans="1:42" x14ac:dyDescent="0.35">
      <c r="A58">
        <v>15</v>
      </c>
      <c r="B58">
        <f t="shared" si="13"/>
        <v>0</v>
      </c>
      <c r="C58">
        <f t="shared" si="14"/>
        <v>0</v>
      </c>
      <c r="D58">
        <f t="shared" si="15"/>
        <v>52432.144273118545</v>
      </c>
      <c r="E58">
        <f t="shared" si="16"/>
        <v>52432.139402193236</v>
      </c>
      <c r="F58">
        <f t="shared" si="2"/>
        <v>51</v>
      </c>
      <c r="G58">
        <f>IF(N6="None",F58,MAX(0,F58*B58))</f>
        <v>51</v>
      </c>
      <c r="H58">
        <f>IF(N6="None",0,MAX(0,F58-G58))</f>
        <v>0</v>
      </c>
      <c r="I58">
        <f>IF(AND(N7="None",N8="None"),0,IF(N8="None",G58,IF(N7="None",0,MAX(0,G58*C58))))</f>
        <v>0</v>
      </c>
      <c r="J58">
        <f>IF(AND(N7="None",N8="None"),0,IF(N8="None",0,IF(N7="None",G58,MAX(0,G58-I58))))</f>
        <v>51</v>
      </c>
      <c r="K58">
        <f>P5</f>
        <v>637</v>
      </c>
      <c r="L58">
        <f>P6</f>
        <v>634.3119999999999</v>
      </c>
      <c r="M58">
        <f>P7</f>
        <v>635.5</v>
      </c>
      <c r="N58">
        <f>P8</f>
        <v>631.54999999999995</v>
      </c>
      <c r="O58">
        <f>K58+((ABS(F58)/MAX(((F31)+(H31)*(MAX($D$16,(K58)-(J31))))*(MAX($D$16,(K58)-(J31))),0.000001))^2)/(2*$I$5)-((E31)*((((ABS(F58)*$D$6)/(MAX(((F31)+(H31)*(MAX($D$16,(K58)-(J31))))*(MAX($D$16,(K58)-(J31))),0.000001)*MAX(((((F31)+(H31)*(MAX($D$16,(K58)-(J31))))*(MAX($D$16,(K58)-(J31))))/MAX((F31)+2*(MAX($D$16,(K58)-(J31)))*SQRT(1+(H31)^2),0.000001))^(2/3),0.000001)))^2)+(((ABS(F58)*$D$6)/(MAX(((G31)+(I31)*(MAX($D$16,(D58)-(K31))))*(MAX($D$16,(D58)-(K31))),0.000001)*MAX(((((G31)+(I31)*(MAX($D$16,(D58)-(K31))))*(MAX($D$16,(D58)-(K31))))/MAX((G31)+2*(MAX($D$16,(D58)-(K31)))*SQRT(1+(I31)^2),0.000001))^(2/3),0.000001)))^2))/2)+(IF((ABS(F58)/MAX(((G31)+(I31)*(MAX($D$16,(D58)-(K31))))*(MAX($D$16,(D58)-(K31))),0.000001))&gt;(ABS(F58)/MAX(((F31)+(H31)*(MAX($D$16,(K58)-(J31))))*(MAX($D$16,(K58)-(J31))),0.000001)),$D$9*((((ABS(F58)/MAX(((G31)+(I31)*(MAX($D$16,(D58)-(K31))))*(MAX($D$16,(D58)-(K31))),0.000001))^2)/(2*$I$5))-(((ABS(F58)/MAX(((F31)+(H31)*(MAX($D$16,(K58)-(J31))))*(MAX($D$16,(K58)-(J31))),0.000001))^2)/(2*$I$5))),$D$8*((((ABS(F58)/MAX(((F31)+(H31)*(MAX($D$16,(K58)-(J31))))*(MAX($D$16,(K58)-(J31))),0.000001))^2)/(2*$I$5))-(((ABS(F58)/MAX(((G31)+(I31)*(MAX($D$16,(D58)-(K31))))*(MAX($D$16,(D58)-(K31))),0.000001))^2)/(2*$I$5)))))+($D$10*(ABS((X31)-(W31))/90)*MAX(((ABS(F58)/MAX(((F31)+(H31)*(MAX($D$16,(K58)-(J31))))*(MAX($D$16,(K58)-(J31))),0.000001))^2)/(2*$I$5),((ABS(F58)/MAX(((G31)+(I31)*(MAX($D$16,(D58)-(K31))))*(MAX($D$16,(D58)-(K31))),0.000001))^2)/(2*$I$5)))+(0)-((ABS(F58)/MAX(((G31)+(I31)*(MAX($D$16,(D58)-(K31))))*(MAX($D$16,(D58)-(K31))),0.000001))^2)/(2*$I$5)</f>
        <v>637.65825101089831</v>
      </c>
      <c r="P58">
        <f>E58+((ABS(G58)/MAX(((G32)+(I32)*(MAX($D$16,(E58)-(K32))))*(MAX($D$16,(E58)-(K32))),0.000001))^2)/(2*$I$5)+((E32)*((((ABS(G58)*$D$6)/(MAX(((F32)+(H32)*(MAX($D$16,(D58)-(J32))))*(MAX($D$16,(D58)-(J32))),0.000001)*MAX(((((F32)+(H32)*(MAX($D$16,(D58)-(J32))))*(MAX($D$16,(D58)-(J32))))/MAX((F32)+2*(MAX($D$16,(D58)-(J32)))*SQRT(1+(H32)^2),0.000001))^(2/3),0.000001)))^2)+(((ABS(G58)*$D$6)/(MAX(((G32)+(I32)*(MAX($D$16,(E58)-(K32))))*(MAX($D$16,(E58)-(K32))),0.000001)*MAX(((((G32)+(I32)*(MAX($D$16,(E58)-(K32))))*(MAX($D$16,(E58)-(K32))))/MAX((G32)+2*(MAX($D$16,(E58)-(K32)))*SQRT(1+(I32)^2),0.000001))^(2/3),0.000001)))^2))/2)+(IF((ABS(G58)/MAX(((G32)+(I32)*(MAX($D$16,(E58)-(K32))))*(MAX($D$16,(E58)-(K32))),0.000001))&gt;(ABS(G58)/MAX(((F32)+(H32)*(MAX($D$16,(D58)-(J32))))*(MAX($D$16,(D58)-(J32))),0.000001)),$D$9*((((ABS(G58)/MAX(((G32)+(I32)*(MAX($D$16,(E58)-(K32))))*(MAX($D$16,(E58)-(K32))),0.000001))^2)/(2*$I$5))-(((ABS(G58)/MAX(((F32)+(H32)*(MAX($D$16,(D58)-(J32))))*(MAX($D$16,(D58)-(J32))),0.000001))^2)/(2*$I$5))),$D$8*((((ABS(G58)/MAX(((F32)+(H32)*(MAX($D$16,(D58)-(J32))))*(MAX($D$16,(D58)-(J32))),0.000001))^2)/(2*$I$5))-(((ABS(G58)/MAX(((G32)+(I32)*(MAX($D$16,(E58)-(K32))))*(MAX($D$16,(E58)-(K32))),0.000001))^2)/(2*$I$5)))))+($D$10*(ABS((X32)-(W32))/90)*MAX(((ABS(G58)/MAX(((F32)+(H32)*(MAX($D$16,(D58)-(J32))))*(MAX($D$16,(D58)-(J32))),0.000001))^2)/(2*$I$5),((ABS(G58)/MAX(((G32)+(I32)*(MAX($D$16,(E58)-(K32))))*(MAX($D$16,(E58)-(K32))),0.000001))^2)/(2*$I$5)))+(($D$11*0.13607488*(ABS(H58)/MAX(ABS(F58),0.000001))^2*MAX(((ABS(G58)/MAX(((F32)+(H32)*(MAX($D$16,(D58)-(J32))))*(MAX($D$16,(D58)-(J32))),0.000001))^2)/(2*$I$5),((ABS(G58)/MAX(((G32)+(I32)*(MAX($D$16,(E58)-(K32))))*(MAX($D$16,(E58)-(K32))),0.000001))^2)/(2*$I$5))))-((ABS(G58)/MAX(((F32)+(H32)*(MAX($D$16,(D58)-(J32))))*(MAX($D$16,(D58)-(J32))),0.000001))^2)/(2*$I$5)</f>
        <v>52432.139402193789</v>
      </c>
      <c r="Q58">
        <f>L58+((ABS(H58)/MAX(((G33)+(I33)*(MAX($D$16,(L58)-(K33))))*(MAX($D$16,(L58)-(K33))),0.000001))^2)/(2*$I$5)+((E33)*((((ABS(H58)*$D$6)/(MAX(((F33)+(H33)*(MAX($D$16,(D58)-(J33))))*(MAX($D$16,(D58)-(J33))),0.000001)*MAX(((((F33)+(H33)*(MAX($D$16,(D58)-(J33))))*(MAX($D$16,(D58)-(J33))))/MAX((F33)+2*(MAX($D$16,(D58)-(J33)))*SQRT(1+(H33)^2),0.000001))^(2/3),0.000001)))^2)+(((ABS(H58)*$D$6)/(MAX(((G33)+(I33)*(MAX($D$16,(L58)-(K33))))*(MAX($D$16,(L58)-(K33))),0.000001)*MAX(((((G33)+(I33)*(MAX($D$16,(L58)-(K33))))*(MAX($D$16,(L58)-(K33))))/MAX((G33)+2*(MAX($D$16,(L58)-(K33)))*SQRT(1+(I33)^2),0.000001))^(2/3),0.000001)))^2))/2)+(IF((ABS(H58)/MAX(((G33)+(I33)*(MAX($D$16,(L58)-(K33))))*(MAX($D$16,(L58)-(K33))),0.000001))&gt;(ABS(H58)/MAX(((F33)+(H33)*(MAX($D$16,(D58)-(J33))))*(MAX($D$16,(D58)-(J33))),0.000001)),$D$9*((((ABS(H58)/MAX(((G33)+(I33)*(MAX($D$16,(L58)-(K33))))*(MAX($D$16,(L58)-(K33))),0.000001))^2)/(2*$I$5))-(((ABS(H58)/MAX(((F33)+(H33)*(MAX($D$16,(D58)-(J33))))*(MAX($D$16,(D58)-(J33))),0.000001))^2)/(2*$I$5))),$D$8*((((ABS(H58)/MAX(((F33)+(H33)*(MAX($D$16,(D58)-(J33))))*(MAX($D$16,(D58)-(J33))),0.000001))^2)/(2*$I$5))-(((ABS(H58)/MAX(((G33)+(I33)*(MAX($D$16,(L58)-(K33))))*(MAX($D$16,(L58)-(K33))),0.000001))^2)/(2*$I$5)))))+($D$10*(ABS((X33)-(W33))/90)*MAX(((ABS(H58)/MAX(((F33)+(H33)*(MAX($D$16,(D58)-(J33))))*(MAX($D$16,(D58)-(J33))),0.000001))^2)/(2*$I$5),((ABS(H58)/MAX(((G33)+(I33)*(MAX($D$16,(L58)-(K33))))*(MAX($D$16,(L58)-(K33))),0.000001))^2)/(2*$I$5)))+(($D$11*0.00000015*(ABS(G58)/MAX(ABS(F58),0.000001))^2*MAX(((ABS(H58)/MAX(((F33)+(H33)*(MAX($D$16,(D58)-(J33))))*(MAX($D$16,(D58)-(J33))),0.000001))^2)/(2*$I$5),((ABS(H58)/MAX(((G33)+(I33)*(MAX($D$16,(L58)-(K33))))*(MAX($D$16,(L58)-(K33))),0.000001))^2)/(2*$I$5))))-((ABS(H58)/MAX(((F33)+(H33)*(MAX($D$16,(D58)-(J33))))*(MAX($D$16,(D58)-(J33))),0.000001))^2)/(2*$I$5)</f>
        <v>634.3119999999999</v>
      </c>
      <c r="R58">
        <f>D58+((ABS(G58)/MAX(((F32)+(H32)*(MAX($D$16,(D58)-(J32))))*(MAX($D$16,(D58)-(J32))),0.000001))^2)/(2*$I$5)-((E32)*((((ABS(G58)*$D$6)/(MAX(((F32)+(H32)*(MAX($D$16,(D58)-(J32))))*(MAX($D$16,(D58)-(J32))),0.000001)*MAX(((((F32)+(H32)*(MAX($D$16,(D58)-(J32))))*(MAX($D$16,(D58)-(J32))))/MAX((F32)+2*(MAX($D$16,(D58)-(J32)))*SQRT(1+(H32)^2),0.000001))^(2/3),0.000001)))^2)+(((ABS(G58)*$D$6)/(MAX(((G32)+(I32)*(MAX($D$16,(E58)-(K32))))*(MAX($D$16,(E58)-(K32))),0.000001)*MAX(((((G32)+(I32)*(MAX($D$16,(E58)-(K32))))*(MAX($D$16,(E58)-(K32))))/MAX((G32)+2*(MAX($D$16,(E58)-(K32)))*SQRT(1+(I32)^2),0.000001))^(2/3),0.000001)))^2))/2)+(IF((ABS(G58)/MAX(((G32)+(I32)*(MAX($D$16,(E58)-(K32))))*(MAX($D$16,(E58)-(K32))),0.000001))&gt;(ABS(G58)/MAX(((F32)+(H32)*(MAX($D$16,(D58)-(J32))))*(MAX($D$16,(D58)-(J32))),0.000001)),$D$9*((((ABS(G58)/MAX(((G32)+(I32)*(MAX($D$16,(E58)-(K32))))*(MAX($D$16,(E58)-(K32))),0.000001))^2)/(2*$I$5))-(((ABS(G58)/MAX(((F32)+(H32)*(MAX($D$16,(D58)-(J32))))*(MAX($D$16,(D58)-(J32))),0.000001))^2)/(2*$I$5))),$D$8*((((ABS(G58)/MAX(((F32)+(H32)*(MAX($D$16,(D58)-(J32))))*(MAX($D$16,(D58)-(J32))),0.000001))^2)/(2*$I$5))-(((ABS(G58)/MAX(((G32)+(I32)*(MAX($D$16,(E58)-(K32))))*(MAX($D$16,(E58)-(K32))),0.000001))^2)/(2*$I$5)))))+($D$10*(ABS((X32)-(W32))/90)*MAX(((ABS(G58)/MAX(((F32)+(H32)*(MAX($D$16,(D58)-(J32))))*(MAX($D$16,(D58)-(J32))),0.000001))^2)/(2*$I$5),((ABS(G58)/MAX(((G32)+(I32)*(MAX($D$16,(E58)-(K32))))*(MAX($D$16,(E58)-(K32))),0.000001))^2)/(2*$I$5)))+(($D$11*0.13607488*(ABS(H58)/MAX(ABS(F58),0.000001))^2*MAX(((ABS(G58)/MAX(((F32)+(H32)*(MAX($D$16,(D58)-(J32))))*(MAX($D$16,(D58)-(J32))),0.000001))^2)/(2*$I$5),((ABS(G58)/MAX(((G32)+(I32)*(MAX($D$16,(E58)-(K32))))*(MAX($D$16,(E58)-(K32))),0.000001))^2)/(2*$I$5))))-((ABS(G58)/MAX(((G32)+(I32)*(MAX($D$16,(E58)-(K32))))*(MAX($D$16,(E58)-(K32))),0.000001))^2)/(2*$I$5)</f>
        <v>52432.144273118676</v>
      </c>
      <c r="S58">
        <f>M58+((ABS(I58)/MAX(((G34)+(I34)*(MAX($D$16,(M58)-(K34))))*(MAX($D$16,(M58)-(K34))),0.000001))^2)/(2*$I$5)+((E34)*((((ABS(I58)*$D$6)/(MAX(((F34)+(H34)*(MAX($D$16,(E58)-(J34))))*(MAX($D$16,(E58)-(J34))),0.000001)*MAX(((((F34)+(H34)*(MAX($D$16,(E58)-(J34))))*(MAX($D$16,(E58)-(J34))))/MAX((F34)+2*(MAX($D$16,(E58)-(J34)))*SQRT(1+(H34)^2),0.000001))^(2/3),0.000001)))^2)+(((ABS(I58)*$D$6)/(MAX(((G34)+(I34)*(MAX($D$16,(M58)-(K34))))*(MAX($D$16,(M58)-(K34))),0.000001)*MAX(((((G34)+(I34)*(MAX($D$16,(M58)-(K34))))*(MAX($D$16,(M58)-(K34))))/MAX((G34)+2*(MAX($D$16,(M58)-(K34)))*SQRT(1+(I34)^2),0.000001))^(2/3),0.000001)))^2))/2)+(IF((ABS(I58)/MAX(((G34)+(I34)*(MAX($D$16,(M58)-(K34))))*(MAX($D$16,(M58)-(K34))),0.000001))&gt;(ABS(I58)/MAX(((F34)+(H34)*(MAX($D$16,(E58)-(J34))))*(MAX($D$16,(E58)-(J34))),0.000001)),$D$9*((((ABS(I58)/MAX(((G34)+(I34)*(MAX($D$16,(M58)-(K34))))*(MAX($D$16,(M58)-(K34))),0.000001))^2)/(2*$I$5))-(((ABS(I58)/MAX(((F34)+(H34)*(MAX($D$16,(E58)-(J34))))*(MAX($D$16,(E58)-(J34))),0.000001))^2)/(2*$I$5))),$D$8*((((ABS(I58)/MAX(((F34)+(H34)*(MAX($D$16,(E58)-(J34))))*(MAX($D$16,(E58)-(J34))),0.000001))^2)/(2*$I$5))-(((ABS(I58)/MAX(((G34)+(I34)*(MAX($D$16,(M58)-(K34))))*(MAX($D$16,(M58)-(K34))),0.000001))^2)/(2*$I$5)))))+($D$10*(ABS((X34)-(W34))/90)*MAX(((ABS(I58)/MAX(((F34)+(H34)*(MAX($D$16,(E58)-(J34))))*(MAX($D$16,(E58)-(J34))),0.000001))^2)/(2*$I$5),((ABS(I58)/MAX(((G34)+(I34)*(MAX($D$16,(M58)-(K34))))*(MAX($D$16,(M58)-(K34))),0.000001))^2)/(2*$I$5)))+(0)-((ABS(I58)/MAX(((F34)+(H34)*(MAX($D$16,(E58)-(J34))))*(MAX($D$16,(E58)-(J34))),0.000001))^2)/(2*$I$5)</f>
        <v>635.5</v>
      </c>
      <c r="T58">
        <f>N58+((ABS(J58)/MAX(((G35)+(I35)*(MAX($D$16,(N58)-(K35))))*(MAX($D$16,(N58)-(K35))),0.000001))^2)/(2*$I$5)+((E35)*((((ABS(J58)*$D$6)/(MAX(((F35)+(H35)*(MAX($D$16,(E58)-(J35))))*(MAX($D$16,(E58)-(J35))),0.000001)*MAX(((((F35)+(H35)*(MAX($D$16,(E58)-(J35))))*(MAX($D$16,(E58)-(J35))))/MAX((F35)+2*(MAX($D$16,(E58)-(J35)))*SQRT(1+(H35)^2),0.000001))^(2/3),0.000001)))^2)+(((ABS(J58)*$D$6)/(MAX(((G35)+(I35)*(MAX($D$16,(N58)-(K35))))*(MAX($D$16,(N58)-(K35))),0.000001)*MAX(((((G35)+(I35)*(MAX($D$16,(N58)-(K35))))*(MAX($D$16,(N58)-(K35))))/MAX((G35)+2*(MAX($D$16,(N58)-(K35)))*SQRT(1+(I35)^2),0.000001))^(2/3),0.000001)))^2))/2)+(IF((ABS(J58)/MAX(((G35)+(I35)*(MAX($D$16,(N58)-(K35))))*(MAX($D$16,(N58)-(K35))),0.000001))&gt;(ABS(J58)/MAX(((F35)+(H35)*(MAX($D$16,(E58)-(J35))))*(MAX($D$16,(E58)-(J35))),0.000001)),$D$9*((((ABS(J58)/MAX(((G35)+(I35)*(MAX($D$16,(N58)-(K35))))*(MAX($D$16,(N58)-(K35))),0.000001))^2)/(2*$I$5))-(((ABS(J58)/MAX(((F35)+(H35)*(MAX($D$16,(E58)-(J35))))*(MAX($D$16,(E58)-(J35))),0.000001))^2)/(2*$I$5))),$D$8*((((ABS(J58)/MAX(((F35)+(H35)*(MAX($D$16,(E58)-(J35))))*(MAX($D$16,(E58)-(J35))),0.000001))^2)/(2*$I$5))-(((ABS(J58)/MAX(((G35)+(I35)*(MAX($D$16,(N58)-(K35))))*(MAX($D$16,(N58)-(K35))),0.000001))^2)/(2*$I$5)))))+($D$10*(ABS((X35)-(W35))/90)*MAX(((ABS(J58)/MAX(((F35)+(H35)*(MAX($D$16,(E58)-(J35))))*(MAX($D$16,(E58)-(J35))),0.000001))^2)/(2*$I$5),((ABS(J58)/MAX(((G35)+(I35)*(MAX($D$16,(N58)-(K35))))*(MAX($D$16,(N58)-(K35))),0.000001))^2)/(2*$I$5)))+(($D$11*0.34699541*(ABS(I58)/MAX(ABS(G58),0.000001))^2*MAX(((ABS(J58)/MAX(((F35)+(H35)*(MAX($D$16,(E58)-(J35))))*(MAX($D$16,(E58)-(J35))),0.000001))^2)/(2*$I$5),((ABS(J58)/MAX(((G35)+(I35)*(MAX($D$16,(N58)-(K35))))*(MAX($D$16,(N58)-(K35))),0.000001))^2)/(2*$I$5))))-((ABS(J58)/MAX(((F35)+(H35)*(MAX($D$16,(E58)-(J35))))*(MAX($D$16,(E58)-(J35))),0.000001))^2)/(2*$I$5)</f>
        <v>20784.033523923383</v>
      </c>
      <c r="U58">
        <f>(((((F32)*(MAX($D$16,(D58)-(J32)))^2)/2+(H32)*(MAX($D$16,(D58)-(J32)))^3/3+(ABS(G58)^2)/($I$5*MAX(((F32)+(H32)*(MAX($D$16,(D58)-(J32))))*(MAX($D$16,(D58)-(J32))),0.000001)))*0.72785025)-((((F33)*(MAX($D$16,(D58)-(J33)))^2)/2+(H33)*(MAX($D$16,(D58)-(J33)))^3/3+(ABS(H58)^2)/($I$5*MAX(((F33)+(H33)*(MAX($D$16,(D58)-(J33))))*(MAX($D$16,(D58)-(J33))),0.000001)))*0.99999971))/MAX(((G31)*(MAX($D$16,(D58)-(K31)))^2)/2+(I31)*(MAX($D$16,(D58)-(K31)))^3/3+(ABS(F58)^2)/($I$5*MAX(((G31)+(I31)*(MAX($D$16,(D58)-(K31))))*(MAX($D$16,(D58)-(K31))),0.000001)),0.000001)</f>
        <v>-0.27214945999991119</v>
      </c>
      <c r="V58">
        <f>(((((F34)*(MAX($D$16,(E58)-(J34)))^2)/2+(H34)*(MAX($D$16,(E58)-(J34)))^3/3+(ABS(I58)^2)/($I$5*MAX(((F34)+(H34)*(MAX($D$16,(E58)-(J34))))*(MAX($D$16,(E58)-(J34))),0.000001)))*1)-((((F35)*(MAX($D$16,(E58)-(J35)))^2)/2+(H35)*(MAX($D$16,(E58)-(J35)))^3/3+(ABS(J58)^2)/($I$5*MAX(((F35)+(H35)*(MAX($D$16,(E58)-(J35))))*(MAX($D$16,(E58)-(J35))),0.000001)))*0.30600918))/MAX(((G32)*(MAX($D$16,(E58)-(K32)))^2)/2+(I32)*(MAX($D$16,(E58)-(K32)))^3/3+(ABS(G58)^2)/($I$5*MAX(((G32)+(I32)*(MAX($D$16,(E58)-(K32))))*(MAX($D$16,(E58)-(K32))),0.000001)),0.000001)</f>
        <v>0.69398638937169566</v>
      </c>
      <c r="W58">
        <f>IF(N6="None",ABS(P58-D58),MAX(ABS(P58-D58),ABS(Q58-D58)))</f>
        <v>4.8709247566876002E-3</v>
      </c>
      <c r="X58">
        <f>IF(AND(N7="None",N8="None"),0,IF(N8="None",ABS(S58-E58),IF(N7="None",ABS(T58-E58),MAX(ABS(S58-E58),ABS(T58-E58)))))</f>
        <v>51796.639402193236</v>
      </c>
      <c r="AA58">
        <f t="shared" si="3"/>
        <v>52432.142568294883</v>
      </c>
      <c r="AB58">
        <f t="shared" si="4"/>
        <v>41355.302344798787</v>
      </c>
      <c r="AC58">
        <f>IF(N6="None",P58,MAX(P58,Q58))</f>
        <v>52432.139402193789</v>
      </c>
      <c r="AD58">
        <f>IF(AND(N7="None",N8="None"),E58,IF(N8="None",S58,IF(N7="None",T58,MAX(S58,T58))))</f>
        <v>20784.033523923383</v>
      </c>
      <c r="AE58">
        <f t="shared" si="5"/>
        <v>637.65825101089831</v>
      </c>
      <c r="AF58">
        <f t="shared" si="6"/>
        <v>52432.144273118676</v>
      </c>
      <c r="AG58">
        <f>((G31)*(MAX($D$16,(AC58)-(K31)))^2)/2+(I31)*(MAX($D$16,(AC58)-(K31)))^3/3+(ABS(F58)^2)/($I$5*MAX(((G31)+(I31)*(MAX($D$16,(AC58)-(K31))))*(MAX($D$16,(AC58)-(K31))),0.000001))</f>
        <v>8797610690.1068249</v>
      </c>
      <c r="AH58">
        <f>((G31)*(MAX($D$16,(AE58)-(K31)))^2)/2+(I31)*(MAX($D$16,(AE58)-(K31)))^3/3+(ABS(F58)^2)/($I$5*MAX(((G31)+(I31)*(MAX($D$16,(AE58)-(K31))))*(MAX($D$16,(AE58)-(K31))),0.000001))</f>
        <v>49.055863329575246</v>
      </c>
      <c r="AI58">
        <f>((G32)*(MAX($D$16,(AD58)-(K32)))^2)/2+(I32)*(MAX($D$16,(AD58)-(K32)))^3/3+(ABS(G58)^2)/($I$5*MAX(((G32)+(I32)*(MAX($D$16,(AD58)-(K32))))*(MAX($D$16,(AD58)-(K32))),0.000001))</f>
        <v>2072376743.6648321</v>
      </c>
      <c r="AJ58">
        <f>((G32)*(MAX($D$16,(AF58)-(K32)))^2)/2+(I32)*(MAX($D$16,(AF58)-(K32)))^3/3+(ABS(G58)^2)/($I$5*MAX(((G32)+(I32)*(MAX($D$16,(AF58)-(K32))))*(MAX($D$16,(AF58)-(K32))),0.000001))</f>
        <v>13692716077.205578</v>
      </c>
      <c r="AK58" t="str">
        <f t="shared" si="7"/>
        <v>Subcritical</v>
      </c>
      <c r="AL58" t="str">
        <f t="shared" si="8"/>
        <v>Supercritical</v>
      </c>
      <c r="AM58">
        <f t="shared" si="9"/>
        <v>52432.142568294883</v>
      </c>
      <c r="AN58">
        <f t="shared" si="10"/>
        <v>52432.141107017138</v>
      </c>
      <c r="AO58">
        <f t="shared" si="11"/>
        <v>4.8709247566876002E-3</v>
      </c>
      <c r="AP58">
        <f t="shared" si="12"/>
        <v>4.8709254406276159E-3</v>
      </c>
    </row>
    <row r="59" spans="1:42" x14ac:dyDescent="0.35">
      <c r="A59">
        <v>16</v>
      </c>
      <c r="B59">
        <f t="shared" si="13"/>
        <v>0</v>
      </c>
      <c r="C59">
        <f t="shared" si="14"/>
        <v>0</v>
      </c>
      <c r="D59">
        <f t="shared" si="15"/>
        <v>52432.142568294883</v>
      </c>
      <c r="E59">
        <f t="shared" si="16"/>
        <v>52432.141107017138</v>
      </c>
      <c r="F59">
        <f t="shared" si="2"/>
        <v>51</v>
      </c>
      <c r="G59">
        <f>IF(N6="None",F59,MAX(0,F59*B59))</f>
        <v>51</v>
      </c>
      <c r="H59">
        <f>IF(N6="None",0,MAX(0,F59-G59))</f>
        <v>0</v>
      </c>
      <c r="I59">
        <f>IF(AND(N7="None",N8="None"),0,IF(N8="None",G59,IF(N7="None",0,MAX(0,G59*C59))))</f>
        <v>0</v>
      </c>
      <c r="J59">
        <f>IF(AND(N7="None",N8="None"),0,IF(N8="None",0,IF(N7="None",G59,MAX(0,G59-I59))))</f>
        <v>51</v>
      </c>
      <c r="K59">
        <f>P5</f>
        <v>637</v>
      </c>
      <c r="L59">
        <f>P6</f>
        <v>634.3119999999999</v>
      </c>
      <c r="M59">
        <f>P7</f>
        <v>635.5</v>
      </c>
      <c r="N59">
        <f>P8</f>
        <v>631.54999999999995</v>
      </c>
      <c r="O59">
        <f>K59+((ABS(F59)/MAX(((F31)+(H31)*(MAX($D$16,(K59)-(J31))))*(MAX($D$16,(K59)-(J31))),0.000001))^2)/(2*$I$5)-((E31)*((((ABS(F59)*$D$6)/(MAX(((F31)+(H31)*(MAX($D$16,(K59)-(J31))))*(MAX($D$16,(K59)-(J31))),0.000001)*MAX(((((F31)+(H31)*(MAX($D$16,(K59)-(J31))))*(MAX($D$16,(K59)-(J31))))/MAX((F31)+2*(MAX($D$16,(K59)-(J31)))*SQRT(1+(H31)^2),0.000001))^(2/3),0.000001)))^2)+(((ABS(F59)*$D$6)/(MAX(((G31)+(I31)*(MAX($D$16,(D59)-(K31))))*(MAX($D$16,(D59)-(K31))),0.000001)*MAX(((((G31)+(I31)*(MAX($D$16,(D59)-(K31))))*(MAX($D$16,(D59)-(K31))))/MAX((G31)+2*(MAX($D$16,(D59)-(K31)))*SQRT(1+(I31)^2),0.000001))^(2/3),0.000001)))^2))/2)+(IF((ABS(F59)/MAX(((G31)+(I31)*(MAX($D$16,(D59)-(K31))))*(MAX($D$16,(D59)-(K31))),0.000001))&gt;(ABS(F59)/MAX(((F31)+(H31)*(MAX($D$16,(K59)-(J31))))*(MAX($D$16,(K59)-(J31))),0.000001)),$D$9*((((ABS(F59)/MAX(((G31)+(I31)*(MAX($D$16,(D59)-(K31))))*(MAX($D$16,(D59)-(K31))),0.000001))^2)/(2*$I$5))-(((ABS(F59)/MAX(((F31)+(H31)*(MAX($D$16,(K59)-(J31))))*(MAX($D$16,(K59)-(J31))),0.000001))^2)/(2*$I$5))),$D$8*((((ABS(F59)/MAX(((F31)+(H31)*(MAX($D$16,(K59)-(J31))))*(MAX($D$16,(K59)-(J31))),0.000001))^2)/(2*$I$5))-(((ABS(F59)/MAX(((G31)+(I31)*(MAX($D$16,(D59)-(K31))))*(MAX($D$16,(D59)-(K31))),0.000001))^2)/(2*$I$5)))))+($D$10*(ABS((X31)-(W31))/90)*MAX(((ABS(F59)/MAX(((F31)+(H31)*(MAX($D$16,(K59)-(J31))))*(MAX($D$16,(K59)-(J31))),0.000001))^2)/(2*$I$5),((ABS(F59)/MAX(((G31)+(I31)*(MAX($D$16,(D59)-(K31))))*(MAX($D$16,(D59)-(K31))),0.000001))^2)/(2*$I$5)))+(0)-((ABS(F59)/MAX(((G31)+(I31)*(MAX($D$16,(D59)-(K31))))*(MAX($D$16,(D59)-(K31))),0.000001))^2)/(2*$I$5)</f>
        <v>637.65825101089831</v>
      </c>
      <c r="P59">
        <f>E59+((ABS(G59)/MAX(((G32)+(I32)*(MAX($D$16,(E59)-(K32))))*(MAX($D$16,(E59)-(K32))),0.000001))^2)/(2*$I$5)+((E32)*((((ABS(G59)*$D$6)/(MAX(((F32)+(H32)*(MAX($D$16,(D59)-(J32))))*(MAX($D$16,(D59)-(J32))),0.000001)*MAX(((((F32)+(H32)*(MAX($D$16,(D59)-(J32))))*(MAX($D$16,(D59)-(J32))))/MAX((F32)+2*(MAX($D$16,(D59)-(J32)))*SQRT(1+(H32)^2),0.000001))^(2/3),0.000001)))^2)+(((ABS(G59)*$D$6)/(MAX(((G32)+(I32)*(MAX($D$16,(E59)-(K32))))*(MAX($D$16,(E59)-(K32))),0.000001)*MAX(((((G32)+(I32)*(MAX($D$16,(E59)-(K32))))*(MAX($D$16,(E59)-(K32))))/MAX((G32)+2*(MAX($D$16,(E59)-(K32)))*SQRT(1+(I32)^2),0.000001))^(2/3),0.000001)))^2))/2)+(IF((ABS(G59)/MAX(((G32)+(I32)*(MAX($D$16,(E59)-(K32))))*(MAX($D$16,(E59)-(K32))),0.000001))&gt;(ABS(G59)/MAX(((F32)+(H32)*(MAX($D$16,(D59)-(J32))))*(MAX($D$16,(D59)-(J32))),0.000001)),$D$9*((((ABS(G59)/MAX(((G32)+(I32)*(MAX($D$16,(E59)-(K32))))*(MAX($D$16,(E59)-(K32))),0.000001))^2)/(2*$I$5))-(((ABS(G59)/MAX(((F32)+(H32)*(MAX($D$16,(D59)-(J32))))*(MAX($D$16,(D59)-(J32))),0.000001))^2)/(2*$I$5))),$D$8*((((ABS(G59)/MAX(((F32)+(H32)*(MAX($D$16,(D59)-(J32))))*(MAX($D$16,(D59)-(J32))),0.000001))^2)/(2*$I$5))-(((ABS(G59)/MAX(((G32)+(I32)*(MAX($D$16,(E59)-(K32))))*(MAX($D$16,(E59)-(K32))),0.000001))^2)/(2*$I$5)))))+($D$10*(ABS((X32)-(W32))/90)*MAX(((ABS(G59)/MAX(((F32)+(H32)*(MAX($D$16,(D59)-(J32))))*(MAX($D$16,(D59)-(J32))),0.000001))^2)/(2*$I$5),((ABS(G59)/MAX(((G32)+(I32)*(MAX($D$16,(E59)-(K32))))*(MAX($D$16,(E59)-(K32))),0.000001))^2)/(2*$I$5)))+(($D$11*0.13607488*(ABS(H59)/MAX(ABS(F59),0.000001))^2*MAX(((ABS(G59)/MAX(((F32)+(H32)*(MAX($D$16,(D59)-(J32))))*(MAX($D$16,(D59)-(J32))),0.000001))^2)/(2*$I$5),((ABS(G59)/MAX(((G32)+(I32)*(MAX($D$16,(E59)-(K32))))*(MAX($D$16,(E59)-(K32))),0.000001))^2)/(2*$I$5))))-((ABS(G59)/MAX(((F32)+(H32)*(MAX($D$16,(D59)-(J32))))*(MAX($D$16,(D59)-(J32))),0.000001))^2)/(2*$I$5)</f>
        <v>52432.141107017691</v>
      </c>
      <c r="Q59">
        <f>L59+((ABS(H59)/MAX(((G33)+(I33)*(MAX($D$16,(L59)-(K33))))*(MAX($D$16,(L59)-(K33))),0.000001))^2)/(2*$I$5)+((E33)*((((ABS(H59)*$D$6)/(MAX(((F33)+(H33)*(MAX($D$16,(D59)-(J33))))*(MAX($D$16,(D59)-(J33))),0.000001)*MAX(((((F33)+(H33)*(MAX($D$16,(D59)-(J33))))*(MAX($D$16,(D59)-(J33))))/MAX((F33)+2*(MAX($D$16,(D59)-(J33)))*SQRT(1+(H33)^2),0.000001))^(2/3),0.000001)))^2)+(((ABS(H59)*$D$6)/(MAX(((G33)+(I33)*(MAX($D$16,(L59)-(K33))))*(MAX($D$16,(L59)-(K33))),0.000001)*MAX(((((G33)+(I33)*(MAX($D$16,(L59)-(K33))))*(MAX($D$16,(L59)-(K33))))/MAX((G33)+2*(MAX($D$16,(L59)-(K33)))*SQRT(1+(I33)^2),0.000001))^(2/3),0.000001)))^2))/2)+(IF((ABS(H59)/MAX(((G33)+(I33)*(MAX($D$16,(L59)-(K33))))*(MAX($D$16,(L59)-(K33))),0.000001))&gt;(ABS(H59)/MAX(((F33)+(H33)*(MAX($D$16,(D59)-(J33))))*(MAX($D$16,(D59)-(J33))),0.000001)),$D$9*((((ABS(H59)/MAX(((G33)+(I33)*(MAX($D$16,(L59)-(K33))))*(MAX($D$16,(L59)-(K33))),0.000001))^2)/(2*$I$5))-(((ABS(H59)/MAX(((F33)+(H33)*(MAX($D$16,(D59)-(J33))))*(MAX($D$16,(D59)-(J33))),0.000001))^2)/(2*$I$5))),$D$8*((((ABS(H59)/MAX(((F33)+(H33)*(MAX($D$16,(D59)-(J33))))*(MAX($D$16,(D59)-(J33))),0.000001))^2)/(2*$I$5))-(((ABS(H59)/MAX(((G33)+(I33)*(MAX($D$16,(L59)-(K33))))*(MAX($D$16,(L59)-(K33))),0.000001))^2)/(2*$I$5)))))+($D$10*(ABS((X33)-(W33))/90)*MAX(((ABS(H59)/MAX(((F33)+(H33)*(MAX($D$16,(D59)-(J33))))*(MAX($D$16,(D59)-(J33))),0.000001))^2)/(2*$I$5),((ABS(H59)/MAX(((G33)+(I33)*(MAX($D$16,(L59)-(K33))))*(MAX($D$16,(L59)-(K33))),0.000001))^2)/(2*$I$5)))+(($D$11*0.00000015*(ABS(G59)/MAX(ABS(F59),0.000001))^2*MAX(((ABS(H59)/MAX(((F33)+(H33)*(MAX($D$16,(D59)-(J33))))*(MAX($D$16,(D59)-(J33))),0.000001))^2)/(2*$I$5),((ABS(H59)/MAX(((G33)+(I33)*(MAX($D$16,(L59)-(K33))))*(MAX($D$16,(L59)-(K33))),0.000001))^2)/(2*$I$5))))-((ABS(H59)/MAX(((F33)+(H33)*(MAX($D$16,(D59)-(J33))))*(MAX($D$16,(D59)-(J33))),0.000001))^2)/(2*$I$5)</f>
        <v>634.3119999999999</v>
      </c>
      <c r="R59">
        <f>D59+((ABS(G59)/MAX(((F32)+(H32)*(MAX($D$16,(D59)-(J32))))*(MAX($D$16,(D59)-(J32))),0.000001))^2)/(2*$I$5)-((E32)*((((ABS(G59)*$D$6)/(MAX(((F32)+(H32)*(MAX($D$16,(D59)-(J32))))*(MAX($D$16,(D59)-(J32))),0.000001)*MAX(((((F32)+(H32)*(MAX($D$16,(D59)-(J32))))*(MAX($D$16,(D59)-(J32))))/MAX((F32)+2*(MAX($D$16,(D59)-(J32)))*SQRT(1+(H32)^2),0.000001))^(2/3),0.000001)))^2)+(((ABS(G59)*$D$6)/(MAX(((G32)+(I32)*(MAX($D$16,(E59)-(K32))))*(MAX($D$16,(E59)-(K32))),0.000001)*MAX(((((G32)+(I32)*(MAX($D$16,(E59)-(K32))))*(MAX($D$16,(E59)-(K32))))/MAX((G32)+2*(MAX($D$16,(E59)-(K32)))*SQRT(1+(I32)^2),0.000001))^(2/3),0.000001)))^2))/2)+(IF((ABS(G59)/MAX(((G32)+(I32)*(MAX($D$16,(E59)-(K32))))*(MAX($D$16,(E59)-(K32))),0.000001))&gt;(ABS(G59)/MAX(((F32)+(H32)*(MAX($D$16,(D59)-(J32))))*(MAX($D$16,(D59)-(J32))),0.000001)),$D$9*((((ABS(G59)/MAX(((G32)+(I32)*(MAX($D$16,(E59)-(K32))))*(MAX($D$16,(E59)-(K32))),0.000001))^2)/(2*$I$5))-(((ABS(G59)/MAX(((F32)+(H32)*(MAX($D$16,(D59)-(J32))))*(MAX($D$16,(D59)-(J32))),0.000001))^2)/(2*$I$5))),$D$8*((((ABS(G59)/MAX(((F32)+(H32)*(MAX($D$16,(D59)-(J32))))*(MAX($D$16,(D59)-(J32))),0.000001))^2)/(2*$I$5))-(((ABS(G59)/MAX(((G32)+(I32)*(MAX($D$16,(E59)-(K32))))*(MAX($D$16,(E59)-(K32))),0.000001))^2)/(2*$I$5)))))+($D$10*(ABS((X32)-(W32))/90)*MAX(((ABS(G59)/MAX(((F32)+(H32)*(MAX($D$16,(D59)-(J32))))*(MAX($D$16,(D59)-(J32))),0.000001))^2)/(2*$I$5),((ABS(G59)/MAX(((G32)+(I32)*(MAX($D$16,(E59)-(K32))))*(MAX($D$16,(E59)-(K32))),0.000001))^2)/(2*$I$5)))+(($D$11*0.13607488*(ABS(H59)/MAX(ABS(F59),0.000001))^2*MAX(((ABS(G59)/MAX(((F32)+(H32)*(MAX($D$16,(D59)-(J32))))*(MAX($D$16,(D59)-(J32))),0.000001))^2)/(2*$I$5),((ABS(G59)/MAX(((G32)+(I32)*(MAX($D$16,(E59)-(K32))))*(MAX($D$16,(E59)-(K32))),0.000001))^2)/(2*$I$5))))-((ABS(G59)/MAX(((G32)+(I32)*(MAX($D$16,(E59)-(K32))))*(MAX($D$16,(E59)-(K32))),0.000001))^2)/(2*$I$5)</f>
        <v>52432.142568295014</v>
      </c>
      <c r="S59">
        <f>M59+((ABS(I59)/MAX(((G34)+(I34)*(MAX($D$16,(M59)-(K34))))*(MAX($D$16,(M59)-(K34))),0.000001))^2)/(2*$I$5)+((E34)*((((ABS(I59)*$D$6)/(MAX(((F34)+(H34)*(MAX($D$16,(E59)-(J34))))*(MAX($D$16,(E59)-(J34))),0.000001)*MAX(((((F34)+(H34)*(MAX($D$16,(E59)-(J34))))*(MAX($D$16,(E59)-(J34))))/MAX((F34)+2*(MAX($D$16,(E59)-(J34)))*SQRT(1+(H34)^2),0.000001))^(2/3),0.000001)))^2)+(((ABS(I59)*$D$6)/(MAX(((G34)+(I34)*(MAX($D$16,(M59)-(K34))))*(MAX($D$16,(M59)-(K34))),0.000001)*MAX(((((G34)+(I34)*(MAX($D$16,(M59)-(K34))))*(MAX($D$16,(M59)-(K34))))/MAX((G34)+2*(MAX($D$16,(M59)-(K34)))*SQRT(1+(I34)^2),0.000001))^(2/3),0.000001)))^2))/2)+(IF((ABS(I59)/MAX(((G34)+(I34)*(MAX($D$16,(M59)-(K34))))*(MAX($D$16,(M59)-(K34))),0.000001))&gt;(ABS(I59)/MAX(((F34)+(H34)*(MAX($D$16,(E59)-(J34))))*(MAX($D$16,(E59)-(J34))),0.000001)),$D$9*((((ABS(I59)/MAX(((G34)+(I34)*(MAX($D$16,(M59)-(K34))))*(MAX($D$16,(M59)-(K34))),0.000001))^2)/(2*$I$5))-(((ABS(I59)/MAX(((F34)+(H34)*(MAX($D$16,(E59)-(J34))))*(MAX($D$16,(E59)-(J34))),0.000001))^2)/(2*$I$5))),$D$8*((((ABS(I59)/MAX(((F34)+(H34)*(MAX($D$16,(E59)-(J34))))*(MAX($D$16,(E59)-(J34))),0.000001))^2)/(2*$I$5))-(((ABS(I59)/MAX(((G34)+(I34)*(MAX($D$16,(M59)-(K34))))*(MAX($D$16,(M59)-(K34))),0.000001))^2)/(2*$I$5)))))+($D$10*(ABS((X34)-(W34))/90)*MAX(((ABS(I59)/MAX(((F34)+(H34)*(MAX($D$16,(E59)-(J34))))*(MAX($D$16,(E59)-(J34))),0.000001))^2)/(2*$I$5),((ABS(I59)/MAX(((G34)+(I34)*(MAX($D$16,(M59)-(K34))))*(MAX($D$16,(M59)-(K34))),0.000001))^2)/(2*$I$5)))+(0)-((ABS(I59)/MAX(((F34)+(H34)*(MAX($D$16,(E59)-(J34))))*(MAX($D$16,(E59)-(J34))),0.000001))^2)/(2*$I$5)</f>
        <v>635.5</v>
      </c>
      <c r="T59">
        <f>N59+((ABS(J59)/MAX(((G35)+(I35)*(MAX($D$16,(N59)-(K35))))*(MAX($D$16,(N59)-(K35))),0.000001))^2)/(2*$I$5)+((E35)*((((ABS(J59)*$D$6)/(MAX(((F35)+(H35)*(MAX($D$16,(E59)-(J35))))*(MAX($D$16,(E59)-(J35))),0.000001)*MAX(((((F35)+(H35)*(MAX($D$16,(E59)-(J35))))*(MAX($D$16,(E59)-(J35))))/MAX((F35)+2*(MAX($D$16,(E59)-(J35)))*SQRT(1+(H35)^2),0.000001))^(2/3),0.000001)))^2)+(((ABS(J59)*$D$6)/(MAX(((G35)+(I35)*(MAX($D$16,(N59)-(K35))))*(MAX($D$16,(N59)-(K35))),0.000001)*MAX(((((G35)+(I35)*(MAX($D$16,(N59)-(K35))))*(MAX($D$16,(N59)-(K35))))/MAX((G35)+2*(MAX($D$16,(N59)-(K35)))*SQRT(1+(I35)^2),0.000001))^(2/3),0.000001)))^2))/2)+(IF((ABS(J59)/MAX(((G35)+(I35)*(MAX($D$16,(N59)-(K35))))*(MAX($D$16,(N59)-(K35))),0.000001))&gt;(ABS(J59)/MAX(((F35)+(H35)*(MAX($D$16,(E59)-(J35))))*(MAX($D$16,(E59)-(J35))),0.000001)),$D$9*((((ABS(J59)/MAX(((G35)+(I35)*(MAX($D$16,(N59)-(K35))))*(MAX($D$16,(N59)-(K35))),0.000001))^2)/(2*$I$5))-(((ABS(J59)/MAX(((F35)+(H35)*(MAX($D$16,(E59)-(J35))))*(MAX($D$16,(E59)-(J35))),0.000001))^2)/(2*$I$5))),$D$8*((((ABS(J59)/MAX(((F35)+(H35)*(MAX($D$16,(E59)-(J35))))*(MAX($D$16,(E59)-(J35))),0.000001))^2)/(2*$I$5))-(((ABS(J59)/MAX(((G35)+(I35)*(MAX($D$16,(N59)-(K35))))*(MAX($D$16,(N59)-(K35))),0.000001))^2)/(2*$I$5)))))+($D$10*(ABS((X35)-(W35))/90)*MAX(((ABS(J59)/MAX(((F35)+(H35)*(MAX($D$16,(E59)-(J35))))*(MAX($D$16,(E59)-(J35))),0.000001))^2)/(2*$I$5),((ABS(J59)/MAX(((G35)+(I35)*(MAX($D$16,(N59)-(K35))))*(MAX($D$16,(N59)-(K35))),0.000001))^2)/(2*$I$5)))+(($D$11*0.34699541*(ABS(I59)/MAX(ABS(G59),0.000001))^2*MAX(((ABS(J59)/MAX(((F35)+(H35)*(MAX($D$16,(E59)-(J35))))*(MAX($D$16,(E59)-(J35))),0.000001))^2)/(2*$I$5),((ABS(J59)/MAX(((G35)+(I35)*(MAX($D$16,(N59)-(K35))))*(MAX($D$16,(N59)-(K35))),0.000001))^2)/(2*$I$5))))-((ABS(J59)/MAX(((F35)+(H35)*(MAX($D$16,(E59)-(J35))))*(MAX($D$16,(E59)-(J35))),0.000001))^2)/(2*$I$5)</f>
        <v>20784.033523923383</v>
      </c>
      <c r="U59">
        <f>(((((F32)*(MAX($D$16,(D59)-(J32)))^2)/2+(H32)*(MAX($D$16,(D59)-(J32)))^3/3+(ABS(G59)^2)/($I$5*MAX(((F32)+(H32)*(MAX($D$16,(D59)-(J32))))*(MAX($D$16,(D59)-(J32))),0.000001)))*0.72785025)-((((F33)*(MAX($D$16,(D59)-(J33)))^2)/2+(H33)*(MAX($D$16,(D59)-(J33)))^3/3+(ABS(H59)^2)/($I$5*MAX(((F33)+(H33)*(MAX($D$16,(D59)-(J33))))*(MAX($D$16,(D59)-(J33))),0.000001)))*0.99999971))/MAX(((G31)*(MAX($D$16,(D59)-(K31)))^2)/2+(I31)*(MAX($D$16,(D59)-(K31)))^3/3+(ABS(F59)^2)/($I$5*MAX(((G31)+(I31)*(MAX($D$16,(D59)-(K31))))*(MAX($D$16,(D59)-(K31))),0.000001)),0.000001)</f>
        <v>-0.27214945999991141</v>
      </c>
      <c r="V59">
        <f>(((((F34)*(MAX($D$16,(E59)-(J34)))^2)/2+(H34)*(MAX($D$16,(E59)-(J34)))^3/3+(ABS(I59)^2)/($I$5*MAX(((F34)+(H34)*(MAX($D$16,(E59)-(J34))))*(MAX($D$16,(E59)-(J34))),0.000001)))*1)-((((F35)*(MAX($D$16,(E59)-(J35)))^2)/2+(H35)*(MAX($D$16,(E59)-(J35)))^3/3+(ABS(J59)^2)/($I$5*MAX(((F35)+(H35)*(MAX($D$16,(E59)-(J35))))*(MAX($D$16,(E59)-(J35))),0.000001)))*0.30600918))/MAX(((G32)*(MAX($D$16,(E59)-(K32)))^2)/2+(I32)*(MAX($D$16,(E59)-(K32)))^3/3+(ABS(G59)^2)/($I$5*MAX(((G32)+(I32)*(MAX($D$16,(E59)-(K32))))*(MAX($D$16,(E59)-(K32))),0.000001)),0.000001)</f>
        <v>0.69398638937184143</v>
      </c>
      <c r="W59">
        <f>IF(N6="None",ABS(P59-D59),MAX(ABS(P59-D59),ABS(Q59-D59)))</f>
        <v>1.4612771919928491E-3</v>
      </c>
      <c r="X59">
        <f>IF(AND(N7="None",N8="None"),0,IF(N8="None",ABS(S59-E59),IF(N7="None",ABS(T59-E59),MAX(ABS(S59-E59),ABS(T59-E59)))))</f>
        <v>51796.641107017138</v>
      </c>
      <c r="AA59">
        <f t="shared" si="3"/>
        <v>52432.142056847864</v>
      </c>
      <c r="AB59">
        <f t="shared" si="4"/>
        <v>41355.303452934328</v>
      </c>
      <c r="AC59">
        <f>IF(N6="None",P59,MAX(P59,Q59))</f>
        <v>52432.141107017691</v>
      </c>
      <c r="AD59">
        <f>IF(AND(N7="None",N8="None"),E59,IF(N8="None",S59,IF(N7="None",T59,MAX(S59,T59))))</f>
        <v>20784.033523923383</v>
      </c>
      <c r="AE59">
        <f t="shared" si="5"/>
        <v>637.65825101089831</v>
      </c>
      <c r="AF59">
        <f t="shared" si="6"/>
        <v>52432.142568295014</v>
      </c>
      <c r="AG59">
        <f>((G31)*(MAX($D$16,(AC59)-(K31)))^2)/2+(I31)*(MAX($D$16,(AC59)-(K31)))^3/3+(ABS(F59)^2)/($I$5*MAX(((G31)+(I31)*(MAX($D$16,(AC59)-(K31))))*(MAX($D$16,(AC59)-(K31))),0.000001))</f>
        <v>8797611269.2188816</v>
      </c>
      <c r="AH59">
        <f>((G31)*(MAX($D$16,(AE59)-(K31)))^2)/2+(I31)*(MAX($D$16,(AE59)-(K31)))^3/3+(ABS(F59)^2)/($I$5*MAX(((G31)+(I31)*(MAX($D$16,(AE59)-(K31))))*(MAX($D$16,(AE59)-(K31))),0.000001))</f>
        <v>49.055863329575246</v>
      </c>
      <c r="AI59">
        <f>((G32)*(MAX($D$16,(AD59)-(K32)))^2)/2+(I32)*(MAX($D$16,(AD59)-(K32)))^3/3+(ABS(G59)^2)/($I$5*MAX(((G32)+(I32)*(MAX($D$16,(AD59)-(K32))))*(MAX($D$16,(AD59)-(K32))),0.000001))</f>
        <v>2072376743.6648321</v>
      </c>
      <c r="AJ59">
        <f>((G32)*(MAX($D$16,(AF59)-(K32)))^2)/2+(I32)*(MAX($D$16,(AF59)-(K32)))^3/3+(ABS(G59)^2)/($I$5*MAX(((G32)+(I32)*(MAX($D$16,(AF59)-(K32))))*(MAX($D$16,(AF59)-(K32))),0.000001))</f>
        <v>13692715175.910419</v>
      </c>
      <c r="AK59" t="str">
        <f t="shared" si="7"/>
        <v>Subcritical</v>
      </c>
      <c r="AL59" t="str">
        <f t="shared" si="8"/>
        <v>Supercritical</v>
      </c>
      <c r="AM59">
        <f t="shared" si="9"/>
        <v>52432.142056847864</v>
      </c>
      <c r="AN59">
        <f t="shared" si="10"/>
        <v>52432.141618464397</v>
      </c>
      <c r="AO59">
        <f t="shared" si="11"/>
        <v>1.4612771919928491E-3</v>
      </c>
      <c r="AP59">
        <f t="shared" si="12"/>
        <v>1.4612778759328648E-3</v>
      </c>
    </row>
    <row r="60" spans="1:42" x14ac:dyDescent="0.35">
      <c r="A60">
        <v>17</v>
      </c>
      <c r="B60">
        <f t="shared" si="13"/>
        <v>0</v>
      </c>
      <c r="C60">
        <f t="shared" si="14"/>
        <v>0</v>
      </c>
      <c r="D60">
        <f t="shared" si="15"/>
        <v>52432.142056847864</v>
      </c>
      <c r="E60">
        <f t="shared" si="16"/>
        <v>52432.141618464397</v>
      </c>
      <c r="F60">
        <f t="shared" si="2"/>
        <v>51</v>
      </c>
      <c r="G60">
        <f>IF(N6="None",F60,MAX(0,F60*B60))</f>
        <v>51</v>
      </c>
      <c r="H60">
        <f>IF(N6="None",0,MAX(0,F60-G60))</f>
        <v>0</v>
      </c>
      <c r="I60">
        <f>IF(AND(N7="None",N8="None"),0,IF(N8="None",G60,IF(N7="None",0,MAX(0,G60*C60))))</f>
        <v>0</v>
      </c>
      <c r="J60">
        <f>IF(AND(N7="None",N8="None"),0,IF(N8="None",0,IF(N7="None",G60,MAX(0,G60-I60))))</f>
        <v>51</v>
      </c>
      <c r="K60">
        <f>P5</f>
        <v>637</v>
      </c>
      <c r="L60">
        <f>P6</f>
        <v>634.3119999999999</v>
      </c>
      <c r="M60">
        <f>P7</f>
        <v>635.5</v>
      </c>
      <c r="N60">
        <f>P8</f>
        <v>631.54999999999995</v>
      </c>
      <c r="O60">
        <f>K60+((ABS(F60)/MAX(((F31)+(H31)*(MAX($D$16,(K60)-(J31))))*(MAX($D$16,(K60)-(J31))),0.000001))^2)/(2*$I$5)-((E31)*((((ABS(F60)*$D$6)/(MAX(((F31)+(H31)*(MAX($D$16,(K60)-(J31))))*(MAX($D$16,(K60)-(J31))),0.000001)*MAX(((((F31)+(H31)*(MAX($D$16,(K60)-(J31))))*(MAX($D$16,(K60)-(J31))))/MAX((F31)+2*(MAX($D$16,(K60)-(J31)))*SQRT(1+(H31)^2),0.000001))^(2/3),0.000001)))^2)+(((ABS(F60)*$D$6)/(MAX(((G31)+(I31)*(MAX($D$16,(D60)-(K31))))*(MAX($D$16,(D60)-(K31))),0.000001)*MAX(((((G31)+(I31)*(MAX($D$16,(D60)-(K31))))*(MAX($D$16,(D60)-(K31))))/MAX((G31)+2*(MAX($D$16,(D60)-(K31)))*SQRT(1+(I31)^2),0.000001))^(2/3),0.000001)))^2))/2)+(IF((ABS(F60)/MAX(((G31)+(I31)*(MAX($D$16,(D60)-(K31))))*(MAX($D$16,(D60)-(K31))),0.000001))&gt;(ABS(F60)/MAX(((F31)+(H31)*(MAX($D$16,(K60)-(J31))))*(MAX($D$16,(K60)-(J31))),0.000001)),$D$9*((((ABS(F60)/MAX(((G31)+(I31)*(MAX($D$16,(D60)-(K31))))*(MAX($D$16,(D60)-(K31))),0.000001))^2)/(2*$I$5))-(((ABS(F60)/MAX(((F31)+(H31)*(MAX($D$16,(K60)-(J31))))*(MAX($D$16,(K60)-(J31))),0.000001))^2)/(2*$I$5))),$D$8*((((ABS(F60)/MAX(((F31)+(H31)*(MAX($D$16,(K60)-(J31))))*(MAX($D$16,(K60)-(J31))),0.000001))^2)/(2*$I$5))-(((ABS(F60)/MAX(((G31)+(I31)*(MAX($D$16,(D60)-(K31))))*(MAX($D$16,(D60)-(K31))),0.000001))^2)/(2*$I$5)))))+($D$10*(ABS((X31)-(W31))/90)*MAX(((ABS(F60)/MAX(((F31)+(H31)*(MAX($D$16,(K60)-(J31))))*(MAX($D$16,(K60)-(J31))),0.000001))^2)/(2*$I$5),((ABS(F60)/MAX(((G31)+(I31)*(MAX($D$16,(D60)-(K31))))*(MAX($D$16,(D60)-(K31))),0.000001))^2)/(2*$I$5)))+(0)-((ABS(F60)/MAX(((G31)+(I31)*(MAX($D$16,(D60)-(K31))))*(MAX($D$16,(D60)-(K31))),0.000001))^2)/(2*$I$5)</f>
        <v>637.65825101089831</v>
      </c>
      <c r="P60">
        <f>E60+((ABS(G60)/MAX(((G32)+(I32)*(MAX($D$16,(E60)-(K32))))*(MAX($D$16,(E60)-(K32))),0.000001))^2)/(2*$I$5)+((E32)*((((ABS(G60)*$D$6)/(MAX(((F32)+(H32)*(MAX($D$16,(D60)-(J32))))*(MAX($D$16,(D60)-(J32))),0.000001)*MAX(((((F32)+(H32)*(MAX($D$16,(D60)-(J32))))*(MAX($D$16,(D60)-(J32))))/MAX((F32)+2*(MAX($D$16,(D60)-(J32)))*SQRT(1+(H32)^2),0.000001))^(2/3),0.000001)))^2)+(((ABS(G60)*$D$6)/(MAX(((G32)+(I32)*(MAX($D$16,(E60)-(K32))))*(MAX($D$16,(E60)-(K32))),0.000001)*MAX(((((G32)+(I32)*(MAX($D$16,(E60)-(K32))))*(MAX($D$16,(E60)-(K32))))/MAX((G32)+2*(MAX($D$16,(E60)-(K32)))*SQRT(1+(I32)^2),0.000001))^(2/3),0.000001)))^2))/2)+(IF((ABS(G60)/MAX(((G32)+(I32)*(MAX($D$16,(E60)-(K32))))*(MAX($D$16,(E60)-(K32))),0.000001))&gt;(ABS(G60)/MAX(((F32)+(H32)*(MAX($D$16,(D60)-(J32))))*(MAX($D$16,(D60)-(J32))),0.000001)),$D$9*((((ABS(G60)/MAX(((G32)+(I32)*(MAX($D$16,(E60)-(K32))))*(MAX($D$16,(E60)-(K32))),0.000001))^2)/(2*$I$5))-(((ABS(G60)/MAX(((F32)+(H32)*(MAX($D$16,(D60)-(J32))))*(MAX($D$16,(D60)-(J32))),0.000001))^2)/(2*$I$5))),$D$8*((((ABS(G60)/MAX(((F32)+(H32)*(MAX($D$16,(D60)-(J32))))*(MAX($D$16,(D60)-(J32))),0.000001))^2)/(2*$I$5))-(((ABS(G60)/MAX(((G32)+(I32)*(MAX($D$16,(E60)-(K32))))*(MAX($D$16,(E60)-(K32))),0.000001))^2)/(2*$I$5)))))+($D$10*(ABS((X32)-(W32))/90)*MAX(((ABS(G60)/MAX(((F32)+(H32)*(MAX($D$16,(D60)-(J32))))*(MAX($D$16,(D60)-(J32))),0.000001))^2)/(2*$I$5),((ABS(G60)/MAX(((G32)+(I32)*(MAX($D$16,(E60)-(K32))))*(MAX($D$16,(E60)-(K32))),0.000001))^2)/(2*$I$5)))+(($D$11*0.13607488*(ABS(H60)/MAX(ABS(F60),0.000001))^2*MAX(((ABS(G60)/MAX(((F32)+(H32)*(MAX($D$16,(D60)-(J32))))*(MAX($D$16,(D60)-(J32))),0.000001))^2)/(2*$I$5),((ABS(G60)/MAX(((G32)+(I32)*(MAX($D$16,(E60)-(K32))))*(MAX($D$16,(E60)-(K32))),0.000001))^2)/(2*$I$5))))-((ABS(G60)/MAX(((F32)+(H32)*(MAX($D$16,(D60)-(J32))))*(MAX($D$16,(D60)-(J32))),0.000001))^2)/(2*$I$5)</f>
        <v>52432.14161846495</v>
      </c>
      <c r="Q60">
        <f>L60+((ABS(H60)/MAX(((G33)+(I33)*(MAX($D$16,(L60)-(K33))))*(MAX($D$16,(L60)-(K33))),0.000001))^2)/(2*$I$5)+((E33)*((((ABS(H60)*$D$6)/(MAX(((F33)+(H33)*(MAX($D$16,(D60)-(J33))))*(MAX($D$16,(D60)-(J33))),0.000001)*MAX(((((F33)+(H33)*(MAX($D$16,(D60)-(J33))))*(MAX($D$16,(D60)-(J33))))/MAX((F33)+2*(MAX($D$16,(D60)-(J33)))*SQRT(1+(H33)^2),0.000001))^(2/3),0.000001)))^2)+(((ABS(H60)*$D$6)/(MAX(((G33)+(I33)*(MAX($D$16,(L60)-(K33))))*(MAX($D$16,(L60)-(K33))),0.000001)*MAX(((((G33)+(I33)*(MAX($D$16,(L60)-(K33))))*(MAX($D$16,(L60)-(K33))))/MAX((G33)+2*(MAX($D$16,(L60)-(K33)))*SQRT(1+(I33)^2),0.000001))^(2/3),0.000001)))^2))/2)+(IF((ABS(H60)/MAX(((G33)+(I33)*(MAX($D$16,(L60)-(K33))))*(MAX($D$16,(L60)-(K33))),0.000001))&gt;(ABS(H60)/MAX(((F33)+(H33)*(MAX($D$16,(D60)-(J33))))*(MAX($D$16,(D60)-(J33))),0.000001)),$D$9*((((ABS(H60)/MAX(((G33)+(I33)*(MAX($D$16,(L60)-(K33))))*(MAX($D$16,(L60)-(K33))),0.000001))^2)/(2*$I$5))-(((ABS(H60)/MAX(((F33)+(H33)*(MAX($D$16,(D60)-(J33))))*(MAX($D$16,(D60)-(J33))),0.000001))^2)/(2*$I$5))),$D$8*((((ABS(H60)/MAX(((F33)+(H33)*(MAX($D$16,(D60)-(J33))))*(MAX($D$16,(D60)-(J33))),0.000001))^2)/(2*$I$5))-(((ABS(H60)/MAX(((G33)+(I33)*(MAX($D$16,(L60)-(K33))))*(MAX($D$16,(L60)-(K33))),0.000001))^2)/(2*$I$5)))))+($D$10*(ABS((X33)-(W33))/90)*MAX(((ABS(H60)/MAX(((F33)+(H33)*(MAX($D$16,(D60)-(J33))))*(MAX($D$16,(D60)-(J33))),0.000001))^2)/(2*$I$5),((ABS(H60)/MAX(((G33)+(I33)*(MAX($D$16,(L60)-(K33))))*(MAX($D$16,(L60)-(K33))),0.000001))^2)/(2*$I$5)))+(($D$11*0.00000015*(ABS(G60)/MAX(ABS(F60),0.000001))^2*MAX(((ABS(H60)/MAX(((F33)+(H33)*(MAX($D$16,(D60)-(J33))))*(MAX($D$16,(D60)-(J33))),0.000001))^2)/(2*$I$5),((ABS(H60)/MAX(((G33)+(I33)*(MAX($D$16,(L60)-(K33))))*(MAX($D$16,(L60)-(K33))),0.000001))^2)/(2*$I$5))))-((ABS(H60)/MAX(((F33)+(H33)*(MAX($D$16,(D60)-(J33))))*(MAX($D$16,(D60)-(J33))),0.000001))^2)/(2*$I$5)</f>
        <v>634.3119999999999</v>
      </c>
      <c r="R60">
        <f>D60+((ABS(G60)/MAX(((F32)+(H32)*(MAX($D$16,(D60)-(J32))))*(MAX($D$16,(D60)-(J32))),0.000001))^2)/(2*$I$5)-((E32)*((((ABS(G60)*$D$6)/(MAX(((F32)+(H32)*(MAX($D$16,(D60)-(J32))))*(MAX($D$16,(D60)-(J32))),0.000001)*MAX(((((F32)+(H32)*(MAX($D$16,(D60)-(J32))))*(MAX($D$16,(D60)-(J32))))/MAX((F32)+2*(MAX($D$16,(D60)-(J32)))*SQRT(1+(H32)^2),0.000001))^(2/3),0.000001)))^2)+(((ABS(G60)*$D$6)/(MAX(((G32)+(I32)*(MAX($D$16,(E60)-(K32))))*(MAX($D$16,(E60)-(K32))),0.000001)*MAX(((((G32)+(I32)*(MAX($D$16,(E60)-(K32))))*(MAX($D$16,(E60)-(K32))))/MAX((G32)+2*(MAX($D$16,(E60)-(K32)))*SQRT(1+(I32)^2),0.000001))^(2/3),0.000001)))^2))/2)+(IF((ABS(G60)/MAX(((G32)+(I32)*(MAX($D$16,(E60)-(K32))))*(MAX($D$16,(E60)-(K32))),0.000001))&gt;(ABS(G60)/MAX(((F32)+(H32)*(MAX($D$16,(D60)-(J32))))*(MAX($D$16,(D60)-(J32))),0.000001)),$D$9*((((ABS(G60)/MAX(((G32)+(I32)*(MAX($D$16,(E60)-(K32))))*(MAX($D$16,(E60)-(K32))),0.000001))^2)/(2*$I$5))-(((ABS(G60)/MAX(((F32)+(H32)*(MAX($D$16,(D60)-(J32))))*(MAX($D$16,(D60)-(J32))),0.000001))^2)/(2*$I$5))),$D$8*((((ABS(G60)/MAX(((F32)+(H32)*(MAX($D$16,(D60)-(J32))))*(MAX($D$16,(D60)-(J32))),0.000001))^2)/(2*$I$5))-(((ABS(G60)/MAX(((G32)+(I32)*(MAX($D$16,(E60)-(K32))))*(MAX($D$16,(E60)-(K32))),0.000001))^2)/(2*$I$5)))))+($D$10*(ABS((X32)-(W32))/90)*MAX(((ABS(G60)/MAX(((F32)+(H32)*(MAX($D$16,(D60)-(J32))))*(MAX($D$16,(D60)-(J32))),0.000001))^2)/(2*$I$5),((ABS(G60)/MAX(((G32)+(I32)*(MAX($D$16,(E60)-(K32))))*(MAX($D$16,(E60)-(K32))),0.000001))^2)/(2*$I$5)))+(($D$11*0.13607488*(ABS(H60)/MAX(ABS(F60),0.000001))^2*MAX(((ABS(G60)/MAX(((F32)+(H32)*(MAX($D$16,(D60)-(J32))))*(MAX($D$16,(D60)-(J32))),0.000001))^2)/(2*$I$5),((ABS(G60)/MAX(((G32)+(I32)*(MAX($D$16,(E60)-(K32))))*(MAX($D$16,(E60)-(K32))),0.000001))^2)/(2*$I$5))))-((ABS(G60)/MAX(((G32)+(I32)*(MAX($D$16,(E60)-(K32))))*(MAX($D$16,(E60)-(K32))),0.000001))^2)/(2*$I$5)</f>
        <v>52432.142056847995</v>
      </c>
      <c r="S60">
        <f>M60+((ABS(I60)/MAX(((G34)+(I34)*(MAX($D$16,(M60)-(K34))))*(MAX($D$16,(M60)-(K34))),0.000001))^2)/(2*$I$5)+((E34)*((((ABS(I60)*$D$6)/(MAX(((F34)+(H34)*(MAX($D$16,(E60)-(J34))))*(MAX($D$16,(E60)-(J34))),0.000001)*MAX(((((F34)+(H34)*(MAX($D$16,(E60)-(J34))))*(MAX($D$16,(E60)-(J34))))/MAX((F34)+2*(MAX($D$16,(E60)-(J34)))*SQRT(1+(H34)^2),0.000001))^(2/3),0.000001)))^2)+(((ABS(I60)*$D$6)/(MAX(((G34)+(I34)*(MAX($D$16,(M60)-(K34))))*(MAX($D$16,(M60)-(K34))),0.000001)*MAX(((((G34)+(I34)*(MAX($D$16,(M60)-(K34))))*(MAX($D$16,(M60)-(K34))))/MAX((G34)+2*(MAX($D$16,(M60)-(K34)))*SQRT(1+(I34)^2),0.000001))^(2/3),0.000001)))^2))/2)+(IF((ABS(I60)/MAX(((G34)+(I34)*(MAX($D$16,(M60)-(K34))))*(MAX($D$16,(M60)-(K34))),0.000001))&gt;(ABS(I60)/MAX(((F34)+(H34)*(MAX($D$16,(E60)-(J34))))*(MAX($D$16,(E60)-(J34))),0.000001)),$D$9*((((ABS(I60)/MAX(((G34)+(I34)*(MAX($D$16,(M60)-(K34))))*(MAX($D$16,(M60)-(K34))),0.000001))^2)/(2*$I$5))-(((ABS(I60)/MAX(((F34)+(H34)*(MAX($D$16,(E60)-(J34))))*(MAX($D$16,(E60)-(J34))),0.000001))^2)/(2*$I$5))),$D$8*((((ABS(I60)/MAX(((F34)+(H34)*(MAX($D$16,(E60)-(J34))))*(MAX($D$16,(E60)-(J34))),0.000001))^2)/(2*$I$5))-(((ABS(I60)/MAX(((G34)+(I34)*(MAX($D$16,(M60)-(K34))))*(MAX($D$16,(M60)-(K34))),0.000001))^2)/(2*$I$5)))))+($D$10*(ABS((X34)-(W34))/90)*MAX(((ABS(I60)/MAX(((F34)+(H34)*(MAX($D$16,(E60)-(J34))))*(MAX($D$16,(E60)-(J34))),0.000001))^2)/(2*$I$5),((ABS(I60)/MAX(((G34)+(I34)*(MAX($D$16,(M60)-(K34))))*(MAX($D$16,(M60)-(K34))),0.000001))^2)/(2*$I$5)))+(0)-((ABS(I60)/MAX(((F34)+(H34)*(MAX($D$16,(E60)-(J34))))*(MAX($D$16,(E60)-(J34))),0.000001))^2)/(2*$I$5)</f>
        <v>635.5</v>
      </c>
      <c r="T60">
        <f>N60+((ABS(J60)/MAX(((G35)+(I35)*(MAX($D$16,(N60)-(K35))))*(MAX($D$16,(N60)-(K35))),0.000001))^2)/(2*$I$5)+((E35)*((((ABS(J60)*$D$6)/(MAX(((F35)+(H35)*(MAX($D$16,(E60)-(J35))))*(MAX($D$16,(E60)-(J35))),0.000001)*MAX(((((F35)+(H35)*(MAX($D$16,(E60)-(J35))))*(MAX($D$16,(E60)-(J35))))/MAX((F35)+2*(MAX($D$16,(E60)-(J35)))*SQRT(1+(H35)^2),0.000001))^(2/3),0.000001)))^2)+(((ABS(J60)*$D$6)/(MAX(((G35)+(I35)*(MAX($D$16,(N60)-(K35))))*(MAX($D$16,(N60)-(K35))),0.000001)*MAX(((((G35)+(I35)*(MAX($D$16,(N60)-(K35))))*(MAX($D$16,(N60)-(K35))))/MAX((G35)+2*(MAX($D$16,(N60)-(K35)))*SQRT(1+(I35)^2),0.000001))^(2/3),0.000001)))^2))/2)+(IF((ABS(J60)/MAX(((G35)+(I35)*(MAX($D$16,(N60)-(K35))))*(MAX($D$16,(N60)-(K35))),0.000001))&gt;(ABS(J60)/MAX(((F35)+(H35)*(MAX($D$16,(E60)-(J35))))*(MAX($D$16,(E60)-(J35))),0.000001)),$D$9*((((ABS(J60)/MAX(((G35)+(I35)*(MAX($D$16,(N60)-(K35))))*(MAX($D$16,(N60)-(K35))),0.000001))^2)/(2*$I$5))-(((ABS(J60)/MAX(((F35)+(H35)*(MAX($D$16,(E60)-(J35))))*(MAX($D$16,(E60)-(J35))),0.000001))^2)/(2*$I$5))),$D$8*((((ABS(J60)/MAX(((F35)+(H35)*(MAX($D$16,(E60)-(J35))))*(MAX($D$16,(E60)-(J35))),0.000001))^2)/(2*$I$5))-(((ABS(J60)/MAX(((G35)+(I35)*(MAX($D$16,(N60)-(K35))))*(MAX($D$16,(N60)-(K35))),0.000001))^2)/(2*$I$5)))))+($D$10*(ABS((X35)-(W35))/90)*MAX(((ABS(J60)/MAX(((F35)+(H35)*(MAX($D$16,(E60)-(J35))))*(MAX($D$16,(E60)-(J35))),0.000001))^2)/(2*$I$5),((ABS(J60)/MAX(((G35)+(I35)*(MAX($D$16,(N60)-(K35))))*(MAX($D$16,(N60)-(K35))),0.000001))^2)/(2*$I$5)))+(($D$11*0.34699541*(ABS(I60)/MAX(ABS(G60),0.000001))^2*MAX(((ABS(J60)/MAX(((F35)+(H35)*(MAX($D$16,(E60)-(J35))))*(MAX($D$16,(E60)-(J35))),0.000001))^2)/(2*$I$5),((ABS(J60)/MAX(((G35)+(I35)*(MAX($D$16,(N60)-(K35))))*(MAX($D$16,(N60)-(K35))),0.000001))^2)/(2*$I$5))))-((ABS(J60)/MAX(((F35)+(H35)*(MAX($D$16,(E60)-(J35))))*(MAX($D$16,(E60)-(J35))),0.000001))^2)/(2*$I$5)</f>
        <v>20784.033523923383</v>
      </c>
      <c r="U60">
        <f>(((((F32)*(MAX($D$16,(D60)-(J32)))^2)/2+(H32)*(MAX($D$16,(D60)-(J32)))^3/3+(ABS(G60)^2)/($I$5*MAX(((F32)+(H32)*(MAX($D$16,(D60)-(J32))))*(MAX($D$16,(D60)-(J32))),0.000001)))*0.72785025)-((((F33)*(MAX($D$16,(D60)-(J33)))^2)/2+(H33)*(MAX($D$16,(D60)-(J33)))^3/3+(ABS(H60)^2)/($I$5*MAX(((F33)+(H33)*(MAX($D$16,(D60)-(J33))))*(MAX($D$16,(D60)-(J33))),0.000001)))*0.99999971))/MAX(((G31)*(MAX($D$16,(D60)-(K31)))^2)/2+(I31)*(MAX($D$16,(D60)-(K31)))^3/3+(ABS(F60)^2)/($I$5*MAX(((G31)+(I31)*(MAX($D$16,(D60)-(K31))))*(MAX($D$16,(D60)-(K31))),0.000001)),0.000001)</f>
        <v>-0.2721494599999113</v>
      </c>
      <c r="V60">
        <f>(((((F34)*(MAX($D$16,(E60)-(J34)))^2)/2+(H34)*(MAX($D$16,(E60)-(J34)))^3/3+(ABS(I60)^2)/($I$5*MAX(((F34)+(H34)*(MAX($D$16,(E60)-(J34))))*(MAX($D$16,(E60)-(J34))),0.000001)))*1)-((((F35)*(MAX($D$16,(E60)-(J35)))^2)/2+(H35)*(MAX($D$16,(E60)-(J35)))^3/3+(ABS(J60)^2)/($I$5*MAX(((F35)+(H35)*(MAX($D$16,(E60)-(J35))))*(MAX($D$16,(E60)-(J35))),0.000001)))*0.30600918))/MAX(((G32)*(MAX($D$16,(E60)-(K32)))^2)/2+(I32)*(MAX($D$16,(E60)-(K32)))^3/3+(ABS(G60)^2)/($I$5*MAX(((G32)+(I32)*(MAX($D$16,(E60)-(K32))))*(MAX($D$16,(E60)-(K32))),0.000001)),0.000001)</f>
        <v>0.69398638937188517</v>
      </c>
      <c r="W60">
        <f>IF(N6="None",ABS(P60-D60),MAX(ABS(P60-D60),ABS(Q60-D60)))</f>
        <v>4.3838291458087042E-4</v>
      </c>
      <c r="X60">
        <f>IF(AND(N7="None",N8="None"),0,IF(N8="None",ABS(S60-E60),IF(N7="None",ABS(T60-E60),MAX(ABS(S60-E60),ABS(T60-E60)))))</f>
        <v>51796.641618464397</v>
      </c>
      <c r="AA60">
        <f t="shared" si="3"/>
        <v>52432.141903413845</v>
      </c>
      <c r="AB60">
        <f t="shared" si="4"/>
        <v>41355.303785375043</v>
      </c>
      <c r="AC60">
        <f>IF(N6="None",P60,MAX(P60,Q60))</f>
        <v>52432.14161846495</v>
      </c>
      <c r="AD60">
        <f>IF(AND(N7="None",N8="None"),E60,IF(N8="None",S60,IF(N7="None",T60,MAX(S60,T60))))</f>
        <v>20784.033523923383</v>
      </c>
      <c r="AE60">
        <f t="shared" si="5"/>
        <v>637.65825101089831</v>
      </c>
      <c r="AF60">
        <f t="shared" si="6"/>
        <v>52432.142056847995</v>
      </c>
      <c r="AG60">
        <f>((G31)*(MAX($D$16,(AC60)-(K31)))^2)/2+(I31)*(MAX($D$16,(AC60)-(K31)))^3/3+(ABS(F60)^2)/($I$5*MAX(((G31)+(I31)*(MAX($D$16,(AC60)-(K31))))*(MAX($D$16,(AC60)-(K31))),0.000001))</f>
        <v>8797611442.9525318</v>
      </c>
      <c r="AH60">
        <f>((G31)*(MAX($D$16,(AE60)-(K31)))^2)/2+(I31)*(MAX($D$16,(AE60)-(K31)))^3/3+(ABS(F60)^2)/($I$5*MAX(((G31)+(I31)*(MAX($D$16,(AE60)-(K31))))*(MAX($D$16,(AE60)-(K31))),0.000001))</f>
        <v>49.055863329575246</v>
      </c>
      <c r="AI60">
        <f>((G32)*(MAX($D$16,(AD60)-(K32)))^2)/2+(I32)*(MAX($D$16,(AD60)-(K32)))^3/3+(ABS(G60)^2)/($I$5*MAX(((G32)+(I32)*(MAX($D$16,(AD60)-(K32))))*(MAX($D$16,(AD60)-(K32))),0.000001))</f>
        <v>2072376743.6648321</v>
      </c>
      <c r="AJ60">
        <f>((G32)*(MAX($D$16,(AF60)-(K32)))^2)/2+(I32)*(MAX($D$16,(AF60)-(K32)))^3/3+(ABS(G60)^2)/($I$5*MAX(((G32)+(I32)*(MAX($D$16,(AF60)-(K32))))*(MAX($D$16,(AF60)-(K32))),0.000001))</f>
        <v>13692714905.521919</v>
      </c>
      <c r="AK60" t="str">
        <f t="shared" si="7"/>
        <v>Subcritical</v>
      </c>
      <c r="AL60" t="str">
        <f t="shared" si="8"/>
        <v>Supercritical</v>
      </c>
      <c r="AM60">
        <f t="shared" si="9"/>
        <v>52432.141903413845</v>
      </c>
      <c r="AN60">
        <f t="shared" si="10"/>
        <v>52432.141771898656</v>
      </c>
      <c r="AO60">
        <f t="shared" si="11"/>
        <v>4.3838291458087042E-4</v>
      </c>
      <c r="AP60">
        <f t="shared" si="12"/>
        <v>4.3838359852088615E-4</v>
      </c>
    </row>
    <row r="61" spans="1:42" x14ac:dyDescent="0.35">
      <c r="A61">
        <v>18</v>
      </c>
      <c r="B61">
        <f t="shared" si="13"/>
        <v>0</v>
      </c>
      <c r="C61">
        <f t="shared" si="14"/>
        <v>0</v>
      </c>
      <c r="D61">
        <f t="shared" si="15"/>
        <v>52432.141903413845</v>
      </c>
      <c r="E61">
        <f t="shared" si="16"/>
        <v>52432.141771898656</v>
      </c>
      <c r="F61">
        <f t="shared" si="2"/>
        <v>51</v>
      </c>
      <c r="G61">
        <f>IF(N6="None",F61,MAX(0,F61*B61))</f>
        <v>51</v>
      </c>
      <c r="H61">
        <f>IF(N6="None",0,MAX(0,F61-G61))</f>
        <v>0</v>
      </c>
      <c r="I61">
        <f>IF(AND(N7="None",N8="None"),0,IF(N8="None",G61,IF(N7="None",0,MAX(0,G61*C61))))</f>
        <v>0</v>
      </c>
      <c r="J61">
        <f>IF(AND(N7="None",N8="None"),0,IF(N8="None",0,IF(N7="None",G61,MAX(0,G61-I61))))</f>
        <v>51</v>
      </c>
      <c r="K61">
        <f>P5</f>
        <v>637</v>
      </c>
      <c r="L61">
        <f>P6</f>
        <v>634.3119999999999</v>
      </c>
      <c r="M61">
        <f>P7</f>
        <v>635.5</v>
      </c>
      <c r="N61">
        <f>P8</f>
        <v>631.54999999999995</v>
      </c>
      <c r="O61">
        <f>K61+((ABS(F61)/MAX(((F31)+(H31)*(MAX($D$16,(K61)-(J31))))*(MAX($D$16,(K61)-(J31))),0.000001))^2)/(2*$I$5)-((E31)*((((ABS(F61)*$D$6)/(MAX(((F31)+(H31)*(MAX($D$16,(K61)-(J31))))*(MAX($D$16,(K61)-(J31))),0.000001)*MAX(((((F31)+(H31)*(MAX($D$16,(K61)-(J31))))*(MAX($D$16,(K61)-(J31))))/MAX((F31)+2*(MAX($D$16,(K61)-(J31)))*SQRT(1+(H31)^2),0.000001))^(2/3),0.000001)))^2)+(((ABS(F61)*$D$6)/(MAX(((G31)+(I31)*(MAX($D$16,(D61)-(K31))))*(MAX($D$16,(D61)-(K31))),0.000001)*MAX(((((G31)+(I31)*(MAX($D$16,(D61)-(K31))))*(MAX($D$16,(D61)-(K31))))/MAX((G31)+2*(MAX($D$16,(D61)-(K31)))*SQRT(1+(I31)^2),0.000001))^(2/3),0.000001)))^2))/2)+(IF((ABS(F61)/MAX(((G31)+(I31)*(MAX($D$16,(D61)-(K31))))*(MAX($D$16,(D61)-(K31))),0.000001))&gt;(ABS(F61)/MAX(((F31)+(H31)*(MAX($D$16,(K61)-(J31))))*(MAX($D$16,(K61)-(J31))),0.000001)),$D$9*((((ABS(F61)/MAX(((G31)+(I31)*(MAX($D$16,(D61)-(K31))))*(MAX($D$16,(D61)-(K31))),0.000001))^2)/(2*$I$5))-(((ABS(F61)/MAX(((F31)+(H31)*(MAX($D$16,(K61)-(J31))))*(MAX($D$16,(K61)-(J31))),0.000001))^2)/(2*$I$5))),$D$8*((((ABS(F61)/MAX(((F31)+(H31)*(MAX($D$16,(K61)-(J31))))*(MAX($D$16,(K61)-(J31))),0.000001))^2)/(2*$I$5))-(((ABS(F61)/MAX(((G31)+(I31)*(MAX($D$16,(D61)-(K31))))*(MAX($D$16,(D61)-(K31))),0.000001))^2)/(2*$I$5)))))+($D$10*(ABS((X31)-(W31))/90)*MAX(((ABS(F61)/MAX(((F31)+(H31)*(MAX($D$16,(K61)-(J31))))*(MAX($D$16,(K61)-(J31))),0.000001))^2)/(2*$I$5),((ABS(F61)/MAX(((G31)+(I31)*(MAX($D$16,(D61)-(K31))))*(MAX($D$16,(D61)-(K31))),0.000001))^2)/(2*$I$5)))+(0)-((ABS(F61)/MAX(((G31)+(I31)*(MAX($D$16,(D61)-(K31))))*(MAX($D$16,(D61)-(K31))),0.000001))^2)/(2*$I$5)</f>
        <v>637.65825101089831</v>
      </c>
      <c r="P61">
        <f>E61+((ABS(G61)/MAX(((G32)+(I32)*(MAX($D$16,(E61)-(K32))))*(MAX($D$16,(E61)-(K32))),0.000001))^2)/(2*$I$5)+((E32)*((((ABS(G61)*$D$6)/(MAX(((F32)+(H32)*(MAX($D$16,(D61)-(J32))))*(MAX($D$16,(D61)-(J32))),0.000001)*MAX(((((F32)+(H32)*(MAX($D$16,(D61)-(J32))))*(MAX($D$16,(D61)-(J32))))/MAX((F32)+2*(MAX($D$16,(D61)-(J32)))*SQRT(1+(H32)^2),0.000001))^(2/3),0.000001)))^2)+(((ABS(G61)*$D$6)/(MAX(((G32)+(I32)*(MAX($D$16,(E61)-(K32))))*(MAX($D$16,(E61)-(K32))),0.000001)*MAX(((((G32)+(I32)*(MAX($D$16,(E61)-(K32))))*(MAX($D$16,(E61)-(K32))))/MAX((G32)+2*(MAX($D$16,(E61)-(K32)))*SQRT(1+(I32)^2),0.000001))^(2/3),0.000001)))^2))/2)+(IF((ABS(G61)/MAX(((G32)+(I32)*(MAX($D$16,(E61)-(K32))))*(MAX($D$16,(E61)-(K32))),0.000001))&gt;(ABS(G61)/MAX(((F32)+(H32)*(MAX($D$16,(D61)-(J32))))*(MAX($D$16,(D61)-(J32))),0.000001)),$D$9*((((ABS(G61)/MAX(((G32)+(I32)*(MAX($D$16,(E61)-(K32))))*(MAX($D$16,(E61)-(K32))),0.000001))^2)/(2*$I$5))-(((ABS(G61)/MAX(((F32)+(H32)*(MAX($D$16,(D61)-(J32))))*(MAX($D$16,(D61)-(J32))),0.000001))^2)/(2*$I$5))),$D$8*((((ABS(G61)/MAX(((F32)+(H32)*(MAX($D$16,(D61)-(J32))))*(MAX($D$16,(D61)-(J32))),0.000001))^2)/(2*$I$5))-(((ABS(G61)/MAX(((G32)+(I32)*(MAX($D$16,(E61)-(K32))))*(MAX($D$16,(E61)-(K32))),0.000001))^2)/(2*$I$5)))))+($D$10*(ABS((X32)-(W32))/90)*MAX(((ABS(G61)/MAX(((F32)+(H32)*(MAX($D$16,(D61)-(J32))))*(MAX($D$16,(D61)-(J32))),0.000001))^2)/(2*$I$5),((ABS(G61)/MAX(((G32)+(I32)*(MAX($D$16,(E61)-(K32))))*(MAX($D$16,(E61)-(K32))),0.000001))^2)/(2*$I$5)))+(($D$11*0.13607488*(ABS(H61)/MAX(ABS(F61),0.000001))^2*MAX(((ABS(G61)/MAX(((F32)+(H32)*(MAX($D$16,(D61)-(J32))))*(MAX($D$16,(D61)-(J32))),0.000001))^2)/(2*$I$5),((ABS(G61)/MAX(((G32)+(I32)*(MAX($D$16,(E61)-(K32))))*(MAX($D$16,(E61)-(K32))),0.000001))^2)/(2*$I$5))))-((ABS(G61)/MAX(((F32)+(H32)*(MAX($D$16,(D61)-(J32))))*(MAX($D$16,(D61)-(J32))),0.000001))^2)/(2*$I$5)</f>
        <v>52432.141771899209</v>
      </c>
      <c r="Q61">
        <f>L61+((ABS(H61)/MAX(((G33)+(I33)*(MAX($D$16,(L61)-(K33))))*(MAX($D$16,(L61)-(K33))),0.000001))^2)/(2*$I$5)+((E33)*((((ABS(H61)*$D$6)/(MAX(((F33)+(H33)*(MAX($D$16,(D61)-(J33))))*(MAX($D$16,(D61)-(J33))),0.000001)*MAX(((((F33)+(H33)*(MAX($D$16,(D61)-(J33))))*(MAX($D$16,(D61)-(J33))))/MAX((F33)+2*(MAX($D$16,(D61)-(J33)))*SQRT(1+(H33)^2),0.000001))^(2/3),0.000001)))^2)+(((ABS(H61)*$D$6)/(MAX(((G33)+(I33)*(MAX($D$16,(L61)-(K33))))*(MAX($D$16,(L61)-(K33))),0.000001)*MAX(((((G33)+(I33)*(MAX($D$16,(L61)-(K33))))*(MAX($D$16,(L61)-(K33))))/MAX((G33)+2*(MAX($D$16,(L61)-(K33)))*SQRT(1+(I33)^2),0.000001))^(2/3),0.000001)))^2))/2)+(IF((ABS(H61)/MAX(((G33)+(I33)*(MAX($D$16,(L61)-(K33))))*(MAX($D$16,(L61)-(K33))),0.000001))&gt;(ABS(H61)/MAX(((F33)+(H33)*(MAX($D$16,(D61)-(J33))))*(MAX($D$16,(D61)-(J33))),0.000001)),$D$9*((((ABS(H61)/MAX(((G33)+(I33)*(MAX($D$16,(L61)-(K33))))*(MAX($D$16,(L61)-(K33))),0.000001))^2)/(2*$I$5))-(((ABS(H61)/MAX(((F33)+(H33)*(MAX($D$16,(D61)-(J33))))*(MAX($D$16,(D61)-(J33))),0.000001))^2)/(2*$I$5))),$D$8*((((ABS(H61)/MAX(((F33)+(H33)*(MAX($D$16,(D61)-(J33))))*(MAX($D$16,(D61)-(J33))),0.000001))^2)/(2*$I$5))-(((ABS(H61)/MAX(((G33)+(I33)*(MAX($D$16,(L61)-(K33))))*(MAX($D$16,(L61)-(K33))),0.000001))^2)/(2*$I$5)))))+($D$10*(ABS((X33)-(W33))/90)*MAX(((ABS(H61)/MAX(((F33)+(H33)*(MAX($D$16,(D61)-(J33))))*(MAX($D$16,(D61)-(J33))),0.000001))^2)/(2*$I$5),((ABS(H61)/MAX(((G33)+(I33)*(MAX($D$16,(L61)-(K33))))*(MAX($D$16,(L61)-(K33))),0.000001))^2)/(2*$I$5)))+(($D$11*0.00000015*(ABS(G61)/MAX(ABS(F61),0.000001))^2*MAX(((ABS(H61)/MAX(((F33)+(H33)*(MAX($D$16,(D61)-(J33))))*(MAX($D$16,(D61)-(J33))),0.000001))^2)/(2*$I$5),((ABS(H61)/MAX(((G33)+(I33)*(MAX($D$16,(L61)-(K33))))*(MAX($D$16,(L61)-(K33))),0.000001))^2)/(2*$I$5))))-((ABS(H61)/MAX(((F33)+(H33)*(MAX($D$16,(D61)-(J33))))*(MAX($D$16,(D61)-(J33))),0.000001))^2)/(2*$I$5)</f>
        <v>634.3119999999999</v>
      </c>
      <c r="R61">
        <f>D61+((ABS(G61)/MAX(((F32)+(H32)*(MAX($D$16,(D61)-(J32))))*(MAX($D$16,(D61)-(J32))),0.000001))^2)/(2*$I$5)-((E32)*((((ABS(G61)*$D$6)/(MAX(((F32)+(H32)*(MAX($D$16,(D61)-(J32))))*(MAX($D$16,(D61)-(J32))),0.000001)*MAX(((((F32)+(H32)*(MAX($D$16,(D61)-(J32))))*(MAX($D$16,(D61)-(J32))))/MAX((F32)+2*(MAX($D$16,(D61)-(J32)))*SQRT(1+(H32)^2),0.000001))^(2/3),0.000001)))^2)+(((ABS(G61)*$D$6)/(MAX(((G32)+(I32)*(MAX($D$16,(E61)-(K32))))*(MAX($D$16,(E61)-(K32))),0.000001)*MAX(((((G32)+(I32)*(MAX($D$16,(E61)-(K32))))*(MAX($D$16,(E61)-(K32))))/MAX((G32)+2*(MAX($D$16,(E61)-(K32)))*SQRT(1+(I32)^2),0.000001))^(2/3),0.000001)))^2))/2)+(IF((ABS(G61)/MAX(((G32)+(I32)*(MAX($D$16,(E61)-(K32))))*(MAX($D$16,(E61)-(K32))),0.000001))&gt;(ABS(G61)/MAX(((F32)+(H32)*(MAX($D$16,(D61)-(J32))))*(MAX($D$16,(D61)-(J32))),0.000001)),$D$9*((((ABS(G61)/MAX(((G32)+(I32)*(MAX($D$16,(E61)-(K32))))*(MAX($D$16,(E61)-(K32))),0.000001))^2)/(2*$I$5))-(((ABS(G61)/MAX(((F32)+(H32)*(MAX($D$16,(D61)-(J32))))*(MAX($D$16,(D61)-(J32))),0.000001))^2)/(2*$I$5))),$D$8*((((ABS(G61)/MAX(((F32)+(H32)*(MAX($D$16,(D61)-(J32))))*(MAX($D$16,(D61)-(J32))),0.000001))^2)/(2*$I$5))-(((ABS(G61)/MAX(((G32)+(I32)*(MAX($D$16,(E61)-(K32))))*(MAX($D$16,(E61)-(K32))),0.000001))^2)/(2*$I$5)))))+($D$10*(ABS((X32)-(W32))/90)*MAX(((ABS(G61)/MAX(((F32)+(H32)*(MAX($D$16,(D61)-(J32))))*(MAX($D$16,(D61)-(J32))),0.000001))^2)/(2*$I$5),((ABS(G61)/MAX(((G32)+(I32)*(MAX($D$16,(E61)-(K32))))*(MAX($D$16,(E61)-(K32))),0.000001))^2)/(2*$I$5)))+(($D$11*0.13607488*(ABS(H61)/MAX(ABS(F61),0.000001))^2*MAX(((ABS(G61)/MAX(((F32)+(H32)*(MAX($D$16,(D61)-(J32))))*(MAX($D$16,(D61)-(J32))),0.000001))^2)/(2*$I$5),((ABS(G61)/MAX(((G32)+(I32)*(MAX($D$16,(E61)-(K32))))*(MAX($D$16,(E61)-(K32))),0.000001))^2)/(2*$I$5))))-((ABS(G61)/MAX(((G32)+(I32)*(MAX($D$16,(E61)-(K32))))*(MAX($D$16,(E61)-(K32))),0.000001))^2)/(2*$I$5)</f>
        <v>52432.141903413976</v>
      </c>
      <c r="S61">
        <f>M61+((ABS(I61)/MAX(((G34)+(I34)*(MAX($D$16,(M61)-(K34))))*(MAX($D$16,(M61)-(K34))),0.000001))^2)/(2*$I$5)+((E34)*((((ABS(I61)*$D$6)/(MAX(((F34)+(H34)*(MAX($D$16,(E61)-(J34))))*(MAX($D$16,(E61)-(J34))),0.000001)*MAX(((((F34)+(H34)*(MAX($D$16,(E61)-(J34))))*(MAX($D$16,(E61)-(J34))))/MAX((F34)+2*(MAX($D$16,(E61)-(J34)))*SQRT(1+(H34)^2),0.000001))^(2/3),0.000001)))^2)+(((ABS(I61)*$D$6)/(MAX(((G34)+(I34)*(MAX($D$16,(M61)-(K34))))*(MAX($D$16,(M61)-(K34))),0.000001)*MAX(((((G34)+(I34)*(MAX($D$16,(M61)-(K34))))*(MAX($D$16,(M61)-(K34))))/MAX((G34)+2*(MAX($D$16,(M61)-(K34)))*SQRT(1+(I34)^2),0.000001))^(2/3),0.000001)))^2))/2)+(IF((ABS(I61)/MAX(((G34)+(I34)*(MAX($D$16,(M61)-(K34))))*(MAX($D$16,(M61)-(K34))),0.000001))&gt;(ABS(I61)/MAX(((F34)+(H34)*(MAX($D$16,(E61)-(J34))))*(MAX($D$16,(E61)-(J34))),0.000001)),$D$9*((((ABS(I61)/MAX(((G34)+(I34)*(MAX($D$16,(M61)-(K34))))*(MAX($D$16,(M61)-(K34))),0.000001))^2)/(2*$I$5))-(((ABS(I61)/MAX(((F34)+(H34)*(MAX($D$16,(E61)-(J34))))*(MAX($D$16,(E61)-(J34))),0.000001))^2)/(2*$I$5))),$D$8*((((ABS(I61)/MAX(((F34)+(H34)*(MAX($D$16,(E61)-(J34))))*(MAX($D$16,(E61)-(J34))),0.000001))^2)/(2*$I$5))-(((ABS(I61)/MAX(((G34)+(I34)*(MAX($D$16,(M61)-(K34))))*(MAX($D$16,(M61)-(K34))),0.000001))^2)/(2*$I$5)))))+($D$10*(ABS((X34)-(W34))/90)*MAX(((ABS(I61)/MAX(((F34)+(H34)*(MAX($D$16,(E61)-(J34))))*(MAX($D$16,(E61)-(J34))),0.000001))^2)/(2*$I$5),((ABS(I61)/MAX(((G34)+(I34)*(MAX($D$16,(M61)-(K34))))*(MAX($D$16,(M61)-(K34))),0.000001))^2)/(2*$I$5)))+(0)-((ABS(I61)/MAX(((F34)+(H34)*(MAX($D$16,(E61)-(J34))))*(MAX($D$16,(E61)-(J34))),0.000001))^2)/(2*$I$5)</f>
        <v>635.5</v>
      </c>
      <c r="T61">
        <f>N61+((ABS(J61)/MAX(((G35)+(I35)*(MAX($D$16,(N61)-(K35))))*(MAX($D$16,(N61)-(K35))),0.000001))^2)/(2*$I$5)+((E35)*((((ABS(J61)*$D$6)/(MAX(((F35)+(H35)*(MAX($D$16,(E61)-(J35))))*(MAX($D$16,(E61)-(J35))),0.000001)*MAX(((((F35)+(H35)*(MAX($D$16,(E61)-(J35))))*(MAX($D$16,(E61)-(J35))))/MAX((F35)+2*(MAX($D$16,(E61)-(J35)))*SQRT(1+(H35)^2),0.000001))^(2/3),0.000001)))^2)+(((ABS(J61)*$D$6)/(MAX(((G35)+(I35)*(MAX($D$16,(N61)-(K35))))*(MAX($D$16,(N61)-(K35))),0.000001)*MAX(((((G35)+(I35)*(MAX($D$16,(N61)-(K35))))*(MAX($D$16,(N61)-(K35))))/MAX((G35)+2*(MAX($D$16,(N61)-(K35)))*SQRT(1+(I35)^2),0.000001))^(2/3),0.000001)))^2))/2)+(IF((ABS(J61)/MAX(((G35)+(I35)*(MAX($D$16,(N61)-(K35))))*(MAX($D$16,(N61)-(K35))),0.000001))&gt;(ABS(J61)/MAX(((F35)+(H35)*(MAX($D$16,(E61)-(J35))))*(MAX($D$16,(E61)-(J35))),0.000001)),$D$9*((((ABS(J61)/MAX(((G35)+(I35)*(MAX($D$16,(N61)-(K35))))*(MAX($D$16,(N61)-(K35))),0.000001))^2)/(2*$I$5))-(((ABS(J61)/MAX(((F35)+(H35)*(MAX($D$16,(E61)-(J35))))*(MAX($D$16,(E61)-(J35))),0.000001))^2)/(2*$I$5))),$D$8*((((ABS(J61)/MAX(((F35)+(H35)*(MAX($D$16,(E61)-(J35))))*(MAX($D$16,(E61)-(J35))),0.000001))^2)/(2*$I$5))-(((ABS(J61)/MAX(((G35)+(I35)*(MAX($D$16,(N61)-(K35))))*(MAX($D$16,(N61)-(K35))),0.000001))^2)/(2*$I$5)))))+($D$10*(ABS((X35)-(W35))/90)*MAX(((ABS(J61)/MAX(((F35)+(H35)*(MAX($D$16,(E61)-(J35))))*(MAX($D$16,(E61)-(J35))),0.000001))^2)/(2*$I$5),((ABS(J61)/MAX(((G35)+(I35)*(MAX($D$16,(N61)-(K35))))*(MAX($D$16,(N61)-(K35))),0.000001))^2)/(2*$I$5)))+(($D$11*0.34699541*(ABS(I61)/MAX(ABS(G61),0.000001))^2*MAX(((ABS(J61)/MAX(((F35)+(H35)*(MAX($D$16,(E61)-(J35))))*(MAX($D$16,(E61)-(J35))),0.000001))^2)/(2*$I$5),((ABS(J61)/MAX(((G35)+(I35)*(MAX($D$16,(N61)-(K35))))*(MAX($D$16,(N61)-(K35))),0.000001))^2)/(2*$I$5))))-((ABS(J61)/MAX(((F35)+(H35)*(MAX($D$16,(E61)-(J35))))*(MAX($D$16,(E61)-(J35))),0.000001))^2)/(2*$I$5)</f>
        <v>20784.033523923383</v>
      </c>
      <c r="U61">
        <f>(((((F32)*(MAX($D$16,(D61)-(J32)))^2)/2+(H32)*(MAX($D$16,(D61)-(J32)))^3/3+(ABS(G61)^2)/($I$5*MAX(((F32)+(H32)*(MAX($D$16,(D61)-(J32))))*(MAX($D$16,(D61)-(J32))),0.000001)))*0.72785025)-((((F33)*(MAX($D$16,(D61)-(J33)))^2)/2+(H33)*(MAX($D$16,(D61)-(J33)))^3/3+(ABS(H61)^2)/($I$5*MAX(((F33)+(H33)*(MAX($D$16,(D61)-(J33))))*(MAX($D$16,(D61)-(J33))),0.000001)))*0.99999971))/MAX(((G31)*(MAX($D$16,(D61)-(K31)))^2)/2+(I31)*(MAX($D$16,(D61)-(K31)))^3/3+(ABS(F61)^2)/($I$5*MAX(((G31)+(I31)*(MAX($D$16,(D61)-(K31))))*(MAX($D$16,(D61)-(K31))),0.000001)),0.000001)</f>
        <v>-0.2721494599999113</v>
      </c>
      <c r="V61">
        <f>(((((F34)*(MAX($D$16,(E61)-(J34)))^2)/2+(H34)*(MAX($D$16,(E61)-(J34)))^3/3+(ABS(I61)^2)/($I$5*MAX(((F34)+(H34)*(MAX($D$16,(E61)-(J34))))*(MAX($D$16,(E61)-(J34))),0.000001)))*1)-((((F35)*(MAX($D$16,(E61)-(J35)))^2)/2+(H35)*(MAX($D$16,(E61)-(J35)))^3/3+(ABS(J61)^2)/($I$5*MAX(((F35)+(H35)*(MAX($D$16,(E61)-(J35))))*(MAX($D$16,(E61)-(J35))),0.000001)))*0.30600918))/MAX(((G32)*(MAX($D$16,(E61)-(K32)))^2)/2+(I32)*(MAX($D$16,(E61)-(K32)))^3/3+(ABS(G61)^2)/($I$5*MAX(((G32)+(I32)*(MAX($D$16,(E61)-(K32))))*(MAX($D$16,(E61)-(K32))),0.000001)),0.000001)</f>
        <v>0.69398638937189816</v>
      </c>
      <c r="W61">
        <f>IF(N6="None",ABS(P61-D61),MAX(ABS(P61-D61),ABS(Q61-D61)))</f>
        <v>1.3151463645044714E-4</v>
      </c>
      <c r="X61">
        <f>IF(AND(N7="None",N8="None"),0,IF(N8="None",ABS(S61-E61),IF(N7="None",ABS(T61-E61),MAX(ABS(S61-E61),ABS(T61-E61)))))</f>
        <v>51796.641771898656</v>
      </c>
      <c r="AA61">
        <f t="shared" si="3"/>
        <v>52432.141857383722</v>
      </c>
      <c r="AB61">
        <f t="shared" si="4"/>
        <v>41355.303885107307</v>
      </c>
      <c r="AC61">
        <f>IF(N6="None",P61,MAX(P61,Q61))</f>
        <v>52432.141771899209</v>
      </c>
      <c r="AD61">
        <f>IF(AND(N7="None",N8="None"),E61,IF(N8="None",S61,IF(N7="None",T61,MAX(S61,T61))))</f>
        <v>20784.033523923383</v>
      </c>
      <c r="AE61">
        <f t="shared" si="5"/>
        <v>637.65825101089831</v>
      </c>
      <c r="AF61">
        <f t="shared" si="6"/>
        <v>52432.141903413976</v>
      </c>
      <c r="AG61">
        <f>((G31)*(MAX($D$16,(AC61)-(K31)))^2)/2+(I31)*(MAX($D$16,(AC61)-(K31)))^3/3+(ABS(F61)^2)/($I$5*MAX(((G31)+(I31)*(MAX($D$16,(AC61)-(K31))))*(MAX($D$16,(AC61)-(K31))),0.000001))</f>
        <v>8797611495.0726566</v>
      </c>
      <c r="AH61">
        <f>((G31)*(MAX($D$16,(AE61)-(K31)))^2)/2+(I31)*(MAX($D$16,(AE61)-(K31)))^3/3+(ABS(F61)^2)/($I$5*MAX(((G31)+(I31)*(MAX($D$16,(AE61)-(K31))))*(MAX($D$16,(AE61)-(K31))),0.000001))</f>
        <v>49.055863329575246</v>
      </c>
      <c r="AI61">
        <f>((G32)*(MAX($D$16,(AD61)-(K32)))^2)/2+(I32)*(MAX($D$16,(AD61)-(K32)))^3/3+(ABS(G61)^2)/($I$5*MAX(((G32)+(I32)*(MAX($D$16,(AD61)-(K32))))*(MAX($D$16,(AD61)-(K32))),0.000001))</f>
        <v>2072376743.6648321</v>
      </c>
      <c r="AJ61">
        <f>((G32)*(MAX($D$16,(AF61)-(K32)))^2)/2+(I32)*(MAX($D$16,(AF61)-(K32)))^3/3+(ABS(G61)^2)/($I$5*MAX(((G32)+(I32)*(MAX($D$16,(AF61)-(K32))))*(MAX($D$16,(AF61)-(K32))),0.000001))</f>
        <v>13692714824.405416</v>
      </c>
      <c r="AK61" t="str">
        <f t="shared" si="7"/>
        <v>Subcritical</v>
      </c>
      <c r="AL61" t="str">
        <f t="shared" si="8"/>
        <v>Supercritical</v>
      </c>
      <c r="AM61">
        <f t="shared" si="9"/>
        <v>52432.141857383722</v>
      </c>
      <c r="AN61">
        <f t="shared" si="10"/>
        <v>52432.141817929019</v>
      </c>
      <c r="AO61">
        <f t="shared" si="11"/>
        <v>1.3151463645044714E-4</v>
      </c>
      <c r="AP61">
        <f t="shared" si="12"/>
        <v>1.3151532039046288E-4</v>
      </c>
    </row>
    <row r="62" spans="1:42" x14ac:dyDescent="0.35">
      <c r="A62">
        <v>19</v>
      </c>
      <c r="B62">
        <f t="shared" si="13"/>
        <v>0</v>
      </c>
      <c r="C62">
        <f t="shared" si="14"/>
        <v>0</v>
      </c>
      <c r="D62">
        <f t="shared" si="15"/>
        <v>52432.141857383722</v>
      </c>
      <c r="E62">
        <f t="shared" si="16"/>
        <v>52432.141817929019</v>
      </c>
      <c r="F62">
        <f t="shared" si="2"/>
        <v>51</v>
      </c>
      <c r="G62">
        <f>IF(N6="None",F62,MAX(0,F62*B62))</f>
        <v>51</v>
      </c>
      <c r="H62">
        <f>IF(N6="None",0,MAX(0,F62-G62))</f>
        <v>0</v>
      </c>
      <c r="I62">
        <f>IF(AND(N7="None",N8="None"),0,IF(N8="None",G62,IF(N7="None",0,MAX(0,G62*C62))))</f>
        <v>0</v>
      </c>
      <c r="J62">
        <f>IF(AND(N7="None",N8="None"),0,IF(N8="None",0,IF(N7="None",G62,MAX(0,G62-I62))))</f>
        <v>51</v>
      </c>
      <c r="K62">
        <f>P5</f>
        <v>637</v>
      </c>
      <c r="L62">
        <f>P6</f>
        <v>634.3119999999999</v>
      </c>
      <c r="M62">
        <f>P7</f>
        <v>635.5</v>
      </c>
      <c r="N62">
        <f>P8</f>
        <v>631.54999999999995</v>
      </c>
      <c r="O62">
        <f>K62+((ABS(F62)/MAX(((F31)+(H31)*(MAX($D$16,(K62)-(J31))))*(MAX($D$16,(K62)-(J31))),0.000001))^2)/(2*$I$5)-((E31)*((((ABS(F62)*$D$6)/(MAX(((F31)+(H31)*(MAX($D$16,(K62)-(J31))))*(MAX($D$16,(K62)-(J31))),0.000001)*MAX(((((F31)+(H31)*(MAX($D$16,(K62)-(J31))))*(MAX($D$16,(K62)-(J31))))/MAX((F31)+2*(MAX($D$16,(K62)-(J31)))*SQRT(1+(H31)^2),0.000001))^(2/3),0.000001)))^2)+(((ABS(F62)*$D$6)/(MAX(((G31)+(I31)*(MAX($D$16,(D62)-(K31))))*(MAX($D$16,(D62)-(K31))),0.000001)*MAX(((((G31)+(I31)*(MAX($D$16,(D62)-(K31))))*(MAX($D$16,(D62)-(K31))))/MAX((G31)+2*(MAX($D$16,(D62)-(K31)))*SQRT(1+(I31)^2),0.000001))^(2/3),0.000001)))^2))/2)+(IF((ABS(F62)/MAX(((G31)+(I31)*(MAX($D$16,(D62)-(K31))))*(MAX($D$16,(D62)-(K31))),0.000001))&gt;(ABS(F62)/MAX(((F31)+(H31)*(MAX($D$16,(K62)-(J31))))*(MAX($D$16,(K62)-(J31))),0.000001)),$D$9*((((ABS(F62)/MAX(((G31)+(I31)*(MAX($D$16,(D62)-(K31))))*(MAX($D$16,(D62)-(K31))),0.000001))^2)/(2*$I$5))-(((ABS(F62)/MAX(((F31)+(H31)*(MAX($D$16,(K62)-(J31))))*(MAX($D$16,(K62)-(J31))),0.000001))^2)/(2*$I$5))),$D$8*((((ABS(F62)/MAX(((F31)+(H31)*(MAX($D$16,(K62)-(J31))))*(MAX($D$16,(K62)-(J31))),0.000001))^2)/(2*$I$5))-(((ABS(F62)/MAX(((G31)+(I31)*(MAX($D$16,(D62)-(K31))))*(MAX($D$16,(D62)-(K31))),0.000001))^2)/(2*$I$5)))))+($D$10*(ABS((X31)-(W31))/90)*MAX(((ABS(F62)/MAX(((F31)+(H31)*(MAX($D$16,(K62)-(J31))))*(MAX($D$16,(K62)-(J31))),0.000001))^2)/(2*$I$5),((ABS(F62)/MAX(((G31)+(I31)*(MAX($D$16,(D62)-(K31))))*(MAX($D$16,(D62)-(K31))),0.000001))^2)/(2*$I$5)))+(0)-((ABS(F62)/MAX(((G31)+(I31)*(MAX($D$16,(D62)-(K31))))*(MAX($D$16,(D62)-(K31))),0.000001))^2)/(2*$I$5)</f>
        <v>637.65825101089831</v>
      </c>
      <c r="P62">
        <f>E62+((ABS(G62)/MAX(((G32)+(I32)*(MAX($D$16,(E62)-(K32))))*(MAX($D$16,(E62)-(K32))),0.000001))^2)/(2*$I$5)+((E32)*((((ABS(G62)*$D$6)/(MAX(((F32)+(H32)*(MAX($D$16,(D62)-(J32))))*(MAX($D$16,(D62)-(J32))),0.000001)*MAX(((((F32)+(H32)*(MAX($D$16,(D62)-(J32))))*(MAX($D$16,(D62)-(J32))))/MAX((F32)+2*(MAX($D$16,(D62)-(J32)))*SQRT(1+(H32)^2),0.000001))^(2/3),0.000001)))^2)+(((ABS(G62)*$D$6)/(MAX(((G32)+(I32)*(MAX($D$16,(E62)-(K32))))*(MAX($D$16,(E62)-(K32))),0.000001)*MAX(((((G32)+(I32)*(MAX($D$16,(E62)-(K32))))*(MAX($D$16,(E62)-(K32))))/MAX((G32)+2*(MAX($D$16,(E62)-(K32)))*SQRT(1+(I32)^2),0.000001))^(2/3),0.000001)))^2))/2)+(IF((ABS(G62)/MAX(((G32)+(I32)*(MAX($D$16,(E62)-(K32))))*(MAX($D$16,(E62)-(K32))),0.000001))&gt;(ABS(G62)/MAX(((F32)+(H32)*(MAX($D$16,(D62)-(J32))))*(MAX($D$16,(D62)-(J32))),0.000001)),$D$9*((((ABS(G62)/MAX(((G32)+(I32)*(MAX($D$16,(E62)-(K32))))*(MAX($D$16,(E62)-(K32))),0.000001))^2)/(2*$I$5))-(((ABS(G62)/MAX(((F32)+(H32)*(MAX($D$16,(D62)-(J32))))*(MAX($D$16,(D62)-(J32))),0.000001))^2)/(2*$I$5))),$D$8*((((ABS(G62)/MAX(((F32)+(H32)*(MAX($D$16,(D62)-(J32))))*(MAX($D$16,(D62)-(J32))),0.000001))^2)/(2*$I$5))-(((ABS(G62)/MAX(((G32)+(I32)*(MAX($D$16,(E62)-(K32))))*(MAX($D$16,(E62)-(K32))),0.000001))^2)/(2*$I$5)))))+($D$10*(ABS((X32)-(W32))/90)*MAX(((ABS(G62)/MAX(((F32)+(H32)*(MAX($D$16,(D62)-(J32))))*(MAX($D$16,(D62)-(J32))),0.000001))^2)/(2*$I$5),((ABS(G62)/MAX(((G32)+(I32)*(MAX($D$16,(E62)-(K32))))*(MAX($D$16,(E62)-(K32))),0.000001))^2)/(2*$I$5)))+(($D$11*0.13607488*(ABS(H62)/MAX(ABS(F62),0.000001))^2*MAX(((ABS(G62)/MAX(((F32)+(H32)*(MAX($D$16,(D62)-(J32))))*(MAX($D$16,(D62)-(J32))),0.000001))^2)/(2*$I$5),((ABS(G62)/MAX(((G32)+(I32)*(MAX($D$16,(E62)-(K32))))*(MAX($D$16,(E62)-(K32))),0.000001))^2)/(2*$I$5))))-((ABS(G62)/MAX(((F32)+(H32)*(MAX($D$16,(D62)-(J32))))*(MAX($D$16,(D62)-(J32))),0.000001))^2)/(2*$I$5)</f>
        <v>52432.141817929572</v>
      </c>
      <c r="Q62">
        <f>L62+((ABS(H62)/MAX(((G33)+(I33)*(MAX($D$16,(L62)-(K33))))*(MAX($D$16,(L62)-(K33))),0.000001))^2)/(2*$I$5)+((E33)*((((ABS(H62)*$D$6)/(MAX(((F33)+(H33)*(MAX($D$16,(D62)-(J33))))*(MAX($D$16,(D62)-(J33))),0.000001)*MAX(((((F33)+(H33)*(MAX($D$16,(D62)-(J33))))*(MAX($D$16,(D62)-(J33))))/MAX((F33)+2*(MAX($D$16,(D62)-(J33)))*SQRT(1+(H33)^2),0.000001))^(2/3),0.000001)))^2)+(((ABS(H62)*$D$6)/(MAX(((G33)+(I33)*(MAX($D$16,(L62)-(K33))))*(MAX($D$16,(L62)-(K33))),0.000001)*MAX(((((G33)+(I33)*(MAX($D$16,(L62)-(K33))))*(MAX($D$16,(L62)-(K33))))/MAX((G33)+2*(MAX($D$16,(L62)-(K33)))*SQRT(1+(I33)^2),0.000001))^(2/3),0.000001)))^2))/2)+(IF((ABS(H62)/MAX(((G33)+(I33)*(MAX($D$16,(L62)-(K33))))*(MAX($D$16,(L62)-(K33))),0.000001))&gt;(ABS(H62)/MAX(((F33)+(H33)*(MAX($D$16,(D62)-(J33))))*(MAX($D$16,(D62)-(J33))),0.000001)),$D$9*((((ABS(H62)/MAX(((G33)+(I33)*(MAX($D$16,(L62)-(K33))))*(MAX($D$16,(L62)-(K33))),0.000001))^2)/(2*$I$5))-(((ABS(H62)/MAX(((F33)+(H33)*(MAX($D$16,(D62)-(J33))))*(MAX($D$16,(D62)-(J33))),0.000001))^2)/(2*$I$5))),$D$8*((((ABS(H62)/MAX(((F33)+(H33)*(MAX($D$16,(D62)-(J33))))*(MAX($D$16,(D62)-(J33))),0.000001))^2)/(2*$I$5))-(((ABS(H62)/MAX(((G33)+(I33)*(MAX($D$16,(L62)-(K33))))*(MAX($D$16,(L62)-(K33))),0.000001))^2)/(2*$I$5)))))+($D$10*(ABS((X33)-(W33))/90)*MAX(((ABS(H62)/MAX(((F33)+(H33)*(MAX($D$16,(D62)-(J33))))*(MAX($D$16,(D62)-(J33))),0.000001))^2)/(2*$I$5),((ABS(H62)/MAX(((G33)+(I33)*(MAX($D$16,(L62)-(K33))))*(MAX($D$16,(L62)-(K33))),0.000001))^2)/(2*$I$5)))+(($D$11*0.00000015*(ABS(G62)/MAX(ABS(F62),0.000001))^2*MAX(((ABS(H62)/MAX(((F33)+(H33)*(MAX($D$16,(D62)-(J33))))*(MAX($D$16,(D62)-(J33))),0.000001))^2)/(2*$I$5),((ABS(H62)/MAX(((G33)+(I33)*(MAX($D$16,(L62)-(K33))))*(MAX($D$16,(L62)-(K33))),0.000001))^2)/(2*$I$5))))-((ABS(H62)/MAX(((F33)+(H33)*(MAX($D$16,(D62)-(J33))))*(MAX($D$16,(D62)-(J33))),0.000001))^2)/(2*$I$5)</f>
        <v>634.3119999999999</v>
      </c>
      <c r="R62">
        <f>D62+((ABS(G62)/MAX(((F32)+(H32)*(MAX($D$16,(D62)-(J32))))*(MAX($D$16,(D62)-(J32))),0.000001))^2)/(2*$I$5)-((E32)*((((ABS(G62)*$D$6)/(MAX(((F32)+(H32)*(MAX($D$16,(D62)-(J32))))*(MAX($D$16,(D62)-(J32))),0.000001)*MAX(((((F32)+(H32)*(MAX($D$16,(D62)-(J32))))*(MAX($D$16,(D62)-(J32))))/MAX((F32)+2*(MAX($D$16,(D62)-(J32)))*SQRT(1+(H32)^2),0.000001))^(2/3),0.000001)))^2)+(((ABS(G62)*$D$6)/(MAX(((G32)+(I32)*(MAX($D$16,(E62)-(K32))))*(MAX($D$16,(E62)-(K32))),0.000001)*MAX(((((G32)+(I32)*(MAX($D$16,(E62)-(K32))))*(MAX($D$16,(E62)-(K32))))/MAX((G32)+2*(MAX($D$16,(E62)-(K32)))*SQRT(1+(I32)^2),0.000001))^(2/3),0.000001)))^2))/2)+(IF((ABS(G62)/MAX(((G32)+(I32)*(MAX($D$16,(E62)-(K32))))*(MAX($D$16,(E62)-(K32))),0.000001))&gt;(ABS(G62)/MAX(((F32)+(H32)*(MAX($D$16,(D62)-(J32))))*(MAX($D$16,(D62)-(J32))),0.000001)),$D$9*((((ABS(G62)/MAX(((G32)+(I32)*(MAX($D$16,(E62)-(K32))))*(MAX($D$16,(E62)-(K32))),0.000001))^2)/(2*$I$5))-(((ABS(G62)/MAX(((F32)+(H32)*(MAX($D$16,(D62)-(J32))))*(MAX($D$16,(D62)-(J32))),0.000001))^2)/(2*$I$5))),$D$8*((((ABS(G62)/MAX(((F32)+(H32)*(MAX($D$16,(D62)-(J32))))*(MAX($D$16,(D62)-(J32))),0.000001))^2)/(2*$I$5))-(((ABS(G62)/MAX(((G32)+(I32)*(MAX($D$16,(E62)-(K32))))*(MAX($D$16,(E62)-(K32))),0.000001))^2)/(2*$I$5)))))+($D$10*(ABS((X32)-(W32))/90)*MAX(((ABS(G62)/MAX(((F32)+(H32)*(MAX($D$16,(D62)-(J32))))*(MAX($D$16,(D62)-(J32))),0.000001))^2)/(2*$I$5),((ABS(G62)/MAX(((G32)+(I32)*(MAX($D$16,(E62)-(K32))))*(MAX($D$16,(E62)-(K32))),0.000001))^2)/(2*$I$5)))+(($D$11*0.13607488*(ABS(H62)/MAX(ABS(F62),0.000001))^2*MAX(((ABS(G62)/MAX(((F32)+(H32)*(MAX($D$16,(D62)-(J32))))*(MAX($D$16,(D62)-(J32))),0.000001))^2)/(2*$I$5),((ABS(G62)/MAX(((G32)+(I32)*(MAX($D$16,(E62)-(K32))))*(MAX($D$16,(E62)-(K32))),0.000001))^2)/(2*$I$5))))-((ABS(G62)/MAX(((G32)+(I32)*(MAX($D$16,(E62)-(K32))))*(MAX($D$16,(E62)-(K32))),0.000001))^2)/(2*$I$5)</f>
        <v>52432.141857383853</v>
      </c>
      <c r="S62">
        <f>M62+((ABS(I62)/MAX(((G34)+(I34)*(MAX($D$16,(M62)-(K34))))*(MAX($D$16,(M62)-(K34))),0.000001))^2)/(2*$I$5)+((E34)*((((ABS(I62)*$D$6)/(MAX(((F34)+(H34)*(MAX($D$16,(E62)-(J34))))*(MAX($D$16,(E62)-(J34))),0.000001)*MAX(((((F34)+(H34)*(MAX($D$16,(E62)-(J34))))*(MAX($D$16,(E62)-(J34))))/MAX((F34)+2*(MAX($D$16,(E62)-(J34)))*SQRT(1+(H34)^2),0.000001))^(2/3),0.000001)))^2)+(((ABS(I62)*$D$6)/(MAX(((G34)+(I34)*(MAX($D$16,(M62)-(K34))))*(MAX($D$16,(M62)-(K34))),0.000001)*MAX(((((G34)+(I34)*(MAX($D$16,(M62)-(K34))))*(MAX($D$16,(M62)-(K34))))/MAX((G34)+2*(MAX($D$16,(M62)-(K34)))*SQRT(1+(I34)^2),0.000001))^(2/3),0.000001)))^2))/2)+(IF((ABS(I62)/MAX(((G34)+(I34)*(MAX($D$16,(M62)-(K34))))*(MAX($D$16,(M62)-(K34))),0.000001))&gt;(ABS(I62)/MAX(((F34)+(H34)*(MAX($D$16,(E62)-(J34))))*(MAX($D$16,(E62)-(J34))),0.000001)),$D$9*((((ABS(I62)/MAX(((G34)+(I34)*(MAX($D$16,(M62)-(K34))))*(MAX($D$16,(M62)-(K34))),0.000001))^2)/(2*$I$5))-(((ABS(I62)/MAX(((F34)+(H34)*(MAX($D$16,(E62)-(J34))))*(MAX($D$16,(E62)-(J34))),0.000001))^2)/(2*$I$5))),$D$8*((((ABS(I62)/MAX(((F34)+(H34)*(MAX($D$16,(E62)-(J34))))*(MAX($D$16,(E62)-(J34))),0.000001))^2)/(2*$I$5))-(((ABS(I62)/MAX(((G34)+(I34)*(MAX($D$16,(M62)-(K34))))*(MAX($D$16,(M62)-(K34))),0.000001))^2)/(2*$I$5)))))+($D$10*(ABS((X34)-(W34))/90)*MAX(((ABS(I62)/MAX(((F34)+(H34)*(MAX($D$16,(E62)-(J34))))*(MAX($D$16,(E62)-(J34))),0.000001))^2)/(2*$I$5),((ABS(I62)/MAX(((G34)+(I34)*(MAX($D$16,(M62)-(K34))))*(MAX($D$16,(M62)-(K34))),0.000001))^2)/(2*$I$5)))+(0)-((ABS(I62)/MAX(((F34)+(H34)*(MAX($D$16,(E62)-(J34))))*(MAX($D$16,(E62)-(J34))),0.000001))^2)/(2*$I$5)</f>
        <v>635.5</v>
      </c>
      <c r="T62">
        <f>N62+((ABS(J62)/MAX(((G35)+(I35)*(MAX($D$16,(N62)-(K35))))*(MAX($D$16,(N62)-(K35))),0.000001))^2)/(2*$I$5)+((E35)*((((ABS(J62)*$D$6)/(MAX(((F35)+(H35)*(MAX($D$16,(E62)-(J35))))*(MAX($D$16,(E62)-(J35))),0.000001)*MAX(((((F35)+(H35)*(MAX($D$16,(E62)-(J35))))*(MAX($D$16,(E62)-(J35))))/MAX((F35)+2*(MAX($D$16,(E62)-(J35)))*SQRT(1+(H35)^2),0.000001))^(2/3),0.000001)))^2)+(((ABS(J62)*$D$6)/(MAX(((G35)+(I35)*(MAX($D$16,(N62)-(K35))))*(MAX($D$16,(N62)-(K35))),0.000001)*MAX(((((G35)+(I35)*(MAX($D$16,(N62)-(K35))))*(MAX($D$16,(N62)-(K35))))/MAX((G35)+2*(MAX($D$16,(N62)-(K35)))*SQRT(1+(I35)^2),0.000001))^(2/3),0.000001)))^2))/2)+(IF((ABS(J62)/MAX(((G35)+(I35)*(MAX($D$16,(N62)-(K35))))*(MAX($D$16,(N62)-(K35))),0.000001))&gt;(ABS(J62)/MAX(((F35)+(H35)*(MAX($D$16,(E62)-(J35))))*(MAX($D$16,(E62)-(J35))),0.000001)),$D$9*((((ABS(J62)/MAX(((G35)+(I35)*(MAX($D$16,(N62)-(K35))))*(MAX($D$16,(N62)-(K35))),0.000001))^2)/(2*$I$5))-(((ABS(J62)/MAX(((F35)+(H35)*(MAX($D$16,(E62)-(J35))))*(MAX($D$16,(E62)-(J35))),0.000001))^2)/(2*$I$5))),$D$8*((((ABS(J62)/MAX(((F35)+(H35)*(MAX($D$16,(E62)-(J35))))*(MAX($D$16,(E62)-(J35))),0.000001))^2)/(2*$I$5))-(((ABS(J62)/MAX(((G35)+(I35)*(MAX($D$16,(N62)-(K35))))*(MAX($D$16,(N62)-(K35))),0.000001))^2)/(2*$I$5)))))+($D$10*(ABS((X35)-(W35))/90)*MAX(((ABS(J62)/MAX(((F35)+(H35)*(MAX($D$16,(E62)-(J35))))*(MAX($D$16,(E62)-(J35))),0.000001))^2)/(2*$I$5),((ABS(J62)/MAX(((G35)+(I35)*(MAX($D$16,(N62)-(K35))))*(MAX($D$16,(N62)-(K35))),0.000001))^2)/(2*$I$5)))+(($D$11*0.34699541*(ABS(I62)/MAX(ABS(G62),0.000001))^2*MAX(((ABS(J62)/MAX(((F35)+(H35)*(MAX($D$16,(E62)-(J35))))*(MAX($D$16,(E62)-(J35))),0.000001))^2)/(2*$I$5),((ABS(J62)/MAX(((G35)+(I35)*(MAX($D$16,(N62)-(K35))))*(MAX($D$16,(N62)-(K35))),0.000001))^2)/(2*$I$5))))-((ABS(J62)/MAX(((F35)+(H35)*(MAX($D$16,(E62)-(J35))))*(MAX($D$16,(E62)-(J35))),0.000001))^2)/(2*$I$5)</f>
        <v>20784.033523923383</v>
      </c>
      <c r="U62">
        <f>(((((F32)*(MAX($D$16,(D62)-(J32)))^2)/2+(H32)*(MAX($D$16,(D62)-(J32)))^3/3+(ABS(G62)^2)/($I$5*MAX(((F32)+(H32)*(MAX($D$16,(D62)-(J32))))*(MAX($D$16,(D62)-(J32))),0.000001)))*0.72785025)-((((F33)*(MAX($D$16,(D62)-(J33)))^2)/2+(H33)*(MAX($D$16,(D62)-(J33)))^3/3+(ABS(H62)^2)/($I$5*MAX(((F33)+(H33)*(MAX($D$16,(D62)-(J33))))*(MAX($D$16,(D62)-(J33))),0.000001)))*0.99999971))/MAX(((G31)*(MAX($D$16,(D62)-(K31)))^2)/2+(I31)*(MAX($D$16,(D62)-(K31)))^3/3+(ABS(F62)^2)/($I$5*MAX(((G31)+(I31)*(MAX($D$16,(D62)-(K31))))*(MAX($D$16,(D62)-(K31))),0.000001)),0.000001)</f>
        <v>-0.27214945999991125</v>
      </c>
      <c r="V62">
        <f>(((((F34)*(MAX($D$16,(E62)-(J34)))^2)/2+(H34)*(MAX($D$16,(E62)-(J34)))^3/3+(ABS(I62)^2)/($I$5*MAX(((F34)+(H34)*(MAX($D$16,(E62)-(J34))))*(MAX($D$16,(E62)-(J34))),0.000001)))*1)-((((F35)*(MAX($D$16,(E62)-(J35)))^2)/2+(H35)*(MAX($D$16,(E62)-(J35)))^3/3+(ABS(J62)^2)/($I$5*MAX(((F35)+(H35)*(MAX($D$16,(E62)-(J35))))*(MAX($D$16,(E62)-(J35))),0.000001)))*0.30600918))/MAX(((G32)*(MAX($D$16,(E62)-(K32)))^2)/2+(I32)*(MAX($D$16,(E62)-(K32)))^3/3+(ABS(G62)^2)/($I$5*MAX(((G32)+(I32)*(MAX($D$16,(E62)-(K32))))*(MAX($D$16,(E62)-(K32))),0.000001)),0.000001)</f>
        <v>0.69398638937190216</v>
      </c>
      <c r="W62">
        <f>IF(N6="None",ABS(P62-D62),MAX(ABS(P62-D62),ABS(Q62-D62)))</f>
        <v>3.9454149373341352E-5</v>
      </c>
      <c r="X62">
        <f>IF(AND(N7="None",N8="None"),0,IF(N8="None",ABS(S62-E62),IF(N7="None",ABS(T62-E62),MAX(ABS(S62-E62),ABS(T62-E62)))))</f>
        <v>51796.641817929019</v>
      </c>
      <c r="AA62">
        <f t="shared" si="3"/>
        <v>52432.141843574769</v>
      </c>
      <c r="AB62">
        <f t="shared" si="4"/>
        <v>41355.303915027049</v>
      </c>
      <c r="AC62">
        <f>IF(N6="None",P62,MAX(P62,Q62))</f>
        <v>52432.141817929572</v>
      </c>
      <c r="AD62">
        <f>IF(AND(N7="None",N8="None"),E62,IF(N8="None",S62,IF(N7="None",T62,MAX(S62,T62))))</f>
        <v>20784.033523923383</v>
      </c>
      <c r="AE62">
        <f t="shared" si="5"/>
        <v>637.65825101089831</v>
      </c>
      <c r="AF62">
        <f t="shared" si="6"/>
        <v>52432.141857383853</v>
      </c>
      <c r="AG62">
        <f>((G31)*(MAX($D$16,(AC62)-(K31)))^2)/2+(I31)*(MAX($D$16,(AC62)-(K31)))^3/3+(ABS(F62)^2)/($I$5*MAX(((G31)+(I31)*(MAX($D$16,(AC62)-(K31))))*(MAX($D$16,(AC62)-(K31))),0.000001))</f>
        <v>8797611510.7087212</v>
      </c>
      <c r="AH62">
        <f>((G31)*(MAX($D$16,(AE62)-(K31)))^2)/2+(I31)*(MAX($D$16,(AE62)-(K31)))^3/3+(ABS(F62)^2)/($I$5*MAX(((G31)+(I31)*(MAX($D$16,(AE62)-(K31))))*(MAX($D$16,(AE62)-(K31))),0.000001))</f>
        <v>49.055863329575246</v>
      </c>
      <c r="AI62">
        <f>((G32)*(MAX($D$16,(AD62)-(K32)))^2)/2+(I32)*(MAX($D$16,(AD62)-(K32)))^3/3+(ABS(G62)^2)/($I$5*MAX(((G32)+(I32)*(MAX($D$16,(AD62)-(K32))))*(MAX($D$16,(AD62)-(K32))),0.000001))</f>
        <v>2072376743.6648321</v>
      </c>
      <c r="AJ62">
        <f>((G32)*(MAX($D$16,(AF62)-(K32)))^2)/2+(I32)*(MAX($D$16,(AF62)-(K32)))^3/3+(ABS(G62)^2)/($I$5*MAX(((G32)+(I32)*(MAX($D$16,(AF62)-(K32))))*(MAX($D$16,(AF62)-(K32))),0.000001))</f>
        <v>13692714800.070507</v>
      </c>
      <c r="AK62" t="str">
        <f t="shared" si="7"/>
        <v>Subcritical</v>
      </c>
      <c r="AL62" t="str">
        <f t="shared" si="8"/>
        <v>Supercritical</v>
      </c>
      <c r="AM62">
        <f t="shared" si="9"/>
        <v>52432.141843574769</v>
      </c>
      <c r="AN62">
        <f t="shared" si="10"/>
        <v>52432.141831738212</v>
      </c>
      <c r="AO62">
        <f t="shared" si="11"/>
        <v>3.9454149373341352E-5</v>
      </c>
      <c r="AP62">
        <f t="shared" si="12"/>
        <v>3.9454833313357085E-5</v>
      </c>
    </row>
    <row r="63" spans="1:42" x14ac:dyDescent="0.35">
      <c r="A63">
        <v>20</v>
      </c>
      <c r="B63">
        <f t="shared" si="13"/>
        <v>0</v>
      </c>
      <c r="C63">
        <f t="shared" si="14"/>
        <v>0</v>
      </c>
      <c r="D63">
        <f t="shared" si="15"/>
        <v>52432.141843574769</v>
      </c>
      <c r="E63">
        <f t="shared" si="16"/>
        <v>52432.141831738212</v>
      </c>
      <c r="F63">
        <f t="shared" si="2"/>
        <v>51</v>
      </c>
      <c r="G63">
        <f>IF(N6="None",F63,MAX(0,F63*B63))</f>
        <v>51</v>
      </c>
      <c r="H63">
        <f>IF(N6="None",0,MAX(0,F63-G63))</f>
        <v>0</v>
      </c>
      <c r="I63">
        <f>IF(AND(N7="None",N8="None"),0,IF(N8="None",G63,IF(N7="None",0,MAX(0,G63*C63))))</f>
        <v>0</v>
      </c>
      <c r="J63">
        <f>IF(AND(N7="None",N8="None"),0,IF(N8="None",0,IF(N7="None",G63,MAX(0,G63-I63))))</f>
        <v>51</v>
      </c>
      <c r="K63">
        <f>P5</f>
        <v>637</v>
      </c>
      <c r="L63">
        <f>P6</f>
        <v>634.3119999999999</v>
      </c>
      <c r="M63">
        <f>P7</f>
        <v>635.5</v>
      </c>
      <c r="N63">
        <f>P8</f>
        <v>631.54999999999995</v>
      </c>
      <c r="O63">
        <f>K63+((ABS(F63)/MAX(((F31)+(H31)*(MAX($D$16,(K63)-(J31))))*(MAX($D$16,(K63)-(J31))),0.000001))^2)/(2*$I$5)-((E31)*((((ABS(F63)*$D$6)/(MAX(((F31)+(H31)*(MAX($D$16,(K63)-(J31))))*(MAX($D$16,(K63)-(J31))),0.000001)*MAX(((((F31)+(H31)*(MAX($D$16,(K63)-(J31))))*(MAX($D$16,(K63)-(J31))))/MAX((F31)+2*(MAX($D$16,(K63)-(J31)))*SQRT(1+(H31)^2),0.000001))^(2/3),0.000001)))^2)+(((ABS(F63)*$D$6)/(MAX(((G31)+(I31)*(MAX($D$16,(D63)-(K31))))*(MAX($D$16,(D63)-(K31))),0.000001)*MAX(((((G31)+(I31)*(MAX($D$16,(D63)-(K31))))*(MAX($D$16,(D63)-(K31))))/MAX((G31)+2*(MAX($D$16,(D63)-(K31)))*SQRT(1+(I31)^2),0.000001))^(2/3),0.000001)))^2))/2)+(IF((ABS(F63)/MAX(((G31)+(I31)*(MAX($D$16,(D63)-(K31))))*(MAX($D$16,(D63)-(K31))),0.000001))&gt;(ABS(F63)/MAX(((F31)+(H31)*(MAX($D$16,(K63)-(J31))))*(MAX($D$16,(K63)-(J31))),0.000001)),$D$9*((((ABS(F63)/MAX(((G31)+(I31)*(MAX($D$16,(D63)-(K31))))*(MAX($D$16,(D63)-(K31))),0.000001))^2)/(2*$I$5))-(((ABS(F63)/MAX(((F31)+(H31)*(MAX($D$16,(K63)-(J31))))*(MAX($D$16,(K63)-(J31))),0.000001))^2)/(2*$I$5))),$D$8*((((ABS(F63)/MAX(((F31)+(H31)*(MAX($D$16,(K63)-(J31))))*(MAX($D$16,(K63)-(J31))),0.000001))^2)/(2*$I$5))-(((ABS(F63)/MAX(((G31)+(I31)*(MAX($D$16,(D63)-(K31))))*(MAX($D$16,(D63)-(K31))),0.000001))^2)/(2*$I$5)))))+($D$10*(ABS((X31)-(W31))/90)*MAX(((ABS(F63)/MAX(((F31)+(H31)*(MAX($D$16,(K63)-(J31))))*(MAX($D$16,(K63)-(J31))),0.000001))^2)/(2*$I$5),((ABS(F63)/MAX(((G31)+(I31)*(MAX($D$16,(D63)-(K31))))*(MAX($D$16,(D63)-(K31))),0.000001))^2)/(2*$I$5)))+(0)-((ABS(F63)/MAX(((G31)+(I31)*(MAX($D$16,(D63)-(K31))))*(MAX($D$16,(D63)-(K31))),0.000001))^2)/(2*$I$5)</f>
        <v>637.65825101089831</v>
      </c>
      <c r="P63">
        <f>E63+((ABS(G63)/MAX(((G32)+(I32)*(MAX($D$16,(E63)-(K32))))*(MAX($D$16,(E63)-(K32))),0.000001))^2)/(2*$I$5)+((E32)*((((ABS(G63)*$D$6)/(MAX(((F32)+(H32)*(MAX($D$16,(D63)-(J32))))*(MAX($D$16,(D63)-(J32))),0.000001)*MAX(((((F32)+(H32)*(MAX($D$16,(D63)-(J32))))*(MAX($D$16,(D63)-(J32))))/MAX((F32)+2*(MAX($D$16,(D63)-(J32)))*SQRT(1+(H32)^2),0.000001))^(2/3),0.000001)))^2)+(((ABS(G63)*$D$6)/(MAX(((G32)+(I32)*(MAX($D$16,(E63)-(K32))))*(MAX($D$16,(E63)-(K32))),0.000001)*MAX(((((G32)+(I32)*(MAX($D$16,(E63)-(K32))))*(MAX($D$16,(E63)-(K32))))/MAX((G32)+2*(MAX($D$16,(E63)-(K32)))*SQRT(1+(I32)^2),0.000001))^(2/3),0.000001)))^2))/2)+(IF((ABS(G63)/MAX(((G32)+(I32)*(MAX($D$16,(E63)-(K32))))*(MAX($D$16,(E63)-(K32))),0.000001))&gt;(ABS(G63)/MAX(((F32)+(H32)*(MAX($D$16,(D63)-(J32))))*(MAX($D$16,(D63)-(J32))),0.000001)),$D$9*((((ABS(G63)/MAX(((G32)+(I32)*(MAX($D$16,(E63)-(K32))))*(MAX($D$16,(E63)-(K32))),0.000001))^2)/(2*$I$5))-(((ABS(G63)/MAX(((F32)+(H32)*(MAX($D$16,(D63)-(J32))))*(MAX($D$16,(D63)-(J32))),0.000001))^2)/(2*$I$5))),$D$8*((((ABS(G63)/MAX(((F32)+(H32)*(MAX($D$16,(D63)-(J32))))*(MAX($D$16,(D63)-(J32))),0.000001))^2)/(2*$I$5))-(((ABS(G63)/MAX(((G32)+(I32)*(MAX($D$16,(E63)-(K32))))*(MAX($D$16,(E63)-(K32))),0.000001))^2)/(2*$I$5)))))+($D$10*(ABS((X32)-(W32))/90)*MAX(((ABS(G63)/MAX(((F32)+(H32)*(MAX($D$16,(D63)-(J32))))*(MAX($D$16,(D63)-(J32))),0.000001))^2)/(2*$I$5),((ABS(G63)/MAX(((G32)+(I32)*(MAX($D$16,(E63)-(K32))))*(MAX($D$16,(E63)-(K32))),0.000001))^2)/(2*$I$5)))+(($D$11*0.13607488*(ABS(H63)/MAX(ABS(F63),0.000001))^2*MAX(((ABS(G63)/MAX(((F32)+(H32)*(MAX($D$16,(D63)-(J32))))*(MAX($D$16,(D63)-(J32))),0.000001))^2)/(2*$I$5),((ABS(G63)/MAX(((G32)+(I32)*(MAX($D$16,(E63)-(K32))))*(MAX($D$16,(E63)-(K32))),0.000001))^2)/(2*$I$5))))-((ABS(G63)/MAX(((F32)+(H32)*(MAX($D$16,(D63)-(J32))))*(MAX($D$16,(D63)-(J32))),0.000001))^2)/(2*$I$5)</f>
        <v>52432.141831738765</v>
      </c>
      <c r="Q63">
        <f>L63+((ABS(H63)/MAX(((G33)+(I33)*(MAX($D$16,(L63)-(K33))))*(MAX($D$16,(L63)-(K33))),0.000001))^2)/(2*$I$5)+((E33)*((((ABS(H63)*$D$6)/(MAX(((F33)+(H33)*(MAX($D$16,(D63)-(J33))))*(MAX($D$16,(D63)-(J33))),0.000001)*MAX(((((F33)+(H33)*(MAX($D$16,(D63)-(J33))))*(MAX($D$16,(D63)-(J33))))/MAX((F33)+2*(MAX($D$16,(D63)-(J33)))*SQRT(1+(H33)^2),0.000001))^(2/3),0.000001)))^2)+(((ABS(H63)*$D$6)/(MAX(((G33)+(I33)*(MAX($D$16,(L63)-(K33))))*(MAX($D$16,(L63)-(K33))),0.000001)*MAX(((((G33)+(I33)*(MAX($D$16,(L63)-(K33))))*(MAX($D$16,(L63)-(K33))))/MAX((G33)+2*(MAX($D$16,(L63)-(K33)))*SQRT(1+(I33)^2),0.000001))^(2/3),0.000001)))^2))/2)+(IF((ABS(H63)/MAX(((G33)+(I33)*(MAX($D$16,(L63)-(K33))))*(MAX($D$16,(L63)-(K33))),0.000001))&gt;(ABS(H63)/MAX(((F33)+(H33)*(MAX($D$16,(D63)-(J33))))*(MAX($D$16,(D63)-(J33))),0.000001)),$D$9*((((ABS(H63)/MAX(((G33)+(I33)*(MAX($D$16,(L63)-(K33))))*(MAX($D$16,(L63)-(K33))),0.000001))^2)/(2*$I$5))-(((ABS(H63)/MAX(((F33)+(H33)*(MAX($D$16,(D63)-(J33))))*(MAX($D$16,(D63)-(J33))),0.000001))^2)/(2*$I$5))),$D$8*((((ABS(H63)/MAX(((F33)+(H33)*(MAX($D$16,(D63)-(J33))))*(MAX($D$16,(D63)-(J33))),0.000001))^2)/(2*$I$5))-(((ABS(H63)/MAX(((G33)+(I33)*(MAX($D$16,(L63)-(K33))))*(MAX($D$16,(L63)-(K33))),0.000001))^2)/(2*$I$5)))))+($D$10*(ABS((X33)-(W33))/90)*MAX(((ABS(H63)/MAX(((F33)+(H33)*(MAX($D$16,(D63)-(J33))))*(MAX($D$16,(D63)-(J33))),0.000001))^2)/(2*$I$5),((ABS(H63)/MAX(((G33)+(I33)*(MAX($D$16,(L63)-(K33))))*(MAX($D$16,(L63)-(K33))),0.000001))^2)/(2*$I$5)))+(($D$11*0.00000015*(ABS(G63)/MAX(ABS(F63),0.000001))^2*MAX(((ABS(H63)/MAX(((F33)+(H33)*(MAX($D$16,(D63)-(J33))))*(MAX($D$16,(D63)-(J33))),0.000001))^2)/(2*$I$5),((ABS(H63)/MAX(((G33)+(I33)*(MAX($D$16,(L63)-(K33))))*(MAX($D$16,(L63)-(K33))),0.000001))^2)/(2*$I$5))))-((ABS(H63)/MAX(((F33)+(H33)*(MAX($D$16,(D63)-(J33))))*(MAX($D$16,(D63)-(J33))),0.000001))^2)/(2*$I$5)</f>
        <v>634.3119999999999</v>
      </c>
      <c r="R63">
        <f>D63+((ABS(G63)/MAX(((F32)+(H32)*(MAX($D$16,(D63)-(J32))))*(MAX($D$16,(D63)-(J32))),0.000001))^2)/(2*$I$5)-((E32)*((((ABS(G63)*$D$6)/(MAX(((F32)+(H32)*(MAX($D$16,(D63)-(J32))))*(MAX($D$16,(D63)-(J32))),0.000001)*MAX(((((F32)+(H32)*(MAX($D$16,(D63)-(J32))))*(MAX($D$16,(D63)-(J32))))/MAX((F32)+2*(MAX($D$16,(D63)-(J32)))*SQRT(1+(H32)^2),0.000001))^(2/3),0.000001)))^2)+(((ABS(G63)*$D$6)/(MAX(((G32)+(I32)*(MAX($D$16,(E63)-(K32))))*(MAX($D$16,(E63)-(K32))),0.000001)*MAX(((((G32)+(I32)*(MAX($D$16,(E63)-(K32))))*(MAX($D$16,(E63)-(K32))))/MAX((G32)+2*(MAX($D$16,(E63)-(K32)))*SQRT(1+(I32)^2),0.000001))^(2/3),0.000001)))^2))/2)+(IF((ABS(G63)/MAX(((G32)+(I32)*(MAX($D$16,(E63)-(K32))))*(MAX($D$16,(E63)-(K32))),0.000001))&gt;(ABS(G63)/MAX(((F32)+(H32)*(MAX($D$16,(D63)-(J32))))*(MAX($D$16,(D63)-(J32))),0.000001)),$D$9*((((ABS(G63)/MAX(((G32)+(I32)*(MAX($D$16,(E63)-(K32))))*(MAX($D$16,(E63)-(K32))),0.000001))^2)/(2*$I$5))-(((ABS(G63)/MAX(((F32)+(H32)*(MAX($D$16,(D63)-(J32))))*(MAX($D$16,(D63)-(J32))),0.000001))^2)/(2*$I$5))),$D$8*((((ABS(G63)/MAX(((F32)+(H32)*(MAX($D$16,(D63)-(J32))))*(MAX($D$16,(D63)-(J32))),0.000001))^2)/(2*$I$5))-(((ABS(G63)/MAX(((G32)+(I32)*(MAX($D$16,(E63)-(K32))))*(MAX($D$16,(E63)-(K32))),0.000001))^2)/(2*$I$5)))))+($D$10*(ABS((X32)-(W32))/90)*MAX(((ABS(G63)/MAX(((F32)+(H32)*(MAX($D$16,(D63)-(J32))))*(MAX($D$16,(D63)-(J32))),0.000001))^2)/(2*$I$5),((ABS(G63)/MAX(((G32)+(I32)*(MAX($D$16,(E63)-(K32))))*(MAX($D$16,(E63)-(K32))),0.000001))^2)/(2*$I$5)))+(($D$11*0.13607488*(ABS(H63)/MAX(ABS(F63),0.000001))^2*MAX(((ABS(G63)/MAX(((F32)+(H32)*(MAX($D$16,(D63)-(J32))))*(MAX($D$16,(D63)-(J32))),0.000001))^2)/(2*$I$5),((ABS(G63)/MAX(((G32)+(I32)*(MAX($D$16,(E63)-(K32))))*(MAX($D$16,(E63)-(K32))),0.000001))^2)/(2*$I$5))))-((ABS(G63)/MAX(((G32)+(I32)*(MAX($D$16,(E63)-(K32))))*(MAX($D$16,(E63)-(K32))),0.000001))^2)/(2*$I$5)</f>
        <v>52432.1418435749</v>
      </c>
      <c r="S63">
        <f>M63+((ABS(I63)/MAX(((G34)+(I34)*(MAX($D$16,(M63)-(K34))))*(MAX($D$16,(M63)-(K34))),0.000001))^2)/(2*$I$5)+((E34)*((((ABS(I63)*$D$6)/(MAX(((F34)+(H34)*(MAX($D$16,(E63)-(J34))))*(MAX($D$16,(E63)-(J34))),0.000001)*MAX(((((F34)+(H34)*(MAX($D$16,(E63)-(J34))))*(MAX($D$16,(E63)-(J34))))/MAX((F34)+2*(MAX($D$16,(E63)-(J34)))*SQRT(1+(H34)^2),0.000001))^(2/3),0.000001)))^2)+(((ABS(I63)*$D$6)/(MAX(((G34)+(I34)*(MAX($D$16,(M63)-(K34))))*(MAX($D$16,(M63)-(K34))),0.000001)*MAX(((((G34)+(I34)*(MAX($D$16,(M63)-(K34))))*(MAX($D$16,(M63)-(K34))))/MAX((G34)+2*(MAX($D$16,(M63)-(K34)))*SQRT(1+(I34)^2),0.000001))^(2/3),0.000001)))^2))/2)+(IF((ABS(I63)/MAX(((G34)+(I34)*(MAX($D$16,(M63)-(K34))))*(MAX($D$16,(M63)-(K34))),0.000001))&gt;(ABS(I63)/MAX(((F34)+(H34)*(MAX($D$16,(E63)-(J34))))*(MAX($D$16,(E63)-(J34))),0.000001)),$D$9*((((ABS(I63)/MAX(((G34)+(I34)*(MAX($D$16,(M63)-(K34))))*(MAX($D$16,(M63)-(K34))),0.000001))^2)/(2*$I$5))-(((ABS(I63)/MAX(((F34)+(H34)*(MAX($D$16,(E63)-(J34))))*(MAX($D$16,(E63)-(J34))),0.000001))^2)/(2*$I$5))),$D$8*((((ABS(I63)/MAX(((F34)+(H34)*(MAX($D$16,(E63)-(J34))))*(MAX($D$16,(E63)-(J34))),0.000001))^2)/(2*$I$5))-(((ABS(I63)/MAX(((G34)+(I34)*(MAX($D$16,(M63)-(K34))))*(MAX($D$16,(M63)-(K34))),0.000001))^2)/(2*$I$5)))))+($D$10*(ABS((X34)-(W34))/90)*MAX(((ABS(I63)/MAX(((F34)+(H34)*(MAX($D$16,(E63)-(J34))))*(MAX($D$16,(E63)-(J34))),0.000001))^2)/(2*$I$5),((ABS(I63)/MAX(((G34)+(I34)*(MAX($D$16,(M63)-(K34))))*(MAX($D$16,(M63)-(K34))),0.000001))^2)/(2*$I$5)))+(0)-((ABS(I63)/MAX(((F34)+(H34)*(MAX($D$16,(E63)-(J34))))*(MAX($D$16,(E63)-(J34))),0.000001))^2)/(2*$I$5)</f>
        <v>635.5</v>
      </c>
      <c r="T63">
        <f>N63+((ABS(J63)/MAX(((G35)+(I35)*(MAX($D$16,(N63)-(K35))))*(MAX($D$16,(N63)-(K35))),0.000001))^2)/(2*$I$5)+((E35)*((((ABS(J63)*$D$6)/(MAX(((F35)+(H35)*(MAX($D$16,(E63)-(J35))))*(MAX($D$16,(E63)-(J35))),0.000001)*MAX(((((F35)+(H35)*(MAX($D$16,(E63)-(J35))))*(MAX($D$16,(E63)-(J35))))/MAX((F35)+2*(MAX($D$16,(E63)-(J35)))*SQRT(1+(H35)^2),0.000001))^(2/3),0.000001)))^2)+(((ABS(J63)*$D$6)/(MAX(((G35)+(I35)*(MAX($D$16,(N63)-(K35))))*(MAX($D$16,(N63)-(K35))),0.000001)*MAX(((((G35)+(I35)*(MAX($D$16,(N63)-(K35))))*(MAX($D$16,(N63)-(K35))))/MAX((G35)+2*(MAX($D$16,(N63)-(K35)))*SQRT(1+(I35)^2),0.000001))^(2/3),0.000001)))^2))/2)+(IF((ABS(J63)/MAX(((G35)+(I35)*(MAX($D$16,(N63)-(K35))))*(MAX($D$16,(N63)-(K35))),0.000001))&gt;(ABS(J63)/MAX(((F35)+(H35)*(MAX($D$16,(E63)-(J35))))*(MAX($D$16,(E63)-(J35))),0.000001)),$D$9*((((ABS(J63)/MAX(((G35)+(I35)*(MAX($D$16,(N63)-(K35))))*(MAX($D$16,(N63)-(K35))),0.000001))^2)/(2*$I$5))-(((ABS(J63)/MAX(((F35)+(H35)*(MAX($D$16,(E63)-(J35))))*(MAX($D$16,(E63)-(J35))),0.000001))^2)/(2*$I$5))),$D$8*((((ABS(J63)/MAX(((F35)+(H35)*(MAX($D$16,(E63)-(J35))))*(MAX($D$16,(E63)-(J35))),0.000001))^2)/(2*$I$5))-(((ABS(J63)/MAX(((G35)+(I35)*(MAX($D$16,(N63)-(K35))))*(MAX($D$16,(N63)-(K35))),0.000001))^2)/(2*$I$5)))))+($D$10*(ABS((X35)-(W35))/90)*MAX(((ABS(J63)/MAX(((F35)+(H35)*(MAX($D$16,(E63)-(J35))))*(MAX($D$16,(E63)-(J35))),0.000001))^2)/(2*$I$5),((ABS(J63)/MAX(((G35)+(I35)*(MAX($D$16,(N63)-(K35))))*(MAX($D$16,(N63)-(K35))),0.000001))^2)/(2*$I$5)))+(($D$11*0.34699541*(ABS(I63)/MAX(ABS(G63),0.000001))^2*MAX(((ABS(J63)/MAX(((F35)+(H35)*(MAX($D$16,(E63)-(J35))))*(MAX($D$16,(E63)-(J35))),0.000001))^2)/(2*$I$5),((ABS(J63)/MAX(((G35)+(I35)*(MAX($D$16,(N63)-(K35))))*(MAX($D$16,(N63)-(K35))),0.000001))^2)/(2*$I$5))))-((ABS(J63)/MAX(((F35)+(H35)*(MAX($D$16,(E63)-(J35))))*(MAX($D$16,(E63)-(J35))),0.000001))^2)/(2*$I$5)</f>
        <v>20784.033523923383</v>
      </c>
      <c r="U63">
        <f>(((((F32)*(MAX($D$16,(D63)-(J32)))^2)/2+(H32)*(MAX($D$16,(D63)-(J32)))^3/3+(ABS(G63)^2)/($I$5*MAX(((F32)+(H32)*(MAX($D$16,(D63)-(J32))))*(MAX($D$16,(D63)-(J32))),0.000001)))*0.72785025)-((((F33)*(MAX($D$16,(D63)-(J33)))^2)/2+(H33)*(MAX($D$16,(D63)-(J33)))^3/3+(ABS(H63)^2)/($I$5*MAX(((F33)+(H33)*(MAX($D$16,(D63)-(J33))))*(MAX($D$16,(D63)-(J33))),0.000001)))*0.99999971))/MAX(((G31)*(MAX($D$16,(D63)-(K31)))^2)/2+(I31)*(MAX($D$16,(D63)-(K31)))^3/3+(ABS(F63)^2)/($I$5*MAX(((G31)+(I31)*(MAX($D$16,(D63)-(K31))))*(MAX($D$16,(D63)-(K31))),0.000001)),0.000001)</f>
        <v>-0.2721494599999113</v>
      </c>
      <c r="V63">
        <f>(((((F34)*(MAX($D$16,(E63)-(J34)))^2)/2+(H34)*(MAX($D$16,(E63)-(J34)))^3/3+(ABS(I63)^2)/($I$5*MAX(((F34)+(H34)*(MAX($D$16,(E63)-(J34))))*(MAX($D$16,(E63)-(J34))),0.000001)))*1)-((((F35)*(MAX($D$16,(E63)-(J35)))^2)/2+(H35)*(MAX($D$16,(E63)-(J35)))^3/3+(ABS(J63)^2)/($I$5*MAX(((F35)+(H35)*(MAX($D$16,(E63)-(J35))))*(MAX($D$16,(E63)-(J35))),0.000001)))*0.30600918))/MAX(((G32)*(MAX($D$16,(E63)-(K32)))^2)/2+(I32)*(MAX($D$16,(E63)-(K32)))^3/3+(ABS(G63)^2)/($I$5*MAX(((G32)+(I32)*(MAX($D$16,(E63)-(K32))))*(MAX($D$16,(E63)-(K32))),0.000001)),0.000001)</f>
        <v>0.69398638937190338</v>
      </c>
      <c r="W63">
        <f>IF(N6="None",ABS(P63-D63),MAX(ABS(P63-D63),ABS(Q63-D63)))</f>
        <v>1.1836003977805376E-5</v>
      </c>
      <c r="X63">
        <f>IF(AND(N7="None",N8="None"),0,IF(N8="None",ABS(S63-E63),IF(N7="None",ABS(T63-E63),MAX(ABS(S63-E63),ABS(T63-E63)))))</f>
        <v>51796.641831738212</v>
      </c>
      <c r="AA63">
        <f t="shared" si="3"/>
        <v>52432.141839432166</v>
      </c>
      <c r="AB63">
        <f t="shared" si="4"/>
        <v>41355.303924003019</v>
      </c>
      <c r="AC63">
        <f>IF(N6="None",P63,MAX(P63,Q63))</f>
        <v>52432.141831738765</v>
      </c>
      <c r="AD63">
        <f>IF(AND(N7="None",N8="None"),E63,IF(N8="None",S63,IF(N7="None",T63,MAX(S63,T63))))</f>
        <v>20784.033523923383</v>
      </c>
      <c r="AE63">
        <f t="shared" si="5"/>
        <v>637.65825101089831</v>
      </c>
      <c r="AF63">
        <f t="shared" si="6"/>
        <v>52432.1418435749</v>
      </c>
      <c r="AG63">
        <f>((G31)*(MAX($D$16,(AC63)-(K31)))^2)/2+(I31)*(MAX($D$16,(AC63)-(K31)))^3/3+(ABS(F63)^2)/($I$5*MAX(((G31)+(I31)*(MAX($D$16,(AC63)-(K31))))*(MAX($D$16,(AC63)-(K31))),0.000001))</f>
        <v>8797611515.3995705</v>
      </c>
      <c r="AH63">
        <f>((G31)*(MAX($D$16,(AE63)-(K31)))^2)/2+(I31)*(MAX($D$16,(AE63)-(K31)))^3/3+(ABS(F63)^2)/($I$5*MAX(((G31)+(I31)*(MAX($D$16,(AE63)-(K31))))*(MAX($D$16,(AE63)-(K31))),0.000001))</f>
        <v>49.055863329575246</v>
      </c>
      <c r="AI63">
        <f>((G32)*(MAX($D$16,(AD63)-(K32)))^2)/2+(I32)*(MAX($D$16,(AD63)-(K32)))^3/3+(ABS(G63)^2)/($I$5*MAX(((G32)+(I32)*(MAX($D$16,(AD63)-(K32))))*(MAX($D$16,(AD63)-(K32))),0.000001))</f>
        <v>2072376743.6648321</v>
      </c>
      <c r="AJ63">
        <f>((G32)*(MAX($D$16,(AF63)-(K32)))^2)/2+(I32)*(MAX($D$16,(AF63)-(K32)))^3/3+(ABS(G63)^2)/($I$5*MAX(((G32)+(I32)*(MAX($D$16,(AF63)-(K32))))*(MAX($D$16,(AF63)-(K32))),0.000001))</f>
        <v>13692714792.770081</v>
      </c>
      <c r="AK63" t="str">
        <f t="shared" si="7"/>
        <v>Subcritical</v>
      </c>
      <c r="AL63" t="str">
        <f t="shared" si="8"/>
        <v>Supercritical</v>
      </c>
      <c r="AM63">
        <f t="shared" si="9"/>
        <v>52432.141839432166</v>
      </c>
      <c r="AN63">
        <f t="shared" si="10"/>
        <v>52432.141835881055</v>
      </c>
      <c r="AO63">
        <f t="shared" si="11"/>
        <v>1.1836003977805376E-5</v>
      </c>
      <c r="AP63">
        <f t="shared" si="12"/>
        <v>1.1836687917821109E-5</v>
      </c>
    </row>
    <row r="64" spans="1:42" x14ac:dyDescent="0.35">
      <c r="A64">
        <v>21</v>
      </c>
      <c r="B64">
        <f t="shared" si="13"/>
        <v>0</v>
      </c>
      <c r="C64">
        <f t="shared" si="14"/>
        <v>0</v>
      </c>
      <c r="D64">
        <f t="shared" si="15"/>
        <v>52432.141839432166</v>
      </c>
      <c r="E64">
        <f t="shared" si="16"/>
        <v>52432.141835881055</v>
      </c>
      <c r="F64">
        <f t="shared" si="2"/>
        <v>51</v>
      </c>
      <c r="G64">
        <f>IF(N6="None",F64,MAX(0,F64*B64))</f>
        <v>51</v>
      </c>
      <c r="H64">
        <f>IF(N6="None",0,MAX(0,F64-G64))</f>
        <v>0</v>
      </c>
      <c r="I64">
        <f>IF(AND(N7="None",N8="None"),0,IF(N8="None",G64,IF(N7="None",0,MAX(0,G64*C64))))</f>
        <v>0</v>
      </c>
      <c r="J64">
        <f>IF(AND(N7="None",N8="None"),0,IF(N8="None",0,IF(N7="None",G64,MAX(0,G64-I64))))</f>
        <v>51</v>
      </c>
      <c r="K64">
        <f>P5</f>
        <v>637</v>
      </c>
      <c r="L64">
        <f>P6</f>
        <v>634.3119999999999</v>
      </c>
      <c r="M64">
        <f>P7</f>
        <v>635.5</v>
      </c>
      <c r="N64">
        <f>P8</f>
        <v>631.54999999999995</v>
      </c>
      <c r="O64">
        <f>K64+((ABS(F64)/MAX(((F31)+(H31)*(MAX($D$16,(K64)-(J31))))*(MAX($D$16,(K64)-(J31))),0.000001))^2)/(2*$I$5)-((E31)*((((ABS(F64)*$D$6)/(MAX(((F31)+(H31)*(MAX($D$16,(K64)-(J31))))*(MAX($D$16,(K64)-(J31))),0.000001)*MAX(((((F31)+(H31)*(MAX($D$16,(K64)-(J31))))*(MAX($D$16,(K64)-(J31))))/MAX((F31)+2*(MAX($D$16,(K64)-(J31)))*SQRT(1+(H31)^2),0.000001))^(2/3),0.000001)))^2)+(((ABS(F64)*$D$6)/(MAX(((G31)+(I31)*(MAX($D$16,(D64)-(K31))))*(MAX($D$16,(D64)-(K31))),0.000001)*MAX(((((G31)+(I31)*(MAX($D$16,(D64)-(K31))))*(MAX($D$16,(D64)-(K31))))/MAX((G31)+2*(MAX($D$16,(D64)-(K31)))*SQRT(1+(I31)^2),0.000001))^(2/3),0.000001)))^2))/2)+(IF((ABS(F64)/MAX(((G31)+(I31)*(MAX($D$16,(D64)-(K31))))*(MAX($D$16,(D64)-(K31))),0.000001))&gt;(ABS(F64)/MAX(((F31)+(H31)*(MAX($D$16,(K64)-(J31))))*(MAX($D$16,(K64)-(J31))),0.000001)),$D$9*((((ABS(F64)/MAX(((G31)+(I31)*(MAX($D$16,(D64)-(K31))))*(MAX($D$16,(D64)-(K31))),0.000001))^2)/(2*$I$5))-(((ABS(F64)/MAX(((F31)+(H31)*(MAX($D$16,(K64)-(J31))))*(MAX($D$16,(K64)-(J31))),0.000001))^2)/(2*$I$5))),$D$8*((((ABS(F64)/MAX(((F31)+(H31)*(MAX($D$16,(K64)-(J31))))*(MAX($D$16,(K64)-(J31))),0.000001))^2)/(2*$I$5))-(((ABS(F64)/MAX(((G31)+(I31)*(MAX($D$16,(D64)-(K31))))*(MAX($D$16,(D64)-(K31))),0.000001))^2)/(2*$I$5)))))+($D$10*(ABS((X31)-(W31))/90)*MAX(((ABS(F64)/MAX(((F31)+(H31)*(MAX($D$16,(K64)-(J31))))*(MAX($D$16,(K64)-(J31))),0.000001))^2)/(2*$I$5),((ABS(F64)/MAX(((G31)+(I31)*(MAX($D$16,(D64)-(K31))))*(MAX($D$16,(D64)-(K31))),0.000001))^2)/(2*$I$5)))+(0)-((ABS(F64)/MAX(((G31)+(I31)*(MAX($D$16,(D64)-(K31))))*(MAX($D$16,(D64)-(K31))),0.000001))^2)/(2*$I$5)</f>
        <v>637.65825101089831</v>
      </c>
      <c r="P64">
        <f>E64+((ABS(G64)/MAX(((G32)+(I32)*(MAX($D$16,(E64)-(K32))))*(MAX($D$16,(E64)-(K32))),0.000001))^2)/(2*$I$5)+((E32)*((((ABS(G64)*$D$6)/(MAX(((F32)+(H32)*(MAX($D$16,(D64)-(J32))))*(MAX($D$16,(D64)-(J32))),0.000001)*MAX(((((F32)+(H32)*(MAX($D$16,(D64)-(J32))))*(MAX($D$16,(D64)-(J32))))/MAX((F32)+2*(MAX($D$16,(D64)-(J32)))*SQRT(1+(H32)^2),0.000001))^(2/3),0.000001)))^2)+(((ABS(G64)*$D$6)/(MAX(((G32)+(I32)*(MAX($D$16,(E64)-(K32))))*(MAX($D$16,(E64)-(K32))),0.000001)*MAX(((((G32)+(I32)*(MAX($D$16,(E64)-(K32))))*(MAX($D$16,(E64)-(K32))))/MAX((G32)+2*(MAX($D$16,(E64)-(K32)))*SQRT(1+(I32)^2),0.000001))^(2/3),0.000001)))^2))/2)+(IF((ABS(G64)/MAX(((G32)+(I32)*(MAX($D$16,(E64)-(K32))))*(MAX($D$16,(E64)-(K32))),0.000001))&gt;(ABS(G64)/MAX(((F32)+(H32)*(MAX($D$16,(D64)-(J32))))*(MAX($D$16,(D64)-(J32))),0.000001)),$D$9*((((ABS(G64)/MAX(((G32)+(I32)*(MAX($D$16,(E64)-(K32))))*(MAX($D$16,(E64)-(K32))),0.000001))^2)/(2*$I$5))-(((ABS(G64)/MAX(((F32)+(H32)*(MAX($D$16,(D64)-(J32))))*(MAX($D$16,(D64)-(J32))),0.000001))^2)/(2*$I$5))),$D$8*((((ABS(G64)/MAX(((F32)+(H32)*(MAX($D$16,(D64)-(J32))))*(MAX($D$16,(D64)-(J32))),0.000001))^2)/(2*$I$5))-(((ABS(G64)/MAX(((G32)+(I32)*(MAX($D$16,(E64)-(K32))))*(MAX($D$16,(E64)-(K32))),0.000001))^2)/(2*$I$5)))))+($D$10*(ABS((X32)-(W32))/90)*MAX(((ABS(G64)/MAX(((F32)+(H32)*(MAX($D$16,(D64)-(J32))))*(MAX($D$16,(D64)-(J32))),0.000001))^2)/(2*$I$5),((ABS(G64)/MAX(((G32)+(I32)*(MAX($D$16,(E64)-(K32))))*(MAX($D$16,(E64)-(K32))),0.000001))^2)/(2*$I$5)))+(($D$11*0.13607488*(ABS(H64)/MAX(ABS(F64),0.000001))^2*MAX(((ABS(G64)/MAX(((F32)+(H32)*(MAX($D$16,(D64)-(J32))))*(MAX($D$16,(D64)-(J32))),0.000001))^2)/(2*$I$5),((ABS(G64)/MAX(((G32)+(I32)*(MAX($D$16,(E64)-(K32))))*(MAX($D$16,(E64)-(K32))),0.000001))^2)/(2*$I$5))))-((ABS(G64)/MAX(((F32)+(H32)*(MAX($D$16,(D64)-(J32))))*(MAX($D$16,(D64)-(J32))),0.000001))^2)/(2*$I$5)</f>
        <v>52432.141835881608</v>
      </c>
      <c r="Q64">
        <f>L64+((ABS(H64)/MAX(((G33)+(I33)*(MAX($D$16,(L64)-(K33))))*(MAX($D$16,(L64)-(K33))),0.000001))^2)/(2*$I$5)+((E33)*((((ABS(H64)*$D$6)/(MAX(((F33)+(H33)*(MAX($D$16,(D64)-(J33))))*(MAX($D$16,(D64)-(J33))),0.000001)*MAX(((((F33)+(H33)*(MAX($D$16,(D64)-(J33))))*(MAX($D$16,(D64)-(J33))))/MAX((F33)+2*(MAX($D$16,(D64)-(J33)))*SQRT(1+(H33)^2),0.000001))^(2/3),0.000001)))^2)+(((ABS(H64)*$D$6)/(MAX(((G33)+(I33)*(MAX($D$16,(L64)-(K33))))*(MAX($D$16,(L64)-(K33))),0.000001)*MAX(((((G33)+(I33)*(MAX($D$16,(L64)-(K33))))*(MAX($D$16,(L64)-(K33))))/MAX((G33)+2*(MAX($D$16,(L64)-(K33)))*SQRT(1+(I33)^2),0.000001))^(2/3),0.000001)))^2))/2)+(IF((ABS(H64)/MAX(((G33)+(I33)*(MAX($D$16,(L64)-(K33))))*(MAX($D$16,(L64)-(K33))),0.000001))&gt;(ABS(H64)/MAX(((F33)+(H33)*(MAX($D$16,(D64)-(J33))))*(MAX($D$16,(D64)-(J33))),0.000001)),$D$9*((((ABS(H64)/MAX(((G33)+(I33)*(MAX($D$16,(L64)-(K33))))*(MAX($D$16,(L64)-(K33))),0.000001))^2)/(2*$I$5))-(((ABS(H64)/MAX(((F33)+(H33)*(MAX($D$16,(D64)-(J33))))*(MAX($D$16,(D64)-(J33))),0.000001))^2)/(2*$I$5))),$D$8*((((ABS(H64)/MAX(((F33)+(H33)*(MAX($D$16,(D64)-(J33))))*(MAX($D$16,(D64)-(J33))),0.000001))^2)/(2*$I$5))-(((ABS(H64)/MAX(((G33)+(I33)*(MAX($D$16,(L64)-(K33))))*(MAX($D$16,(L64)-(K33))),0.000001))^2)/(2*$I$5)))))+($D$10*(ABS((X33)-(W33))/90)*MAX(((ABS(H64)/MAX(((F33)+(H33)*(MAX($D$16,(D64)-(J33))))*(MAX($D$16,(D64)-(J33))),0.000001))^2)/(2*$I$5),((ABS(H64)/MAX(((G33)+(I33)*(MAX($D$16,(L64)-(K33))))*(MAX($D$16,(L64)-(K33))),0.000001))^2)/(2*$I$5)))+(($D$11*0.00000015*(ABS(G64)/MAX(ABS(F64),0.000001))^2*MAX(((ABS(H64)/MAX(((F33)+(H33)*(MAX($D$16,(D64)-(J33))))*(MAX($D$16,(D64)-(J33))),0.000001))^2)/(2*$I$5),((ABS(H64)/MAX(((G33)+(I33)*(MAX($D$16,(L64)-(K33))))*(MAX($D$16,(L64)-(K33))),0.000001))^2)/(2*$I$5))))-((ABS(H64)/MAX(((F33)+(H33)*(MAX($D$16,(D64)-(J33))))*(MAX($D$16,(D64)-(J33))),0.000001))^2)/(2*$I$5)</f>
        <v>634.3119999999999</v>
      </c>
      <c r="R64">
        <f>D64+((ABS(G64)/MAX(((F32)+(H32)*(MAX($D$16,(D64)-(J32))))*(MAX($D$16,(D64)-(J32))),0.000001))^2)/(2*$I$5)-((E32)*((((ABS(G64)*$D$6)/(MAX(((F32)+(H32)*(MAX($D$16,(D64)-(J32))))*(MAX($D$16,(D64)-(J32))),0.000001)*MAX(((((F32)+(H32)*(MAX($D$16,(D64)-(J32))))*(MAX($D$16,(D64)-(J32))))/MAX((F32)+2*(MAX($D$16,(D64)-(J32)))*SQRT(1+(H32)^2),0.000001))^(2/3),0.000001)))^2)+(((ABS(G64)*$D$6)/(MAX(((G32)+(I32)*(MAX($D$16,(E64)-(K32))))*(MAX($D$16,(E64)-(K32))),0.000001)*MAX(((((G32)+(I32)*(MAX($D$16,(E64)-(K32))))*(MAX($D$16,(E64)-(K32))))/MAX((G32)+2*(MAX($D$16,(E64)-(K32)))*SQRT(1+(I32)^2),0.000001))^(2/3),0.000001)))^2))/2)+(IF((ABS(G64)/MAX(((G32)+(I32)*(MAX($D$16,(E64)-(K32))))*(MAX($D$16,(E64)-(K32))),0.000001))&gt;(ABS(G64)/MAX(((F32)+(H32)*(MAX($D$16,(D64)-(J32))))*(MAX($D$16,(D64)-(J32))),0.000001)),$D$9*((((ABS(G64)/MAX(((G32)+(I32)*(MAX($D$16,(E64)-(K32))))*(MAX($D$16,(E64)-(K32))),0.000001))^2)/(2*$I$5))-(((ABS(G64)/MAX(((F32)+(H32)*(MAX($D$16,(D64)-(J32))))*(MAX($D$16,(D64)-(J32))),0.000001))^2)/(2*$I$5))),$D$8*((((ABS(G64)/MAX(((F32)+(H32)*(MAX($D$16,(D64)-(J32))))*(MAX($D$16,(D64)-(J32))),0.000001))^2)/(2*$I$5))-(((ABS(G64)/MAX(((G32)+(I32)*(MAX($D$16,(E64)-(K32))))*(MAX($D$16,(E64)-(K32))),0.000001))^2)/(2*$I$5)))))+($D$10*(ABS((X32)-(W32))/90)*MAX(((ABS(G64)/MAX(((F32)+(H32)*(MAX($D$16,(D64)-(J32))))*(MAX($D$16,(D64)-(J32))),0.000001))^2)/(2*$I$5),((ABS(G64)/MAX(((G32)+(I32)*(MAX($D$16,(E64)-(K32))))*(MAX($D$16,(E64)-(K32))),0.000001))^2)/(2*$I$5)))+(($D$11*0.13607488*(ABS(H64)/MAX(ABS(F64),0.000001))^2*MAX(((ABS(G64)/MAX(((F32)+(H32)*(MAX($D$16,(D64)-(J32))))*(MAX($D$16,(D64)-(J32))),0.000001))^2)/(2*$I$5),((ABS(G64)/MAX(((G32)+(I32)*(MAX($D$16,(E64)-(K32))))*(MAX($D$16,(E64)-(K32))),0.000001))^2)/(2*$I$5))))-((ABS(G64)/MAX(((G32)+(I32)*(MAX($D$16,(E64)-(K32))))*(MAX($D$16,(E64)-(K32))),0.000001))^2)/(2*$I$5)</f>
        <v>52432.141839432297</v>
      </c>
      <c r="S64">
        <f>M64+((ABS(I64)/MAX(((G34)+(I34)*(MAX($D$16,(M64)-(K34))))*(MAX($D$16,(M64)-(K34))),0.000001))^2)/(2*$I$5)+((E34)*((((ABS(I64)*$D$6)/(MAX(((F34)+(H34)*(MAX($D$16,(E64)-(J34))))*(MAX($D$16,(E64)-(J34))),0.000001)*MAX(((((F34)+(H34)*(MAX($D$16,(E64)-(J34))))*(MAX($D$16,(E64)-(J34))))/MAX((F34)+2*(MAX($D$16,(E64)-(J34)))*SQRT(1+(H34)^2),0.000001))^(2/3),0.000001)))^2)+(((ABS(I64)*$D$6)/(MAX(((G34)+(I34)*(MAX($D$16,(M64)-(K34))))*(MAX($D$16,(M64)-(K34))),0.000001)*MAX(((((G34)+(I34)*(MAX($D$16,(M64)-(K34))))*(MAX($D$16,(M64)-(K34))))/MAX((G34)+2*(MAX($D$16,(M64)-(K34)))*SQRT(1+(I34)^2),0.000001))^(2/3),0.000001)))^2))/2)+(IF((ABS(I64)/MAX(((G34)+(I34)*(MAX($D$16,(M64)-(K34))))*(MAX($D$16,(M64)-(K34))),0.000001))&gt;(ABS(I64)/MAX(((F34)+(H34)*(MAX($D$16,(E64)-(J34))))*(MAX($D$16,(E64)-(J34))),0.000001)),$D$9*((((ABS(I64)/MAX(((G34)+(I34)*(MAX($D$16,(M64)-(K34))))*(MAX($D$16,(M64)-(K34))),0.000001))^2)/(2*$I$5))-(((ABS(I64)/MAX(((F34)+(H34)*(MAX($D$16,(E64)-(J34))))*(MAX($D$16,(E64)-(J34))),0.000001))^2)/(2*$I$5))),$D$8*((((ABS(I64)/MAX(((F34)+(H34)*(MAX($D$16,(E64)-(J34))))*(MAX($D$16,(E64)-(J34))),0.000001))^2)/(2*$I$5))-(((ABS(I64)/MAX(((G34)+(I34)*(MAX($D$16,(M64)-(K34))))*(MAX($D$16,(M64)-(K34))),0.000001))^2)/(2*$I$5)))))+($D$10*(ABS((X34)-(W34))/90)*MAX(((ABS(I64)/MAX(((F34)+(H34)*(MAX($D$16,(E64)-(J34))))*(MAX($D$16,(E64)-(J34))),0.000001))^2)/(2*$I$5),((ABS(I64)/MAX(((G34)+(I34)*(MAX($D$16,(M64)-(K34))))*(MAX($D$16,(M64)-(K34))),0.000001))^2)/(2*$I$5)))+(0)-((ABS(I64)/MAX(((F34)+(H34)*(MAX($D$16,(E64)-(J34))))*(MAX($D$16,(E64)-(J34))),0.000001))^2)/(2*$I$5)</f>
        <v>635.5</v>
      </c>
      <c r="T64">
        <f>N64+((ABS(J64)/MAX(((G35)+(I35)*(MAX($D$16,(N64)-(K35))))*(MAX($D$16,(N64)-(K35))),0.000001))^2)/(2*$I$5)+((E35)*((((ABS(J64)*$D$6)/(MAX(((F35)+(H35)*(MAX($D$16,(E64)-(J35))))*(MAX($D$16,(E64)-(J35))),0.000001)*MAX(((((F35)+(H35)*(MAX($D$16,(E64)-(J35))))*(MAX($D$16,(E64)-(J35))))/MAX((F35)+2*(MAX($D$16,(E64)-(J35)))*SQRT(1+(H35)^2),0.000001))^(2/3),0.000001)))^2)+(((ABS(J64)*$D$6)/(MAX(((G35)+(I35)*(MAX($D$16,(N64)-(K35))))*(MAX($D$16,(N64)-(K35))),0.000001)*MAX(((((G35)+(I35)*(MAX($D$16,(N64)-(K35))))*(MAX($D$16,(N64)-(K35))))/MAX((G35)+2*(MAX($D$16,(N64)-(K35)))*SQRT(1+(I35)^2),0.000001))^(2/3),0.000001)))^2))/2)+(IF((ABS(J64)/MAX(((G35)+(I35)*(MAX($D$16,(N64)-(K35))))*(MAX($D$16,(N64)-(K35))),0.000001))&gt;(ABS(J64)/MAX(((F35)+(H35)*(MAX($D$16,(E64)-(J35))))*(MAX($D$16,(E64)-(J35))),0.000001)),$D$9*((((ABS(J64)/MAX(((G35)+(I35)*(MAX($D$16,(N64)-(K35))))*(MAX($D$16,(N64)-(K35))),0.000001))^2)/(2*$I$5))-(((ABS(J64)/MAX(((F35)+(H35)*(MAX($D$16,(E64)-(J35))))*(MAX($D$16,(E64)-(J35))),0.000001))^2)/(2*$I$5))),$D$8*((((ABS(J64)/MAX(((F35)+(H35)*(MAX($D$16,(E64)-(J35))))*(MAX($D$16,(E64)-(J35))),0.000001))^2)/(2*$I$5))-(((ABS(J64)/MAX(((G35)+(I35)*(MAX($D$16,(N64)-(K35))))*(MAX($D$16,(N64)-(K35))),0.000001))^2)/(2*$I$5)))))+($D$10*(ABS((X35)-(W35))/90)*MAX(((ABS(J64)/MAX(((F35)+(H35)*(MAX($D$16,(E64)-(J35))))*(MAX($D$16,(E64)-(J35))),0.000001))^2)/(2*$I$5),((ABS(J64)/MAX(((G35)+(I35)*(MAX($D$16,(N64)-(K35))))*(MAX($D$16,(N64)-(K35))),0.000001))^2)/(2*$I$5)))+(($D$11*0.34699541*(ABS(I64)/MAX(ABS(G64),0.000001))^2*MAX(((ABS(J64)/MAX(((F35)+(H35)*(MAX($D$16,(E64)-(J35))))*(MAX($D$16,(E64)-(J35))),0.000001))^2)/(2*$I$5),((ABS(J64)/MAX(((G35)+(I35)*(MAX($D$16,(N64)-(K35))))*(MAX($D$16,(N64)-(K35))),0.000001))^2)/(2*$I$5))))-((ABS(J64)/MAX(((F35)+(H35)*(MAX($D$16,(E64)-(J35))))*(MAX($D$16,(E64)-(J35))),0.000001))^2)/(2*$I$5)</f>
        <v>20784.033523923383</v>
      </c>
      <c r="U64">
        <f>(((((F32)*(MAX($D$16,(D64)-(J32)))^2)/2+(H32)*(MAX($D$16,(D64)-(J32)))^3/3+(ABS(G64)^2)/($I$5*MAX(((F32)+(H32)*(MAX($D$16,(D64)-(J32))))*(MAX($D$16,(D64)-(J32))),0.000001)))*0.72785025)-((((F33)*(MAX($D$16,(D64)-(J33)))^2)/2+(H33)*(MAX($D$16,(D64)-(J33)))^3/3+(ABS(H64)^2)/($I$5*MAX(((F33)+(H33)*(MAX($D$16,(D64)-(J33))))*(MAX($D$16,(D64)-(J33))),0.000001)))*0.99999971))/MAX(((G31)*(MAX($D$16,(D64)-(K31)))^2)/2+(I31)*(MAX($D$16,(D64)-(K31)))^3/3+(ABS(F64)^2)/($I$5*MAX(((G31)+(I31)*(MAX($D$16,(D64)-(K31))))*(MAX($D$16,(D64)-(K31))),0.000001)),0.000001)</f>
        <v>-0.27214945999991125</v>
      </c>
      <c r="V64">
        <f>(((((F34)*(MAX($D$16,(E64)-(J34)))^2)/2+(H34)*(MAX($D$16,(E64)-(J34)))^3/3+(ABS(I64)^2)/($I$5*MAX(((F34)+(H34)*(MAX($D$16,(E64)-(J34))))*(MAX($D$16,(E64)-(J34))),0.000001)))*1)-((((F35)*(MAX($D$16,(E64)-(J35)))^2)/2+(H35)*(MAX($D$16,(E64)-(J35)))^3/3+(ABS(J64)^2)/($I$5*MAX(((F35)+(H35)*(MAX($D$16,(E64)-(J35))))*(MAX($D$16,(E64)-(J35))),0.000001)))*0.30600918))/MAX(((G32)*(MAX($D$16,(E64)-(K32)))^2)/2+(I32)*(MAX($D$16,(E64)-(K32)))^3/3+(ABS(G64)^2)/($I$5*MAX(((G32)+(I32)*(MAX($D$16,(E64)-(K32))))*(MAX($D$16,(E64)-(K32))),0.000001)),0.000001)</f>
        <v>0.69398638937190382</v>
      </c>
      <c r="W64">
        <f>IF(N6="None",ABS(P64-D64),MAX(ABS(P64-D64),ABS(Q64-D64)))</f>
        <v>3.5505581763572991E-6</v>
      </c>
      <c r="X64">
        <f>IF(AND(N7="None",N8="None"),0,IF(N8="None",ABS(S64-E64),IF(N7="None",ABS(T64-E64),MAX(ABS(S64-E64),ABS(T64-E64)))))</f>
        <v>51796.641835881055</v>
      </c>
      <c r="AA64">
        <f t="shared" si="3"/>
        <v>52432.141838189469</v>
      </c>
      <c r="AB64">
        <f t="shared" si="4"/>
        <v>41355.303926695873</v>
      </c>
      <c r="AC64">
        <f>IF(N6="None",P64,MAX(P64,Q64))</f>
        <v>52432.141835881608</v>
      </c>
      <c r="AD64">
        <f>IF(AND(N7="None",N8="None"),E64,IF(N8="None",S64,IF(N7="None",T64,MAX(S64,T64))))</f>
        <v>20784.033523923383</v>
      </c>
      <c r="AE64">
        <f t="shared" si="5"/>
        <v>637.65825101089831</v>
      </c>
      <c r="AF64">
        <f t="shared" si="6"/>
        <v>52432.141839432297</v>
      </c>
      <c r="AG64">
        <f>((G31)*(MAX($D$16,(AC64)-(K31)))^2)/2+(I31)*(MAX($D$16,(AC64)-(K31)))^3/3+(ABS(F64)^2)/($I$5*MAX(((G31)+(I31)*(MAX($D$16,(AC64)-(K31))))*(MAX($D$16,(AC64)-(K31))),0.000001))</f>
        <v>8797611516.8068542</v>
      </c>
      <c r="AH64">
        <f>((G31)*(MAX($D$16,(AE64)-(K31)))^2)/2+(I31)*(MAX($D$16,(AE64)-(K31)))^3/3+(ABS(F64)^2)/($I$5*MAX(((G31)+(I31)*(MAX($D$16,(AE64)-(K31))))*(MAX($D$16,(AE64)-(K31))),0.000001))</f>
        <v>49.055863329575246</v>
      </c>
      <c r="AI64">
        <f>((G32)*(MAX($D$16,(AD64)-(K32)))^2)/2+(I32)*(MAX($D$16,(AD64)-(K32)))^3/3+(ABS(G64)^2)/($I$5*MAX(((G32)+(I32)*(MAX($D$16,(AD64)-(K32))))*(MAX($D$16,(AD64)-(K32))),0.000001))</f>
        <v>2072376743.6648321</v>
      </c>
      <c r="AJ64">
        <f>((G32)*(MAX($D$16,(AF64)-(K32)))^2)/2+(I32)*(MAX($D$16,(AF64)-(K32)))^3/3+(ABS(G64)^2)/($I$5*MAX(((G32)+(I32)*(MAX($D$16,(AF64)-(K32))))*(MAX($D$16,(AF64)-(K32))),0.000001))</f>
        <v>13692714790.579996</v>
      </c>
      <c r="AK64" t="str">
        <f t="shared" si="7"/>
        <v>Subcritical</v>
      </c>
      <c r="AL64" t="str">
        <f t="shared" si="8"/>
        <v>Supercritical</v>
      </c>
      <c r="AM64">
        <f t="shared" si="9"/>
        <v>52432.141838189469</v>
      </c>
      <c r="AN64">
        <f t="shared" si="10"/>
        <v>52432.141837123992</v>
      </c>
      <c r="AO64">
        <f t="shared" si="11"/>
        <v>3.5505581763572991E-6</v>
      </c>
      <c r="AP64">
        <f t="shared" si="12"/>
        <v>3.5512421163730323E-6</v>
      </c>
    </row>
    <row r="65" spans="1:42" x14ac:dyDescent="0.35">
      <c r="A65">
        <v>22</v>
      </c>
      <c r="B65">
        <f t="shared" si="13"/>
        <v>0</v>
      </c>
      <c r="C65">
        <f t="shared" si="14"/>
        <v>0</v>
      </c>
      <c r="D65">
        <f t="shared" si="15"/>
        <v>52432.141838189469</v>
      </c>
      <c r="E65">
        <f t="shared" si="16"/>
        <v>52432.141837123992</v>
      </c>
      <c r="F65">
        <f t="shared" si="2"/>
        <v>51</v>
      </c>
      <c r="G65">
        <f>IF(N6="None",F65,MAX(0,F65*B65))</f>
        <v>51</v>
      </c>
      <c r="H65">
        <f>IF(N6="None",0,MAX(0,F65-G65))</f>
        <v>0</v>
      </c>
      <c r="I65">
        <f>IF(AND(N7="None",N8="None"),0,IF(N8="None",G65,IF(N7="None",0,MAX(0,G65*C65))))</f>
        <v>0</v>
      </c>
      <c r="J65">
        <f>IF(AND(N7="None",N8="None"),0,IF(N8="None",0,IF(N7="None",G65,MAX(0,G65-I65))))</f>
        <v>51</v>
      </c>
      <c r="K65">
        <f>P5</f>
        <v>637</v>
      </c>
      <c r="L65">
        <f>P6</f>
        <v>634.3119999999999</v>
      </c>
      <c r="M65">
        <f>P7</f>
        <v>635.5</v>
      </c>
      <c r="N65">
        <f>P8</f>
        <v>631.54999999999995</v>
      </c>
      <c r="O65">
        <f>K65+((ABS(F65)/MAX(((F31)+(H31)*(MAX($D$16,(K65)-(J31))))*(MAX($D$16,(K65)-(J31))),0.000001))^2)/(2*$I$5)-((E31)*((((ABS(F65)*$D$6)/(MAX(((F31)+(H31)*(MAX($D$16,(K65)-(J31))))*(MAX($D$16,(K65)-(J31))),0.000001)*MAX(((((F31)+(H31)*(MAX($D$16,(K65)-(J31))))*(MAX($D$16,(K65)-(J31))))/MAX((F31)+2*(MAX($D$16,(K65)-(J31)))*SQRT(1+(H31)^2),0.000001))^(2/3),0.000001)))^2)+(((ABS(F65)*$D$6)/(MAX(((G31)+(I31)*(MAX($D$16,(D65)-(K31))))*(MAX($D$16,(D65)-(K31))),0.000001)*MAX(((((G31)+(I31)*(MAX($D$16,(D65)-(K31))))*(MAX($D$16,(D65)-(K31))))/MAX((G31)+2*(MAX($D$16,(D65)-(K31)))*SQRT(1+(I31)^2),0.000001))^(2/3),0.000001)))^2))/2)+(IF((ABS(F65)/MAX(((G31)+(I31)*(MAX($D$16,(D65)-(K31))))*(MAX($D$16,(D65)-(K31))),0.000001))&gt;(ABS(F65)/MAX(((F31)+(H31)*(MAX($D$16,(K65)-(J31))))*(MAX($D$16,(K65)-(J31))),0.000001)),$D$9*((((ABS(F65)/MAX(((G31)+(I31)*(MAX($D$16,(D65)-(K31))))*(MAX($D$16,(D65)-(K31))),0.000001))^2)/(2*$I$5))-(((ABS(F65)/MAX(((F31)+(H31)*(MAX($D$16,(K65)-(J31))))*(MAX($D$16,(K65)-(J31))),0.000001))^2)/(2*$I$5))),$D$8*((((ABS(F65)/MAX(((F31)+(H31)*(MAX($D$16,(K65)-(J31))))*(MAX($D$16,(K65)-(J31))),0.000001))^2)/(2*$I$5))-(((ABS(F65)/MAX(((G31)+(I31)*(MAX($D$16,(D65)-(K31))))*(MAX($D$16,(D65)-(K31))),0.000001))^2)/(2*$I$5)))))+($D$10*(ABS((X31)-(W31))/90)*MAX(((ABS(F65)/MAX(((F31)+(H31)*(MAX($D$16,(K65)-(J31))))*(MAX($D$16,(K65)-(J31))),0.000001))^2)/(2*$I$5),((ABS(F65)/MAX(((G31)+(I31)*(MAX($D$16,(D65)-(K31))))*(MAX($D$16,(D65)-(K31))),0.000001))^2)/(2*$I$5)))+(0)-((ABS(F65)/MAX(((G31)+(I31)*(MAX($D$16,(D65)-(K31))))*(MAX($D$16,(D65)-(K31))),0.000001))^2)/(2*$I$5)</f>
        <v>637.65825101089831</v>
      </c>
      <c r="P65">
        <f>E65+((ABS(G65)/MAX(((G32)+(I32)*(MAX($D$16,(E65)-(K32))))*(MAX($D$16,(E65)-(K32))),0.000001))^2)/(2*$I$5)+((E32)*((((ABS(G65)*$D$6)/(MAX(((F32)+(H32)*(MAX($D$16,(D65)-(J32))))*(MAX($D$16,(D65)-(J32))),0.000001)*MAX(((((F32)+(H32)*(MAX($D$16,(D65)-(J32))))*(MAX($D$16,(D65)-(J32))))/MAX((F32)+2*(MAX($D$16,(D65)-(J32)))*SQRT(1+(H32)^2),0.000001))^(2/3),0.000001)))^2)+(((ABS(G65)*$D$6)/(MAX(((G32)+(I32)*(MAX($D$16,(E65)-(K32))))*(MAX($D$16,(E65)-(K32))),0.000001)*MAX(((((G32)+(I32)*(MAX($D$16,(E65)-(K32))))*(MAX($D$16,(E65)-(K32))))/MAX((G32)+2*(MAX($D$16,(E65)-(K32)))*SQRT(1+(I32)^2),0.000001))^(2/3),0.000001)))^2))/2)+(IF((ABS(G65)/MAX(((G32)+(I32)*(MAX($D$16,(E65)-(K32))))*(MAX($D$16,(E65)-(K32))),0.000001))&gt;(ABS(G65)/MAX(((F32)+(H32)*(MAX($D$16,(D65)-(J32))))*(MAX($D$16,(D65)-(J32))),0.000001)),$D$9*((((ABS(G65)/MAX(((G32)+(I32)*(MAX($D$16,(E65)-(K32))))*(MAX($D$16,(E65)-(K32))),0.000001))^2)/(2*$I$5))-(((ABS(G65)/MAX(((F32)+(H32)*(MAX($D$16,(D65)-(J32))))*(MAX($D$16,(D65)-(J32))),0.000001))^2)/(2*$I$5))),$D$8*((((ABS(G65)/MAX(((F32)+(H32)*(MAX($D$16,(D65)-(J32))))*(MAX($D$16,(D65)-(J32))),0.000001))^2)/(2*$I$5))-(((ABS(G65)/MAX(((G32)+(I32)*(MAX($D$16,(E65)-(K32))))*(MAX($D$16,(E65)-(K32))),0.000001))^2)/(2*$I$5)))))+($D$10*(ABS((X32)-(W32))/90)*MAX(((ABS(G65)/MAX(((F32)+(H32)*(MAX($D$16,(D65)-(J32))))*(MAX($D$16,(D65)-(J32))),0.000001))^2)/(2*$I$5),((ABS(G65)/MAX(((G32)+(I32)*(MAX($D$16,(E65)-(K32))))*(MAX($D$16,(E65)-(K32))),0.000001))^2)/(2*$I$5)))+(($D$11*0.13607488*(ABS(H65)/MAX(ABS(F65),0.000001))^2*MAX(((ABS(G65)/MAX(((F32)+(H32)*(MAX($D$16,(D65)-(J32))))*(MAX($D$16,(D65)-(J32))),0.000001))^2)/(2*$I$5),((ABS(G65)/MAX(((G32)+(I32)*(MAX($D$16,(E65)-(K32))))*(MAX($D$16,(E65)-(K32))),0.000001))^2)/(2*$I$5))))-((ABS(G65)/MAX(((F32)+(H32)*(MAX($D$16,(D65)-(J32))))*(MAX($D$16,(D65)-(J32))),0.000001))^2)/(2*$I$5)</f>
        <v>52432.141837124545</v>
      </c>
      <c r="Q65">
        <f>L65+((ABS(H65)/MAX(((G33)+(I33)*(MAX($D$16,(L65)-(K33))))*(MAX($D$16,(L65)-(K33))),0.000001))^2)/(2*$I$5)+((E33)*((((ABS(H65)*$D$6)/(MAX(((F33)+(H33)*(MAX($D$16,(D65)-(J33))))*(MAX($D$16,(D65)-(J33))),0.000001)*MAX(((((F33)+(H33)*(MAX($D$16,(D65)-(J33))))*(MAX($D$16,(D65)-(J33))))/MAX((F33)+2*(MAX($D$16,(D65)-(J33)))*SQRT(1+(H33)^2),0.000001))^(2/3),0.000001)))^2)+(((ABS(H65)*$D$6)/(MAX(((G33)+(I33)*(MAX($D$16,(L65)-(K33))))*(MAX($D$16,(L65)-(K33))),0.000001)*MAX(((((G33)+(I33)*(MAX($D$16,(L65)-(K33))))*(MAX($D$16,(L65)-(K33))))/MAX((G33)+2*(MAX($D$16,(L65)-(K33)))*SQRT(1+(I33)^2),0.000001))^(2/3),0.000001)))^2))/2)+(IF((ABS(H65)/MAX(((G33)+(I33)*(MAX($D$16,(L65)-(K33))))*(MAX($D$16,(L65)-(K33))),0.000001))&gt;(ABS(H65)/MAX(((F33)+(H33)*(MAX($D$16,(D65)-(J33))))*(MAX($D$16,(D65)-(J33))),0.000001)),$D$9*((((ABS(H65)/MAX(((G33)+(I33)*(MAX($D$16,(L65)-(K33))))*(MAX($D$16,(L65)-(K33))),0.000001))^2)/(2*$I$5))-(((ABS(H65)/MAX(((F33)+(H33)*(MAX($D$16,(D65)-(J33))))*(MAX($D$16,(D65)-(J33))),0.000001))^2)/(2*$I$5))),$D$8*((((ABS(H65)/MAX(((F33)+(H33)*(MAX($D$16,(D65)-(J33))))*(MAX($D$16,(D65)-(J33))),0.000001))^2)/(2*$I$5))-(((ABS(H65)/MAX(((G33)+(I33)*(MAX($D$16,(L65)-(K33))))*(MAX($D$16,(L65)-(K33))),0.000001))^2)/(2*$I$5)))))+($D$10*(ABS((X33)-(W33))/90)*MAX(((ABS(H65)/MAX(((F33)+(H33)*(MAX($D$16,(D65)-(J33))))*(MAX($D$16,(D65)-(J33))),0.000001))^2)/(2*$I$5),((ABS(H65)/MAX(((G33)+(I33)*(MAX($D$16,(L65)-(K33))))*(MAX($D$16,(L65)-(K33))),0.000001))^2)/(2*$I$5)))+(($D$11*0.00000015*(ABS(G65)/MAX(ABS(F65),0.000001))^2*MAX(((ABS(H65)/MAX(((F33)+(H33)*(MAX($D$16,(D65)-(J33))))*(MAX($D$16,(D65)-(J33))),0.000001))^2)/(2*$I$5),((ABS(H65)/MAX(((G33)+(I33)*(MAX($D$16,(L65)-(K33))))*(MAX($D$16,(L65)-(K33))),0.000001))^2)/(2*$I$5))))-((ABS(H65)/MAX(((F33)+(H33)*(MAX($D$16,(D65)-(J33))))*(MAX($D$16,(D65)-(J33))),0.000001))^2)/(2*$I$5)</f>
        <v>634.3119999999999</v>
      </c>
      <c r="R65">
        <f>D65+((ABS(G65)/MAX(((F32)+(H32)*(MAX($D$16,(D65)-(J32))))*(MAX($D$16,(D65)-(J32))),0.000001))^2)/(2*$I$5)-((E32)*((((ABS(G65)*$D$6)/(MAX(((F32)+(H32)*(MAX($D$16,(D65)-(J32))))*(MAX($D$16,(D65)-(J32))),0.000001)*MAX(((((F32)+(H32)*(MAX($D$16,(D65)-(J32))))*(MAX($D$16,(D65)-(J32))))/MAX((F32)+2*(MAX($D$16,(D65)-(J32)))*SQRT(1+(H32)^2),0.000001))^(2/3),0.000001)))^2)+(((ABS(G65)*$D$6)/(MAX(((G32)+(I32)*(MAX($D$16,(E65)-(K32))))*(MAX($D$16,(E65)-(K32))),0.000001)*MAX(((((G32)+(I32)*(MAX($D$16,(E65)-(K32))))*(MAX($D$16,(E65)-(K32))))/MAX((G32)+2*(MAX($D$16,(E65)-(K32)))*SQRT(1+(I32)^2),0.000001))^(2/3),0.000001)))^2))/2)+(IF((ABS(G65)/MAX(((G32)+(I32)*(MAX($D$16,(E65)-(K32))))*(MAX($D$16,(E65)-(K32))),0.000001))&gt;(ABS(G65)/MAX(((F32)+(H32)*(MAX($D$16,(D65)-(J32))))*(MAX($D$16,(D65)-(J32))),0.000001)),$D$9*((((ABS(G65)/MAX(((G32)+(I32)*(MAX($D$16,(E65)-(K32))))*(MAX($D$16,(E65)-(K32))),0.000001))^2)/(2*$I$5))-(((ABS(G65)/MAX(((F32)+(H32)*(MAX($D$16,(D65)-(J32))))*(MAX($D$16,(D65)-(J32))),0.000001))^2)/(2*$I$5))),$D$8*((((ABS(G65)/MAX(((F32)+(H32)*(MAX($D$16,(D65)-(J32))))*(MAX($D$16,(D65)-(J32))),0.000001))^2)/(2*$I$5))-(((ABS(G65)/MAX(((G32)+(I32)*(MAX($D$16,(E65)-(K32))))*(MAX($D$16,(E65)-(K32))),0.000001))^2)/(2*$I$5)))))+($D$10*(ABS((X32)-(W32))/90)*MAX(((ABS(G65)/MAX(((F32)+(H32)*(MAX($D$16,(D65)-(J32))))*(MAX($D$16,(D65)-(J32))),0.000001))^2)/(2*$I$5),((ABS(G65)/MAX(((G32)+(I32)*(MAX($D$16,(E65)-(K32))))*(MAX($D$16,(E65)-(K32))),0.000001))^2)/(2*$I$5)))+(($D$11*0.13607488*(ABS(H65)/MAX(ABS(F65),0.000001))^2*MAX(((ABS(G65)/MAX(((F32)+(H32)*(MAX($D$16,(D65)-(J32))))*(MAX($D$16,(D65)-(J32))),0.000001))^2)/(2*$I$5),((ABS(G65)/MAX(((G32)+(I32)*(MAX($D$16,(E65)-(K32))))*(MAX($D$16,(E65)-(K32))),0.000001))^2)/(2*$I$5))))-((ABS(G65)/MAX(((G32)+(I32)*(MAX($D$16,(E65)-(K32))))*(MAX($D$16,(E65)-(K32))),0.000001))^2)/(2*$I$5)</f>
        <v>52432.1418381896</v>
      </c>
      <c r="S65">
        <f>M65+((ABS(I65)/MAX(((G34)+(I34)*(MAX($D$16,(M65)-(K34))))*(MAX($D$16,(M65)-(K34))),0.000001))^2)/(2*$I$5)+((E34)*((((ABS(I65)*$D$6)/(MAX(((F34)+(H34)*(MAX($D$16,(E65)-(J34))))*(MAX($D$16,(E65)-(J34))),0.000001)*MAX(((((F34)+(H34)*(MAX($D$16,(E65)-(J34))))*(MAX($D$16,(E65)-(J34))))/MAX((F34)+2*(MAX($D$16,(E65)-(J34)))*SQRT(1+(H34)^2),0.000001))^(2/3),0.000001)))^2)+(((ABS(I65)*$D$6)/(MAX(((G34)+(I34)*(MAX($D$16,(M65)-(K34))))*(MAX($D$16,(M65)-(K34))),0.000001)*MAX(((((G34)+(I34)*(MAX($D$16,(M65)-(K34))))*(MAX($D$16,(M65)-(K34))))/MAX((G34)+2*(MAX($D$16,(M65)-(K34)))*SQRT(1+(I34)^2),0.000001))^(2/3),0.000001)))^2))/2)+(IF((ABS(I65)/MAX(((G34)+(I34)*(MAX($D$16,(M65)-(K34))))*(MAX($D$16,(M65)-(K34))),0.000001))&gt;(ABS(I65)/MAX(((F34)+(H34)*(MAX($D$16,(E65)-(J34))))*(MAX($D$16,(E65)-(J34))),0.000001)),$D$9*((((ABS(I65)/MAX(((G34)+(I34)*(MAX($D$16,(M65)-(K34))))*(MAX($D$16,(M65)-(K34))),0.000001))^2)/(2*$I$5))-(((ABS(I65)/MAX(((F34)+(H34)*(MAX($D$16,(E65)-(J34))))*(MAX($D$16,(E65)-(J34))),0.000001))^2)/(2*$I$5))),$D$8*((((ABS(I65)/MAX(((F34)+(H34)*(MAX($D$16,(E65)-(J34))))*(MAX($D$16,(E65)-(J34))),0.000001))^2)/(2*$I$5))-(((ABS(I65)/MAX(((G34)+(I34)*(MAX($D$16,(M65)-(K34))))*(MAX($D$16,(M65)-(K34))),0.000001))^2)/(2*$I$5)))))+($D$10*(ABS((X34)-(W34))/90)*MAX(((ABS(I65)/MAX(((F34)+(H34)*(MAX($D$16,(E65)-(J34))))*(MAX($D$16,(E65)-(J34))),0.000001))^2)/(2*$I$5),((ABS(I65)/MAX(((G34)+(I34)*(MAX($D$16,(M65)-(K34))))*(MAX($D$16,(M65)-(K34))),0.000001))^2)/(2*$I$5)))+(0)-((ABS(I65)/MAX(((F34)+(H34)*(MAX($D$16,(E65)-(J34))))*(MAX($D$16,(E65)-(J34))),0.000001))^2)/(2*$I$5)</f>
        <v>635.5</v>
      </c>
      <c r="T65">
        <f>N65+((ABS(J65)/MAX(((G35)+(I35)*(MAX($D$16,(N65)-(K35))))*(MAX($D$16,(N65)-(K35))),0.000001))^2)/(2*$I$5)+((E35)*((((ABS(J65)*$D$6)/(MAX(((F35)+(H35)*(MAX($D$16,(E65)-(J35))))*(MAX($D$16,(E65)-(J35))),0.000001)*MAX(((((F35)+(H35)*(MAX($D$16,(E65)-(J35))))*(MAX($D$16,(E65)-(J35))))/MAX((F35)+2*(MAX($D$16,(E65)-(J35)))*SQRT(1+(H35)^2),0.000001))^(2/3),0.000001)))^2)+(((ABS(J65)*$D$6)/(MAX(((G35)+(I35)*(MAX($D$16,(N65)-(K35))))*(MAX($D$16,(N65)-(K35))),0.000001)*MAX(((((G35)+(I35)*(MAX($D$16,(N65)-(K35))))*(MAX($D$16,(N65)-(K35))))/MAX((G35)+2*(MAX($D$16,(N65)-(K35)))*SQRT(1+(I35)^2),0.000001))^(2/3),0.000001)))^2))/2)+(IF((ABS(J65)/MAX(((G35)+(I35)*(MAX($D$16,(N65)-(K35))))*(MAX($D$16,(N65)-(K35))),0.000001))&gt;(ABS(J65)/MAX(((F35)+(H35)*(MAX($D$16,(E65)-(J35))))*(MAX($D$16,(E65)-(J35))),0.000001)),$D$9*((((ABS(J65)/MAX(((G35)+(I35)*(MAX($D$16,(N65)-(K35))))*(MAX($D$16,(N65)-(K35))),0.000001))^2)/(2*$I$5))-(((ABS(J65)/MAX(((F35)+(H35)*(MAX($D$16,(E65)-(J35))))*(MAX($D$16,(E65)-(J35))),0.000001))^2)/(2*$I$5))),$D$8*((((ABS(J65)/MAX(((F35)+(H35)*(MAX($D$16,(E65)-(J35))))*(MAX($D$16,(E65)-(J35))),0.000001))^2)/(2*$I$5))-(((ABS(J65)/MAX(((G35)+(I35)*(MAX($D$16,(N65)-(K35))))*(MAX($D$16,(N65)-(K35))),0.000001))^2)/(2*$I$5)))))+($D$10*(ABS((X35)-(W35))/90)*MAX(((ABS(J65)/MAX(((F35)+(H35)*(MAX($D$16,(E65)-(J35))))*(MAX($D$16,(E65)-(J35))),0.000001))^2)/(2*$I$5),((ABS(J65)/MAX(((G35)+(I35)*(MAX($D$16,(N65)-(K35))))*(MAX($D$16,(N65)-(K35))),0.000001))^2)/(2*$I$5)))+(($D$11*0.34699541*(ABS(I65)/MAX(ABS(G65),0.000001))^2*MAX(((ABS(J65)/MAX(((F35)+(H35)*(MAX($D$16,(E65)-(J35))))*(MAX($D$16,(E65)-(J35))),0.000001))^2)/(2*$I$5),((ABS(J65)/MAX(((G35)+(I35)*(MAX($D$16,(N65)-(K35))))*(MAX($D$16,(N65)-(K35))),0.000001))^2)/(2*$I$5))))-((ABS(J65)/MAX(((F35)+(H35)*(MAX($D$16,(E65)-(J35))))*(MAX($D$16,(E65)-(J35))),0.000001))^2)/(2*$I$5)</f>
        <v>20784.033523923383</v>
      </c>
      <c r="U65">
        <f>(((((F32)*(MAX($D$16,(D65)-(J32)))^2)/2+(H32)*(MAX($D$16,(D65)-(J32)))^3/3+(ABS(G65)^2)/($I$5*MAX(((F32)+(H32)*(MAX($D$16,(D65)-(J32))))*(MAX($D$16,(D65)-(J32))),0.000001)))*0.72785025)-((((F33)*(MAX($D$16,(D65)-(J33)))^2)/2+(H33)*(MAX($D$16,(D65)-(J33)))^3/3+(ABS(H65)^2)/($I$5*MAX(((F33)+(H33)*(MAX($D$16,(D65)-(J33))))*(MAX($D$16,(D65)-(J33))),0.000001)))*0.99999971))/MAX(((G31)*(MAX($D$16,(D65)-(K31)))^2)/2+(I31)*(MAX($D$16,(D65)-(K31)))^3/3+(ABS(F65)^2)/($I$5*MAX(((G31)+(I31)*(MAX($D$16,(D65)-(K31))))*(MAX($D$16,(D65)-(K31))),0.000001)),0.000001)</f>
        <v>-0.2721494599999113</v>
      </c>
      <c r="V65">
        <f>(((((F34)*(MAX($D$16,(E65)-(J34)))^2)/2+(H34)*(MAX($D$16,(E65)-(J34)))^3/3+(ABS(I65)^2)/($I$5*MAX(((F34)+(H34)*(MAX($D$16,(E65)-(J34))))*(MAX($D$16,(E65)-(J34))),0.000001)))*1)-((((F35)*(MAX($D$16,(E65)-(J35)))^2)/2+(H35)*(MAX($D$16,(E65)-(J35)))^3/3+(ABS(J65)^2)/($I$5*MAX(((F35)+(H35)*(MAX($D$16,(E65)-(J35))))*(MAX($D$16,(E65)-(J35))),0.000001)))*0.30600918))/MAX(((G32)*(MAX($D$16,(E65)-(K32)))^2)/2+(I32)*(MAX($D$16,(E65)-(K32)))^3/3+(ABS(G65)^2)/($I$5*MAX(((G32)+(I32)*(MAX($D$16,(E65)-(K32))))*(MAX($D$16,(E65)-(K32))),0.000001)),0.000001)</f>
        <v>0.69398638937190382</v>
      </c>
      <c r="W65">
        <f>IF(N6="None",ABS(P65-D65),MAX(ABS(P65-D65),ABS(Q65-D65)))</f>
        <v>1.0649237083271146E-6</v>
      </c>
      <c r="X65">
        <f>IF(AND(N7="None",N8="None"),0,IF(N8="None",ABS(S65-E65),IF(N7="None",ABS(T65-E65),MAX(ABS(S65-E65),ABS(T65-E65)))))</f>
        <v>51796.641837123992</v>
      </c>
      <c r="AA65">
        <f t="shared" si="3"/>
        <v>52432.141837816744</v>
      </c>
      <c r="AB65">
        <f t="shared" si="4"/>
        <v>41355.303927503781</v>
      </c>
      <c r="AC65">
        <f>IF(N6="None",P65,MAX(P65,Q65))</f>
        <v>52432.141837124545</v>
      </c>
      <c r="AD65">
        <f>IF(AND(N7="None",N8="None"),E65,IF(N8="None",S65,IF(N7="None",T65,MAX(S65,T65))))</f>
        <v>20784.033523923383</v>
      </c>
      <c r="AE65">
        <f t="shared" si="5"/>
        <v>637.65825101089831</v>
      </c>
      <c r="AF65">
        <f t="shared" si="6"/>
        <v>52432.1418381896</v>
      </c>
      <c r="AG65">
        <f>((G31)*(MAX($D$16,(AC65)-(K31)))^2)/2+(I31)*(MAX($D$16,(AC65)-(K31)))^3/3+(ABS(F65)^2)/($I$5*MAX(((G31)+(I31)*(MAX($D$16,(AC65)-(K31))))*(MAX($D$16,(AC65)-(K31))),0.000001))</f>
        <v>8797611517.2290668</v>
      </c>
      <c r="AH65">
        <f>((G31)*(MAX($D$16,(AE65)-(K31)))^2)/2+(I31)*(MAX($D$16,(AE65)-(K31)))^3/3+(ABS(F65)^2)/($I$5*MAX(((G31)+(I31)*(MAX($D$16,(AE65)-(K31))))*(MAX($D$16,(AE65)-(K31))),0.000001))</f>
        <v>49.055863329575246</v>
      </c>
      <c r="AI65">
        <f>((G32)*(MAX($D$16,(AD65)-(K32)))^2)/2+(I32)*(MAX($D$16,(AD65)-(K32)))^3/3+(ABS(G65)^2)/($I$5*MAX(((G32)+(I32)*(MAX($D$16,(AD65)-(K32))))*(MAX($D$16,(AD65)-(K32))),0.000001))</f>
        <v>2072376743.6648321</v>
      </c>
      <c r="AJ65">
        <f>((G32)*(MAX($D$16,(AF65)-(K32)))^2)/2+(I32)*(MAX($D$16,(AF65)-(K32)))^3/3+(ABS(G65)^2)/($I$5*MAX(((G32)+(I32)*(MAX($D$16,(AF65)-(K32))))*(MAX($D$16,(AF65)-(K32))),0.000001))</f>
        <v>13692714789.923014</v>
      </c>
      <c r="AK65" t="str">
        <f t="shared" si="7"/>
        <v>Subcritical</v>
      </c>
      <c r="AL65" t="str">
        <f t="shared" si="8"/>
        <v>Supercritical</v>
      </c>
      <c r="AM65">
        <f t="shared" si="9"/>
        <v>52432.141837816744</v>
      </c>
      <c r="AN65">
        <f t="shared" si="10"/>
        <v>52432.141837496958</v>
      </c>
      <c r="AO65">
        <f t="shared" si="11"/>
        <v>1.0649237083271146E-6</v>
      </c>
      <c r="AP65">
        <f t="shared" si="12"/>
        <v>1.0656076483428478E-6</v>
      </c>
    </row>
    <row r="66" spans="1:42" x14ac:dyDescent="0.35">
      <c r="A66">
        <v>23</v>
      </c>
      <c r="B66">
        <f t="shared" si="13"/>
        <v>0</v>
      </c>
      <c r="C66">
        <f t="shared" si="14"/>
        <v>0</v>
      </c>
      <c r="D66">
        <f t="shared" si="15"/>
        <v>52432.141837816744</v>
      </c>
      <c r="E66">
        <f t="shared" si="16"/>
        <v>52432.141837496958</v>
      </c>
      <c r="F66">
        <f t="shared" si="2"/>
        <v>51</v>
      </c>
      <c r="G66">
        <f>IF(N6="None",F66,MAX(0,F66*B66))</f>
        <v>51</v>
      </c>
      <c r="H66">
        <f>IF(N6="None",0,MAX(0,F66-G66))</f>
        <v>0</v>
      </c>
      <c r="I66">
        <f>IF(AND(N7="None",N8="None"),0,IF(N8="None",G66,IF(N7="None",0,MAX(0,G66*C66))))</f>
        <v>0</v>
      </c>
      <c r="J66">
        <f>IF(AND(N7="None",N8="None"),0,IF(N8="None",0,IF(N7="None",G66,MAX(0,G66-I66))))</f>
        <v>51</v>
      </c>
      <c r="K66">
        <f>P5</f>
        <v>637</v>
      </c>
      <c r="L66">
        <f>P6</f>
        <v>634.3119999999999</v>
      </c>
      <c r="M66">
        <f>P7</f>
        <v>635.5</v>
      </c>
      <c r="N66">
        <f>P8</f>
        <v>631.54999999999995</v>
      </c>
      <c r="O66">
        <f>K66+((ABS(F66)/MAX(((F31)+(H31)*(MAX($D$16,(K66)-(J31))))*(MAX($D$16,(K66)-(J31))),0.000001))^2)/(2*$I$5)-((E31)*((((ABS(F66)*$D$6)/(MAX(((F31)+(H31)*(MAX($D$16,(K66)-(J31))))*(MAX($D$16,(K66)-(J31))),0.000001)*MAX(((((F31)+(H31)*(MAX($D$16,(K66)-(J31))))*(MAX($D$16,(K66)-(J31))))/MAX((F31)+2*(MAX($D$16,(K66)-(J31)))*SQRT(1+(H31)^2),0.000001))^(2/3),0.000001)))^2)+(((ABS(F66)*$D$6)/(MAX(((G31)+(I31)*(MAX($D$16,(D66)-(K31))))*(MAX($D$16,(D66)-(K31))),0.000001)*MAX(((((G31)+(I31)*(MAX($D$16,(D66)-(K31))))*(MAX($D$16,(D66)-(K31))))/MAX((G31)+2*(MAX($D$16,(D66)-(K31)))*SQRT(1+(I31)^2),0.000001))^(2/3),0.000001)))^2))/2)+(IF((ABS(F66)/MAX(((G31)+(I31)*(MAX($D$16,(D66)-(K31))))*(MAX($D$16,(D66)-(K31))),0.000001))&gt;(ABS(F66)/MAX(((F31)+(H31)*(MAX($D$16,(K66)-(J31))))*(MAX($D$16,(K66)-(J31))),0.000001)),$D$9*((((ABS(F66)/MAX(((G31)+(I31)*(MAX($D$16,(D66)-(K31))))*(MAX($D$16,(D66)-(K31))),0.000001))^2)/(2*$I$5))-(((ABS(F66)/MAX(((F31)+(H31)*(MAX($D$16,(K66)-(J31))))*(MAX($D$16,(K66)-(J31))),0.000001))^2)/(2*$I$5))),$D$8*((((ABS(F66)/MAX(((F31)+(H31)*(MAX($D$16,(K66)-(J31))))*(MAX($D$16,(K66)-(J31))),0.000001))^2)/(2*$I$5))-(((ABS(F66)/MAX(((G31)+(I31)*(MAX($D$16,(D66)-(K31))))*(MAX($D$16,(D66)-(K31))),0.000001))^2)/(2*$I$5)))))+($D$10*(ABS((X31)-(W31))/90)*MAX(((ABS(F66)/MAX(((F31)+(H31)*(MAX($D$16,(K66)-(J31))))*(MAX($D$16,(K66)-(J31))),0.000001))^2)/(2*$I$5),((ABS(F66)/MAX(((G31)+(I31)*(MAX($D$16,(D66)-(K31))))*(MAX($D$16,(D66)-(K31))),0.000001))^2)/(2*$I$5)))+(0)-((ABS(F66)/MAX(((G31)+(I31)*(MAX($D$16,(D66)-(K31))))*(MAX($D$16,(D66)-(K31))),0.000001))^2)/(2*$I$5)</f>
        <v>637.65825101089831</v>
      </c>
      <c r="P66">
        <f>E66+((ABS(G66)/MAX(((G32)+(I32)*(MAX($D$16,(E66)-(K32))))*(MAX($D$16,(E66)-(K32))),0.000001))^2)/(2*$I$5)+((E32)*((((ABS(G66)*$D$6)/(MAX(((F32)+(H32)*(MAX($D$16,(D66)-(J32))))*(MAX($D$16,(D66)-(J32))),0.000001)*MAX(((((F32)+(H32)*(MAX($D$16,(D66)-(J32))))*(MAX($D$16,(D66)-(J32))))/MAX((F32)+2*(MAX($D$16,(D66)-(J32)))*SQRT(1+(H32)^2),0.000001))^(2/3),0.000001)))^2)+(((ABS(G66)*$D$6)/(MAX(((G32)+(I32)*(MAX($D$16,(E66)-(K32))))*(MAX($D$16,(E66)-(K32))),0.000001)*MAX(((((G32)+(I32)*(MAX($D$16,(E66)-(K32))))*(MAX($D$16,(E66)-(K32))))/MAX((G32)+2*(MAX($D$16,(E66)-(K32)))*SQRT(1+(I32)^2),0.000001))^(2/3),0.000001)))^2))/2)+(IF((ABS(G66)/MAX(((G32)+(I32)*(MAX($D$16,(E66)-(K32))))*(MAX($D$16,(E66)-(K32))),0.000001))&gt;(ABS(G66)/MAX(((F32)+(H32)*(MAX($D$16,(D66)-(J32))))*(MAX($D$16,(D66)-(J32))),0.000001)),$D$9*((((ABS(G66)/MAX(((G32)+(I32)*(MAX($D$16,(E66)-(K32))))*(MAX($D$16,(E66)-(K32))),0.000001))^2)/(2*$I$5))-(((ABS(G66)/MAX(((F32)+(H32)*(MAX($D$16,(D66)-(J32))))*(MAX($D$16,(D66)-(J32))),0.000001))^2)/(2*$I$5))),$D$8*((((ABS(G66)/MAX(((F32)+(H32)*(MAX($D$16,(D66)-(J32))))*(MAX($D$16,(D66)-(J32))),0.000001))^2)/(2*$I$5))-(((ABS(G66)/MAX(((G32)+(I32)*(MAX($D$16,(E66)-(K32))))*(MAX($D$16,(E66)-(K32))),0.000001))^2)/(2*$I$5)))))+($D$10*(ABS((X32)-(W32))/90)*MAX(((ABS(G66)/MAX(((F32)+(H32)*(MAX($D$16,(D66)-(J32))))*(MAX($D$16,(D66)-(J32))),0.000001))^2)/(2*$I$5),((ABS(G66)/MAX(((G32)+(I32)*(MAX($D$16,(E66)-(K32))))*(MAX($D$16,(E66)-(K32))),0.000001))^2)/(2*$I$5)))+(($D$11*0.13607488*(ABS(H66)/MAX(ABS(F66),0.000001))^2*MAX(((ABS(G66)/MAX(((F32)+(H32)*(MAX($D$16,(D66)-(J32))))*(MAX($D$16,(D66)-(J32))),0.000001))^2)/(2*$I$5),((ABS(G66)/MAX(((G32)+(I32)*(MAX($D$16,(E66)-(K32))))*(MAX($D$16,(E66)-(K32))),0.000001))^2)/(2*$I$5))))-((ABS(G66)/MAX(((F32)+(H32)*(MAX($D$16,(D66)-(J32))))*(MAX($D$16,(D66)-(J32))),0.000001))^2)/(2*$I$5)</f>
        <v>52432.141837497511</v>
      </c>
      <c r="Q66">
        <f>L66+((ABS(H66)/MAX(((G33)+(I33)*(MAX($D$16,(L66)-(K33))))*(MAX($D$16,(L66)-(K33))),0.000001))^2)/(2*$I$5)+((E33)*((((ABS(H66)*$D$6)/(MAX(((F33)+(H33)*(MAX($D$16,(D66)-(J33))))*(MAX($D$16,(D66)-(J33))),0.000001)*MAX(((((F33)+(H33)*(MAX($D$16,(D66)-(J33))))*(MAX($D$16,(D66)-(J33))))/MAX((F33)+2*(MAX($D$16,(D66)-(J33)))*SQRT(1+(H33)^2),0.000001))^(2/3),0.000001)))^2)+(((ABS(H66)*$D$6)/(MAX(((G33)+(I33)*(MAX($D$16,(L66)-(K33))))*(MAX($D$16,(L66)-(K33))),0.000001)*MAX(((((G33)+(I33)*(MAX($D$16,(L66)-(K33))))*(MAX($D$16,(L66)-(K33))))/MAX((G33)+2*(MAX($D$16,(L66)-(K33)))*SQRT(1+(I33)^2),0.000001))^(2/3),0.000001)))^2))/2)+(IF((ABS(H66)/MAX(((G33)+(I33)*(MAX($D$16,(L66)-(K33))))*(MAX($D$16,(L66)-(K33))),0.000001))&gt;(ABS(H66)/MAX(((F33)+(H33)*(MAX($D$16,(D66)-(J33))))*(MAX($D$16,(D66)-(J33))),0.000001)),$D$9*((((ABS(H66)/MAX(((G33)+(I33)*(MAX($D$16,(L66)-(K33))))*(MAX($D$16,(L66)-(K33))),0.000001))^2)/(2*$I$5))-(((ABS(H66)/MAX(((F33)+(H33)*(MAX($D$16,(D66)-(J33))))*(MAX($D$16,(D66)-(J33))),0.000001))^2)/(2*$I$5))),$D$8*((((ABS(H66)/MAX(((F33)+(H33)*(MAX($D$16,(D66)-(J33))))*(MAX($D$16,(D66)-(J33))),0.000001))^2)/(2*$I$5))-(((ABS(H66)/MAX(((G33)+(I33)*(MAX($D$16,(L66)-(K33))))*(MAX($D$16,(L66)-(K33))),0.000001))^2)/(2*$I$5)))))+($D$10*(ABS((X33)-(W33))/90)*MAX(((ABS(H66)/MAX(((F33)+(H33)*(MAX($D$16,(D66)-(J33))))*(MAX($D$16,(D66)-(J33))),0.000001))^2)/(2*$I$5),((ABS(H66)/MAX(((G33)+(I33)*(MAX($D$16,(L66)-(K33))))*(MAX($D$16,(L66)-(K33))),0.000001))^2)/(2*$I$5)))+(($D$11*0.00000015*(ABS(G66)/MAX(ABS(F66),0.000001))^2*MAX(((ABS(H66)/MAX(((F33)+(H33)*(MAX($D$16,(D66)-(J33))))*(MAX($D$16,(D66)-(J33))),0.000001))^2)/(2*$I$5),((ABS(H66)/MAX(((G33)+(I33)*(MAX($D$16,(L66)-(K33))))*(MAX($D$16,(L66)-(K33))),0.000001))^2)/(2*$I$5))))-((ABS(H66)/MAX(((F33)+(H33)*(MAX($D$16,(D66)-(J33))))*(MAX($D$16,(D66)-(J33))),0.000001))^2)/(2*$I$5)</f>
        <v>634.3119999999999</v>
      </c>
      <c r="R66">
        <f>D66+((ABS(G66)/MAX(((F32)+(H32)*(MAX($D$16,(D66)-(J32))))*(MAX($D$16,(D66)-(J32))),0.000001))^2)/(2*$I$5)-((E32)*((((ABS(G66)*$D$6)/(MAX(((F32)+(H32)*(MAX($D$16,(D66)-(J32))))*(MAX($D$16,(D66)-(J32))),0.000001)*MAX(((((F32)+(H32)*(MAX($D$16,(D66)-(J32))))*(MAX($D$16,(D66)-(J32))))/MAX((F32)+2*(MAX($D$16,(D66)-(J32)))*SQRT(1+(H32)^2),0.000001))^(2/3),0.000001)))^2)+(((ABS(G66)*$D$6)/(MAX(((G32)+(I32)*(MAX($D$16,(E66)-(K32))))*(MAX($D$16,(E66)-(K32))),0.000001)*MAX(((((G32)+(I32)*(MAX($D$16,(E66)-(K32))))*(MAX($D$16,(E66)-(K32))))/MAX((G32)+2*(MAX($D$16,(E66)-(K32)))*SQRT(1+(I32)^2),0.000001))^(2/3),0.000001)))^2))/2)+(IF((ABS(G66)/MAX(((G32)+(I32)*(MAX($D$16,(E66)-(K32))))*(MAX($D$16,(E66)-(K32))),0.000001))&gt;(ABS(G66)/MAX(((F32)+(H32)*(MAX($D$16,(D66)-(J32))))*(MAX($D$16,(D66)-(J32))),0.000001)),$D$9*((((ABS(G66)/MAX(((G32)+(I32)*(MAX($D$16,(E66)-(K32))))*(MAX($D$16,(E66)-(K32))),0.000001))^2)/(2*$I$5))-(((ABS(G66)/MAX(((F32)+(H32)*(MAX($D$16,(D66)-(J32))))*(MAX($D$16,(D66)-(J32))),0.000001))^2)/(2*$I$5))),$D$8*((((ABS(G66)/MAX(((F32)+(H32)*(MAX($D$16,(D66)-(J32))))*(MAX($D$16,(D66)-(J32))),0.000001))^2)/(2*$I$5))-(((ABS(G66)/MAX(((G32)+(I32)*(MAX($D$16,(E66)-(K32))))*(MAX($D$16,(E66)-(K32))),0.000001))^2)/(2*$I$5)))))+($D$10*(ABS((X32)-(W32))/90)*MAX(((ABS(G66)/MAX(((F32)+(H32)*(MAX($D$16,(D66)-(J32))))*(MAX($D$16,(D66)-(J32))),0.000001))^2)/(2*$I$5),((ABS(G66)/MAX(((G32)+(I32)*(MAX($D$16,(E66)-(K32))))*(MAX($D$16,(E66)-(K32))),0.000001))^2)/(2*$I$5)))+(($D$11*0.13607488*(ABS(H66)/MAX(ABS(F66),0.000001))^2*MAX(((ABS(G66)/MAX(((F32)+(H32)*(MAX($D$16,(D66)-(J32))))*(MAX($D$16,(D66)-(J32))),0.000001))^2)/(2*$I$5),((ABS(G66)/MAX(((G32)+(I32)*(MAX($D$16,(E66)-(K32))))*(MAX($D$16,(E66)-(K32))),0.000001))^2)/(2*$I$5))))-((ABS(G66)/MAX(((G32)+(I32)*(MAX($D$16,(E66)-(K32))))*(MAX($D$16,(E66)-(K32))),0.000001))^2)/(2*$I$5)</f>
        <v>52432.141837816875</v>
      </c>
      <c r="S66">
        <f>M66+((ABS(I66)/MAX(((G34)+(I34)*(MAX($D$16,(M66)-(K34))))*(MAX($D$16,(M66)-(K34))),0.000001))^2)/(2*$I$5)+((E34)*((((ABS(I66)*$D$6)/(MAX(((F34)+(H34)*(MAX($D$16,(E66)-(J34))))*(MAX($D$16,(E66)-(J34))),0.000001)*MAX(((((F34)+(H34)*(MAX($D$16,(E66)-(J34))))*(MAX($D$16,(E66)-(J34))))/MAX((F34)+2*(MAX($D$16,(E66)-(J34)))*SQRT(1+(H34)^2),0.000001))^(2/3),0.000001)))^2)+(((ABS(I66)*$D$6)/(MAX(((G34)+(I34)*(MAX($D$16,(M66)-(K34))))*(MAX($D$16,(M66)-(K34))),0.000001)*MAX(((((G34)+(I34)*(MAX($D$16,(M66)-(K34))))*(MAX($D$16,(M66)-(K34))))/MAX((G34)+2*(MAX($D$16,(M66)-(K34)))*SQRT(1+(I34)^2),0.000001))^(2/3),0.000001)))^2))/2)+(IF((ABS(I66)/MAX(((G34)+(I34)*(MAX($D$16,(M66)-(K34))))*(MAX($D$16,(M66)-(K34))),0.000001))&gt;(ABS(I66)/MAX(((F34)+(H34)*(MAX($D$16,(E66)-(J34))))*(MAX($D$16,(E66)-(J34))),0.000001)),$D$9*((((ABS(I66)/MAX(((G34)+(I34)*(MAX($D$16,(M66)-(K34))))*(MAX($D$16,(M66)-(K34))),0.000001))^2)/(2*$I$5))-(((ABS(I66)/MAX(((F34)+(H34)*(MAX($D$16,(E66)-(J34))))*(MAX($D$16,(E66)-(J34))),0.000001))^2)/(2*$I$5))),$D$8*((((ABS(I66)/MAX(((F34)+(H34)*(MAX($D$16,(E66)-(J34))))*(MAX($D$16,(E66)-(J34))),0.000001))^2)/(2*$I$5))-(((ABS(I66)/MAX(((G34)+(I34)*(MAX($D$16,(M66)-(K34))))*(MAX($D$16,(M66)-(K34))),0.000001))^2)/(2*$I$5)))))+($D$10*(ABS((X34)-(W34))/90)*MAX(((ABS(I66)/MAX(((F34)+(H34)*(MAX($D$16,(E66)-(J34))))*(MAX($D$16,(E66)-(J34))),0.000001))^2)/(2*$I$5),((ABS(I66)/MAX(((G34)+(I34)*(MAX($D$16,(M66)-(K34))))*(MAX($D$16,(M66)-(K34))),0.000001))^2)/(2*$I$5)))+(0)-((ABS(I66)/MAX(((F34)+(H34)*(MAX($D$16,(E66)-(J34))))*(MAX($D$16,(E66)-(J34))),0.000001))^2)/(2*$I$5)</f>
        <v>635.5</v>
      </c>
      <c r="T66">
        <f>N66+((ABS(J66)/MAX(((G35)+(I35)*(MAX($D$16,(N66)-(K35))))*(MAX($D$16,(N66)-(K35))),0.000001))^2)/(2*$I$5)+((E35)*((((ABS(J66)*$D$6)/(MAX(((F35)+(H35)*(MAX($D$16,(E66)-(J35))))*(MAX($D$16,(E66)-(J35))),0.000001)*MAX(((((F35)+(H35)*(MAX($D$16,(E66)-(J35))))*(MAX($D$16,(E66)-(J35))))/MAX((F35)+2*(MAX($D$16,(E66)-(J35)))*SQRT(1+(H35)^2),0.000001))^(2/3),0.000001)))^2)+(((ABS(J66)*$D$6)/(MAX(((G35)+(I35)*(MAX($D$16,(N66)-(K35))))*(MAX($D$16,(N66)-(K35))),0.000001)*MAX(((((G35)+(I35)*(MAX($D$16,(N66)-(K35))))*(MAX($D$16,(N66)-(K35))))/MAX((G35)+2*(MAX($D$16,(N66)-(K35)))*SQRT(1+(I35)^2),0.000001))^(2/3),0.000001)))^2))/2)+(IF((ABS(J66)/MAX(((G35)+(I35)*(MAX($D$16,(N66)-(K35))))*(MAX($D$16,(N66)-(K35))),0.000001))&gt;(ABS(J66)/MAX(((F35)+(H35)*(MAX($D$16,(E66)-(J35))))*(MAX($D$16,(E66)-(J35))),0.000001)),$D$9*((((ABS(J66)/MAX(((G35)+(I35)*(MAX($D$16,(N66)-(K35))))*(MAX($D$16,(N66)-(K35))),0.000001))^2)/(2*$I$5))-(((ABS(J66)/MAX(((F35)+(H35)*(MAX($D$16,(E66)-(J35))))*(MAX($D$16,(E66)-(J35))),0.000001))^2)/(2*$I$5))),$D$8*((((ABS(J66)/MAX(((F35)+(H35)*(MAX($D$16,(E66)-(J35))))*(MAX($D$16,(E66)-(J35))),0.000001))^2)/(2*$I$5))-(((ABS(J66)/MAX(((G35)+(I35)*(MAX($D$16,(N66)-(K35))))*(MAX($D$16,(N66)-(K35))),0.000001))^2)/(2*$I$5)))))+($D$10*(ABS((X35)-(W35))/90)*MAX(((ABS(J66)/MAX(((F35)+(H35)*(MAX($D$16,(E66)-(J35))))*(MAX($D$16,(E66)-(J35))),0.000001))^2)/(2*$I$5),((ABS(J66)/MAX(((G35)+(I35)*(MAX($D$16,(N66)-(K35))))*(MAX($D$16,(N66)-(K35))),0.000001))^2)/(2*$I$5)))+(($D$11*0.34699541*(ABS(I66)/MAX(ABS(G66),0.000001))^2*MAX(((ABS(J66)/MAX(((F35)+(H35)*(MAX($D$16,(E66)-(J35))))*(MAX($D$16,(E66)-(J35))),0.000001))^2)/(2*$I$5),((ABS(J66)/MAX(((G35)+(I35)*(MAX($D$16,(N66)-(K35))))*(MAX($D$16,(N66)-(K35))),0.000001))^2)/(2*$I$5))))-((ABS(J66)/MAX(((F35)+(H35)*(MAX($D$16,(E66)-(J35))))*(MAX($D$16,(E66)-(J35))),0.000001))^2)/(2*$I$5)</f>
        <v>20784.033523923383</v>
      </c>
      <c r="U66">
        <f>(((((F32)*(MAX($D$16,(D66)-(J32)))^2)/2+(H32)*(MAX($D$16,(D66)-(J32)))^3/3+(ABS(G66)^2)/($I$5*MAX(((F32)+(H32)*(MAX($D$16,(D66)-(J32))))*(MAX($D$16,(D66)-(J32))),0.000001)))*0.72785025)-((((F33)*(MAX($D$16,(D66)-(J33)))^2)/2+(H33)*(MAX($D$16,(D66)-(J33)))^3/3+(ABS(H66)^2)/($I$5*MAX(((F33)+(H33)*(MAX($D$16,(D66)-(J33))))*(MAX($D$16,(D66)-(J33))),0.000001)))*0.99999971))/MAX(((G31)*(MAX($D$16,(D66)-(K31)))^2)/2+(I31)*(MAX($D$16,(D66)-(K31)))^3/3+(ABS(F66)^2)/($I$5*MAX(((G31)+(I31)*(MAX($D$16,(D66)-(K31))))*(MAX($D$16,(D66)-(K31))),0.000001)),0.000001)</f>
        <v>-0.27214945999991119</v>
      </c>
      <c r="V66">
        <f>(((((F34)*(MAX($D$16,(E66)-(J34)))^2)/2+(H34)*(MAX($D$16,(E66)-(J34)))^3/3+(ABS(I66)^2)/($I$5*MAX(((F34)+(H34)*(MAX($D$16,(E66)-(J34))))*(MAX($D$16,(E66)-(J34))),0.000001)))*1)-((((F35)*(MAX($D$16,(E66)-(J35)))^2)/2+(H35)*(MAX($D$16,(E66)-(J35)))^3/3+(ABS(J66)^2)/($I$5*MAX(((F35)+(H35)*(MAX($D$16,(E66)-(J35))))*(MAX($D$16,(E66)-(J35))),0.000001)))*0.30600918))/MAX(((G32)*(MAX($D$16,(E66)-(K32)))^2)/2+(I32)*(MAX($D$16,(E66)-(K32)))^3/3+(ABS(G66)^2)/($I$5*MAX(((G32)+(I32)*(MAX($D$16,(E66)-(K32))))*(MAX($D$16,(E66)-(K32))),0.000001)),0.000001)</f>
        <v>0.69398638937190382</v>
      </c>
      <c r="W66">
        <f>IF(N6="None",ABS(P66-D66),MAX(ABS(P66-D66),ABS(Q66-D66)))</f>
        <v>3.1923264032229781E-7</v>
      </c>
      <c r="X66">
        <f>IF(AND(N7="None",N8="None"),0,IF(N8="None",ABS(S66-E66),IF(N7="None",ABS(T66-E66),MAX(ABS(S66-E66),ABS(T66-E66)))))</f>
        <v>51796.641837496958</v>
      </c>
      <c r="AA66">
        <f t="shared" si="3"/>
        <v>52432.141837705014</v>
      </c>
      <c r="AB66">
        <f t="shared" si="4"/>
        <v>41355.303927746209</v>
      </c>
      <c r="AC66">
        <f>IF(N6="None",P66,MAX(P66,Q66))</f>
        <v>52432.141837497511</v>
      </c>
      <c r="AD66">
        <f>IF(AND(N7="None",N8="None"),E66,IF(N8="None",S66,IF(N7="None",T66,MAX(S66,T66))))</f>
        <v>20784.033523923383</v>
      </c>
      <c r="AE66">
        <f t="shared" si="5"/>
        <v>637.65825101089831</v>
      </c>
      <c r="AF66">
        <f t="shared" si="6"/>
        <v>52432.141837816875</v>
      </c>
      <c r="AG66">
        <f>((G31)*(MAX($D$16,(AC66)-(K31)))^2)/2+(I31)*(MAX($D$16,(AC66)-(K31)))^3/3+(ABS(F66)^2)/($I$5*MAX(((G31)+(I31)*(MAX($D$16,(AC66)-(K31))))*(MAX($D$16,(AC66)-(K31))),0.000001))</f>
        <v>8797611517.3557587</v>
      </c>
      <c r="AH66">
        <f>((G31)*(MAX($D$16,(AE66)-(K31)))^2)/2+(I31)*(MAX($D$16,(AE66)-(K31)))^3/3+(ABS(F66)^2)/($I$5*MAX(((G31)+(I31)*(MAX($D$16,(AE66)-(K31))))*(MAX($D$16,(AE66)-(K31))),0.000001))</f>
        <v>49.055863329575246</v>
      </c>
      <c r="AI66">
        <f>((G32)*(MAX($D$16,(AD66)-(K32)))^2)/2+(I32)*(MAX($D$16,(AD66)-(K32)))^3/3+(ABS(G66)^2)/($I$5*MAX(((G32)+(I32)*(MAX($D$16,(AD66)-(K32))))*(MAX($D$16,(AD66)-(K32))),0.000001))</f>
        <v>2072376743.6648321</v>
      </c>
      <c r="AJ66">
        <f>((G32)*(MAX($D$16,(AF66)-(K32)))^2)/2+(I32)*(MAX($D$16,(AF66)-(K32)))^3/3+(ABS(G66)^2)/($I$5*MAX(((G32)+(I32)*(MAX($D$16,(AF66)-(K32))))*(MAX($D$16,(AF66)-(K32))),0.000001))</f>
        <v>13692714789.725965</v>
      </c>
      <c r="AK66" t="str">
        <f t="shared" si="7"/>
        <v>Subcritical</v>
      </c>
      <c r="AL66" t="str">
        <f t="shared" si="8"/>
        <v>Supercritical</v>
      </c>
      <c r="AM66">
        <f t="shared" si="9"/>
        <v>52432.141837705014</v>
      </c>
      <c r="AN66">
        <f t="shared" si="10"/>
        <v>52432.141837608928</v>
      </c>
      <c r="AO66">
        <f t="shared" si="11"/>
        <v>3.1923264032229781E-7</v>
      </c>
      <c r="AP66">
        <f t="shared" si="12"/>
        <v>3.1991658033803105E-7</v>
      </c>
    </row>
    <row r="67" spans="1:42" x14ac:dyDescent="0.35">
      <c r="A67">
        <v>24</v>
      </c>
      <c r="B67">
        <f t="shared" si="13"/>
        <v>0</v>
      </c>
      <c r="C67">
        <f t="shared" si="14"/>
        <v>0</v>
      </c>
      <c r="D67">
        <f t="shared" si="15"/>
        <v>52432.141837705014</v>
      </c>
      <c r="E67">
        <f t="shared" si="16"/>
        <v>52432.141837608928</v>
      </c>
      <c r="F67">
        <f t="shared" si="2"/>
        <v>51</v>
      </c>
      <c r="G67">
        <f>IF(N6="None",F67,MAX(0,F67*B67))</f>
        <v>51</v>
      </c>
      <c r="H67">
        <f>IF(N6="None",0,MAX(0,F67-G67))</f>
        <v>0</v>
      </c>
      <c r="I67">
        <f>IF(AND(N7="None",N8="None"),0,IF(N8="None",G67,IF(N7="None",0,MAX(0,G67*C67))))</f>
        <v>0</v>
      </c>
      <c r="J67">
        <f>IF(AND(N7="None",N8="None"),0,IF(N8="None",0,IF(N7="None",G67,MAX(0,G67-I67))))</f>
        <v>51</v>
      </c>
      <c r="K67">
        <f>P5</f>
        <v>637</v>
      </c>
      <c r="L67">
        <f>P6</f>
        <v>634.3119999999999</v>
      </c>
      <c r="M67">
        <f>P7</f>
        <v>635.5</v>
      </c>
      <c r="N67">
        <f>P8</f>
        <v>631.54999999999995</v>
      </c>
      <c r="O67">
        <f>K67+((ABS(F67)/MAX(((F31)+(H31)*(MAX($D$16,(K67)-(J31))))*(MAX($D$16,(K67)-(J31))),0.000001))^2)/(2*$I$5)-((E31)*((((ABS(F67)*$D$6)/(MAX(((F31)+(H31)*(MAX($D$16,(K67)-(J31))))*(MAX($D$16,(K67)-(J31))),0.000001)*MAX(((((F31)+(H31)*(MAX($D$16,(K67)-(J31))))*(MAX($D$16,(K67)-(J31))))/MAX((F31)+2*(MAX($D$16,(K67)-(J31)))*SQRT(1+(H31)^2),0.000001))^(2/3),0.000001)))^2)+(((ABS(F67)*$D$6)/(MAX(((G31)+(I31)*(MAX($D$16,(D67)-(K31))))*(MAX($D$16,(D67)-(K31))),0.000001)*MAX(((((G31)+(I31)*(MAX($D$16,(D67)-(K31))))*(MAX($D$16,(D67)-(K31))))/MAX((G31)+2*(MAX($D$16,(D67)-(K31)))*SQRT(1+(I31)^2),0.000001))^(2/3),0.000001)))^2))/2)+(IF((ABS(F67)/MAX(((G31)+(I31)*(MAX($D$16,(D67)-(K31))))*(MAX($D$16,(D67)-(K31))),0.000001))&gt;(ABS(F67)/MAX(((F31)+(H31)*(MAX($D$16,(K67)-(J31))))*(MAX($D$16,(K67)-(J31))),0.000001)),$D$9*((((ABS(F67)/MAX(((G31)+(I31)*(MAX($D$16,(D67)-(K31))))*(MAX($D$16,(D67)-(K31))),0.000001))^2)/(2*$I$5))-(((ABS(F67)/MAX(((F31)+(H31)*(MAX($D$16,(K67)-(J31))))*(MAX($D$16,(K67)-(J31))),0.000001))^2)/(2*$I$5))),$D$8*((((ABS(F67)/MAX(((F31)+(H31)*(MAX($D$16,(K67)-(J31))))*(MAX($D$16,(K67)-(J31))),0.000001))^2)/(2*$I$5))-(((ABS(F67)/MAX(((G31)+(I31)*(MAX($D$16,(D67)-(K31))))*(MAX($D$16,(D67)-(K31))),0.000001))^2)/(2*$I$5)))))+($D$10*(ABS((X31)-(W31))/90)*MAX(((ABS(F67)/MAX(((F31)+(H31)*(MAX($D$16,(K67)-(J31))))*(MAX($D$16,(K67)-(J31))),0.000001))^2)/(2*$I$5),((ABS(F67)/MAX(((G31)+(I31)*(MAX($D$16,(D67)-(K31))))*(MAX($D$16,(D67)-(K31))),0.000001))^2)/(2*$I$5)))+(0)-((ABS(F67)/MAX(((G31)+(I31)*(MAX($D$16,(D67)-(K31))))*(MAX($D$16,(D67)-(K31))),0.000001))^2)/(2*$I$5)</f>
        <v>637.65825101089831</v>
      </c>
      <c r="P67">
        <f>E67+((ABS(G67)/MAX(((G32)+(I32)*(MAX($D$16,(E67)-(K32))))*(MAX($D$16,(E67)-(K32))),0.000001))^2)/(2*$I$5)+((E32)*((((ABS(G67)*$D$6)/(MAX(((F32)+(H32)*(MAX($D$16,(D67)-(J32))))*(MAX($D$16,(D67)-(J32))),0.000001)*MAX(((((F32)+(H32)*(MAX($D$16,(D67)-(J32))))*(MAX($D$16,(D67)-(J32))))/MAX((F32)+2*(MAX($D$16,(D67)-(J32)))*SQRT(1+(H32)^2),0.000001))^(2/3),0.000001)))^2)+(((ABS(G67)*$D$6)/(MAX(((G32)+(I32)*(MAX($D$16,(E67)-(K32))))*(MAX($D$16,(E67)-(K32))),0.000001)*MAX(((((G32)+(I32)*(MAX($D$16,(E67)-(K32))))*(MAX($D$16,(E67)-(K32))))/MAX((G32)+2*(MAX($D$16,(E67)-(K32)))*SQRT(1+(I32)^2),0.000001))^(2/3),0.000001)))^2))/2)+(IF((ABS(G67)/MAX(((G32)+(I32)*(MAX($D$16,(E67)-(K32))))*(MAX($D$16,(E67)-(K32))),0.000001))&gt;(ABS(G67)/MAX(((F32)+(H32)*(MAX($D$16,(D67)-(J32))))*(MAX($D$16,(D67)-(J32))),0.000001)),$D$9*((((ABS(G67)/MAX(((G32)+(I32)*(MAX($D$16,(E67)-(K32))))*(MAX($D$16,(E67)-(K32))),0.000001))^2)/(2*$I$5))-(((ABS(G67)/MAX(((F32)+(H32)*(MAX($D$16,(D67)-(J32))))*(MAX($D$16,(D67)-(J32))),0.000001))^2)/(2*$I$5))),$D$8*((((ABS(G67)/MAX(((F32)+(H32)*(MAX($D$16,(D67)-(J32))))*(MAX($D$16,(D67)-(J32))),0.000001))^2)/(2*$I$5))-(((ABS(G67)/MAX(((G32)+(I32)*(MAX($D$16,(E67)-(K32))))*(MAX($D$16,(E67)-(K32))),0.000001))^2)/(2*$I$5)))))+($D$10*(ABS((X32)-(W32))/90)*MAX(((ABS(G67)/MAX(((F32)+(H32)*(MAX($D$16,(D67)-(J32))))*(MAX($D$16,(D67)-(J32))),0.000001))^2)/(2*$I$5),((ABS(G67)/MAX(((G32)+(I32)*(MAX($D$16,(E67)-(K32))))*(MAX($D$16,(E67)-(K32))),0.000001))^2)/(2*$I$5)))+(($D$11*0.13607488*(ABS(H67)/MAX(ABS(F67),0.000001))^2*MAX(((ABS(G67)/MAX(((F32)+(H32)*(MAX($D$16,(D67)-(J32))))*(MAX($D$16,(D67)-(J32))),0.000001))^2)/(2*$I$5),((ABS(G67)/MAX(((G32)+(I32)*(MAX($D$16,(E67)-(K32))))*(MAX($D$16,(E67)-(K32))),0.000001))^2)/(2*$I$5))))-((ABS(G67)/MAX(((F32)+(H32)*(MAX($D$16,(D67)-(J32))))*(MAX($D$16,(D67)-(J32))),0.000001))^2)/(2*$I$5)</f>
        <v>52432.141837609481</v>
      </c>
      <c r="Q67">
        <f>L67+((ABS(H67)/MAX(((G33)+(I33)*(MAX($D$16,(L67)-(K33))))*(MAX($D$16,(L67)-(K33))),0.000001))^2)/(2*$I$5)+((E33)*((((ABS(H67)*$D$6)/(MAX(((F33)+(H33)*(MAX($D$16,(D67)-(J33))))*(MAX($D$16,(D67)-(J33))),0.000001)*MAX(((((F33)+(H33)*(MAX($D$16,(D67)-(J33))))*(MAX($D$16,(D67)-(J33))))/MAX((F33)+2*(MAX($D$16,(D67)-(J33)))*SQRT(1+(H33)^2),0.000001))^(2/3),0.000001)))^2)+(((ABS(H67)*$D$6)/(MAX(((G33)+(I33)*(MAX($D$16,(L67)-(K33))))*(MAX($D$16,(L67)-(K33))),0.000001)*MAX(((((G33)+(I33)*(MAX($D$16,(L67)-(K33))))*(MAX($D$16,(L67)-(K33))))/MAX((G33)+2*(MAX($D$16,(L67)-(K33)))*SQRT(1+(I33)^2),0.000001))^(2/3),0.000001)))^2))/2)+(IF((ABS(H67)/MAX(((G33)+(I33)*(MAX($D$16,(L67)-(K33))))*(MAX($D$16,(L67)-(K33))),0.000001))&gt;(ABS(H67)/MAX(((F33)+(H33)*(MAX($D$16,(D67)-(J33))))*(MAX($D$16,(D67)-(J33))),0.000001)),$D$9*((((ABS(H67)/MAX(((G33)+(I33)*(MAX($D$16,(L67)-(K33))))*(MAX($D$16,(L67)-(K33))),0.000001))^2)/(2*$I$5))-(((ABS(H67)/MAX(((F33)+(H33)*(MAX($D$16,(D67)-(J33))))*(MAX($D$16,(D67)-(J33))),0.000001))^2)/(2*$I$5))),$D$8*((((ABS(H67)/MAX(((F33)+(H33)*(MAX($D$16,(D67)-(J33))))*(MAX($D$16,(D67)-(J33))),0.000001))^2)/(2*$I$5))-(((ABS(H67)/MAX(((G33)+(I33)*(MAX($D$16,(L67)-(K33))))*(MAX($D$16,(L67)-(K33))),0.000001))^2)/(2*$I$5)))))+($D$10*(ABS((X33)-(W33))/90)*MAX(((ABS(H67)/MAX(((F33)+(H33)*(MAX($D$16,(D67)-(J33))))*(MAX($D$16,(D67)-(J33))),0.000001))^2)/(2*$I$5),((ABS(H67)/MAX(((G33)+(I33)*(MAX($D$16,(L67)-(K33))))*(MAX($D$16,(L67)-(K33))),0.000001))^2)/(2*$I$5)))+(($D$11*0.00000015*(ABS(G67)/MAX(ABS(F67),0.000001))^2*MAX(((ABS(H67)/MAX(((F33)+(H33)*(MAX($D$16,(D67)-(J33))))*(MAX($D$16,(D67)-(J33))),0.000001))^2)/(2*$I$5),((ABS(H67)/MAX(((G33)+(I33)*(MAX($D$16,(L67)-(K33))))*(MAX($D$16,(L67)-(K33))),0.000001))^2)/(2*$I$5))))-((ABS(H67)/MAX(((F33)+(H33)*(MAX($D$16,(D67)-(J33))))*(MAX($D$16,(D67)-(J33))),0.000001))^2)/(2*$I$5)</f>
        <v>634.3119999999999</v>
      </c>
      <c r="R67">
        <f>D67+((ABS(G67)/MAX(((F32)+(H32)*(MAX($D$16,(D67)-(J32))))*(MAX($D$16,(D67)-(J32))),0.000001))^2)/(2*$I$5)-((E32)*((((ABS(G67)*$D$6)/(MAX(((F32)+(H32)*(MAX($D$16,(D67)-(J32))))*(MAX($D$16,(D67)-(J32))),0.000001)*MAX(((((F32)+(H32)*(MAX($D$16,(D67)-(J32))))*(MAX($D$16,(D67)-(J32))))/MAX((F32)+2*(MAX($D$16,(D67)-(J32)))*SQRT(1+(H32)^2),0.000001))^(2/3),0.000001)))^2)+(((ABS(G67)*$D$6)/(MAX(((G32)+(I32)*(MAX($D$16,(E67)-(K32))))*(MAX($D$16,(E67)-(K32))),0.000001)*MAX(((((G32)+(I32)*(MAX($D$16,(E67)-(K32))))*(MAX($D$16,(E67)-(K32))))/MAX((G32)+2*(MAX($D$16,(E67)-(K32)))*SQRT(1+(I32)^2),0.000001))^(2/3),0.000001)))^2))/2)+(IF((ABS(G67)/MAX(((G32)+(I32)*(MAX($D$16,(E67)-(K32))))*(MAX($D$16,(E67)-(K32))),0.000001))&gt;(ABS(G67)/MAX(((F32)+(H32)*(MAX($D$16,(D67)-(J32))))*(MAX($D$16,(D67)-(J32))),0.000001)),$D$9*((((ABS(G67)/MAX(((G32)+(I32)*(MAX($D$16,(E67)-(K32))))*(MAX($D$16,(E67)-(K32))),0.000001))^2)/(2*$I$5))-(((ABS(G67)/MAX(((F32)+(H32)*(MAX($D$16,(D67)-(J32))))*(MAX($D$16,(D67)-(J32))),0.000001))^2)/(2*$I$5))),$D$8*((((ABS(G67)/MAX(((F32)+(H32)*(MAX($D$16,(D67)-(J32))))*(MAX($D$16,(D67)-(J32))),0.000001))^2)/(2*$I$5))-(((ABS(G67)/MAX(((G32)+(I32)*(MAX($D$16,(E67)-(K32))))*(MAX($D$16,(E67)-(K32))),0.000001))^2)/(2*$I$5)))))+($D$10*(ABS((X32)-(W32))/90)*MAX(((ABS(G67)/MAX(((F32)+(H32)*(MAX($D$16,(D67)-(J32))))*(MAX($D$16,(D67)-(J32))),0.000001))^2)/(2*$I$5),((ABS(G67)/MAX(((G32)+(I32)*(MAX($D$16,(E67)-(K32))))*(MAX($D$16,(E67)-(K32))),0.000001))^2)/(2*$I$5)))+(($D$11*0.13607488*(ABS(H67)/MAX(ABS(F67),0.000001))^2*MAX(((ABS(G67)/MAX(((F32)+(H32)*(MAX($D$16,(D67)-(J32))))*(MAX($D$16,(D67)-(J32))),0.000001))^2)/(2*$I$5),((ABS(G67)/MAX(((G32)+(I32)*(MAX($D$16,(E67)-(K32))))*(MAX($D$16,(E67)-(K32))),0.000001))^2)/(2*$I$5))))-((ABS(G67)/MAX(((G32)+(I32)*(MAX($D$16,(E67)-(K32))))*(MAX($D$16,(E67)-(K32))),0.000001))^2)/(2*$I$5)</f>
        <v>52432.141837705145</v>
      </c>
      <c r="S67">
        <f>M67+((ABS(I67)/MAX(((G34)+(I34)*(MAX($D$16,(M67)-(K34))))*(MAX($D$16,(M67)-(K34))),0.000001))^2)/(2*$I$5)+((E34)*((((ABS(I67)*$D$6)/(MAX(((F34)+(H34)*(MAX($D$16,(E67)-(J34))))*(MAX($D$16,(E67)-(J34))),0.000001)*MAX(((((F34)+(H34)*(MAX($D$16,(E67)-(J34))))*(MAX($D$16,(E67)-(J34))))/MAX((F34)+2*(MAX($D$16,(E67)-(J34)))*SQRT(1+(H34)^2),0.000001))^(2/3),0.000001)))^2)+(((ABS(I67)*$D$6)/(MAX(((G34)+(I34)*(MAX($D$16,(M67)-(K34))))*(MAX($D$16,(M67)-(K34))),0.000001)*MAX(((((G34)+(I34)*(MAX($D$16,(M67)-(K34))))*(MAX($D$16,(M67)-(K34))))/MAX((G34)+2*(MAX($D$16,(M67)-(K34)))*SQRT(1+(I34)^2),0.000001))^(2/3),0.000001)))^2))/2)+(IF((ABS(I67)/MAX(((G34)+(I34)*(MAX($D$16,(M67)-(K34))))*(MAX($D$16,(M67)-(K34))),0.000001))&gt;(ABS(I67)/MAX(((F34)+(H34)*(MAX($D$16,(E67)-(J34))))*(MAX($D$16,(E67)-(J34))),0.000001)),$D$9*((((ABS(I67)/MAX(((G34)+(I34)*(MAX($D$16,(M67)-(K34))))*(MAX($D$16,(M67)-(K34))),0.000001))^2)/(2*$I$5))-(((ABS(I67)/MAX(((F34)+(H34)*(MAX($D$16,(E67)-(J34))))*(MAX($D$16,(E67)-(J34))),0.000001))^2)/(2*$I$5))),$D$8*((((ABS(I67)/MAX(((F34)+(H34)*(MAX($D$16,(E67)-(J34))))*(MAX($D$16,(E67)-(J34))),0.000001))^2)/(2*$I$5))-(((ABS(I67)/MAX(((G34)+(I34)*(MAX($D$16,(M67)-(K34))))*(MAX($D$16,(M67)-(K34))),0.000001))^2)/(2*$I$5)))))+($D$10*(ABS((X34)-(W34))/90)*MAX(((ABS(I67)/MAX(((F34)+(H34)*(MAX($D$16,(E67)-(J34))))*(MAX($D$16,(E67)-(J34))),0.000001))^2)/(2*$I$5),((ABS(I67)/MAX(((G34)+(I34)*(MAX($D$16,(M67)-(K34))))*(MAX($D$16,(M67)-(K34))),0.000001))^2)/(2*$I$5)))+(0)-((ABS(I67)/MAX(((F34)+(H34)*(MAX($D$16,(E67)-(J34))))*(MAX($D$16,(E67)-(J34))),0.000001))^2)/(2*$I$5)</f>
        <v>635.5</v>
      </c>
      <c r="T67">
        <f>N67+((ABS(J67)/MAX(((G35)+(I35)*(MAX($D$16,(N67)-(K35))))*(MAX($D$16,(N67)-(K35))),0.000001))^2)/(2*$I$5)+((E35)*((((ABS(J67)*$D$6)/(MAX(((F35)+(H35)*(MAX($D$16,(E67)-(J35))))*(MAX($D$16,(E67)-(J35))),0.000001)*MAX(((((F35)+(H35)*(MAX($D$16,(E67)-(J35))))*(MAX($D$16,(E67)-(J35))))/MAX((F35)+2*(MAX($D$16,(E67)-(J35)))*SQRT(1+(H35)^2),0.000001))^(2/3),0.000001)))^2)+(((ABS(J67)*$D$6)/(MAX(((G35)+(I35)*(MAX($D$16,(N67)-(K35))))*(MAX($D$16,(N67)-(K35))),0.000001)*MAX(((((G35)+(I35)*(MAX($D$16,(N67)-(K35))))*(MAX($D$16,(N67)-(K35))))/MAX((G35)+2*(MAX($D$16,(N67)-(K35)))*SQRT(1+(I35)^2),0.000001))^(2/3),0.000001)))^2))/2)+(IF((ABS(J67)/MAX(((G35)+(I35)*(MAX($D$16,(N67)-(K35))))*(MAX($D$16,(N67)-(K35))),0.000001))&gt;(ABS(J67)/MAX(((F35)+(H35)*(MAX($D$16,(E67)-(J35))))*(MAX($D$16,(E67)-(J35))),0.000001)),$D$9*((((ABS(J67)/MAX(((G35)+(I35)*(MAX($D$16,(N67)-(K35))))*(MAX($D$16,(N67)-(K35))),0.000001))^2)/(2*$I$5))-(((ABS(J67)/MAX(((F35)+(H35)*(MAX($D$16,(E67)-(J35))))*(MAX($D$16,(E67)-(J35))),0.000001))^2)/(2*$I$5))),$D$8*((((ABS(J67)/MAX(((F35)+(H35)*(MAX($D$16,(E67)-(J35))))*(MAX($D$16,(E67)-(J35))),0.000001))^2)/(2*$I$5))-(((ABS(J67)/MAX(((G35)+(I35)*(MAX($D$16,(N67)-(K35))))*(MAX($D$16,(N67)-(K35))),0.000001))^2)/(2*$I$5)))))+($D$10*(ABS((X35)-(W35))/90)*MAX(((ABS(J67)/MAX(((F35)+(H35)*(MAX($D$16,(E67)-(J35))))*(MAX($D$16,(E67)-(J35))),0.000001))^2)/(2*$I$5),((ABS(J67)/MAX(((G35)+(I35)*(MAX($D$16,(N67)-(K35))))*(MAX($D$16,(N67)-(K35))),0.000001))^2)/(2*$I$5)))+(($D$11*0.34699541*(ABS(I67)/MAX(ABS(G67),0.000001))^2*MAX(((ABS(J67)/MAX(((F35)+(H35)*(MAX($D$16,(E67)-(J35))))*(MAX($D$16,(E67)-(J35))),0.000001))^2)/(2*$I$5),((ABS(J67)/MAX(((G35)+(I35)*(MAX($D$16,(N67)-(K35))))*(MAX($D$16,(N67)-(K35))),0.000001))^2)/(2*$I$5))))-((ABS(J67)/MAX(((F35)+(H35)*(MAX($D$16,(E67)-(J35))))*(MAX($D$16,(E67)-(J35))),0.000001))^2)/(2*$I$5)</f>
        <v>20784.033523923383</v>
      </c>
      <c r="U67">
        <f>(((((F32)*(MAX($D$16,(D67)-(J32)))^2)/2+(H32)*(MAX($D$16,(D67)-(J32)))^3/3+(ABS(G67)^2)/($I$5*MAX(((F32)+(H32)*(MAX($D$16,(D67)-(J32))))*(MAX($D$16,(D67)-(J32))),0.000001)))*0.72785025)-((((F33)*(MAX($D$16,(D67)-(J33)))^2)/2+(H33)*(MAX($D$16,(D67)-(J33)))^3/3+(ABS(H67)^2)/($I$5*MAX(((F33)+(H33)*(MAX($D$16,(D67)-(J33))))*(MAX($D$16,(D67)-(J33))),0.000001)))*0.99999971))/MAX(((G31)*(MAX($D$16,(D67)-(K31)))^2)/2+(I31)*(MAX($D$16,(D67)-(K31)))^3/3+(ABS(F67)^2)/($I$5*MAX(((G31)+(I31)*(MAX($D$16,(D67)-(K31))))*(MAX($D$16,(D67)-(K31))),0.000001)),0.000001)</f>
        <v>-0.27214945999991125</v>
      </c>
      <c r="V67">
        <f>(((((F34)*(MAX($D$16,(E67)-(J34)))^2)/2+(H34)*(MAX($D$16,(E67)-(J34)))^3/3+(ABS(I67)^2)/($I$5*MAX(((F34)+(H34)*(MAX($D$16,(E67)-(J34))))*(MAX($D$16,(E67)-(J34))),0.000001)))*1)-((((F35)*(MAX($D$16,(E67)-(J35)))^2)/2+(H35)*(MAX($D$16,(E67)-(J35)))^3/3+(ABS(J67)^2)/($I$5*MAX(((F35)+(H35)*(MAX($D$16,(E67)-(J35))))*(MAX($D$16,(E67)-(J35))),0.000001)))*0.30600918))/MAX(((G32)*(MAX($D$16,(E67)-(K32)))^2)/2+(I32)*(MAX($D$16,(E67)-(K32)))^3/3+(ABS(G67)^2)/($I$5*MAX(((G32)+(I32)*(MAX($D$16,(E67)-(K32))))*(MAX($D$16,(E67)-(K32))),0.000001)),0.000001)</f>
        <v>0.69398638937190393</v>
      </c>
      <c r="W67">
        <f>IF(N6="None",ABS(P67-D67),MAX(ABS(P67-D67),ABS(Q67-D67)))</f>
        <v>9.5533323474228382E-8</v>
      </c>
      <c r="X67">
        <f>IF(AND(N7="None",N8="None"),0,IF(N8="None",ABS(S67-E67),IF(N7="None",ABS(T67-E67),MAX(ABS(S67-E67),ABS(T67-E67)))))</f>
        <v>51796.641837608928</v>
      </c>
      <c r="AA67">
        <f t="shared" si="3"/>
        <v>52432.141837671574</v>
      </c>
      <c r="AB67">
        <f t="shared" si="4"/>
        <v>41355.30392781899</v>
      </c>
      <c r="AC67">
        <f>IF(N6="None",P67,MAX(P67,Q67))</f>
        <v>52432.141837609481</v>
      </c>
      <c r="AD67">
        <f>IF(AND(N7="None",N8="None"),E67,IF(N8="None",S67,IF(N7="None",T67,MAX(S67,T67))))</f>
        <v>20784.033523923383</v>
      </c>
      <c r="AE67">
        <f t="shared" si="5"/>
        <v>637.65825101089831</v>
      </c>
      <c r="AF67">
        <f t="shared" si="6"/>
        <v>52432.141837705145</v>
      </c>
      <c r="AG67">
        <f>((G31)*(MAX($D$16,(AC67)-(K31)))^2)/2+(I31)*(MAX($D$16,(AC67)-(K31)))^3/3+(ABS(F67)^2)/($I$5*MAX(((G31)+(I31)*(MAX($D$16,(AC67)-(K31))))*(MAX($D$16,(AC67)-(K31))),0.000001))</f>
        <v>8797611517.393795</v>
      </c>
      <c r="AH67">
        <f>((G31)*(MAX($D$16,(AE67)-(K31)))^2)/2+(I31)*(MAX($D$16,(AE67)-(K31)))^3/3+(ABS(F67)^2)/($I$5*MAX(((G31)+(I31)*(MAX($D$16,(AE67)-(K31))))*(MAX($D$16,(AE67)-(K31))),0.000001))</f>
        <v>49.055863329575246</v>
      </c>
      <c r="AI67">
        <f>((G32)*(MAX($D$16,(AD67)-(K32)))^2)/2+(I32)*(MAX($D$16,(AD67)-(K32)))^3/3+(ABS(G67)^2)/($I$5*MAX(((G32)+(I32)*(MAX($D$16,(AD67)-(K32))))*(MAX($D$16,(AD67)-(K32))),0.000001))</f>
        <v>2072376743.6648321</v>
      </c>
      <c r="AJ67">
        <f>((G32)*(MAX($D$16,(AF67)-(K32)))^2)/2+(I32)*(MAX($D$16,(AF67)-(K32)))^3/3+(ABS(G67)^2)/($I$5*MAX(((G32)+(I32)*(MAX($D$16,(AF67)-(K32))))*(MAX($D$16,(AF67)-(K32))),0.000001))</f>
        <v>13692714789.666895</v>
      </c>
      <c r="AK67" t="str">
        <f t="shared" si="7"/>
        <v>Subcritical</v>
      </c>
      <c r="AL67" t="str">
        <f t="shared" si="8"/>
        <v>Supercritical</v>
      </c>
      <c r="AM67">
        <f t="shared" si="9"/>
        <v>52432.141837671574</v>
      </c>
      <c r="AN67">
        <f t="shared" si="10"/>
        <v>52432.141837642601</v>
      </c>
      <c r="AO67">
        <f t="shared" si="11"/>
        <v>9.5533323474228382E-8</v>
      </c>
      <c r="AP67">
        <f t="shared" si="12"/>
        <v>9.6217263489961624E-8</v>
      </c>
    </row>
    <row r="68" spans="1:42" x14ac:dyDescent="0.35">
      <c r="A68">
        <v>25</v>
      </c>
      <c r="B68">
        <f t="shared" si="13"/>
        <v>0</v>
      </c>
      <c r="C68">
        <f t="shared" si="14"/>
        <v>0</v>
      </c>
      <c r="D68">
        <f t="shared" si="15"/>
        <v>52432.141837671574</v>
      </c>
      <c r="E68">
        <f t="shared" si="16"/>
        <v>52432.141837642601</v>
      </c>
      <c r="F68">
        <f t="shared" si="2"/>
        <v>51</v>
      </c>
      <c r="G68">
        <f>IF(N6="None",F68,MAX(0,F68*B68))</f>
        <v>51</v>
      </c>
      <c r="H68">
        <f>IF(N6="None",0,MAX(0,F68-G68))</f>
        <v>0</v>
      </c>
      <c r="I68">
        <f>IF(AND(N7="None",N8="None"),0,IF(N8="None",G68,IF(N7="None",0,MAX(0,G68*C68))))</f>
        <v>0</v>
      </c>
      <c r="J68">
        <f>IF(AND(N7="None",N8="None"),0,IF(N8="None",0,IF(N7="None",G68,MAX(0,G68-I68))))</f>
        <v>51</v>
      </c>
      <c r="K68">
        <f>P5</f>
        <v>637</v>
      </c>
      <c r="L68">
        <f>P6</f>
        <v>634.3119999999999</v>
      </c>
      <c r="M68">
        <f>P7</f>
        <v>635.5</v>
      </c>
      <c r="N68">
        <f>P8</f>
        <v>631.54999999999995</v>
      </c>
      <c r="O68">
        <f>K68+((ABS(F68)/MAX(((F31)+(H31)*(MAX($D$16,(K68)-(J31))))*(MAX($D$16,(K68)-(J31))),0.000001))^2)/(2*$I$5)-((E31)*((((ABS(F68)*$D$6)/(MAX(((F31)+(H31)*(MAX($D$16,(K68)-(J31))))*(MAX($D$16,(K68)-(J31))),0.000001)*MAX(((((F31)+(H31)*(MAX($D$16,(K68)-(J31))))*(MAX($D$16,(K68)-(J31))))/MAX((F31)+2*(MAX($D$16,(K68)-(J31)))*SQRT(1+(H31)^2),0.000001))^(2/3),0.000001)))^2)+(((ABS(F68)*$D$6)/(MAX(((G31)+(I31)*(MAX($D$16,(D68)-(K31))))*(MAX($D$16,(D68)-(K31))),0.000001)*MAX(((((G31)+(I31)*(MAX($D$16,(D68)-(K31))))*(MAX($D$16,(D68)-(K31))))/MAX((G31)+2*(MAX($D$16,(D68)-(K31)))*SQRT(1+(I31)^2),0.000001))^(2/3),0.000001)))^2))/2)+(IF((ABS(F68)/MAX(((G31)+(I31)*(MAX($D$16,(D68)-(K31))))*(MAX($D$16,(D68)-(K31))),0.000001))&gt;(ABS(F68)/MAX(((F31)+(H31)*(MAX($D$16,(K68)-(J31))))*(MAX($D$16,(K68)-(J31))),0.000001)),$D$9*((((ABS(F68)/MAX(((G31)+(I31)*(MAX($D$16,(D68)-(K31))))*(MAX($D$16,(D68)-(K31))),0.000001))^2)/(2*$I$5))-(((ABS(F68)/MAX(((F31)+(H31)*(MAX($D$16,(K68)-(J31))))*(MAX($D$16,(K68)-(J31))),0.000001))^2)/(2*$I$5))),$D$8*((((ABS(F68)/MAX(((F31)+(H31)*(MAX($D$16,(K68)-(J31))))*(MAX($D$16,(K68)-(J31))),0.000001))^2)/(2*$I$5))-(((ABS(F68)/MAX(((G31)+(I31)*(MAX($D$16,(D68)-(K31))))*(MAX($D$16,(D68)-(K31))),0.000001))^2)/(2*$I$5)))))+($D$10*(ABS((X31)-(W31))/90)*MAX(((ABS(F68)/MAX(((F31)+(H31)*(MAX($D$16,(K68)-(J31))))*(MAX($D$16,(K68)-(J31))),0.000001))^2)/(2*$I$5),((ABS(F68)/MAX(((G31)+(I31)*(MAX($D$16,(D68)-(K31))))*(MAX($D$16,(D68)-(K31))),0.000001))^2)/(2*$I$5)))+(0)-((ABS(F68)/MAX(((G31)+(I31)*(MAX($D$16,(D68)-(K31))))*(MAX($D$16,(D68)-(K31))),0.000001))^2)/(2*$I$5)</f>
        <v>637.65825101089831</v>
      </c>
      <c r="P68">
        <f>E68+((ABS(G68)/MAX(((G32)+(I32)*(MAX($D$16,(E68)-(K32))))*(MAX($D$16,(E68)-(K32))),0.000001))^2)/(2*$I$5)+((E32)*((((ABS(G68)*$D$6)/(MAX(((F32)+(H32)*(MAX($D$16,(D68)-(J32))))*(MAX($D$16,(D68)-(J32))),0.000001)*MAX(((((F32)+(H32)*(MAX($D$16,(D68)-(J32))))*(MAX($D$16,(D68)-(J32))))/MAX((F32)+2*(MAX($D$16,(D68)-(J32)))*SQRT(1+(H32)^2),0.000001))^(2/3),0.000001)))^2)+(((ABS(G68)*$D$6)/(MAX(((G32)+(I32)*(MAX($D$16,(E68)-(K32))))*(MAX($D$16,(E68)-(K32))),0.000001)*MAX(((((G32)+(I32)*(MAX($D$16,(E68)-(K32))))*(MAX($D$16,(E68)-(K32))))/MAX((G32)+2*(MAX($D$16,(E68)-(K32)))*SQRT(1+(I32)^2),0.000001))^(2/3),0.000001)))^2))/2)+(IF((ABS(G68)/MAX(((G32)+(I32)*(MAX($D$16,(E68)-(K32))))*(MAX($D$16,(E68)-(K32))),0.000001))&gt;(ABS(G68)/MAX(((F32)+(H32)*(MAX($D$16,(D68)-(J32))))*(MAX($D$16,(D68)-(J32))),0.000001)),$D$9*((((ABS(G68)/MAX(((G32)+(I32)*(MAX($D$16,(E68)-(K32))))*(MAX($D$16,(E68)-(K32))),0.000001))^2)/(2*$I$5))-(((ABS(G68)/MAX(((F32)+(H32)*(MAX($D$16,(D68)-(J32))))*(MAX($D$16,(D68)-(J32))),0.000001))^2)/(2*$I$5))),$D$8*((((ABS(G68)/MAX(((F32)+(H32)*(MAX($D$16,(D68)-(J32))))*(MAX($D$16,(D68)-(J32))),0.000001))^2)/(2*$I$5))-(((ABS(G68)/MAX(((G32)+(I32)*(MAX($D$16,(E68)-(K32))))*(MAX($D$16,(E68)-(K32))),0.000001))^2)/(2*$I$5)))))+($D$10*(ABS((X32)-(W32))/90)*MAX(((ABS(G68)/MAX(((F32)+(H32)*(MAX($D$16,(D68)-(J32))))*(MAX($D$16,(D68)-(J32))),0.000001))^2)/(2*$I$5),((ABS(G68)/MAX(((G32)+(I32)*(MAX($D$16,(E68)-(K32))))*(MAX($D$16,(E68)-(K32))),0.000001))^2)/(2*$I$5)))+(($D$11*0.13607488*(ABS(H68)/MAX(ABS(F68),0.000001))^2*MAX(((ABS(G68)/MAX(((F32)+(H32)*(MAX($D$16,(D68)-(J32))))*(MAX($D$16,(D68)-(J32))),0.000001))^2)/(2*$I$5),((ABS(G68)/MAX(((G32)+(I32)*(MAX($D$16,(E68)-(K32))))*(MAX($D$16,(E68)-(K32))),0.000001))^2)/(2*$I$5))))-((ABS(G68)/MAX(((F32)+(H32)*(MAX($D$16,(D68)-(J32))))*(MAX($D$16,(D68)-(J32))),0.000001))^2)/(2*$I$5)</f>
        <v>52432.141837643154</v>
      </c>
      <c r="Q68">
        <f>L68+((ABS(H68)/MAX(((G33)+(I33)*(MAX($D$16,(L68)-(K33))))*(MAX($D$16,(L68)-(K33))),0.000001))^2)/(2*$I$5)+((E33)*((((ABS(H68)*$D$6)/(MAX(((F33)+(H33)*(MAX($D$16,(D68)-(J33))))*(MAX($D$16,(D68)-(J33))),0.000001)*MAX(((((F33)+(H33)*(MAX($D$16,(D68)-(J33))))*(MAX($D$16,(D68)-(J33))))/MAX((F33)+2*(MAX($D$16,(D68)-(J33)))*SQRT(1+(H33)^2),0.000001))^(2/3),0.000001)))^2)+(((ABS(H68)*$D$6)/(MAX(((G33)+(I33)*(MAX($D$16,(L68)-(K33))))*(MAX($D$16,(L68)-(K33))),0.000001)*MAX(((((G33)+(I33)*(MAX($D$16,(L68)-(K33))))*(MAX($D$16,(L68)-(K33))))/MAX((G33)+2*(MAX($D$16,(L68)-(K33)))*SQRT(1+(I33)^2),0.000001))^(2/3),0.000001)))^2))/2)+(IF((ABS(H68)/MAX(((G33)+(I33)*(MAX($D$16,(L68)-(K33))))*(MAX($D$16,(L68)-(K33))),0.000001))&gt;(ABS(H68)/MAX(((F33)+(H33)*(MAX($D$16,(D68)-(J33))))*(MAX($D$16,(D68)-(J33))),0.000001)),$D$9*((((ABS(H68)/MAX(((G33)+(I33)*(MAX($D$16,(L68)-(K33))))*(MAX($D$16,(L68)-(K33))),0.000001))^2)/(2*$I$5))-(((ABS(H68)/MAX(((F33)+(H33)*(MAX($D$16,(D68)-(J33))))*(MAX($D$16,(D68)-(J33))),0.000001))^2)/(2*$I$5))),$D$8*((((ABS(H68)/MAX(((F33)+(H33)*(MAX($D$16,(D68)-(J33))))*(MAX($D$16,(D68)-(J33))),0.000001))^2)/(2*$I$5))-(((ABS(H68)/MAX(((G33)+(I33)*(MAX($D$16,(L68)-(K33))))*(MAX($D$16,(L68)-(K33))),0.000001))^2)/(2*$I$5)))))+($D$10*(ABS((X33)-(W33))/90)*MAX(((ABS(H68)/MAX(((F33)+(H33)*(MAX($D$16,(D68)-(J33))))*(MAX($D$16,(D68)-(J33))),0.000001))^2)/(2*$I$5),((ABS(H68)/MAX(((G33)+(I33)*(MAX($D$16,(L68)-(K33))))*(MAX($D$16,(L68)-(K33))),0.000001))^2)/(2*$I$5)))+(($D$11*0.00000015*(ABS(G68)/MAX(ABS(F68),0.000001))^2*MAX(((ABS(H68)/MAX(((F33)+(H33)*(MAX($D$16,(D68)-(J33))))*(MAX($D$16,(D68)-(J33))),0.000001))^2)/(2*$I$5),((ABS(H68)/MAX(((G33)+(I33)*(MAX($D$16,(L68)-(K33))))*(MAX($D$16,(L68)-(K33))),0.000001))^2)/(2*$I$5))))-((ABS(H68)/MAX(((F33)+(H33)*(MAX($D$16,(D68)-(J33))))*(MAX($D$16,(D68)-(J33))),0.000001))^2)/(2*$I$5)</f>
        <v>634.3119999999999</v>
      </c>
      <c r="R68">
        <f>D68+((ABS(G68)/MAX(((F32)+(H32)*(MAX($D$16,(D68)-(J32))))*(MAX($D$16,(D68)-(J32))),0.000001))^2)/(2*$I$5)-((E32)*((((ABS(G68)*$D$6)/(MAX(((F32)+(H32)*(MAX($D$16,(D68)-(J32))))*(MAX($D$16,(D68)-(J32))),0.000001)*MAX(((((F32)+(H32)*(MAX($D$16,(D68)-(J32))))*(MAX($D$16,(D68)-(J32))))/MAX((F32)+2*(MAX($D$16,(D68)-(J32)))*SQRT(1+(H32)^2),0.000001))^(2/3),0.000001)))^2)+(((ABS(G68)*$D$6)/(MAX(((G32)+(I32)*(MAX($D$16,(E68)-(K32))))*(MAX($D$16,(E68)-(K32))),0.000001)*MAX(((((G32)+(I32)*(MAX($D$16,(E68)-(K32))))*(MAX($D$16,(E68)-(K32))))/MAX((G32)+2*(MAX($D$16,(E68)-(K32)))*SQRT(1+(I32)^2),0.000001))^(2/3),0.000001)))^2))/2)+(IF((ABS(G68)/MAX(((G32)+(I32)*(MAX($D$16,(E68)-(K32))))*(MAX($D$16,(E68)-(K32))),0.000001))&gt;(ABS(G68)/MAX(((F32)+(H32)*(MAX($D$16,(D68)-(J32))))*(MAX($D$16,(D68)-(J32))),0.000001)),$D$9*((((ABS(G68)/MAX(((G32)+(I32)*(MAX($D$16,(E68)-(K32))))*(MAX($D$16,(E68)-(K32))),0.000001))^2)/(2*$I$5))-(((ABS(G68)/MAX(((F32)+(H32)*(MAX($D$16,(D68)-(J32))))*(MAX($D$16,(D68)-(J32))),0.000001))^2)/(2*$I$5))),$D$8*((((ABS(G68)/MAX(((F32)+(H32)*(MAX($D$16,(D68)-(J32))))*(MAX($D$16,(D68)-(J32))),0.000001))^2)/(2*$I$5))-(((ABS(G68)/MAX(((G32)+(I32)*(MAX($D$16,(E68)-(K32))))*(MAX($D$16,(E68)-(K32))),0.000001))^2)/(2*$I$5)))))+($D$10*(ABS((X32)-(W32))/90)*MAX(((ABS(G68)/MAX(((F32)+(H32)*(MAX($D$16,(D68)-(J32))))*(MAX($D$16,(D68)-(J32))),0.000001))^2)/(2*$I$5),((ABS(G68)/MAX(((G32)+(I32)*(MAX($D$16,(E68)-(K32))))*(MAX($D$16,(E68)-(K32))),0.000001))^2)/(2*$I$5)))+(($D$11*0.13607488*(ABS(H68)/MAX(ABS(F68),0.000001))^2*MAX(((ABS(G68)/MAX(((F32)+(H32)*(MAX($D$16,(D68)-(J32))))*(MAX($D$16,(D68)-(J32))),0.000001))^2)/(2*$I$5),((ABS(G68)/MAX(((G32)+(I32)*(MAX($D$16,(E68)-(K32))))*(MAX($D$16,(E68)-(K32))),0.000001))^2)/(2*$I$5))))-((ABS(G68)/MAX(((G32)+(I32)*(MAX($D$16,(E68)-(K32))))*(MAX($D$16,(E68)-(K32))),0.000001))^2)/(2*$I$5)</f>
        <v>52432.141837671705</v>
      </c>
      <c r="S68">
        <f>M68+((ABS(I68)/MAX(((G34)+(I34)*(MAX($D$16,(M68)-(K34))))*(MAX($D$16,(M68)-(K34))),0.000001))^2)/(2*$I$5)+((E34)*((((ABS(I68)*$D$6)/(MAX(((F34)+(H34)*(MAX($D$16,(E68)-(J34))))*(MAX($D$16,(E68)-(J34))),0.000001)*MAX(((((F34)+(H34)*(MAX($D$16,(E68)-(J34))))*(MAX($D$16,(E68)-(J34))))/MAX((F34)+2*(MAX($D$16,(E68)-(J34)))*SQRT(1+(H34)^2),0.000001))^(2/3),0.000001)))^2)+(((ABS(I68)*$D$6)/(MAX(((G34)+(I34)*(MAX($D$16,(M68)-(K34))))*(MAX($D$16,(M68)-(K34))),0.000001)*MAX(((((G34)+(I34)*(MAX($D$16,(M68)-(K34))))*(MAX($D$16,(M68)-(K34))))/MAX((G34)+2*(MAX($D$16,(M68)-(K34)))*SQRT(1+(I34)^2),0.000001))^(2/3),0.000001)))^2))/2)+(IF((ABS(I68)/MAX(((G34)+(I34)*(MAX($D$16,(M68)-(K34))))*(MAX($D$16,(M68)-(K34))),0.000001))&gt;(ABS(I68)/MAX(((F34)+(H34)*(MAX($D$16,(E68)-(J34))))*(MAX($D$16,(E68)-(J34))),0.000001)),$D$9*((((ABS(I68)/MAX(((G34)+(I34)*(MAX($D$16,(M68)-(K34))))*(MAX($D$16,(M68)-(K34))),0.000001))^2)/(2*$I$5))-(((ABS(I68)/MAX(((F34)+(H34)*(MAX($D$16,(E68)-(J34))))*(MAX($D$16,(E68)-(J34))),0.000001))^2)/(2*$I$5))),$D$8*((((ABS(I68)/MAX(((F34)+(H34)*(MAX($D$16,(E68)-(J34))))*(MAX($D$16,(E68)-(J34))),0.000001))^2)/(2*$I$5))-(((ABS(I68)/MAX(((G34)+(I34)*(MAX($D$16,(M68)-(K34))))*(MAX($D$16,(M68)-(K34))),0.000001))^2)/(2*$I$5)))))+($D$10*(ABS((X34)-(W34))/90)*MAX(((ABS(I68)/MAX(((F34)+(H34)*(MAX($D$16,(E68)-(J34))))*(MAX($D$16,(E68)-(J34))),0.000001))^2)/(2*$I$5),((ABS(I68)/MAX(((G34)+(I34)*(MAX($D$16,(M68)-(K34))))*(MAX($D$16,(M68)-(K34))),0.000001))^2)/(2*$I$5)))+(0)-((ABS(I68)/MAX(((F34)+(H34)*(MAX($D$16,(E68)-(J34))))*(MAX($D$16,(E68)-(J34))),0.000001))^2)/(2*$I$5)</f>
        <v>635.5</v>
      </c>
      <c r="T68">
        <f>N68+((ABS(J68)/MAX(((G35)+(I35)*(MAX($D$16,(N68)-(K35))))*(MAX($D$16,(N68)-(K35))),0.000001))^2)/(2*$I$5)+((E35)*((((ABS(J68)*$D$6)/(MAX(((F35)+(H35)*(MAX($D$16,(E68)-(J35))))*(MAX($D$16,(E68)-(J35))),0.000001)*MAX(((((F35)+(H35)*(MAX($D$16,(E68)-(J35))))*(MAX($D$16,(E68)-(J35))))/MAX((F35)+2*(MAX($D$16,(E68)-(J35)))*SQRT(1+(H35)^2),0.000001))^(2/3),0.000001)))^2)+(((ABS(J68)*$D$6)/(MAX(((G35)+(I35)*(MAX($D$16,(N68)-(K35))))*(MAX($D$16,(N68)-(K35))),0.000001)*MAX(((((G35)+(I35)*(MAX($D$16,(N68)-(K35))))*(MAX($D$16,(N68)-(K35))))/MAX((G35)+2*(MAX($D$16,(N68)-(K35)))*SQRT(1+(I35)^2),0.000001))^(2/3),0.000001)))^2))/2)+(IF((ABS(J68)/MAX(((G35)+(I35)*(MAX($D$16,(N68)-(K35))))*(MAX($D$16,(N68)-(K35))),0.000001))&gt;(ABS(J68)/MAX(((F35)+(H35)*(MAX($D$16,(E68)-(J35))))*(MAX($D$16,(E68)-(J35))),0.000001)),$D$9*((((ABS(J68)/MAX(((G35)+(I35)*(MAX($D$16,(N68)-(K35))))*(MAX($D$16,(N68)-(K35))),0.000001))^2)/(2*$I$5))-(((ABS(J68)/MAX(((F35)+(H35)*(MAX($D$16,(E68)-(J35))))*(MAX($D$16,(E68)-(J35))),0.000001))^2)/(2*$I$5))),$D$8*((((ABS(J68)/MAX(((F35)+(H35)*(MAX($D$16,(E68)-(J35))))*(MAX($D$16,(E68)-(J35))),0.000001))^2)/(2*$I$5))-(((ABS(J68)/MAX(((G35)+(I35)*(MAX($D$16,(N68)-(K35))))*(MAX($D$16,(N68)-(K35))),0.000001))^2)/(2*$I$5)))))+($D$10*(ABS((X35)-(W35))/90)*MAX(((ABS(J68)/MAX(((F35)+(H35)*(MAX($D$16,(E68)-(J35))))*(MAX($D$16,(E68)-(J35))),0.000001))^2)/(2*$I$5),((ABS(J68)/MAX(((G35)+(I35)*(MAX($D$16,(N68)-(K35))))*(MAX($D$16,(N68)-(K35))),0.000001))^2)/(2*$I$5)))+(($D$11*0.34699541*(ABS(I68)/MAX(ABS(G68),0.000001))^2*MAX(((ABS(J68)/MAX(((F35)+(H35)*(MAX($D$16,(E68)-(J35))))*(MAX($D$16,(E68)-(J35))),0.000001))^2)/(2*$I$5),((ABS(J68)/MAX(((G35)+(I35)*(MAX($D$16,(N68)-(K35))))*(MAX($D$16,(N68)-(K35))),0.000001))^2)/(2*$I$5))))-((ABS(J68)/MAX(((F35)+(H35)*(MAX($D$16,(E68)-(J35))))*(MAX($D$16,(E68)-(J35))),0.000001))^2)/(2*$I$5)</f>
        <v>20784.033523923383</v>
      </c>
      <c r="U68">
        <f>(((((F32)*(MAX($D$16,(D68)-(J32)))^2)/2+(H32)*(MAX($D$16,(D68)-(J32)))^3/3+(ABS(G68)^2)/($I$5*MAX(((F32)+(H32)*(MAX($D$16,(D68)-(J32))))*(MAX($D$16,(D68)-(J32))),0.000001)))*0.72785025)-((((F33)*(MAX($D$16,(D68)-(J33)))^2)/2+(H33)*(MAX($D$16,(D68)-(J33)))^3/3+(ABS(H68)^2)/($I$5*MAX(((F33)+(H33)*(MAX($D$16,(D68)-(J33))))*(MAX($D$16,(D68)-(J33))),0.000001)))*0.99999971))/MAX(((G31)*(MAX($D$16,(D68)-(K31)))^2)/2+(I31)*(MAX($D$16,(D68)-(K31)))^3/3+(ABS(F68)^2)/($I$5*MAX(((G31)+(I31)*(MAX($D$16,(D68)-(K31))))*(MAX($D$16,(D68)-(K31))),0.000001)),0.000001)</f>
        <v>-0.27214945999991119</v>
      </c>
      <c r="V68">
        <f>(((((F34)*(MAX($D$16,(E68)-(J34)))^2)/2+(H34)*(MAX($D$16,(E68)-(J34)))^3/3+(ABS(I68)^2)/($I$5*MAX(((F34)+(H34)*(MAX($D$16,(E68)-(J34))))*(MAX($D$16,(E68)-(J34))),0.000001)))*1)-((((F35)*(MAX($D$16,(E68)-(J35)))^2)/2+(H35)*(MAX($D$16,(E68)-(J35)))^3/3+(ABS(J68)^2)/($I$5*MAX(((F35)+(H35)*(MAX($D$16,(E68)-(J35))))*(MAX($D$16,(E68)-(J35))),0.000001)))*0.30600918))/MAX(((G32)*(MAX($D$16,(E68)-(K32)))^2)/2+(I32)*(MAX($D$16,(E68)-(K32)))^3/3+(ABS(G68)^2)/($I$5*MAX(((G32)+(I32)*(MAX($D$16,(E68)-(K32))))*(MAX($D$16,(E68)-(K32))),0.000001)),0.000001)</f>
        <v>0.69398638937190393</v>
      </c>
      <c r="W68">
        <f>IF(N6="None",ABS(P68-D68),MAX(ABS(P68-D68),ABS(Q68-D68)))</f>
        <v>2.8419890441000462E-8</v>
      </c>
      <c r="X68">
        <f>IF(AND(N7="None",N8="None"),0,IF(N8="None",ABS(S68-E68),IF(N7="None",ABS(T68-E68),MAX(ABS(S68-E68),ABS(T68-E68)))))</f>
        <v>51796.641837642601</v>
      </c>
      <c r="AA68">
        <f t="shared" si="3"/>
        <v>52432.141837661628</v>
      </c>
      <c r="AB68">
        <f t="shared" si="4"/>
        <v>41355.303927840876</v>
      </c>
      <c r="AC68">
        <f>IF(N6="None",P68,MAX(P68,Q68))</f>
        <v>52432.141837643154</v>
      </c>
      <c r="AD68">
        <f>IF(AND(N7="None",N8="None"),E68,IF(N8="None",S68,IF(N7="None",T68,MAX(S68,T68))))</f>
        <v>20784.033523923383</v>
      </c>
      <c r="AE68">
        <f t="shared" si="5"/>
        <v>637.65825101089831</v>
      </c>
      <c r="AF68">
        <f t="shared" si="6"/>
        <v>52432.141837671705</v>
      </c>
      <c r="AG68">
        <f>((G31)*(MAX($D$16,(AC68)-(K31)))^2)/2+(I31)*(MAX($D$16,(AC68)-(K31)))^3/3+(ABS(F68)^2)/($I$5*MAX(((G31)+(I31)*(MAX($D$16,(AC68)-(K31))))*(MAX($D$16,(AC68)-(K31))),0.000001))</f>
        <v>8797611517.4052334</v>
      </c>
      <c r="AH68">
        <f>((G31)*(MAX($D$16,(AE68)-(K31)))^2)/2+(I31)*(MAX($D$16,(AE68)-(K31)))^3/3+(ABS(F68)^2)/($I$5*MAX(((G31)+(I31)*(MAX($D$16,(AE68)-(K31))))*(MAX($D$16,(AE68)-(K31))),0.000001))</f>
        <v>49.055863329575246</v>
      </c>
      <c r="AI68">
        <f>((G32)*(MAX($D$16,(AD68)-(K32)))^2)/2+(I32)*(MAX($D$16,(AD68)-(K32)))^3/3+(ABS(G68)^2)/($I$5*MAX(((G32)+(I32)*(MAX($D$16,(AD68)-(K32))))*(MAX($D$16,(AD68)-(K32))),0.000001))</f>
        <v>2072376743.6648321</v>
      </c>
      <c r="AJ68">
        <f>((G32)*(MAX($D$16,(AF68)-(K32)))^2)/2+(I32)*(MAX($D$16,(AF68)-(K32)))^3/3+(ABS(G68)^2)/($I$5*MAX(((G32)+(I32)*(MAX($D$16,(AF68)-(K32))))*(MAX($D$16,(AF68)-(K32))),0.000001))</f>
        <v>13692714789.649218</v>
      </c>
      <c r="AK68" t="str">
        <f t="shared" si="7"/>
        <v>Subcritical</v>
      </c>
      <c r="AL68" t="str">
        <f t="shared" si="8"/>
        <v>Supercritical</v>
      </c>
      <c r="AM68">
        <f t="shared" si="9"/>
        <v>52432.141837661628</v>
      </c>
      <c r="AN68">
        <f t="shared" si="10"/>
        <v>52432.141837652787</v>
      </c>
      <c r="AO68">
        <f t="shared" si="11"/>
        <v>2.8419890441000462E-8</v>
      </c>
      <c r="AP68">
        <f t="shared" si="12"/>
        <v>2.9103830456733704E-8</v>
      </c>
    </row>
    <row r="69" spans="1:42" x14ac:dyDescent="0.35">
      <c r="A69">
        <v>26</v>
      </c>
      <c r="B69">
        <f t="shared" si="13"/>
        <v>0</v>
      </c>
      <c r="C69">
        <f t="shared" si="14"/>
        <v>0</v>
      </c>
      <c r="D69">
        <f t="shared" si="15"/>
        <v>52432.141837661628</v>
      </c>
      <c r="E69">
        <f t="shared" si="16"/>
        <v>52432.141837652787</v>
      </c>
      <c r="F69">
        <f t="shared" si="2"/>
        <v>51</v>
      </c>
      <c r="G69">
        <f>IF(N6="None",F69,MAX(0,F69*B69))</f>
        <v>51</v>
      </c>
      <c r="H69">
        <f>IF(N6="None",0,MAX(0,F69-G69))</f>
        <v>0</v>
      </c>
      <c r="I69">
        <f>IF(AND(N7="None",N8="None"),0,IF(N8="None",G69,IF(N7="None",0,MAX(0,G69*C69))))</f>
        <v>0</v>
      </c>
      <c r="J69">
        <f>IF(AND(N7="None",N8="None"),0,IF(N8="None",0,IF(N7="None",G69,MAX(0,G69-I69))))</f>
        <v>51</v>
      </c>
      <c r="K69">
        <f>P5</f>
        <v>637</v>
      </c>
      <c r="L69">
        <f>P6</f>
        <v>634.3119999999999</v>
      </c>
      <c r="M69">
        <f>P7</f>
        <v>635.5</v>
      </c>
      <c r="N69">
        <f>P8</f>
        <v>631.54999999999995</v>
      </c>
      <c r="O69">
        <f>K69+((ABS(F69)/MAX(((F31)+(H31)*(MAX($D$16,(K69)-(J31))))*(MAX($D$16,(K69)-(J31))),0.000001))^2)/(2*$I$5)-((E31)*((((ABS(F69)*$D$6)/(MAX(((F31)+(H31)*(MAX($D$16,(K69)-(J31))))*(MAX($D$16,(K69)-(J31))),0.000001)*MAX(((((F31)+(H31)*(MAX($D$16,(K69)-(J31))))*(MAX($D$16,(K69)-(J31))))/MAX((F31)+2*(MAX($D$16,(K69)-(J31)))*SQRT(1+(H31)^2),0.000001))^(2/3),0.000001)))^2)+(((ABS(F69)*$D$6)/(MAX(((G31)+(I31)*(MAX($D$16,(D69)-(K31))))*(MAX($D$16,(D69)-(K31))),0.000001)*MAX(((((G31)+(I31)*(MAX($D$16,(D69)-(K31))))*(MAX($D$16,(D69)-(K31))))/MAX((G31)+2*(MAX($D$16,(D69)-(K31)))*SQRT(1+(I31)^2),0.000001))^(2/3),0.000001)))^2))/2)+(IF((ABS(F69)/MAX(((G31)+(I31)*(MAX($D$16,(D69)-(K31))))*(MAX($D$16,(D69)-(K31))),0.000001))&gt;(ABS(F69)/MAX(((F31)+(H31)*(MAX($D$16,(K69)-(J31))))*(MAX($D$16,(K69)-(J31))),0.000001)),$D$9*((((ABS(F69)/MAX(((G31)+(I31)*(MAX($D$16,(D69)-(K31))))*(MAX($D$16,(D69)-(K31))),0.000001))^2)/(2*$I$5))-(((ABS(F69)/MAX(((F31)+(H31)*(MAX($D$16,(K69)-(J31))))*(MAX($D$16,(K69)-(J31))),0.000001))^2)/(2*$I$5))),$D$8*((((ABS(F69)/MAX(((F31)+(H31)*(MAX($D$16,(K69)-(J31))))*(MAX($D$16,(K69)-(J31))),0.000001))^2)/(2*$I$5))-(((ABS(F69)/MAX(((G31)+(I31)*(MAX($D$16,(D69)-(K31))))*(MAX($D$16,(D69)-(K31))),0.000001))^2)/(2*$I$5)))))+($D$10*(ABS((X31)-(W31))/90)*MAX(((ABS(F69)/MAX(((F31)+(H31)*(MAX($D$16,(K69)-(J31))))*(MAX($D$16,(K69)-(J31))),0.000001))^2)/(2*$I$5),((ABS(F69)/MAX(((G31)+(I31)*(MAX($D$16,(D69)-(K31))))*(MAX($D$16,(D69)-(K31))),0.000001))^2)/(2*$I$5)))+(0)-((ABS(F69)/MAX(((G31)+(I31)*(MAX($D$16,(D69)-(K31))))*(MAX($D$16,(D69)-(K31))),0.000001))^2)/(2*$I$5)</f>
        <v>637.65825101089831</v>
      </c>
      <c r="P69">
        <f>E69+((ABS(G69)/MAX(((G32)+(I32)*(MAX($D$16,(E69)-(K32))))*(MAX($D$16,(E69)-(K32))),0.000001))^2)/(2*$I$5)+((E32)*((((ABS(G69)*$D$6)/(MAX(((F32)+(H32)*(MAX($D$16,(D69)-(J32))))*(MAX($D$16,(D69)-(J32))),0.000001)*MAX(((((F32)+(H32)*(MAX($D$16,(D69)-(J32))))*(MAX($D$16,(D69)-(J32))))/MAX((F32)+2*(MAX($D$16,(D69)-(J32)))*SQRT(1+(H32)^2),0.000001))^(2/3),0.000001)))^2)+(((ABS(G69)*$D$6)/(MAX(((G32)+(I32)*(MAX($D$16,(E69)-(K32))))*(MAX($D$16,(E69)-(K32))),0.000001)*MAX(((((G32)+(I32)*(MAX($D$16,(E69)-(K32))))*(MAX($D$16,(E69)-(K32))))/MAX((G32)+2*(MAX($D$16,(E69)-(K32)))*SQRT(1+(I32)^2),0.000001))^(2/3),0.000001)))^2))/2)+(IF((ABS(G69)/MAX(((G32)+(I32)*(MAX($D$16,(E69)-(K32))))*(MAX($D$16,(E69)-(K32))),0.000001))&gt;(ABS(G69)/MAX(((F32)+(H32)*(MAX($D$16,(D69)-(J32))))*(MAX($D$16,(D69)-(J32))),0.000001)),$D$9*((((ABS(G69)/MAX(((G32)+(I32)*(MAX($D$16,(E69)-(K32))))*(MAX($D$16,(E69)-(K32))),0.000001))^2)/(2*$I$5))-(((ABS(G69)/MAX(((F32)+(H32)*(MAX($D$16,(D69)-(J32))))*(MAX($D$16,(D69)-(J32))),0.000001))^2)/(2*$I$5))),$D$8*((((ABS(G69)/MAX(((F32)+(H32)*(MAX($D$16,(D69)-(J32))))*(MAX($D$16,(D69)-(J32))),0.000001))^2)/(2*$I$5))-(((ABS(G69)/MAX(((G32)+(I32)*(MAX($D$16,(E69)-(K32))))*(MAX($D$16,(E69)-(K32))),0.000001))^2)/(2*$I$5)))))+($D$10*(ABS((X32)-(W32))/90)*MAX(((ABS(G69)/MAX(((F32)+(H32)*(MAX($D$16,(D69)-(J32))))*(MAX($D$16,(D69)-(J32))),0.000001))^2)/(2*$I$5),((ABS(G69)/MAX(((G32)+(I32)*(MAX($D$16,(E69)-(K32))))*(MAX($D$16,(E69)-(K32))),0.000001))^2)/(2*$I$5)))+(($D$11*0.13607488*(ABS(H69)/MAX(ABS(F69),0.000001))^2*MAX(((ABS(G69)/MAX(((F32)+(H32)*(MAX($D$16,(D69)-(J32))))*(MAX($D$16,(D69)-(J32))),0.000001))^2)/(2*$I$5),((ABS(G69)/MAX(((G32)+(I32)*(MAX($D$16,(E69)-(K32))))*(MAX($D$16,(E69)-(K32))),0.000001))^2)/(2*$I$5))))-((ABS(G69)/MAX(((F32)+(H32)*(MAX($D$16,(D69)-(J32))))*(MAX($D$16,(D69)-(J32))),0.000001))^2)/(2*$I$5)</f>
        <v>52432.14183765334</v>
      </c>
      <c r="Q69">
        <f>L69+((ABS(H69)/MAX(((G33)+(I33)*(MAX($D$16,(L69)-(K33))))*(MAX($D$16,(L69)-(K33))),0.000001))^2)/(2*$I$5)+((E33)*((((ABS(H69)*$D$6)/(MAX(((F33)+(H33)*(MAX($D$16,(D69)-(J33))))*(MAX($D$16,(D69)-(J33))),0.000001)*MAX(((((F33)+(H33)*(MAX($D$16,(D69)-(J33))))*(MAX($D$16,(D69)-(J33))))/MAX((F33)+2*(MAX($D$16,(D69)-(J33)))*SQRT(1+(H33)^2),0.000001))^(2/3),0.000001)))^2)+(((ABS(H69)*$D$6)/(MAX(((G33)+(I33)*(MAX($D$16,(L69)-(K33))))*(MAX($D$16,(L69)-(K33))),0.000001)*MAX(((((G33)+(I33)*(MAX($D$16,(L69)-(K33))))*(MAX($D$16,(L69)-(K33))))/MAX((G33)+2*(MAX($D$16,(L69)-(K33)))*SQRT(1+(I33)^2),0.000001))^(2/3),0.000001)))^2))/2)+(IF((ABS(H69)/MAX(((G33)+(I33)*(MAX($D$16,(L69)-(K33))))*(MAX($D$16,(L69)-(K33))),0.000001))&gt;(ABS(H69)/MAX(((F33)+(H33)*(MAX($D$16,(D69)-(J33))))*(MAX($D$16,(D69)-(J33))),0.000001)),$D$9*((((ABS(H69)/MAX(((G33)+(I33)*(MAX($D$16,(L69)-(K33))))*(MAX($D$16,(L69)-(K33))),0.000001))^2)/(2*$I$5))-(((ABS(H69)/MAX(((F33)+(H33)*(MAX($D$16,(D69)-(J33))))*(MAX($D$16,(D69)-(J33))),0.000001))^2)/(2*$I$5))),$D$8*((((ABS(H69)/MAX(((F33)+(H33)*(MAX($D$16,(D69)-(J33))))*(MAX($D$16,(D69)-(J33))),0.000001))^2)/(2*$I$5))-(((ABS(H69)/MAX(((G33)+(I33)*(MAX($D$16,(L69)-(K33))))*(MAX($D$16,(L69)-(K33))),0.000001))^2)/(2*$I$5)))))+($D$10*(ABS((X33)-(W33))/90)*MAX(((ABS(H69)/MAX(((F33)+(H33)*(MAX($D$16,(D69)-(J33))))*(MAX($D$16,(D69)-(J33))),0.000001))^2)/(2*$I$5),((ABS(H69)/MAX(((G33)+(I33)*(MAX($D$16,(L69)-(K33))))*(MAX($D$16,(L69)-(K33))),0.000001))^2)/(2*$I$5)))+(($D$11*0.00000015*(ABS(G69)/MAX(ABS(F69),0.000001))^2*MAX(((ABS(H69)/MAX(((F33)+(H33)*(MAX($D$16,(D69)-(J33))))*(MAX($D$16,(D69)-(J33))),0.000001))^2)/(2*$I$5),((ABS(H69)/MAX(((G33)+(I33)*(MAX($D$16,(L69)-(K33))))*(MAX($D$16,(L69)-(K33))),0.000001))^2)/(2*$I$5))))-((ABS(H69)/MAX(((F33)+(H33)*(MAX($D$16,(D69)-(J33))))*(MAX($D$16,(D69)-(J33))),0.000001))^2)/(2*$I$5)</f>
        <v>634.3119999999999</v>
      </c>
      <c r="R69">
        <f>D69+((ABS(G69)/MAX(((F32)+(H32)*(MAX($D$16,(D69)-(J32))))*(MAX($D$16,(D69)-(J32))),0.000001))^2)/(2*$I$5)-((E32)*((((ABS(G69)*$D$6)/(MAX(((F32)+(H32)*(MAX($D$16,(D69)-(J32))))*(MAX($D$16,(D69)-(J32))),0.000001)*MAX(((((F32)+(H32)*(MAX($D$16,(D69)-(J32))))*(MAX($D$16,(D69)-(J32))))/MAX((F32)+2*(MAX($D$16,(D69)-(J32)))*SQRT(1+(H32)^2),0.000001))^(2/3),0.000001)))^2)+(((ABS(G69)*$D$6)/(MAX(((G32)+(I32)*(MAX($D$16,(E69)-(K32))))*(MAX($D$16,(E69)-(K32))),0.000001)*MAX(((((G32)+(I32)*(MAX($D$16,(E69)-(K32))))*(MAX($D$16,(E69)-(K32))))/MAX((G32)+2*(MAX($D$16,(E69)-(K32)))*SQRT(1+(I32)^2),0.000001))^(2/3),0.000001)))^2))/2)+(IF((ABS(G69)/MAX(((G32)+(I32)*(MAX($D$16,(E69)-(K32))))*(MAX($D$16,(E69)-(K32))),0.000001))&gt;(ABS(G69)/MAX(((F32)+(H32)*(MAX($D$16,(D69)-(J32))))*(MAX($D$16,(D69)-(J32))),0.000001)),$D$9*((((ABS(G69)/MAX(((G32)+(I32)*(MAX($D$16,(E69)-(K32))))*(MAX($D$16,(E69)-(K32))),0.000001))^2)/(2*$I$5))-(((ABS(G69)/MAX(((F32)+(H32)*(MAX($D$16,(D69)-(J32))))*(MAX($D$16,(D69)-(J32))),0.000001))^2)/(2*$I$5))),$D$8*((((ABS(G69)/MAX(((F32)+(H32)*(MAX($D$16,(D69)-(J32))))*(MAX($D$16,(D69)-(J32))),0.000001))^2)/(2*$I$5))-(((ABS(G69)/MAX(((G32)+(I32)*(MAX($D$16,(E69)-(K32))))*(MAX($D$16,(E69)-(K32))),0.000001))^2)/(2*$I$5)))))+($D$10*(ABS((X32)-(W32))/90)*MAX(((ABS(G69)/MAX(((F32)+(H32)*(MAX($D$16,(D69)-(J32))))*(MAX($D$16,(D69)-(J32))),0.000001))^2)/(2*$I$5),((ABS(G69)/MAX(((G32)+(I32)*(MAX($D$16,(E69)-(K32))))*(MAX($D$16,(E69)-(K32))),0.000001))^2)/(2*$I$5)))+(($D$11*0.13607488*(ABS(H69)/MAX(ABS(F69),0.000001))^2*MAX(((ABS(G69)/MAX(((F32)+(H32)*(MAX($D$16,(D69)-(J32))))*(MAX($D$16,(D69)-(J32))),0.000001))^2)/(2*$I$5),((ABS(G69)/MAX(((G32)+(I32)*(MAX($D$16,(E69)-(K32))))*(MAX($D$16,(E69)-(K32))),0.000001))^2)/(2*$I$5))))-((ABS(G69)/MAX(((G32)+(I32)*(MAX($D$16,(E69)-(K32))))*(MAX($D$16,(E69)-(K32))),0.000001))^2)/(2*$I$5)</f>
        <v>52432.141837661758</v>
      </c>
      <c r="S69">
        <f>M69+((ABS(I69)/MAX(((G34)+(I34)*(MAX($D$16,(M69)-(K34))))*(MAX($D$16,(M69)-(K34))),0.000001))^2)/(2*$I$5)+((E34)*((((ABS(I69)*$D$6)/(MAX(((F34)+(H34)*(MAX($D$16,(E69)-(J34))))*(MAX($D$16,(E69)-(J34))),0.000001)*MAX(((((F34)+(H34)*(MAX($D$16,(E69)-(J34))))*(MAX($D$16,(E69)-(J34))))/MAX((F34)+2*(MAX($D$16,(E69)-(J34)))*SQRT(1+(H34)^2),0.000001))^(2/3),0.000001)))^2)+(((ABS(I69)*$D$6)/(MAX(((G34)+(I34)*(MAX($D$16,(M69)-(K34))))*(MAX($D$16,(M69)-(K34))),0.000001)*MAX(((((G34)+(I34)*(MAX($D$16,(M69)-(K34))))*(MAX($D$16,(M69)-(K34))))/MAX((G34)+2*(MAX($D$16,(M69)-(K34)))*SQRT(1+(I34)^2),0.000001))^(2/3),0.000001)))^2))/2)+(IF((ABS(I69)/MAX(((G34)+(I34)*(MAX($D$16,(M69)-(K34))))*(MAX($D$16,(M69)-(K34))),0.000001))&gt;(ABS(I69)/MAX(((F34)+(H34)*(MAX($D$16,(E69)-(J34))))*(MAX($D$16,(E69)-(J34))),0.000001)),$D$9*((((ABS(I69)/MAX(((G34)+(I34)*(MAX($D$16,(M69)-(K34))))*(MAX($D$16,(M69)-(K34))),0.000001))^2)/(2*$I$5))-(((ABS(I69)/MAX(((F34)+(H34)*(MAX($D$16,(E69)-(J34))))*(MAX($D$16,(E69)-(J34))),0.000001))^2)/(2*$I$5))),$D$8*((((ABS(I69)/MAX(((F34)+(H34)*(MAX($D$16,(E69)-(J34))))*(MAX($D$16,(E69)-(J34))),0.000001))^2)/(2*$I$5))-(((ABS(I69)/MAX(((G34)+(I34)*(MAX($D$16,(M69)-(K34))))*(MAX($D$16,(M69)-(K34))),0.000001))^2)/(2*$I$5)))))+($D$10*(ABS((X34)-(W34))/90)*MAX(((ABS(I69)/MAX(((F34)+(H34)*(MAX($D$16,(E69)-(J34))))*(MAX($D$16,(E69)-(J34))),0.000001))^2)/(2*$I$5),((ABS(I69)/MAX(((G34)+(I34)*(MAX($D$16,(M69)-(K34))))*(MAX($D$16,(M69)-(K34))),0.000001))^2)/(2*$I$5)))+(0)-((ABS(I69)/MAX(((F34)+(H34)*(MAX($D$16,(E69)-(J34))))*(MAX($D$16,(E69)-(J34))),0.000001))^2)/(2*$I$5)</f>
        <v>635.5</v>
      </c>
      <c r="T69">
        <f>N69+((ABS(J69)/MAX(((G35)+(I35)*(MAX($D$16,(N69)-(K35))))*(MAX($D$16,(N69)-(K35))),0.000001))^2)/(2*$I$5)+((E35)*((((ABS(J69)*$D$6)/(MAX(((F35)+(H35)*(MAX($D$16,(E69)-(J35))))*(MAX($D$16,(E69)-(J35))),0.000001)*MAX(((((F35)+(H35)*(MAX($D$16,(E69)-(J35))))*(MAX($D$16,(E69)-(J35))))/MAX((F35)+2*(MAX($D$16,(E69)-(J35)))*SQRT(1+(H35)^2),0.000001))^(2/3),0.000001)))^2)+(((ABS(J69)*$D$6)/(MAX(((G35)+(I35)*(MAX($D$16,(N69)-(K35))))*(MAX($D$16,(N69)-(K35))),0.000001)*MAX(((((G35)+(I35)*(MAX($D$16,(N69)-(K35))))*(MAX($D$16,(N69)-(K35))))/MAX((G35)+2*(MAX($D$16,(N69)-(K35)))*SQRT(1+(I35)^2),0.000001))^(2/3),0.000001)))^2))/2)+(IF((ABS(J69)/MAX(((G35)+(I35)*(MAX($D$16,(N69)-(K35))))*(MAX($D$16,(N69)-(K35))),0.000001))&gt;(ABS(J69)/MAX(((F35)+(H35)*(MAX($D$16,(E69)-(J35))))*(MAX($D$16,(E69)-(J35))),0.000001)),$D$9*((((ABS(J69)/MAX(((G35)+(I35)*(MAX($D$16,(N69)-(K35))))*(MAX($D$16,(N69)-(K35))),0.000001))^2)/(2*$I$5))-(((ABS(J69)/MAX(((F35)+(H35)*(MAX($D$16,(E69)-(J35))))*(MAX($D$16,(E69)-(J35))),0.000001))^2)/(2*$I$5))),$D$8*((((ABS(J69)/MAX(((F35)+(H35)*(MAX($D$16,(E69)-(J35))))*(MAX($D$16,(E69)-(J35))),0.000001))^2)/(2*$I$5))-(((ABS(J69)/MAX(((G35)+(I35)*(MAX($D$16,(N69)-(K35))))*(MAX($D$16,(N69)-(K35))),0.000001))^2)/(2*$I$5)))))+($D$10*(ABS((X35)-(W35))/90)*MAX(((ABS(J69)/MAX(((F35)+(H35)*(MAX($D$16,(E69)-(J35))))*(MAX($D$16,(E69)-(J35))),0.000001))^2)/(2*$I$5),((ABS(J69)/MAX(((G35)+(I35)*(MAX($D$16,(N69)-(K35))))*(MAX($D$16,(N69)-(K35))),0.000001))^2)/(2*$I$5)))+(($D$11*0.34699541*(ABS(I69)/MAX(ABS(G69),0.000001))^2*MAX(((ABS(J69)/MAX(((F35)+(H35)*(MAX($D$16,(E69)-(J35))))*(MAX($D$16,(E69)-(J35))),0.000001))^2)/(2*$I$5),((ABS(J69)/MAX(((G35)+(I35)*(MAX($D$16,(N69)-(K35))))*(MAX($D$16,(N69)-(K35))),0.000001))^2)/(2*$I$5))))-((ABS(J69)/MAX(((F35)+(H35)*(MAX($D$16,(E69)-(J35))))*(MAX($D$16,(E69)-(J35))),0.000001))^2)/(2*$I$5)</f>
        <v>20784.033523923383</v>
      </c>
      <c r="U69">
        <f>(((((F32)*(MAX($D$16,(D69)-(J32)))^2)/2+(H32)*(MAX($D$16,(D69)-(J32)))^3/3+(ABS(G69)^2)/($I$5*MAX(((F32)+(H32)*(MAX($D$16,(D69)-(J32))))*(MAX($D$16,(D69)-(J32))),0.000001)))*0.72785025)-((((F33)*(MAX($D$16,(D69)-(J33)))^2)/2+(H33)*(MAX($D$16,(D69)-(J33)))^3/3+(ABS(H69)^2)/($I$5*MAX(((F33)+(H33)*(MAX($D$16,(D69)-(J33))))*(MAX($D$16,(D69)-(J33))),0.000001)))*0.99999971))/MAX(((G31)*(MAX($D$16,(D69)-(K31)))^2)/2+(I31)*(MAX($D$16,(D69)-(K31)))^3/3+(ABS(F69)^2)/($I$5*MAX(((G31)+(I31)*(MAX($D$16,(D69)-(K31))))*(MAX($D$16,(D69)-(K31))),0.000001)),0.000001)</f>
        <v>-0.27214945999991119</v>
      </c>
      <c r="V69">
        <f>(((((F34)*(MAX($D$16,(E69)-(J34)))^2)/2+(H34)*(MAX($D$16,(E69)-(J34)))^3/3+(ABS(I69)^2)/($I$5*MAX(((F34)+(H34)*(MAX($D$16,(E69)-(J34))))*(MAX($D$16,(E69)-(J34))),0.000001)))*1)-((((F35)*(MAX($D$16,(E69)-(J35)))^2)/2+(H35)*(MAX($D$16,(E69)-(J35)))^3/3+(ABS(J69)^2)/($I$5*MAX(((F35)+(H35)*(MAX($D$16,(E69)-(J35))))*(MAX($D$16,(E69)-(J35))),0.000001)))*0.30600918))/MAX(((G32)*(MAX($D$16,(E69)-(K32)))^2)/2+(I32)*(MAX($D$16,(E69)-(K32)))^3/3+(ABS(G69)^2)/($I$5*MAX(((G32)+(I32)*(MAX($D$16,(E69)-(K32))))*(MAX($D$16,(E69)-(K32))),0.000001)),0.000001)</f>
        <v>0.69398638937190382</v>
      </c>
      <c r="W69">
        <f>IF(N6="None",ABS(P69-D69),MAX(ABS(P69-D69),ABS(Q69-D69)))</f>
        <v>8.2873157225549221E-9</v>
      </c>
      <c r="X69">
        <f>IF(AND(N7="None",N8="None"),0,IF(N8="None",ABS(S69-E69),IF(N7="None",ABS(T69-E69),MAX(ABS(S69-E69),ABS(T69-E69)))))</f>
        <v>51796.641837652787</v>
      </c>
      <c r="AA69">
        <f t="shared" si="3"/>
        <v>52432.141837658724</v>
      </c>
      <c r="AB69">
        <f t="shared" si="4"/>
        <v>41355.303927847497</v>
      </c>
      <c r="AC69">
        <f>IF(N6="None",P69,MAX(P69,Q69))</f>
        <v>52432.14183765334</v>
      </c>
      <c r="AD69">
        <f>IF(AND(N7="None",N8="None"),E69,IF(N8="None",S69,IF(N7="None",T69,MAX(S69,T69))))</f>
        <v>20784.033523923383</v>
      </c>
      <c r="AE69">
        <f t="shared" si="5"/>
        <v>637.65825101089831</v>
      </c>
      <c r="AF69">
        <f t="shared" si="6"/>
        <v>52432.141837661758</v>
      </c>
      <c r="AG69">
        <f>((G31)*(MAX($D$16,(AC69)-(K31)))^2)/2+(I31)*(MAX($D$16,(AC69)-(K31)))^3/3+(ABS(F69)^2)/($I$5*MAX(((G31)+(I31)*(MAX($D$16,(AC69)-(K31))))*(MAX($D$16,(AC69)-(K31))),0.000001))</f>
        <v>8797611517.4086933</v>
      </c>
      <c r="AH69">
        <f>((G31)*(MAX($D$16,(AE69)-(K31)))^2)/2+(I31)*(MAX($D$16,(AE69)-(K31)))^3/3+(ABS(F69)^2)/($I$5*MAX(((G31)+(I31)*(MAX($D$16,(AE69)-(K31))))*(MAX($D$16,(AE69)-(K31))),0.000001))</f>
        <v>49.055863329575246</v>
      </c>
      <c r="AI69">
        <f>((G32)*(MAX($D$16,(AD69)-(K32)))^2)/2+(I32)*(MAX($D$16,(AD69)-(K32)))^3/3+(ABS(G69)^2)/($I$5*MAX(((G32)+(I32)*(MAX($D$16,(AD69)-(K32))))*(MAX($D$16,(AD69)-(K32))),0.000001))</f>
        <v>2072376743.6648321</v>
      </c>
      <c r="AJ69">
        <f>((G32)*(MAX($D$16,(AF69)-(K32)))^2)/2+(I32)*(MAX($D$16,(AF69)-(K32)))^3/3+(ABS(G69)^2)/($I$5*MAX(((G32)+(I32)*(MAX($D$16,(AF69)-(K32))))*(MAX($D$16,(AF69)-(K32))),0.000001))</f>
        <v>13692714789.643959</v>
      </c>
      <c r="AK69" t="str">
        <f t="shared" si="7"/>
        <v>Subcritical</v>
      </c>
      <c r="AL69" t="str">
        <f t="shared" si="8"/>
        <v>Supercritical</v>
      </c>
      <c r="AM69">
        <f t="shared" si="9"/>
        <v>52432.141837658724</v>
      </c>
      <c r="AN69">
        <f t="shared" si="10"/>
        <v>52432.14183765593</v>
      </c>
      <c r="AO69">
        <f t="shared" si="11"/>
        <v>8.2873157225549221E-9</v>
      </c>
      <c r="AP69">
        <f t="shared" si="12"/>
        <v>8.9712557382881641E-9</v>
      </c>
    </row>
    <row r="70" spans="1:42" x14ac:dyDescent="0.35">
      <c r="A70">
        <v>27</v>
      </c>
      <c r="B70">
        <f t="shared" si="13"/>
        <v>0</v>
      </c>
      <c r="C70">
        <f t="shared" si="14"/>
        <v>0</v>
      </c>
      <c r="D70">
        <f t="shared" si="15"/>
        <v>52432.141837658724</v>
      </c>
      <c r="E70">
        <f t="shared" si="16"/>
        <v>52432.14183765593</v>
      </c>
      <c r="F70">
        <f t="shared" si="2"/>
        <v>51</v>
      </c>
      <c r="G70">
        <f>IF(N6="None",F70,MAX(0,F70*B70))</f>
        <v>51</v>
      </c>
      <c r="H70">
        <f>IF(N6="None",0,MAX(0,F70-G70))</f>
        <v>0</v>
      </c>
      <c r="I70">
        <f>IF(AND(N7="None",N8="None"),0,IF(N8="None",G70,IF(N7="None",0,MAX(0,G70*C70))))</f>
        <v>0</v>
      </c>
      <c r="J70">
        <f>IF(AND(N7="None",N8="None"),0,IF(N8="None",0,IF(N7="None",G70,MAX(0,G70-I70))))</f>
        <v>51</v>
      </c>
      <c r="K70">
        <f>P5</f>
        <v>637</v>
      </c>
      <c r="L70">
        <f>P6</f>
        <v>634.3119999999999</v>
      </c>
      <c r="M70">
        <f>P7</f>
        <v>635.5</v>
      </c>
      <c r="N70">
        <f>P8</f>
        <v>631.54999999999995</v>
      </c>
      <c r="O70">
        <f>K70+((ABS(F70)/MAX(((F31)+(H31)*(MAX($D$16,(K70)-(J31))))*(MAX($D$16,(K70)-(J31))),0.000001))^2)/(2*$I$5)-((E31)*((((ABS(F70)*$D$6)/(MAX(((F31)+(H31)*(MAX($D$16,(K70)-(J31))))*(MAX($D$16,(K70)-(J31))),0.000001)*MAX(((((F31)+(H31)*(MAX($D$16,(K70)-(J31))))*(MAX($D$16,(K70)-(J31))))/MAX((F31)+2*(MAX($D$16,(K70)-(J31)))*SQRT(1+(H31)^2),0.000001))^(2/3),0.000001)))^2)+(((ABS(F70)*$D$6)/(MAX(((G31)+(I31)*(MAX($D$16,(D70)-(K31))))*(MAX($D$16,(D70)-(K31))),0.000001)*MAX(((((G31)+(I31)*(MAX($D$16,(D70)-(K31))))*(MAX($D$16,(D70)-(K31))))/MAX((G31)+2*(MAX($D$16,(D70)-(K31)))*SQRT(1+(I31)^2),0.000001))^(2/3),0.000001)))^2))/2)+(IF((ABS(F70)/MAX(((G31)+(I31)*(MAX($D$16,(D70)-(K31))))*(MAX($D$16,(D70)-(K31))),0.000001))&gt;(ABS(F70)/MAX(((F31)+(H31)*(MAX($D$16,(K70)-(J31))))*(MAX($D$16,(K70)-(J31))),0.000001)),$D$9*((((ABS(F70)/MAX(((G31)+(I31)*(MAX($D$16,(D70)-(K31))))*(MAX($D$16,(D70)-(K31))),0.000001))^2)/(2*$I$5))-(((ABS(F70)/MAX(((F31)+(H31)*(MAX($D$16,(K70)-(J31))))*(MAX($D$16,(K70)-(J31))),0.000001))^2)/(2*$I$5))),$D$8*((((ABS(F70)/MAX(((F31)+(H31)*(MAX($D$16,(K70)-(J31))))*(MAX($D$16,(K70)-(J31))),0.000001))^2)/(2*$I$5))-(((ABS(F70)/MAX(((G31)+(I31)*(MAX($D$16,(D70)-(K31))))*(MAX($D$16,(D70)-(K31))),0.000001))^2)/(2*$I$5)))))+($D$10*(ABS((X31)-(W31))/90)*MAX(((ABS(F70)/MAX(((F31)+(H31)*(MAX($D$16,(K70)-(J31))))*(MAX($D$16,(K70)-(J31))),0.000001))^2)/(2*$I$5),((ABS(F70)/MAX(((G31)+(I31)*(MAX($D$16,(D70)-(K31))))*(MAX($D$16,(D70)-(K31))),0.000001))^2)/(2*$I$5)))+(0)-((ABS(F70)/MAX(((G31)+(I31)*(MAX($D$16,(D70)-(K31))))*(MAX($D$16,(D70)-(K31))),0.000001))^2)/(2*$I$5)</f>
        <v>637.65825101089831</v>
      </c>
      <c r="P70">
        <f>E70+((ABS(G70)/MAX(((G32)+(I32)*(MAX($D$16,(E70)-(K32))))*(MAX($D$16,(E70)-(K32))),0.000001))^2)/(2*$I$5)+((E32)*((((ABS(G70)*$D$6)/(MAX(((F32)+(H32)*(MAX($D$16,(D70)-(J32))))*(MAX($D$16,(D70)-(J32))),0.000001)*MAX(((((F32)+(H32)*(MAX($D$16,(D70)-(J32))))*(MAX($D$16,(D70)-(J32))))/MAX((F32)+2*(MAX($D$16,(D70)-(J32)))*SQRT(1+(H32)^2),0.000001))^(2/3),0.000001)))^2)+(((ABS(G70)*$D$6)/(MAX(((G32)+(I32)*(MAX($D$16,(E70)-(K32))))*(MAX($D$16,(E70)-(K32))),0.000001)*MAX(((((G32)+(I32)*(MAX($D$16,(E70)-(K32))))*(MAX($D$16,(E70)-(K32))))/MAX((G32)+2*(MAX($D$16,(E70)-(K32)))*SQRT(1+(I32)^2),0.000001))^(2/3),0.000001)))^2))/2)+(IF((ABS(G70)/MAX(((G32)+(I32)*(MAX($D$16,(E70)-(K32))))*(MAX($D$16,(E70)-(K32))),0.000001))&gt;(ABS(G70)/MAX(((F32)+(H32)*(MAX($D$16,(D70)-(J32))))*(MAX($D$16,(D70)-(J32))),0.000001)),$D$9*((((ABS(G70)/MAX(((G32)+(I32)*(MAX($D$16,(E70)-(K32))))*(MAX($D$16,(E70)-(K32))),0.000001))^2)/(2*$I$5))-(((ABS(G70)/MAX(((F32)+(H32)*(MAX($D$16,(D70)-(J32))))*(MAX($D$16,(D70)-(J32))),0.000001))^2)/(2*$I$5))),$D$8*((((ABS(G70)/MAX(((F32)+(H32)*(MAX($D$16,(D70)-(J32))))*(MAX($D$16,(D70)-(J32))),0.000001))^2)/(2*$I$5))-(((ABS(G70)/MAX(((G32)+(I32)*(MAX($D$16,(E70)-(K32))))*(MAX($D$16,(E70)-(K32))),0.000001))^2)/(2*$I$5)))))+($D$10*(ABS((X32)-(W32))/90)*MAX(((ABS(G70)/MAX(((F32)+(H32)*(MAX($D$16,(D70)-(J32))))*(MAX($D$16,(D70)-(J32))),0.000001))^2)/(2*$I$5),((ABS(G70)/MAX(((G32)+(I32)*(MAX($D$16,(E70)-(K32))))*(MAX($D$16,(E70)-(K32))),0.000001))^2)/(2*$I$5)))+(($D$11*0.13607488*(ABS(H70)/MAX(ABS(F70),0.000001))^2*MAX(((ABS(G70)/MAX(((F32)+(H32)*(MAX($D$16,(D70)-(J32))))*(MAX($D$16,(D70)-(J32))),0.000001))^2)/(2*$I$5),((ABS(G70)/MAX(((G32)+(I32)*(MAX($D$16,(E70)-(K32))))*(MAX($D$16,(E70)-(K32))),0.000001))^2)/(2*$I$5))))-((ABS(G70)/MAX(((F32)+(H32)*(MAX($D$16,(D70)-(J32))))*(MAX($D$16,(D70)-(J32))),0.000001))^2)/(2*$I$5)</f>
        <v>52432.141837656483</v>
      </c>
      <c r="Q70">
        <f>L70+((ABS(H70)/MAX(((G33)+(I33)*(MAX($D$16,(L70)-(K33))))*(MAX($D$16,(L70)-(K33))),0.000001))^2)/(2*$I$5)+((E33)*((((ABS(H70)*$D$6)/(MAX(((F33)+(H33)*(MAX($D$16,(D70)-(J33))))*(MAX($D$16,(D70)-(J33))),0.000001)*MAX(((((F33)+(H33)*(MAX($D$16,(D70)-(J33))))*(MAX($D$16,(D70)-(J33))))/MAX((F33)+2*(MAX($D$16,(D70)-(J33)))*SQRT(1+(H33)^2),0.000001))^(2/3),0.000001)))^2)+(((ABS(H70)*$D$6)/(MAX(((G33)+(I33)*(MAX($D$16,(L70)-(K33))))*(MAX($D$16,(L70)-(K33))),0.000001)*MAX(((((G33)+(I33)*(MAX($D$16,(L70)-(K33))))*(MAX($D$16,(L70)-(K33))))/MAX((G33)+2*(MAX($D$16,(L70)-(K33)))*SQRT(1+(I33)^2),0.000001))^(2/3),0.000001)))^2))/2)+(IF((ABS(H70)/MAX(((G33)+(I33)*(MAX($D$16,(L70)-(K33))))*(MAX($D$16,(L70)-(K33))),0.000001))&gt;(ABS(H70)/MAX(((F33)+(H33)*(MAX($D$16,(D70)-(J33))))*(MAX($D$16,(D70)-(J33))),0.000001)),$D$9*((((ABS(H70)/MAX(((G33)+(I33)*(MAX($D$16,(L70)-(K33))))*(MAX($D$16,(L70)-(K33))),0.000001))^2)/(2*$I$5))-(((ABS(H70)/MAX(((F33)+(H33)*(MAX($D$16,(D70)-(J33))))*(MAX($D$16,(D70)-(J33))),0.000001))^2)/(2*$I$5))),$D$8*((((ABS(H70)/MAX(((F33)+(H33)*(MAX($D$16,(D70)-(J33))))*(MAX($D$16,(D70)-(J33))),0.000001))^2)/(2*$I$5))-(((ABS(H70)/MAX(((G33)+(I33)*(MAX($D$16,(L70)-(K33))))*(MAX($D$16,(L70)-(K33))),0.000001))^2)/(2*$I$5)))))+($D$10*(ABS((X33)-(W33))/90)*MAX(((ABS(H70)/MAX(((F33)+(H33)*(MAX($D$16,(D70)-(J33))))*(MAX($D$16,(D70)-(J33))),0.000001))^2)/(2*$I$5),((ABS(H70)/MAX(((G33)+(I33)*(MAX($D$16,(L70)-(K33))))*(MAX($D$16,(L70)-(K33))),0.000001))^2)/(2*$I$5)))+(($D$11*0.00000015*(ABS(G70)/MAX(ABS(F70),0.000001))^2*MAX(((ABS(H70)/MAX(((F33)+(H33)*(MAX($D$16,(D70)-(J33))))*(MAX($D$16,(D70)-(J33))),0.000001))^2)/(2*$I$5),((ABS(H70)/MAX(((G33)+(I33)*(MAX($D$16,(L70)-(K33))))*(MAX($D$16,(L70)-(K33))),0.000001))^2)/(2*$I$5))))-((ABS(H70)/MAX(((F33)+(H33)*(MAX($D$16,(D70)-(J33))))*(MAX($D$16,(D70)-(J33))),0.000001))^2)/(2*$I$5)</f>
        <v>634.3119999999999</v>
      </c>
      <c r="R70">
        <f>D70+((ABS(G70)/MAX(((F32)+(H32)*(MAX($D$16,(D70)-(J32))))*(MAX($D$16,(D70)-(J32))),0.000001))^2)/(2*$I$5)-((E32)*((((ABS(G70)*$D$6)/(MAX(((F32)+(H32)*(MAX($D$16,(D70)-(J32))))*(MAX($D$16,(D70)-(J32))),0.000001)*MAX(((((F32)+(H32)*(MAX($D$16,(D70)-(J32))))*(MAX($D$16,(D70)-(J32))))/MAX((F32)+2*(MAX($D$16,(D70)-(J32)))*SQRT(1+(H32)^2),0.000001))^(2/3),0.000001)))^2)+(((ABS(G70)*$D$6)/(MAX(((G32)+(I32)*(MAX($D$16,(E70)-(K32))))*(MAX($D$16,(E70)-(K32))),0.000001)*MAX(((((G32)+(I32)*(MAX($D$16,(E70)-(K32))))*(MAX($D$16,(E70)-(K32))))/MAX((G32)+2*(MAX($D$16,(E70)-(K32)))*SQRT(1+(I32)^2),0.000001))^(2/3),0.000001)))^2))/2)+(IF((ABS(G70)/MAX(((G32)+(I32)*(MAX($D$16,(E70)-(K32))))*(MAX($D$16,(E70)-(K32))),0.000001))&gt;(ABS(G70)/MAX(((F32)+(H32)*(MAX($D$16,(D70)-(J32))))*(MAX($D$16,(D70)-(J32))),0.000001)),$D$9*((((ABS(G70)/MAX(((G32)+(I32)*(MAX($D$16,(E70)-(K32))))*(MAX($D$16,(E70)-(K32))),0.000001))^2)/(2*$I$5))-(((ABS(G70)/MAX(((F32)+(H32)*(MAX($D$16,(D70)-(J32))))*(MAX($D$16,(D70)-(J32))),0.000001))^2)/(2*$I$5))),$D$8*((((ABS(G70)/MAX(((F32)+(H32)*(MAX($D$16,(D70)-(J32))))*(MAX($D$16,(D70)-(J32))),0.000001))^2)/(2*$I$5))-(((ABS(G70)/MAX(((G32)+(I32)*(MAX($D$16,(E70)-(K32))))*(MAX($D$16,(E70)-(K32))),0.000001))^2)/(2*$I$5)))))+($D$10*(ABS((X32)-(W32))/90)*MAX(((ABS(G70)/MAX(((F32)+(H32)*(MAX($D$16,(D70)-(J32))))*(MAX($D$16,(D70)-(J32))),0.000001))^2)/(2*$I$5),((ABS(G70)/MAX(((G32)+(I32)*(MAX($D$16,(E70)-(K32))))*(MAX($D$16,(E70)-(K32))),0.000001))^2)/(2*$I$5)))+(($D$11*0.13607488*(ABS(H70)/MAX(ABS(F70),0.000001))^2*MAX(((ABS(G70)/MAX(((F32)+(H32)*(MAX($D$16,(D70)-(J32))))*(MAX($D$16,(D70)-(J32))),0.000001))^2)/(2*$I$5),((ABS(G70)/MAX(((G32)+(I32)*(MAX($D$16,(E70)-(K32))))*(MAX($D$16,(E70)-(K32))),0.000001))^2)/(2*$I$5))))-((ABS(G70)/MAX(((G32)+(I32)*(MAX($D$16,(E70)-(K32))))*(MAX($D$16,(E70)-(K32))),0.000001))^2)/(2*$I$5)</f>
        <v>52432.141837658855</v>
      </c>
      <c r="S70">
        <f>M70+((ABS(I70)/MAX(((G34)+(I34)*(MAX($D$16,(M70)-(K34))))*(MAX($D$16,(M70)-(K34))),0.000001))^2)/(2*$I$5)+((E34)*((((ABS(I70)*$D$6)/(MAX(((F34)+(H34)*(MAX($D$16,(E70)-(J34))))*(MAX($D$16,(E70)-(J34))),0.000001)*MAX(((((F34)+(H34)*(MAX($D$16,(E70)-(J34))))*(MAX($D$16,(E70)-(J34))))/MAX((F34)+2*(MAX($D$16,(E70)-(J34)))*SQRT(1+(H34)^2),0.000001))^(2/3),0.000001)))^2)+(((ABS(I70)*$D$6)/(MAX(((G34)+(I34)*(MAX($D$16,(M70)-(K34))))*(MAX($D$16,(M70)-(K34))),0.000001)*MAX(((((G34)+(I34)*(MAX($D$16,(M70)-(K34))))*(MAX($D$16,(M70)-(K34))))/MAX((G34)+2*(MAX($D$16,(M70)-(K34)))*SQRT(1+(I34)^2),0.000001))^(2/3),0.000001)))^2))/2)+(IF((ABS(I70)/MAX(((G34)+(I34)*(MAX($D$16,(M70)-(K34))))*(MAX($D$16,(M70)-(K34))),0.000001))&gt;(ABS(I70)/MAX(((F34)+(H34)*(MAX($D$16,(E70)-(J34))))*(MAX($D$16,(E70)-(J34))),0.000001)),$D$9*((((ABS(I70)/MAX(((G34)+(I34)*(MAX($D$16,(M70)-(K34))))*(MAX($D$16,(M70)-(K34))),0.000001))^2)/(2*$I$5))-(((ABS(I70)/MAX(((F34)+(H34)*(MAX($D$16,(E70)-(J34))))*(MAX($D$16,(E70)-(J34))),0.000001))^2)/(2*$I$5))),$D$8*((((ABS(I70)/MAX(((F34)+(H34)*(MAX($D$16,(E70)-(J34))))*(MAX($D$16,(E70)-(J34))),0.000001))^2)/(2*$I$5))-(((ABS(I70)/MAX(((G34)+(I34)*(MAX($D$16,(M70)-(K34))))*(MAX($D$16,(M70)-(K34))),0.000001))^2)/(2*$I$5)))))+($D$10*(ABS((X34)-(W34))/90)*MAX(((ABS(I70)/MAX(((F34)+(H34)*(MAX($D$16,(E70)-(J34))))*(MAX($D$16,(E70)-(J34))),0.000001))^2)/(2*$I$5),((ABS(I70)/MAX(((G34)+(I34)*(MAX($D$16,(M70)-(K34))))*(MAX($D$16,(M70)-(K34))),0.000001))^2)/(2*$I$5)))+(0)-((ABS(I70)/MAX(((F34)+(H34)*(MAX($D$16,(E70)-(J34))))*(MAX($D$16,(E70)-(J34))),0.000001))^2)/(2*$I$5)</f>
        <v>635.5</v>
      </c>
      <c r="T70">
        <f>N70+((ABS(J70)/MAX(((G35)+(I35)*(MAX($D$16,(N70)-(K35))))*(MAX($D$16,(N70)-(K35))),0.000001))^2)/(2*$I$5)+((E35)*((((ABS(J70)*$D$6)/(MAX(((F35)+(H35)*(MAX($D$16,(E70)-(J35))))*(MAX($D$16,(E70)-(J35))),0.000001)*MAX(((((F35)+(H35)*(MAX($D$16,(E70)-(J35))))*(MAX($D$16,(E70)-(J35))))/MAX((F35)+2*(MAX($D$16,(E70)-(J35)))*SQRT(1+(H35)^2),0.000001))^(2/3),0.000001)))^2)+(((ABS(J70)*$D$6)/(MAX(((G35)+(I35)*(MAX($D$16,(N70)-(K35))))*(MAX($D$16,(N70)-(K35))),0.000001)*MAX(((((G35)+(I35)*(MAX($D$16,(N70)-(K35))))*(MAX($D$16,(N70)-(K35))))/MAX((G35)+2*(MAX($D$16,(N70)-(K35)))*SQRT(1+(I35)^2),0.000001))^(2/3),0.000001)))^2))/2)+(IF((ABS(J70)/MAX(((G35)+(I35)*(MAX($D$16,(N70)-(K35))))*(MAX($D$16,(N70)-(K35))),0.000001))&gt;(ABS(J70)/MAX(((F35)+(H35)*(MAX($D$16,(E70)-(J35))))*(MAX($D$16,(E70)-(J35))),0.000001)),$D$9*((((ABS(J70)/MAX(((G35)+(I35)*(MAX($D$16,(N70)-(K35))))*(MAX($D$16,(N70)-(K35))),0.000001))^2)/(2*$I$5))-(((ABS(J70)/MAX(((F35)+(H35)*(MAX($D$16,(E70)-(J35))))*(MAX($D$16,(E70)-(J35))),0.000001))^2)/(2*$I$5))),$D$8*((((ABS(J70)/MAX(((F35)+(H35)*(MAX($D$16,(E70)-(J35))))*(MAX($D$16,(E70)-(J35))),0.000001))^2)/(2*$I$5))-(((ABS(J70)/MAX(((G35)+(I35)*(MAX($D$16,(N70)-(K35))))*(MAX($D$16,(N70)-(K35))),0.000001))^2)/(2*$I$5)))))+($D$10*(ABS((X35)-(W35))/90)*MAX(((ABS(J70)/MAX(((F35)+(H35)*(MAX($D$16,(E70)-(J35))))*(MAX($D$16,(E70)-(J35))),0.000001))^2)/(2*$I$5),((ABS(J70)/MAX(((G35)+(I35)*(MAX($D$16,(N70)-(K35))))*(MAX($D$16,(N70)-(K35))),0.000001))^2)/(2*$I$5)))+(($D$11*0.34699541*(ABS(I70)/MAX(ABS(G70),0.000001))^2*MAX(((ABS(J70)/MAX(((F35)+(H35)*(MAX($D$16,(E70)-(J35))))*(MAX($D$16,(E70)-(J35))),0.000001))^2)/(2*$I$5),((ABS(J70)/MAX(((G35)+(I35)*(MAX($D$16,(N70)-(K35))))*(MAX($D$16,(N70)-(K35))),0.000001))^2)/(2*$I$5))))-((ABS(J70)/MAX(((F35)+(H35)*(MAX($D$16,(E70)-(J35))))*(MAX($D$16,(E70)-(J35))),0.000001))^2)/(2*$I$5)</f>
        <v>20784.033523923383</v>
      </c>
      <c r="U70">
        <f>(((((F32)*(MAX($D$16,(D70)-(J32)))^2)/2+(H32)*(MAX($D$16,(D70)-(J32)))^3/3+(ABS(G70)^2)/($I$5*MAX(((F32)+(H32)*(MAX($D$16,(D70)-(J32))))*(MAX($D$16,(D70)-(J32))),0.000001)))*0.72785025)-((((F33)*(MAX($D$16,(D70)-(J33)))^2)/2+(H33)*(MAX($D$16,(D70)-(J33)))^3/3+(ABS(H70)^2)/($I$5*MAX(((F33)+(H33)*(MAX($D$16,(D70)-(J33))))*(MAX($D$16,(D70)-(J33))),0.000001)))*0.99999971))/MAX(((G31)*(MAX($D$16,(D70)-(K31)))^2)/2+(I31)*(MAX($D$16,(D70)-(K31)))^3/3+(ABS(F70)^2)/($I$5*MAX(((G31)+(I31)*(MAX($D$16,(D70)-(K31))))*(MAX($D$16,(D70)-(K31))),0.000001)),0.000001)</f>
        <v>-0.27214945999991125</v>
      </c>
      <c r="V70">
        <f>(((((F34)*(MAX($D$16,(E70)-(J34)))^2)/2+(H34)*(MAX($D$16,(E70)-(J34)))^3/3+(ABS(I70)^2)/($I$5*MAX(((F34)+(H34)*(MAX($D$16,(E70)-(J34))))*(MAX($D$16,(E70)-(J34))),0.000001)))*1)-((((F35)*(MAX($D$16,(E70)-(J35)))^2)/2+(H35)*(MAX($D$16,(E70)-(J35)))^3/3+(ABS(J70)^2)/($I$5*MAX(((F35)+(H35)*(MAX($D$16,(E70)-(J35))))*(MAX($D$16,(E70)-(J35))),0.000001)))*0.30600918))/MAX(((G32)*(MAX($D$16,(E70)-(K32)))^2)/2+(I32)*(MAX($D$16,(E70)-(K32)))^3/3+(ABS(G70)^2)/($I$5*MAX(((G32)+(I32)*(MAX($D$16,(E70)-(K32))))*(MAX($D$16,(E70)-(K32))),0.000001)),0.000001)</f>
        <v>0.69398638937190382</v>
      </c>
      <c r="W70">
        <f>IF(N6="None",ABS(P70-D70),MAX(ABS(P70-D70),ABS(Q70-D70)))</f>
        <v>2.2409949451684952E-9</v>
      </c>
      <c r="X70">
        <f>IF(AND(N7="None",N8="None"),0,IF(N8="None",ABS(S70-E70),IF(N7="None",ABS(T70-E70),MAX(ABS(S70-E70),ABS(T70-E70)))))</f>
        <v>51796.64183765593</v>
      </c>
      <c r="AA70">
        <f t="shared" si="3"/>
        <v>52432.141837657939</v>
      </c>
      <c r="AB70">
        <f t="shared" si="4"/>
        <v>41355.303927849542</v>
      </c>
      <c r="AC70">
        <f>IF(N6="None",P70,MAX(P70,Q70))</f>
        <v>52432.141837656483</v>
      </c>
      <c r="AD70">
        <f>IF(AND(N7="None",N8="None"),E70,IF(N8="None",S70,IF(N7="None",T70,MAX(S70,T70))))</f>
        <v>20784.033523923383</v>
      </c>
      <c r="AE70">
        <f t="shared" si="5"/>
        <v>637.65825101089831</v>
      </c>
      <c r="AF70">
        <f t="shared" si="6"/>
        <v>52432.141837658855</v>
      </c>
      <c r="AG70">
        <f>((G31)*(MAX($D$16,(AC70)-(K31)))^2)/2+(I31)*(MAX($D$16,(AC70)-(K31)))^3/3+(ABS(F70)^2)/($I$5*MAX(((G31)+(I31)*(MAX($D$16,(AC70)-(K31))))*(MAX($D$16,(AC70)-(K31))),0.000001))</f>
        <v>8797611517.4097614</v>
      </c>
      <c r="AH70">
        <f>((G31)*(MAX($D$16,(AE70)-(K31)))^2)/2+(I31)*(MAX($D$16,(AE70)-(K31)))^3/3+(ABS(F70)^2)/($I$5*MAX(((G31)+(I31)*(MAX($D$16,(AE70)-(K31))))*(MAX($D$16,(AE70)-(K31))),0.000001))</f>
        <v>49.055863329575246</v>
      </c>
      <c r="AI70">
        <f>((G32)*(MAX($D$16,(AD70)-(K32)))^2)/2+(I32)*(MAX($D$16,(AD70)-(K32)))^3/3+(ABS(G70)^2)/($I$5*MAX(((G32)+(I32)*(MAX($D$16,(AD70)-(K32))))*(MAX($D$16,(AD70)-(K32))),0.000001))</f>
        <v>2072376743.6648321</v>
      </c>
      <c r="AJ70">
        <f>((G32)*(MAX($D$16,(AF70)-(K32)))^2)/2+(I32)*(MAX($D$16,(AF70)-(K32)))^3/3+(ABS(G70)^2)/($I$5*MAX(((G32)+(I32)*(MAX($D$16,(AF70)-(K32))))*(MAX($D$16,(AF70)-(K32))),0.000001))</f>
        <v>13692714789.642424</v>
      </c>
      <c r="AK70" t="str">
        <f t="shared" si="7"/>
        <v>Subcritical</v>
      </c>
      <c r="AL70" t="str">
        <f t="shared" si="8"/>
        <v>Supercritical</v>
      </c>
      <c r="AM70">
        <f t="shared" si="9"/>
        <v>52432.141837657939</v>
      </c>
      <c r="AN70">
        <f t="shared" si="10"/>
        <v>52432.141837656956</v>
      </c>
      <c r="AO70">
        <f t="shared" si="11"/>
        <v>2.2409949451684952E-9</v>
      </c>
      <c r="AP70">
        <f t="shared" si="12"/>
        <v>2.9249349609017372E-9</v>
      </c>
    </row>
    <row r="71" spans="1:42" x14ac:dyDescent="0.35">
      <c r="A71">
        <v>28</v>
      </c>
      <c r="B71">
        <f t="shared" si="13"/>
        <v>0</v>
      </c>
      <c r="C71">
        <f t="shared" si="14"/>
        <v>0</v>
      </c>
      <c r="D71">
        <f t="shared" si="15"/>
        <v>52432.141837657939</v>
      </c>
      <c r="E71">
        <f t="shared" si="16"/>
        <v>52432.141837656956</v>
      </c>
      <c r="F71">
        <f t="shared" si="2"/>
        <v>51</v>
      </c>
      <c r="G71">
        <f>IF(N6="None",F71,MAX(0,F71*B71))</f>
        <v>51</v>
      </c>
      <c r="H71">
        <f>IF(N6="None",0,MAX(0,F71-G71))</f>
        <v>0</v>
      </c>
      <c r="I71">
        <f>IF(AND(N7="None",N8="None"),0,IF(N8="None",G71,IF(N7="None",0,MAX(0,G71*C71))))</f>
        <v>0</v>
      </c>
      <c r="J71">
        <f>IF(AND(N7="None",N8="None"),0,IF(N8="None",0,IF(N7="None",G71,MAX(0,G71-I71))))</f>
        <v>51</v>
      </c>
      <c r="K71">
        <f>P5</f>
        <v>637</v>
      </c>
      <c r="L71">
        <f>P6</f>
        <v>634.3119999999999</v>
      </c>
      <c r="M71">
        <f>P7</f>
        <v>635.5</v>
      </c>
      <c r="N71">
        <f>P8</f>
        <v>631.54999999999995</v>
      </c>
      <c r="O71">
        <f>K71+((ABS(F71)/MAX(((F31)+(H31)*(MAX($D$16,(K71)-(J31))))*(MAX($D$16,(K71)-(J31))),0.000001))^2)/(2*$I$5)-((E31)*((((ABS(F71)*$D$6)/(MAX(((F31)+(H31)*(MAX($D$16,(K71)-(J31))))*(MAX($D$16,(K71)-(J31))),0.000001)*MAX(((((F31)+(H31)*(MAX($D$16,(K71)-(J31))))*(MAX($D$16,(K71)-(J31))))/MAX((F31)+2*(MAX($D$16,(K71)-(J31)))*SQRT(1+(H31)^2),0.000001))^(2/3),0.000001)))^2)+(((ABS(F71)*$D$6)/(MAX(((G31)+(I31)*(MAX($D$16,(D71)-(K31))))*(MAX($D$16,(D71)-(K31))),0.000001)*MAX(((((G31)+(I31)*(MAX($D$16,(D71)-(K31))))*(MAX($D$16,(D71)-(K31))))/MAX((G31)+2*(MAX($D$16,(D71)-(K31)))*SQRT(1+(I31)^2),0.000001))^(2/3),0.000001)))^2))/2)+(IF((ABS(F71)/MAX(((G31)+(I31)*(MAX($D$16,(D71)-(K31))))*(MAX($D$16,(D71)-(K31))),0.000001))&gt;(ABS(F71)/MAX(((F31)+(H31)*(MAX($D$16,(K71)-(J31))))*(MAX($D$16,(K71)-(J31))),0.000001)),$D$9*((((ABS(F71)/MAX(((G31)+(I31)*(MAX($D$16,(D71)-(K31))))*(MAX($D$16,(D71)-(K31))),0.000001))^2)/(2*$I$5))-(((ABS(F71)/MAX(((F31)+(H31)*(MAX($D$16,(K71)-(J31))))*(MAX($D$16,(K71)-(J31))),0.000001))^2)/(2*$I$5))),$D$8*((((ABS(F71)/MAX(((F31)+(H31)*(MAX($D$16,(K71)-(J31))))*(MAX($D$16,(K71)-(J31))),0.000001))^2)/(2*$I$5))-(((ABS(F71)/MAX(((G31)+(I31)*(MAX($D$16,(D71)-(K31))))*(MAX($D$16,(D71)-(K31))),0.000001))^2)/(2*$I$5)))))+($D$10*(ABS((X31)-(W31))/90)*MAX(((ABS(F71)/MAX(((F31)+(H31)*(MAX($D$16,(K71)-(J31))))*(MAX($D$16,(K71)-(J31))),0.000001))^2)/(2*$I$5),((ABS(F71)/MAX(((G31)+(I31)*(MAX($D$16,(D71)-(K31))))*(MAX($D$16,(D71)-(K31))),0.000001))^2)/(2*$I$5)))+(0)-((ABS(F71)/MAX(((G31)+(I31)*(MAX($D$16,(D71)-(K31))))*(MAX($D$16,(D71)-(K31))),0.000001))^2)/(2*$I$5)</f>
        <v>637.65825101089831</v>
      </c>
      <c r="P71">
        <f>E71+((ABS(G71)/MAX(((G32)+(I32)*(MAX($D$16,(E71)-(K32))))*(MAX($D$16,(E71)-(K32))),0.000001))^2)/(2*$I$5)+((E32)*((((ABS(G71)*$D$6)/(MAX(((F32)+(H32)*(MAX($D$16,(D71)-(J32))))*(MAX($D$16,(D71)-(J32))),0.000001)*MAX(((((F32)+(H32)*(MAX($D$16,(D71)-(J32))))*(MAX($D$16,(D71)-(J32))))/MAX((F32)+2*(MAX($D$16,(D71)-(J32)))*SQRT(1+(H32)^2),0.000001))^(2/3),0.000001)))^2)+(((ABS(G71)*$D$6)/(MAX(((G32)+(I32)*(MAX($D$16,(E71)-(K32))))*(MAX($D$16,(E71)-(K32))),0.000001)*MAX(((((G32)+(I32)*(MAX($D$16,(E71)-(K32))))*(MAX($D$16,(E71)-(K32))))/MAX((G32)+2*(MAX($D$16,(E71)-(K32)))*SQRT(1+(I32)^2),0.000001))^(2/3),0.000001)))^2))/2)+(IF((ABS(G71)/MAX(((G32)+(I32)*(MAX($D$16,(E71)-(K32))))*(MAX($D$16,(E71)-(K32))),0.000001))&gt;(ABS(G71)/MAX(((F32)+(H32)*(MAX($D$16,(D71)-(J32))))*(MAX($D$16,(D71)-(J32))),0.000001)),$D$9*((((ABS(G71)/MAX(((G32)+(I32)*(MAX($D$16,(E71)-(K32))))*(MAX($D$16,(E71)-(K32))),0.000001))^2)/(2*$I$5))-(((ABS(G71)/MAX(((F32)+(H32)*(MAX($D$16,(D71)-(J32))))*(MAX($D$16,(D71)-(J32))),0.000001))^2)/(2*$I$5))),$D$8*((((ABS(G71)/MAX(((F32)+(H32)*(MAX($D$16,(D71)-(J32))))*(MAX($D$16,(D71)-(J32))),0.000001))^2)/(2*$I$5))-(((ABS(G71)/MAX(((G32)+(I32)*(MAX($D$16,(E71)-(K32))))*(MAX($D$16,(E71)-(K32))),0.000001))^2)/(2*$I$5)))))+($D$10*(ABS((X32)-(W32))/90)*MAX(((ABS(G71)/MAX(((F32)+(H32)*(MAX($D$16,(D71)-(J32))))*(MAX($D$16,(D71)-(J32))),0.000001))^2)/(2*$I$5),((ABS(G71)/MAX(((G32)+(I32)*(MAX($D$16,(E71)-(K32))))*(MAX($D$16,(E71)-(K32))),0.000001))^2)/(2*$I$5)))+(($D$11*0.13607488*(ABS(H71)/MAX(ABS(F71),0.000001))^2*MAX(((ABS(G71)/MAX(((F32)+(H32)*(MAX($D$16,(D71)-(J32))))*(MAX($D$16,(D71)-(J32))),0.000001))^2)/(2*$I$5),((ABS(G71)/MAX(((G32)+(I32)*(MAX($D$16,(E71)-(K32))))*(MAX($D$16,(E71)-(K32))),0.000001))^2)/(2*$I$5))))-((ABS(G71)/MAX(((F32)+(H32)*(MAX($D$16,(D71)-(J32))))*(MAX($D$16,(D71)-(J32))),0.000001))^2)/(2*$I$5)</f>
        <v>52432.141837657509</v>
      </c>
      <c r="Q71">
        <f>L71+((ABS(H71)/MAX(((G33)+(I33)*(MAX($D$16,(L71)-(K33))))*(MAX($D$16,(L71)-(K33))),0.000001))^2)/(2*$I$5)+((E33)*((((ABS(H71)*$D$6)/(MAX(((F33)+(H33)*(MAX($D$16,(D71)-(J33))))*(MAX($D$16,(D71)-(J33))),0.000001)*MAX(((((F33)+(H33)*(MAX($D$16,(D71)-(J33))))*(MAX($D$16,(D71)-(J33))))/MAX((F33)+2*(MAX($D$16,(D71)-(J33)))*SQRT(1+(H33)^2),0.000001))^(2/3),0.000001)))^2)+(((ABS(H71)*$D$6)/(MAX(((G33)+(I33)*(MAX($D$16,(L71)-(K33))))*(MAX($D$16,(L71)-(K33))),0.000001)*MAX(((((G33)+(I33)*(MAX($D$16,(L71)-(K33))))*(MAX($D$16,(L71)-(K33))))/MAX((G33)+2*(MAX($D$16,(L71)-(K33)))*SQRT(1+(I33)^2),0.000001))^(2/3),0.000001)))^2))/2)+(IF((ABS(H71)/MAX(((G33)+(I33)*(MAX($D$16,(L71)-(K33))))*(MAX($D$16,(L71)-(K33))),0.000001))&gt;(ABS(H71)/MAX(((F33)+(H33)*(MAX($D$16,(D71)-(J33))))*(MAX($D$16,(D71)-(J33))),0.000001)),$D$9*((((ABS(H71)/MAX(((G33)+(I33)*(MAX($D$16,(L71)-(K33))))*(MAX($D$16,(L71)-(K33))),0.000001))^2)/(2*$I$5))-(((ABS(H71)/MAX(((F33)+(H33)*(MAX($D$16,(D71)-(J33))))*(MAX($D$16,(D71)-(J33))),0.000001))^2)/(2*$I$5))),$D$8*((((ABS(H71)/MAX(((F33)+(H33)*(MAX($D$16,(D71)-(J33))))*(MAX($D$16,(D71)-(J33))),0.000001))^2)/(2*$I$5))-(((ABS(H71)/MAX(((G33)+(I33)*(MAX($D$16,(L71)-(K33))))*(MAX($D$16,(L71)-(K33))),0.000001))^2)/(2*$I$5)))))+($D$10*(ABS((X33)-(W33))/90)*MAX(((ABS(H71)/MAX(((F33)+(H33)*(MAX($D$16,(D71)-(J33))))*(MAX($D$16,(D71)-(J33))),0.000001))^2)/(2*$I$5),((ABS(H71)/MAX(((G33)+(I33)*(MAX($D$16,(L71)-(K33))))*(MAX($D$16,(L71)-(K33))),0.000001))^2)/(2*$I$5)))+(($D$11*0.00000015*(ABS(G71)/MAX(ABS(F71),0.000001))^2*MAX(((ABS(H71)/MAX(((F33)+(H33)*(MAX($D$16,(D71)-(J33))))*(MAX($D$16,(D71)-(J33))),0.000001))^2)/(2*$I$5),((ABS(H71)/MAX(((G33)+(I33)*(MAX($D$16,(L71)-(K33))))*(MAX($D$16,(L71)-(K33))),0.000001))^2)/(2*$I$5))))-((ABS(H71)/MAX(((F33)+(H33)*(MAX($D$16,(D71)-(J33))))*(MAX($D$16,(D71)-(J33))),0.000001))^2)/(2*$I$5)</f>
        <v>634.3119999999999</v>
      </c>
      <c r="R71">
        <f>D71+((ABS(G71)/MAX(((F32)+(H32)*(MAX($D$16,(D71)-(J32))))*(MAX($D$16,(D71)-(J32))),0.000001))^2)/(2*$I$5)-((E32)*((((ABS(G71)*$D$6)/(MAX(((F32)+(H32)*(MAX($D$16,(D71)-(J32))))*(MAX($D$16,(D71)-(J32))),0.000001)*MAX(((((F32)+(H32)*(MAX($D$16,(D71)-(J32))))*(MAX($D$16,(D71)-(J32))))/MAX((F32)+2*(MAX($D$16,(D71)-(J32)))*SQRT(1+(H32)^2),0.000001))^(2/3),0.000001)))^2)+(((ABS(G71)*$D$6)/(MAX(((G32)+(I32)*(MAX($D$16,(E71)-(K32))))*(MAX($D$16,(E71)-(K32))),0.000001)*MAX(((((G32)+(I32)*(MAX($D$16,(E71)-(K32))))*(MAX($D$16,(E71)-(K32))))/MAX((G32)+2*(MAX($D$16,(E71)-(K32)))*SQRT(1+(I32)^2),0.000001))^(2/3),0.000001)))^2))/2)+(IF((ABS(G71)/MAX(((G32)+(I32)*(MAX($D$16,(E71)-(K32))))*(MAX($D$16,(E71)-(K32))),0.000001))&gt;(ABS(G71)/MAX(((F32)+(H32)*(MAX($D$16,(D71)-(J32))))*(MAX($D$16,(D71)-(J32))),0.000001)),$D$9*((((ABS(G71)/MAX(((G32)+(I32)*(MAX($D$16,(E71)-(K32))))*(MAX($D$16,(E71)-(K32))),0.000001))^2)/(2*$I$5))-(((ABS(G71)/MAX(((F32)+(H32)*(MAX($D$16,(D71)-(J32))))*(MAX($D$16,(D71)-(J32))),0.000001))^2)/(2*$I$5))),$D$8*((((ABS(G71)/MAX(((F32)+(H32)*(MAX($D$16,(D71)-(J32))))*(MAX($D$16,(D71)-(J32))),0.000001))^2)/(2*$I$5))-(((ABS(G71)/MAX(((G32)+(I32)*(MAX($D$16,(E71)-(K32))))*(MAX($D$16,(E71)-(K32))),0.000001))^2)/(2*$I$5)))))+($D$10*(ABS((X32)-(W32))/90)*MAX(((ABS(G71)/MAX(((F32)+(H32)*(MAX($D$16,(D71)-(J32))))*(MAX($D$16,(D71)-(J32))),0.000001))^2)/(2*$I$5),((ABS(G71)/MAX(((G32)+(I32)*(MAX($D$16,(E71)-(K32))))*(MAX($D$16,(E71)-(K32))),0.000001))^2)/(2*$I$5)))+(($D$11*0.13607488*(ABS(H71)/MAX(ABS(F71),0.000001))^2*MAX(((ABS(G71)/MAX(((F32)+(H32)*(MAX($D$16,(D71)-(J32))))*(MAX($D$16,(D71)-(J32))),0.000001))^2)/(2*$I$5),((ABS(G71)/MAX(((G32)+(I32)*(MAX($D$16,(E71)-(K32))))*(MAX($D$16,(E71)-(K32))),0.000001))^2)/(2*$I$5))))-((ABS(G71)/MAX(((G32)+(I32)*(MAX($D$16,(E71)-(K32))))*(MAX($D$16,(E71)-(K32))),0.000001))^2)/(2*$I$5)</f>
        <v>52432.14183765807</v>
      </c>
      <c r="S71">
        <f>M71+((ABS(I71)/MAX(((G34)+(I34)*(MAX($D$16,(M71)-(K34))))*(MAX($D$16,(M71)-(K34))),0.000001))^2)/(2*$I$5)+((E34)*((((ABS(I71)*$D$6)/(MAX(((F34)+(H34)*(MAX($D$16,(E71)-(J34))))*(MAX($D$16,(E71)-(J34))),0.000001)*MAX(((((F34)+(H34)*(MAX($D$16,(E71)-(J34))))*(MAX($D$16,(E71)-(J34))))/MAX((F34)+2*(MAX($D$16,(E71)-(J34)))*SQRT(1+(H34)^2),0.000001))^(2/3),0.000001)))^2)+(((ABS(I71)*$D$6)/(MAX(((G34)+(I34)*(MAX($D$16,(M71)-(K34))))*(MAX($D$16,(M71)-(K34))),0.000001)*MAX(((((G34)+(I34)*(MAX($D$16,(M71)-(K34))))*(MAX($D$16,(M71)-(K34))))/MAX((G34)+2*(MAX($D$16,(M71)-(K34)))*SQRT(1+(I34)^2),0.000001))^(2/3),0.000001)))^2))/2)+(IF((ABS(I71)/MAX(((G34)+(I34)*(MAX($D$16,(M71)-(K34))))*(MAX($D$16,(M71)-(K34))),0.000001))&gt;(ABS(I71)/MAX(((F34)+(H34)*(MAX($D$16,(E71)-(J34))))*(MAX($D$16,(E71)-(J34))),0.000001)),$D$9*((((ABS(I71)/MAX(((G34)+(I34)*(MAX($D$16,(M71)-(K34))))*(MAX($D$16,(M71)-(K34))),0.000001))^2)/(2*$I$5))-(((ABS(I71)/MAX(((F34)+(H34)*(MAX($D$16,(E71)-(J34))))*(MAX($D$16,(E71)-(J34))),0.000001))^2)/(2*$I$5))),$D$8*((((ABS(I71)/MAX(((F34)+(H34)*(MAX($D$16,(E71)-(J34))))*(MAX($D$16,(E71)-(J34))),0.000001))^2)/(2*$I$5))-(((ABS(I71)/MAX(((G34)+(I34)*(MAX($D$16,(M71)-(K34))))*(MAX($D$16,(M71)-(K34))),0.000001))^2)/(2*$I$5)))))+($D$10*(ABS((X34)-(W34))/90)*MAX(((ABS(I71)/MAX(((F34)+(H34)*(MAX($D$16,(E71)-(J34))))*(MAX($D$16,(E71)-(J34))),0.000001))^2)/(2*$I$5),((ABS(I71)/MAX(((G34)+(I34)*(MAX($D$16,(M71)-(K34))))*(MAX($D$16,(M71)-(K34))),0.000001))^2)/(2*$I$5)))+(0)-((ABS(I71)/MAX(((F34)+(H34)*(MAX($D$16,(E71)-(J34))))*(MAX($D$16,(E71)-(J34))),0.000001))^2)/(2*$I$5)</f>
        <v>635.5</v>
      </c>
      <c r="T71">
        <f>N71+((ABS(J71)/MAX(((G35)+(I35)*(MAX($D$16,(N71)-(K35))))*(MAX($D$16,(N71)-(K35))),0.000001))^2)/(2*$I$5)+((E35)*((((ABS(J71)*$D$6)/(MAX(((F35)+(H35)*(MAX($D$16,(E71)-(J35))))*(MAX($D$16,(E71)-(J35))),0.000001)*MAX(((((F35)+(H35)*(MAX($D$16,(E71)-(J35))))*(MAX($D$16,(E71)-(J35))))/MAX((F35)+2*(MAX($D$16,(E71)-(J35)))*SQRT(1+(H35)^2),0.000001))^(2/3),0.000001)))^2)+(((ABS(J71)*$D$6)/(MAX(((G35)+(I35)*(MAX($D$16,(N71)-(K35))))*(MAX($D$16,(N71)-(K35))),0.000001)*MAX(((((G35)+(I35)*(MAX($D$16,(N71)-(K35))))*(MAX($D$16,(N71)-(K35))))/MAX((G35)+2*(MAX($D$16,(N71)-(K35)))*SQRT(1+(I35)^2),0.000001))^(2/3),0.000001)))^2))/2)+(IF((ABS(J71)/MAX(((G35)+(I35)*(MAX($D$16,(N71)-(K35))))*(MAX($D$16,(N71)-(K35))),0.000001))&gt;(ABS(J71)/MAX(((F35)+(H35)*(MAX($D$16,(E71)-(J35))))*(MAX($D$16,(E71)-(J35))),0.000001)),$D$9*((((ABS(J71)/MAX(((G35)+(I35)*(MAX($D$16,(N71)-(K35))))*(MAX($D$16,(N71)-(K35))),0.000001))^2)/(2*$I$5))-(((ABS(J71)/MAX(((F35)+(H35)*(MAX($D$16,(E71)-(J35))))*(MAX($D$16,(E71)-(J35))),0.000001))^2)/(2*$I$5))),$D$8*((((ABS(J71)/MAX(((F35)+(H35)*(MAX($D$16,(E71)-(J35))))*(MAX($D$16,(E71)-(J35))),0.000001))^2)/(2*$I$5))-(((ABS(J71)/MAX(((G35)+(I35)*(MAX($D$16,(N71)-(K35))))*(MAX($D$16,(N71)-(K35))),0.000001))^2)/(2*$I$5)))))+($D$10*(ABS((X35)-(W35))/90)*MAX(((ABS(J71)/MAX(((F35)+(H35)*(MAX($D$16,(E71)-(J35))))*(MAX($D$16,(E71)-(J35))),0.000001))^2)/(2*$I$5),((ABS(J71)/MAX(((G35)+(I35)*(MAX($D$16,(N71)-(K35))))*(MAX($D$16,(N71)-(K35))),0.000001))^2)/(2*$I$5)))+(($D$11*0.34699541*(ABS(I71)/MAX(ABS(G71),0.000001))^2*MAX(((ABS(J71)/MAX(((F35)+(H35)*(MAX($D$16,(E71)-(J35))))*(MAX($D$16,(E71)-(J35))),0.000001))^2)/(2*$I$5),((ABS(J71)/MAX(((G35)+(I35)*(MAX($D$16,(N71)-(K35))))*(MAX($D$16,(N71)-(K35))),0.000001))^2)/(2*$I$5))))-((ABS(J71)/MAX(((F35)+(H35)*(MAX($D$16,(E71)-(J35))))*(MAX($D$16,(E71)-(J35))),0.000001))^2)/(2*$I$5)</f>
        <v>20784.033523923383</v>
      </c>
      <c r="U71">
        <f>(((((F32)*(MAX($D$16,(D71)-(J32)))^2)/2+(H32)*(MAX($D$16,(D71)-(J32)))^3/3+(ABS(G71)^2)/($I$5*MAX(((F32)+(H32)*(MAX($D$16,(D71)-(J32))))*(MAX($D$16,(D71)-(J32))),0.000001)))*0.72785025)-((((F33)*(MAX($D$16,(D71)-(J33)))^2)/2+(H33)*(MAX($D$16,(D71)-(J33)))^3/3+(ABS(H71)^2)/($I$5*MAX(((F33)+(H33)*(MAX($D$16,(D71)-(J33))))*(MAX($D$16,(D71)-(J33))),0.000001)))*0.99999971))/MAX(((G31)*(MAX($D$16,(D71)-(K31)))^2)/2+(I31)*(MAX($D$16,(D71)-(K31)))^3/3+(ABS(F71)^2)/($I$5*MAX(((G31)+(I31)*(MAX($D$16,(D71)-(K31))))*(MAX($D$16,(D71)-(K31))),0.000001)),0.000001)</f>
        <v>-0.2721494599999113</v>
      </c>
      <c r="V71">
        <f>(((((F34)*(MAX($D$16,(E71)-(J34)))^2)/2+(H34)*(MAX($D$16,(E71)-(J34)))^3/3+(ABS(I71)^2)/($I$5*MAX(((F34)+(H34)*(MAX($D$16,(E71)-(J34))))*(MAX($D$16,(E71)-(J34))),0.000001)))*1)-((((F35)*(MAX($D$16,(E71)-(J35)))^2)/2+(H35)*(MAX($D$16,(E71)-(J35)))^3/3+(ABS(J71)^2)/($I$5*MAX(((F35)+(H35)*(MAX($D$16,(E71)-(J35))))*(MAX($D$16,(E71)-(J35))),0.000001)))*0.30600918))/MAX(((G32)*(MAX($D$16,(E71)-(K32)))^2)/2+(I32)*(MAX($D$16,(E71)-(K32)))^3/3+(ABS(G71)^2)/($I$5*MAX(((G32)+(I32)*(MAX($D$16,(E71)-(K32))))*(MAX($D$16,(E71)-(K32))),0.000001)),0.000001)</f>
        <v>0.69398638937190393</v>
      </c>
      <c r="W71">
        <f>IF(N6="None",ABS(P71-D71),MAX(ABS(P71-D71),ABS(Q71-D71)))</f>
        <v>4.2928149923682213E-10</v>
      </c>
      <c r="X71">
        <f>IF(AND(N7="None",N8="None"),0,IF(N8="None",ABS(S71-E71),IF(N7="None",ABS(T71-E71),MAX(ABS(S71-E71),ABS(T71-E71)))))</f>
        <v>51796.641837656956</v>
      </c>
      <c r="AA71">
        <f t="shared" si="3"/>
        <v>52432.141837657786</v>
      </c>
      <c r="AB71">
        <f t="shared" si="4"/>
        <v>41355.303927850204</v>
      </c>
      <c r="AC71">
        <f>IF(N6="None",P71,MAX(P71,Q71))</f>
        <v>52432.141837657509</v>
      </c>
      <c r="AD71">
        <f>IF(AND(N7="None",N8="None"),E71,IF(N8="None",S71,IF(N7="None",T71,MAX(S71,T71))))</f>
        <v>20784.033523923383</v>
      </c>
      <c r="AE71">
        <f t="shared" si="5"/>
        <v>637.65825101089831</v>
      </c>
      <c r="AF71">
        <f t="shared" si="6"/>
        <v>52432.14183765807</v>
      </c>
      <c r="AG71">
        <f>((G31)*(MAX($D$16,(AC71)-(K31)))^2)/2+(I31)*(MAX($D$16,(AC71)-(K31)))^3/3+(ABS(F71)^2)/($I$5*MAX(((G31)+(I31)*(MAX($D$16,(AC71)-(K31))))*(MAX($D$16,(AC71)-(K31))),0.000001))</f>
        <v>8797611517.4101105</v>
      </c>
      <c r="AH71">
        <f>((G31)*(MAX($D$16,(AE71)-(K31)))^2)/2+(I31)*(MAX($D$16,(AE71)-(K31)))^3/3+(ABS(F71)^2)/($I$5*MAX(((G31)+(I31)*(MAX($D$16,(AE71)-(K31))))*(MAX($D$16,(AE71)-(K31))),0.000001))</f>
        <v>49.055863329575246</v>
      </c>
      <c r="AI71">
        <f>((G32)*(MAX($D$16,(AD71)-(K32)))^2)/2+(I32)*(MAX($D$16,(AD71)-(K32)))^3/3+(ABS(G71)^2)/($I$5*MAX(((G32)+(I32)*(MAX($D$16,(AD71)-(K32))))*(MAX($D$16,(AD71)-(K32))),0.000001))</f>
        <v>2072376743.6648321</v>
      </c>
      <c r="AJ71">
        <f>((G32)*(MAX($D$16,(AF71)-(K32)))^2)/2+(I32)*(MAX($D$16,(AF71)-(K32)))^3/3+(ABS(G71)^2)/($I$5*MAX(((G32)+(I32)*(MAX($D$16,(AF71)-(K32))))*(MAX($D$16,(AF71)-(K32))),0.000001))</f>
        <v>13692714789.64201</v>
      </c>
      <c r="AK71" t="str">
        <f t="shared" si="7"/>
        <v>Subcritical</v>
      </c>
      <c r="AL71" t="str">
        <f t="shared" si="8"/>
        <v>Supercritical</v>
      </c>
      <c r="AM71">
        <f t="shared" si="9"/>
        <v>52432.141837657786</v>
      </c>
      <c r="AN71">
        <f t="shared" si="10"/>
        <v>52432.141837657349</v>
      </c>
      <c r="AO71">
        <f t="shared" si="11"/>
        <v>4.2928149923682213E-10</v>
      </c>
      <c r="AP71">
        <f t="shared" si="12"/>
        <v>1.1132215149700642E-9</v>
      </c>
    </row>
    <row r="72" spans="1:42" x14ac:dyDescent="0.35">
      <c r="A72">
        <v>29</v>
      </c>
      <c r="B72">
        <f t="shared" si="13"/>
        <v>0</v>
      </c>
      <c r="C72">
        <f t="shared" si="14"/>
        <v>0</v>
      </c>
      <c r="D72">
        <f t="shared" si="15"/>
        <v>52432.141837657786</v>
      </c>
      <c r="E72">
        <f t="shared" si="16"/>
        <v>52432.141837657349</v>
      </c>
      <c r="F72">
        <f t="shared" si="2"/>
        <v>51</v>
      </c>
      <c r="G72">
        <f>IF(N6="None",F72,MAX(0,F72*B72))</f>
        <v>51</v>
      </c>
      <c r="H72">
        <f>IF(N6="None",0,MAX(0,F72-G72))</f>
        <v>0</v>
      </c>
      <c r="I72">
        <f>IF(AND(N7="None",N8="None"),0,IF(N8="None",G72,IF(N7="None",0,MAX(0,G72*C72))))</f>
        <v>0</v>
      </c>
      <c r="J72">
        <f>IF(AND(N7="None",N8="None"),0,IF(N8="None",0,IF(N7="None",G72,MAX(0,G72-I72))))</f>
        <v>51</v>
      </c>
      <c r="K72">
        <f>P5</f>
        <v>637</v>
      </c>
      <c r="L72">
        <f>P6</f>
        <v>634.3119999999999</v>
      </c>
      <c r="M72">
        <f>P7</f>
        <v>635.5</v>
      </c>
      <c r="N72">
        <f>P8</f>
        <v>631.54999999999995</v>
      </c>
      <c r="O72">
        <f>K72+((ABS(F72)/MAX(((F31)+(H31)*(MAX($D$16,(K72)-(J31))))*(MAX($D$16,(K72)-(J31))),0.000001))^2)/(2*$I$5)-((E31)*((((ABS(F72)*$D$6)/(MAX(((F31)+(H31)*(MAX($D$16,(K72)-(J31))))*(MAX($D$16,(K72)-(J31))),0.000001)*MAX(((((F31)+(H31)*(MAX($D$16,(K72)-(J31))))*(MAX($D$16,(K72)-(J31))))/MAX((F31)+2*(MAX($D$16,(K72)-(J31)))*SQRT(1+(H31)^2),0.000001))^(2/3),0.000001)))^2)+(((ABS(F72)*$D$6)/(MAX(((G31)+(I31)*(MAX($D$16,(D72)-(K31))))*(MAX($D$16,(D72)-(K31))),0.000001)*MAX(((((G31)+(I31)*(MAX($D$16,(D72)-(K31))))*(MAX($D$16,(D72)-(K31))))/MAX((G31)+2*(MAX($D$16,(D72)-(K31)))*SQRT(1+(I31)^2),0.000001))^(2/3),0.000001)))^2))/2)+(IF((ABS(F72)/MAX(((G31)+(I31)*(MAX($D$16,(D72)-(K31))))*(MAX($D$16,(D72)-(K31))),0.000001))&gt;(ABS(F72)/MAX(((F31)+(H31)*(MAX($D$16,(K72)-(J31))))*(MAX($D$16,(K72)-(J31))),0.000001)),$D$9*((((ABS(F72)/MAX(((G31)+(I31)*(MAX($D$16,(D72)-(K31))))*(MAX($D$16,(D72)-(K31))),0.000001))^2)/(2*$I$5))-(((ABS(F72)/MAX(((F31)+(H31)*(MAX($D$16,(K72)-(J31))))*(MAX($D$16,(K72)-(J31))),0.000001))^2)/(2*$I$5))),$D$8*((((ABS(F72)/MAX(((F31)+(H31)*(MAX($D$16,(K72)-(J31))))*(MAX($D$16,(K72)-(J31))),0.000001))^2)/(2*$I$5))-(((ABS(F72)/MAX(((G31)+(I31)*(MAX($D$16,(D72)-(K31))))*(MAX($D$16,(D72)-(K31))),0.000001))^2)/(2*$I$5)))))+($D$10*(ABS((X31)-(W31))/90)*MAX(((ABS(F72)/MAX(((F31)+(H31)*(MAX($D$16,(K72)-(J31))))*(MAX($D$16,(K72)-(J31))),0.000001))^2)/(2*$I$5),((ABS(F72)/MAX(((G31)+(I31)*(MAX($D$16,(D72)-(K31))))*(MAX($D$16,(D72)-(K31))),0.000001))^2)/(2*$I$5)))+(0)-((ABS(F72)/MAX(((G31)+(I31)*(MAX($D$16,(D72)-(K31))))*(MAX($D$16,(D72)-(K31))),0.000001))^2)/(2*$I$5)</f>
        <v>637.65825101089831</v>
      </c>
      <c r="P72">
        <f>E72+((ABS(G72)/MAX(((G32)+(I32)*(MAX($D$16,(E72)-(K32))))*(MAX($D$16,(E72)-(K32))),0.000001))^2)/(2*$I$5)+((E32)*((((ABS(G72)*$D$6)/(MAX(((F32)+(H32)*(MAX($D$16,(D72)-(J32))))*(MAX($D$16,(D72)-(J32))),0.000001)*MAX(((((F32)+(H32)*(MAX($D$16,(D72)-(J32))))*(MAX($D$16,(D72)-(J32))))/MAX((F32)+2*(MAX($D$16,(D72)-(J32)))*SQRT(1+(H32)^2),0.000001))^(2/3),0.000001)))^2)+(((ABS(G72)*$D$6)/(MAX(((G32)+(I32)*(MAX($D$16,(E72)-(K32))))*(MAX($D$16,(E72)-(K32))),0.000001)*MAX(((((G32)+(I32)*(MAX($D$16,(E72)-(K32))))*(MAX($D$16,(E72)-(K32))))/MAX((G32)+2*(MAX($D$16,(E72)-(K32)))*SQRT(1+(I32)^2),0.000001))^(2/3),0.000001)))^2))/2)+(IF((ABS(G72)/MAX(((G32)+(I32)*(MAX($D$16,(E72)-(K32))))*(MAX($D$16,(E72)-(K32))),0.000001))&gt;(ABS(G72)/MAX(((F32)+(H32)*(MAX($D$16,(D72)-(J32))))*(MAX($D$16,(D72)-(J32))),0.000001)),$D$9*((((ABS(G72)/MAX(((G32)+(I32)*(MAX($D$16,(E72)-(K32))))*(MAX($D$16,(E72)-(K32))),0.000001))^2)/(2*$I$5))-(((ABS(G72)/MAX(((F32)+(H32)*(MAX($D$16,(D72)-(J32))))*(MAX($D$16,(D72)-(J32))),0.000001))^2)/(2*$I$5))),$D$8*((((ABS(G72)/MAX(((F32)+(H32)*(MAX($D$16,(D72)-(J32))))*(MAX($D$16,(D72)-(J32))),0.000001))^2)/(2*$I$5))-(((ABS(G72)/MAX(((G32)+(I32)*(MAX($D$16,(E72)-(K32))))*(MAX($D$16,(E72)-(K32))),0.000001))^2)/(2*$I$5)))))+($D$10*(ABS((X32)-(W32))/90)*MAX(((ABS(G72)/MAX(((F32)+(H32)*(MAX($D$16,(D72)-(J32))))*(MAX($D$16,(D72)-(J32))),0.000001))^2)/(2*$I$5),((ABS(G72)/MAX(((G32)+(I32)*(MAX($D$16,(E72)-(K32))))*(MAX($D$16,(E72)-(K32))),0.000001))^2)/(2*$I$5)))+(($D$11*0.13607488*(ABS(H72)/MAX(ABS(F72),0.000001))^2*MAX(((ABS(G72)/MAX(((F32)+(H32)*(MAX($D$16,(D72)-(J32))))*(MAX($D$16,(D72)-(J32))),0.000001))^2)/(2*$I$5),((ABS(G72)/MAX(((G32)+(I32)*(MAX($D$16,(E72)-(K32))))*(MAX($D$16,(E72)-(K32))),0.000001))^2)/(2*$I$5))))-((ABS(G72)/MAX(((F32)+(H32)*(MAX($D$16,(D72)-(J32))))*(MAX($D$16,(D72)-(J32))),0.000001))^2)/(2*$I$5)</f>
        <v>52432.141837657902</v>
      </c>
      <c r="Q72">
        <f>L72+((ABS(H72)/MAX(((G33)+(I33)*(MAX($D$16,(L72)-(K33))))*(MAX($D$16,(L72)-(K33))),0.000001))^2)/(2*$I$5)+((E33)*((((ABS(H72)*$D$6)/(MAX(((F33)+(H33)*(MAX($D$16,(D72)-(J33))))*(MAX($D$16,(D72)-(J33))),0.000001)*MAX(((((F33)+(H33)*(MAX($D$16,(D72)-(J33))))*(MAX($D$16,(D72)-(J33))))/MAX((F33)+2*(MAX($D$16,(D72)-(J33)))*SQRT(1+(H33)^2),0.000001))^(2/3),0.000001)))^2)+(((ABS(H72)*$D$6)/(MAX(((G33)+(I33)*(MAX($D$16,(L72)-(K33))))*(MAX($D$16,(L72)-(K33))),0.000001)*MAX(((((G33)+(I33)*(MAX($D$16,(L72)-(K33))))*(MAX($D$16,(L72)-(K33))))/MAX((G33)+2*(MAX($D$16,(L72)-(K33)))*SQRT(1+(I33)^2),0.000001))^(2/3),0.000001)))^2))/2)+(IF((ABS(H72)/MAX(((G33)+(I33)*(MAX($D$16,(L72)-(K33))))*(MAX($D$16,(L72)-(K33))),0.000001))&gt;(ABS(H72)/MAX(((F33)+(H33)*(MAX($D$16,(D72)-(J33))))*(MAX($D$16,(D72)-(J33))),0.000001)),$D$9*((((ABS(H72)/MAX(((G33)+(I33)*(MAX($D$16,(L72)-(K33))))*(MAX($D$16,(L72)-(K33))),0.000001))^2)/(2*$I$5))-(((ABS(H72)/MAX(((F33)+(H33)*(MAX($D$16,(D72)-(J33))))*(MAX($D$16,(D72)-(J33))),0.000001))^2)/(2*$I$5))),$D$8*((((ABS(H72)/MAX(((F33)+(H33)*(MAX($D$16,(D72)-(J33))))*(MAX($D$16,(D72)-(J33))),0.000001))^2)/(2*$I$5))-(((ABS(H72)/MAX(((G33)+(I33)*(MAX($D$16,(L72)-(K33))))*(MAX($D$16,(L72)-(K33))),0.000001))^2)/(2*$I$5)))))+($D$10*(ABS((X33)-(W33))/90)*MAX(((ABS(H72)/MAX(((F33)+(H33)*(MAX($D$16,(D72)-(J33))))*(MAX($D$16,(D72)-(J33))),0.000001))^2)/(2*$I$5),((ABS(H72)/MAX(((G33)+(I33)*(MAX($D$16,(L72)-(K33))))*(MAX($D$16,(L72)-(K33))),0.000001))^2)/(2*$I$5)))+(($D$11*0.00000015*(ABS(G72)/MAX(ABS(F72),0.000001))^2*MAX(((ABS(H72)/MAX(((F33)+(H33)*(MAX($D$16,(D72)-(J33))))*(MAX($D$16,(D72)-(J33))),0.000001))^2)/(2*$I$5),((ABS(H72)/MAX(((G33)+(I33)*(MAX($D$16,(L72)-(K33))))*(MAX($D$16,(L72)-(K33))),0.000001))^2)/(2*$I$5))))-((ABS(H72)/MAX(((F33)+(H33)*(MAX($D$16,(D72)-(J33))))*(MAX($D$16,(D72)-(J33))),0.000001))^2)/(2*$I$5)</f>
        <v>634.3119999999999</v>
      </c>
      <c r="R72">
        <f>D72+((ABS(G72)/MAX(((F32)+(H32)*(MAX($D$16,(D72)-(J32))))*(MAX($D$16,(D72)-(J32))),0.000001))^2)/(2*$I$5)-((E32)*((((ABS(G72)*$D$6)/(MAX(((F32)+(H32)*(MAX($D$16,(D72)-(J32))))*(MAX($D$16,(D72)-(J32))),0.000001)*MAX(((((F32)+(H32)*(MAX($D$16,(D72)-(J32))))*(MAX($D$16,(D72)-(J32))))/MAX((F32)+2*(MAX($D$16,(D72)-(J32)))*SQRT(1+(H32)^2),0.000001))^(2/3),0.000001)))^2)+(((ABS(G72)*$D$6)/(MAX(((G32)+(I32)*(MAX($D$16,(E72)-(K32))))*(MAX($D$16,(E72)-(K32))),0.000001)*MAX(((((G32)+(I32)*(MAX($D$16,(E72)-(K32))))*(MAX($D$16,(E72)-(K32))))/MAX((G32)+2*(MAX($D$16,(E72)-(K32)))*SQRT(1+(I32)^2),0.000001))^(2/3),0.000001)))^2))/2)+(IF((ABS(G72)/MAX(((G32)+(I32)*(MAX($D$16,(E72)-(K32))))*(MAX($D$16,(E72)-(K32))),0.000001))&gt;(ABS(G72)/MAX(((F32)+(H32)*(MAX($D$16,(D72)-(J32))))*(MAX($D$16,(D72)-(J32))),0.000001)),$D$9*((((ABS(G72)/MAX(((G32)+(I32)*(MAX($D$16,(E72)-(K32))))*(MAX($D$16,(E72)-(K32))),0.000001))^2)/(2*$I$5))-(((ABS(G72)/MAX(((F32)+(H32)*(MAX($D$16,(D72)-(J32))))*(MAX($D$16,(D72)-(J32))),0.000001))^2)/(2*$I$5))),$D$8*((((ABS(G72)/MAX(((F32)+(H32)*(MAX($D$16,(D72)-(J32))))*(MAX($D$16,(D72)-(J32))),0.000001))^2)/(2*$I$5))-(((ABS(G72)/MAX(((G32)+(I32)*(MAX($D$16,(E72)-(K32))))*(MAX($D$16,(E72)-(K32))),0.000001))^2)/(2*$I$5)))))+($D$10*(ABS((X32)-(W32))/90)*MAX(((ABS(G72)/MAX(((F32)+(H32)*(MAX($D$16,(D72)-(J32))))*(MAX($D$16,(D72)-(J32))),0.000001))^2)/(2*$I$5),((ABS(G72)/MAX(((G32)+(I32)*(MAX($D$16,(E72)-(K32))))*(MAX($D$16,(E72)-(K32))),0.000001))^2)/(2*$I$5)))+(($D$11*0.13607488*(ABS(H72)/MAX(ABS(F72),0.000001))^2*MAX(((ABS(G72)/MAX(((F32)+(H32)*(MAX($D$16,(D72)-(J32))))*(MAX($D$16,(D72)-(J32))),0.000001))^2)/(2*$I$5),((ABS(G72)/MAX(((G32)+(I32)*(MAX($D$16,(E72)-(K32))))*(MAX($D$16,(E72)-(K32))),0.000001))^2)/(2*$I$5))))-((ABS(G72)/MAX(((G32)+(I32)*(MAX($D$16,(E72)-(K32))))*(MAX($D$16,(E72)-(K32))),0.000001))^2)/(2*$I$5)</f>
        <v>52432.141837657917</v>
      </c>
      <c r="S72">
        <f>M72+((ABS(I72)/MAX(((G34)+(I34)*(MAX($D$16,(M72)-(K34))))*(MAX($D$16,(M72)-(K34))),0.000001))^2)/(2*$I$5)+((E34)*((((ABS(I72)*$D$6)/(MAX(((F34)+(H34)*(MAX($D$16,(E72)-(J34))))*(MAX($D$16,(E72)-(J34))),0.000001)*MAX(((((F34)+(H34)*(MAX($D$16,(E72)-(J34))))*(MAX($D$16,(E72)-(J34))))/MAX((F34)+2*(MAX($D$16,(E72)-(J34)))*SQRT(1+(H34)^2),0.000001))^(2/3),0.000001)))^2)+(((ABS(I72)*$D$6)/(MAX(((G34)+(I34)*(MAX($D$16,(M72)-(K34))))*(MAX($D$16,(M72)-(K34))),0.000001)*MAX(((((G34)+(I34)*(MAX($D$16,(M72)-(K34))))*(MAX($D$16,(M72)-(K34))))/MAX((G34)+2*(MAX($D$16,(M72)-(K34)))*SQRT(1+(I34)^2),0.000001))^(2/3),0.000001)))^2))/2)+(IF((ABS(I72)/MAX(((G34)+(I34)*(MAX($D$16,(M72)-(K34))))*(MAX($D$16,(M72)-(K34))),0.000001))&gt;(ABS(I72)/MAX(((F34)+(H34)*(MAX($D$16,(E72)-(J34))))*(MAX($D$16,(E72)-(J34))),0.000001)),$D$9*((((ABS(I72)/MAX(((G34)+(I34)*(MAX($D$16,(M72)-(K34))))*(MAX($D$16,(M72)-(K34))),0.000001))^2)/(2*$I$5))-(((ABS(I72)/MAX(((F34)+(H34)*(MAX($D$16,(E72)-(J34))))*(MAX($D$16,(E72)-(J34))),0.000001))^2)/(2*$I$5))),$D$8*((((ABS(I72)/MAX(((F34)+(H34)*(MAX($D$16,(E72)-(J34))))*(MAX($D$16,(E72)-(J34))),0.000001))^2)/(2*$I$5))-(((ABS(I72)/MAX(((G34)+(I34)*(MAX($D$16,(M72)-(K34))))*(MAX($D$16,(M72)-(K34))),0.000001))^2)/(2*$I$5)))))+($D$10*(ABS((X34)-(W34))/90)*MAX(((ABS(I72)/MAX(((F34)+(H34)*(MAX($D$16,(E72)-(J34))))*(MAX($D$16,(E72)-(J34))),0.000001))^2)/(2*$I$5),((ABS(I72)/MAX(((G34)+(I34)*(MAX($D$16,(M72)-(K34))))*(MAX($D$16,(M72)-(K34))),0.000001))^2)/(2*$I$5)))+(0)-((ABS(I72)/MAX(((F34)+(H34)*(MAX($D$16,(E72)-(J34))))*(MAX($D$16,(E72)-(J34))),0.000001))^2)/(2*$I$5)</f>
        <v>635.5</v>
      </c>
      <c r="T72">
        <f>N72+((ABS(J72)/MAX(((G35)+(I35)*(MAX($D$16,(N72)-(K35))))*(MAX($D$16,(N72)-(K35))),0.000001))^2)/(2*$I$5)+((E35)*((((ABS(J72)*$D$6)/(MAX(((F35)+(H35)*(MAX($D$16,(E72)-(J35))))*(MAX($D$16,(E72)-(J35))),0.000001)*MAX(((((F35)+(H35)*(MAX($D$16,(E72)-(J35))))*(MAX($D$16,(E72)-(J35))))/MAX((F35)+2*(MAX($D$16,(E72)-(J35)))*SQRT(1+(H35)^2),0.000001))^(2/3),0.000001)))^2)+(((ABS(J72)*$D$6)/(MAX(((G35)+(I35)*(MAX($D$16,(N72)-(K35))))*(MAX($D$16,(N72)-(K35))),0.000001)*MAX(((((G35)+(I35)*(MAX($D$16,(N72)-(K35))))*(MAX($D$16,(N72)-(K35))))/MAX((G35)+2*(MAX($D$16,(N72)-(K35)))*SQRT(1+(I35)^2),0.000001))^(2/3),0.000001)))^2))/2)+(IF((ABS(J72)/MAX(((G35)+(I35)*(MAX($D$16,(N72)-(K35))))*(MAX($D$16,(N72)-(K35))),0.000001))&gt;(ABS(J72)/MAX(((F35)+(H35)*(MAX($D$16,(E72)-(J35))))*(MAX($D$16,(E72)-(J35))),0.000001)),$D$9*((((ABS(J72)/MAX(((G35)+(I35)*(MAX($D$16,(N72)-(K35))))*(MAX($D$16,(N72)-(K35))),0.000001))^2)/(2*$I$5))-(((ABS(J72)/MAX(((F35)+(H35)*(MAX($D$16,(E72)-(J35))))*(MAX($D$16,(E72)-(J35))),0.000001))^2)/(2*$I$5))),$D$8*((((ABS(J72)/MAX(((F35)+(H35)*(MAX($D$16,(E72)-(J35))))*(MAX($D$16,(E72)-(J35))),0.000001))^2)/(2*$I$5))-(((ABS(J72)/MAX(((G35)+(I35)*(MAX($D$16,(N72)-(K35))))*(MAX($D$16,(N72)-(K35))),0.000001))^2)/(2*$I$5)))))+($D$10*(ABS((X35)-(W35))/90)*MAX(((ABS(J72)/MAX(((F35)+(H35)*(MAX($D$16,(E72)-(J35))))*(MAX($D$16,(E72)-(J35))),0.000001))^2)/(2*$I$5),((ABS(J72)/MAX(((G35)+(I35)*(MAX($D$16,(N72)-(K35))))*(MAX($D$16,(N72)-(K35))),0.000001))^2)/(2*$I$5)))+(($D$11*0.34699541*(ABS(I72)/MAX(ABS(G72),0.000001))^2*MAX(((ABS(J72)/MAX(((F35)+(H35)*(MAX($D$16,(E72)-(J35))))*(MAX($D$16,(E72)-(J35))),0.000001))^2)/(2*$I$5),((ABS(J72)/MAX(((G35)+(I35)*(MAX($D$16,(N72)-(K35))))*(MAX($D$16,(N72)-(K35))),0.000001))^2)/(2*$I$5))))-((ABS(J72)/MAX(((F35)+(H35)*(MAX($D$16,(E72)-(J35))))*(MAX($D$16,(E72)-(J35))),0.000001))^2)/(2*$I$5)</f>
        <v>20784.033523923383</v>
      </c>
      <c r="U72">
        <f>(((((F32)*(MAX($D$16,(D72)-(J32)))^2)/2+(H32)*(MAX($D$16,(D72)-(J32)))^3/3+(ABS(G72)^2)/($I$5*MAX(((F32)+(H32)*(MAX($D$16,(D72)-(J32))))*(MAX($D$16,(D72)-(J32))),0.000001)))*0.72785025)-((((F33)*(MAX($D$16,(D72)-(J33)))^2)/2+(H33)*(MAX($D$16,(D72)-(J33)))^3/3+(ABS(H72)^2)/($I$5*MAX(((F33)+(H33)*(MAX($D$16,(D72)-(J33))))*(MAX($D$16,(D72)-(J33))),0.000001)))*0.99999971))/MAX(((G31)*(MAX($D$16,(D72)-(K31)))^2)/2+(I31)*(MAX($D$16,(D72)-(K31)))^3/3+(ABS(F72)^2)/($I$5*MAX(((G31)+(I31)*(MAX($D$16,(D72)-(K31))))*(MAX($D$16,(D72)-(K31))),0.000001)),0.000001)</f>
        <v>-0.27214945999991125</v>
      </c>
      <c r="V72">
        <f>(((((F34)*(MAX($D$16,(E72)-(J34)))^2)/2+(H34)*(MAX($D$16,(E72)-(J34)))^3/3+(ABS(I72)^2)/($I$5*MAX(((F34)+(H34)*(MAX($D$16,(E72)-(J34))))*(MAX($D$16,(E72)-(J34))),0.000001)))*1)-((((F35)*(MAX($D$16,(E72)-(J35)))^2)/2+(H35)*(MAX($D$16,(E72)-(J35)))^3/3+(ABS(J72)^2)/($I$5*MAX(((F35)+(H35)*(MAX($D$16,(E72)-(J35))))*(MAX($D$16,(E72)-(J35))),0.000001)))*0.30600918))/MAX(((G32)*(MAX($D$16,(E72)-(K32)))^2)/2+(I32)*(MAX($D$16,(E72)-(K32)))^3/3+(ABS(G72)^2)/($I$5*MAX(((G32)+(I32)*(MAX($D$16,(E72)-(K32))))*(MAX($D$16,(E72)-(K32))),0.000001)),0.000001)</f>
        <v>0.69398638937190382</v>
      </c>
      <c r="W72">
        <f>IF(N6="None",ABS(P72-D72),MAX(ABS(P72-D72),ABS(Q72-D72)))</f>
        <v>1.1641532182693481E-10</v>
      </c>
      <c r="X72">
        <f>IF(AND(N7="None",N8="None"),0,IF(N8="None",ABS(S72-E72),IF(N7="None",ABS(T72-E72),MAX(ABS(S72-E72),ABS(T72-E72)))))</f>
        <v>51796.641837657349</v>
      </c>
      <c r="AA72">
        <f t="shared" si="3"/>
        <v>52432.141837657829</v>
      </c>
      <c r="AB72">
        <f t="shared" si="4"/>
        <v>41355.303927850458</v>
      </c>
      <c r="AC72">
        <f>IF(N6="None",P72,MAX(P72,Q72))</f>
        <v>52432.141837657902</v>
      </c>
      <c r="AD72">
        <f>IF(AND(N7="None",N8="None"),E72,IF(N8="None",S72,IF(N7="None",T72,MAX(S72,T72))))</f>
        <v>20784.033523923383</v>
      </c>
      <c r="AE72">
        <f t="shared" si="5"/>
        <v>637.65825101089831</v>
      </c>
      <c r="AF72">
        <f t="shared" si="6"/>
        <v>52432.141837657917</v>
      </c>
      <c r="AG72">
        <f>((G31)*(MAX($D$16,(AC72)-(K31)))^2)/2+(I31)*(MAX($D$16,(AC72)-(K31)))^3/3+(ABS(F72)^2)/($I$5*MAX(((G31)+(I31)*(MAX($D$16,(AC72)-(K31))))*(MAX($D$16,(AC72)-(K31))),0.000001))</f>
        <v>8797611517.4102421</v>
      </c>
      <c r="AH72">
        <f>((G31)*(MAX($D$16,(AE72)-(K31)))^2)/2+(I31)*(MAX($D$16,(AE72)-(K31)))^3/3+(ABS(F72)^2)/($I$5*MAX(((G31)+(I31)*(MAX($D$16,(AE72)-(K31))))*(MAX($D$16,(AE72)-(K31))),0.000001))</f>
        <v>49.055863329575246</v>
      </c>
      <c r="AI72">
        <f>((G32)*(MAX($D$16,(AD72)-(K32)))^2)/2+(I32)*(MAX($D$16,(AD72)-(K32)))^3/3+(ABS(G72)^2)/($I$5*MAX(((G32)+(I32)*(MAX($D$16,(AD72)-(K32))))*(MAX($D$16,(AD72)-(K32))),0.000001))</f>
        <v>2072376743.6648321</v>
      </c>
      <c r="AJ72">
        <f>((G32)*(MAX($D$16,(AF72)-(K32)))^2)/2+(I32)*(MAX($D$16,(AF72)-(K32)))^3/3+(ABS(G72)^2)/($I$5*MAX(((G32)+(I32)*(MAX($D$16,(AF72)-(K32))))*(MAX($D$16,(AF72)-(K32))),0.000001))</f>
        <v>13692714789.641926</v>
      </c>
      <c r="AK72" t="str">
        <f t="shared" si="7"/>
        <v>Subcritical</v>
      </c>
      <c r="AL72" t="str">
        <f t="shared" si="8"/>
        <v>Supercritical</v>
      </c>
      <c r="AM72">
        <f t="shared" si="9"/>
        <v>52432.141837657829</v>
      </c>
      <c r="AN72">
        <f t="shared" si="10"/>
        <v>52432.141837657546</v>
      </c>
      <c r="AO72">
        <f t="shared" si="11"/>
        <v>1.1641532182693481E-10</v>
      </c>
      <c r="AP72">
        <f t="shared" si="12"/>
        <v>5.6752469390630722E-10</v>
      </c>
    </row>
    <row r="73" spans="1:42" x14ac:dyDescent="0.35">
      <c r="A73">
        <v>30</v>
      </c>
      <c r="B73">
        <f t="shared" si="13"/>
        <v>0</v>
      </c>
      <c r="C73">
        <f t="shared" si="14"/>
        <v>0</v>
      </c>
      <c r="D73">
        <f t="shared" si="15"/>
        <v>52432.141837657829</v>
      </c>
      <c r="E73">
        <f t="shared" si="16"/>
        <v>52432.141837657546</v>
      </c>
      <c r="F73">
        <f t="shared" si="2"/>
        <v>51</v>
      </c>
      <c r="G73">
        <f>IF(N6="None",F73,MAX(0,F73*B73))</f>
        <v>51</v>
      </c>
      <c r="H73">
        <f>IF(N6="None",0,MAX(0,F73-G73))</f>
        <v>0</v>
      </c>
      <c r="I73">
        <f>IF(AND(N7="None",N8="None"),0,IF(N8="None",G73,IF(N7="None",0,MAX(0,G73*C73))))</f>
        <v>0</v>
      </c>
      <c r="J73">
        <f>IF(AND(N7="None",N8="None"),0,IF(N8="None",0,IF(N7="None",G73,MAX(0,G73-I73))))</f>
        <v>51</v>
      </c>
      <c r="K73">
        <f>P5</f>
        <v>637</v>
      </c>
      <c r="L73">
        <f>P6</f>
        <v>634.3119999999999</v>
      </c>
      <c r="M73">
        <f>P7</f>
        <v>635.5</v>
      </c>
      <c r="N73">
        <f>P8</f>
        <v>631.54999999999995</v>
      </c>
      <c r="O73">
        <f>K73+((ABS(F73)/MAX(((F31)+(H31)*(MAX($D$16,(K73)-(J31))))*(MAX($D$16,(K73)-(J31))),0.000001))^2)/(2*$I$5)-((E31)*((((ABS(F73)*$D$6)/(MAX(((F31)+(H31)*(MAX($D$16,(K73)-(J31))))*(MAX($D$16,(K73)-(J31))),0.000001)*MAX(((((F31)+(H31)*(MAX($D$16,(K73)-(J31))))*(MAX($D$16,(K73)-(J31))))/MAX((F31)+2*(MAX($D$16,(K73)-(J31)))*SQRT(1+(H31)^2),0.000001))^(2/3),0.000001)))^2)+(((ABS(F73)*$D$6)/(MAX(((G31)+(I31)*(MAX($D$16,(D73)-(K31))))*(MAX($D$16,(D73)-(K31))),0.000001)*MAX(((((G31)+(I31)*(MAX($D$16,(D73)-(K31))))*(MAX($D$16,(D73)-(K31))))/MAX((G31)+2*(MAX($D$16,(D73)-(K31)))*SQRT(1+(I31)^2),0.000001))^(2/3),0.000001)))^2))/2)+(IF((ABS(F73)/MAX(((G31)+(I31)*(MAX($D$16,(D73)-(K31))))*(MAX($D$16,(D73)-(K31))),0.000001))&gt;(ABS(F73)/MAX(((F31)+(H31)*(MAX($D$16,(K73)-(J31))))*(MAX($D$16,(K73)-(J31))),0.000001)),$D$9*((((ABS(F73)/MAX(((G31)+(I31)*(MAX($D$16,(D73)-(K31))))*(MAX($D$16,(D73)-(K31))),0.000001))^2)/(2*$I$5))-(((ABS(F73)/MAX(((F31)+(H31)*(MAX($D$16,(K73)-(J31))))*(MAX($D$16,(K73)-(J31))),0.000001))^2)/(2*$I$5))),$D$8*((((ABS(F73)/MAX(((F31)+(H31)*(MAX($D$16,(K73)-(J31))))*(MAX($D$16,(K73)-(J31))),0.000001))^2)/(2*$I$5))-(((ABS(F73)/MAX(((G31)+(I31)*(MAX($D$16,(D73)-(K31))))*(MAX($D$16,(D73)-(K31))),0.000001))^2)/(2*$I$5)))))+($D$10*(ABS((X31)-(W31))/90)*MAX(((ABS(F73)/MAX(((F31)+(H31)*(MAX($D$16,(K73)-(J31))))*(MAX($D$16,(K73)-(J31))),0.000001))^2)/(2*$I$5),((ABS(F73)/MAX(((G31)+(I31)*(MAX($D$16,(D73)-(K31))))*(MAX($D$16,(D73)-(K31))),0.000001))^2)/(2*$I$5)))+(0)-((ABS(F73)/MAX(((G31)+(I31)*(MAX($D$16,(D73)-(K31))))*(MAX($D$16,(D73)-(K31))),0.000001))^2)/(2*$I$5)</f>
        <v>637.65825101089831</v>
      </c>
      <c r="P73">
        <f>E73+((ABS(G73)/MAX(((G32)+(I32)*(MAX($D$16,(E73)-(K32))))*(MAX($D$16,(E73)-(K32))),0.000001))^2)/(2*$I$5)+((E32)*((((ABS(G73)*$D$6)/(MAX(((F32)+(H32)*(MAX($D$16,(D73)-(J32))))*(MAX($D$16,(D73)-(J32))),0.000001)*MAX(((((F32)+(H32)*(MAX($D$16,(D73)-(J32))))*(MAX($D$16,(D73)-(J32))))/MAX((F32)+2*(MAX($D$16,(D73)-(J32)))*SQRT(1+(H32)^2),0.000001))^(2/3),0.000001)))^2)+(((ABS(G73)*$D$6)/(MAX(((G32)+(I32)*(MAX($D$16,(E73)-(K32))))*(MAX($D$16,(E73)-(K32))),0.000001)*MAX(((((G32)+(I32)*(MAX($D$16,(E73)-(K32))))*(MAX($D$16,(E73)-(K32))))/MAX((G32)+2*(MAX($D$16,(E73)-(K32)))*SQRT(1+(I32)^2),0.000001))^(2/3),0.000001)))^2))/2)+(IF((ABS(G73)/MAX(((G32)+(I32)*(MAX($D$16,(E73)-(K32))))*(MAX($D$16,(E73)-(K32))),0.000001))&gt;(ABS(G73)/MAX(((F32)+(H32)*(MAX($D$16,(D73)-(J32))))*(MAX($D$16,(D73)-(J32))),0.000001)),$D$9*((((ABS(G73)/MAX(((G32)+(I32)*(MAX($D$16,(E73)-(K32))))*(MAX($D$16,(E73)-(K32))),0.000001))^2)/(2*$I$5))-(((ABS(G73)/MAX(((F32)+(H32)*(MAX($D$16,(D73)-(J32))))*(MAX($D$16,(D73)-(J32))),0.000001))^2)/(2*$I$5))),$D$8*((((ABS(G73)/MAX(((F32)+(H32)*(MAX($D$16,(D73)-(J32))))*(MAX($D$16,(D73)-(J32))),0.000001))^2)/(2*$I$5))-(((ABS(G73)/MAX(((G32)+(I32)*(MAX($D$16,(E73)-(K32))))*(MAX($D$16,(E73)-(K32))),0.000001))^2)/(2*$I$5)))))+($D$10*(ABS((X32)-(W32))/90)*MAX(((ABS(G73)/MAX(((F32)+(H32)*(MAX($D$16,(D73)-(J32))))*(MAX($D$16,(D73)-(J32))),0.000001))^2)/(2*$I$5),((ABS(G73)/MAX(((G32)+(I32)*(MAX($D$16,(E73)-(K32))))*(MAX($D$16,(E73)-(K32))),0.000001))^2)/(2*$I$5)))+(($D$11*0.13607488*(ABS(H73)/MAX(ABS(F73),0.000001))^2*MAX(((ABS(G73)/MAX(((F32)+(H32)*(MAX($D$16,(D73)-(J32))))*(MAX($D$16,(D73)-(J32))),0.000001))^2)/(2*$I$5),((ABS(G73)/MAX(((G32)+(I32)*(MAX($D$16,(E73)-(K32))))*(MAX($D$16,(E73)-(K32))),0.000001))^2)/(2*$I$5))))-((ABS(G73)/MAX(((F32)+(H32)*(MAX($D$16,(D73)-(J32))))*(MAX($D$16,(D73)-(J32))),0.000001))^2)/(2*$I$5)</f>
        <v>52432.141837658099</v>
      </c>
      <c r="Q73">
        <f>L73+((ABS(H73)/MAX(((G33)+(I33)*(MAX($D$16,(L73)-(K33))))*(MAX($D$16,(L73)-(K33))),0.000001))^2)/(2*$I$5)+((E33)*((((ABS(H73)*$D$6)/(MAX(((F33)+(H33)*(MAX($D$16,(D73)-(J33))))*(MAX($D$16,(D73)-(J33))),0.000001)*MAX(((((F33)+(H33)*(MAX($D$16,(D73)-(J33))))*(MAX($D$16,(D73)-(J33))))/MAX((F33)+2*(MAX($D$16,(D73)-(J33)))*SQRT(1+(H33)^2),0.000001))^(2/3),0.000001)))^2)+(((ABS(H73)*$D$6)/(MAX(((G33)+(I33)*(MAX($D$16,(L73)-(K33))))*(MAX($D$16,(L73)-(K33))),0.000001)*MAX(((((G33)+(I33)*(MAX($D$16,(L73)-(K33))))*(MAX($D$16,(L73)-(K33))))/MAX((G33)+2*(MAX($D$16,(L73)-(K33)))*SQRT(1+(I33)^2),0.000001))^(2/3),0.000001)))^2))/2)+(IF((ABS(H73)/MAX(((G33)+(I33)*(MAX($D$16,(L73)-(K33))))*(MAX($D$16,(L73)-(K33))),0.000001))&gt;(ABS(H73)/MAX(((F33)+(H33)*(MAX($D$16,(D73)-(J33))))*(MAX($D$16,(D73)-(J33))),0.000001)),$D$9*((((ABS(H73)/MAX(((G33)+(I33)*(MAX($D$16,(L73)-(K33))))*(MAX($D$16,(L73)-(K33))),0.000001))^2)/(2*$I$5))-(((ABS(H73)/MAX(((F33)+(H33)*(MAX($D$16,(D73)-(J33))))*(MAX($D$16,(D73)-(J33))),0.000001))^2)/(2*$I$5))),$D$8*((((ABS(H73)/MAX(((F33)+(H33)*(MAX($D$16,(D73)-(J33))))*(MAX($D$16,(D73)-(J33))),0.000001))^2)/(2*$I$5))-(((ABS(H73)/MAX(((G33)+(I33)*(MAX($D$16,(L73)-(K33))))*(MAX($D$16,(L73)-(K33))),0.000001))^2)/(2*$I$5)))))+($D$10*(ABS((X33)-(W33))/90)*MAX(((ABS(H73)/MAX(((F33)+(H33)*(MAX($D$16,(D73)-(J33))))*(MAX($D$16,(D73)-(J33))),0.000001))^2)/(2*$I$5),((ABS(H73)/MAX(((G33)+(I33)*(MAX($D$16,(L73)-(K33))))*(MAX($D$16,(L73)-(K33))),0.000001))^2)/(2*$I$5)))+(($D$11*0.00000015*(ABS(G73)/MAX(ABS(F73),0.000001))^2*MAX(((ABS(H73)/MAX(((F33)+(H33)*(MAX($D$16,(D73)-(J33))))*(MAX($D$16,(D73)-(J33))),0.000001))^2)/(2*$I$5),((ABS(H73)/MAX(((G33)+(I33)*(MAX($D$16,(L73)-(K33))))*(MAX($D$16,(L73)-(K33))),0.000001))^2)/(2*$I$5))))-((ABS(H73)/MAX(((F33)+(H33)*(MAX($D$16,(D73)-(J33))))*(MAX($D$16,(D73)-(J33))),0.000001))^2)/(2*$I$5)</f>
        <v>634.3119999999999</v>
      </c>
      <c r="R73">
        <f>D73+((ABS(G73)/MAX(((F32)+(H32)*(MAX($D$16,(D73)-(J32))))*(MAX($D$16,(D73)-(J32))),0.000001))^2)/(2*$I$5)-((E32)*((((ABS(G73)*$D$6)/(MAX(((F32)+(H32)*(MAX($D$16,(D73)-(J32))))*(MAX($D$16,(D73)-(J32))),0.000001)*MAX(((((F32)+(H32)*(MAX($D$16,(D73)-(J32))))*(MAX($D$16,(D73)-(J32))))/MAX((F32)+2*(MAX($D$16,(D73)-(J32)))*SQRT(1+(H32)^2),0.000001))^(2/3),0.000001)))^2)+(((ABS(G73)*$D$6)/(MAX(((G32)+(I32)*(MAX($D$16,(E73)-(K32))))*(MAX($D$16,(E73)-(K32))),0.000001)*MAX(((((G32)+(I32)*(MAX($D$16,(E73)-(K32))))*(MAX($D$16,(E73)-(K32))))/MAX((G32)+2*(MAX($D$16,(E73)-(K32)))*SQRT(1+(I32)^2),0.000001))^(2/3),0.000001)))^2))/2)+(IF((ABS(G73)/MAX(((G32)+(I32)*(MAX($D$16,(E73)-(K32))))*(MAX($D$16,(E73)-(K32))),0.000001))&gt;(ABS(G73)/MAX(((F32)+(H32)*(MAX($D$16,(D73)-(J32))))*(MAX($D$16,(D73)-(J32))),0.000001)),$D$9*((((ABS(G73)/MAX(((G32)+(I32)*(MAX($D$16,(E73)-(K32))))*(MAX($D$16,(E73)-(K32))),0.000001))^2)/(2*$I$5))-(((ABS(G73)/MAX(((F32)+(H32)*(MAX($D$16,(D73)-(J32))))*(MAX($D$16,(D73)-(J32))),0.000001))^2)/(2*$I$5))),$D$8*((((ABS(G73)/MAX(((F32)+(H32)*(MAX($D$16,(D73)-(J32))))*(MAX($D$16,(D73)-(J32))),0.000001))^2)/(2*$I$5))-(((ABS(G73)/MAX(((G32)+(I32)*(MAX($D$16,(E73)-(K32))))*(MAX($D$16,(E73)-(K32))),0.000001))^2)/(2*$I$5)))))+($D$10*(ABS((X32)-(W32))/90)*MAX(((ABS(G73)/MAX(((F32)+(H32)*(MAX($D$16,(D73)-(J32))))*(MAX($D$16,(D73)-(J32))),0.000001))^2)/(2*$I$5),((ABS(G73)/MAX(((G32)+(I32)*(MAX($D$16,(E73)-(K32))))*(MAX($D$16,(E73)-(K32))),0.000001))^2)/(2*$I$5)))+(($D$11*0.13607488*(ABS(H73)/MAX(ABS(F73),0.000001))^2*MAX(((ABS(G73)/MAX(((F32)+(H32)*(MAX($D$16,(D73)-(J32))))*(MAX($D$16,(D73)-(J32))),0.000001))^2)/(2*$I$5),((ABS(G73)/MAX(((G32)+(I32)*(MAX($D$16,(E73)-(K32))))*(MAX($D$16,(E73)-(K32))),0.000001))^2)/(2*$I$5))))-((ABS(G73)/MAX(((G32)+(I32)*(MAX($D$16,(E73)-(K32))))*(MAX($D$16,(E73)-(K32))),0.000001))^2)/(2*$I$5)</f>
        <v>52432.14183765796</v>
      </c>
      <c r="S73">
        <f>M73+((ABS(I73)/MAX(((G34)+(I34)*(MAX($D$16,(M73)-(K34))))*(MAX($D$16,(M73)-(K34))),0.000001))^2)/(2*$I$5)+((E34)*((((ABS(I73)*$D$6)/(MAX(((F34)+(H34)*(MAX($D$16,(E73)-(J34))))*(MAX($D$16,(E73)-(J34))),0.000001)*MAX(((((F34)+(H34)*(MAX($D$16,(E73)-(J34))))*(MAX($D$16,(E73)-(J34))))/MAX((F34)+2*(MAX($D$16,(E73)-(J34)))*SQRT(1+(H34)^2),0.000001))^(2/3),0.000001)))^2)+(((ABS(I73)*$D$6)/(MAX(((G34)+(I34)*(MAX($D$16,(M73)-(K34))))*(MAX($D$16,(M73)-(K34))),0.000001)*MAX(((((G34)+(I34)*(MAX($D$16,(M73)-(K34))))*(MAX($D$16,(M73)-(K34))))/MAX((G34)+2*(MAX($D$16,(M73)-(K34)))*SQRT(1+(I34)^2),0.000001))^(2/3),0.000001)))^2))/2)+(IF((ABS(I73)/MAX(((G34)+(I34)*(MAX($D$16,(M73)-(K34))))*(MAX($D$16,(M73)-(K34))),0.000001))&gt;(ABS(I73)/MAX(((F34)+(H34)*(MAX($D$16,(E73)-(J34))))*(MAX($D$16,(E73)-(J34))),0.000001)),$D$9*((((ABS(I73)/MAX(((G34)+(I34)*(MAX($D$16,(M73)-(K34))))*(MAX($D$16,(M73)-(K34))),0.000001))^2)/(2*$I$5))-(((ABS(I73)/MAX(((F34)+(H34)*(MAX($D$16,(E73)-(J34))))*(MAX($D$16,(E73)-(J34))),0.000001))^2)/(2*$I$5))),$D$8*((((ABS(I73)/MAX(((F34)+(H34)*(MAX($D$16,(E73)-(J34))))*(MAX($D$16,(E73)-(J34))),0.000001))^2)/(2*$I$5))-(((ABS(I73)/MAX(((G34)+(I34)*(MAX($D$16,(M73)-(K34))))*(MAX($D$16,(M73)-(K34))),0.000001))^2)/(2*$I$5)))))+($D$10*(ABS((X34)-(W34))/90)*MAX(((ABS(I73)/MAX(((F34)+(H34)*(MAX($D$16,(E73)-(J34))))*(MAX($D$16,(E73)-(J34))),0.000001))^2)/(2*$I$5),((ABS(I73)/MAX(((G34)+(I34)*(MAX($D$16,(M73)-(K34))))*(MAX($D$16,(M73)-(K34))),0.000001))^2)/(2*$I$5)))+(0)-((ABS(I73)/MAX(((F34)+(H34)*(MAX($D$16,(E73)-(J34))))*(MAX($D$16,(E73)-(J34))),0.000001))^2)/(2*$I$5)</f>
        <v>635.5</v>
      </c>
      <c r="T73">
        <f>N73+((ABS(J73)/MAX(((G35)+(I35)*(MAX($D$16,(N73)-(K35))))*(MAX($D$16,(N73)-(K35))),0.000001))^2)/(2*$I$5)+((E35)*((((ABS(J73)*$D$6)/(MAX(((F35)+(H35)*(MAX($D$16,(E73)-(J35))))*(MAX($D$16,(E73)-(J35))),0.000001)*MAX(((((F35)+(H35)*(MAX($D$16,(E73)-(J35))))*(MAX($D$16,(E73)-(J35))))/MAX((F35)+2*(MAX($D$16,(E73)-(J35)))*SQRT(1+(H35)^2),0.000001))^(2/3),0.000001)))^2)+(((ABS(J73)*$D$6)/(MAX(((G35)+(I35)*(MAX($D$16,(N73)-(K35))))*(MAX($D$16,(N73)-(K35))),0.000001)*MAX(((((G35)+(I35)*(MAX($D$16,(N73)-(K35))))*(MAX($D$16,(N73)-(K35))))/MAX((G35)+2*(MAX($D$16,(N73)-(K35)))*SQRT(1+(I35)^2),0.000001))^(2/3),0.000001)))^2))/2)+(IF((ABS(J73)/MAX(((G35)+(I35)*(MAX($D$16,(N73)-(K35))))*(MAX($D$16,(N73)-(K35))),0.000001))&gt;(ABS(J73)/MAX(((F35)+(H35)*(MAX($D$16,(E73)-(J35))))*(MAX($D$16,(E73)-(J35))),0.000001)),$D$9*((((ABS(J73)/MAX(((G35)+(I35)*(MAX($D$16,(N73)-(K35))))*(MAX($D$16,(N73)-(K35))),0.000001))^2)/(2*$I$5))-(((ABS(J73)/MAX(((F35)+(H35)*(MAX($D$16,(E73)-(J35))))*(MAX($D$16,(E73)-(J35))),0.000001))^2)/(2*$I$5))),$D$8*((((ABS(J73)/MAX(((F35)+(H35)*(MAX($D$16,(E73)-(J35))))*(MAX($D$16,(E73)-(J35))),0.000001))^2)/(2*$I$5))-(((ABS(J73)/MAX(((G35)+(I35)*(MAX($D$16,(N73)-(K35))))*(MAX($D$16,(N73)-(K35))),0.000001))^2)/(2*$I$5)))))+($D$10*(ABS((X35)-(W35))/90)*MAX(((ABS(J73)/MAX(((F35)+(H35)*(MAX($D$16,(E73)-(J35))))*(MAX($D$16,(E73)-(J35))),0.000001))^2)/(2*$I$5),((ABS(J73)/MAX(((G35)+(I35)*(MAX($D$16,(N73)-(K35))))*(MAX($D$16,(N73)-(K35))),0.000001))^2)/(2*$I$5)))+(($D$11*0.34699541*(ABS(I73)/MAX(ABS(G73),0.000001))^2*MAX(((ABS(J73)/MAX(((F35)+(H35)*(MAX($D$16,(E73)-(J35))))*(MAX($D$16,(E73)-(J35))),0.000001))^2)/(2*$I$5),((ABS(J73)/MAX(((G35)+(I35)*(MAX($D$16,(N73)-(K35))))*(MAX($D$16,(N73)-(K35))),0.000001))^2)/(2*$I$5))))-((ABS(J73)/MAX(((F35)+(H35)*(MAX($D$16,(E73)-(J35))))*(MAX($D$16,(E73)-(J35))),0.000001))^2)/(2*$I$5)</f>
        <v>20784.033523923383</v>
      </c>
      <c r="U73">
        <f>(((((F32)*(MAX($D$16,(D73)-(J32)))^2)/2+(H32)*(MAX($D$16,(D73)-(J32)))^3/3+(ABS(G73)^2)/($I$5*MAX(((F32)+(H32)*(MAX($D$16,(D73)-(J32))))*(MAX($D$16,(D73)-(J32))),0.000001)))*0.72785025)-((((F33)*(MAX($D$16,(D73)-(J33)))^2)/2+(H33)*(MAX($D$16,(D73)-(J33)))^3/3+(ABS(H73)^2)/($I$5*MAX(((F33)+(H33)*(MAX($D$16,(D73)-(J33))))*(MAX($D$16,(D73)-(J33))),0.000001)))*0.99999971))/MAX(((G31)*(MAX($D$16,(D73)-(K31)))^2)/2+(I31)*(MAX($D$16,(D73)-(K31)))^3/3+(ABS(F73)^2)/($I$5*MAX(((G31)+(I31)*(MAX($D$16,(D73)-(K31))))*(MAX($D$16,(D73)-(K31))),0.000001)),0.000001)</f>
        <v>-0.27214945999991125</v>
      </c>
      <c r="V73">
        <f>(((((F34)*(MAX($D$16,(E73)-(J34)))^2)/2+(H34)*(MAX($D$16,(E73)-(J34)))^3/3+(ABS(I73)^2)/($I$5*MAX(((F34)+(H34)*(MAX($D$16,(E73)-(J34))))*(MAX($D$16,(E73)-(J34))),0.000001)))*1)-((((F35)*(MAX($D$16,(E73)-(J35)))^2)/2+(H35)*(MAX($D$16,(E73)-(J35)))^3/3+(ABS(J73)^2)/($I$5*MAX(((F35)+(H35)*(MAX($D$16,(E73)-(J35))))*(MAX($D$16,(E73)-(J35))),0.000001)))*0.30600918))/MAX(((G32)*(MAX($D$16,(E73)-(K32)))^2)/2+(I32)*(MAX($D$16,(E73)-(K32)))^3/3+(ABS(G73)^2)/($I$5*MAX(((G32)+(I32)*(MAX($D$16,(E73)-(K32))))*(MAX($D$16,(E73)-(K32))),0.000001)),0.000001)</f>
        <v>0.69398638937190382</v>
      </c>
      <c r="W73">
        <f>IF(N6="None",ABS(P73-D73),MAX(ABS(P73-D73),ABS(Q73-D73)))</f>
        <v>2.6921043172478676E-10</v>
      </c>
      <c r="X73">
        <f>IF(AND(N7="None",N8="None"),0,IF(N8="None",ABS(S73-E73),IF(N7="None",ABS(T73-E73),MAX(ABS(S73-E73),ABS(T73-E73)))))</f>
        <v>51796.641837657546</v>
      </c>
      <c r="AA73">
        <f t="shared" si="3"/>
        <v>52432.141837657924</v>
      </c>
      <c r="AB73">
        <f t="shared" si="4"/>
        <v>41355.303927850589</v>
      </c>
      <c r="AC73">
        <f>IF(N6="None",P73,MAX(P73,Q73))</f>
        <v>52432.141837658099</v>
      </c>
      <c r="AD73">
        <f>IF(AND(N7="None",N8="None"),E73,IF(N8="None",S73,IF(N7="None",T73,MAX(S73,T73))))</f>
        <v>20784.033523923383</v>
      </c>
      <c r="AE73">
        <f t="shared" si="5"/>
        <v>637.65825101089831</v>
      </c>
      <c r="AF73">
        <f t="shared" si="6"/>
        <v>52432.14183765796</v>
      </c>
      <c r="AG73">
        <f>((G31)*(MAX($D$16,(AC73)-(K31)))^2)/2+(I31)*(MAX($D$16,(AC73)-(K31)))^3/3+(ABS(F73)^2)/($I$5*MAX(((G31)+(I31)*(MAX($D$16,(AC73)-(K31))))*(MAX($D$16,(AC73)-(K31))),0.000001))</f>
        <v>8797611517.4103107</v>
      </c>
      <c r="AH73">
        <f>((G31)*(MAX($D$16,(AE73)-(K31)))^2)/2+(I31)*(MAX($D$16,(AE73)-(K31)))^3/3+(ABS(F73)^2)/($I$5*MAX(((G31)+(I31)*(MAX($D$16,(AE73)-(K31))))*(MAX($D$16,(AE73)-(K31))),0.000001))</f>
        <v>49.055863329575246</v>
      </c>
      <c r="AI73">
        <f>((G32)*(MAX($D$16,(AD73)-(K32)))^2)/2+(I32)*(MAX($D$16,(AD73)-(K32)))^3/3+(ABS(G73)^2)/($I$5*MAX(((G32)+(I32)*(MAX($D$16,(AD73)-(K32))))*(MAX($D$16,(AD73)-(K32))),0.000001))</f>
        <v>2072376743.6648321</v>
      </c>
      <c r="AJ73">
        <f>((G32)*(MAX($D$16,(AF73)-(K32)))^2)/2+(I32)*(MAX($D$16,(AF73)-(K32)))^3/3+(ABS(G73)^2)/($I$5*MAX(((G32)+(I32)*(MAX($D$16,(AF73)-(K32))))*(MAX($D$16,(AF73)-(K32))),0.000001))</f>
        <v>13692714789.641951</v>
      </c>
      <c r="AK73" t="str">
        <f t="shared" si="7"/>
        <v>Subcritical</v>
      </c>
      <c r="AL73" t="str">
        <f t="shared" si="8"/>
        <v>Supercritical</v>
      </c>
      <c r="AM73">
        <f t="shared" si="9"/>
        <v>52432.141837657924</v>
      </c>
      <c r="AN73">
        <f t="shared" si="10"/>
        <v>52432.141837657691</v>
      </c>
      <c r="AO73">
        <f t="shared" si="11"/>
        <v>2.6921043172478676E-10</v>
      </c>
      <c r="AP73">
        <f t="shared" si="12"/>
        <v>4.1472958400845528E-10</v>
      </c>
    </row>
    <row r="74" spans="1:42" x14ac:dyDescent="0.35">
      <c r="A74">
        <v>31</v>
      </c>
      <c r="B74">
        <f t="shared" si="13"/>
        <v>0</v>
      </c>
      <c r="C74">
        <f t="shared" si="14"/>
        <v>0</v>
      </c>
      <c r="D74">
        <f t="shared" si="15"/>
        <v>52432.141837657924</v>
      </c>
      <c r="E74">
        <f t="shared" si="16"/>
        <v>52432.141837657691</v>
      </c>
      <c r="F74">
        <f t="shared" si="2"/>
        <v>51</v>
      </c>
      <c r="G74">
        <f>IF(N6="None",F74,MAX(0,F74*B74))</f>
        <v>51</v>
      </c>
      <c r="H74">
        <f>IF(N6="None",0,MAX(0,F74-G74))</f>
        <v>0</v>
      </c>
      <c r="I74">
        <f>IF(AND(N7="None",N8="None"),0,IF(N8="None",G74,IF(N7="None",0,MAX(0,G74*C74))))</f>
        <v>0</v>
      </c>
      <c r="J74">
        <f>IF(AND(N7="None",N8="None"),0,IF(N8="None",0,IF(N7="None",G74,MAX(0,G74-I74))))</f>
        <v>51</v>
      </c>
      <c r="K74">
        <f>P5</f>
        <v>637</v>
      </c>
      <c r="L74">
        <f>P6</f>
        <v>634.3119999999999</v>
      </c>
      <c r="M74">
        <f>P7</f>
        <v>635.5</v>
      </c>
      <c r="N74">
        <f>P8</f>
        <v>631.54999999999995</v>
      </c>
      <c r="O74">
        <f>K74+((ABS(F74)/MAX(((F31)+(H31)*(MAX($D$16,(K74)-(J31))))*(MAX($D$16,(K74)-(J31))),0.000001))^2)/(2*$I$5)-((E31)*((((ABS(F74)*$D$6)/(MAX(((F31)+(H31)*(MAX($D$16,(K74)-(J31))))*(MAX($D$16,(K74)-(J31))),0.000001)*MAX(((((F31)+(H31)*(MAX($D$16,(K74)-(J31))))*(MAX($D$16,(K74)-(J31))))/MAX((F31)+2*(MAX($D$16,(K74)-(J31)))*SQRT(1+(H31)^2),0.000001))^(2/3),0.000001)))^2)+(((ABS(F74)*$D$6)/(MAX(((G31)+(I31)*(MAX($D$16,(D74)-(K31))))*(MAX($D$16,(D74)-(K31))),0.000001)*MAX(((((G31)+(I31)*(MAX($D$16,(D74)-(K31))))*(MAX($D$16,(D74)-(K31))))/MAX((G31)+2*(MAX($D$16,(D74)-(K31)))*SQRT(1+(I31)^2),0.000001))^(2/3),0.000001)))^2))/2)+(IF((ABS(F74)/MAX(((G31)+(I31)*(MAX($D$16,(D74)-(K31))))*(MAX($D$16,(D74)-(K31))),0.000001))&gt;(ABS(F74)/MAX(((F31)+(H31)*(MAX($D$16,(K74)-(J31))))*(MAX($D$16,(K74)-(J31))),0.000001)),$D$9*((((ABS(F74)/MAX(((G31)+(I31)*(MAX($D$16,(D74)-(K31))))*(MAX($D$16,(D74)-(K31))),0.000001))^2)/(2*$I$5))-(((ABS(F74)/MAX(((F31)+(H31)*(MAX($D$16,(K74)-(J31))))*(MAX($D$16,(K74)-(J31))),0.000001))^2)/(2*$I$5))),$D$8*((((ABS(F74)/MAX(((F31)+(H31)*(MAX($D$16,(K74)-(J31))))*(MAX($D$16,(K74)-(J31))),0.000001))^2)/(2*$I$5))-(((ABS(F74)/MAX(((G31)+(I31)*(MAX($D$16,(D74)-(K31))))*(MAX($D$16,(D74)-(K31))),0.000001))^2)/(2*$I$5)))))+($D$10*(ABS((X31)-(W31))/90)*MAX(((ABS(F74)/MAX(((F31)+(H31)*(MAX($D$16,(K74)-(J31))))*(MAX($D$16,(K74)-(J31))),0.000001))^2)/(2*$I$5),((ABS(F74)/MAX(((G31)+(I31)*(MAX($D$16,(D74)-(K31))))*(MAX($D$16,(D74)-(K31))),0.000001))^2)/(2*$I$5)))+(0)-((ABS(F74)/MAX(((G31)+(I31)*(MAX($D$16,(D74)-(K31))))*(MAX($D$16,(D74)-(K31))),0.000001))^2)/(2*$I$5)</f>
        <v>637.65825101089831</v>
      </c>
      <c r="P74">
        <f>E74+((ABS(G74)/MAX(((G32)+(I32)*(MAX($D$16,(E74)-(K32))))*(MAX($D$16,(E74)-(K32))),0.000001))^2)/(2*$I$5)+((E32)*((((ABS(G74)*$D$6)/(MAX(((F32)+(H32)*(MAX($D$16,(D74)-(J32))))*(MAX($D$16,(D74)-(J32))),0.000001)*MAX(((((F32)+(H32)*(MAX($D$16,(D74)-(J32))))*(MAX($D$16,(D74)-(J32))))/MAX((F32)+2*(MAX($D$16,(D74)-(J32)))*SQRT(1+(H32)^2),0.000001))^(2/3),0.000001)))^2)+(((ABS(G74)*$D$6)/(MAX(((G32)+(I32)*(MAX($D$16,(E74)-(K32))))*(MAX($D$16,(E74)-(K32))),0.000001)*MAX(((((G32)+(I32)*(MAX($D$16,(E74)-(K32))))*(MAX($D$16,(E74)-(K32))))/MAX((G32)+2*(MAX($D$16,(E74)-(K32)))*SQRT(1+(I32)^2),0.000001))^(2/3),0.000001)))^2))/2)+(IF((ABS(G74)/MAX(((G32)+(I32)*(MAX($D$16,(E74)-(K32))))*(MAX($D$16,(E74)-(K32))),0.000001))&gt;(ABS(G74)/MAX(((F32)+(H32)*(MAX($D$16,(D74)-(J32))))*(MAX($D$16,(D74)-(J32))),0.000001)),$D$9*((((ABS(G74)/MAX(((G32)+(I32)*(MAX($D$16,(E74)-(K32))))*(MAX($D$16,(E74)-(K32))),0.000001))^2)/(2*$I$5))-(((ABS(G74)/MAX(((F32)+(H32)*(MAX($D$16,(D74)-(J32))))*(MAX($D$16,(D74)-(J32))),0.000001))^2)/(2*$I$5))),$D$8*((((ABS(G74)/MAX(((F32)+(H32)*(MAX($D$16,(D74)-(J32))))*(MAX($D$16,(D74)-(J32))),0.000001))^2)/(2*$I$5))-(((ABS(G74)/MAX(((G32)+(I32)*(MAX($D$16,(E74)-(K32))))*(MAX($D$16,(E74)-(K32))),0.000001))^2)/(2*$I$5)))))+($D$10*(ABS((X32)-(W32))/90)*MAX(((ABS(G74)/MAX(((F32)+(H32)*(MAX($D$16,(D74)-(J32))))*(MAX($D$16,(D74)-(J32))),0.000001))^2)/(2*$I$5),((ABS(G74)/MAX(((G32)+(I32)*(MAX($D$16,(E74)-(K32))))*(MAX($D$16,(E74)-(K32))),0.000001))^2)/(2*$I$5)))+(($D$11*0.13607488*(ABS(H74)/MAX(ABS(F74),0.000001))^2*MAX(((ABS(G74)/MAX(((F32)+(H32)*(MAX($D$16,(D74)-(J32))))*(MAX($D$16,(D74)-(J32))),0.000001))^2)/(2*$I$5),((ABS(G74)/MAX(((G32)+(I32)*(MAX($D$16,(E74)-(K32))))*(MAX($D$16,(E74)-(K32))),0.000001))^2)/(2*$I$5))))-((ABS(G74)/MAX(((F32)+(H32)*(MAX($D$16,(D74)-(J32))))*(MAX($D$16,(D74)-(J32))),0.000001))^2)/(2*$I$5)</f>
        <v>52432.141837658244</v>
      </c>
      <c r="Q74">
        <f>L74+((ABS(H74)/MAX(((G33)+(I33)*(MAX($D$16,(L74)-(K33))))*(MAX($D$16,(L74)-(K33))),0.000001))^2)/(2*$I$5)+((E33)*((((ABS(H74)*$D$6)/(MAX(((F33)+(H33)*(MAX($D$16,(D74)-(J33))))*(MAX($D$16,(D74)-(J33))),0.000001)*MAX(((((F33)+(H33)*(MAX($D$16,(D74)-(J33))))*(MAX($D$16,(D74)-(J33))))/MAX((F33)+2*(MAX($D$16,(D74)-(J33)))*SQRT(1+(H33)^2),0.000001))^(2/3),0.000001)))^2)+(((ABS(H74)*$D$6)/(MAX(((G33)+(I33)*(MAX($D$16,(L74)-(K33))))*(MAX($D$16,(L74)-(K33))),0.000001)*MAX(((((G33)+(I33)*(MAX($D$16,(L74)-(K33))))*(MAX($D$16,(L74)-(K33))))/MAX((G33)+2*(MAX($D$16,(L74)-(K33)))*SQRT(1+(I33)^2),0.000001))^(2/3),0.000001)))^2))/2)+(IF((ABS(H74)/MAX(((G33)+(I33)*(MAX($D$16,(L74)-(K33))))*(MAX($D$16,(L74)-(K33))),0.000001))&gt;(ABS(H74)/MAX(((F33)+(H33)*(MAX($D$16,(D74)-(J33))))*(MAX($D$16,(D74)-(J33))),0.000001)),$D$9*((((ABS(H74)/MAX(((G33)+(I33)*(MAX($D$16,(L74)-(K33))))*(MAX($D$16,(L74)-(K33))),0.000001))^2)/(2*$I$5))-(((ABS(H74)/MAX(((F33)+(H33)*(MAX($D$16,(D74)-(J33))))*(MAX($D$16,(D74)-(J33))),0.000001))^2)/(2*$I$5))),$D$8*((((ABS(H74)/MAX(((F33)+(H33)*(MAX($D$16,(D74)-(J33))))*(MAX($D$16,(D74)-(J33))),0.000001))^2)/(2*$I$5))-(((ABS(H74)/MAX(((G33)+(I33)*(MAX($D$16,(L74)-(K33))))*(MAX($D$16,(L74)-(K33))),0.000001))^2)/(2*$I$5)))))+($D$10*(ABS((X33)-(W33))/90)*MAX(((ABS(H74)/MAX(((F33)+(H33)*(MAX($D$16,(D74)-(J33))))*(MAX($D$16,(D74)-(J33))),0.000001))^2)/(2*$I$5),((ABS(H74)/MAX(((G33)+(I33)*(MAX($D$16,(L74)-(K33))))*(MAX($D$16,(L74)-(K33))),0.000001))^2)/(2*$I$5)))+(($D$11*0.00000015*(ABS(G74)/MAX(ABS(F74),0.000001))^2*MAX(((ABS(H74)/MAX(((F33)+(H33)*(MAX($D$16,(D74)-(J33))))*(MAX($D$16,(D74)-(J33))),0.000001))^2)/(2*$I$5),((ABS(H74)/MAX(((G33)+(I33)*(MAX($D$16,(L74)-(K33))))*(MAX($D$16,(L74)-(K33))),0.000001))^2)/(2*$I$5))))-((ABS(H74)/MAX(((F33)+(H33)*(MAX($D$16,(D74)-(J33))))*(MAX($D$16,(D74)-(J33))),0.000001))^2)/(2*$I$5)</f>
        <v>634.3119999999999</v>
      </c>
      <c r="R74">
        <f>D74+((ABS(G74)/MAX(((F32)+(H32)*(MAX($D$16,(D74)-(J32))))*(MAX($D$16,(D74)-(J32))),0.000001))^2)/(2*$I$5)-((E32)*((((ABS(G74)*$D$6)/(MAX(((F32)+(H32)*(MAX($D$16,(D74)-(J32))))*(MAX($D$16,(D74)-(J32))),0.000001)*MAX(((((F32)+(H32)*(MAX($D$16,(D74)-(J32))))*(MAX($D$16,(D74)-(J32))))/MAX((F32)+2*(MAX($D$16,(D74)-(J32)))*SQRT(1+(H32)^2),0.000001))^(2/3),0.000001)))^2)+(((ABS(G74)*$D$6)/(MAX(((G32)+(I32)*(MAX($D$16,(E74)-(K32))))*(MAX($D$16,(E74)-(K32))),0.000001)*MAX(((((G32)+(I32)*(MAX($D$16,(E74)-(K32))))*(MAX($D$16,(E74)-(K32))))/MAX((G32)+2*(MAX($D$16,(E74)-(K32)))*SQRT(1+(I32)^2),0.000001))^(2/3),0.000001)))^2))/2)+(IF((ABS(G74)/MAX(((G32)+(I32)*(MAX($D$16,(E74)-(K32))))*(MAX($D$16,(E74)-(K32))),0.000001))&gt;(ABS(G74)/MAX(((F32)+(H32)*(MAX($D$16,(D74)-(J32))))*(MAX($D$16,(D74)-(J32))),0.000001)),$D$9*((((ABS(G74)/MAX(((G32)+(I32)*(MAX($D$16,(E74)-(K32))))*(MAX($D$16,(E74)-(K32))),0.000001))^2)/(2*$I$5))-(((ABS(G74)/MAX(((F32)+(H32)*(MAX($D$16,(D74)-(J32))))*(MAX($D$16,(D74)-(J32))),0.000001))^2)/(2*$I$5))),$D$8*((((ABS(G74)/MAX(((F32)+(H32)*(MAX($D$16,(D74)-(J32))))*(MAX($D$16,(D74)-(J32))),0.000001))^2)/(2*$I$5))-(((ABS(G74)/MAX(((G32)+(I32)*(MAX($D$16,(E74)-(K32))))*(MAX($D$16,(E74)-(K32))),0.000001))^2)/(2*$I$5)))))+($D$10*(ABS((X32)-(W32))/90)*MAX(((ABS(G74)/MAX(((F32)+(H32)*(MAX($D$16,(D74)-(J32))))*(MAX($D$16,(D74)-(J32))),0.000001))^2)/(2*$I$5),((ABS(G74)/MAX(((G32)+(I32)*(MAX($D$16,(E74)-(K32))))*(MAX($D$16,(E74)-(K32))),0.000001))^2)/(2*$I$5)))+(($D$11*0.13607488*(ABS(H74)/MAX(ABS(F74),0.000001))^2*MAX(((ABS(G74)/MAX(((F32)+(H32)*(MAX($D$16,(D74)-(J32))))*(MAX($D$16,(D74)-(J32))),0.000001))^2)/(2*$I$5),((ABS(G74)/MAX(((G32)+(I32)*(MAX($D$16,(E74)-(K32))))*(MAX($D$16,(E74)-(K32))),0.000001))^2)/(2*$I$5))))-((ABS(G74)/MAX(((G32)+(I32)*(MAX($D$16,(E74)-(K32))))*(MAX($D$16,(E74)-(K32))),0.000001))^2)/(2*$I$5)</f>
        <v>52432.141837658055</v>
      </c>
      <c r="S74">
        <f>M74+((ABS(I74)/MAX(((G34)+(I34)*(MAX($D$16,(M74)-(K34))))*(MAX($D$16,(M74)-(K34))),0.000001))^2)/(2*$I$5)+((E34)*((((ABS(I74)*$D$6)/(MAX(((F34)+(H34)*(MAX($D$16,(E74)-(J34))))*(MAX($D$16,(E74)-(J34))),0.000001)*MAX(((((F34)+(H34)*(MAX($D$16,(E74)-(J34))))*(MAX($D$16,(E74)-(J34))))/MAX((F34)+2*(MAX($D$16,(E74)-(J34)))*SQRT(1+(H34)^2),0.000001))^(2/3),0.000001)))^2)+(((ABS(I74)*$D$6)/(MAX(((G34)+(I34)*(MAX($D$16,(M74)-(K34))))*(MAX($D$16,(M74)-(K34))),0.000001)*MAX(((((G34)+(I34)*(MAX($D$16,(M74)-(K34))))*(MAX($D$16,(M74)-(K34))))/MAX((G34)+2*(MAX($D$16,(M74)-(K34)))*SQRT(1+(I34)^2),0.000001))^(2/3),0.000001)))^2))/2)+(IF((ABS(I74)/MAX(((G34)+(I34)*(MAX($D$16,(M74)-(K34))))*(MAX($D$16,(M74)-(K34))),0.000001))&gt;(ABS(I74)/MAX(((F34)+(H34)*(MAX($D$16,(E74)-(J34))))*(MAX($D$16,(E74)-(J34))),0.000001)),$D$9*((((ABS(I74)/MAX(((G34)+(I34)*(MAX($D$16,(M74)-(K34))))*(MAX($D$16,(M74)-(K34))),0.000001))^2)/(2*$I$5))-(((ABS(I74)/MAX(((F34)+(H34)*(MAX($D$16,(E74)-(J34))))*(MAX($D$16,(E74)-(J34))),0.000001))^2)/(2*$I$5))),$D$8*((((ABS(I74)/MAX(((F34)+(H34)*(MAX($D$16,(E74)-(J34))))*(MAX($D$16,(E74)-(J34))),0.000001))^2)/(2*$I$5))-(((ABS(I74)/MAX(((G34)+(I34)*(MAX($D$16,(M74)-(K34))))*(MAX($D$16,(M74)-(K34))),0.000001))^2)/(2*$I$5)))))+($D$10*(ABS((X34)-(W34))/90)*MAX(((ABS(I74)/MAX(((F34)+(H34)*(MAX($D$16,(E74)-(J34))))*(MAX($D$16,(E74)-(J34))),0.000001))^2)/(2*$I$5),((ABS(I74)/MAX(((G34)+(I34)*(MAX($D$16,(M74)-(K34))))*(MAX($D$16,(M74)-(K34))),0.000001))^2)/(2*$I$5)))+(0)-((ABS(I74)/MAX(((F34)+(H34)*(MAX($D$16,(E74)-(J34))))*(MAX($D$16,(E74)-(J34))),0.000001))^2)/(2*$I$5)</f>
        <v>635.5</v>
      </c>
      <c r="T74">
        <f>N74+((ABS(J74)/MAX(((G35)+(I35)*(MAX($D$16,(N74)-(K35))))*(MAX($D$16,(N74)-(K35))),0.000001))^2)/(2*$I$5)+((E35)*((((ABS(J74)*$D$6)/(MAX(((F35)+(H35)*(MAX($D$16,(E74)-(J35))))*(MAX($D$16,(E74)-(J35))),0.000001)*MAX(((((F35)+(H35)*(MAX($D$16,(E74)-(J35))))*(MAX($D$16,(E74)-(J35))))/MAX((F35)+2*(MAX($D$16,(E74)-(J35)))*SQRT(1+(H35)^2),0.000001))^(2/3),0.000001)))^2)+(((ABS(J74)*$D$6)/(MAX(((G35)+(I35)*(MAX($D$16,(N74)-(K35))))*(MAX($D$16,(N74)-(K35))),0.000001)*MAX(((((G35)+(I35)*(MAX($D$16,(N74)-(K35))))*(MAX($D$16,(N74)-(K35))))/MAX((G35)+2*(MAX($D$16,(N74)-(K35)))*SQRT(1+(I35)^2),0.000001))^(2/3),0.000001)))^2))/2)+(IF((ABS(J74)/MAX(((G35)+(I35)*(MAX($D$16,(N74)-(K35))))*(MAX($D$16,(N74)-(K35))),0.000001))&gt;(ABS(J74)/MAX(((F35)+(H35)*(MAX($D$16,(E74)-(J35))))*(MAX($D$16,(E74)-(J35))),0.000001)),$D$9*((((ABS(J74)/MAX(((G35)+(I35)*(MAX($D$16,(N74)-(K35))))*(MAX($D$16,(N74)-(K35))),0.000001))^2)/(2*$I$5))-(((ABS(J74)/MAX(((F35)+(H35)*(MAX($D$16,(E74)-(J35))))*(MAX($D$16,(E74)-(J35))),0.000001))^2)/(2*$I$5))),$D$8*((((ABS(J74)/MAX(((F35)+(H35)*(MAX($D$16,(E74)-(J35))))*(MAX($D$16,(E74)-(J35))),0.000001))^2)/(2*$I$5))-(((ABS(J74)/MAX(((G35)+(I35)*(MAX($D$16,(N74)-(K35))))*(MAX($D$16,(N74)-(K35))),0.000001))^2)/(2*$I$5)))))+($D$10*(ABS((X35)-(W35))/90)*MAX(((ABS(J74)/MAX(((F35)+(H35)*(MAX($D$16,(E74)-(J35))))*(MAX($D$16,(E74)-(J35))),0.000001))^2)/(2*$I$5),((ABS(J74)/MAX(((G35)+(I35)*(MAX($D$16,(N74)-(K35))))*(MAX($D$16,(N74)-(K35))),0.000001))^2)/(2*$I$5)))+(($D$11*0.34699541*(ABS(I74)/MAX(ABS(G74),0.000001))^2*MAX(((ABS(J74)/MAX(((F35)+(H35)*(MAX($D$16,(E74)-(J35))))*(MAX($D$16,(E74)-(J35))),0.000001))^2)/(2*$I$5),((ABS(J74)/MAX(((G35)+(I35)*(MAX($D$16,(N74)-(K35))))*(MAX($D$16,(N74)-(K35))),0.000001))^2)/(2*$I$5))))-((ABS(J74)/MAX(((F35)+(H35)*(MAX($D$16,(E74)-(J35))))*(MAX($D$16,(E74)-(J35))),0.000001))^2)/(2*$I$5)</f>
        <v>20784.033523923383</v>
      </c>
      <c r="U74">
        <f>(((((F32)*(MAX($D$16,(D74)-(J32)))^2)/2+(H32)*(MAX($D$16,(D74)-(J32)))^3/3+(ABS(G74)^2)/($I$5*MAX(((F32)+(H32)*(MAX($D$16,(D74)-(J32))))*(MAX($D$16,(D74)-(J32))),0.000001)))*0.72785025)-((((F33)*(MAX($D$16,(D74)-(J33)))^2)/2+(H33)*(MAX($D$16,(D74)-(J33)))^3/3+(ABS(H74)^2)/($I$5*MAX(((F33)+(H33)*(MAX($D$16,(D74)-(J33))))*(MAX($D$16,(D74)-(J33))),0.000001)))*0.99999971))/MAX(((G31)*(MAX($D$16,(D74)-(K31)))^2)/2+(I31)*(MAX($D$16,(D74)-(K31)))^3/3+(ABS(F74)^2)/($I$5*MAX(((G31)+(I31)*(MAX($D$16,(D74)-(K31))))*(MAX($D$16,(D74)-(K31))),0.000001)),0.000001)</f>
        <v>-0.27214945999991119</v>
      </c>
      <c r="V74">
        <f>(((((F34)*(MAX($D$16,(E74)-(J34)))^2)/2+(H34)*(MAX($D$16,(E74)-(J34)))^3/3+(ABS(I74)^2)/($I$5*MAX(((F34)+(H34)*(MAX($D$16,(E74)-(J34))))*(MAX($D$16,(E74)-(J34))),0.000001)))*1)-((((F35)*(MAX($D$16,(E74)-(J35)))^2)/2+(H35)*(MAX($D$16,(E74)-(J35)))^3/3+(ABS(J74)^2)/($I$5*MAX(((F35)+(H35)*(MAX($D$16,(E74)-(J35))))*(MAX($D$16,(E74)-(J35))),0.000001)))*0.30600918))/MAX(((G32)*(MAX($D$16,(E74)-(K32)))^2)/2+(I32)*(MAX($D$16,(E74)-(K32)))^3/3+(ABS(G74)^2)/($I$5*MAX(((G32)+(I32)*(MAX($D$16,(E74)-(K32))))*(MAX($D$16,(E74)-(K32))),0.000001)),0.000001)</f>
        <v>0.69398638937190382</v>
      </c>
      <c r="W74">
        <f>IF(N6="None",ABS(P74-D74),MAX(ABS(P74-D74),ABS(Q74-D74)))</f>
        <v>3.2014213502407074E-10</v>
      </c>
      <c r="X74">
        <f>IF(AND(N7="None",N8="None"),0,IF(N8="None",ABS(S74-E74),IF(N7="None",ABS(T74-E74),MAX(ABS(S74-E74),ABS(T74-E74)))))</f>
        <v>51796.641837657691</v>
      </c>
      <c r="AA74">
        <f t="shared" si="3"/>
        <v>52432.141837658033</v>
      </c>
      <c r="AB74">
        <f t="shared" si="4"/>
        <v>41355.303927850684</v>
      </c>
      <c r="AC74">
        <f>IF(N6="None",P74,MAX(P74,Q74))</f>
        <v>52432.141837658244</v>
      </c>
      <c r="AD74">
        <f>IF(AND(N7="None",N8="None"),E74,IF(N8="None",S74,IF(N7="None",T74,MAX(S74,T74))))</f>
        <v>20784.033523923383</v>
      </c>
      <c r="AE74">
        <f t="shared" si="5"/>
        <v>637.65825101089831</v>
      </c>
      <c r="AF74">
        <f t="shared" si="6"/>
        <v>52432.141837658055</v>
      </c>
      <c r="AG74">
        <f>((G31)*(MAX($D$16,(AC74)-(K31)))^2)/2+(I31)*(MAX($D$16,(AC74)-(K31)))^3/3+(ABS(F74)^2)/($I$5*MAX(((G31)+(I31)*(MAX($D$16,(AC74)-(K31))))*(MAX($D$16,(AC74)-(K31))),0.000001))</f>
        <v>8797611517.4103584</v>
      </c>
      <c r="AH74">
        <f>((G31)*(MAX($D$16,(AE74)-(K31)))^2)/2+(I31)*(MAX($D$16,(AE74)-(K31)))^3/3+(ABS(F74)^2)/($I$5*MAX(((G31)+(I31)*(MAX($D$16,(AE74)-(K31))))*(MAX($D$16,(AE74)-(K31))),0.000001))</f>
        <v>49.055863329575246</v>
      </c>
      <c r="AI74">
        <f>((G32)*(MAX($D$16,(AD74)-(K32)))^2)/2+(I32)*(MAX($D$16,(AD74)-(K32)))^3/3+(ABS(G74)^2)/($I$5*MAX(((G32)+(I32)*(MAX($D$16,(AD74)-(K32))))*(MAX($D$16,(AD74)-(K32))),0.000001))</f>
        <v>2072376743.6648321</v>
      </c>
      <c r="AJ74">
        <f>((G32)*(MAX($D$16,(AF74)-(K32)))^2)/2+(I32)*(MAX($D$16,(AF74)-(K32)))^3/3+(ABS(G74)^2)/($I$5*MAX(((G32)+(I32)*(MAX($D$16,(AF74)-(K32))))*(MAX($D$16,(AF74)-(K32))),0.000001))</f>
        <v>13692714789.642</v>
      </c>
      <c r="AK74" t="str">
        <f t="shared" si="7"/>
        <v>Subcritical</v>
      </c>
      <c r="AL74" t="str">
        <f t="shared" si="8"/>
        <v>Supercritical</v>
      </c>
      <c r="AM74">
        <f t="shared" si="9"/>
        <v>52432.141837658033</v>
      </c>
      <c r="AN74">
        <f t="shared" si="10"/>
        <v>52432.141837657822</v>
      </c>
      <c r="AO74">
        <f t="shared" si="11"/>
        <v>3.2014213502407074E-10</v>
      </c>
      <c r="AP74">
        <f t="shared" si="12"/>
        <v>3.637978807091713E-10</v>
      </c>
    </row>
    <row r="75" spans="1:42" x14ac:dyDescent="0.35">
      <c r="A75">
        <v>32</v>
      </c>
      <c r="B75">
        <f t="shared" si="13"/>
        <v>0</v>
      </c>
      <c r="C75">
        <f t="shared" si="14"/>
        <v>0</v>
      </c>
      <c r="D75">
        <f t="shared" si="15"/>
        <v>52432.141837658033</v>
      </c>
      <c r="E75">
        <f t="shared" si="16"/>
        <v>52432.141837657822</v>
      </c>
      <c r="F75">
        <f t="shared" ref="F75:F106" si="17">$D$5</f>
        <v>51</v>
      </c>
      <c r="G75">
        <f>IF(N6="None",F75,MAX(0,F75*B75))</f>
        <v>51</v>
      </c>
      <c r="H75">
        <f>IF(N6="None",0,MAX(0,F75-G75))</f>
        <v>0</v>
      </c>
      <c r="I75">
        <f>IF(AND(N7="None",N8="None"),0,IF(N8="None",G75,IF(N7="None",0,MAX(0,G75*C75))))</f>
        <v>0</v>
      </c>
      <c r="J75">
        <f>IF(AND(N7="None",N8="None"),0,IF(N8="None",0,IF(N7="None",G75,MAX(0,G75-I75))))</f>
        <v>51</v>
      </c>
      <c r="K75">
        <f>P5</f>
        <v>637</v>
      </c>
      <c r="L75">
        <f>P6</f>
        <v>634.3119999999999</v>
      </c>
      <c r="M75">
        <f>P7</f>
        <v>635.5</v>
      </c>
      <c r="N75">
        <f>P8</f>
        <v>631.54999999999995</v>
      </c>
      <c r="O75">
        <f>K75+((ABS(F75)/MAX(((F31)+(H31)*(MAX($D$16,(K75)-(J31))))*(MAX($D$16,(K75)-(J31))),0.000001))^2)/(2*$I$5)-((E31)*((((ABS(F75)*$D$6)/(MAX(((F31)+(H31)*(MAX($D$16,(K75)-(J31))))*(MAX($D$16,(K75)-(J31))),0.000001)*MAX(((((F31)+(H31)*(MAX($D$16,(K75)-(J31))))*(MAX($D$16,(K75)-(J31))))/MAX((F31)+2*(MAX($D$16,(K75)-(J31)))*SQRT(1+(H31)^2),0.000001))^(2/3),0.000001)))^2)+(((ABS(F75)*$D$6)/(MAX(((G31)+(I31)*(MAX($D$16,(D75)-(K31))))*(MAX($D$16,(D75)-(K31))),0.000001)*MAX(((((G31)+(I31)*(MAX($D$16,(D75)-(K31))))*(MAX($D$16,(D75)-(K31))))/MAX((G31)+2*(MAX($D$16,(D75)-(K31)))*SQRT(1+(I31)^2),0.000001))^(2/3),0.000001)))^2))/2)+(IF((ABS(F75)/MAX(((G31)+(I31)*(MAX($D$16,(D75)-(K31))))*(MAX($D$16,(D75)-(K31))),0.000001))&gt;(ABS(F75)/MAX(((F31)+(H31)*(MAX($D$16,(K75)-(J31))))*(MAX($D$16,(K75)-(J31))),0.000001)),$D$9*((((ABS(F75)/MAX(((G31)+(I31)*(MAX($D$16,(D75)-(K31))))*(MAX($D$16,(D75)-(K31))),0.000001))^2)/(2*$I$5))-(((ABS(F75)/MAX(((F31)+(H31)*(MAX($D$16,(K75)-(J31))))*(MAX($D$16,(K75)-(J31))),0.000001))^2)/(2*$I$5))),$D$8*((((ABS(F75)/MAX(((F31)+(H31)*(MAX($D$16,(K75)-(J31))))*(MAX($D$16,(K75)-(J31))),0.000001))^2)/(2*$I$5))-(((ABS(F75)/MAX(((G31)+(I31)*(MAX($D$16,(D75)-(K31))))*(MAX($D$16,(D75)-(K31))),0.000001))^2)/(2*$I$5)))))+($D$10*(ABS((X31)-(W31))/90)*MAX(((ABS(F75)/MAX(((F31)+(H31)*(MAX($D$16,(K75)-(J31))))*(MAX($D$16,(K75)-(J31))),0.000001))^2)/(2*$I$5),((ABS(F75)/MAX(((G31)+(I31)*(MAX($D$16,(D75)-(K31))))*(MAX($D$16,(D75)-(K31))),0.000001))^2)/(2*$I$5)))+(0)-((ABS(F75)/MAX(((G31)+(I31)*(MAX($D$16,(D75)-(K31))))*(MAX($D$16,(D75)-(K31))),0.000001))^2)/(2*$I$5)</f>
        <v>637.65825101089831</v>
      </c>
      <c r="P75">
        <f>E75+((ABS(G75)/MAX(((G32)+(I32)*(MAX($D$16,(E75)-(K32))))*(MAX($D$16,(E75)-(K32))),0.000001))^2)/(2*$I$5)+((E32)*((((ABS(G75)*$D$6)/(MAX(((F32)+(H32)*(MAX($D$16,(D75)-(J32))))*(MAX($D$16,(D75)-(J32))),0.000001)*MAX(((((F32)+(H32)*(MAX($D$16,(D75)-(J32))))*(MAX($D$16,(D75)-(J32))))/MAX((F32)+2*(MAX($D$16,(D75)-(J32)))*SQRT(1+(H32)^2),0.000001))^(2/3),0.000001)))^2)+(((ABS(G75)*$D$6)/(MAX(((G32)+(I32)*(MAX($D$16,(E75)-(K32))))*(MAX($D$16,(E75)-(K32))),0.000001)*MAX(((((G32)+(I32)*(MAX($D$16,(E75)-(K32))))*(MAX($D$16,(E75)-(K32))))/MAX((G32)+2*(MAX($D$16,(E75)-(K32)))*SQRT(1+(I32)^2),0.000001))^(2/3),0.000001)))^2))/2)+(IF((ABS(G75)/MAX(((G32)+(I32)*(MAX($D$16,(E75)-(K32))))*(MAX($D$16,(E75)-(K32))),0.000001))&gt;(ABS(G75)/MAX(((F32)+(H32)*(MAX($D$16,(D75)-(J32))))*(MAX($D$16,(D75)-(J32))),0.000001)),$D$9*((((ABS(G75)/MAX(((G32)+(I32)*(MAX($D$16,(E75)-(K32))))*(MAX($D$16,(E75)-(K32))),0.000001))^2)/(2*$I$5))-(((ABS(G75)/MAX(((F32)+(H32)*(MAX($D$16,(D75)-(J32))))*(MAX($D$16,(D75)-(J32))),0.000001))^2)/(2*$I$5))),$D$8*((((ABS(G75)/MAX(((F32)+(H32)*(MAX($D$16,(D75)-(J32))))*(MAX($D$16,(D75)-(J32))),0.000001))^2)/(2*$I$5))-(((ABS(G75)/MAX(((G32)+(I32)*(MAX($D$16,(E75)-(K32))))*(MAX($D$16,(E75)-(K32))),0.000001))^2)/(2*$I$5)))))+($D$10*(ABS((X32)-(W32))/90)*MAX(((ABS(G75)/MAX(((F32)+(H32)*(MAX($D$16,(D75)-(J32))))*(MAX($D$16,(D75)-(J32))),0.000001))^2)/(2*$I$5),((ABS(G75)/MAX(((G32)+(I32)*(MAX($D$16,(E75)-(K32))))*(MAX($D$16,(E75)-(K32))),0.000001))^2)/(2*$I$5)))+(($D$11*0.13607488*(ABS(H75)/MAX(ABS(F75),0.000001))^2*MAX(((ABS(G75)/MAX(((F32)+(H32)*(MAX($D$16,(D75)-(J32))))*(MAX($D$16,(D75)-(J32))),0.000001))^2)/(2*$I$5),((ABS(G75)/MAX(((G32)+(I32)*(MAX($D$16,(E75)-(K32))))*(MAX($D$16,(E75)-(K32))),0.000001))^2)/(2*$I$5))))-((ABS(G75)/MAX(((F32)+(H32)*(MAX($D$16,(D75)-(J32))))*(MAX($D$16,(D75)-(J32))),0.000001))^2)/(2*$I$5)</f>
        <v>52432.141837658375</v>
      </c>
      <c r="Q75">
        <f>L75+((ABS(H75)/MAX(((G33)+(I33)*(MAX($D$16,(L75)-(K33))))*(MAX($D$16,(L75)-(K33))),0.000001))^2)/(2*$I$5)+((E33)*((((ABS(H75)*$D$6)/(MAX(((F33)+(H33)*(MAX($D$16,(D75)-(J33))))*(MAX($D$16,(D75)-(J33))),0.000001)*MAX(((((F33)+(H33)*(MAX($D$16,(D75)-(J33))))*(MAX($D$16,(D75)-(J33))))/MAX((F33)+2*(MAX($D$16,(D75)-(J33)))*SQRT(1+(H33)^2),0.000001))^(2/3),0.000001)))^2)+(((ABS(H75)*$D$6)/(MAX(((G33)+(I33)*(MAX($D$16,(L75)-(K33))))*(MAX($D$16,(L75)-(K33))),0.000001)*MAX(((((G33)+(I33)*(MAX($D$16,(L75)-(K33))))*(MAX($D$16,(L75)-(K33))))/MAX((G33)+2*(MAX($D$16,(L75)-(K33)))*SQRT(1+(I33)^2),0.000001))^(2/3),0.000001)))^2))/2)+(IF((ABS(H75)/MAX(((G33)+(I33)*(MAX($D$16,(L75)-(K33))))*(MAX($D$16,(L75)-(K33))),0.000001))&gt;(ABS(H75)/MAX(((F33)+(H33)*(MAX($D$16,(D75)-(J33))))*(MAX($D$16,(D75)-(J33))),0.000001)),$D$9*((((ABS(H75)/MAX(((G33)+(I33)*(MAX($D$16,(L75)-(K33))))*(MAX($D$16,(L75)-(K33))),0.000001))^2)/(2*$I$5))-(((ABS(H75)/MAX(((F33)+(H33)*(MAX($D$16,(D75)-(J33))))*(MAX($D$16,(D75)-(J33))),0.000001))^2)/(2*$I$5))),$D$8*((((ABS(H75)/MAX(((F33)+(H33)*(MAX($D$16,(D75)-(J33))))*(MAX($D$16,(D75)-(J33))),0.000001))^2)/(2*$I$5))-(((ABS(H75)/MAX(((G33)+(I33)*(MAX($D$16,(L75)-(K33))))*(MAX($D$16,(L75)-(K33))),0.000001))^2)/(2*$I$5)))))+($D$10*(ABS((X33)-(W33))/90)*MAX(((ABS(H75)/MAX(((F33)+(H33)*(MAX($D$16,(D75)-(J33))))*(MAX($D$16,(D75)-(J33))),0.000001))^2)/(2*$I$5),((ABS(H75)/MAX(((G33)+(I33)*(MAX($D$16,(L75)-(K33))))*(MAX($D$16,(L75)-(K33))),0.000001))^2)/(2*$I$5)))+(($D$11*0.00000015*(ABS(G75)/MAX(ABS(F75),0.000001))^2*MAX(((ABS(H75)/MAX(((F33)+(H33)*(MAX($D$16,(D75)-(J33))))*(MAX($D$16,(D75)-(J33))),0.000001))^2)/(2*$I$5),((ABS(H75)/MAX(((G33)+(I33)*(MAX($D$16,(L75)-(K33))))*(MAX($D$16,(L75)-(K33))),0.000001))^2)/(2*$I$5))))-((ABS(H75)/MAX(((F33)+(H33)*(MAX($D$16,(D75)-(J33))))*(MAX($D$16,(D75)-(J33))),0.000001))^2)/(2*$I$5)</f>
        <v>634.3119999999999</v>
      </c>
      <c r="R75">
        <f>D75+((ABS(G75)/MAX(((F32)+(H32)*(MAX($D$16,(D75)-(J32))))*(MAX($D$16,(D75)-(J32))),0.000001))^2)/(2*$I$5)-((E32)*((((ABS(G75)*$D$6)/(MAX(((F32)+(H32)*(MAX($D$16,(D75)-(J32))))*(MAX($D$16,(D75)-(J32))),0.000001)*MAX(((((F32)+(H32)*(MAX($D$16,(D75)-(J32))))*(MAX($D$16,(D75)-(J32))))/MAX((F32)+2*(MAX($D$16,(D75)-(J32)))*SQRT(1+(H32)^2),0.000001))^(2/3),0.000001)))^2)+(((ABS(G75)*$D$6)/(MAX(((G32)+(I32)*(MAX($D$16,(E75)-(K32))))*(MAX($D$16,(E75)-(K32))),0.000001)*MAX(((((G32)+(I32)*(MAX($D$16,(E75)-(K32))))*(MAX($D$16,(E75)-(K32))))/MAX((G32)+2*(MAX($D$16,(E75)-(K32)))*SQRT(1+(I32)^2),0.000001))^(2/3),0.000001)))^2))/2)+(IF((ABS(G75)/MAX(((G32)+(I32)*(MAX($D$16,(E75)-(K32))))*(MAX($D$16,(E75)-(K32))),0.000001))&gt;(ABS(G75)/MAX(((F32)+(H32)*(MAX($D$16,(D75)-(J32))))*(MAX($D$16,(D75)-(J32))),0.000001)),$D$9*((((ABS(G75)/MAX(((G32)+(I32)*(MAX($D$16,(E75)-(K32))))*(MAX($D$16,(E75)-(K32))),0.000001))^2)/(2*$I$5))-(((ABS(G75)/MAX(((F32)+(H32)*(MAX($D$16,(D75)-(J32))))*(MAX($D$16,(D75)-(J32))),0.000001))^2)/(2*$I$5))),$D$8*((((ABS(G75)/MAX(((F32)+(H32)*(MAX($D$16,(D75)-(J32))))*(MAX($D$16,(D75)-(J32))),0.000001))^2)/(2*$I$5))-(((ABS(G75)/MAX(((G32)+(I32)*(MAX($D$16,(E75)-(K32))))*(MAX($D$16,(E75)-(K32))),0.000001))^2)/(2*$I$5)))))+($D$10*(ABS((X32)-(W32))/90)*MAX(((ABS(G75)/MAX(((F32)+(H32)*(MAX($D$16,(D75)-(J32))))*(MAX($D$16,(D75)-(J32))),0.000001))^2)/(2*$I$5),((ABS(G75)/MAX(((G32)+(I32)*(MAX($D$16,(E75)-(K32))))*(MAX($D$16,(E75)-(K32))),0.000001))^2)/(2*$I$5)))+(($D$11*0.13607488*(ABS(H75)/MAX(ABS(F75),0.000001))^2*MAX(((ABS(G75)/MAX(((F32)+(H32)*(MAX($D$16,(D75)-(J32))))*(MAX($D$16,(D75)-(J32))),0.000001))^2)/(2*$I$5),((ABS(G75)/MAX(((G32)+(I32)*(MAX($D$16,(E75)-(K32))))*(MAX($D$16,(E75)-(K32))),0.000001))^2)/(2*$I$5))))-((ABS(G75)/MAX(((G32)+(I32)*(MAX($D$16,(E75)-(K32))))*(MAX($D$16,(E75)-(K32))),0.000001))^2)/(2*$I$5)</f>
        <v>52432.141837658164</v>
      </c>
      <c r="S75">
        <f>M75+((ABS(I75)/MAX(((G34)+(I34)*(MAX($D$16,(M75)-(K34))))*(MAX($D$16,(M75)-(K34))),0.000001))^2)/(2*$I$5)+((E34)*((((ABS(I75)*$D$6)/(MAX(((F34)+(H34)*(MAX($D$16,(E75)-(J34))))*(MAX($D$16,(E75)-(J34))),0.000001)*MAX(((((F34)+(H34)*(MAX($D$16,(E75)-(J34))))*(MAX($D$16,(E75)-(J34))))/MAX((F34)+2*(MAX($D$16,(E75)-(J34)))*SQRT(1+(H34)^2),0.000001))^(2/3),0.000001)))^2)+(((ABS(I75)*$D$6)/(MAX(((G34)+(I34)*(MAX($D$16,(M75)-(K34))))*(MAX($D$16,(M75)-(K34))),0.000001)*MAX(((((G34)+(I34)*(MAX($D$16,(M75)-(K34))))*(MAX($D$16,(M75)-(K34))))/MAX((G34)+2*(MAX($D$16,(M75)-(K34)))*SQRT(1+(I34)^2),0.000001))^(2/3),0.000001)))^2))/2)+(IF((ABS(I75)/MAX(((G34)+(I34)*(MAX($D$16,(M75)-(K34))))*(MAX($D$16,(M75)-(K34))),0.000001))&gt;(ABS(I75)/MAX(((F34)+(H34)*(MAX($D$16,(E75)-(J34))))*(MAX($D$16,(E75)-(J34))),0.000001)),$D$9*((((ABS(I75)/MAX(((G34)+(I34)*(MAX($D$16,(M75)-(K34))))*(MAX($D$16,(M75)-(K34))),0.000001))^2)/(2*$I$5))-(((ABS(I75)/MAX(((F34)+(H34)*(MAX($D$16,(E75)-(J34))))*(MAX($D$16,(E75)-(J34))),0.000001))^2)/(2*$I$5))),$D$8*((((ABS(I75)/MAX(((F34)+(H34)*(MAX($D$16,(E75)-(J34))))*(MAX($D$16,(E75)-(J34))),0.000001))^2)/(2*$I$5))-(((ABS(I75)/MAX(((G34)+(I34)*(MAX($D$16,(M75)-(K34))))*(MAX($D$16,(M75)-(K34))),0.000001))^2)/(2*$I$5)))))+($D$10*(ABS((X34)-(W34))/90)*MAX(((ABS(I75)/MAX(((F34)+(H34)*(MAX($D$16,(E75)-(J34))))*(MAX($D$16,(E75)-(J34))),0.000001))^2)/(2*$I$5),((ABS(I75)/MAX(((G34)+(I34)*(MAX($D$16,(M75)-(K34))))*(MAX($D$16,(M75)-(K34))),0.000001))^2)/(2*$I$5)))+(0)-((ABS(I75)/MAX(((F34)+(H34)*(MAX($D$16,(E75)-(J34))))*(MAX($D$16,(E75)-(J34))),0.000001))^2)/(2*$I$5)</f>
        <v>635.5</v>
      </c>
      <c r="T75">
        <f>N75+((ABS(J75)/MAX(((G35)+(I35)*(MAX($D$16,(N75)-(K35))))*(MAX($D$16,(N75)-(K35))),0.000001))^2)/(2*$I$5)+((E35)*((((ABS(J75)*$D$6)/(MAX(((F35)+(H35)*(MAX($D$16,(E75)-(J35))))*(MAX($D$16,(E75)-(J35))),0.000001)*MAX(((((F35)+(H35)*(MAX($D$16,(E75)-(J35))))*(MAX($D$16,(E75)-(J35))))/MAX((F35)+2*(MAX($D$16,(E75)-(J35)))*SQRT(1+(H35)^2),0.000001))^(2/3),0.000001)))^2)+(((ABS(J75)*$D$6)/(MAX(((G35)+(I35)*(MAX($D$16,(N75)-(K35))))*(MAX($D$16,(N75)-(K35))),0.000001)*MAX(((((G35)+(I35)*(MAX($D$16,(N75)-(K35))))*(MAX($D$16,(N75)-(K35))))/MAX((G35)+2*(MAX($D$16,(N75)-(K35)))*SQRT(1+(I35)^2),0.000001))^(2/3),0.000001)))^2))/2)+(IF((ABS(J75)/MAX(((G35)+(I35)*(MAX($D$16,(N75)-(K35))))*(MAX($D$16,(N75)-(K35))),0.000001))&gt;(ABS(J75)/MAX(((F35)+(H35)*(MAX($D$16,(E75)-(J35))))*(MAX($D$16,(E75)-(J35))),0.000001)),$D$9*((((ABS(J75)/MAX(((G35)+(I35)*(MAX($D$16,(N75)-(K35))))*(MAX($D$16,(N75)-(K35))),0.000001))^2)/(2*$I$5))-(((ABS(J75)/MAX(((F35)+(H35)*(MAX($D$16,(E75)-(J35))))*(MAX($D$16,(E75)-(J35))),0.000001))^2)/(2*$I$5))),$D$8*((((ABS(J75)/MAX(((F35)+(H35)*(MAX($D$16,(E75)-(J35))))*(MAX($D$16,(E75)-(J35))),0.000001))^2)/(2*$I$5))-(((ABS(J75)/MAX(((G35)+(I35)*(MAX($D$16,(N75)-(K35))))*(MAX($D$16,(N75)-(K35))),0.000001))^2)/(2*$I$5)))))+($D$10*(ABS((X35)-(W35))/90)*MAX(((ABS(J75)/MAX(((F35)+(H35)*(MAX($D$16,(E75)-(J35))))*(MAX($D$16,(E75)-(J35))),0.000001))^2)/(2*$I$5),((ABS(J75)/MAX(((G35)+(I35)*(MAX($D$16,(N75)-(K35))))*(MAX($D$16,(N75)-(K35))),0.000001))^2)/(2*$I$5)))+(($D$11*0.34699541*(ABS(I75)/MAX(ABS(G75),0.000001))^2*MAX(((ABS(J75)/MAX(((F35)+(H35)*(MAX($D$16,(E75)-(J35))))*(MAX($D$16,(E75)-(J35))),0.000001))^2)/(2*$I$5),((ABS(J75)/MAX(((G35)+(I35)*(MAX($D$16,(N75)-(K35))))*(MAX($D$16,(N75)-(K35))),0.000001))^2)/(2*$I$5))))-((ABS(J75)/MAX(((F35)+(H35)*(MAX($D$16,(E75)-(J35))))*(MAX($D$16,(E75)-(J35))),0.000001))^2)/(2*$I$5)</f>
        <v>20784.033523923383</v>
      </c>
      <c r="U75">
        <f>(((((F32)*(MAX($D$16,(D75)-(J32)))^2)/2+(H32)*(MAX($D$16,(D75)-(J32)))^3/3+(ABS(G75)^2)/($I$5*MAX(((F32)+(H32)*(MAX($D$16,(D75)-(J32))))*(MAX($D$16,(D75)-(J32))),0.000001)))*0.72785025)-((((F33)*(MAX($D$16,(D75)-(J33)))^2)/2+(H33)*(MAX($D$16,(D75)-(J33)))^3/3+(ABS(H75)^2)/($I$5*MAX(((F33)+(H33)*(MAX($D$16,(D75)-(J33))))*(MAX($D$16,(D75)-(J33))),0.000001)))*0.99999971))/MAX(((G31)*(MAX($D$16,(D75)-(K31)))^2)/2+(I31)*(MAX($D$16,(D75)-(K31)))^3/3+(ABS(F75)^2)/($I$5*MAX(((G31)+(I31)*(MAX($D$16,(D75)-(K31))))*(MAX($D$16,(D75)-(K31))),0.000001)),0.000001)</f>
        <v>-0.27214945999991125</v>
      </c>
      <c r="V75">
        <f>(((((F34)*(MAX($D$16,(E75)-(J34)))^2)/2+(H34)*(MAX($D$16,(E75)-(J34)))^3/3+(ABS(I75)^2)/($I$5*MAX(((F34)+(H34)*(MAX($D$16,(E75)-(J34))))*(MAX($D$16,(E75)-(J34))),0.000001)))*1)-((((F35)*(MAX($D$16,(E75)-(J35)))^2)/2+(H35)*(MAX($D$16,(E75)-(J35)))^3/3+(ABS(J75)^2)/($I$5*MAX(((F35)+(H35)*(MAX($D$16,(E75)-(J35))))*(MAX($D$16,(E75)-(J35))),0.000001)))*0.30600918))/MAX(((G32)*(MAX($D$16,(E75)-(K32)))^2)/2+(I32)*(MAX($D$16,(E75)-(K32)))^3/3+(ABS(G75)^2)/($I$5*MAX(((G32)+(I32)*(MAX($D$16,(E75)-(K32))))*(MAX($D$16,(E75)-(K32))),0.000001)),0.000001)</f>
        <v>0.69398638937190393</v>
      </c>
      <c r="W75">
        <f>IF(N6="None",ABS(P75-D75),MAX(ABS(P75-D75),ABS(Q75-D75)))</f>
        <v>3.4197000786662102E-10</v>
      </c>
      <c r="X75">
        <f>IF(AND(N7="None",N8="None"),0,IF(N8="None",ABS(S75-E75),IF(N7="None",ABS(T75-E75),MAX(ABS(S75-E75),ABS(T75-E75)))))</f>
        <v>51796.641837657822</v>
      </c>
      <c r="AA75">
        <f t="shared" ref="AA75:AA106" si="18">D75+$D$13*(AC75-D75)</f>
        <v>52432.14183765815</v>
      </c>
      <c r="AB75">
        <f t="shared" ref="AB75:AB106" si="19">E75+$D$13*(AD75-E75)</f>
        <v>41355.303927850771</v>
      </c>
      <c r="AC75">
        <f>IF(N6="None",P75,MAX(P75,Q75))</f>
        <v>52432.141837658375</v>
      </c>
      <c r="AD75">
        <f>IF(AND(N7="None",N8="None"),E75,IF(N8="None",S75,IF(N7="None",T75,MAX(S75,T75))))</f>
        <v>20784.033523923383</v>
      </c>
      <c r="AE75">
        <f t="shared" ref="AE75:AE106" si="20">O75</f>
        <v>637.65825101089831</v>
      </c>
      <c r="AF75">
        <f t="shared" ref="AF75:AF106" si="21">R75</f>
        <v>52432.141837658164</v>
      </c>
      <c r="AG75">
        <f>((G31)*(MAX($D$16,(AC75)-(K31)))^2)/2+(I31)*(MAX($D$16,(AC75)-(K31)))^3/3+(ABS(F75)^2)/($I$5*MAX(((G31)+(I31)*(MAX($D$16,(AC75)-(K31))))*(MAX($D$16,(AC75)-(K31))),0.000001))</f>
        <v>8797611517.4104042</v>
      </c>
      <c r="AH75">
        <f>((G31)*(MAX($D$16,(AE75)-(K31)))^2)/2+(I31)*(MAX($D$16,(AE75)-(K31)))^3/3+(ABS(F75)^2)/($I$5*MAX(((G31)+(I31)*(MAX($D$16,(AE75)-(K31))))*(MAX($D$16,(AE75)-(K31))),0.000001))</f>
        <v>49.055863329575246</v>
      </c>
      <c r="AI75">
        <f>((G32)*(MAX($D$16,(AD75)-(K32)))^2)/2+(I32)*(MAX($D$16,(AD75)-(K32)))^3/3+(ABS(G75)^2)/($I$5*MAX(((G32)+(I32)*(MAX($D$16,(AD75)-(K32))))*(MAX($D$16,(AD75)-(K32))),0.000001))</f>
        <v>2072376743.6648321</v>
      </c>
      <c r="AJ75">
        <f>((G32)*(MAX($D$16,(AF75)-(K32)))^2)/2+(I32)*(MAX($D$16,(AF75)-(K32)))^3/3+(ABS(G75)^2)/($I$5*MAX(((G32)+(I32)*(MAX($D$16,(AF75)-(K32))))*(MAX($D$16,(AF75)-(K32))),0.000001))</f>
        <v>13692714789.642057</v>
      </c>
      <c r="AK75" t="str">
        <f t="shared" ref="AK75:AK106" si="22">IF(AH75&gt;=AG75,"Supercritical","Subcritical")</f>
        <v>Subcritical</v>
      </c>
      <c r="AL75" t="str">
        <f t="shared" ref="AL75:AL106" si="23">IF(AJ75&gt;=AI75,"Supercritical","Subcritical")</f>
        <v>Supercritical</v>
      </c>
      <c r="AM75">
        <f t="shared" ref="AM75:AM106" si="24">D75+$D$13*(IF(AK75="Supercritical",AE75,AC75)-D75)</f>
        <v>52432.14183765815</v>
      </c>
      <c r="AN75">
        <f t="shared" ref="AN75:AN106" si="25">E75+$D$13*(IF(AL75="Supercritical",AF75,AD75)-E75)</f>
        <v>52432.141837657939</v>
      </c>
      <c r="AO75">
        <f t="shared" ref="AO75:AO106" si="26">ABS(IF(AK75="Supercritical",AE75,AC75)-D75)</f>
        <v>3.4197000786662102E-10</v>
      </c>
      <c r="AP75">
        <f t="shared" ref="AP75:AP106" si="27">ABS(IF(AL75="Supercritical",AF75,AD75)-E75)</f>
        <v>3.4197000786662102E-10</v>
      </c>
    </row>
    <row r="76" spans="1:42" x14ac:dyDescent="0.35">
      <c r="A76">
        <v>33</v>
      </c>
      <c r="B76">
        <f t="shared" ref="B76:B107" si="28">Y75</f>
        <v>0</v>
      </c>
      <c r="C76">
        <f t="shared" ref="C76:C107" si="29">Z75</f>
        <v>0</v>
      </c>
      <c r="D76">
        <f t="shared" ref="D76:D107" si="30">AM75</f>
        <v>52432.14183765815</v>
      </c>
      <c r="E76">
        <f t="shared" ref="E76:E107" si="31">AN75</f>
        <v>52432.141837657939</v>
      </c>
      <c r="F76">
        <f t="shared" si="17"/>
        <v>51</v>
      </c>
      <c r="G76">
        <f>IF(N6="None",F76,MAX(0,F76*B76))</f>
        <v>51</v>
      </c>
      <c r="H76">
        <f>IF(N6="None",0,MAX(0,F76-G76))</f>
        <v>0</v>
      </c>
      <c r="I76">
        <f>IF(AND(N7="None",N8="None"),0,IF(N8="None",G76,IF(N7="None",0,MAX(0,G76*C76))))</f>
        <v>0</v>
      </c>
      <c r="J76">
        <f>IF(AND(N7="None",N8="None"),0,IF(N8="None",0,IF(N7="None",G76,MAX(0,G76-I76))))</f>
        <v>51</v>
      </c>
      <c r="K76">
        <f>P5</f>
        <v>637</v>
      </c>
      <c r="L76">
        <f>P6</f>
        <v>634.3119999999999</v>
      </c>
      <c r="M76">
        <f>P7</f>
        <v>635.5</v>
      </c>
      <c r="N76">
        <f>P8</f>
        <v>631.54999999999995</v>
      </c>
      <c r="O76">
        <f>K76+((ABS(F76)/MAX(((F31)+(H31)*(MAX($D$16,(K76)-(J31))))*(MAX($D$16,(K76)-(J31))),0.000001))^2)/(2*$I$5)-((E31)*((((ABS(F76)*$D$6)/(MAX(((F31)+(H31)*(MAX($D$16,(K76)-(J31))))*(MAX($D$16,(K76)-(J31))),0.000001)*MAX(((((F31)+(H31)*(MAX($D$16,(K76)-(J31))))*(MAX($D$16,(K76)-(J31))))/MAX((F31)+2*(MAX($D$16,(K76)-(J31)))*SQRT(1+(H31)^2),0.000001))^(2/3),0.000001)))^2)+(((ABS(F76)*$D$6)/(MAX(((G31)+(I31)*(MAX($D$16,(D76)-(K31))))*(MAX($D$16,(D76)-(K31))),0.000001)*MAX(((((G31)+(I31)*(MAX($D$16,(D76)-(K31))))*(MAX($D$16,(D76)-(K31))))/MAX((G31)+2*(MAX($D$16,(D76)-(K31)))*SQRT(1+(I31)^2),0.000001))^(2/3),0.000001)))^2))/2)+(IF((ABS(F76)/MAX(((G31)+(I31)*(MAX($D$16,(D76)-(K31))))*(MAX($D$16,(D76)-(K31))),0.000001))&gt;(ABS(F76)/MAX(((F31)+(H31)*(MAX($D$16,(K76)-(J31))))*(MAX($D$16,(K76)-(J31))),0.000001)),$D$9*((((ABS(F76)/MAX(((G31)+(I31)*(MAX($D$16,(D76)-(K31))))*(MAX($D$16,(D76)-(K31))),0.000001))^2)/(2*$I$5))-(((ABS(F76)/MAX(((F31)+(H31)*(MAX($D$16,(K76)-(J31))))*(MAX($D$16,(K76)-(J31))),0.000001))^2)/(2*$I$5))),$D$8*((((ABS(F76)/MAX(((F31)+(H31)*(MAX($D$16,(K76)-(J31))))*(MAX($D$16,(K76)-(J31))),0.000001))^2)/(2*$I$5))-(((ABS(F76)/MAX(((G31)+(I31)*(MAX($D$16,(D76)-(K31))))*(MAX($D$16,(D76)-(K31))),0.000001))^2)/(2*$I$5)))))+($D$10*(ABS((X31)-(W31))/90)*MAX(((ABS(F76)/MAX(((F31)+(H31)*(MAX($D$16,(K76)-(J31))))*(MAX($D$16,(K76)-(J31))),0.000001))^2)/(2*$I$5),((ABS(F76)/MAX(((G31)+(I31)*(MAX($D$16,(D76)-(K31))))*(MAX($D$16,(D76)-(K31))),0.000001))^2)/(2*$I$5)))+(0)-((ABS(F76)/MAX(((G31)+(I31)*(MAX($D$16,(D76)-(K31))))*(MAX($D$16,(D76)-(K31))),0.000001))^2)/(2*$I$5)</f>
        <v>637.65825101089831</v>
      </c>
      <c r="P76">
        <f>E76+((ABS(G76)/MAX(((G32)+(I32)*(MAX($D$16,(E76)-(K32))))*(MAX($D$16,(E76)-(K32))),0.000001))^2)/(2*$I$5)+((E32)*((((ABS(G76)*$D$6)/(MAX(((F32)+(H32)*(MAX($D$16,(D76)-(J32))))*(MAX($D$16,(D76)-(J32))),0.000001)*MAX(((((F32)+(H32)*(MAX($D$16,(D76)-(J32))))*(MAX($D$16,(D76)-(J32))))/MAX((F32)+2*(MAX($D$16,(D76)-(J32)))*SQRT(1+(H32)^2),0.000001))^(2/3),0.000001)))^2)+(((ABS(G76)*$D$6)/(MAX(((G32)+(I32)*(MAX($D$16,(E76)-(K32))))*(MAX($D$16,(E76)-(K32))),0.000001)*MAX(((((G32)+(I32)*(MAX($D$16,(E76)-(K32))))*(MAX($D$16,(E76)-(K32))))/MAX((G32)+2*(MAX($D$16,(E76)-(K32)))*SQRT(1+(I32)^2),0.000001))^(2/3),0.000001)))^2))/2)+(IF((ABS(G76)/MAX(((G32)+(I32)*(MAX($D$16,(E76)-(K32))))*(MAX($D$16,(E76)-(K32))),0.000001))&gt;(ABS(G76)/MAX(((F32)+(H32)*(MAX($D$16,(D76)-(J32))))*(MAX($D$16,(D76)-(J32))),0.000001)),$D$9*((((ABS(G76)/MAX(((G32)+(I32)*(MAX($D$16,(E76)-(K32))))*(MAX($D$16,(E76)-(K32))),0.000001))^2)/(2*$I$5))-(((ABS(G76)/MAX(((F32)+(H32)*(MAX($D$16,(D76)-(J32))))*(MAX($D$16,(D76)-(J32))),0.000001))^2)/(2*$I$5))),$D$8*((((ABS(G76)/MAX(((F32)+(H32)*(MAX($D$16,(D76)-(J32))))*(MAX($D$16,(D76)-(J32))),0.000001))^2)/(2*$I$5))-(((ABS(G76)/MAX(((G32)+(I32)*(MAX($D$16,(E76)-(K32))))*(MAX($D$16,(E76)-(K32))),0.000001))^2)/(2*$I$5)))))+($D$10*(ABS((X32)-(W32))/90)*MAX(((ABS(G76)/MAX(((F32)+(H32)*(MAX($D$16,(D76)-(J32))))*(MAX($D$16,(D76)-(J32))),0.000001))^2)/(2*$I$5),((ABS(G76)/MAX(((G32)+(I32)*(MAX($D$16,(E76)-(K32))))*(MAX($D$16,(E76)-(K32))),0.000001))^2)/(2*$I$5)))+(($D$11*0.13607488*(ABS(H76)/MAX(ABS(F76),0.000001))^2*MAX(((ABS(G76)/MAX(((F32)+(H32)*(MAX($D$16,(D76)-(J32))))*(MAX($D$16,(D76)-(J32))),0.000001))^2)/(2*$I$5),((ABS(G76)/MAX(((G32)+(I32)*(MAX($D$16,(E76)-(K32))))*(MAX($D$16,(E76)-(K32))),0.000001))^2)/(2*$I$5))))-((ABS(G76)/MAX(((F32)+(H32)*(MAX($D$16,(D76)-(J32))))*(MAX($D$16,(D76)-(J32))),0.000001))^2)/(2*$I$5)</f>
        <v>52432.141837658492</v>
      </c>
      <c r="Q76">
        <f>L76+((ABS(H76)/MAX(((G33)+(I33)*(MAX($D$16,(L76)-(K33))))*(MAX($D$16,(L76)-(K33))),0.000001))^2)/(2*$I$5)+((E33)*((((ABS(H76)*$D$6)/(MAX(((F33)+(H33)*(MAX($D$16,(D76)-(J33))))*(MAX($D$16,(D76)-(J33))),0.000001)*MAX(((((F33)+(H33)*(MAX($D$16,(D76)-(J33))))*(MAX($D$16,(D76)-(J33))))/MAX((F33)+2*(MAX($D$16,(D76)-(J33)))*SQRT(1+(H33)^2),0.000001))^(2/3),0.000001)))^2)+(((ABS(H76)*$D$6)/(MAX(((G33)+(I33)*(MAX($D$16,(L76)-(K33))))*(MAX($D$16,(L76)-(K33))),0.000001)*MAX(((((G33)+(I33)*(MAX($D$16,(L76)-(K33))))*(MAX($D$16,(L76)-(K33))))/MAX((G33)+2*(MAX($D$16,(L76)-(K33)))*SQRT(1+(I33)^2),0.000001))^(2/3),0.000001)))^2))/2)+(IF((ABS(H76)/MAX(((G33)+(I33)*(MAX($D$16,(L76)-(K33))))*(MAX($D$16,(L76)-(K33))),0.000001))&gt;(ABS(H76)/MAX(((F33)+(H33)*(MAX($D$16,(D76)-(J33))))*(MAX($D$16,(D76)-(J33))),0.000001)),$D$9*((((ABS(H76)/MAX(((G33)+(I33)*(MAX($D$16,(L76)-(K33))))*(MAX($D$16,(L76)-(K33))),0.000001))^2)/(2*$I$5))-(((ABS(H76)/MAX(((F33)+(H33)*(MAX($D$16,(D76)-(J33))))*(MAX($D$16,(D76)-(J33))),0.000001))^2)/(2*$I$5))),$D$8*((((ABS(H76)/MAX(((F33)+(H33)*(MAX($D$16,(D76)-(J33))))*(MAX($D$16,(D76)-(J33))),0.000001))^2)/(2*$I$5))-(((ABS(H76)/MAX(((G33)+(I33)*(MAX($D$16,(L76)-(K33))))*(MAX($D$16,(L76)-(K33))),0.000001))^2)/(2*$I$5)))))+($D$10*(ABS((X33)-(W33))/90)*MAX(((ABS(H76)/MAX(((F33)+(H33)*(MAX($D$16,(D76)-(J33))))*(MAX($D$16,(D76)-(J33))),0.000001))^2)/(2*$I$5),((ABS(H76)/MAX(((G33)+(I33)*(MAX($D$16,(L76)-(K33))))*(MAX($D$16,(L76)-(K33))),0.000001))^2)/(2*$I$5)))+(($D$11*0.00000015*(ABS(G76)/MAX(ABS(F76),0.000001))^2*MAX(((ABS(H76)/MAX(((F33)+(H33)*(MAX($D$16,(D76)-(J33))))*(MAX($D$16,(D76)-(J33))),0.000001))^2)/(2*$I$5),((ABS(H76)/MAX(((G33)+(I33)*(MAX($D$16,(L76)-(K33))))*(MAX($D$16,(L76)-(K33))),0.000001))^2)/(2*$I$5))))-((ABS(H76)/MAX(((F33)+(H33)*(MAX($D$16,(D76)-(J33))))*(MAX($D$16,(D76)-(J33))),0.000001))^2)/(2*$I$5)</f>
        <v>634.3119999999999</v>
      </c>
      <c r="R76">
        <f>D76+((ABS(G76)/MAX(((F32)+(H32)*(MAX($D$16,(D76)-(J32))))*(MAX($D$16,(D76)-(J32))),0.000001))^2)/(2*$I$5)-((E32)*((((ABS(G76)*$D$6)/(MAX(((F32)+(H32)*(MAX($D$16,(D76)-(J32))))*(MAX($D$16,(D76)-(J32))),0.000001)*MAX(((((F32)+(H32)*(MAX($D$16,(D76)-(J32))))*(MAX($D$16,(D76)-(J32))))/MAX((F32)+2*(MAX($D$16,(D76)-(J32)))*SQRT(1+(H32)^2),0.000001))^(2/3),0.000001)))^2)+(((ABS(G76)*$D$6)/(MAX(((G32)+(I32)*(MAX($D$16,(E76)-(K32))))*(MAX($D$16,(E76)-(K32))),0.000001)*MAX(((((G32)+(I32)*(MAX($D$16,(E76)-(K32))))*(MAX($D$16,(E76)-(K32))))/MAX((G32)+2*(MAX($D$16,(E76)-(K32)))*SQRT(1+(I32)^2),0.000001))^(2/3),0.000001)))^2))/2)+(IF((ABS(G76)/MAX(((G32)+(I32)*(MAX($D$16,(E76)-(K32))))*(MAX($D$16,(E76)-(K32))),0.000001))&gt;(ABS(G76)/MAX(((F32)+(H32)*(MAX($D$16,(D76)-(J32))))*(MAX($D$16,(D76)-(J32))),0.000001)),$D$9*((((ABS(G76)/MAX(((G32)+(I32)*(MAX($D$16,(E76)-(K32))))*(MAX($D$16,(E76)-(K32))),0.000001))^2)/(2*$I$5))-(((ABS(G76)/MAX(((F32)+(H32)*(MAX($D$16,(D76)-(J32))))*(MAX($D$16,(D76)-(J32))),0.000001))^2)/(2*$I$5))),$D$8*((((ABS(G76)/MAX(((F32)+(H32)*(MAX($D$16,(D76)-(J32))))*(MAX($D$16,(D76)-(J32))),0.000001))^2)/(2*$I$5))-(((ABS(G76)/MAX(((G32)+(I32)*(MAX($D$16,(E76)-(K32))))*(MAX($D$16,(E76)-(K32))),0.000001))^2)/(2*$I$5)))))+($D$10*(ABS((X32)-(W32))/90)*MAX(((ABS(G76)/MAX(((F32)+(H32)*(MAX($D$16,(D76)-(J32))))*(MAX($D$16,(D76)-(J32))),0.000001))^2)/(2*$I$5),((ABS(G76)/MAX(((G32)+(I32)*(MAX($D$16,(E76)-(K32))))*(MAX($D$16,(E76)-(K32))),0.000001))^2)/(2*$I$5)))+(($D$11*0.13607488*(ABS(H76)/MAX(ABS(F76),0.000001))^2*MAX(((ABS(G76)/MAX(((F32)+(H32)*(MAX($D$16,(D76)-(J32))))*(MAX($D$16,(D76)-(J32))),0.000001))^2)/(2*$I$5),((ABS(G76)/MAX(((G32)+(I32)*(MAX($D$16,(E76)-(K32))))*(MAX($D$16,(E76)-(K32))),0.000001))^2)/(2*$I$5))))-((ABS(G76)/MAX(((G32)+(I32)*(MAX($D$16,(E76)-(K32))))*(MAX($D$16,(E76)-(K32))),0.000001))^2)/(2*$I$5)</f>
        <v>52432.141837658281</v>
      </c>
      <c r="S76">
        <f>M76+((ABS(I76)/MAX(((G34)+(I34)*(MAX($D$16,(M76)-(K34))))*(MAX($D$16,(M76)-(K34))),0.000001))^2)/(2*$I$5)+((E34)*((((ABS(I76)*$D$6)/(MAX(((F34)+(H34)*(MAX($D$16,(E76)-(J34))))*(MAX($D$16,(E76)-(J34))),0.000001)*MAX(((((F34)+(H34)*(MAX($D$16,(E76)-(J34))))*(MAX($D$16,(E76)-(J34))))/MAX((F34)+2*(MAX($D$16,(E76)-(J34)))*SQRT(1+(H34)^2),0.000001))^(2/3),0.000001)))^2)+(((ABS(I76)*$D$6)/(MAX(((G34)+(I34)*(MAX($D$16,(M76)-(K34))))*(MAX($D$16,(M76)-(K34))),0.000001)*MAX(((((G34)+(I34)*(MAX($D$16,(M76)-(K34))))*(MAX($D$16,(M76)-(K34))))/MAX((G34)+2*(MAX($D$16,(M76)-(K34)))*SQRT(1+(I34)^2),0.000001))^(2/3),0.000001)))^2))/2)+(IF((ABS(I76)/MAX(((G34)+(I34)*(MAX($D$16,(M76)-(K34))))*(MAX($D$16,(M76)-(K34))),0.000001))&gt;(ABS(I76)/MAX(((F34)+(H34)*(MAX($D$16,(E76)-(J34))))*(MAX($D$16,(E76)-(J34))),0.000001)),$D$9*((((ABS(I76)/MAX(((G34)+(I34)*(MAX($D$16,(M76)-(K34))))*(MAX($D$16,(M76)-(K34))),0.000001))^2)/(2*$I$5))-(((ABS(I76)/MAX(((F34)+(H34)*(MAX($D$16,(E76)-(J34))))*(MAX($D$16,(E76)-(J34))),0.000001))^2)/(2*$I$5))),$D$8*((((ABS(I76)/MAX(((F34)+(H34)*(MAX($D$16,(E76)-(J34))))*(MAX($D$16,(E76)-(J34))),0.000001))^2)/(2*$I$5))-(((ABS(I76)/MAX(((G34)+(I34)*(MAX($D$16,(M76)-(K34))))*(MAX($D$16,(M76)-(K34))),0.000001))^2)/(2*$I$5)))))+($D$10*(ABS((X34)-(W34))/90)*MAX(((ABS(I76)/MAX(((F34)+(H34)*(MAX($D$16,(E76)-(J34))))*(MAX($D$16,(E76)-(J34))),0.000001))^2)/(2*$I$5),((ABS(I76)/MAX(((G34)+(I34)*(MAX($D$16,(M76)-(K34))))*(MAX($D$16,(M76)-(K34))),0.000001))^2)/(2*$I$5)))+(0)-((ABS(I76)/MAX(((F34)+(H34)*(MAX($D$16,(E76)-(J34))))*(MAX($D$16,(E76)-(J34))),0.000001))^2)/(2*$I$5)</f>
        <v>635.5</v>
      </c>
      <c r="T76">
        <f>N76+((ABS(J76)/MAX(((G35)+(I35)*(MAX($D$16,(N76)-(K35))))*(MAX($D$16,(N76)-(K35))),0.000001))^2)/(2*$I$5)+((E35)*((((ABS(J76)*$D$6)/(MAX(((F35)+(H35)*(MAX($D$16,(E76)-(J35))))*(MAX($D$16,(E76)-(J35))),0.000001)*MAX(((((F35)+(H35)*(MAX($D$16,(E76)-(J35))))*(MAX($D$16,(E76)-(J35))))/MAX((F35)+2*(MAX($D$16,(E76)-(J35)))*SQRT(1+(H35)^2),0.000001))^(2/3),0.000001)))^2)+(((ABS(J76)*$D$6)/(MAX(((G35)+(I35)*(MAX($D$16,(N76)-(K35))))*(MAX($D$16,(N76)-(K35))),0.000001)*MAX(((((G35)+(I35)*(MAX($D$16,(N76)-(K35))))*(MAX($D$16,(N76)-(K35))))/MAX((G35)+2*(MAX($D$16,(N76)-(K35)))*SQRT(1+(I35)^2),0.000001))^(2/3),0.000001)))^2))/2)+(IF((ABS(J76)/MAX(((G35)+(I35)*(MAX($D$16,(N76)-(K35))))*(MAX($D$16,(N76)-(K35))),0.000001))&gt;(ABS(J76)/MAX(((F35)+(H35)*(MAX($D$16,(E76)-(J35))))*(MAX($D$16,(E76)-(J35))),0.000001)),$D$9*((((ABS(J76)/MAX(((G35)+(I35)*(MAX($D$16,(N76)-(K35))))*(MAX($D$16,(N76)-(K35))),0.000001))^2)/(2*$I$5))-(((ABS(J76)/MAX(((F35)+(H35)*(MAX($D$16,(E76)-(J35))))*(MAX($D$16,(E76)-(J35))),0.000001))^2)/(2*$I$5))),$D$8*((((ABS(J76)/MAX(((F35)+(H35)*(MAX($D$16,(E76)-(J35))))*(MAX($D$16,(E76)-(J35))),0.000001))^2)/(2*$I$5))-(((ABS(J76)/MAX(((G35)+(I35)*(MAX($D$16,(N76)-(K35))))*(MAX($D$16,(N76)-(K35))),0.000001))^2)/(2*$I$5)))))+($D$10*(ABS((X35)-(W35))/90)*MAX(((ABS(J76)/MAX(((F35)+(H35)*(MAX($D$16,(E76)-(J35))))*(MAX($D$16,(E76)-(J35))),0.000001))^2)/(2*$I$5),((ABS(J76)/MAX(((G35)+(I35)*(MAX($D$16,(N76)-(K35))))*(MAX($D$16,(N76)-(K35))),0.000001))^2)/(2*$I$5)))+(($D$11*0.34699541*(ABS(I76)/MAX(ABS(G76),0.000001))^2*MAX(((ABS(J76)/MAX(((F35)+(H35)*(MAX($D$16,(E76)-(J35))))*(MAX($D$16,(E76)-(J35))),0.000001))^2)/(2*$I$5),((ABS(J76)/MAX(((G35)+(I35)*(MAX($D$16,(N76)-(K35))))*(MAX($D$16,(N76)-(K35))),0.000001))^2)/(2*$I$5))))-((ABS(J76)/MAX(((F35)+(H35)*(MAX($D$16,(E76)-(J35))))*(MAX($D$16,(E76)-(J35))),0.000001))^2)/(2*$I$5)</f>
        <v>20784.033523923383</v>
      </c>
      <c r="U76">
        <f>(((((F32)*(MAX($D$16,(D76)-(J32)))^2)/2+(H32)*(MAX($D$16,(D76)-(J32)))^3/3+(ABS(G76)^2)/($I$5*MAX(((F32)+(H32)*(MAX($D$16,(D76)-(J32))))*(MAX($D$16,(D76)-(J32))),0.000001)))*0.72785025)-((((F33)*(MAX($D$16,(D76)-(J33)))^2)/2+(H33)*(MAX($D$16,(D76)-(J33)))^3/3+(ABS(H76)^2)/($I$5*MAX(((F33)+(H33)*(MAX($D$16,(D76)-(J33))))*(MAX($D$16,(D76)-(J33))),0.000001)))*0.99999971))/MAX(((G31)*(MAX($D$16,(D76)-(K31)))^2)/2+(I31)*(MAX($D$16,(D76)-(K31)))^3/3+(ABS(F76)^2)/($I$5*MAX(((G31)+(I31)*(MAX($D$16,(D76)-(K31))))*(MAX($D$16,(D76)-(K31))),0.000001)),0.000001)</f>
        <v>-0.27214945999991119</v>
      </c>
      <c r="V76">
        <f>(((((F34)*(MAX($D$16,(E76)-(J34)))^2)/2+(H34)*(MAX($D$16,(E76)-(J34)))^3/3+(ABS(I76)^2)/($I$5*MAX(((F34)+(H34)*(MAX($D$16,(E76)-(J34))))*(MAX($D$16,(E76)-(J34))),0.000001)))*1)-((((F35)*(MAX($D$16,(E76)-(J35)))^2)/2+(H35)*(MAX($D$16,(E76)-(J35)))^3/3+(ABS(J76)^2)/($I$5*MAX(((F35)+(H35)*(MAX($D$16,(E76)-(J35))))*(MAX($D$16,(E76)-(J35))),0.000001)))*0.30600918))/MAX(((G32)*(MAX($D$16,(E76)-(K32)))^2)/2+(I32)*(MAX($D$16,(E76)-(K32)))^3/3+(ABS(G76)^2)/($I$5*MAX(((G32)+(I32)*(MAX($D$16,(E76)-(K32))))*(MAX($D$16,(E76)-(K32))),0.000001)),0.000001)</f>
        <v>0.69398638937190382</v>
      </c>
      <c r="W76">
        <f>IF(N6="None",ABS(P76-D76),MAX(ABS(P76-D76),ABS(Q76-D76)))</f>
        <v>3.4197000786662102E-10</v>
      </c>
      <c r="X76">
        <f>IF(AND(N7="None",N8="None"),0,IF(N8="None",ABS(S76-E76),IF(N7="None",ABS(T76-E76),MAX(ABS(S76-E76),ABS(T76-E76)))))</f>
        <v>51796.641837657939</v>
      </c>
      <c r="AA76">
        <f t="shared" si="18"/>
        <v>52432.141837658266</v>
      </c>
      <c r="AB76">
        <f t="shared" si="19"/>
        <v>41355.303927850844</v>
      </c>
      <c r="AC76">
        <f>IF(N6="None",P76,MAX(P76,Q76))</f>
        <v>52432.141837658492</v>
      </c>
      <c r="AD76">
        <f>IF(AND(N7="None",N8="None"),E76,IF(N8="None",S76,IF(N7="None",T76,MAX(S76,T76))))</f>
        <v>20784.033523923383</v>
      </c>
      <c r="AE76">
        <f t="shared" si="20"/>
        <v>637.65825101089831</v>
      </c>
      <c r="AF76">
        <f t="shared" si="21"/>
        <v>52432.141837658281</v>
      </c>
      <c r="AG76">
        <f>((G31)*(MAX($D$16,(AC76)-(K31)))^2)/2+(I31)*(MAX($D$16,(AC76)-(K31)))^3/3+(ABS(F76)^2)/($I$5*MAX(((G31)+(I31)*(MAX($D$16,(AC76)-(K31))))*(MAX($D$16,(AC76)-(K31))),0.000001))</f>
        <v>8797611517.4104424</v>
      </c>
      <c r="AH76">
        <f>((G31)*(MAX($D$16,(AE76)-(K31)))^2)/2+(I31)*(MAX($D$16,(AE76)-(K31)))^3/3+(ABS(F76)^2)/($I$5*MAX(((G31)+(I31)*(MAX($D$16,(AE76)-(K31))))*(MAX($D$16,(AE76)-(K31))),0.000001))</f>
        <v>49.055863329575246</v>
      </c>
      <c r="AI76">
        <f>((G32)*(MAX($D$16,(AD76)-(K32)))^2)/2+(I32)*(MAX($D$16,(AD76)-(K32)))^3/3+(ABS(G76)^2)/($I$5*MAX(((G32)+(I32)*(MAX($D$16,(AD76)-(K32))))*(MAX($D$16,(AD76)-(K32))),0.000001))</f>
        <v>2072376743.6648321</v>
      </c>
      <c r="AJ76">
        <f>((G32)*(MAX($D$16,(AF76)-(K32)))^2)/2+(I32)*(MAX($D$16,(AF76)-(K32)))^3/3+(ABS(G76)^2)/($I$5*MAX(((G32)+(I32)*(MAX($D$16,(AF76)-(K32))))*(MAX($D$16,(AF76)-(K32))),0.000001))</f>
        <v>13692714789.642118</v>
      </c>
      <c r="AK76" t="str">
        <f t="shared" si="22"/>
        <v>Subcritical</v>
      </c>
      <c r="AL76" t="str">
        <f t="shared" si="23"/>
        <v>Supercritical</v>
      </c>
      <c r="AM76">
        <f t="shared" si="24"/>
        <v>52432.141837658266</v>
      </c>
      <c r="AN76">
        <f t="shared" si="25"/>
        <v>52432.141837658055</v>
      </c>
      <c r="AO76">
        <f t="shared" si="26"/>
        <v>3.4197000786662102E-10</v>
      </c>
      <c r="AP76">
        <f t="shared" si="27"/>
        <v>3.4197000786662102E-10</v>
      </c>
    </row>
    <row r="77" spans="1:42" x14ac:dyDescent="0.35">
      <c r="A77">
        <v>34</v>
      </c>
      <c r="B77">
        <f t="shared" si="28"/>
        <v>0</v>
      </c>
      <c r="C77">
        <f t="shared" si="29"/>
        <v>0</v>
      </c>
      <c r="D77">
        <f t="shared" si="30"/>
        <v>52432.141837658266</v>
      </c>
      <c r="E77">
        <f t="shared" si="31"/>
        <v>52432.141837658055</v>
      </c>
      <c r="F77">
        <f t="shared" si="17"/>
        <v>51</v>
      </c>
      <c r="G77">
        <f>IF(N6="None",F77,MAX(0,F77*B77))</f>
        <v>51</v>
      </c>
      <c r="H77">
        <f>IF(N6="None",0,MAX(0,F77-G77))</f>
        <v>0</v>
      </c>
      <c r="I77">
        <f>IF(AND(N7="None",N8="None"),0,IF(N8="None",G77,IF(N7="None",0,MAX(0,G77*C77))))</f>
        <v>0</v>
      </c>
      <c r="J77">
        <f>IF(AND(N7="None",N8="None"),0,IF(N8="None",0,IF(N7="None",G77,MAX(0,G77-I77))))</f>
        <v>51</v>
      </c>
      <c r="K77">
        <f>P5</f>
        <v>637</v>
      </c>
      <c r="L77">
        <f>P6</f>
        <v>634.3119999999999</v>
      </c>
      <c r="M77">
        <f>P7</f>
        <v>635.5</v>
      </c>
      <c r="N77">
        <f>P8</f>
        <v>631.54999999999995</v>
      </c>
      <c r="O77">
        <f>K77+((ABS(F77)/MAX(((F31)+(H31)*(MAX($D$16,(K77)-(J31))))*(MAX($D$16,(K77)-(J31))),0.000001))^2)/(2*$I$5)-((E31)*((((ABS(F77)*$D$6)/(MAX(((F31)+(H31)*(MAX($D$16,(K77)-(J31))))*(MAX($D$16,(K77)-(J31))),0.000001)*MAX(((((F31)+(H31)*(MAX($D$16,(K77)-(J31))))*(MAX($D$16,(K77)-(J31))))/MAX((F31)+2*(MAX($D$16,(K77)-(J31)))*SQRT(1+(H31)^2),0.000001))^(2/3),0.000001)))^2)+(((ABS(F77)*$D$6)/(MAX(((G31)+(I31)*(MAX($D$16,(D77)-(K31))))*(MAX($D$16,(D77)-(K31))),0.000001)*MAX(((((G31)+(I31)*(MAX($D$16,(D77)-(K31))))*(MAX($D$16,(D77)-(K31))))/MAX((G31)+2*(MAX($D$16,(D77)-(K31)))*SQRT(1+(I31)^2),0.000001))^(2/3),0.000001)))^2))/2)+(IF((ABS(F77)/MAX(((G31)+(I31)*(MAX($D$16,(D77)-(K31))))*(MAX($D$16,(D77)-(K31))),0.000001))&gt;(ABS(F77)/MAX(((F31)+(H31)*(MAX($D$16,(K77)-(J31))))*(MAX($D$16,(K77)-(J31))),0.000001)),$D$9*((((ABS(F77)/MAX(((G31)+(I31)*(MAX($D$16,(D77)-(K31))))*(MAX($D$16,(D77)-(K31))),0.000001))^2)/(2*$I$5))-(((ABS(F77)/MAX(((F31)+(H31)*(MAX($D$16,(K77)-(J31))))*(MAX($D$16,(K77)-(J31))),0.000001))^2)/(2*$I$5))),$D$8*((((ABS(F77)/MAX(((F31)+(H31)*(MAX($D$16,(K77)-(J31))))*(MAX($D$16,(K77)-(J31))),0.000001))^2)/(2*$I$5))-(((ABS(F77)/MAX(((G31)+(I31)*(MAX($D$16,(D77)-(K31))))*(MAX($D$16,(D77)-(K31))),0.000001))^2)/(2*$I$5)))))+($D$10*(ABS((X31)-(W31))/90)*MAX(((ABS(F77)/MAX(((F31)+(H31)*(MAX($D$16,(K77)-(J31))))*(MAX($D$16,(K77)-(J31))),0.000001))^2)/(2*$I$5),((ABS(F77)/MAX(((G31)+(I31)*(MAX($D$16,(D77)-(K31))))*(MAX($D$16,(D77)-(K31))),0.000001))^2)/(2*$I$5)))+(0)-((ABS(F77)/MAX(((G31)+(I31)*(MAX($D$16,(D77)-(K31))))*(MAX($D$16,(D77)-(K31))),0.000001))^2)/(2*$I$5)</f>
        <v>637.65825101089831</v>
      </c>
      <c r="P77">
        <f>E77+((ABS(G77)/MAX(((G32)+(I32)*(MAX($D$16,(E77)-(K32))))*(MAX($D$16,(E77)-(K32))),0.000001))^2)/(2*$I$5)+((E32)*((((ABS(G77)*$D$6)/(MAX(((F32)+(H32)*(MAX($D$16,(D77)-(J32))))*(MAX($D$16,(D77)-(J32))),0.000001)*MAX(((((F32)+(H32)*(MAX($D$16,(D77)-(J32))))*(MAX($D$16,(D77)-(J32))))/MAX((F32)+2*(MAX($D$16,(D77)-(J32)))*SQRT(1+(H32)^2),0.000001))^(2/3),0.000001)))^2)+(((ABS(G77)*$D$6)/(MAX(((G32)+(I32)*(MAX($D$16,(E77)-(K32))))*(MAX($D$16,(E77)-(K32))),0.000001)*MAX(((((G32)+(I32)*(MAX($D$16,(E77)-(K32))))*(MAX($D$16,(E77)-(K32))))/MAX((G32)+2*(MAX($D$16,(E77)-(K32)))*SQRT(1+(I32)^2),0.000001))^(2/3),0.000001)))^2))/2)+(IF((ABS(G77)/MAX(((G32)+(I32)*(MAX($D$16,(E77)-(K32))))*(MAX($D$16,(E77)-(K32))),0.000001))&gt;(ABS(G77)/MAX(((F32)+(H32)*(MAX($D$16,(D77)-(J32))))*(MAX($D$16,(D77)-(J32))),0.000001)),$D$9*((((ABS(G77)/MAX(((G32)+(I32)*(MAX($D$16,(E77)-(K32))))*(MAX($D$16,(E77)-(K32))),0.000001))^2)/(2*$I$5))-(((ABS(G77)/MAX(((F32)+(H32)*(MAX($D$16,(D77)-(J32))))*(MAX($D$16,(D77)-(J32))),0.000001))^2)/(2*$I$5))),$D$8*((((ABS(G77)/MAX(((F32)+(H32)*(MAX($D$16,(D77)-(J32))))*(MAX($D$16,(D77)-(J32))),0.000001))^2)/(2*$I$5))-(((ABS(G77)/MAX(((G32)+(I32)*(MAX($D$16,(E77)-(K32))))*(MAX($D$16,(E77)-(K32))),0.000001))^2)/(2*$I$5)))))+($D$10*(ABS((X32)-(W32))/90)*MAX(((ABS(G77)/MAX(((F32)+(H32)*(MAX($D$16,(D77)-(J32))))*(MAX($D$16,(D77)-(J32))),0.000001))^2)/(2*$I$5),((ABS(G77)/MAX(((G32)+(I32)*(MAX($D$16,(E77)-(K32))))*(MAX($D$16,(E77)-(K32))),0.000001))^2)/(2*$I$5)))+(($D$11*0.13607488*(ABS(H77)/MAX(ABS(F77),0.000001))^2*MAX(((ABS(G77)/MAX(((F32)+(H32)*(MAX($D$16,(D77)-(J32))))*(MAX($D$16,(D77)-(J32))),0.000001))^2)/(2*$I$5),((ABS(G77)/MAX(((G32)+(I32)*(MAX($D$16,(E77)-(K32))))*(MAX($D$16,(E77)-(K32))),0.000001))^2)/(2*$I$5))))-((ABS(G77)/MAX(((F32)+(H32)*(MAX($D$16,(D77)-(J32))))*(MAX($D$16,(D77)-(J32))),0.000001))^2)/(2*$I$5)</f>
        <v>52432.141837658608</v>
      </c>
      <c r="Q77">
        <f>L77+((ABS(H77)/MAX(((G33)+(I33)*(MAX($D$16,(L77)-(K33))))*(MAX($D$16,(L77)-(K33))),0.000001))^2)/(2*$I$5)+((E33)*((((ABS(H77)*$D$6)/(MAX(((F33)+(H33)*(MAX($D$16,(D77)-(J33))))*(MAX($D$16,(D77)-(J33))),0.000001)*MAX(((((F33)+(H33)*(MAX($D$16,(D77)-(J33))))*(MAX($D$16,(D77)-(J33))))/MAX((F33)+2*(MAX($D$16,(D77)-(J33)))*SQRT(1+(H33)^2),0.000001))^(2/3),0.000001)))^2)+(((ABS(H77)*$D$6)/(MAX(((G33)+(I33)*(MAX($D$16,(L77)-(K33))))*(MAX($D$16,(L77)-(K33))),0.000001)*MAX(((((G33)+(I33)*(MAX($D$16,(L77)-(K33))))*(MAX($D$16,(L77)-(K33))))/MAX((G33)+2*(MAX($D$16,(L77)-(K33)))*SQRT(1+(I33)^2),0.000001))^(2/3),0.000001)))^2))/2)+(IF((ABS(H77)/MAX(((G33)+(I33)*(MAX($D$16,(L77)-(K33))))*(MAX($D$16,(L77)-(K33))),0.000001))&gt;(ABS(H77)/MAX(((F33)+(H33)*(MAX($D$16,(D77)-(J33))))*(MAX($D$16,(D77)-(J33))),0.000001)),$D$9*((((ABS(H77)/MAX(((G33)+(I33)*(MAX($D$16,(L77)-(K33))))*(MAX($D$16,(L77)-(K33))),0.000001))^2)/(2*$I$5))-(((ABS(H77)/MAX(((F33)+(H33)*(MAX($D$16,(D77)-(J33))))*(MAX($D$16,(D77)-(J33))),0.000001))^2)/(2*$I$5))),$D$8*((((ABS(H77)/MAX(((F33)+(H33)*(MAX($D$16,(D77)-(J33))))*(MAX($D$16,(D77)-(J33))),0.000001))^2)/(2*$I$5))-(((ABS(H77)/MAX(((G33)+(I33)*(MAX($D$16,(L77)-(K33))))*(MAX($D$16,(L77)-(K33))),0.000001))^2)/(2*$I$5)))))+($D$10*(ABS((X33)-(W33))/90)*MAX(((ABS(H77)/MAX(((F33)+(H33)*(MAX($D$16,(D77)-(J33))))*(MAX($D$16,(D77)-(J33))),0.000001))^2)/(2*$I$5),((ABS(H77)/MAX(((G33)+(I33)*(MAX($D$16,(L77)-(K33))))*(MAX($D$16,(L77)-(K33))),0.000001))^2)/(2*$I$5)))+(($D$11*0.00000015*(ABS(G77)/MAX(ABS(F77),0.000001))^2*MAX(((ABS(H77)/MAX(((F33)+(H33)*(MAX($D$16,(D77)-(J33))))*(MAX($D$16,(D77)-(J33))),0.000001))^2)/(2*$I$5),((ABS(H77)/MAX(((G33)+(I33)*(MAX($D$16,(L77)-(K33))))*(MAX($D$16,(L77)-(K33))),0.000001))^2)/(2*$I$5))))-((ABS(H77)/MAX(((F33)+(H33)*(MAX($D$16,(D77)-(J33))))*(MAX($D$16,(D77)-(J33))),0.000001))^2)/(2*$I$5)</f>
        <v>634.3119999999999</v>
      </c>
      <c r="R77">
        <f>D77+((ABS(G77)/MAX(((F32)+(H32)*(MAX($D$16,(D77)-(J32))))*(MAX($D$16,(D77)-(J32))),0.000001))^2)/(2*$I$5)-((E32)*((((ABS(G77)*$D$6)/(MAX(((F32)+(H32)*(MAX($D$16,(D77)-(J32))))*(MAX($D$16,(D77)-(J32))),0.000001)*MAX(((((F32)+(H32)*(MAX($D$16,(D77)-(J32))))*(MAX($D$16,(D77)-(J32))))/MAX((F32)+2*(MAX($D$16,(D77)-(J32)))*SQRT(1+(H32)^2),0.000001))^(2/3),0.000001)))^2)+(((ABS(G77)*$D$6)/(MAX(((G32)+(I32)*(MAX($D$16,(E77)-(K32))))*(MAX($D$16,(E77)-(K32))),0.000001)*MAX(((((G32)+(I32)*(MAX($D$16,(E77)-(K32))))*(MAX($D$16,(E77)-(K32))))/MAX((G32)+2*(MAX($D$16,(E77)-(K32)))*SQRT(1+(I32)^2),0.000001))^(2/3),0.000001)))^2))/2)+(IF((ABS(G77)/MAX(((G32)+(I32)*(MAX($D$16,(E77)-(K32))))*(MAX($D$16,(E77)-(K32))),0.000001))&gt;(ABS(G77)/MAX(((F32)+(H32)*(MAX($D$16,(D77)-(J32))))*(MAX($D$16,(D77)-(J32))),0.000001)),$D$9*((((ABS(G77)/MAX(((G32)+(I32)*(MAX($D$16,(E77)-(K32))))*(MAX($D$16,(E77)-(K32))),0.000001))^2)/(2*$I$5))-(((ABS(G77)/MAX(((F32)+(H32)*(MAX($D$16,(D77)-(J32))))*(MAX($D$16,(D77)-(J32))),0.000001))^2)/(2*$I$5))),$D$8*((((ABS(G77)/MAX(((F32)+(H32)*(MAX($D$16,(D77)-(J32))))*(MAX($D$16,(D77)-(J32))),0.000001))^2)/(2*$I$5))-(((ABS(G77)/MAX(((G32)+(I32)*(MAX($D$16,(E77)-(K32))))*(MAX($D$16,(E77)-(K32))),0.000001))^2)/(2*$I$5)))))+($D$10*(ABS((X32)-(W32))/90)*MAX(((ABS(G77)/MAX(((F32)+(H32)*(MAX($D$16,(D77)-(J32))))*(MAX($D$16,(D77)-(J32))),0.000001))^2)/(2*$I$5),((ABS(G77)/MAX(((G32)+(I32)*(MAX($D$16,(E77)-(K32))))*(MAX($D$16,(E77)-(K32))),0.000001))^2)/(2*$I$5)))+(($D$11*0.13607488*(ABS(H77)/MAX(ABS(F77),0.000001))^2*MAX(((ABS(G77)/MAX(((F32)+(H32)*(MAX($D$16,(D77)-(J32))))*(MAX($D$16,(D77)-(J32))),0.000001))^2)/(2*$I$5),((ABS(G77)/MAX(((G32)+(I32)*(MAX($D$16,(E77)-(K32))))*(MAX($D$16,(E77)-(K32))),0.000001))^2)/(2*$I$5))))-((ABS(G77)/MAX(((G32)+(I32)*(MAX($D$16,(E77)-(K32))))*(MAX($D$16,(E77)-(K32))),0.000001))^2)/(2*$I$5)</f>
        <v>52432.141837658397</v>
      </c>
      <c r="S77">
        <f>M77+((ABS(I77)/MAX(((G34)+(I34)*(MAX($D$16,(M77)-(K34))))*(MAX($D$16,(M77)-(K34))),0.000001))^2)/(2*$I$5)+((E34)*((((ABS(I77)*$D$6)/(MAX(((F34)+(H34)*(MAX($D$16,(E77)-(J34))))*(MAX($D$16,(E77)-(J34))),0.000001)*MAX(((((F34)+(H34)*(MAX($D$16,(E77)-(J34))))*(MAX($D$16,(E77)-(J34))))/MAX((F34)+2*(MAX($D$16,(E77)-(J34)))*SQRT(1+(H34)^2),0.000001))^(2/3),0.000001)))^2)+(((ABS(I77)*$D$6)/(MAX(((G34)+(I34)*(MAX($D$16,(M77)-(K34))))*(MAX($D$16,(M77)-(K34))),0.000001)*MAX(((((G34)+(I34)*(MAX($D$16,(M77)-(K34))))*(MAX($D$16,(M77)-(K34))))/MAX((G34)+2*(MAX($D$16,(M77)-(K34)))*SQRT(1+(I34)^2),0.000001))^(2/3),0.000001)))^2))/2)+(IF((ABS(I77)/MAX(((G34)+(I34)*(MAX($D$16,(M77)-(K34))))*(MAX($D$16,(M77)-(K34))),0.000001))&gt;(ABS(I77)/MAX(((F34)+(H34)*(MAX($D$16,(E77)-(J34))))*(MAX($D$16,(E77)-(J34))),0.000001)),$D$9*((((ABS(I77)/MAX(((G34)+(I34)*(MAX($D$16,(M77)-(K34))))*(MAX($D$16,(M77)-(K34))),0.000001))^2)/(2*$I$5))-(((ABS(I77)/MAX(((F34)+(H34)*(MAX($D$16,(E77)-(J34))))*(MAX($D$16,(E77)-(J34))),0.000001))^2)/(2*$I$5))),$D$8*((((ABS(I77)/MAX(((F34)+(H34)*(MAX($D$16,(E77)-(J34))))*(MAX($D$16,(E77)-(J34))),0.000001))^2)/(2*$I$5))-(((ABS(I77)/MAX(((G34)+(I34)*(MAX($D$16,(M77)-(K34))))*(MAX($D$16,(M77)-(K34))),0.000001))^2)/(2*$I$5)))))+($D$10*(ABS((X34)-(W34))/90)*MAX(((ABS(I77)/MAX(((F34)+(H34)*(MAX($D$16,(E77)-(J34))))*(MAX($D$16,(E77)-(J34))),0.000001))^2)/(2*$I$5),((ABS(I77)/MAX(((G34)+(I34)*(MAX($D$16,(M77)-(K34))))*(MAX($D$16,(M77)-(K34))),0.000001))^2)/(2*$I$5)))+(0)-((ABS(I77)/MAX(((F34)+(H34)*(MAX($D$16,(E77)-(J34))))*(MAX($D$16,(E77)-(J34))),0.000001))^2)/(2*$I$5)</f>
        <v>635.5</v>
      </c>
      <c r="T77">
        <f>N77+((ABS(J77)/MAX(((G35)+(I35)*(MAX($D$16,(N77)-(K35))))*(MAX($D$16,(N77)-(K35))),0.000001))^2)/(2*$I$5)+((E35)*((((ABS(J77)*$D$6)/(MAX(((F35)+(H35)*(MAX($D$16,(E77)-(J35))))*(MAX($D$16,(E77)-(J35))),0.000001)*MAX(((((F35)+(H35)*(MAX($D$16,(E77)-(J35))))*(MAX($D$16,(E77)-(J35))))/MAX((F35)+2*(MAX($D$16,(E77)-(J35)))*SQRT(1+(H35)^2),0.000001))^(2/3),0.000001)))^2)+(((ABS(J77)*$D$6)/(MAX(((G35)+(I35)*(MAX($D$16,(N77)-(K35))))*(MAX($D$16,(N77)-(K35))),0.000001)*MAX(((((G35)+(I35)*(MAX($D$16,(N77)-(K35))))*(MAX($D$16,(N77)-(K35))))/MAX((G35)+2*(MAX($D$16,(N77)-(K35)))*SQRT(1+(I35)^2),0.000001))^(2/3),0.000001)))^2))/2)+(IF((ABS(J77)/MAX(((G35)+(I35)*(MAX($D$16,(N77)-(K35))))*(MAX($D$16,(N77)-(K35))),0.000001))&gt;(ABS(J77)/MAX(((F35)+(H35)*(MAX($D$16,(E77)-(J35))))*(MAX($D$16,(E77)-(J35))),0.000001)),$D$9*((((ABS(J77)/MAX(((G35)+(I35)*(MAX($D$16,(N77)-(K35))))*(MAX($D$16,(N77)-(K35))),0.000001))^2)/(2*$I$5))-(((ABS(J77)/MAX(((F35)+(H35)*(MAX($D$16,(E77)-(J35))))*(MAX($D$16,(E77)-(J35))),0.000001))^2)/(2*$I$5))),$D$8*((((ABS(J77)/MAX(((F35)+(H35)*(MAX($D$16,(E77)-(J35))))*(MAX($D$16,(E77)-(J35))),0.000001))^2)/(2*$I$5))-(((ABS(J77)/MAX(((G35)+(I35)*(MAX($D$16,(N77)-(K35))))*(MAX($D$16,(N77)-(K35))),0.000001))^2)/(2*$I$5)))))+($D$10*(ABS((X35)-(W35))/90)*MAX(((ABS(J77)/MAX(((F35)+(H35)*(MAX($D$16,(E77)-(J35))))*(MAX($D$16,(E77)-(J35))),0.000001))^2)/(2*$I$5),((ABS(J77)/MAX(((G35)+(I35)*(MAX($D$16,(N77)-(K35))))*(MAX($D$16,(N77)-(K35))),0.000001))^2)/(2*$I$5)))+(($D$11*0.34699541*(ABS(I77)/MAX(ABS(G77),0.000001))^2*MAX(((ABS(J77)/MAX(((F35)+(H35)*(MAX($D$16,(E77)-(J35))))*(MAX($D$16,(E77)-(J35))),0.000001))^2)/(2*$I$5),((ABS(J77)/MAX(((G35)+(I35)*(MAX($D$16,(N77)-(K35))))*(MAX($D$16,(N77)-(K35))),0.000001))^2)/(2*$I$5))))-((ABS(J77)/MAX(((F35)+(H35)*(MAX($D$16,(E77)-(J35))))*(MAX($D$16,(E77)-(J35))),0.000001))^2)/(2*$I$5)</f>
        <v>20784.033523923383</v>
      </c>
      <c r="U77">
        <f>(((((F32)*(MAX($D$16,(D77)-(J32)))^2)/2+(H32)*(MAX($D$16,(D77)-(J32)))^3/3+(ABS(G77)^2)/($I$5*MAX(((F32)+(H32)*(MAX($D$16,(D77)-(J32))))*(MAX($D$16,(D77)-(J32))),0.000001)))*0.72785025)-((((F33)*(MAX($D$16,(D77)-(J33)))^2)/2+(H33)*(MAX($D$16,(D77)-(J33)))^3/3+(ABS(H77)^2)/($I$5*MAX(((F33)+(H33)*(MAX($D$16,(D77)-(J33))))*(MAX($D$16,(D77)-(J33))),0.000001)))*0.99999971))/MAX(((G31)*(MAX($D$16,(D77)-(K31)))^2)/2+(I31)*(MAX($D$16,(D77)-(K31)))^3/3+(ABS(F77)^2)/($I$5*MAX(((G31)+(I31)*(MAX($D$16,(D77)-(K31))))*(MAX($D$16,(D77)-(K31))),0.000001)),0.000001)</f>
        <v>-0.27214945999991119</v>
      </c>
      <c r="V77">
        <f>(((((F34)*(MAX($D$16,(E77)-(J34)))^2)/2+(H34)*(MAX($D$16,(E77)-(J34)))^3/3+(ABS(I77)^2)/($I$5*MAX(((F34)+(H34)*(MAX($D$16,(E77)-(J34))))*(MAX($D$16,(E77)-(J34))),0.000001)))*1)-((((F35)*(MAX($D$16,(E77)-(J35)))^2)/2+(H35)*(MAX($D$16,(E77)-(J35)))^3/3+(ABS(J77)^2)/($I$5*MAX(((F35)+(H35)*(MAX($D$16,(E77)-(J35))))*(MAX($D$16,(E77)-(J35))),0.000001)))*0.30600918))/MAX(((G32)*(MAX($D$16,(E77)-(K32)))^2)/2+(I32)*(MAX($D$16,(E77)-(K32)))^3/3+(ABS(G77)^2)/($I$5*MAX(((G32)+(I32)*(MAX($D$16,(E77)-(K32))))*(MAX($D$16,(E77)-(K32))),0.000001)),0.000001)</f>
        <v>0.69398638937190382</v>
      </c>
      <c r="W77">
        <f>IF(N6="None",ABS(P77-D77),MAX(ABS(P77-D77),ABS(Q77-D77)))</f>
        <v>3.4197000786662102E-10</v>
      </c>
      <c r="X77">
        <f>IF(AND(N7="None",N8="None"),0,IF(N8="None",ABS(S77-E77),IF(N7="None",ABS(T77-E77),MAX(ABS(S77-E77),ABS(T77-E77)))))</f>
        <v>51796.641837658055</v>
      </c>
      <c r="AA77">
        <f t="shared" si="18"/>
        <v>52432.141837658382</v>
      </c>
      <c r="AB77">
        <f t="shared" si="19"/>
        <v>41355.303927850924</v>
      </c>
      <c r="AC77">
        <f>IF(N6="None",P77,MAX(P77,Q77))</f>
        <v>52432.141837658608</v>
      </c>
      <c r="AD77">
        <f>IF(AND(N7="None",N8="None"),E77,IF(N8="None",S77,IF(N7="None",T77,MAX(S77,T77))))</f>
        <v>20784.033523923383</v>
      </c>
      <c r="AE77">
        <f t="shared" si="20"/>
        <v>637.65825101089831</v>
      </c>
      <c r="AF77">
        <f t="shared" si="21"/>
        <v>52432.141837658397</v>
      </c>
      <c r="AG77">
        <f>((G31)*(MAX($D$16,(AC77)-(K31)))^2)/2+(I31)*(MAX($D$16,(AC77)-(K31)))^3/3+(ABS(F77)^2)/($I$5*MAX(((G31)+(I31)*(MAX($D$16,(AC77)-(K31))))*(MAX($D$16,(AC77)-(K31))),0.000001))</f>
        <v>8797611517.4104843</v>
      </c>
      <c r="AH77">
        <f>((G31)*(MAX($D$16,(AE77)-(K31)))^2)/2+(I31)*(MAX($D$16,(AE77)-(K31)))^3/3+(ABS(F77)^2)/($I$5*MAX(((G31)+(I31)*(MAX($D$16,(AE77)-(K31))))*(MAX($D$16,(AE77)-(K31))),0.000001))</f>
        <v>49.055863329575246</v>
      </c>
      <c r="AI77">
        <f>((G32)*(MAX($D$16,(AD77)-(K32)))^2)/2+(I32)*(MAX($D$16,(AD77)-(K32)))^3/3+(ABS(G77)^2)/($I$5*MAX(((G32)+(I32)*(MAX($D$16,(AD77)-(K32))))*(MAX($D$16,(AD77)-(K32))),0.000001))</f>
        <v>2072376743.6648321</v>
      </c>
      <c r="AJ77">
        <f>((G32)*(MAX($D$16,(AF77)-(K32)))^2)/2+(I32)*(MAX($D$16,(AF77)-(K32)))^3/3+(ABS(G77)^2)/($I$5*MAX(((G32)+(I32)*(MAX($D$16,(AF77)-(K32))))*(MAX($D$16,(AF77)-(K32))),0.000001))</f>
        <v>13692714789.642181</v>
      </c>
      <c r="AK77" t="str">
        <f t="shared" si="22"/>
        <v>Subcritical</v>
      </c>
      <c r="AL77" t="str">
        <f t="shared" si="23"/>
        <v>Supercritical</v>
      </c>
      <c r="AM77">
        <f t="shared" si="24"/>
        <v>52432.141837658382</v>
      </c>
      <c r="AN77">
        <f t="shared" si="25"/>
        <v>52432.141837658171</v>
      </c>
      <c r="AO77">
        <f t="shared" si="26"/>
        <v>3.4197000786662102E-10</v>
      </c>
      <c r="AP77">
        <f t="shared" si="27"/>
        <v>3.4197000786662102E-10</v>
      </c>
    </row>
    <row r="78" spans="1:42" x14ac:dyDescent="0.35">
      <c r="A78">
        <v>35</v>
      </c>
      <c r="B78">
        <f t="shared" si="28"/>
        <v>0</v>
      </c>
      <c r="C78">
        <f t="shared" si="29"/>
        <v>0</v>
      </c>
      <c r="D78">
        <f t="shared" si="30"/>
        <v>52432.141837658382</v>
      </c>
      <c r="E78">
        <f t="shared" si="31"/>
        <v>52432.141837658171</v>
      </c>
      <c r="F78">
        <f t="shared" si="17"/>
        <v>51</v>
      </c>
      <c r="G78">
        <f>IF(N6="None",F78,MAX(0,F78*B78))</f>
        <v>51</v>
      </c>
      <c r="H78">
        <f>IF(N6="None",0,MAX(0,F78-G78))</f>
        <v>0</v>
      </c>
      <c r="I78">
        <f>IF(AND(N7="None",N8="None"),0,IF(N8="None",G78,IF(N7="None",0,MAX(0,G78*C78))))</f>
        <v>0</v>
      </c>
      <c r="J78">
        <f>IF(AND(N7="None",N8="None"),0,IF(N8="None",0,IF(N7="None",G78,MAX(0,G78-I78))))</f>
        <v>51</v>
      </c>
      <c r="K78">
        <f>P5</f>
        <v>637</v>
      </c>
      <c r="L78">
        <f>P6</f>
        <v>634.3119999999999</v>
      </c>
      <c r="M78">
        <f>P7</f>
        <v>635.5</v>
      </c>
      <c r="N78">
        <f>P8</f>
        <v>631.54999999999995</v>
      </c>
      <c r="O78">
        <f>K78+((ABS(F78)/MAX(((F31)+(H31)*(MAX($D$16,(K78)-(J31))))*(MAX($D$16,(K78)-(J31))),0.000001))^2)/(2*$I$5)-((E31)*((((ABS(F78)*$D$6)/(MAX(((F31)+(H31)*(MAX($D$16,(K78)-(J31))))*(MAX($D$16,(K78)-(J31))),0.000001)*MAX(((((F31)+(H31)*(MAX($D$16,(K78)-(J31))))*(MAX($D$16,(K78)-(J31))))/MAX((F31)+2*(MAX($D$16,(K78)-(J31)))*SQRT(1+(H31)^2),0.000001))^(2/3),0.000001)))^2)+(((ABS(F78)*$D$6)/(MAX(((G31)+(I31)*(MAX($D$16,(D78)-(K31))))*(MAX($D$16,(D78)-(K31))),0.000001)*MAX(((((G31)+(I31)*(MAX($D$16,(D78)-(K31))))*(MAX($D$16,(D78)-(K31))))/MAX((G31)+2*(MAX($D$16,(D78)-(K31)))*SQRT(1+(I31)^2),0.000001))^(2/3),0.000001)))^2))/2)+(IF((ABS(F78)/MAX(((G31)+(I31)*(MAX($D$16,(D78)-(K31))))*(MAX($D$16,(D78)-(K31))),0.000001))&gt;(ABS(F78)/MAX(((F31)+(H31)*(MAX($D$16,(K78)-(J31))))*(MAX($D$16,(K78)-(J31))),0.000001)),$D$9*((((ABS(F78)/MAX(((G31)+(I31)*(MAX($D$16,(D78)-(K31))))*(MAX($D$16,(D78)-(K31))),0.000001))^2)/(2*$I$5))-(((ABS(F78)/MAX(((F31)+(H31)*(MAX($D$16,(K78)-(J31))))*(MAX($D$16,(K78)-(J31))),0.000001))^2)/(2*$I$5))),$D$8*((((ABS(F78)/MAX(((F31)+(H31)*(MAX($D$16,(K78)-(J31))))*(MAX($D$16,(K78)-(J31))),0.000001))^2)/(2*$I$5))-(((ABS(F78)/MAX(((G31)+(I31)*(MAX($D$16,(D78)-(K31))))*(MAX($D$16,(D78)-(K31))),0.000001))^2)/(2*$I$5)))))+($D$10*(ABS((X31)-(W31))/90)*MAX(((ABS(F78)/MAX(((F31)+(H31)*(MAX($D$16,(K78)-(J31))))*(MAX($D$16,(K78)-(J31))),0.000001))^2)/(2*$I$5),((ABS(F78)/MAX(((G31)+(I31)*(MAX($D$16,(D78)-(K31))))*(MAX($D$16,(D78)-(K31))),0.000001))^2)/(2*$I$5)))+(0)-((ABS(F78)/MAX(((G31)+(I31)*(MAX($D$16,(D78)-(K31))))*(MAX($D$16,(D78)-(K31))),0.000001))^2)/(2*$I$5)</f>
        <v>637.65825101089831</v>
      </c>
      <c r="P78">
        <f>E78+((ABS(G78)/MAX(((G32)+(I32)*(MAX($D$16,(E78)-(K32))))*(MAX($D$16,(E78)-(K32))),0.000001))^2)/(2*$I$5)+((E32)*((((ABS(G78)*$D$6)/(MAX(((F32)+(H32)*(MAX($D$16,(D78)-(J32))))*(MAX($D$16,(D78)-(J32))),0.000001)*MAX(((((F32)+(H32)*(MAX($D$16,(D78)-(J32))))*(MAX($D$16,(D78)-(J32))))/MAX((F32)+2*(MAX($D$16,(D78)-(J32)))*SQRT(1+(H32)^2),0.000001))^(2/3),0.000001)))^2)+(((ABS(G78)*$D$6)/(MAX(((G32)+(I32)*(MAX($D$16,(E78)-(K32))))*(MAX($D$16,(E78)-(K32))),0.000001)*MAX(((((G32)+(I32)*(MAX($D$16,(E78)-(K32))))*(MAX($D$16,(E78)-(K32))))/MAX((G32)+2*(MAX($D$16,(E78)-(K32)))*SQRT(1+(I32)^2),0.000001))^(2/3),0.000001)))^2))/2)+(IF((ABS(G78)/MAX(((G32)+(I32)*(MAX($D$16,(E78)-(K32))))*(MAX($D$16,(E78)-(K32))),0.000001))&gt;(ABS(G78)/MAX(((F32)+(H32)*(MAX($D$16,(D78)-(J32))))*(MAX($D$16,(D78)-(J32))),0.000001)),$D$9*((((ABS(G78)/MAX(((G32)+(I32)*(MAX($D$16,(E78)-(K32))))*(MAX($D$16,(E78)-(K32))),0.000001))^2)/(2*$I$5))-(((ABS(G78)/MAX(((F32)+(H32)*(MAX($D$16,(D78)-(J32))))*(MAX($D$16,(D78)-(J32))),0.000001))^2)/(2*$I$5))),$D$8*((((ABS(G78)/MAX(((F32)+(H32)*(MAX($D$16,(D78)-(J32))))*(MAX($D$16,(D78)-(J32))),0.000001))^2)/(2*$I$5))-(((ABS(G78)/MAX(((G32)+(I32)*(MAX($D$16,(E78)-(K32))))*(MAX($D$16,(E78)-(K32))),0.000001))^2)/(2*$I$5)))))+($D$10*(ABS((X32)-(W32))/90)*MAX(((ABS(G78)/MAX(((F32)+(H32)*(MAX($D$16,(D78)-(J32))))*(MAX($D$16,(D78)-(J32))),0.000001))^2)/(2*$I$5),((ABS(G78)/MAX(((G32)+(I32)*(MAX($D$16,(E78)-(K32))))*(MAX($D$16,(E78)-(K32))),0.000001))^2)/(2*$I$5)))+(($D$11*0.13607488*(ABS(H78)/MAX(ABS(F78),0.000001))^2*MAX(((ABS(G78)/MAX(((F32)+(H32)*(MAX($D$16,(D78)-(J32))))*(MAX($D$16,(D78)-(J32))),0.000001))^2)/(2*$I$5),((ABS(G78)/MAX(((G32)+(I32)*(MAX($D$16,(E78)-(K32))))*(MAX($D$16,(E78)-(K32))),0.000001))^2)/(2*$I$5))))-((ABS(G78)/MAX(((F32)+(H32)*(MAX($D$16,(D78)-(J32))))*(MAX($D$16,(D78)-(J32))),0.000001))^2)/(2*$I$5)</f>
        <v>52432.141837658724</v>
      </c>
      <c r="Q78">
        <f>L78+((ABS(H78)/MAX(((G33)+(I33)*(MAX($D$16,(L78)-(K33))))*(MAX($D$16,(L78)-(K33))),0.000001))^2)/(2*$I$5)+((E33)*((((ABS(H78)*$D$6)/(MAX(((F33)+(H33)*(MAX($D$16,(D78)-(J33))))*(MAX($D$16,(D78)-(J33))),0.000001)*MAX(((((F33)+(H33)*(MAX($D$16,(D78)-(J33))))*(MAX($D$16,(D78)-(J33))))/MAX((F33)+2*(MAX($D$16,(D78)-(J33)))*SQRT(1+(H33)^2),0.000001))^(2/3),0.000001)))^2)+(((ABS(H78)*$D$6)/(MAX(((G33)+(I33)*(MAX($D$16,(L78)-(K33))))*(MAX($D$16,(L78)-(K33))),0.000001)*MAX(((((G33)+(I33)*(MAX($D$16,(L78)-(K33))))*(MAX($D$16,(L78)-(K33))))/MAX((G33)+2*(MAX($D$16,(L78)-(K33)))*SQRT(1+(I33)^2),0.000001))^(2/3),0.000001)))^2))/2)+(IF((ABS(H78)/MAX(((G33)+(I33)*(MAX($D$16,(L78)-(K33))))*(MAX($D$16,(L78)-(K33))),0.000001))&gt;(ABS(H78)/MAX(((F33)+(H33)*(MAX($D$16,(D78)-(J33))))*(MAX($D$16,(D78)-(J33))),0.000001)),$D$9*((((ABS(H78)/MAX(((G33)+(I33)*(MAX($D$16,(L78)-(K33))))*(MAX($D$16,(L78)-(K33))),0.000001))^2)/(2*$I$5))-(((ABS(H78)/MAX(((F33)+(H33)*(MAX($D$16,(D78)-(J33))))*(MAX($D$16,(D78)-(J33))),0.000001))^2)/(2*$I$5))),$D$8*((((ABS(H78)/MAX(((F33)+(H33)*(MAX($D$16,(D78)-(J33))))*(MAX($D$16,(D78)-(J33))),0.000001))^2)/(2*$I$5))-(((ABS(H78)/MAX(((G33)+(I33)*(MAX($D$16,(L78)-(K33))))*(MAX($D$16,(L78)-(K33))),0.000001))^2)/(2*$I$5)))))+($D$10*(ABS((X33)-(W33))/90)*MAX(((ABS(H78)/MAX(((F33)+(H33)*(MAX($D$16,(D78)-(J33))))*(MAX($D$16,(D78)-(J33))),0.000001))^2)/(2*$I$5),((ABS(H78)/MAX(((G33)+(I33)*(MAX($D$16,(L78)-(K33))))*(MAX($D$16,(L78)-(K33))),0.000001))^2)/(2*$I$5)))+(($D$11*0.00000015*(ABS(G78)/MAX(ABS(F78),0.000001))^2*MAX(((ABS(H78)/MAX(((F33)+(H33)*(MAX($D$16,(D78)-(J33))))*(MAX($D$16,(D78)-(J33))),0.000001))^2)/(2*$I$5),((ABS(H78)/MAX(((G33)+(I33)*(MAX($D$16,(L78)-(K33))))*(MAX($D$16,(L78)-(K33))),0.000001))^2)/(2*$I$5))))-((ABS(H78)/MAX(((F33)+(H33)*(MAX($D$16,(D78)-(J33))))*(MAX($D$16,(D78)-(J33))),0.000001))^2)/(2*$I$5)</f>
        <v>634.3119999999999</v>
      </c>
      <c r="R78">
        <f>D78+((ABS(G78)/MAX(((F32)+(H32)*(MAX($D$16,(D78)-(J32))))*(MAX($D$16,(D78)-(J32))),0.000001))^2)/(2*$I$5)-((E32)*((((ABS(G78)*$D$6)/(MAX(((F32)+(H32)*(MAX($D$16,(D78)-(J32))))*(MAX($D$16,(D78)-(J32))),0.000001)*MAX(((((F32)+(H32)*(MAX($D$16,(D78)-(J32))))*(MAX($D$16,(D78)-(J32))))/MAX((F32)+2*(MAX($D$16,(D78)-(J32)))*SQRT(1+(H32)^2),0.000001))^(2/3),0.000001)))^2)+(((ABS(G78)*$D$6)/(MAX(((G32)+(I32)*(MAX($D$16,(E78)-(K32))))*(MAX($D$16,(E78)-(K32))),0.000001)*MAX(((((G32)+(I32)*(MAX($D$16,(E78)-(K32))))*(MAX($D$16,(E78)-(K32))))/MAX((G32)+2*(MAX($D$16,(E78)-(K32)))*SQRT(1+(I32)^2),0.000001))^(2/3),0.000001)))^2))/2)+(IF((ABS(G78)/MAX(((G32)+(I32)*(MAX($D$16,(E78)-(K32))))*(MAX($D$16,(E78)-(K32))),0.000001))&gt;(ABS(G78)/MAX(((F32)+(H32)*(MAX($D$16,(D78)-(J32))))*(MAX($D$16,(D78)-(J32))),0.000001)),$D$9*((((ABS(G78)/MAX(((G32)+(I32)*(MAX($D$16,(E78)-(K32))))*(MAX($D$16,(E78)-(K32))),0.000001))^2)/(2*$I$5))-(((ABS(G78)/MAX(((F32)+(H32)*(MAX($D$16,(D78)-(J32))))*(MAX($D$16,(D78)-(J32))),0.000001))^2)/(2*$I$5))),$D$8*((((ABS(G78)/MAX(((F32)+(H32)*(MAX($D$16,(D78)-(J32))))*(MAX($D$16,(D78)-(J32))),0.000001))^2)/(2*$I$5))-(((ABS(G78)/MAX(((G32)+(I32)*(MAX($D$16,(E78)-(K32))))*(MAX($D$16,(E78)-(K32))),0.000001))^2)/(2*$I$5)))))+($D$10*(ABS((X32)-(W32))/90)*MAX(((ABS(G78)/MAX(((F32)+(H32)*(MAX($D$16,(D78)-(J32))))*(MAX($D$16,(D78)-(J32))),0.000001))^2)/(2*$I$5),((ABS(G78)/MAX(((G32)+(I32)*(MAX($D$16,(E78)-(K32))))*(MAX($D$16,(E78)-(K32))),0.000001))^2)/(2*$I$5)))+(($D$11*0.13607488*(ABS(H78)/MAX(ABS(F78),0.000001))^2*MAX(((ABS(G78)/MAX(((F32)+(H32)*(MAX($D$16,(D78)-(J32))))*(MAX($D$16,(D78)-(J32))),0.000001))^2)/(2*$I$5),((ABS(G78)/MAX(((G32)+(I32)*(MAX($D$16,(E78)-(K32))))*(MAX($D$16,(E78)-(K32))),0.000001))^2)/(2*$I$5))))-((ABS(G78)/MAX(((G32)+(I32)*(MAX($D$16,(E78)-(K32))))*(MAX($D$16,(E78)-(K32))),0.000001))^2)/(2*$I$5)</f>
        <v>52432.141837658513</v>
      </c>
      <c r="S78">
        <f>M78+((ABS(I78)/MAX(((G34)+(I34)*(MAX($D$16,(M78)-(K34))))*(MAX($D$16,(M78)-(K34))),0.000001))^2)/(2*$I$5)+((E34)*((((ABS(I78)*$D$6)/(MAX(((F34)+(H34)*(MAX($D$16,(E78)-(J34))))*(MAX($D$16,(E78)-(J34))),0.000001)*MAX(((((F34)+(H34)*(MAX($D$16,(E78)-(J34))))*(MAX($D$16,(E78)-(J34))))/MAX((F34)+2*(MAX($D$16,(E78)-(J34)))*SQRT(1+(H34)^2),0.000001))^(2/3),0.000001)))^2)+(((ABS(I78)*$D$6)/(MAX(((G34)+(I34)*(MAX($D$16,(M78)-(K34))))*(MAX($D$16,(M78)-(K34))),0.000001)*MAX(((((G34)+(I34)*(MAX($D$16,(M78)-(K34))))*(MAX($D$16,(M78)-(K34))))/MAX((G34)+2*(MAX($D$16,(M78)-(K34)))*SQRT(1+(I34)^2),0.000001))^(2/3),0.000001)))^2))/2)+(IF((ABS(I78)/MAX(((G34)+(I34)*(MAX($D$16,(M78)-(K34))))*(MAX($D$16,(M78)-(K34))),0.000001))&gt;(ABS(I78)/MAX(((F34)+(H34)*(MAX($D$16,(E78)-(J34))))*(MAX($D$16,(E78)-(J34))),0.000001)),$D$9*((((ABS(I78)/MAX(((G34)+(I34)*(MAX($D$16,(M78)-(K34))))*(MAX($D$16,(M78)-(K34))),0.000001))^2)/(2*$I$5))-(((ABS(I78)/MAX(((F34)+(H34)*(MAX($D$16,(E78)-(J34))))*(MAX($D$16,(E78)-(J34))),0.000001))^2)/(2*$I$5))),$D$8*((((ABS(I78)/MAX(((F34)+(H34)*(MAX($D$16,(E78)-(J34))))*(MAX($D$16,(E78)-(J34))),0.000001))^2)/(2*$I$5))-(((ABS(I78)/MAX(((G34)+(I34)*(MAX($D$16,(M78)-(K34))))*(MAX($D$16,(M78)-(K34))),0.000001))^2)/(2*$I$5)))))+($D$10*(ABS((X34)-(W34))/90)*MAX(((ABS(I78)/MAX(((F34)+(H34)*(MAX($D$16,(E78)-(J34))))*(MAX($D$16,(E78)-(J34))),0.000001))^2)/(2*$I$5),((ABS(I78)/MAX(((G34)+(I34)*(MAX($D$16,(M78)-(K34))))*(MAX($D$16,(M78)-(K34))),0.000001))^2)/(2*$I$5)))+(0)-((ABS(I78)/MAX(((F34)+(H34)*(MAX($D$16,(E78)-(J34))))*(MAX($D$16,(E78)-(J34))),0.000001))^2)/(2*$I$5)</f>
        <v>635.5</v>
      </c>
      <c r="T78">
        <f>N78+((ABS(J78)/MAX(((G35)+(I35)*(MAX($D$16,(N78)-(K35))))*(MAX($D$16,(N78)-(K35))),0.000001))^2)/(2*$I$5)+((E35)*((((ABS(J78)*$D$6)/(MAX(((F35)+(H35)*(MAX($D$16,(E78)-(J35))))*(MAX($D$16,(E78)-(J35))),0.000001)*MAX(((((F35)+(H35)*(MAX($D$16,(E78)-(J35))))*(MAX($D$16,(E78)-(J35))))/MAX((F35)+2*(MAX($D$16,(E78)-(J35)))*SQRT(1+(H35)^2),0.000001))^(2/3),0.000001)))^2)+(((ABS(J78)*$D$6)/(MAX(((G35)+(I35)*(MAX($D$16,(N78)-(K35))))*(MAX($D$16,(N78)-(K35))),0.000001)*MAX(((((G35)+(I35)*(MAX($D$16,(N78)-(K35))))*(MAX($D$16,(N78)-(K35))))/MAX((G35)+2*(MAX($D$16,(N78)-(K35)))*SQRT(1+(I35)^2),0.000001))^(2/3),0.000001)))^2))/2)+(IF((ABS(J78)/MAX(((G35)+(I35)*(MAX($D$16,(N78)-(K35))))*(MAX($D$16,(N78)-(K35))),0.000001))&gt;(ABS(J78)/MAX(((F35)+(H35)*(MAX($D$16,(E78)-(J35))))*(MAX($D$16,(E78)-(J35))),0.000001)),$D$9*((((ABS(J78)/MAX(((G35)+(I35)*(MAX($D$16,(N78)-(K35))))*(MAX($D$16,(N78)-(K35))),0.000001))^2)/(2*$I$5))-(((ABS(J78)/MAX(((F35)+(H35)*(MAX($D$16,(E78)-(J35))))*(MAX($D$16,(E78)-(J35))),0.000001))^2)/(2*$I$5))),$D$8*((((ABS(J78)/MAX(((F35)+(H35)*(MAX($D$16,(E78)-(J35))))*(MAX($D$16,(E78)-(J35))),0.000001))^2)/(2*$I$5))-(((ABS(J78)/MAX(((G35)+(I35)*(MAX($D$16,(N78)-(K35))))*(MAX($D$16,(N78)-(K35))),0.000001))^2)/(2*$I$5)))))+($D$10*(ABS((X35)-(W35))/90)*MAX(((ABS(J78)/MAX(((F35)+(H35)*(MAX($D$16,(E78)-(J35))))*(MAX($D$16,(E78)-(J35))),0.000001))^2)/(2*$I$5),((ABS(J78)/MAX(((G35)+(I35)*(MAX($D$16,(N78)-(K35))))*(MAX($D$16,(N78)-(K35))),0.000001))^2)/(2*$I$5)))+(($D$11*0.34699541*(ABS(I78)/MAX(ABS(G78),0.000001))^2*MAX(((ABS(J78)/MAX(((F35)+(H35)*(MAX($D$16,(E78)-(J35))))*(MAX($D$16,(E78)-(J35))),0.000001))^2)/(2*$I$5),((ABS(J78)/MAX(((G35)+(I35)*(MAX($D$16,(N78)-(K35))))*(MAX($D$16,(N78)-(K35))),0.000001))^2)/(2*$I$5))))-((ABS(J78)/MAX(((F35)+(H35)*(MAX($D$16,(E78)-(J35))))*(MAX($D$16,(E78)-(J35))),0.000001))^2)/(2*$I$5)</f>
        <v>20784.033523923383</v>
      </c>
      <c r="U78">
        <f>(((((F32)*(MAX($D$16,(D78)-(J32)))^2)/2+(H32)*(MAX($D$16,(D78)-(J32)))^3/3+(ABS(G78)^2)/($I$5*MAX(((F32)+(H32)*(MAX($D$16,(D78)-(J32))))*(MAX($D$16,(D78)-(J32))),0.000001)))*0.72785025)-((((F33)*(MAX($D$16,(D78)-(J33)))^2)/2+(H33)*(MAX($D$16,(D78)-(J33)))^3/3+(ABS(H78)^2)/($I$5*MAX(((F33)+(H33)*(MAX($D$16,(D78)-(J33))))*(MAX($D$16,(D78)-(J33))),0.000001)))*0.99999971))/MAX(((G31)*(MAX($D$16,(D78)-(K31)))^2)/2+(I31)*(MAX($D$16,(D78)-(K31)))^3/3+(ABS(F78)^2)/($I$5*MAX(((G31)+(I31)*(MAX($D$16,(D78)-(K31))))*(MAX($D$16,(D78)-(K31))),0.000001)),0.000001)</f>
        <v>-0.27214945999991125</v>
      </c>
      <c r="V78">
        <f>(((((F34)*(MAX($D$16,(E78)-(J34)))^2)/2+(H34)*(MAX($D$16,(E78)-(J34)))^3/3+(ABS(I78)^2)/($I$5*MAX(((F34)+(H34)*(MAX($D$16,(E78)-(J34))))*(MAX($D$16,(E78)-(J34))),0.000001)))*1)-((((F35)*(MAX($D$16,(E78)-(J35)))^2)/2+(H35)*(MAX($D$16,(E78)-(J35)))^3/3+(ABS(J78)^2)/($I$5*MAX(((F35)+(H35)*(MAX($D$16,(E78)-(J35))))*(MAX($D$16,(E78)-(J35))),0.000001)))*0.30600918))/MAX(((G32)*(MAX($D$16,(E78)-(K32)))^2)/2+(I32)*(MAX($D$16,(E78)-(K32)))^3/3+(ABS(G78)^2)/($I$5*MAX(((G32)+(I32)*(MAX($D$16,(E78)-(K32))))*(MAX($D$16,(E78)-(K32))),0.000001)),0.000001)</f>
        <v>0.69398638937190404</v>
      </c>
      <c r="W78">
        <f>IF(N6="None",ABS(P78-D78),MAX(ABS(P78-D78),ABS(Q78-D78)))</f>
        <v>3.4197000786662102E-10</v>
      </c>
      <c r="X78">
        <f>IF(AND(N7="None",N8="None"),0,IF(N8="None",ABS(S78-E78),IF(N7="None",ABS(T78-E78),MAX(ABS(S78-E78),ABS(T78-E78)))))</f>
        <v>51796.641837658171</v>
      </c>
      <c r="AA78">
        <f t="shared" si="18"/>
        <v>52432.141837658499</v>
      </c>
      <c r="AB78">
        <f t="shared" si="19"/>
        <v>41355.303927850997</v>
      </c>
      <c r="AC78">
        <f>IF(N6="None",P78,MAX(P78,Q78))</f>
        <v>52432.141837658724</v>
      </c>
      <c r="AD78">
        <f>IF(AND(N7="None",N8="None"),E78,IF(N8="None",S78,IF(N7="None",T78,MAX(S78,T78))))</f>
        <v>20784.033523923383</v>
      </c>
      <c r="AE78">
        <f t="shared" si="20"/>
        <v>637.65825101089831</v>
      </c>
      <c r="AF78">
        <f t="shared" si="21"/>
        <v>52432.141837658513</v>
      </c>
      <c r="AG78">
        <f>((G31)*(MAX($D$16,(AC78)-(K31)))^2)/2+(I31)*(MAX($D$16,(AC78)-(K31)))^3/3+(ABS(F78)^2)/($I$5*MAX(((G31)+(I31)*(MAX($D$16,(AC78)-(K31))))*(MAX($D$16,(AC78)-(K31))),0.000001))</f>
        <v>8797611517.4105225</v>
      </c>
      <c r="AH78">
        <f>((G31)*(MAX($D$16,(AE78)-(K31)))^2)/2+(I31)*(MAX($D$16,(AE78)-(K31)))^3/3+(ABS(F78)^2)/($I$5*MAX(((G31)+(I31)*(MAX($D$16,(AE78)-(K31))))*(MAX($D$16,(AE78)-(K31))),0.000001))</f>
        <v>49.055863329575246</v>
      </c>
      <c r="AI78">
        <f>((G32)*(MAX($D$16,(AD78)-(K32)))^2)/2+(I32)*(MAX($D$16,(AD78)-(K32)))^3/3+(ABS(G78)^2)/($I$5*MAX(((G32)+(I32)*(MAX($D$16,(AD78)-(K32))))*(MAX($D$16,(AD78)-(K32))),0.000001))</f>
        <v>2072376743.6648321</v>
      </c>
      <c r="AJ78">
        <f>((G32)*(MAX($D$16,(AF78)-(K32)))^2)/2+(I32)*(MAX($D$16,(AF78)-(K32)))^3/3+(ABS(G78)^2)/($I$5*MAX(((G32)+(I32)*(MAX($D$16,(AF78)-(K32))))*(MAX($D$16,(AF78)-(K32))),0.000001))</f>
        <v>13692714789.642242</v>
      </c>
      <c r="AK78" t="str">
        <f t="shared" si="22"/>
        <v>Subcritical</v>
      </c>
      <c r="AL78" t="str">
        <f t="shared" si="23"/>
        <v>Supercritical</v>
      </c>
      <c r="AM78">
        <f t="shared" si="24"/>
        <v>52432.141837658499</v>
      </c>
      <c r="AN78">
        <f t="shared" si="25"/>
        <v>52432.141837658288</v>
      </c>
      <c r="AO78">
        <f t="shared" si="26"/>
        <v>3.4197000786662102E-10</v>
      </c>
      <c r="AP78">
        <f t="shared" si="27"/>
        <v>3.4197000786662102E-10</v>
      </c>
    </row>
    <row r="79" spans="1:42" x14ac:dyDescent="0.35">
      <c r="A79">
        <v>36</v>
      </c>
      <c r="B79">
        <f t="shared" si="28"/>
        <v>0</v>
      </c>
      <c r="C79">
        <f t="shared" si="29"/>
        <v>0</v>
      </c>
      <c r="D79">
        <f t="shared" si="30"/>
        <v>52432.141837658499</v>
      </c>
      <c r="E79">
        <f t="shared" si="31"/>
        <v>52432.141837658288</v>
      </c>
      <c r="F79">
        <f t="shared" si="17"/>
        <v>51</v>
      </c>
      <c r="G79">
        <f>IF(N6="None",F79,MAX(0,F79*B79))</f>
        <v>51</v>
      </c>
      <c r="H79">
        <f>IF(N6="None",0,MAX(0,F79-G79))</f>
        <v>0</v>
      </c>
      <c r="I79">
        <f>IF(AND(N7="None",N8="None"),0,IF(N8="None",G79,IF(N7="None",0,MAX(0,G79*C79))))</f>
        <v>0</v>
      </c>
      <c r="J79">
        <f>IF(AND(N7="None",N8="None"),0,IF(N8="None",0,IF(N7="None",G79,MAX(0,G79-I79))))</f>
        <v>51</v>
      </c>
      <c r="K79">
        <f>P5</f>
        <v>637</v>
      </c>
      <c r="L79">
        <f>P6</f>
        <v>634.3119999999999</v>
      </c>
      <c r="M79">
        <f>P7</f>
        <v>635.5</v>
      </c>
      <c r="N79">
        <f>P8</f>
        <v>631.54999999999995</v>
      </c>
      <c r="O79">
        <f>K79+((ABS(F79)/MAX(((F31)+(H31)*(MAX($D$16,(K79)-(J31))))*(MAX($D$16,(K79)-(J31))),0.000001))^2)/(2*$I$5)-((E31)*((((ABS(F79)*$D$6)/(MAX(((F31)+(H31)*(MAX($D$16,(K79)-(J31))))*(MAX($D$16,(K79)-(J31))),0.000001)*MAX(((((F31)+(H31)*(MAX($D$16,(K79)-(J31))))*(MAX($D$16,(K79)-(J31))))/MAX((F31)+2*(MAX($D$16,(K79)-(J31)))*SQRT(1+(H31)^2),0.000001))^(2/3),0.000001)))^2)+(((ABS(F79)*$D$6)/(MAX(((G31)+(I31)*(MAX($D$16,(D79)-(K31))))*(MAX($D$16,(D79)-(K31))),0.000001)*MAX(((((G31)+(I31)*(MAX($D$16,(D79)-(K31))))*(MAX($D$16,(D79)-(K31))))/MAX((G31)+2*(MAX($D$16,(D79)-(K31)))*SQRT(1+(I31)^2),0.000001))^(2/3),0.000001)))^2))/2)+(IF((ABS(F79)/MAX(((G31)+(I31)*(MAX($D$16,(D79)-(K31))))*(MAX($D$16,(D79)-(K31))),0.000001))&gt;(ABS(F79)/MAX(((F31)+(H31)*(MAX($D$16,(K79)-(J31))))*(MAX($D$16,(K79)-(J31))),0.000001)),$D$9*((((ABS(F79)/MAX(((G31)+(I31)*(MAX($D$16,(D79)-(K31))))*(MAX($D$16,(D79)-(K31))),0.000001))^2)/(2*$I$5))-(((ABS(F79)/MAX(((F31)+(H31)*(MAX($D$16,(K79)-(J31))))*(MAX($D$16,(K79)-(J31))),0.000001))^2)/(2*$I$5))),$D$8*((((ABS(F79)/MAX(((F31)+(H31)*(MAX($D$16,(K79)-(J31))))*(MAX($D$16,(K79)-(J31))),0.000001))^2)/(2*$I$5))-(((ABS(F79)/MAX(((G31)+(I31)*(MAX($D$16,(D79)-(K31))))*(MAX($D$16,(D79)-(K31))),0.000001))^2)/(2*$I$5)))))+($D$10*(ABS((X31)-(W31))/90)*MAX(((ABS(F79)/MAX(((F31)+(H31)*(MAX($D$16,(K79)-(J31))))*(MAX($D$16,(K79)-(J31))),0.000001))^2)/(2*$I$5),((ABS(F79)/MAX(((G31)+(I31)*(MAX($D$16,(D79)-(K31))))*(MAX($D$16,(D79)-(K31))),0.000001))^2)/(2*$I$5)))+(0)-((ABS(F79)/MAX(((G31)+(I31)*(MAX($D$16,(D79)-(K31))))*(MAX($D$16,(D79)-(K31))),0.000001))^2)/(2*$I$5)</f>
        <v>637.65825101089831</v>
      </c>
      <c r="P79">
        <f>E79+((ABS(G79)/MAX(((G32)+(I32)*(MAX($D$16,(E79)-(K32))))*(MAX($D$16,(E79)-(K32))),0.000001))^2)/(2*$I$5)+((E32)*((((ABS(G79)*$D$6)/(MAX(((F32)+(H32)*(MAX($D$16,(D79)-(J32))))*(MAX($D$16,(D79)-(J32))),0.000001)*MAX(((((F32)+(H32)*(MAX($D$16,(D79)-(J32))))*(MAX($D$16,(D79)-(J32))))/MAX((F32)+2*(MAX($D$16,(D79)-(J32)))*SQRT(1+(H32)^2),0.000001))^(2/3),0.000001)))^2)+(((ABS(G79)*$D$6)/(MAX(((G32)+(I32)*(MAX($D$16,(E79)-(K32))))*(MAX($D$16,(E79)-(K32))),0.000001)*MAX(((((G32)+(I32)*(MAX($D$16,(E79)-(K32))))*(MAX($D$16,(E79)-(K32))))/MAX((G32)+2*(MAX($D$16,(E79)-(K32)))*SQRT(1+(I32)^2),0.000001))^(2/3),0.000001)))^2))/2)+(IF((ABS(G79)/MAX(((G32)+(I32)*(MAX($D$16,(E79)-(K32))))*(MAX($D$16,(E79)-(K32))),0.000001))&gt;(ABS(G79)/MAX(((F32)+(H32)*(MAX($D$16,(D79)-(J32))))*(MAX($D$16,(D79)-(J32))),0.000001)),$D$9*((((ABS(G79)/MAX(((G32)+(I32)*(MAX($D$16,(E79)-(K32))))*(MAX($D$16,(E79)-(K32))),0.000001))^2)/(2*$I$5))-(((ABS(G79)/MAX(((F32)+(H32)*(MAX($D$16,(D79)-(J32))))*(MAX($D$16,(D79)-(J32))),0.000001))^2)/(2*$I$5))),$D$8*((((ABS(G79)/MAX(((F32)+(H32)*(MAX($D$16,(D79)-(J32))))*(MAX($D$16,(D79)-(J32))),0.000001))^2)/(2*$I$5))-(((ABS(G79)/MAX(((G32)+(I32)*(MAX($D$16,(E79)-(K32))))*(MAX($D$16,(E79)-(K32))),0.000001))^2)/(2*$I$5)))))+($D$10*(ABS((X32)-(W32))/90)*MAX(((ABS(G79)/MAX(((F32)+(H32)*(MAX($D$16,(D79)-(J32))))*(MAX($D$16,(D79)-(J32))),0.000001))^2)/(2*$I$5),((ABS(G79)/MAX(((G32)+(I32)*(MAX($D$16,(E79)-(K32))))*(MAX($D$16,(E79)-(K32))),0.000001))^2)/(2*$I$5)))+(($D$11*0.13607488*(ABS(H79)/MAX(ABS(F79),0.000001))^2*MAX(((ABS(G79)/MAX(((F32)+(H32)*(MAX($D$16,(D79)-(J32))))*(MAX($D$16,(D79)-(J32))),0.000001))^2)/(2*$I$5),((ABS(G79)/MAX(((G32)+(I32)*(MAX($D$16,(E79)-(K32))))*(MAX($D$16,(E79)-(K32))),0.000001))^2)/(2*$I$5))))-((ABS(G79)/MAX(((F32)+(H32)*(MAX($D$16,(D79)-(J32))))*(MAX($D$16,(D79)-(J32))),0.000001))^2)/(2*$I$5)</f>
        <v>52432.141837658841</v>
      </c>
      <c r="Q79">
        <f>L79+((ABS(H79)/MAX(((G33)+(I33)*(MAX($D$16,(L79)-(K33))))*(MAX($D$16,(L79)-(K33))),0.000001))^2)/(2*$I$5)+((E33)*((((ABS(H79)*$D$6)/(MAX(((F33)+(H33)*(MAX($D$16,(D79)-(J33))))*(MAX($D$16,(D79)-(J33))),0.000001)*MAX(((((F33)+(H33)*(MAX($D$16,(D79)-(J33))))*(MAX($D$16,(D79)-(J33))))/MAX((F33)+2*(MAX($D$16,(D79)-(J33)))*SQRT(1+(H33)^2),0.000001))^(2/3),0.000001)))^2)+(((ABS(H79)*$D$6)/(MAX(((G33)+(I33)*(MAX($D$16,(L79)-(K33))))*(MAX($D$16,(L79)-(K33))),0.000001)*MAX(((((G33)+(I33)*(MAX($D$16,(L79)-(K33))))*(MAX($D$16,(L79)-(K33))))/MAX((G33)+2*(MAX($D$16,(L79)-(K33)))*SQRT(1+(I33)^2),0.000001))^(2/3),0.000001)))^2))/2)+(IF((ABS(H79)/MAX(((G33)+(I33)*(MAX($D$16,(L79)-(K33))))*(MAX($D$16,(L79)-(K33))),0.000001))&gt;(ABS(H79)/MAX(((F33)+(H33)*(MAX($D$16,(D79)-(J33))))*(MAX($D$16,(D79)-(J33))),0.000001)),$D$9*((((ABS(H79)/MAX(((G33)+(I33)*(MAX($D$16,(L79)-(K33))))*(MAX($D$16,(L79)-(K33))),0.000001))^2)/(2*$I$5))-(((ABS(H79)/MAX(((F33)+(H33)*(MAX($D$16,(D79)-(J33))))*(MAX($D$16,(D79)-(J33))),0.000001))^2)/(2*$I$5))),$D$8*((((ABS(H79)/MAX(((F33)+(H33)*(MAX($D$16,(D79)-(J33))))*(MAX($D$16,(D79)-(J33))),0.000001))^2)/(2*$I$5))-(((ABS(H79)/MAX(((G33)+(I33)*(MAX($D$16,(L79)-(K33))))*(MAX($D$16,(L79)-(K33))),0.000001))^2)/(2*$I$5)))))+($D$10*(ABS((X33)-(W33))/90)*MAX(((ABS(H79)/MAX(((F33)+(H33)*(MAX($D$16,(D79)-(J33))))*(MAX($D$16,(D79)-(J33))),0.000001))^2)/(2*$I$5),((ABS(H79)/MAX(((G33)+(I33)*(MAX($D$16,(L79)-(K33))))*(MAX($D$16,(L79)-(K33))),0.000001))^2)/(2*$I$5)))+(($D$11*0.00000015*(ABS(G79)/MAX(ABS(F79),0.000001))^2*MAX(((ABS(H79)/MAX(((F33)+(H33)*(MAX($D$16,(D79)-(J33))))*(MAX($D$16,(D79)-(J33))),0.000001))^2)/(2*$I$5),((ABS(H79)/MAX(((G33)+(I33)*(MAX($D$16,(L79)-(K33))))*(MAX($D$16,(L79)-(K33))),0.000001))^2)/(2*$I$5))))-((ABS(H79)/MAX(((F33)+(H33)*(MAX($D$16,(D79)-(J33))))*(MAX($D$16,(D79)-(J33))),0.000001))^2)/(2*$I$5)</f>
        <v>634.3119999999999</v>
      </c>
      <c r="R79">
        <f>D79+((ABS(G79)/MAX(((F32)+(H32)*(MAX($D$16,(D79)-(J32))))*(MAX($D$16,(D79)-(J32))),0.000001))^2)/(2*$I$5)-((E32)*((((ABS(G79)*$D$6)/(MAX(((F32)+(H32)*(MAX($D$16,(D79)-(J32))))*(MAX($D$16,(D79)-(J32))),0.000001)*MAX(((((F32)+(H32)*(MAX($D$16,(D79)-(J32))))*(MAX($D$16,(D79)-(J32))))/MAX((F32)+2*(MAX($D$16,(D79)-(J32)))*SQRT(1+(H32)^2),0.000001))^(2/3),0.000001)))^2)+(((ABS(G79)*$D$6)/(MAX(((G32)+(I32)*(MAX($D$16,(E79)-(K32))))*(MAX($D$16,(E79)-(K32))),0.000001)*MAX(((((G32)+(I32)*(MAX($D$16,(E79)-(K32))))*(MAX($D$16,(E79)-(K32))))/MAX((G32)+2*(MAX($D$16,(E79)-(K32)))*SQRT(1+(I32)^2),0.000001))^(2/3),0.000001)))^2))/2)+(IF((ABS(G79)/MAX(((G32)+(I32)*(MAX($D$16,(E79)-(K32))))*(MAX($D$16,(E79)-(K32))),0.000001))&gt;(ABS(G79)/MAX(((F32)+(H32)*(MAX($D$16,(D79)-(J32))))*(MAX($D$16,(D79)-(J32))),0.000001)),$D$9*((((ABS(G79)/MAX(((G32)+(I32)*(MAX($D$16,(E79)-(K32))))*(MAX($D$16,(E79)-(K32))),0.000001))^2)/(2*$I$5))-(((ABS(G79)/MAX(((F32)+(H32)*(MAX($D$16,(D79)-(J32))))*(MAX($D$16,(D79)-(J32))),0.000001))^2)/(2*$I$5))),$D$8*((((ABS(G79)/MAX(((F32)+(H32)*(MAX($D$16,(D79)-(J32))))*(MAX($D$16,(D79)-(J32))),0.000001))^2)/(2*$I$5))-(((ABS(G79)/MAX(((G32)+(I32)*(MAX($D$16,(E79)-(K32))))*(MAX($D$16,(E79)-(K32))),0.000001))^2)/(2*$I$5)))))+($D$10*(ABS((X32)-(W32))/90)*MAX(((ABS(G79)/MAX(((F32)+(H32)*(MAX($D$16,(D79)-(J32))))*(MAX($D$16,(D79)-(J32))),0.000001))^2)/(2*$I$5),((ABS(G79)/MAX(((G32)+(I32)*(MAX($D$16,(E79)-(K32))))*(MAX($D$16,(E79)-(K32))),0.000001))^2)/(2*$I$5)))+(($D$11*0.13607488*(ABS(H79)/MAX(ABS(F79),0.000001))^2*MAX(((ABS(G79)/MAX(((F32)+(H32)*(MAX($D$16,(D79)-(J32))))*(MAX($D$16,(D79)-(J32))),0.000001))^2)/(2*$I$5),((ABS(G79)/MAX(((G32)+(I32)*(MAX($D$16,(E79)-(K32))))*(MAX($D$16,(E79)-(K32))),0.000001))^2)/(2*$I$5))))-((ABS(G79)/MAX(((G32)+(I32)*(MAX($D$16,(E79)-(K32))))*(MAX($D$16,(E79)-(K32))),0.000001))^2)/(2*$I$5)</f>
        <v>52432.14183765863</v>
      </c>
      <c r="S79">
        <f>M79+((ABS(I79)/MAX(((G34)+(I34)*(MAX($D$16,(M79)-(K34))))*(MAX($D$16,(M79)-(K34))),0.000001))^2)/(2*$I$5)+((E34)*((((ABS(I79)*$D$6)/(MAX(((F34)+(H34)*(MAX($D$16,(E79)-(J34))))*(MAX($D$16,(E79)-(J34))),0.000001)*MAX(((((F34)+(H34)*(MAX($D$16,(E79)-(J34))))*(MAX($D$16,(E79)-(J34))))/MAX((F34)+2*(MAX($D$16,(E79)-(J34)))*SQRT(1+(H34)^2),0.000001))^(2/3),0.000001)))^2)+(((ABS(I79)*$D$6)/(MAX(((G34)+(I34)*(MAX($D$16,(M79)-(K34))))*(MAX($D$16,(M79)-(K34))),0.000001)*MAX(((((G34)+(I34)*(MAX($D$16,(M79)-(K34))))*(MAX($D$16,(M79)-(K34))))/MAX((G34)+2*(MAX($D$16,(M79)-(K34)))*SQRT(1+(I34)^2),0.000001))^(2/3),0.000001)))^2))/2)+(IF((ABS(I79)/MAX(((G34)+(I34)*(MAX($D$16,(M79)-(K34))))*(MAX($D$16,(M79)-(K34))),0.000001))&gt;(ABS(I79)/MAX(((F34)+(H34)*(MAX($D$16,(E79)-(J34))))*(MAX($D$16,(E79)-(J34))),0.000001)),$D$9*((((ABS(I79)/MAX(((G34)+(I34)*(MAX($D$16,(M79)-(K34))))*(MAX($D$16,(M79)-(K34))),0.000001))^2)/(2*$I$5))-(((ABS(I79)/MAX(((F34)+(H34)*(MAX($D$16,(E79)-(J34))))*(MAX($D$16,(E79)-(J34))),0.000001))^2)/(2*$I$5))),$D$8*((((ABS(I79)/MAX(((F34)+(H34)*(MAX($D$16,(E79)-(J34))))*(MAX($D$16,(E79)-(J34))),0.000001))^2)/(2*$I$5))-(((ABS(I79)/MAX(((G34)+(I34)*(MAX($D$16,(M79)-(K34))))*(MAX($D$16,(M79)-(K34))),0.000001))^2)/(2*$I$5)))))+($D$10*(ABS((X34)-(W34))/90)*MAX(((ABS(I79)/MAX(((F34)+(H34)*(MAX($D$16,(E79)-(J34))))*(MAX($D$16,(E79)-(J34))),0.000001))^2)/(2*$I$5),((ABS(I79)/MAX(((G34)+(I34)*(MAX($D$16,(M79)-(K34))))*(MAX($D$16,(M79)-(K34))),0.000001))^2)/(2*$I$5)))+(0)-((ABS(I79)/MAX(((F34)+(H34)*(MAX($D$16,(E79)-(J34))))*(MAX($D$16,(E79)-(J34))),0.000001))^2)/(2*$I$5)</f>
        <v>635.5</v>
      </c>
      <c r="T79">
        <f>N79+((ABS(J79)/MAX(((G35)+(I35)*(MAX($D$16,(N79)-(K35))))*(MAX($D$16,(N79)-(K35))),0.000001))^2)/(2*$I$5)+((E35)*((((ABS(J79)*$D$6)/(MAX(((F35)+(H35)*(MAX($D$16,(E79)-(J35))))*(MAX($D$16,(E79)-(J35))),0.000001)*MAX(((((F35)+(H35)*(MAX($D$16,(E79)-(J35))))*(MAX($D$16,(E79)-(J35))))/MAX((F35)+2*(MAX($D$16,(E79)-(J35)))*SQRT(1+(H35)^2),0.000001))^(2/3),0.000001)))^2)+(((ABS(J79)*$D$6)/(MAX(((G35)+(I35)*(MAX($D$16,(N79)-(K35))))*(MAX($D$16,(N79)-(K35))),0.000001)*MAX(((((G35)+(I35)*(MAX($D$16,(N79)-(K35))))*(MAX($D$16,(N79)-(K35))))/MAX((G35)+2*(MAX($D$16,(N79)-(K35)))*SQRT(1+(I35)^2),0.000001))^(2/3),0.000001)))^2))/2)+(IF((ABS(J79)/MAX(((G35)+(I35)*(MAX($D$16,(N79)-(K35))))*(MAX($D$16,(N79)-(K35))),0.000001))&gt;(ABS(J79)/MAX(((F35)+(H35)*(MAX($D$16,(E79)-(J35))))*(MAX($D$16,(E79)-(J35))),0.000001)),$D$9*((((ABS(J79)/MAX(((G35)+(I35)*(MAX($D$16,(N79)-(K35))))*(MAX($D$16,(N79)-(K35))),0.000001))^2)/(2*$I$5))-(((ABS(J79)/MAX(((F35)+(H35)*(MAX($D$16,(E79)-(J35))))*(MAX($D$16,(E79)-(J35))),0.000001))^2)/(2*$I$5))),$D$8*((((ABS(J79)/MAX(((F35)+(H35)*(MAX($D$16,(E79)-(J35))))*(MAX($D$16,(E79)-(J35))),0.000001))^2)/(2*$I$5))-(((ABS(J79)/MAX(((G35)+(I35)*(MAX($D$16,(N79)-(K35))))*(MAX($D$16,(N79)-(K35))),0.000001))^2)/(2*$I$5)))))+($D$10*(ABS((X35)-(W35))/90)*MAX(((ABS(J79)/MAX(((F35)+(H35)*(MAX($D$16,(E79)-(J35))))*(MAX($D$16,(E79)-(J35))),0.000001))^2)/(2*$I$5),((ABS(J79)/MAX(((G35)+(I35)*(MAX($D$16,(N79)-(K35))))*(MAX($D$16,(N79)-(K35))),0.000001))^2)/(2*$I$5)))+(($D$11*0.34699541*(ABS(I79)/MAX(ABS(G79),0.000001))^2*MAX(((ABS(J79)/MAX(((F35)+(H35)*(MAX($D$16,(E79)-(J35))))*(MAX($D$16,(E79)-(J35))),0.000001))^2)/(2*$I$5),((ABS(J79)/MAX(((G35)+(I35)*(MAX($D$16,(N79)-(K35))))*(MAX($D$16,(N79)-(K35))),0.000001))^2)/(2*$I$5))))-((ABS(J79)/MAX(((F35)+(H35)*(MAX($D$16,(E79)-(J35))))*(MAX($D$16,(E79)-(J35))),0.000001))^2)/(2*$I$5)</f>
        <v>20784.033523923383</v>
      </c>
      <c r="U79">
        <f>(((((F32)*(MAX($D$16,(D79)-(J32)))^2)/2+(H32)*(MAX($D$16,(D79)-(J32)))^3/3+(ABS(G79)^2)/($I$5*MAX(((F32)+(H32)*(MAX($D$16,(D79)-(J32))))*(MAX($D$16,(D79)-(J32))),0.000001)))*0.72785025)-((((F33)*(MAX($D$16,(D79)-(J33)))^2)/2+(H33)*(MAX($D$16,(D79)-(J33)))^3/3+(ABS(H79)^2)/($I$5*MAX(((F33)+(H33)*(MAX($D$16,(D79)-(J33))))*(MAX($D$16,(D79)-(J33))),0.000001)))*0.99999971))/MAX(((G31)*(MAX($D$16,(D79)-(K31)))^2)/2+(I31)*(MAX($D$16,(D79)-(K31)))^3/3+(ABS(F79)^2)/($I$5*MAX(((G31)+(I31)*(MAX($D$16,(D79)-(K31))))*(MAX($D$16,(D79)-(K31))),0.000001)),0.000001)</f>
        <v>-0.27214945999991125</v>
      </c>
      <c r="V79">
        <f>(((((F34)*(MAX($D$16,(E79)-(J34)))^2)/2+(H34)*(MAX($D$16,(E79)-(J34)))^3/3+(ABS(I79)^2)/($I$5*MAX(((F34)+(H34)*(MAX($D$16,(E79)-(J34))))*(MAX($D$16,(E79)-(J34))),0.000001)))*1)-((((F35)*(MAX($D$16,(E79)-(J35)))^2)/2+(H35)*(MAX($D$16,(E79)-(J35)))^3/3+(ABS(J79)^2)/($I$5*MAX(((F35)+(H35)*(MAX($D$16,(E79)-(J35))))*(MAX($D$16,(E79)-(J35))),0.000001)))*0.30600918))/MAX(((G32)*(MAX($D$16,(E79)-(K32)))^2)/2+(I32)*(MAX($D$16,(E79)-(K32)))^3/3+(ABS(G79)^2)/($I$5*MAX(((G32)+(I32)*(MAX($D$16,(E79)-(K32))))*(MAX($D$16,(E79)-(K32))),0.000001)),0.000001)</f>
        <v>0.69398638937190393</v>
      </c>
      <c r="W79">
        <f>IF(N6="None",ABS(P79-D79),MAX(ABS(P79-D79),ABS(Q79-D79)))</f>
        <v>3.4197000786662102E-10</v>
      </c>
      <c r="X79">
        <f>IF(AND(N7="None",N8="None"),0,IF(N8="None",ABS(S79-E79),IF(N7="None",ABS(T79-E79),MAX(ABS(S79-E79),ABS(T79-E79)))))</f>
        <v>51796.641837658288</v>
      </c>
      <c r="AA79">
        <f t="shared" si="18"/>
        <v>52432.141837658615</v>
      </c>
      <c r="AB79">
        <f t="shared" si="19"/>
        <v>41355.30392785107</v>
      </c>
      <c r="AC79">
        <f>IF(N6="None",P79,MAX(P79,Q79))</f>
        <v>52432.141837658841</v>
      </c>
      <c r="AD79">
        <f>IF(AND(N7="None",N8="None"),E79,IF(N8="None",S79,IF(N7="None",T79,MAX(S79,T79))))</f>
        <v>20784.033523923383</v>
      </c>
      <c r="AE79">
        <f t="shared" si="20"/>
        <v>637.65825101089831</v>
      </c>
      <c r="AF79">
        <f t="shared" si="21"/>
        <v>52432.14183765863</v>
      </c>
      <c r="AG79">
        <f>((G31)*(MAX($D$16,(AC79)-(K31)))^2)/2+(I31)*(MAX($D$16,(AC79)-(K31)))^3/3+(ABS(F79)^2)/($I$5*MAX(((G31)+(I31)*(MAX($D$16,(AC79)-(K31))))*(MAX($D$16,(AC79)-(K31))),0.000001))</f>
        <v>8797611517.4105625</v>
      </c>
      <c r="AH79">
        <f>((G31)*(MAX($D$16,(AE79)-(K31)))^2)/2+(I31)*(MAX($D$16,(AE79)-(K31)))^3/3+(ABS(F79)^2)/($I$5*MAX(((G31)+(I31)*(MAX($D$16,(AE79)-(K31))))*(MAX($D$16,(AE79)-(K31))),0.000001))</f>
        <v>49.055863329575246</v>
      </c>
      <c r="AI79">
        <f>((G32)*(MAX($D$16,(AD79)-(K32)))^2)/2+(I32)*(MAX($D$16,(AD79)-(K32)))^3/3+(ABS(G79)^2)/($I$5*MAX(((G32)+(I32)*(MAX($D$16,(AD79)-(K32))))*(MAX($D$16,(AD79)-(K32))),0.000001))</f>
        <v>2072376743.6648321</v>
      </c>
      <c r="AJ79">
        <f>((G32)*(MAX($D$16,(AF79)-(K32)))^2)/2+(I32)*(MAX($D$16,(AF79)-(K32)))^3/3+(ABS(G79)^2)/($I$5*MAX(((G32)+(I32)*(MAX($D$16,(AF79)-(K32))))*(MAX($D$16,(AF79)-(K32))),0.000001))</f>
        <v>13692714789.642303</v>
      </c>
      <c r="AK79" t="str">
        <f t="shared" si="22"/>
        <v>Subcritical</v>
      </c>
      <c r="AL79" t="str">
        <f t="shared" si="23"/>
        <v>Supercritical</v>
      </c>
      <c r="AM79">
        <f t="shared" si="24"/>
        <v>52432.141837658615</v>
      </c>
      <c r="AN79">
        <f t="shared" si="25"/>
        <v>52432.141837658404</v>
      </c>
      <c r="AO79">
        <f t="shared" si="26"/>
        <v>3.4197000786662102E-10</v>
      </c>
      <c r="AP79">
        <f t="shared" si="27"/>
        <v>3.4197000786662102E-10</v>
      </c>
    </row>
    <row r="80" spans="1:42" x14ac:dyDescent="0.35">
      <c r="A80">
        <v>37</v>
      </c>
      <c r="B80">
        <f t="shared" si="28"/>
        <v>0</v>
      </c>
      <c r="C80">
        <f t="shared" si="29"/>
        <v>0</v>
      </c>
      <c r="D80">
        <f t="shared" si="30"/>
        <v>52432.141837658615</v>
      </c>
      <c r="E80">
        <f t="shared" si="31"/>
        <v>52432.141837658404</v>
      </c>
      <c r="F80">
        <f t="shared" si="17"/>
        <v>51</v>
      </c>
      <c r="G80">
        <f>IF(N6="None",F80,MAX(0,F80*B80))</f>
        <v>51</v>
      </c>
      <c r="H80">
        <f>IF(N6="None",0,MAX(0,F80-G80))</f>
        <v>0</v>
      </c>
      <c r="I80">
        <f>IF(AND(N7="None",N8="None"),0,IF(N8="None",G80,IF(N7="None",0,MAX(0,G80*C80))))</f>
        <v>0</v>
      </c>
      <c r="J80">
        <f>IF(AND(N7="None",N8="None"),0,IF(N8="None",0,IF(N7="None",G80,MAX(0,G80-I80))))</f>
        <v>51</v>
      </c>
      <c r="K80">
        <f>P5</f>
        <v>637</v>
      </c>
      <c r="L80">
        <f>P6</f>
        <v>634.3119999999999</v>
      </c>
      <c r="M80">
        <f>P7</f>
        <v>635.5</v>
      </c>
      <c r="N80">
        <f>P8</f>
        <v>631.54999999999995</v>
      </c>
      <c r="O80">
        <f>K80+((ABS(F80)/MAX(((F31)+(H31)*(MAX($D$16,(K80)-(J31))))*(MAX($D$16,(K80)-(J31))),0.000001))^2)/(2*$I$5)-((E31)*((((ABS(F80)*$D$6)/(MAX(((F31)+(H31)*(MAX($D$16,(K80)-(J31))))*(MAX($D$16,(K80)-(J31))),0.000001)*MAX(((((F31)+(H31)*(MAX($D$16,(K80)-(J31))))*(MAX($D$16,(K80)-(J31))))/MAX((F31)+2*(MAX($D$16,(K80)-(J31)))*SQRT(1+(H31)^2),0.000001))^(2/3),0.000001)))^2)+(((ABS(F80)*$D$6)/(MAX(((G31)+(I31)*(MAX($D$16,(D80)-(K31))))*(MAX($D$16,(D80)-(K31))),0.000001)*MAX(((((G31)+(I31)*(MAX($D$16,(D80)-(K31))))*(MAX($D$16,(D80)-(K31))))/MAX((G31)+2*(MAX($D$16,(D80)-(K31)))*SQRT(1+(I31)^2),0.000001))^(2/3),0.000001)))^2))/2)+(IF((ABS(F80)/MAX(((G31)+(I31)*(MAX($D$16,(D80)-(K31))))*(MAX($D$16,(D80)-(K31))),0.000001))&gt;(ABS(F80)/MAX(((F31)+(H31)*(MAX($D$16,(K80)-(J31))))*(MAX($D$16,(K80)-(J31))),0.000001)),$D$9*((((ABS(F80)/MAX(((G31)+(I31)*(MAX($D$16,(D80)-(K31))))*(MAX($D$16,(D80)-(K31))),0.000001))^2)/(2*$I$5))-(((ABS(F80)/MAX(((F31)+(H31)*(MAX($D$16,(K80)-(J31))))*(MAX($D$16,(K80)-(J31))),0.000001))^2)/(2*$I$5))),$D$8*((((ABS(F80)/MAX(((F31)+(H31)*(MAX($D$16,(K80)-(J31))))*(MAX($D$16,(K80)-(J31))),0.000001))^2)/(2*$I$5))-(((ABS(F80)/MAX(((G31)+(I31)*(MAX($D$16,(D80)-(K31))))*(MAX($D$16,(D80)-(K31))),0.000001))^2)/(2*$I$5)))))+($D$10*(ABS((X31)-(W31))/90)*MAX(((ABS(F80)/MAX(((F31)+(H31)*(MAX($D$16,(K80)-(J31))))*(MAX($D$16,(K80)-(J31))),0.000001))^2)/(2*$I$5),((ABS(F80)/MAX(((G31)+(I31)*(MAX($D$16,(D80)-(K31))))*(MAX($D$16,(D80)-(K31))),0.000001))^2)/(2*$I$5)))+(0)-((ABS(F80)/MAX(((G31)+(I31)*(MAX($D$16,(D80)-(K31))))*(MAX($D$16,(D80)-(K31))),0.000001))^2)/(2*$I$5)</f>
        <v>637.65825101089831</v>
      </c>
      <c r="P80">
        <f>E80+((ABS(G80)/MAX(((G32)+(I32)*(MAX($D$16,(E80)-(K32))))*(MAX($D$16,(E80)-(K32))),0.000001))^2)/(2*$I$5)+((E32)*((((ABS(G80)*$D$6)/(MAX(((F32)+(H32)*(MAX($D$16,(D80)-(J32))))*(MAX($D$16,(D80)-(J32))),0.000001)*MAX(((((F32)+(H32)*(MAX($D$16,(D80)-(J32))))*(MAX($D$16,(D80)-(J32))))/MAX((F32)+2*(MAX($D$16,(D80)-(J32)))*SQRT(1+(H32)^2),0.000001))^(2/3),0.000001)))^2)+(((ABS(G80)*$D$6)/(MAX(((G32)+(I32)*(MAX($D$16,(E80)-(K32))))*(MAX($D$16,(E80)-(K32))),0.000001)*MAX(((((G32)+(I32)*(MAX($D$16,(E80)-(K32))))*(MAX($D$16,(E80)-(K32))))/MAX((G32)+2*(MAX($D$16,(E80)-(K32)))*SQRT(1+(I32)^2),0.000001))^(2/3),0.000001)))^2))/2)+(IF((ABS(G80)/MAX(((G32)+(I32)*(MAX($D$16,(E80)-(K32))))*(MAX($D$16,(E80)-(K32))),0.000001))&gt;(ABS(G80)/MAX(((F32)+(H32)*(MAX($D$16,(D80)-(J32))))*(MAX($D$16,(D80)-(J32))),0.000001)),$D$9*((((ABS(G80)/MAX(((G32)+(I32)*(MAX($D$16,(E80)-(K32))))*(MAX($D$16,(E80)-(K32))),0.000001))^2)/(2*$I$5))-(((ABS(G80)/MAX(((F32)+(H32)*(MAX($D$16,(D80)-(J32))))*(MAX($D$16,(D80)-(J32))),0.000001))^2)/(2*$I$5))),$D$8*((((ABS(G80)/MAX(((F32)+(H32)*(MAX($D$16,(D80)-(J32))))*(MAX($D$16,(D80)-(J32))),0.000001))^2)/(2*$I$5))-(((ABS(G80)/MAX(((G32)+(I32)*(MAX($D$16,(E80)-(K32))))*(MAX($D$16,(E80)-(K32))),0.000001))^2)/(2*$I$5)))))+($D$10*(ABS((X32)-(W32))/90)*MAX(((ABS(G80)/MAX(((F32)+(H32)*(MAX($D$16,(D80)-(J32))))*(MAX($D$16,(D80)-(J32))),0.000001))^2)/(2*$I$5),((ABS(G80)/MAX(((G32)+(I32)*(MAX($D$16,(E80)-(K32))))*(MAX($D$16,(E80)-(K32))),0.000001))^2)/(2*$I$5)))+(($D$11*0.13607488*(ABS(H80)/MAX(ABS(F80),0.000001))^2*MAX(((ABS(G80)/MAX(((F32)+(H32)*(MAX($D$16,(D80)-(J32))))*(MAX($D$16,(D80)-(J32))),0.000001))^2)/(2*$I$5),((ABS(G80)/MAX(((G32)+(I32)*(MAX($D$16,(E80)-(K32))))*(MAX($D$16,(E80)-(K32))),0.000001))^2)/(2*$I$5))))-((ABS(G80)/MAX(((F32)+(H32)*(MAX($D$16,(D80)-(J32))))*(MAX($D$16,(D80)-(J32))),0.000001))^2)/(2*$I$5)</f>
        <v>52432.141837658957</v>
      </c>
      <c r="Q80">
        <f>L80+((ABS(H80)/MAX(((G33)+(I33)*(MAX($D$16,(L80)-(K33))))*(MAX($D$16,(L80)-(K33))),0.000001))^2)/(2*$I$5)+((E33)*((((ABS(H80)*$D$6)/(MAX(((F33)+(H33)*(MAX($D$16,(D80)-(J33))))*(MAX($D$16,(D80)-(J33))),0.000001)*MAX(((((F33)+(H33)*(MAX($D$16,(D80)-(J33))))*(MAX($D$16,(D80)-(J33))))/MAX((F33)+2*(MAX($D$16,(D80)-(J33)))*SQRT(1+(H33)^2),0.000001))^(2/3),0.000001)))^2)+(((ABS(H80)*$D$6)/(MAX(((G33)+(I33)*(MAX($D$16,(L80)-(K33))))*(MAX($D$16,(L80)-(K33))),0.000001)*MAX(((((G33)+(I33)*(MAX($D$16,(L80)-(K33))))*(MAX($D$16,(L80)-(K33))))/MAX((G33)+2*(MAX($D$16,(L80)-(K33)))*SQRT(1+(I33)^2),0.000001))^(2/3),0.000001)))^2))/2)+(IF((ABS(H80)/MAX(((G33)+(I33)*(MAX($D$16,(L80)-(K33))))*(MAX($D$16,(L80)-(K33))),0.000001))&gt;(ABS(H80)/MAX(((F33)+(H33)*(MAX($D$16,(D80)-(J33))))*(MAX($D$16,(D80)-(J33))),0.000001)),$D$9*((((ABS(H80)/MAX(((G33)+(I33)*(MAX($D$16,(L80)-(K33))))*(MAX($D$16,(L80)-(K33))),0.000001))^2)/(2*$I$5))-(((ABS(H80)/MAX(((F33)+(H33)*(MAX($D$16,(D80)-(J33))))*(MAX($D$16,(D80)-(J33))),0.000001))^2)/(2*$I$5))),$D$8*((((ABS(H80)/MAX(((F33)+(H33)*(MAX($D$16,(D80)-(J33))))*(MAX($D$16,(D80)-(J33))),0.000001))^2)/(2*$I$5))-(((ABS(H80)/MAX(((G33)+(I33)*(MAX($D$16,(L80)-(K33))))*(MAX($D$16,(L80)-(K33))),0.000001))^2)/(2*$I$5)))))+($D$10*(ABS((X33)-(W33))/90)*MAX(((ABS(H80)/MAX(((F33)+(H33)*(MAX($D$16,(D80)-(J33))))*(MAX($D$16,(D80)-(J33))),0.000001))^2)/(2*$I$5),((ABS(H80)/MAX(((G33)+(I33)*(MAX($D$16,(L80)-(K33))))*(MAX($D$16,(L80)-(K33))),0.000001))^2)/(2*$I$5)))+(($D$11*0.00000015*(ABS(G80)/MAX(ABS(F80),0.000001))^2*MAX(((ABS(H80)/MAX(((F33)+(H33)*(MAX($D$16,(D80)-(J33))))*(MAX($D$16,(D80)-(J33))),0.000001))^2)/(2*$I$5),((ABS(H80)/MAX(((G33)+(I33)*(MAX($D$16,(L80)-(K33))))*(MAX($D$16,(L80)-(K33))),0.000001))^2)/(2*$I$5))))-((ABS(H80)/MAX(((F33)+(H33)*(MAX($D$16,(D80)-(J33))))*(MAX($D$16,(D80)-(J33))),0.000001))^2)/(2*$I$5)</f>
        <v>634.3119999999999</v>
      </c>
      <c r="R80">
        <f>D80+((ABS(G80)/MAX(((F32)+(H32)*(MAX($D$16,(D80)-(J32))))*(MAX($D$16,(D80)-(J32))),0.000001))^2)/(2*$I$5)-((E32)*((((ABS(G80)*$D$6)/(MAX(((F32)+(H32)*(MAX($D$16,(D80)-(J32))))*(MAX($D$16,(D80)-(J32))),0.000001)*MAX(((((F32)+(H32)*(MAX($D$16,(D80)-(J32))))*(MAX($D$16,(D80)-(J32))))/MAX((F32)+2*(MAX($D$16,(D80)-(J32)))*SQRT(1+(H32)^2),0.000001))^(2/3),0.000001)))^2)+(((ABS(G80)*$D$6)/(MAX(((G32)+(I32)*(MAX($D$16,(E80)-(K32))))*(MAX($D$16,(E80)-(K32))),0.000001)*MAX(((((G32)+(I32)*(MAX($D$16,(E80)-(K32))))*(MAX($D$16,(E80)-(K32))))/MAX((G32)+2*(MAX($D$16,(E80)-(K32)))*SQRT(1+(I32)^2),0.000001))^(2/3),0.000001)))^2))/2)+(IF((ABS(G80)/MAX(((G32)+(I32)*(MAX($D$16,(E80)-(K32))))*(MAX($D$16,(E80)-(K32))),0.000001))&gt;(ABS(G80)/MAX(((F32)+(H32)*(MAX($D$16,(D80)-(J32))))*(MAX($D$16,(D80)-(J32))),0.000001)),$D$9*((((ABS(G80)/MAX(((G32)+(I32)*(MAX($D$16,(E80)-(K32))))*(MAX($D$16,(E80)-(K32))),0.000001))^2)/(2*$I$5))-(((ABS(G80)/MAX(((F32)+(H32)*(MAX($D$16,(D80)-(J32))))*(MAX($D$16,(D80)-(J32))),0.000001))^2)/(2*$I$5))),$D$8*((((ABS(G80)/MAX(((F32)+(H32)*(MAX($D$16,(D80)-(J32))))*(MAX($D$16,(D80)-(J32))),0.000001))^2)/(2*$I$5))-(((ABS(G80)/MAX(((G32)+(I32)*(MAX($D$16,(E80)-(K32))))*(MAX($D$16,(E80)-(K32))),0.000001))^2)/(2*$I$5)))))+($D$10*(ABS((X32)-(W32))/90)*MAX(((ABS(G80)/MAX(((F32)+(H32)*(MAX($D$16,(D80)-(J32))))*(MAX($D$16,(D80)-(J32))),0.000001))^2)/(2*$I$5),((ABS(G80)/MAX(((G32)+(I32)*(MAX($D$16,(E80)-(K32))))*(MAX($D$16,(E80)-(K32))),0.000001))^2)/(2*$I$5)))+(($D$11*0.13607488*(ABS(H80)/MAX(ABS(F80),0.000001))^2*MAX(((ABS(G80)/MAX(((F32)+(H32)*(MAX($D$16,(D80)-(J32))))*(MAX($D$16,(D80)-(J32))),0.000001))^2)/(2*$I$5),((ABS(G80)/MAX(((G32)+(I32)*(MAX($D$16,(E80)-(K32))))*(MAX($D$16,(E80)-(K32))),0.000001))^2)/(2*$I$5))))-((ABS(G80)/MAX(((G32)+(I32)*(MAX($D$16,(E80)-(K32))))*(MAX($D$16,(E80)-(K32))),0.000001))^2)/(2*$I$5)</f>
        <v>52432.141837658746</v>
      </c>
      <c r="S80">
        <f>M80+((ABS(I80)/MAX(((G34)+(I34)*(MAX($D$16,(M80)-(K34))))*(MAX($D$16,(M80)-(K34))),0.000001))^2)/(2*$I$5)+((E34)*((((ABS(I80)*$D$6)/(MAX(((F34)+(H34)*(MAX($D$16,(E80)-(J34))))*(MAX($D$16,(E80)-(J34))),0.000001)*MAX(((((F34)+(H34)*(MAX($D$16,(E80)-(J34))))*(MAX($D$16,(E80)-(J34))))/MAX((F34)+2*(MAX($D$16,(E80)-(J34)))*SQRT(1+(H34)^2),0.000001))^(2/3),0.000001)))^2)+(((ABS(I80)*$D$6)/(MAX(((G34)+(I34)*(MAX($D$16,(M80)-(K34))))*(MAX($D$16,(M80)-(K34))),0.000001)*MAX(((((G34)+(I34)*(MAX($D$16,(M80)-(K34))))*(MAX($D$16,(M80)-(K34))))/MAX((G34)+2*(MAX($D$16,(M80)-(K34)))*SQRT(1+(I34)^2),0.000001))^(2/3),0.000001)))^2))/2)+(IF((ABS(I80)/MAX(((G34)+(I34)*(MAX($D$16,(M80)-(K34))))*(MAX($D$16,(M80)-(K34))),0.000001))&gt;(ABS(I80)/MAX(((F34)+(H34)*(MAX($D$16,(E80)-(J34))))*(MAX($D$16,(E80)-(J34))),0.000001)),$D$9*((((ABS(I80)/MAX(((G34)+(I34)*(MAX($D$16,(M80)-(K34))))*(MAX($D$16,(M80)-(K34))),0.000001))^2)/(2*$I$5))-(((ABS(I80)/MAX(((F34)+(H34)*(MAX($D$16,(E80)-(J34))))*(MAX($D$16,(E80)-(J34))),0.000001))^2)/(2*$I$5))),$D$8*((((ABS(I80)/MAX(((F34)+(H34)*(MAX($D$16,(E80)-(J34))))*(MAX($D$16,(E80)-(J34))),0.000001))^2)/(2*$I$5))-(((ABS(I80)/MAX(((G34)+(I34)*(MAX($D$16,(M80)-(K34))))*(MAX($D$16,(M80)-(K34))),0.000001))^2)/(2*$I$5)))))+($D$10*(ABS((X34)-(W34))/90)*MAX(((ABS(I80)/MAX(((F34)+(H34)*(MAX($D$16,(E80)-(J34))))*(MAX($D$16,(E80)-(J34))),0.000001))^2)/(2*$I$5),((ABS(I80)/MAX(((G34)+(I34)*(MAX($D$16,(M80)-(K34))))*(MAX($D$16,(M80)-(K34))),0.000001))^2)/(2*$I$5)))+(0)-((ABS(I80)/MAX(((F34)+(H34)*(MAX($D$16,(E80)-(J34))))*(MAX($D$16,(E80)-(J34))),0.000001))^2)/(2*$I$5)</f>
        <v>635.5</v>
      </c>
      <c r="T80">
        <f>N80+((ABS(J80)/MAX(((G35)+(I35)*(MAX($D$16,(N80)-(K35))))*(MAX($D$16,(N80)-(K35))),0.000001))^2)/(2*$I$5)+((E35)*((((ABS(J80)*$D$6)/(MAX(((F35)+(H35)*(MAX($D$16,(E80)-(J35))))*(MAX($D$16,(E80)-(J35))),0.000001)*MAX(((((F35)+(H35)*(MAX($D$16,(E80)-(J35))))*(MAX($D$16,(E80)-(J35))))/MAX((F35)+2*(MAX($D$16,(E80)-(J35)))*SQRT(1+(H35)^2),0.000001))^(2/3),0.000001)))^2)+(((ABS(J80)*$D$6)/(MAX(((G35)+(I35)*(MAX($D$16,(N80)-(K35))))*(MAX($D$16,(N80)-(K35))),0.000001)*MAX(((((G35)+(I35)*(MAX($D$16,(N80)-(K35))))*(MAX($D$16,(N80)-(K35))))/MAX((G35)+2*(MAX($D$16,(N80)-(K35)))*SQRT(1+(I35)^2),0.000001))^(2/3),0.000001)))^2))/2)+(IF((ABS(J80)/MAX(((G35)+(I35)*(MAX($D$16,(N80)-(K35))))*(MAX($D$16,(N80)-(K35))),0.000001))&gt;(ABS(J80)/MAX(((F35)+(H35)*(MAX($D$16,(E80)-(J35))))*(MAX($D$16,(E80)-(J35))),0.000001)),$D$9*((((ABS(J80)/MAX(((G35)+(I35)*(MAX($D$16,(N80)-(K35))))*(MAX($D$16,(N80)-(K35))),0.000001))^2)/(2*$I$5))-(((ABS(J80)/MAX(((F35)+(H35)*(MAX($D$16,(E80)-(J35))))*(MAX($D$16,(E80)-(J35))),0.000001))^2)/(2*$I$5))),$D$8*((((ABS(J80)/MAX(((F35)+(H35)*(MAX($D$16,(E80)-(J35))))*(MAX($D$16,(E80)-(J35))),0.000001))^2)/(2*$I$5))-(((ABS(J80)/MAX(((G35)+(I35)*(MAX($D$16,(N80)-(K35))))*(MAX($D$16,(N80)-(K35))),0.000001))^2)/(2*$I$5)))))+($D$10*(ABS((X35)-(W35))/90)*MAX(((ABS(J80)/MAX(((F35)+(H35)*(MAX($D$16,(E80)-(J35))))*(MAX($D$16,(E80)-(J35))),0.000001))^2)/(2*$I$5),((ABS(J80)/MAX(((G35)+(I35)*(MAX($D$16,(N80)-(K35))))*(MAX($D$16,(N80)-(K35))),0.000001))^2)/(2*$I$5)))+(($D$11*0.34699541*(ABS(I80)/MAX(ABS(G80),0.000001))^2*MAX(((ABS(J80)/MAX(((F35)+(H35)*(MAX($D$16,(E80)-(J35))))*(MAX($D$16,(E80)-(J35))),0.000001))^2)/(2*$I$5),((ABS(J80)/MAX(((G35)+(I35)*(MAX($D$16,(N80)-(K35))))*(MAX($D$16,(N80)-(K35))),0.000001))^2)/(2*$I$5))))-((ABS(J80)/MAX(((F35)+(H35)*(MAX($D$16,(E80)-(J35))))*(MAX($D$16,(E80)-(J35))),0.000001))^2)/(2*$I$5)</f>
        <v>20784.033523923383</v>
      </c>
      <c r="U80">
        <f>(((((F32)*(MAX($D$16,(D80)-(J32)))^2)/2+(H32)*(MAX($D$16,(D80)-(J32)))^3/3+(ABS(G80)^2)/($I$5*MAX(((F32)+(H32)*(MAX($D$16,(D80)-(J32))))*(MAX($D$16,(D80)-(J32))),0.000001)))*0.72785025)-((((F33)*(MAX($D$16,(D80)-(J33)))^2)/2+(H33)*(MAX($D$16,(D80)-(J33)))^3/3+(ABS(H80)^2)/($I$5*MAX(((F33)+(H33)*(MAX($D$16,(D80)-(J33))))*(MAX($D$16,(D80)-(J33))),0.000001)))*0.99999971))/MAX(((G31)*(MAX($D$16,(D80)-(K31)))^2)/2+(I31)*(MAX($D$16,(D80)-(K31)))^3/3+(ABS(F80)^2)/($I$5*MAX(((G31)+(I31)*(MAX($D$16,(D80)-(K31))))*(MAX($D$16,(D80)-(K31))),0.000001)),0.000001)</f>
        <v>-0.27214945999991119</v>
      </c>
      <c r="V80">
        <f>(((((F34)*(MAX($D$16,(E80)-(J34)))^2)/2+(H34)*(MAX($D$16,(E80)-(J34)))^3/3+(ABS(I80)^2)/($I$5*MAX(((F34)+(H34)*(MAX($D$16,(E80)-(J34))))*(MAX($D$16,(E80)-(J34))),0.000001)))*1)-((((F35)*(MAX($D$16,(E80)-(J35)))^2)/2+(H35)*(MAX($D$16,(E80)-(J35)))^3/3+(ABS(J80)^2)/($I$5*MAX(((F35)+(H35)*(MAX($D$16,(E80)-(J35))))*(MAX($D$16,(E80)-(J35))),0.000001)))*0.30600918))/MAX(((G32)*(MAX($D$16,(E80)-(K32)))^2)/2+(I32)*(MAX($D$16,(E80)-(K32)))^3/3+(ABS(G80)^2)/($I$5*MAX(((G32)+(I32)*(MAX($D$16,(E80)-(K32))))*(MAX($D$16,(E80)-(K32))),0.000001)),0.000001)</f>
        <v>0.69398638937190393</v>
      </c>
      <c r="W80">
        <f>IF(N6="None",ABS(P80-D80),MAX(ABS(P80-D80),ABS(Q80-D80)))</f>
        <v>3.4197000786662102E-10</v>
      </c>
      <c r="X80">
        <f>IF(AND(N7="None",N8="None"),0,IF(N8="None",ABS(S80-E80),IF(N7="None",ABS(T80-E80),MAX(ABS(S80-E80),ABS(T80-E80)))))</f>
        <v>51796.641837658404</v>
      </c>
      <c r="AA80">
        <f t="shared" si="18"/>
        <v>52432.141837658732</v>
      </c>
      <c r="AB80">
        <f t="shared" si="19"/>
        <v>41355.30392785115</v>
      </c>
      <c r="AC80">
        <f>IF(N6="None",P80,MAX(P80,Q80))</f>
        <v>52432.141837658957</v>
      </c>
      <c r="AD80">
        <f>IF(AND(N7="None",N8="None"),E80,IF(N8="None",S80,IF(N7="None",T80,MAX(S80,T80))))</f>
        <v>20784.033523923383</v>
      </c>
      <c r="AE80">
        <f t="shared" si="20"/>
        <v>637.65825101089831</v>
      </c>
      <c r="AF80">
        <f t="shared" si="21"/>
        <v>52432.141837658746</v>
      </c>
      <c r="AG80">
        <f>((G31)*(MAX($D$16,(AC80)-(K31)))^2)/2+(I31)*(MAX($D$16,(AC80)-(K31)))^3/3+(ABS(F80)^2)/($I$5*MAX(((G31)+(I31)*(MAX($D$16,(AC80)-(K31))))*(MAX($D$16,(AC80)-(K31))),0.000001))</f>
        <v>8797611517.4106007</v>
      </c>
      <c r="AH80">
        <f>((G31)*(MAX($D$16,(AE80)-(K31)))^2)/2+(I31)*(MAX($D$16,(AE80)-(K31)))^3/3+(ABS(F80)^2)/($I$5*MAX(((G31)+(I31)*(MAX($D$16,(AE80)-(K31))))*(MAX($D$16,(AE80)-(K31))),0.000001))</f>
        <v>49.055863329575246</v>
      </c>
      <c r="AI80">
        <f>((G32)*(MAX($D$16,(AD80)-(K32)))^2)/2+(I32)*(MAX($D$16,(AD80)-(K32)))^3/3+(ABS(G80)^2)/($I$5*MAX(((G32)+(I32)*(MAX($D$16,(AD80)-(K32))))*(MAX($D$16,(AD80)-(K32))),0.000001))</f>
        <v>2072376743.6648321</v>
      </c>
      <c r="AJ80">
        <f>((G32)*(MAX($D$16,(AF80)-(K32)))^2)/2+(I32)*(MAX($D$16,(AF80)-(K32)))^3/3+(ABS(G80)^2)/($I$5*MAX(((G32)+(I32)*(MAX($D$16,(AF80)-(K32))))*(MAX($D$16,(AF80)-(K32))),0.000001))</f>
        <v>13692714789.642366</v>
      </c>
      <c r="AK80" t="str">
        <f t="shared" si="22"/>
        <v>Subcritical</v>
      </c>
      <c r="AL80" t="str">
        <f t="shared" si="23"/>
        <v>Supercritical</v>
      </c>
      <c r="AM80">
        <f t="shared" si="24"/>
        <v>52432.141837658732</v>
      </c>
      <c r="AN80">
        <f t="shared" si="25"/>
        <v>52432.141837658521</v>
      </c>
      <c r="AO80">
        <f t="shared" si="26"/>
        <v>3.4197000786662102E-10</v>
      </c>
      <c r="AP80">
        <f t="shared" si="27"/>
        <v>3.4197000786662102E-10</v>
      </c>
    </row>
    <row r="81" spans="1:42" x14ac:dyDescent="0.35">
      <c r="A81">
        <v>38</v>
      </c>
      <c r="B81">
        <f t="shared" si="28"/>
        <v>0</v>
      </c>
      <c r="C81">
        <f t="shared" si="29"/>
        <v>0</v>
      </c>
      <c r="D81">
        <f t="shared" si="30"/>
        <v>52432.141837658732</v>
      </c>
      <c r="E81">
        <f t="shared" si="31"/>
        <v>52432.141837658521</v>
      </c>
      <c r="F81">
        <f t="shared" si="17"/>
        <v>51</v>
      </c>
      <c r="G81">
        <f>IF(N6="None",F81,MAX(0,F81*B81))</f>
        <v>51</v>
      </c>
      <c r="H81">
        <f>IF(N6="None",0,MAX(0,F81-G81))</f>
        <v>0</v>
      </c>
      <c r="I81">
        <f>IF(AND(N7="None",N8="None"),0,IF(N8="None",G81,IF(N7="None",0,MAX(0,G81*C81))))</f>
        <v>0</v>
      </c>
      <c r="J81">
        <f>IF(AND(N7="None",N8="None"),0,IF(N8="None",0,IF(N7="None",G81,MAX(0,G81-I81))))</f>
        <v>51</v>
      </c>
      <c r="K81">
        <f>P5</f>
        <v>637</v>
      </c>
      <c r="L81">
        <f>P6</f>
        <v>634.3119999999999</v>
      </c>
      <c r="M81">
        <f>P7</f>
        <v>635.5</v>
      </c>
      <c r="N81">
        <f>P8</f>
        <v>631.54999999999995</v>
      </c>
      <c r="O81">
        <f>K81+((ABS(F81)/MAX(((F31)+(H31)*(MAX($D$16,(K81)-(J31))))*(MAX($D$16,(K81)-(J31))),0.000001))^2)/(2*$I$5)-((E31)*((((ABS(F81)*$D$6)/(MAX(((F31)+(H31)*(MAX($D$16,(K81)-(J31))))*(MAX($D$16,(K81)-(J31))),0.000001)*MAX(((((F31)+(H31)*(MAX($D$16,(K81)-(J31))))*(MAX($D$16,(K81)-(J31))))/MAX((F31)+2*(MAX($D$16,(K81)-(J31)))*SQRT(1+(H31)^2),0.000001))^(2/3),0.000001)))^2)+(((ABS(F81)*$D$6)/(MAX(((G31)+(I31)*(MAX($D$16,(D81)-(K31))))*(MAX($D$16,(D81)-(K31))),0.000001)*MAX(((((G31)+(I31)*(MAX($D$16,(D81)-(K31))))*(MAX($D$16,(D81)-(K31))))/MAX((G31)+2*(MAX($D$16,(D81)-(K31)))*SQRT(1+(I31)^2),0.000001))^(2/3),0.000001)))^2))/2)+(IF((ABS(F81)/MAX(((G31)+(I31)*(MAX($D$16,(D81)-(K31))))*(MAX($D$16,(D81)-(K31))),0.000001))&gt;(ABS(F81)/MAX(((F31)+(H31)*(MAX($D$16,(K81)-(J31))))*(MAX($D$16,(K81)-(J31))),0.000001)),$D$9*((((ABS(F81)/MAX(((G31)+(I31)*(MAX($D$16,(D81)-(K31))))*(MAX($D$16,(D81)-(K31))),0.000001))^2)/(2*$I$5))-(((ABS(F81)/MAX(((F31)+(H31)*(MAX($D$16,(K81)-(J31))))*(MAX($D$16,(K81)-(J31))),0.000001))^2)/(2*$I$5))),$D$8*((((ABS(F81)/MAX(((F31)+(H31)*(MAX($D$16,(K81)-(J31))))*(MAX($D$16,(K81)-(J31))),0.000001))^2)/(2*$I$5))-(((ABS(F81)/MAX(((G31)+(I31)*(MAX($D$16,(D81)-(K31))))*(MAX($D$16,(D81)-(K31))),0.000001))^2)/(2*$I$5)))))+($D$10*(ABS((X31)-(W31))/90)*MAX(((ABS(F81)/MAX(((F31)+(H31)*(MAX($D$16,(K81)-(J31))))*(MAX($D$16,(K81)-(J31))),0.000001))^2)/(2*$I$5),((ABS(F81)/MAX(((G31)+(I31)*(MAX($D$16,(D81)-(K31))))*(MAX($D$16,(D81)-(K31))),0.000001))^2)/(2*$I$5)))+(0)-((ABS(F81)/MAX(((G31)+(I31)*(MAX($D$16,(D81)-(K31))))*(MAX($D$16,(D81)-(K31))),0.000001))^2)/(2*$I$5)</f>
        <v>637.65825101089831</v>
      </c>
      <c r="P81">
        <f>E81+((ABS(G81)/MAX(((G32)+(I32)*(MAX($D$16,(E81)-(K32))))*(MAX($D$16,(E81)-(K32))),0.000001))^2)/(2*$I$5)+((E32)*((((ABS(G81)*$D$6)/(MAX(((F32)+(H32)*(MAX($D$16,(D81)-(J32))))*(MAX($D$16,(D81)-(J32))),0.000001)*MAX(((((F32)+(H32)*(MAX($D$16,(D81)-(J32))))*(MAX($D$16,(D81)-(J32))))/MAX((F32)+2*(MAX($D$16,(D81)-(J32)))*SQRT(1+(H32)^2),0.000001))^(2/3),0.000001)))^2)+(((ABS(G81)*$D$6)/(MAX(((G32)+(I32)*(MAX($D$16,(E81)-(K32))))*(MAX($D$16,(E81)-(K32))),0.000001)*MAX(((((G32)+(I32)*(MAX($D$16,(E81)-(K32))))*(MAX($D$16,(E81)-(K32))))/MAX((G32)+2*(MAX($D$16,(E81)-(K32)))*SQRT(1+(I32)^2),0.000001))^(2/3),0.000001)))^2))/2)+(IF((ABS(G81)/MAX(((G32)+(I32)*(MAX($D$16,(E81)-(K32))))*(MAX($D$16,(E81)-(K32))),0.000001))&gt;(ABS(G81)/MAX(((F32)+(H32)*(MAX($D$16,(D81)-(J32))))*(MAX($D$16,(D81)-(J32))),0.000001)),$D$9*((((ABS(G81)/MAX(((G32)+(I32)*(MAX($D$16,(E81)-(K32))))*(MAX($D$16,(E81)-(K32))),0.000001))^2)/(2*$I$5))-(((ABS(G81)/MAX(((F32)+(H32)*(MAX($D$16,(D81)-(J32))))*(MAX($D$16,(D81)-(J32))),0.000001))^2)/(2*$I$5))),$D$8*((((ABS(G81)/MAX(((F32)+(H32)*(MAX($D$16,(D81)-(J32))))*(MAX($D$16,(D81)-(J32))),0.000001))^2)/(2*$I$5))-(((ABS(G81)/MAX(((G32)+(I32)*(MAX($D$16,(E81)-(K32))))*(MAX($D$16,(E81)-(K32))),0.000001))^2)/(2*$I$5)))))+($D$10*(ABS((X32)-(W32))/90)*MAX(((ABS(G81)/MAX(((F32)+(H32)*(MAX($D$16,(D81)-(J32))))*(MAX($D$16,(D81)-(J32))),0.000001))^2)/(2*$I$5),((ABS(G81)/MAX(((G32)+(I32)*(MAX($D$16,(E81)-(K32))))*(MAX($D$16,(E81)-(K32))),0.000001))^2)/(2*$I$5)))+(($D$11*0.13607488*(ABS(H81)/MAX(ABS(F81),0.000001))^2*MAX(((ABS(G81)/MAX(((F32)+(H32)*(MAX($D$16,(D81)-(J32))))*(MAX($D$16,(D81)-(J32))),0.000001))^2)/(2*$I$5),((ABS(G81)/MAX(((G32)+(I32)*(MAX($D$16,(E81)-(K32))))*(MAX($D$16,(E81)-(K32))),0.000001))^2)/(2*$I$5))))-((ABS(G81)/MAX(((F32)+(H32)*(MAX($D$16,(D81)-(J32))))*(MAX($D$16,(D81)-(J32))),0.000001))^2)/(2*$I$5)</f>
        <v>52432.141837659074</v>
      </c>
      <c r="Q81">
        <f>L81+((ABS(H81)/MAX(((G33)+(I33)*(MAX($D$16,(L81)-(K33))))*(MAX($D$16,(L81)-(K33))),0.000001))^2)/(2*$I$5)+((E33)*((((ABS(H81)*$D$6)/(MAX(((F33)+(H33)*(MAX($D$16,(D81)-(J33))))*(MAX($D$16,(D81)-(J33))),0.000001)*MAX(((((F33)+(H33)*(MAX($D$16,(D81)-(J33))))*(MAX($D$16,(D81)-(J33))))/MAX((F33)+2*(MAX($D$16,(D81)-(J33)))*SQRT(1+(H33)^2),0.000001))^(2/3),0.000001)))^2)+(((ABS(H81)*$D$6)/(MAX(((G33)+(I33)*(MAX($D$16,(L81)-(K33))))*(MAX($D$16,(L81)-(K33))),0.000001)*MAX(((((G33)+(I33)*(MAX($D$16,(L81)-(K33))))*(MAX($D$16,(L81)-(K33))))/MAX((G33)+2*(MAX($D$16,(L81)-(K33)))*SQRT(1+(I33)^2),0.000001))^(2/3),0.000001)))^2))/2)+(IF((ABS(H81)/MAX(((G33)+(I33)*(MAX($D$16,(L81)-(K33))))*(MAX($D$16,(L81)-(K33))),0.000001))&gt;(ABS(H81)/MAX(((F33)+(H33)*(MAX($D$16,(D81)-(J33))))*(MAX($D$16,(D81)-(J33))),0.000001)),$D$9*((((ABS(H81)/MAX(((G33)+(I33)*(MAX($D$16,(L81)-(K33))))*(MAX($D$16,(L81)-(K33))),0.000001))^2)/(2*$I$5))-(((ABS(H81)/MAX(((F33)+(H33)*(MAX($D$16,(D81)-(J33))))*(MAX($D$16,(D81)-(J33))),0.000001))^2)/(2*$I$5))),$D$8*((((ABS(H81)/MAX(((F33)+(H33)*(MAX($D$16,(D81)-(J33))))*(MAX($D$16,(D81)-(J33))),0.000001))^2)/(2*$I$5))-(((ABS(H81)/MAX(((G33)+(I33)*(MAX($D$16,(L81)-(K33))))*(MAX($D$16,(L81)-(K33))),0.000001))^2)/(2*$I$5)))))+($D$10*(ABS((X33)-(W33))/90)*MAX(((ABS(H81)/MAX(((F33)+(H33)*(MAX($D$16,(D81)-(J33))))*(MAX($D$16,(D81)-(J33))),0.000001))^2)/(2*$I$5),((ABS(H81)/MAX(((G33)+(I33)*(MAX($D$16,(L81)-(K33))))*(MAX($D$16,(L81)-(K33))),0.000001))^2)/(2*$I$5)))+(($D$11*0.00000015*(ABS(G81)/MAX(ABS(F81),0.000001))^2*MAX(((ABS(H81)/MAX(((F33)+(H33)*(MAX($D$16,(D81)-(J33))))*(MAX($D$16,(D81)-(J33))),0.000001))^2)/(2*$I$5),((ABS(H81)/MAX(((G33)+(I33)*(MAX($D$16,(L81)-(K33))))*(MAX($D$16,(L81)-(K33))),0.000001))^2)/(2*$I$5))))-((ABS(H81)/MAX(((F33)+(H33)*(MAX($D$16,(D81)-(J33))))*(MAX($D$16,(D81)-(J33))),0.000001))^2)/(2*$I$5)</f>
        <v>634.3119999999999</v>
      </c>
      <c r="R81">
        <f>D81+((ABS(G81)/MAX(((F32)+(H32)*(MAX($D$16,(D81)-(J32))))*(MAX($D$16,(D81)-(J32))),0.000001))^2)/(2*$I$5)-((E32)*((((ABS(G81)*$D$6)/(MAX(((F32)+(H32)*(MAX($D$16,(D81)-(J32))))*(MAX($D$16,(D81)-(J32))),0.000001)*MAX(((((F32)+(H32)*(MAX($D$16,(D81)-(J32))))*(MAX($D$16,(D81)-(J32))))/MAX((F32)+2*(MAX($D$16,(D81)-(J32)))*SQRT(1+(H32)^2),0.000001))^(2/3),0.000001)))^2)+(((ABS(G81)*$D$6)/(MAX(((G32)+(I32)*(MAX($D$16,(E81)-(K32))))*(MAX($D$16,(E81)-(K32))),0.000001)*MAX(((((G32)+(I32)*(MAX($D$16,(E81)-(K32))))*(MAX($D$16,(E81)-(K32))))/MAX((G32)+2*(MAX($D$16,(E81)-(K32)))*SQRT(1+(I32)^2),0.000001))^(2/3),0.000001)))^2))/2)+(IF((ABS(G81)/MAX(((G32)+(I32)*(MAX($D$16,(E81)-(K32))))*(MAX($D$16,(E81)-(K32))),0.000001))&gt;(ABS(G81)/MAX(((F32)+(H32)*(MAX($D$16,(D81)-(J32))))*(MAX($D$16,(D81)-(J32))),0.000001)),$D$9*((((ABS(G81)/MAX(((G32)+(I32)*(MAX($D$16,(E81)-(K32))))*(MAX($D$16,(E81)-(K32))),0.000001))^2)/(2*$I$5))-(((ABS(G81)/MAX(((F32)+(H32)*(MAX($D$16,(D81)-(J32))))*(MAX($D$16,(D81)-(J32))),0.000001))^2)/(2*$I$5))),$D$8*((((ABS(G81)/MAX(((F32)+(H32)*(MAX($D$16,(D81)-(J32))))*(MAX($D$16,(D81)-(J32))),0.000001))^2)/(2*$I$5))-(((ABS(G81)/MAX(((G32)+(I32)*(MAX($D$16,(E81)-(K32))))*(MAX($D$16,(E81)-(K32))),0.000001))^2)/(2*$I$5)))))+($D$10*(ABS((X32)-(W32))/90)*MAX(((ABS(G81)/MAX(((F32)+(H32)*(MAX($D$16,(D81)-(J32))))*(MAX($D$16,(D81)-(J32))),0.000001))^2)/(2*$I$5),((ABS(G81)/MAX(((G32)+(I32)*(MAX($D$16,(E81)-(K32))))*(MAX($D$16,(E81)-(K32))),0.000001))^2)/(2*$I$5)))+(($D$11*0.13607488*(ABS(H81)/MAX(ABS(F81),0.000001))^2*MAX(((ABS(G81)/MAX(((F32)+(H32)*(MAX($D$16,(D81)-(J32))))*(MAX($D$16,(D81)-(J32))),0.000001))^2)/(2*$I$5),((ABS(G81)/MAX(((G32)+(I32)*(MAX($D$16,(E81)-(K32))))*(MAX($D$16,(E81)-(K32))),0.000001))^2)/(2*$I$5))))-((ABS(G81)/MAX(((G32)+(I32)*(MAX($D$16,(E81)-(K32))))*(MAX($D$16,(E81)-(K32))),0.000001))^2)/(2*$I$5)</f>
        <v>52432.141837658863</v>
      </c>
      <c r="S81">
        <f>M81+((ABS(I81)/MAX(((G34)+(I34)*(MAX($D$16,(M81)-(K34))))*(MAX($D$16,(M81)-(K34))),0.000001))^2)/(2*$I$5)+((E34)*((((ABS(I81)*$D$6)/(MAX(((F34)+(H34)*(MAX($D$16,(E81)-(J34))))*(MAX($D$16,(E81)-(J34))),0.000001)*MAX(((((F34)+(H34)*(MAX($D$16,(E81)-(J34))))*(MAX($D$16,(E81)-(J34))))/MAX((F34)+2*(MAX($D$16,(E81)-(J34)))*SQRT(1+(H34)^2),0.000001))^(2/3),0.000001)))^2)+(((ABS(I81)*$D$6)/(MAX(((G34)+(I34)*(MAX($D$16,(M81)-(K34))))*(MAX($D$16,(M81)-(K34))),0.000001)*MAX(((((G34)+(I34)*(MAX($D$16,(M81)-(K34))))*(MAX($D$16,(M81)-(K34))))/MAX((G34)+2*(MAX($D$16,(M81)-(K34)))*SQRT(1+(I34)^2),0.000001))^(2/3),0.000001)))^2))/2)+(IF((ABS(I81)/MAX(((G34)+(I34)*(MAX($D$16,(M81)-(K34))))*(MAX($D$16,(M81)-(K34))),0.000001))&gt;(ABS(I81)/MAX(((F34)+(H34)*(MAX($D$16,(E81)-(J34))))*(MAX($D$16,(E81)-(J34))),0.000001)),$D$9*((((ABS(I81)/MAX(((G34)+(I34)*(MAX($D$16,(M81)-(K34))))*(MAX($D$16,(M81)-(K34))),0.000001))^2)/(2*$I$5))-(((ABS(I81)/MAX(((F34)+(H34)*(MAX($D$16,(E81)-(J34))))*(MAX($D$16,(E81)-(J34))),0.000001))^2)/(2*$I$5))),$D$8*((((ABS(I81)/MAX(((F34)+(H34)*(MAX($D$16,(E81)-(J34))))*(MAX($D$16,(E81)-(J34))),0.000001))^2)/(2*$I$5))-(((ABS(I81)/MAX(((G34)+(I34)*(MAX($D$16,(M81)-(K34))))*(MAX($D$16,(M81)-(K34))),0.000001))^2)/(2*$I$5)))))+($D$10*(ABS((X34)-(W34))/90)*MAX(((ABS(I81)/MAX(((F34)+(H34)*(MAX($D$16,(E81)-(J34))))*(MAX($D$16,(E81)-(J34))),0.000001))^2)/(2*$I$5),((ABS(I81)/MAX(((G34)+(I34)*(MAX($D$16,(M81)-(K34))))*(MAX($D$16,(M81)-(K34))),0.000001))^2)/(2*$I$5)))+(0)-((ABS(I81)/MAX(((F34)+(H34)*(MAX($D$16,(E81)-(J34))))*(MAX($D$16,(E81)-(J34))),0.000001))^2)/(2*$I$5)</f>
        <v>635.5</v>
      </c>
      <c r="T81">
        <f>N81+((ABS(J81)/MAX(((G35)+(I35)*(MAX($D$16,(N81)-(K35))))*(MAX($D$16,(N81)-(K35))),0.000001))^2)/(2*$I$5)+((E35)*((((ABS(J81)*$D$6)/(MAX(((F35)+(H35)*(MAX($D$16,(E81)-(J35))))*(MAX($D$16,(E81)-(J35))),0.000001)*MAX(((((F35)+(H35)*(MAX($D$16,(E81)-(J35))))*(MAX($D$16,(E81)-(J35))))/MAX((F35)+2*(MAX($D$16,(E81)-(J35)))*SQRT(1+(H35)^2),0.000001))^(2/3),0.000001)))^2)+(((ABS(J81)*$D$6)/(MAX(((G35)+(I35)*(MAX($D$16,(N81)-(K35))))*(MAX($D$16,(N81)-(K35))),0.000001)*MAX(((((G35)+(I35)*(MAX($D$16,(N81)-(K35))))*(MAX($D$16,(N81)-(K35))))/MAX((G35)+2*(MAX($D$16,(N81)-(K35)))*SQRT(1+(I35)^2),0.000001))^(2/3),0.000001)))^2))/2)+(IF((ABS(J81)/MAX(((G35)+(I35)*(MAX($D$16,(N81)-(K35))))*(MAX($D$16,(N81)-(K35))),0.000001))&gt;(ABS(J81)/MAX(((F35)+(H35)*(MAX($D$16,(E81)-(J35))))*(MAX($D$16,(E81)-(J35))),0.000001)),$D$9*((((ABS(J81)/MAX(((G35)+(I35)*(MAX($D$16,(N81)-(K35))))*(MAX($D$16,(N81)-(K35))),0.000001))^2)/(2*$I$5))-(((ABS(J81)/MAX(((F35)+(H35)*(MAX($D$16,(E81)-(J35))))*(MAX($D$16,(E81)-(J35))),0.000001))^2)/(2*$I$5))),$D$8*((((ABS(J81)/MAX(((F35)+(H35)*(MAX($D$16,(E81)-(J35))))*(MAX($D$16,(E81)-(J35))),0.000001))^2)/(2*$I$5))-(((ABS(J81)/MAX(((G35)+(I35)*(MAX($D$16,(N81)-(K35))))*(MAX($D$16,(N81)-(K35))),0.000001))^2)/(2*$I$5)))))+($D$10*(ABS((X35)-(W35))/90)*MAX(((ABS(J81)/MAX(((F35)+(H35)*(MAX($D$16,(E81)-(J35))))*(MAX($D$16,(E81)-(J35))),0.000001))^2)/(2*$I$5),((ABS(J81)/MAX(((G35)+(I35)*(MAX($D$16,(N81)-(K35))))*(MAX($D$16,(N81)-(K35))),0.000001))^2)/(2*$I$5)))+(($D$11*0.34699541*(ABS(I81)/MAX(ABS(G81),0.000001))^2*MAX(((ABS(J81)/MAX(((F35)+(H35)*(MAX($D$16,(E81)-(J35))))*(MAX($D$16,(E81)-(J35))),0.000001))^2)/(2*$I$5),((ABS(J81)/MAX(((G35)+(I35)*(MAX($D$16,(N81)-(K35))))*(MAX($D$16,(N81)-(K35))),0.000001))^2)/(2*$I$5))))-((ABS(J81)/MAX(((F35)+(H35)*(MAX($D$16,(E81)-(J35))))*(MAX($D$16,(E81)-(J35))),0.000001))^2)/(2*$I$5)</f>
        <v>20784.033523923383</v>
      </c>
      <c r="U81">
        <f>(((((F32)*(MAX($D$16,(D81)-(J32)))^2)/2+(H32)*(MAX($D$16,(D81)-(J32)))^3/3+(ABS(G81)^2)/($I$5*MAX(((F32)+(H32)*(MAX($D$16,(D81)-(J32))))*(MAX($D$16,(D81)-(J32))),0.000001)))*0.72785025)-((((F33)*(MAX($D$16,(D81)-(J33)))^2)/2+(H33)*(MAX($D$16,(D81)-(J33)))^3/3+(ABS(H81)^2)/($I$5*MAX(((F33)+(H33)*(MAX($D$16,(D81)-(J33))))*(MAX($D$16,(D81)-(J33))),0.000001)))*0.99999971))/MAX(((G31)*(MAX($D$16,(D81)-(K31)))^2)/2+(I31)*(MAX($D$16,(D81)-(K31)))^3/3+(ABS(F81)^2)/($I$5*MAX(((G31)+(I31)*(MAX($D$16,(D81)-(K31))))*(MAX($D$16,(D81)-(K31))),0.000001)),0.000001)</f>
        <v>-0.27214945999991119</v>
      </c>
      <c r="V81">
        <f>(((((F34)*(MAX($D$16,(E81)-(J34)))^2)/2+(H34)*(MAX($D$16,(E81)-(J34)))^3/3+(ABS(I81)^2)/($I$5*MAX(((F34)+(H34)*(MAX($D$16,(E81)-(J34))))*(MAX($D$16,(E81)-(J34))),0.000001)))*1)-((((F35)*(MAX($D$16,(E81)-(J35)))^2)/2+(H35)*(MAX($D$16,(E81)-(J35)))^3/3+(ABS(J81)^2)/($I$5*MAX(((F35)+(H35)*(MAX($D$16,(E81)-(J35))))*(MAX($D$16,(E81)-(J35))),0.000001)))*0.30600918))/MAX(((G32)*(MAX($D$16,(E81)-(K32)))^2)/2+(I32)*(MAX($D$16,(E81)-(K32)))^3/3+(ABS(G81)^2)/($I$5*MAX(((G32)+(I32)*(MAX($D$16,(E81)-(K32))))*(MAX($D$16,(E81)-(K32))),0.000001)),0.000001)</f>
        <v>0.69398638937190393</v>
      </c>
      <c r="W81">
        <f>IF(N6="None",ABS(P81-D81),MAX(ABS(P81-D81),ABS(Q81-D81)))</f>
        <v>3.4197000786662102E-10</v>
      </c>
      <c r="X81">
        <f>IF(AND(N7="None",N8="None"),0,IF(N8="None",ABS(S81-E81),IF(N7="None",ABS(T81-E81),MAX(ABS(S81-E81),ABS(T81-E81)))))</f>
        <v>51796.641837658521</v>
      </c>
      <c r="AA81">
        <f t="shared" si="18"/>
        <v>52432.141837658848</v>
      </c>
      <c r="AB81">
        <f t="shared" si="19"/>
        <v>41355.303927851222</v>
      </c>
      <c r="AC81">
        <f>IF(N6="None",P81,MAX(P81,Q81))</f>
        <v>52432.141837659074</v>
      </c>
      <c r="AD81">
        <f>IF(AND(N7="None",N8="None"),E81,IF(N8="None",S81,IF(N7="None",T81,MAX(S81,T81))))</f>
        <v>20784.033523923383</v>
      </c>
      <c r="AE81">
        <f t="shared" si="20"/>
        <v>637.65825101089831</v>
      </c>
      <c r="AF81">
        <f t="shared" si="21"/>
        <v>52432.141837658863</v>
      </c>
      <c r="AG81">
        <f>((G31)*(MAX($D$16,(AC81)-(K31)))^2)/2+(I31)*(MAX($D$16,(AC81)-(K31)))^3/3+(ABS(F81)^2)/($I$5*MAX(((G31)+(I31)*(MAX($D$16,(AC81)-(K31))))*(MAX($D$16,(AC81)-(K31))),0.000001))</f>
        <v>8797611517.4106426</v>
      </c>
      <c r="AH81">
        <f>((G31)*(MAX($D$16,(AE81)-(K31)))^2)/2+(I31)*(MAX($D$16,(AE81)-(K31)))^3/3+(ABS(F81)^2)/($I$5*MAX(((G31)+(I31)*(MAX($D$16,(AE81)-(K31))))*(MAX($D$16,(AE81)-(K31))),0.000001))</f>
        <v>49.055863329575246</v>
      </c>
      <c r="AI81">
        <f>((G32)*(MAX($D$16,(AD81)-(K32)))^2)/2+(I32)*(MAX($D$16,(AD81)-(K32)))^3/3+(ABS(G81)^2)/($I$5*MAX(((G32)+(I32)*(MAX($D$16,(AD81)-(K32))))*(MAX($D$16,(AD81)-(K32))),0.000001))</f>
        <v>2072376743.6648321</v>
      </c>
      <c r="AJ81">
        <f>((G32)*(MAX($D$16,(AF81)-(K32)))^2)/2+(I32)*(MAX($D$16,(AF81)-(K32)))^3/3+(ABS(G81)^2)/($I$5*MAX(((G32)+(I32)*(MAX($D$16,(AF81)-(K32))))*(MAX($D$16,(AF81)-(K32))),0.000001))</f>
        <v>13692714789.642427</v>
      </c>
      <c r="AK81" t="str">
        <f t="shared" si="22"/>
        <v>Subcritical</v>
      </c>
      <c r="AL81" t="str">
        <f t="shared" si="23"/>
        <v>Supercritical</v>
      </c>
      <c r="AM81">
        <f t="shared" si="24"/>
        <v>52432.141837658848</v>
      </c>
      <c r="AN81">
        <f t="shared" si="25"/>
        <v>52432.141837658637</v>
      </c>
      <c r="AO81">
        <f t="shared" si="26"/>
        <v>3.4197000786662102E-10</v>
      </c>
      <c r="AP81">
        <f t="shared" si="27"/>
        <v>3.4197000786662102E-10</v>
      </c>
    </row>
    <row r="82" spans="1:42" x14ac:dyDescent="0.35">
      <c r="A82">
        <v>39</v>
      </c>
      <c r="B82">
        <f t="shared" si="28"/>
        <v>0</v>
      </c>
      <c r="C82">
        <f t="shared" si="29"/>
        <v>0</v>
      </c>
      <c r="D82">
        <f t="shared" si="30"/>
        <v>52432.141837658848</v>
      </c>
      <c r="E82">
        <f t="shared" si="31"/>
        <v>52432.141837658637</v>
      </c>
      <c r="F82">
        <f t="shared" si="17"/>
        <v>51</v>
      </c>
      <c r="G82">
        <f>IF(N6="None",F82,MAX(0,F82*B82))</f>
        <v>51</v>
      </c>
      <c r="H82">
        <f>IF(N6="None",0,MAX(0,F82-G82))</f>
        <v>0</v>
      </c>
      <c r="I82">
        <f>IF(AND(N7="None",N8="None"),0,IF(N8="None",G82,IF(N7="None",0,MAX(0,G82*C82))))</f>
        <v>0</v>
      </c>
      <c r="J82">
        <f>IF(AND(N7="None",N8="None"),0,IF(N8="None",0,IF(N7="None",G82,MAX(0,G82-I82))))</f>
        <v>51</v>
      </c>
      <c r="K82">
        <f>P5</f>
        <v>637</v>
      </c>
      <c r="L82">
        <f>P6</f>
        <v>634.3119999999999</v>
      </c>
      <c r="M82">
        <f>P7</f>
        <v>635.5</v>
      </c>
      <c r="N82">
        <f>P8</f>
        <v>631.54999999999995</v>
      </c>
      <c r="O82">
        <f>K82+((ABS(F82)/MAX(((F31)+(H31)*(MAX($D$16,(K82)-(J31))))*(MAX($D$16,(K82)-(J31))),0.000001))^2)/(2*$I$5)-((E31)*((((ABS(F82)*$D$6)/(MAX(((F31)+(H31)*(MAX($D$16,(K82)-(J31))))*(MAX($D$16,(K82)-(J31))),0.000001)*MAX(((((F31)+(H31)*(MAX($D$16,(K82)-(J31))))*(MAX($D$16,(K82)-(J31))))/MAX((F31)+2*(MAX($D$16,(K82)-(J31)))*SQRT(1+(H31)^2),0.000001))^(2/3),0.000001)))^2)+(((ABS(F82)*$D$6)/(MAX(((G31)+(I31)*(MAX($D$16,(D82)-(K31))))*(MAX($D$16,(D82)-(K31))),0.000001)*MAX(((((G31)+(I31)*(MAX($D$16,(D82)-(K31))))*(MAX($D$16,(D82)-(K31))))/MAX((G31)+2*(MAX($D$16,(D82)-(K31)))*SQRT(1+(I31)^2),0.000001))^(2/3),0.000001)))^2))/2)+(IF((ABS(F82)/MAX(((G31)+(I31)*(MAX($D$16,(D82)-(K31))))*(MAX($D$16,(D82)-(K31))),0.000001))&gt;(ABS(F82)/MAX(((F31)+(H31)*(MAX($D$16,(K82)-(J31))))*(MAX($D$16,(K82)-(J31))),0.000001)),$D$9*((((ABS(F82)/MAX(((G31)+(I31)*(MAX($D$16,(D82)-(K31))))*(MAX($D$16,(D82)-(K31))),0.000001))^2)/(2*$I$5))-(((ABS(F82)/MAX(((F31)+(H31)*(MAX($D$16,(K82)-(J31))))*(MAX($D$16,(K82)-(J31))),0.000001))^2)/(2*$I$5))),$D$8*((((ABS(F82)/MAX(((F31)+(H31)*(MAX($D$16,(K82)-(J31))))*(MAX($D$16,(K82)-(J31))),0.000001))^2)/(2*$I$5))-(((ABS(F82)/MAX(((G31)+(I31)*(MAX($D$16,(D82)-(K31))))*(MAX($D$16,(D82)-(K31))),0.000001))^2)/(2*$I$5)))))+($D$10*(ABS((X31)-(W31))/90)*MAX(((ABS(F82)/MAX(((F31)+(H31)*(MAX($D$16,(K82)-(J31))))*(MAX($D$16,(K82)-(J31))),0.000001))^2)/(2*$I$5),((ABS(F82)/MAX(((G31)+(I31)*(MAX($D$16,(D82)-(K31))))*(MAX($D$16,(D82)-(K31))),0.000001))^2)/(2*$I$5)))+(0)-((ABS(F82)/MAX(((G31)+(I31)*(MAX($D$16,(D82)-(K31))))*(MAX($D$16,(D82)-(K31))),0.000001))^2)/(2*$I$5)</f>
        <v>637.65825101089831</v>
      </c>
      <c r="P82">
        <f>E82+((ABS(G82)/MAX(((G32)+(I32)*(MAX($D$16,(E82)-(K32))))*(MAX($D$16,(E82)-(K32))),0.000001))^2)/(2*$I$5)+((E32)*((((ABS(G82)*$D$6)/(MAX(((F32)+(H32)*(MAX($D$16,(D82)-(J32))))*(MAX($D$16,(D82)-(J32))),0.000001)*MAX(((((F32)+(H32)*(MAX($D$16,(D82)-(J32))))*(MAX($D$16,(D82)-(J32))))/MAX((F32)+2*(MAX($D$16,(D82)-(J32)))*SQRT(1+(H32)^2),0.000001))^(2/3),0.000001)))^2)+(((ABS(G82)*$D$6)/(MAX(((G32)+(I32)*(MAX($D$16,(E82)-(K32))))*(MAX($D$16,(E82)-(K32))),0.000001)*MAX(((((G32)+(I32)*(MAX($D$16,(E82)-(K32))))*(MAX($D$16,(E82)-(K32))))/MAX((G32)+2*(MAX($D$16,(E82)-(K32)))*SQRT(1+(I32)^2),0.000001))^(2/3),0.000001)))^2))/2)+(IF((ABS(G82)/MAX(((G32)+(I32)*(MAX($D$16,(E82)-(K32))))*(MAX($D$16,(E82)-(K32))),0.000001))&gt;(ABS(G82)/MAX(((F32)+(H32)*(MAX($D$16,(D82)-(J32))))*(MAX($D$16,(D82)-(J32))),0.000001)),$D$9*((((ABS(G82)/MAX(((G32)+(I32)*(MAX($D$16,(E82)-(K32))))*(MAX($D$16,(E82)-(K32))),0.000001))^2)/(2*$I$5))-(((ABS(G82)/MAX(((F32)+(H32)*(MAX($D$16,(D82)-(J32))))*(MAX($D$16,(D82)-(J32))),0.000001))^2)/(2*$I$5))),$D$8*((((ABS(G82)/MAX(((F32)+(H32)*(MAX($D$16,(D82)-(J32))))*(MAX($D$16,(D82)-(J32))),0.000001))^2)/(2*$I$5))-(((ABS(G82)/MAX(((G32)+(I32)*(MAX($D$16,(E82)-(K32))))*(MAX($D$16,(E82)-(K32))),0.000001))^2)/(2*$I$5)))))+($D$10*(ABS((X32)-(W32))/90)*MAX(((ABS(G82)/MAX(((F32)+(H32)*(MAX($D$16,(D82)-(J32))))*(MAX($D$16,(D82)-(J32))),0.000001))^2)/(2*$I$5),((ABS(G82)/MAX(((G32)+(I32)*(MAX($D$16,(E82)-(K32))))*(MAX($D$16,(E82)-(K32))),0.000001))^2)/(2*$I$5)))+(($D$11*0.13607488*(ABS(H82)/MAX(ABS(F82),0.000001))^2*MAX(((ABS(G82)/MAX(((F32)+(H32)*(MAX($D$16,(D82)-(J32))))*(MAX($D$16,(D82)-(J32))),0.000001))^2)/(2*$I$5),((ABS(G82)/MAX(((G32)+(I32)*(MAX($D$16,(E82)-(K32))))*(MAX($D$16,(E82)-(K32))),0.000001))^2)/(2*$I$5))))-((ABS(G82)/MAX(((F32)+(H32)*(MAX($D$16,(D82)-(J32))))*(MAX($D$16,(D82)-(J32))),0.000001))^2)/(2*$I$5)</f>
        <v>52432.14183765919</v>
      </c>
      <c r="Q82">
        <f>L82+((ABS(H82)/MAX(((G33)+(I33)*(MAX($D$16,(L82)-(K33))))*(MAX($D$16,(L82)-(K33))),0.000001))^2)/(2*$I$5)+((E33)*((((ABS(H82)*$D$6)/(MAX(((F33)+(H33)*(MAX($D$16,(D82)-(J33))))*(MAX($D$16,(D82)-(J33))),0.000001)*MAX(((((F33)+(H33)*(MAX($D$16,(D82)-(J33))))*(MAX($D$16,(D82)-(J33))))/MAX((F33)+2*(MAX($D$16,(D82)-(J33)))*SQRT(1+(H33)^2),0.000001))^(2/3),0.000001)))^2)+(((ABS(H82)*$D$6)/(MAX(((G33)+(I33)*(MAX($D$16,(L82)-(K33))))*(MAX($D$16,(L82)-(K33))),0.000001)*MAX(((((G33)+(I33)*(MAX($D$16,(L82)-(K33))))*(MAX($D$16,(L82)-(K33))))/MAX((G33)+2*(MAX($D$16,(L82)-(K33)))*SQRT(1+(I33)^2),0.000001))^(2/3),0.000001)))^2))/2)+(IF((ABS(H82)/MAX(((G33)+(I33)*(MAX($D$16,(L82)-(K33))))*(MAX($D$16,(L82)-(K33))),0.000001))&gt;(ABS(H82)/MAX(((F33)+(H33)*(MAX($D$16,(D82)-(J33))))*(MAX($D$16,(D82)-(J33))),0.000001)),$D$9*((((ABS(H82)/MAX(((G33)+(I33)*(MAX($D$16,(L82)-(K33))))*(MAX($D$16,(L82)-(K33))),0.000001))^2)/(2*$I$5))-(((ABS(H82)/MAX(((F33)+(H33)*(MAX($D$16,(D82)-(J33))))*(MAX($D$16,(D82)-(J33))),0.000001))^2)/(2*$I$5))),$D$8*((((ABS(H82)/MAX(((F33)+(H33)*(MAX($D$16,(D82)-(J33))))*(MAX($D$16,(D82)-(J33))),0.000001))^2)/(2*$I$5))-(((ABS(H82)/MAX(((G33)+(I33)*(MAX($D$16,(L82)-(K33))))*(MAX($D$16,(L82)-(K33))),0.000001))^2)/(2*$I$5)))))+($D$10*(ABS((X33)-(W33))/90)*MAX(((ABS(H82)/MAX(((F33)+(H33)*(MAX($D$16,(D82)-(J33))))*(MAX($D$16,(D82)-(J33))),0.000001))^2)/(2*$I$5),((ABS(H82)/MAX(((G33)+(I33)*(MAX($D$16,(L82)-(K33))))*(MAX($D$16,(L82)-(K33))),0.000001))^2)/(2*$I$5)))+(($D$11*0.00000015*(ABS(G82)/MAX(ABS(F82),0.000001))^2*MAX(((ABS(H82)/MAX(((F33)+(H33)*(MAX($D$16,(D82)-(J33))))*(MAX($D$16,(D82)-(J33))),0.000001))^2)/(2*$I$5),((ABS(H82)/MAX(((G33)+(I33)*(MAX($D$16,(L82)-(K33))))*(MAX($D$16,(L82)-(K33))),0.000001))^2)/(2*$I$5))))-((ABS(H82)/MAX(((F33)+(H33)*(MAX($D$16,(D82)-(J33))))*(MAX($D$16,(D82)-(J33))),0.000001))^2)/(2*$I$5)</f>
        <v>634.3119999999999</v>
      </c>
      <c r="R82">
        <f>D82+((ABS(G82)/MAX(((F32)+(H32)*(MAX($D$16,(D82)-(J32))))*(MAX($D$16,(D82)-(J32))),0.000001))^2)/(2*$I$5)-((E32)*((((ABS(G82)*$D$6)/(MAX(((F32)+(H32)*(MAX($D$16,(D82)-(J32))))*(MAX($D$16,(D82)-(J32))),0.000001)*MAX(((((F32)+(H32)*(MAX($D$16,(D82)-(J32))))*(MAX($D$16,(D82)-(J32))))/MAX((F32)+2*(MAX($D$16,(D82)-(J32)))*SQRT(1+(H32)^2),0.000001))^(2/3),0.000001)))^2)+(((ABS(G82)*$D$6)/(MAX(((G32)+(I32)*(MAX($D$16,(E82)-(K32))))*(MAX($D$16,(E82)-(K32))),0.000001)*MAX(((((G32)+(I32)*(MAX($D$16,(E82)-(K32))))*(MAX($D$16,(E82)-(K32))))/MAX((G32)+2*(MAX($D$16,(E82)-(K32)))*SQRT(1+(I32)^2),0.000001))^(2/3),0.000001)))^2))/2)+(IF((ABS(G82)/MAX(((G32)+(I32)*(MAX($D$16,(E82)-(K32))))*(MAX($D$16,(E82)-(K32))),0.000001))&gt;(ABS(G82)/MAX(((F32)+(H32)*(MAX($D$16,(D82)-(J32))))*(MAX($D$16,(D82)-(J32))),0.000001)),$D$9*((((ABS(G82)/MAX(((G32)+(I32)*(MAX($D$16,(E82)-(K32))))*(MAX($D$16,(E82)-(K32))),0.000001))^2)/(2*$I$5))-(((ABS(G82)/MAX(((F32)+(H32)*(MAX($D$16,(D82)-(J32))))*(MAX($D$16,(D82)-(J32))),0.000001))^2)/(2*$I$5))),$D$8*((((ABS(G82)/MAX(((F32)+(H32)*(MAX($D$16,(D82)-(J32))))*(MAX($D$16,(D82)-(J32))),0.000001))^2)/(2*$I$5))-(((ABS(G82)/MAX(((G32)+(I32)*(MAX($D$16,(E82)-(K32))))*(MAX($D$16,(E82)-(K32))),0.000001))^2)/(2*$I$5)))))+($D$10*(ABS((X32)-(W32))/90)*MAX(((ABS(G82)/MAX(((F32)+(H32)*(MAX($D$16,(D82)-(J32))))*(MAX($D$16,(D82)-(J32))),0.000001))^2)/(2*$I$5),((ABS(G82)/MAX(((G32)+(I32)*(MAX($D$16,(E82)-(K32))))*(MAX($D$16,(E82)-(K32))),0.000001))^2)/(2*$I$5)))+(($D$11*0.13607488*(ABS(H82)/MAX(ABS(F82),0.000001))^2*MAX(((ABS(G82)/MAX(((F32)+(H32)*(MAX($D$16,(D82)-(J32))))*(MAX($D$16,(D82)-(J32))),0.000001))^2)/(2*$I$5),((ABS(G82)/MAX(((G32)+(I32)*(MAX($D$16,(E82)-(K32))))*(MAX($D$16,(E82)-(K32))),0.000001))^2)/(2*$I$5))))-((ABS(G82)/MAX(((G32)+(I32)*(MAX($D$16,(E82)-(K32))))*(MAX($D$16,(E82)-(K32))),0.000001))^2)/(2*$I$5)</f>
        <v>52432.141837658979</v>
      </c>
      <c r="S82">
        <f>M82+((ABS(I82)/MAX(((G34)+(I34)*(MAX($D$16,(M82)-(K34))))*(MAX($D$16,(M82)-(K34))),0.000001))^2)/(2*$I$5)+((E34)*((((ABS(I82)*$D$6)/(MAX(((F34)+(H34)*(MAX($D$16,(E82)-(J34))))*(MAX($D$16,(E82)-(J34))),0.000001)*MAX(((((F34)+(H34)*(MAX($D$16,(E82)-(J34))))*(MAX($D$16,(E82)-(J34))))/MAX((F34)+2*(MAX($D$16,(E82)-(J34)))*SQRT(1+(H34)^2),0.000001))^(2/3),0.000001)))^2)+(((ABS(I82)*$D$6)/(MAX(((G34)+(I34)*(MAX($D$16,(M82)-(K34))))*(MAX($D$16,(M82)-(K34))),0.000001)*MAX(((((G34)+(I34)*(MAX($D$16,(M82)-(K34))))*(MAX($D$16,(M82)-(K34))))/MAX((G34)+2*(MAX($D$16,(M82)-(K34)))*SQRT(1+(I34)^2),0.000001))^(2/3),0.000001)))^2))/2)+(IF((ABS(I82)/MAX(((G34)+(I34)*(MAX($D$16,(M82)-(K34))))*(MAX($D$16,(M82)-(K34))),0.000001))&gt;(ABS(I82)/MAX(((F34)+(H34)*(MAX($D$16,(E82)-(J34))))*(MAX($D$16,(E82)-(J34))),0.000001)),$D$9*((((ABS(I82)/MAX(((G34)+(I34)*(MAX($D$16,(M82)-(K34))))*(MAX($D$16,(M82)-(K34))),0.000001))^2)/(2*$I$5))-(((ABS(I82)/MAX(((F34)+(H34)*(MAX($D$16,(E82)-(J34))))*(MAX($D$16,(E82)-(J34))),0.000001))^2)/(2*$I$5))),$D$8*((((ABS(I82)/MAX(((F34)+(H34)*(MAX($D$16,(E82)-(J34))))*(MAX($D$16,(E82)-(J34))),0.000001))^2)/(2*$I$5))-(((ABS(I82)/MAX(((G34)+(I34)*(MAX($D$16,(M82)-(K34))))*(MAX($D$16,(M82)-(K34))),0.000001))^2)/(2*$I$5)))))+($D$10*(ABS((X34)-(W34))/90)*MAX(((ABS(I82)/MAX(((F34)+(H34)*(MAX($D$16,(E82)-(J34))))*(MAX($D$16,(E82)-(J34))),0.000001))^2)/(2*$I$5),((ABS(I82)/MAX(((G34)+(I34)*(MAX($D$16,(M82)-(K34))))*(MAX($D$16,(M82)-(K34))),0.000001))^2)/(2*$I$5)))+(0)-((ABS(I82)/MAX(((F34)+(H34)*(MAX($D$16,(E82)-(J34))))*(MAX($D$16,(E82)-(J34))),0.000001))^2)/(2*$I$5)</f>
        <v>635.5</v>
      </c>
      <c r="T82">
        <f>N82+((ABS(J82)/MAX(((G35)+(I35)*(MAX($D$16,(N82)-(K35))))*(MAX($D$16,(N82)-(K35))),0.000001))^2)/(2*$I$5)+((E35)*((((ABS(J82)*$D$6)/(MAX(((F35)+(H35)*(MAX($D$16,(E82)-(J35))))*(MAX($D$16,(E82)-(J35))),0.000001)*MAX(((((F35)+(H35)*(MAX($D$16,(E82)-(J35))))*(MAX($D$16,(E82)-(J35))))/MAX((F35)+2*(MAX($D$16,(E82)-(J35)))*SQRT(1+(H35)^2),0.000001))^(2/3),0.000001)))^2)+(((ABS(J82)*$D$6)/(MAX(((G35)+(I35)*(MAX($D$16,(N82)-(K35))))*(MAX($D$16,(N82)-(K35))),0.000001)*MAX(((((G35)+(I35)*(MAX($D$16,(N82)-(K35))))*(MAX($D$16,(N82)-(K35))))/MAX((G35)+2*(MAX($D$16,(N82)-(K35)))*SQRT(1+(I35)^2),0.000001))^(2/3),0.000001)))^2))/2)+(IF((ABS(J82)/MAX(((G35)+(I35)*(MAX($D$16,(N82)-(K35))))*(MAX($D$16,(N82)-(K35))),0.000001))&gt;(ABS(J82)/MAX(((F35)+(H35)*(MAX($D$16,(E82)-(J35))))*(MAX($D$16,(E82)-(J35))),0.000001)),$D$9*((((ABS(J82)/MAX(((G35)+(I35)*(MAX($D$16,(N82)-(K35))))*(MAX($D$16,(N82)-(K35))),0.000001))^2)/(2*$I$5))-(((ABS(J82)/MAX(((F35)+(H35)*(MAX($D$16,(E82)-(J35))))*(MAX($D$16,(E82)-(J35))),0.000001))^2)/(2*$I$5))),$D$8*((((ABS(J82)/MAX(((F35)+(H35)*(MAX($D$16,(E82)-(J35))))*(MAX($D$16,(E82)-(J35))),0.000001))^2)/(2*$I$5))-(((ABS(J82)/MAX(((G35)+(I35)*(MAX($D$16,(N82)-(K35))))*(MAX($D$16,(N82)-(K35))),0.000001))^2)/(2*$I$5)))))+($D$10*(ABS((X35)-(W35))/90)*MAX(((ABS(J82)/MAX(((F35)+(H35)*(MAX($D$16,(E82)-(J35))))*(MAX($D$16,(E82)-(J35))),0.000001))^2)/(2*$I$5),((ABS(J82)/MAX(((G35)+(I35)*(MAX($D$16,(N82)-(K35))))*(MAX($D$16,(N82)-(K35))),0.000001))^2)/(2*$I$5)))+(($D$11*0.34699541*(ABS(I82)/MAX(ABS(G82),0.000001))^2*MAX(((ABS(J82)/MAX(((F35)+(H35)*(MAX($D$16,(E82)-(J35))))*(MAX($D$16,(E82)-(J35))),0.000001))^2)/(2*$I$5),((ABS(J82)/MAX(((G35)+(I35)*(MAX($D$16,(N82)-(K35))))*(MAX($D$16,(N82)-(K35))),0.000001))^2)/(2*$I$5))))-((ABS(J82)/MAX(((F35)+(H35)*(MAX($D$16,(E82)-(J35))))*(MAX($D$16,(E82)-(J35))),0.000001))^2)/(2*$I$5)</f>
        <v>20784.033523923383</v>
      </c>
      <c r="U82">
        <f>(((((F32)*(MAX($D$16,(D82)-(J32)))^2)/2+(H32)*(MAX($D$16,(D82)-(J32)))^3/3+(ABS(G82)^2)/($I$5*MAX(((F32)+(H32)*(MAX($D$16,(D82)-(J32))))*(MAX($D$16,(D82)-(J32))),0.000001)))*0.72785025)-((((F33)*(MAX($D$16,(D82)-(J33)))^2)/2+(H33)*(MAX($D$16,(D82)-(J33)))^3/3+(ABS(H82)^2)/($I$5*MAX(((F33)+(H33)*(MAX($D$16,(D82)-(J33))))*(MAX($D$16,(D82)-(J33))),0.000001)))*0.99999971))/MAX(((G31)*(MAX($D$16,(D82)-(K31)))^2)/2+(I31)*(MAX($D$16,(D82)-(K31)))^3/3+(ABS(F82)^2)/($I$5*MAX(((G31)+(I31)*(MAX($D$16,(D82)-(K31))))*(MAX($D$16,(D82)-(K31))),0.000001)),0.000001)</f>
        <v>-0.27214945999991125</v>
      </c>
      <c r="V82">
        <f>(((((F34)*(MAX($D$16,(E82)-(J34)))^2)/2+(H34)*(MAX($D$16,(E82)-(J34)))^3/3+(ABS(I82)^2)/($I$5*MAX(((F34)+(H34)*(MAX($D$16,(E82)-(J34))))*(MAX($D$16,(E82)-(J34))),0.000001)))*1)-((((F35)*(MAX($D$16,(E82)-(J35)))^2)/2+(H35)*(MAX($D$16,(E82)-(J35)))^3/3+(ABS(J82)^2)/($I$5*MAX(((F35)+(H35)*(MAX($D$16,(E82)-(J35))))*(MAX($D$16,(E82)-(J35))),0.000001)))*0.30600918))/MAX(((G32)*(MAX($D$16,(E82)-(K32)))^2)/2+(I32)*(MAX($D$16,(E82)-(K32)))^3/3+(ABS(G82)^2)/($I$5*MAX(((G32)+(I32)*(MAX($D$16,(E82)-(K32))))*(MAX($D$16,(E82)-(K32))),0.000001)),0.000001)</f>
        <v>0.69398638937190393</v>
      </c>
      <c r="W82">
        <f>IF(N6="None",ABS(P82-D82),MAX(ABS(P82-D82),ABS(Q82-D82)))</f>
        <v>3.4197000786662102E-10</v>
      </c>
      <c r="X82">
        <f>IF(AND(N7="None",N8="None"),0,IF(N8="None",ABS(S82-E82),IF(N7="None",ABS(T82-E82),MAX(ABS(S82-E82),ABS(T82-E82)))))</f>
        <v>51796.641837658637</v>
      </c>
      <c r="AA82">
        <f t="shared" si="18"/>
        <v>52432.141837658965</v>
      </c>
      <c r="AB82">
        <f t="shared" si="19"/>
        <v>41355.303927851302</v>
      </c>
      <c r="AC82">
        <f>IF(N6="None",P82,MAX(P82,Q82))</f>
        <v>52432.14183765919</v>
      </c>
      <c r="AD82">
        <f>IF(AND(N7="None",N8="None"),E82,IF(N8="None",S82,IF(N7="None",T82,MAX(S82,T82))))</f>
        <v>20784.033523923383</v>
      </c>
      <c r="AE82">
        <f t="shared" si="20"/>
        <v>637.65825101089831</v>
      </c>
      <c r="AF82">
        <f t="shared" si="21"/>
        <v>52432.141837658979</v>
      </c>
      <c r="AG82">
        <f>((G31)*(MAX($D$16,(AC82)-(K31)))^2)/2+(I31)*(MAX($D$16,(AC82)-(K31)))^3/3+(ABS(F82)^2)/($I$5*MAX(((G31)+(I31)*(MAX($D$16,(AC82)-(K31))))*(MAX($D$16,(AC82)-(K31))),0.000001))</f>
        <v>8797611517.4106808</v>
      </c>
      <c r="AH82">
        <f>((G31)*(MAX($D$16,(AE82)-(K31)))^2)/2+(I31)*(MAX($D$16,(AE82)-(K31)))^3/3+(ABS(F82)^2)/($I$5*MAX(((G31)+(I31)*(MAX($D$16,(AE82)-(K31))))*(MAX($D$16,(AE82)-(K31))),0.000001))</f>
        <v>49.055863329575246</v>
      </c>
      <c r="AI82">
        <f>((G32)*(MAX($D$16,(AD82)-(K32)))^2)/2+(I32)*(MAX($D$16,(AD82)-(K32)))^3/3+(ABS(G82)^2)/($I$5*MAX(((G32)+(I32)*(MAX($D$16,(AD82)-(K32))))*(MAX($D$16,(AD82)-(K32))),0.000001))</f>
        <v>2072376743.6648321</v>
      </c>
      <c r="AJ82">
        <f>((G32)*(MAX($D$16,(AF82)-(K32)))^2)/2+(I32)*(MAX($D$16,(AF82)-(K32)))^3/3+(ABS(G82)^2)/($I$5*MAX(((G32)+(I32)*(MAX($D$16,(AF82)-(K32))))*(MAX($D$16,(AF82)-(K32))),0.000001))</f>
        <v>13692714789.642488</v>
      </c>
      <c r="AK82" t="str">
        <f t="shared" si="22"/>
        <v>Subcritical</v>
      </c>
      <c r="AL82" t="str">
        <f t="shared" si="23"/>
        <v>Supercritical</v>
      </c>
      <c r="AM82">
        <f t="shared" si="24"/>
        <v>52432.141837658965</v>
      </c>
      <c r="AN82">
        <f t="shared" si="25"/>
        <v>52432.141837658754</v>
      </c>
      <c r="AO82">
        <f t="shared" si="26"/>
        <v>3.4197000786662102E-10</v>
      </c>
      <c r="AP82">
        <f t="shared" si="27"/>
        <v>3.4197000786662102E-10</v>
      </c>
    </row>
    <row r="83" spans="1:42" x14ac:dyDescent="0.35">
      <c r="A83">
        <v>40</v>
      </c>
      <c r="B83">
        <f t="shared" si="28"/>
        <v>0</v>
      </c>
      <c r="C83">
        <f t="shared" si="29"/>
        <v>0</v>
      </c>
      <c r="D83">
        <f t="shared" si="30"/>
        <v>52432.141837658965</v>
      </c>
      <c r="E83">
        <f t="shared" si="31"/>
        <v>52432.141837658754</v>
      </c>
      <c r="F83">
        <f t="shared" si="17"/>
        <v>51</v>
      </c>
      <c r="G83">
        <f>IF(N6="None",F83,MAX(0,F83*B83))</f>
        <v>51</v>
      </c>
      <c r="H83">
        <f>IF(N6="None",0,MAX(0,F83-G83))</f>
        <v>0</v>
      </c>
      <c r="I83">
        <f>IF(AND(N7="None",N8="None"),0,IF(N8="None",G83,IF(N7="None",0,MAX(0,G83*C83))))</f>
        <v>0</v>
      </c>
      <c r="J83">
        <f>IF(AND(N7="None",N8="None"),0,IF(N8="None",0,IF(N7="None",G83,MAX(0,G83-I83))))</f>
        <v>51</v>
      </c>
      <c r="K83">
        <f>P5</f>
        <v>637</v>
      </c>
      <c r="L83">
        <f>P6</f>
        <v>634.3119999999999</v>
      </c>
      <c r="M83">
        <f>P7</f>
        <v>635.5</v>
      </c>
      <c r="N83">
        <f>P8</f>
        <v>631.54999999999995</v>
      </c>
      <c r="O83">
        <f>K83+((ABS(F83)/MAX(((F31)+(H31)*(MAX($D$16,(K83)-(J31))))*(MAX($D$16,(K83)-(J31))),0.000001))^2)/(2*$I$5)-((E31)*((((ABS(F83)*$D$6)/(MAX(((F31)+(H31)*(MAX($D$16,(K83)-(J31))))*(MAX($D$16,(K83)-(J31))),0.000001)*MAX(((((F31)+(H31)*(MAX($D$16,(K83)-(J31))))*(MAX($D$16,(K83)-(J31))))/MAX((F31)+2*(MAX($D$16,(K83)-(J31)))*SQRT(1+(H31)^2),0.000001))^(2/3),0.000001)))^2)+(((ABS(F83)*$D$6)/(MAX(((G31)+(I31)*(MAX($D$16,(D83)-(K31))))*(MAX($D$16,(D83)-(K31))),0.000001)*MAX(((((G31)+(I31)*(MAX($D$16,(D83)-(K31))))*(MAX($D$16,(D83)-(K31))))/MAX((G31)+2*(MAX($D$16,(D83)-(K31)))*SQRT(1+(I31)^2),0.000001))^(2/3),0.000001)))^2))/2)+(IF((ABS(F83)/MAX(((G31)+(I31)*(MAX($D$16,(D83)-(K31))))*(MAX($D$16,(D83)-(K31))),0.000001))&gt;(ABS(F83)/MAX(((F31)+(H31)*(MAX($D$16,(K83)-(J31))))*(MAX($D$16,(K83)-(J31))),0.000001)),$D$9*((((ABS(F83)/MAX(((G31)+(I31)*(MAX($D$16,(D83)-(K31))))*(MAX($D$16,(D83)-(K31))),0.000001))^2)/(2*$I$5))-(((ABS(F83)/MAX(((F31)+(H31)*(MAX($D$16,(K83)-(J31))))*(MAX($D$16,(K83)-(J31))),0.000001))^2)/(2*$I$5))),$D$8*((((ABS(F83)/MAX(((F31)+(H31)*(MAX($D$16,(K83)-(J31))))*(MAX($D$16,(K83)-(J31))),0.000001))^2)/(2*$I$5))-(((ABS(F83)/MAX(((G31)+(I31)*(MAX($D$16,(D83)-(K31))))*(MAX($D$16,(D83)-(K31))),0.000001))^2)/(2*$I$5)))))+($D$10*(ABS((X31)-(W31))/90)*MAX(((ABS(F83)/MAX(((F31)+(H31)*(MAX($D$16,(K83)-(J31))))*(MAX($D$16,(K83)-(J31))),0.000001))^2)/(2*$I$5),((ABS(F83)/MAX(((G31)+(I31)*(MAX($D$16,(D83)-(K31))))*(MAX($D$16,(D83)-(K31))),0.000001))^2)/(2*$I$5)))+(0)-((ABS(F83)/MAX(((G31)+(I31)*(MAX($D$16,(D83)-(K31))))*(MAX($D$16,(D83)-(K31))),0.000001))^2)/(2*$I$5)</f>
        <v>637.65825101089831</v>
      </c>
      <c r="P83">
        <f>E83+((ABS(G83)/MAX(((G32)+(I32)*(MAX($D$16,(E83)-(K32))))*(MAX($D$16,(E83)-(K32))),0.000001))^2)/(2*$I$5)+((E32)*((((ABS(G83)*$D$6)/(MAX(((F32)+(H32)*(MAX($D$16,(D83)-(J32))))*(MAX($D$16,(D83)-(J32))),0.000001)*MAX(((((F32)+(H32)*(MAX($D$16,(D83)-(J32))))*(MAX($D$16,(D83)-(J32))))/MAX((F32)+2*(MAX($D$16,(D83)-(J32)))*SQRT(1+(H32)^2),0.000001))^(2/3),0.000001)))^2)+(((ABS(G83)*$D$6)/(MAX(((G32)+(I32)*(MAX($D$16,(E83)-(K32))))*(MAX($D$16,(E83)-(K32))),0.000001)*MAX(((((G32)+(I32)*(MAX($D$16,(E83)-(K32))))*(MAX($D$16,(E83)-(K32))))/MAX((G32)+2*(MAX($D$16,(E83)-(K32)))*SQRT(1+(I32)^2),0.000001))^(2/3),0.000001)))^2))/2)+(IF((ABS(G83)/MAX(((G32)+(I32)*(MAX($D$16,(E83)-(K32))))*(MAX($D$16,(E83)-(K32))),0.000001))&gt;(ABS(G83)/MAX(((F32)+(H32)*(MAX($D$16,(D83)-(J32))))*(MAX($D$16,(D83)-(J32))),0.000001)),$D$9*((((ABS(G83)/MAX(((G32)+(I32)*(MAX($D$16,(E83)-(K32))))*(MAX($D$16,(E83)-(K32))),0.000001))^2)/(2*$I$5))-(((ABS(G83)/MAX(((F32)+(H32)*(MAX($D$16,(D83)-(J32))))*(MAX($D$16,(D83)-(J32))),0.000001))^2)/(2*$I$5))),$D$8*((((ABS(G83)/MAX(((F32)+(H32)*(MAX($D$16,(D83)-(J32))))*(MAX($D$16,(D83)-(J32))),0.000001))^2)/(2*$I$5))-(((ABS(G83)/MAX(((G32)+(I32)*(MAX($D$16,(E83)-(K32))))*(MAX($D$16,(E83)-(K32))),0.000001))^2)/(2*$I$5)))))+($D$10*(ABS((X32)-(W32))/90)*MAX(((ABS(G83)/MAX(((F32)+(H32)*(MAX($D$16,(D83)-(J32))))*(MAX($D$16,(D83)-(J32))),0.000001))^2)/(2*$I$5),((ABS(G83)/MAX(((G32)+(I32)*(MAX($D$16,(E83)-(K32))))*(MAX($D$16,(E83)-(K32))),0.000001))^2)/(2*$I$5)))+(($D$11*0.13607488*(ABS(H83)/MAX(ABS(F83),0.000001))^2*MAX(((ABS(G83)/MAX(((F32)+(H32)*(MAX($D$16,(D83)-(J32))))*(MAX($D$16,(D83)-(J32))),0.000001))^2)/(2*$I$5),((ABS(G83)/MAX(((G32)+(I32)*(MAX($D$16,(E83)-(K32))))*(MAX($D$16,(E83)-(K32))),0.000001))^2)/(2*$I$5))))-((ABS(G83)/MAX(((F32)+(H32)*(MAX($D$16,(D83)-(J32))))*(MAX($D$16,(D83)-(J32))),0.000001))^2)/(2*$I$5)</f>
        <v>52432.141837659306</v>
      </c>
      <c r="Q83">
        <f>L83+((ABS(H83)/MAX(((G33)+(I33)*(MAX($D$16,(L83)-(K33))))*(MAX($D$16,(L83)-(K33))),0.000001))^2)/(2*$I$5)+((E33)*((((ABS(H83)*$D$6)/(MAX(((F33)+(H33)*(MAX($D$16,(D83)-(J33))))*(MAX($D$16,(D83)-(J33))),0.000001)*MAX(((((F33)+(H33)*(MAX($D$16,(D83)-(J33))))*(MAX($D$16,(D83)-(J33))))/MAX((F33)+2*(MAX($D$16,(D83)-(J33)))*SQRT(1+(H33)^2),0.000001))^(2/3),0.000001)))^2)+(((ABS(H83)*$D$6)/(MAX(((G33)+(I33)*(MAX($D$16,(L83)-(K33))))*(MAX($D$16,(L83)-(K33))),0.000001)*MAX(((((G33)+(I33)*(MAX($D$16,(L83)-(K33))))*(MAX($D$16,(L83)-(K33))))/MAX((G33)+2*(MAX($D$16,(L83)-(K33)))*SQRT(1+(I33)^2),0.000001))^(2/3),0.000001)))^2))/2)+(IF((ABS(H83)/MAX(((G33)+(I33)*(MAX($D$16,(L83)-(K33))))*(MAX($D$16,(L83)-(K33))),0.000001))&gt;(ABS(H83)/MAX(((F33)+(H33)*(MAX($D$16,(D83)-(J33))))*(MAX($D$16,(D83)-(J33))),0.000001)),$D$9*((((ABS(H83)/MAX(((G33)+(I33)*(MAX($D$16,(L83)-(K33))))*(MAX($D$16,(L83)-(K33))),0.000001))^2)/(2*$I$5))-(((ABS(H83)/MAX(((F33)+(H33)*(MAX($D$16,(D83)-(J33))))*(MAX($D$16,(D83)-(J33))),0.000001))^2)/(2*$I$5))),$D$8*((((ABS(H83)/MAX(((F33)+(H33)*(MAX($D$16,(D83)-(J33))))*(MAX($D$16,(D83)-(J33))),0.000001))^2)/(2*$I$5))-(((ABS(H83)/MAX(((G33)+(I33)*(MAX($D$16,(L83)-(K33))))*(MAX($D$16,(L83)-(K33))),0.000001))^2)/(2*$I$5)))))+($D$10*(ABS((X33)-(W33))/90)*MAX(((ABS(H83)/MAX(((F33)+(H33)*(MAX($D$16,(D83)-(J33))))*(MAX($D$16,(D83)-(J33))),0.000001))^2)/(2*$I$5),((ABS(H83)/MAX(((G33)+(I33)*(MAX($D$16,(L83)-(K33))))*(MAX($D$16,(L83)-(K33))),0.000001))^2)/(2*$I$5)))+(($D$11*0.00000015*(ABS(G83)/MAX(ABS(F83),0.000001))^2*MAX(((ABS(H83)/MAX(((F33)+(H33)*(MAX($D$16,(D83)-(J33))))*(MAX($D$16,(D83)-(J33))),0.000001))^2)/(2*$I$5),((ABS(H83)/MAX(((G33)+(I33)*(MAX($D$16,(L83)-(K33))))*(MAX($D$16,(L83)-(K33))),0.000001))^2)/(2*$I$5))))-((ABS(H83)/MAX(((F33)+(H33)*(MAX($D$16,(D83)-(J33))))*(MAX($D$16,(D83)-(J33))),0.000001))^2)/(2*$I$5)</f>
        <v>634.3119999999999</v>
      </c>
      <c r="R83">
        <f>D83+((ABS(G83)/MAX(((F32)+(H32)*(MAX($D$16,(D83)-(J32))))*(MAX($D$16,(D83)-(J32))),0.000001))^2)/(2*$I$5)-((E32)*((((ABS(G83)*$D$6)/(MAX(((F32)+(H32)*(MAX($D$16,(D83)-(J32))))*(MAX($D$16,(D83)-(J32))),0.000001)*MAX(((((F32)+(H32)*(MAX($D$16,(D83)-(J32))))*(MAX($D$16,(D83)-(J32))))/MAX((F32)+2*(MAX($D$16,(D83)-(J32)))*SQRT(1+(H32)^2),0.000001))^(2/3),0.000001)))^2)+(((ABS(G83)*$D$6)/(MAX(((G32)+(I32)*(MAX($D$16,(E83)-(K32))))*(MAX($D$16,(E83)-(K32))),0.000001)*MAX(((((G32)+(I32)*(MAX($D$16,(E83)-(K32))))*(MAX($D$16,(E83)-(K32))))/MAX((G32)+2*(MAX($D$16,(E83)-(K32)))*SQRT(1+(I32)^2),0.000001))^(2/3),0.000001)))^2))/2)+(IF((ABS(G83)/MAX(((G32)+(I32)*(MAX($D$16,(E83)-(K32))))*(MAX($D$16,(E83)-(K32))),0.000001))&gt;(ABS(G83)/MAX(((F32)+(H32)*(MAX($D$16,(D83)-(J32))))*(MAX($D$16,(D83)-(J32))),0.000001)),$D$9*((((ABS(G83)/MAX(((G32)+(I32)*(MAX($D$16,(E83)-(K32))))*(MAX($D$16,(E83)-(K32))),0.000001))^2)/(2*$I$5))-(((ABS(G83)/MAX(((F32)+(H32)*(MAX($D$16,(D83)-(J32))))*(MAX($D$16,(D83)-(J32))),0.000001))^2)/(2*$I$5))),$D$8*((((ABS(G83)/MAX(((F32)+(H32)*(MAX($D$16,(D83)-(J32))))*(MAX($D$16,(D83)-(J32))),0.000001))^2)/(2*$I$5))-(((ABS(G83)/MAX(((G32)+(I32)*(MAX($D$16,(E83)-(K32))))*(MAX($D$16,(E83)-(K32))),0.000001))^2)/(2*$I$5)))))+($D$10*(ABS((X32)-(W32))/90)*MAX(((ABS(G83)/MAX(((F32)+(H32)*(MAX($D$16,(D83)-(J32))))*(MAX($D$16,(D83)-(J32))),0.000001))^2)/(2*$I$5),((ABS(G83)/MAX(((G32)+(I32)*(MAX($D$16,(E83)-(K32))))*(MAX($D$16,(E83)-(K32))),0.000001))^2)/(2*$I$5)))+(($D$11*0.13607488*(ABS(H83)/MAX(ABS(F83),0.000001))^2*MAX(((ABS(G83)/MAX(((F32)+(H32)*(MAX($D$16,(D83)-(J32))))*(MAX($D$16,(D83)-(J32))),0.000001))^2)/(2*$I$5),((ABS(G83)/MAX(((G32)+(I32)*(MAX($D$16,(E83)-(K32))))*(MAX($D$16,(E83)-(K32))),0.000001))^2)/(2*$I$5))))-((ABS(G83)/MAX(((G32)+(I32)*(MAX($D$16,(E83)-(K32))))*(MAX($D$16,(E83)-(K32))),0.000001))^2)/(2*$I$5)</f>
        <v>52432.141837659095</v>
      </c>
      <c r="S83">
        <f>M83+((ABS(I83)/MAX(((G34)+(I34)*(MAX($D$16,(M83)-(K34))))*(MAX($D$16,(M83)-(K34))),0.000001))^2)/(2*$I$5)+((E34)*((((ABS(I83)*$D$6)/(MAX(((F34)+(H34)*(MAX($D$16,(E83)-(J34))))*(MAX($D$16,(E83)-(J34))),0.000001)*MAX(((((F34)+(H34)*(MAX($D$16,(E83)-(J34))))*(MAX($D$16,(E83)-(J34))))/MAX((F34)+2*(MAX($D$16,(E83)-(J34)))*SQRT(1+(H34)^2),0.000001))^(2/3),0.000001)))^2)+(((ABS(I83)*$D$6)/(MAX(((G34)+(I34)*(MAX($D$16,(M83)-(K34))))*(MAX($D$16,(M83)-(K34))),0.000001)*MAX(((((G34)+(I34)*(MAX($D$16,(M83)-(K34))))*(MAX($D$16,(M83)-(K34))))/MAX((G34)+2*(MAX($D$16,(M83)-(K34)))*SQRT(1+(I34)^2),0.000001))^(2/3),0.000001)))^2))/2)+(IF((ABS(I83)/MAX(((G34)+(I34)*(MAX($D$16,(M83)-(K34))))*(MAX($D$16,(M83)-(K34))),0.000001))&gt;(ABS(I83)/MAX(((F34)+(H34)*(MAX($D$16,(E83)-(J34))))*(MAX($D$16,(E83)-(J34))),0.000001)),$D$9*((((ABS(I83)/MAX(((G34)+(I34)*(MAX($D$16,(M83)-(K34))))*(MAX($D$16,(M83)-(K34))),0.000001))^2)/(2*$I$5))-(((ABS(I83)/MAX(((F34)+(H34)*(MAX($D$16,(E83)-(J34))))*(MAX($D$16,(E83)-(J34))),0.000001))^2)/(2*$I$5))),$D$8*((((ABS(I83)/MAX(((F34)+(H34)*(MAX($D$16,(E83)-(J34))))*(MAX($D$16,(E83)-(J34))),0.000001))^2)/(2*$I$5))-(((ABS(I83)/MAX(((G34)+(I34)*(MAX($D$16,(M83)-(K34))))*(MAX($D$16,(M83)-(K34))),0.000001))^2)/(2*$I$5)))))+($D$10*(ABS((X34)-(W34))/90)*MAX(((ABS(I83)/MAX(((F34)+(H34)*(MAX($D$16,(E83)-(J34))))*(MAX($D$16,(E83)-(J34))),0.000001))^2)/(2*$I$5),((ABS(I83)/MAX(((G34)+(I34)*(MAX($D$16,(M83)-(K34))))*(MAX($D$16,(M83)-(K34))),0.000001))^2)/(2*$I$5)))+(0)-((ABS(I83)/MAX(((F34)+(H34)*(MAX($D$16,(E83)-(J34))))*(MAX($D$16,(E83)-(J34))),0.000001))^2)/(2*$I$5)</f>
        <v>635.5</v>
      </c>
      <c r="T83">
        <f>N83+((ABS(J83)/MAX(((G35)+(I35)*(MAX($D$16,(N83)-(K35))))*(MAX($D$16,(N83)-(K35))),0.000001))^2)/(2*$I$5)+((E35)*((((ABS(J83)*$D$6)/(MAX(((F35)+(H35)*(MAX($D$16,(E83)-(J35))))*(MAX($D$16,(E83)-(J35))),0.000001)*MAX(((((F35)+(H35)*(MAX($D$16,(E83)-(J35))))*(MAX($D$16,(E83)-(J35))))/MAX((F35)+2*(MAX($D$16,(E83)-(J35)))*SQRT(1+(H35)^2),0.000001))^(2/3),0.000001)))^2)+(((ABS(J83)*$D$6)/(MAX(((G35)+(I35)*(MAX($D$16,(N83)-(K35))))*(MAX($D$16,(N83)-(K35))),0.000001)*MAX(((((G35)+(I35)*(MAX($D$16,(N83)-(K35))))*(MAX($D$16,(N83)-(K35))))/MAX((G35)+2*(MAX($D$16,(N83)-(K35)))*SQRT(1+(I35)^2),0.000001))^(2/3),0.000001)))^2))/2)+(IF((ABS(J83)/MAX(((G35)+(I35)*(MAX($D$16,(N83)-(K35))))*(MAX($D$16,(N83)-(K35))),0.000001))&gt;(ABS(J83)/MAX(((F35)+(H35)*(MAX($D$16,(E83)-(J35))))*(MAX($D$16,(E83)-(J35))),0.000001)),$D$9*((((ABS(J83)/MAX(((G35)+(I35)*(MAX($D$16,(N83)-(K35))))*(MAX($D$16,(N83)-(K35))),0.000001))^2)/(2*$I$5))-(((ABS(J83)/MAX(((F35)+(H35)*(MAX($D$16,(E83)-(J35))))*(MAX($D$16,(E83)-(J35))),0.000001))^2)/(2*$I$5))),$D$8*((((ABS(J83)/MAX(((F35)+(H35)*(MAX($D$16,(E83)-(J35))))*(MAX($D$16,(E83)-(J35))),0.000001))^2)/(2*$I$5))-(((ABS(J83)/MAX(((G35)+(I35)*(MAX($D$16,(N83)-(K35))))*(MAX($D$16,(N83)-(K35))),0.000001))^2)/(2*$I$5)))))+($D$10*(ABS((X35)-(W35))/90)*MAX(((ABS(J83)/MAX(((F35)+(H35)*(MAX($D$16,(E83)-(J35))))*(MAX($D$16,(E83)-(J35))),0.000001))^2)/(2*$I$5),((ABS(J83)/MAX(((G35)+(I35)*(MAX($D$16,(N83)-(K35))))*(MAX($D$16,(N83)-(K35))),0.000001))^2)/(2*$I$5)))+(($D$11*0.34699541*(ABS(I83)/MAX(ABS(G83),0.000001))^2*MAX(((ABS(J83)/MAX(((F35)+(H35)*(MAX($D$16,(E83)-(J35))))*(MAX($D$16,(E83)-(J35))),0.000001))^2)/(2*$I$5),((ABS(J83)/MAX(((G35)+(I35)*(MAX($D$16,(N83)-(K35))))*(MAX($D$16,(N83)-(K35))),0.000001))^2)/(2*$I$5))))-((ABS(J83)/MAX(((F35)+(H35)*(MAX($D$16,(E83)-(J35))))*(MAX($D$16,(E83)-(J35))),0.000001))^2)/(2*$I$5)</f>
        <v>20784.033523923383</v>
      </c>
      <c r="U83">
        <f>(((((F32)*(MAX($D$16,(D83)-(J32)))^2)/2+(H32)*(MAX($D$16,(D83)-(J32)))^3/3+(ABS(G83)^2)/($I$5*MAX(((F32)+(H32)*(MAX($D$16,(D83)-(J32))))*(MAX($D$16,(D83)-(J32))),0.000001)))*0.72785025)-((((F33)*(MAX($D$16,(D83)-(J33)))^2)/2+(H33)*(MAX($D$16,(D83)-(J33)))^3/3+(ABS(H83)^2)/($I$5*MAX(((F33)+(H33)*(MAX($D$16,(D83)-(J33))))*(MAX($D$16,(D83)-(J33))),0.000001)))*0.99999971))/MAX(((G31)*(MAX($D$16,(D83)-(K31)))^2)/2+(I31)*(MAX($D$16,(D83)-(K31)))^3/3+(ABS(F83)^2)/($I$5*MAX(((G31)+(I31)*(MAX($D$16,(D83)-(K31))))*(MAX($D$16,(D83)-(K31))),0.000001)),0.000001)</f>
        <v>-0.27214945999991119</v>
      </c>
      <c r="V83">
        <f>(((((F34)*(MAX($D$16,(E83)-(J34)))^2)/2+(H34)*(MAX($D$16,(E83)-(J34)))^3/3+(ABS(I83)^2)/($I$5*MAX(((F34)+(H34)*(MAX($D$16,(E83)-(J34))))*(MAX($D$16,(E83)-(J34))),0.000001)))*1)-((((F35)*(MAX($D$16,(E83)-(J35)))^2)/2+(H35)*(MAX($D$16,(E83)-(J35)))^3/3+(ABS(J83)^2)/($I$5*MAX(((F35)+(H35)*(MAX($D$16,(E83)-(J35))))*(MAX($D$16,(E83)-(J35))),0.000001)))*0.30600918))/MAX(((G32)*(MAX($D$16,(E83)-(K32)))^2)/2+(I32)*(MAX($D$16,(E83)-(K32)))^3/3+(ABS(G83)^2)/($I$5*MAX(((G32)+(I32)*(MAX($D$16,(E83)-(K32))))*(MAX($D$16,(E83)-(K32))),0.000001)),0.000001)</f>
        <v>0.69398638937190393</v>
      </c>
      <c r="W83">
        <f>IF(N6="None",ABS(P83-D83),MAX(ABS(P83-D83),ABS(Q83-D83)))</f>
        <v>3.4197000786662102E-10</v>
      </c>
      <c r="X83">
        <f>IF(AND(N7="None",N8="None"),0,IF(N8="None",ABS(S83-E83),IF(N7="None",ABS(T83-E83),MAX(ABS(S83-E83),ABS(T83-E83)))))</f>
        <v>51796.641837658754</v>
      </c>
      <c r="AA83">
        <f t="shared" si="18"/>
        <v>52432.141837659081</v>
      </c>
      <c r="AB83">
        <f t="shared" si="19"/>
        <v>41355.303927851375</v>
      </c>
      <c r="AC83">
        <f>IF(N6="None",P83,MAX(P83,Q83))</f>
        <v>52432.141837659306</v>
      </c>
      <c r="AD83">
        <f>IF(AND(N7="None",N8="None"),E83,IF(N8="None",S83,IF(N7="None",T83,MAX(S83,T83))))</f>
        <v>20784.033523923383</v>
      </c>
      <c r="AE83">
        <f t="shared" si="20"/>
        <v>637.65825101089831</v>
      </c>
      <c r="AF83">
        <f t="shared" si="21"/>
        <v>52432.141837659095</v>
      </c>
      <c r="AG83">
        <f>((G31)*(MAX($D$16,(AC83)-(K31)))^2)/2+(I31)*(MAX($D$16,(AC83)-(K31)))^3/3+(ABS(F83)^2)/($I$5*MAX(((G31)+(I31)*(MAX($D$16,(AC83)-(K31))))*(MAX($D$16,(AC83)-(K31))),0.000001))</f>
        <v>8797611517.4107208</v>
      </c>
      <c r="AH83">
        <f>((G31)*(MAX($D$16,(AE83)-(K31)))^2)/2+(I31)*(MAX($D$16,(AE83)-(K31)))^3/3+(ABS(F83)^2)/($I$5*MAX(((G31)+(I31)*(MAX($D$16,(AE83)-(K31))))*(MAX($D$16,(AE83)-(K31))),0.000001))</f>
        <v>49.055863329575246</v>
      </c>
      <c r="AI83">
        <f>((G32)*(MAX($D$16,(AD83)-(K32)))^2)/2+(I32)*(MAX($D$16,(AD83)-(K32)))^3/3+(ABS(G83)^2)/($I$5*MAX(((G32)+(I32)*(MAX($D$16,(AD83)-(K32))))*(MAX($D$16,(AD83)-(K32))),0.000001))</f>
        <v>2072376743.6648321</v>
      </c>
      <c r="AJ83">
        <f>((G32)*(MAX($D$16,(AF83)-(K32)))^2)/2+(I32)*(MAX($D$16,(AF83)-(K32)))^3/3+(ABS(G83)^2)/($I$5*MAX(((G32)+(I32)*(MAX($D$16,(AF83)-(K32))))*(MAX($D$16,(AF83)-(K32))),0.000001))</f>
        <v>13692714789.64255</v>
      </c>
      <c r="AK83" t="str">
        <f t="shared" si="22"/>
        <v>Subcritical</v>
      </c>
      <c r="AL83" t="str">
        <f t="shared" si="23"/>
        <v>Supercritical</v>
      </c>
      <c r="AM83">
        <f t="shared" si="24"/>
        <v>52432.141837659081</v>
      </c>
      <c r="AN83">
        <f t="shared" si="25"/>
        <v>52432.14183765887</v>
      </c>
      <c r="AO83">
        <f t="shared" si="26"/>
        <v>3.4197000786662102E-10</v>
      </c>
      <c r="AP83">
        <f t="shared" si="27"/>
        <v>3.4197000786662102E-10</v>
      </c>
    </row>
    <row r="84" spans="1:42" x14ac:dyDescent="0.35">
      <c r="A84">
        <v>41</v>
      </c>
      <c r="B84">
        <f t="shared" si="28"/>
        <v>0</v>
      </c>
      <c r="C84">
        <f t="shared" si="29"/>
        <v>0</v>
      </c>
      <c r="D84">
        <f t="shared" si="30"/>
        <v>52432.141837659081</v>
      </c>
      <c r="E84">
        <f t="shared" si="31"/>
        <v>52432.14183765887</v>
      </c>
      <c r="F84">
        <f t="shared" si="17"/>
        <v>51</v>
      </c>
      <c r="G84">
        <f>IF(N6="None",F84,MAX(0,F84*B84))</f>
        <v>51</v>
      </c>
      <c r="H84">
        <f>IF(N6="None",0,MAX(0,F84-G84))</f>
        <v>0</v>
      </c>
      <c r="I84">
        <f>IF(AND(N7="None",N8="None"),0,IF(N8="None",G84,IF(N7="None",0,MAX(0,G84*C84))))</f>
        <v>0</v>
      </c>
      <c r="J84">
        <f>IF(AND(N7="None",N8="None"),0,IF(N8="None",0,IF(N7="None",G84,MAX(0,G84-I84))))</f>
        <v>51</v>
      </c>
      <c r="K84">
        <f>P5</f>
        <v>637</v>
      </c>
      <c r="L84">
        <f>P6</f>
        <v>634.3119999999999</v>
      </c>
      <c r="M84">
        <f>P7</f>
        <v>635.5</v>
      </c>
      <c r="N84">
        <f>P8</f>
        <v>631.54999999999995</v>
      </c>
      <c r="O84">
        <f>K84+((ABS(F84)/MAX(((F31)+(H31)*(MAX($D$16,(K84)-(J31))))*(MAX($D$16,(K84)-(J31))),0.000001))^2)/(2*$I$5)-((E31)*((((ABS(F84)*$D$6)/(MAX(((F31)+(H31)*(MAX($D$16,(K84)-(J31))))*(MAX($D$16,(K84)-(J31))),0.000001)*MAX(((((F31)+(H31)*(MAX($D$16,(K84)-(J31))))*(MAX($D$16,(K84)-(J31))))/MAX((F31)+2*(MAX($D$16,(K84)-(J31)))*SQRT(1+(H31)^2),0.000001))^(2/3),0.000001)))^2)+(((ABS(F84)*$D$6)/(MAX(((G31)+(I31)*(MAX($D$16,(D84)-(K31))))*(MAX($D$16,(D84)-(K31))),0.000001)*MAX(((((G31)+(I31)*(MAX($D$16,(D84)-(K31))))*(MAX($D$16,(D84)-(K31))))/MAX((G31)+2*(MAX($D$16,(D84)-(K31)))*SQRT(1+(I31)^2),0.000001))^(2/3),0.000001)))^2))/2)+(IF((ABS(F84)/MAX(((G31)+(I31)*(MAX($D$16,(D84)-(K31))))*(MAX($D$16,(D84)-(K31))),0.000001))&gt;(ABS(F84)/MAX(((F31)+(H31)*(MAX($D$16,(K84)-(J31))))*(MAX($D$16,(K84)-(J31))),0.000001)),$D$9*((((ABS(F84)/MAX(((G31)+(I31)*(MAX($D$16,(D84)-(K31))))*(MAX($D$16,(D84)-(K31))),0.000001))^2)/(2*$I$5))-(((ABS(F84)/MAX(((F31)+(H31)*(MAX($D$16,(K84)-(J31))))*(MAX($D$16,(K84)-(J31))),0.000001))^2)/(2*$I$5))),$D$8*((((ABS(F84)/MAX(((F31)+(H31)*(MAX($D$16,(K84)-(J31))))*(MAX($D$16,(K84)-(J31))),0.000001))^2)/(2*$I$5))-(((ABS(F84)/MAX(((G31)+(I31)*(MAX($D$16,(D84)-(K31))))*(MAX($D$16,(D84)-(K31))),0.000001))^2)/(2*$I$5)))))+($D$10*(ABS((X31)-(W31))/90)*MAX(((ABS(F84)/MAX(((F31)+(H31)*(MAX($D$16,(K84)-(J31))))*(MAX($D$16,(K84)-(J31))),0.000001))^2)/(2*$I$5),((ABS(F84)/MAX(((G31)+(I31)*(MAX($D$16,(D84)-(K31))))*(MAX($D$16,(D84)-(K31))),0.000001))^2)/(2*$I$5)))+(0)-((ABS(F84)/MAX(((G31)+(I31)*(MAX($D$16,(D84)-(K31))))*(MAX($D$16,(D84)-(K31))),0.000001))^2)/(2*$I$5)</f>
        <v>637.65825101089831</v>
      </c>
      <c r="P84">
        <f>E84+((ABS(G84)/MAX(((G32)+(I32)*(MAX($D$16,(E84)-(K32))))*(MAX($D$16,(E84)-(K32))),0.000001))^2)/(2*$I$5)+((E32)*((((ABS(G84)*$D$6)/(MAX(((F32)+(H32)*(MAX($D$16,(D84)-(J32))))*(MAX($D$16,(D84)-(J32))),0.000001)*MAX(((((F32)+(H32)*(MAX($D$16,(D84)-(J32))))*(MAX($D$16,(D84)-(J32))))/MAX((F32)+2*(MAX($D$16,(D84)-(J32)))*SQRT(1+(H32)^2),0.000001))^(2/3),0.000001)))^2)+(((ABS(G84)*$D$6)/(MAX(((G32)+(I32)*(MAX($D$16,(E84)-(K32))))*(MAX($D$16,(E84)-(K32))),0.000001)*MAX(((((G32)+(I32)*(MAX($D$16,(E84)-(K32))))*(MAX($D$16,(E84)-(K32))))/MAX((G32)+2*(MAX($D$16,(E84)-(K32)))*SQRT(1+(I32)^2),0.000001))^(2/3),0.000001)))^2))/2)+(IF((ABS(G84)/MAX(((G32)+(I32)*(MAX($D$16,(E84)-(K32))))*(MAX($D$16,(E84)-(K32))),0.000001))&gt;(ABS(G84)/MAX(((F32)+(H32)*(MAX($D$16,(D84)-(J32))))*(MAX($D$16,(D84)-(J32))),0.000001)),$D$9*((((ABS(G84)/MAX(((G32)+(I32)*(MAX($D$16,(E84)-(K32))))*(MAX($D$16,(E84)-(K32))),0.000001))^2)/(2*$I$5))-(((ABS(G84)/MAX(((F32)+(H32)*(MAX($D$16,(D84)-(J32))))*(MAX($D$16,(D84)-(J32))),0.000001))^2)/(2*$I$5))),$D$8*((((ABS(G84)/MAX(((F32)+(H32)*(MAX($D$16,(D84)-(J32))))*(MAX($D$16,(D84)-(J32))),0.000001))^2)/(2*$I$5))-(((ABS(G84)/MAX(((G32)+(I32)*(MAX($D$16,(E84)-(K32))))*(MAX($D$16,(E84)-(K32))),0.000001))^2)/(2*$I$5)))))+($D$10*(ABS((X32)-(W32))/90)*MAX(((ABS(G84)/MAX(((F32)+(H32)*(MAX($D$16,(D84)-(J32))))*(MAX($D$16,(D84)-(J32))),0.000001))^2)/(2*$I$5),((ABS(G84)/MAX(((G32)+(I32)*(MAX($D$16,(E84)-(K32))))*(MAX($D$16,(E84)-(K32))),0.000001))^2)/(2*$I$5)))+(($D$11*0.13607488*(ABS(H84)/MAX(ABS(F84),0.000001))^2*MAX(((ABS(G84)/MAX(((F32)+(H32)*(MAX($D$16,(D84)-(J32))))*(MAX($D$16,(D84)-(J32))),0.000001))^2)/(2*$I$5),((ABS(G84)/MAX(((G32)+(I32)*(MAX($D$16,(E84)-(K32))))*(MAX($D$16,(E84)-(K32))),0.000001))^2)/(2*$I$5))))-((ABS(G84)/MAX(((F32)+(H32)*(MAX($D$16,(D84)-(J32))))*(MAX($D$16,(D84)-(J32))),0.000001))^2)/(2*$I$5)</f>
        <v>52432.141837659423</v>
      </c>
      <c r="Q84">
        <f>L84+((ABS(H84)/MAX(((G33)+(I33)*(MAX($D$16,(L84)-(K33))))*(MAX($D$16,(L84)-(K33))),0.000001))^2)/(2*$I$5)+((E33)*((((ABS(H84)*$D$6)/(MAX(((F33)+(H33)*(MAX($D$16,(D84)-(J33))))*(MAX($D$16,(D84)-(J33))),0.000001)*MAX(((((F33)+(H33)*(MAX($D$16,(D84)-(J33))))*(MAX($D$16,(D84)-(J33))))/MAX((F33)+2*(MAX($D$16,(D84)-(J33)))*SQRT(1+(H33)^2),0.000001))^(2/3),0.000001)))^2)+(((ABS(H84)*$D$6)/(MAX(((G33)+(I33)*(MAX($D$16,(L84)-(K33))))*(MAX($D$16,(L84)-(K33))),0.000001)*MAX(((((G33)+(I33)*(MAX($D$16,(L84)-(K33))))*(MAX($D$16,(L84)-(K33))))/MAX((G33)+2*(MAX($D$16,(L84)-(K33)))*SQRT(1+(I33)^2),0.000001))^(2/3),0.000001)))^2))/2)+(IF((ABS(H84)/MAX(((G33)+(I33)*(MAX($D$16,(L84)-(K33))))*(MAX($D$16,(L84)-(K33))),0.000001))&gt;(ABS(H84)/MAX(((F33)+(H33)*(MAX($D$16,(D84)-(J33))))*(MAX($D$16,(D84)-(J33))),0.000001)),$D$9*((((ABS(H84)/MAX(((G33)+(I33)*(MAX($D$16,(L84)-(K33))))*(MAX($D$16,(L84)-(K33))),0.000001))^2)/(2*$I$5))-(((ABS(H84)/MAX(((F33)+(H33)*(MAX($D$16,(D84)-(J33))))*(MAX($D$16,(D84)-(J33))),0.000001))^2)/(2*$I$5))),$D$8*((((ABS(H84)/MAX(((F33)+(H33)*(MAX($D$16,(D84)-(J33))))*(MAX($D$16,(D84)-(J33))),0.000001))^2)/(2*$I$5))-(((ABS(H84)/MAX(((G33)+(I33)*(MAX($D$16,(L84)-(K33))))*(MAX($D$16,(L84)-(K33))),0.000001))^2)/(2*$I$5)))))+($D$10*(ABS((X33)-(W33))/90)*MAX(((ABS(H84)/MAX(((F33)+(H33)*(MAX($D$16,(D84)-(J33))))*(MAX($D$16,(D84)-(J33))),0.000001))^2)/(2*$I$5),((ABS(H84)/MAX(((G33)+(I33)*(MAX($D$16,(L84)-(K33))))*(MAX($D$16,(L84)-(K33))),0.000001))^2)/(2*$I$5)))+(($D$11*0.00000015*(ABS(G84)/MAX(ABS(F84),0.000001))^2*MAX(((ABS(H84)/MAX(((F33)+(H33)*(MAX($D$16,(D84)-(J33))))*(MAX($D$16,(D84)-(J33))),0.000001))^2)/(2*$I$5),((ABS(H84)/MAX(((G33)+(I33)*(MAX($D$16,(L84)-(K33))))*(MAX($D$16,(L84)-(K33))),0.000001))^2)/(2*$I$5))))-((ABS(H84)/MAX(((F33)+(H33)*(MAX($D$16,(D84)-(J33))))*(MAX($D$16,(D84)-(J33))),0.000001))^2)/(2*$I$5)</f>
        <v>634.3119999999999</v>
      </c>
      <c r="R84">
        <f>D84+((ABS(G84)/MAX(((F32)+(H32)*(MAX($D$16,(D84)-(J32))))*(MAX($D$16,(D84)-(J32))),0.000001))^2)/(2*$I$5)-((E32)*((((ABS(G84)*$D$6)/(MAX(((F32)+(H32)*(MAX($D$16,(D84)-(J32))))*(MAX($D$16,(D84)-(J32))),0.000001)*MAX(((((F32)+(H32)*(MAX($D$16,(D84)-(J32))))*(MAX($D$16,(D84)-(J32))))/MAX((F32)+2*(MAX($D$16,(D84)-(J32)))*SQRT(1+(H32)^2),0.000001))^(2/3),0.000001)))^2)+(((ABS(G84)*$D$6)/(MAX(((G32)+(I32)*(MAX($D$16,(E84)-(K32))))*(MAX($D$16,(E84)-(K32))),0.000001)*MAX(((((G32)+(I32)*(MAX($D$16,(E84)-(K32))))*(MAX($D$16,(E84)-(K32))))/MAX((G32)+2*(MAX($D$16,(E84)-(K32)))*SQRT(1+(I32)^2),0.000001))^(2/3),0.000001)))^2))/2)+(IF((ABS(G84)/MAX(((G32)+(I32)*(MAX($D$16,(E84)-(K32))))*(MAX($D$16,(E84)-(K32))),0.000001))&gt;(ABS(G84)/MAX(((F32)+(H32)*(MAX($D$16,(D84)-(J32))))*(MAX($D$16,(D84)-(J32))),0.000001)),$D$9*((((ABS(G84)/MAX(((G32)+(I32)*(MAX($D$16,(E84)-(K32))))*(MAX($D$16,(E84)-(K32))),0.000001))^2)/(2*$I$5))-(((ABS(G84)/MAX(((F32)+(H32)*(MAX($D$16,(D84)-(J32))))*(MAX($D$16,(D84)-(J32))),0.000001))^2)/(2*$I$5))),$D$8*((((ABS(G84)/MAX(((F32)+(H32)*(MAX($D$16,(D84)-(J32))))*(MAX($D$16,(D84)-(J32))),0.000001))^2)/(2*$I$5))-(((ABS(G84)/MAX(((G32)+(I32)*(MAX($D$16,(E84)-(K32))))*(MAX($D$16,(E84)-(K32))),0.000001))^2)/(2*$I$5)))))+($D$10*(ABS((X32)-(W32))/90)*MAX(((ABS(G84)/MAX(((F32)+(H32)*(MAX($D$16,(D84)-(J32))))*(MAX($D$16,(D84)-(J32))),0.000001))^2)/(2*$I$5),((ABS(G84)/MAX(((G32)+(I32)*(MAX($D$16,(E84)-(K32))))*(MAX($D$16,(E84)-(K32))),0.000001))^2)/(2*$I$5)))+(($D$11*0.13607488*(ABS(H84)/MAX(ABS(F84),0.000001))^2*MAX(((ABS(G84)/MAX(((F32)+(H32)*(MAX($D$16,(D84)-(J32))))*(MAX($D$16,(D84)-(J32))),0.000001))^2)/(2*$I$5),((ABS(G84)/MAX(((G32)+(I32)*(MAX($D$16,(E84)-(K32))))*(MAX($D$16,(E84)-(K32))),0.000001))^2)/(2*$I$5))))-((ABS(G84)/MAX(((G32)+(I32)*(MAX($D$16,(E84)-(K32))))*(MAX($D$16,(E84)-(K32))),0.000001))^2)/(2*$I$5)</f>
        <v>52432.141837659212</v>
      </c>
      <c r="S84">
        <f>M84+((ABS(I84)/MAX(((G34)+(I34)*(MAX($D$16,(M84)-(K34))))*(MAX($D$16,(M84)-(K34))),0.000001))^2)/(2*$I$5)+((E34)*((((ABS(I84)*$D$6)/(MAX(((F34)+(H34)*(MAX($D$16,(E84)-(J34))))*(MAX($D$16,(E84)-(J34))),0.000001)*MAX(((((F34)+(H34)*(MAX($D$16,(E84)-(J34))))*(MAX($D$16,(E84)-(J34))))/MAX((F34)+2*(MAX($D$16,(E84)-(J34)))*SQRT(1+(H34)^2),0.000001))^(2/3),0.000001)))^2)+(((ABS(I84)*$D$6)/(MAX(((G34)+(I34)*(MAX($D$16,(M84)-(K34))))*(MAX($D$16,(M84)-(K34))),0.000001)*MAX(((((G34)+(I34)*(MAX($D$16,(M84)-(K34))))*(MAX($D$16,(M84)-(K34))))/MAX((G34)+2*(MAX($D$16,(M84)-(K34)))*SQRT(1+(I34)^2),0.000001))^(2/3),0.000001)))^2))/2)+(IF((ABS(I84)/MAX(((G34)+(I34)*(MAX($D$16,(M84)-(K34))))*(MAX($D$16,(M84)-(K34))),0.000001))&gt;(ABS(I84)/MAX(((F34)+(H34)*(MAX($D$16,(E84)-(J34))))*(MAX($D$16,(E84)-(J34))),0.000001)),$D$9*((((ABS(I84)/MAX(((G34)+(I34)*(MAX($D$16,(M84)-(K34))))*(MAX($D$16,(M84)-(K34))),0.000001))^2)/(2*$I$5))-(((ABS(I84)/MAX(((F34)+(H34)*(MAX($D$16,(E84)-(J34))))*(MAX($D$16,(E84)-(J34))),0.000001))^2)/(2*$I$5))),$D$8*((((ABS(I84)/MAX(((F34)+(H34)*(MAX($D$16,(E84)-(J34))))*(MAX($D$16,(E84)-(J34))),0.000001))^2)/(2*$I$5))-(((ABS(I84)/MAX(((G34)+(I34)*(MAX($D$16,(M84)-(K34))))*(MAX($D$16,(M84)-(K34))),0.000001))^2)/(2*$I$5)))))+($D$10*(ABS((X34)-(W34))/90)*MAX(((ABS(I84)/MAX(((F34)+(H34)*(MAX($D$16,(E84)-(J34))))*(MAX($D$16,(E84)-(J34))),0.000001))^2)/(2*$I$5),((ABS(I84)/MAX(((G34)+(I34)*(MAX($D$16,(M84)-(K34))))*(MAX($D$16,(M84)-(K34))),0.000001))^2)/(2*$I$5)))+(0)-((ABS(I84)/MAX(((F34)+(H34)*(MAX($D$16,(E84)-(J34))))*(MAX($D$16,(E84)-(J34))),0.000001))^2)/(2*$I$5)</f>
        <v>635.5</v>
      </c>
      <c r="T84">
        <f>N84+((ABS(J84)/MAX(((G35)+(I35)*(MAX($D$16,(N84)-(K35))))*(MAX($D$16,(N84)-(K35))),0.000001))^2)/(2*$I$5)+((E35)*((((ABS(J84)*$D$6)/(MAX(((F35)+(H35)*(MAX($D$16,(E84)-(J35))))*(MAX($D$16,(E84)-(J35))),0.000001)*MAX(((((F35)+(H35)*(MAX($D$16,(E84)-(J35))))*(MAX($D$16,(E84)-(J35))))/MAX((F35)+2*(MAX($D$16,(E84)-(J35)))*SQRT(1+(H35)^2),0.000001))^(2/3),0.000001)))^2)+(((ABS(J84)*$D$6)/(MAX(((G35)+(I35)*(MAX($D$16,(N84)-(K35))))*(MAX($D$16,(N84)-(K35))),0.000001)*MAX(((((G35)+(I35)*(MAX($D$16,(N84)-(K35))))*(MAX($D$16,(N84)-(K35))))/MAX((G35)+2*(MAX($D$16,(N84)-(K35)))*SQRT(1+(I35)^2),0.000001))^(2/3),0.000001)))^2))/2)+(IF((ABS(J84)/MAX(((G35)+(I35)*(MAX($D$16,(N84)-(K35))))*(MAX($D$16,(N84)-(K35))),0.000001))&gt;(ABS(J84)/MAX(((F35)+(H35)*(MAX($D$16,(E84)-(J35))))*(MAX($D$16,(E84)-(J35))),0.000001)),$D$9*((((ABS(J84)/MAX(((G35)+(I35)*(MAX($D$16,(N84)-(K35))))*(MAX($D$16,(N84)-(K35))),0.000001))^2)/(2*$I$5))-(((ABS(J84)/MAX(((F35)+(H35)*(MAX($D$16,(E84)-(J35))))*(MAX($D$16,(E84)-(J35))),0.000001))^2)/(2*$I$5))),$D$8*((((ABS(J84)/MAX(((F35)+(H35)*(MAX($D$16,(E84)-(J35))))*(MAX($D$16,(E84)-(J35))),0.000001))^2)/(2*$I$5))-(((ABS(J84)/MAX(((G35)+(I35)*(MAX($D$16,(N84)-(K35))))*(MAX($D$16,(N84)-(K35))),0.000001))^2)/(2*$I$5)))))+($D$10*(ABS((X35)-(W35))/90)*MAX(((ABS(J84)/MAX(((F35)+(H35)*(MAX($D$16,(E84)-(J35))))*(MAX($D$16,(E84)-(J35))),0.000001))^2)/(2*$I$5),((ABS(J84)/MAX(((G35)+(I35)*(MAX($D$16,(N84)-(K35))))*(MAX($D$16,(N84)-(K35))),0.000001))^2)/(2*$I$5)))+(($D$11*0.34699541*(ABS(I84)/MAX(ABS(G84),0.000001))^2*MAX(((ABS(J84)/MAX(((F35)+(H35)*(MAX($D$16,(E84)-(J35))))*(MAX($D$16,(E84)-(J35))),0.000001))^2)/(2*$I$5),((ABS(J84)/MAX(((G35)+(I35)*(MAX($D$16,(N84)-(K35))))*(MAX($D$16,(N84)-(K35))),0.000001))^2)/(2*$I$5))))-((ABS(J84)/MAX(((F35)+(H35)*(MAX($D$16,(E84)-(J35))))*(MAX($D$16,(E84)-(J35))),0.000001))^2)/(2*$I$5)</f>
        <v>20784.033523923383</v>
      </c>
      <c r="U84">
        <f>(((((F32)*(MAX($D$16,(D84)-(J32)))^2)/2+(H32)*(MAX($D$16,(D84)-(J32)))^3/3+(ABS(G84)^2)/($I$5*MAX(((F32)+(H32)*(MAX($D$16,(D84)-(J32))))*(MAX($D$16,(D84)-(J32))),0.000001)))*0.72785025)-((((F33)*(MAX($D$16,(D84)-(J33)))^2)/2+(H33)*(MAX($D$16,(D84)-(J33)))^3/3+(ABS(H84)^2)/($I$5*MAX(((F33)+(H33)*(MAX($D$16,(D84)-(J33))))*(MAX($D$16,(D84)-(J33))),0.000001)))*0.99999971))/MAX(((G31)*(MAX($D$16,(D84)-(K31)))^2)/2+(I31)*(MAX($D$16,(D84)-(K31)))^3/3+(ABS(F84)^2)/($I$5*MAX(((G31)+(I31)*(MAX($D$16,(D84)-(K31))))*(MAX($D$16,(D84)-(K31))),0.000001)),0.000001)</f>
        <v>-0.27214945999991125</v>
      </c>
      <c r="V84">
        <f>(((((F34)*(MAX($D$16,(E84)-(J34)))^2)/2+(H34)*(MAX($D$16,(E84)-(J34)))^3/3+(ABS(I84)^2)/($I$5*MAX(((F34)+(H34)*(MAX($D$16,(E84)-(J34))))*(MAX($D$16,(E84)-(J34))),0.000001)))*1)-((((F35)*(MAX($D$16,(E84)-(J35)))^2)/2+(H35)*(MAX($D$16,(E84)-(J35)))^3/3+(ABS(J84)^2)/($I$5*MAX(((F35)+(H35)*(MAX($D$16,(E84)-(J35))))*(MAX($D$16,(E84)-(J35))),0.000001)))*0.30600918))/MAX(((G32)*(MAX($D$16,(E84)-(K32)))^2)/2+(I32)*(MAX($D$16,(E84)-(K32)))^3/3+(ABS(G84)^2)/($I$5*MAX(((G32)+(I32)*(MAX($D$16,(E84)-(K32))))*(MAX($D$16,(E84)-(K32))),0.000001)),0.000001)</f>
        <v>0.69398638937190382</v>
      </c>
      <c r="W84">
        <f>IF(N6="None",ABS(P84-D84),MAX(ABS(P84-D84),ABS(Q84-D84)))</f>
        <v>3.4197000786662102E-10</v>
      </c>
      <c r="X84">
        <f>IF(AND(N7="None",N8="None"),0,IF(N8="None",ABS(S84-E84),IF(N7="None",ABS(T84-E84),MAX(ABS(S84-E84),ABS(T84-E84)))))</f>
        <v>51796.64183765887</v>
      </c>
      <c r="AA84">
        <f t="shared" si="18"/>
        <v>52432.141837659197</v>
      </c>
      <c r="AB84">
        <f t="shared" si="19"/>
        <v>41355.303927851448</v>
      </c>
      <c r="AC84">
        <f>IF(N6="None",P84,MAX(P84,Q84))</f>
        <v>52432.141837659423</v>
      </c>
      <c r="AD84">
        <f>IF(AND(N7="None",N8="None"),E84,IF(N8="None",S84,IF(N7="None",T84,MAX(S84,T84))))</f>
        <v>20784.033523923383</v>
      </c>
      <c r="AE84">
        <f t="shared" si="20"/>
        <v>637.65825101089831</v>
      </c>
      <c r="AF84">
        <f t="shared" si="21"/>
        <v>52432.141837659212</v>
      </c>
      <c r="AG84">
        <f>((G31)*(MAX($D$16,(AC84)-(K31)))^2)/2+(I31)*(MAX($D$16,(AC84)-(K31)))^3/3+(ABS(F84)^2)/($I$5*MAX(((G31)+(I31)*(MAX($D$16,(AC84)-(K31))))*(MAX($D$16,(AC84)-(K31))),0.000001))</f>
        <v>8797611517.4107609</v>
      </c>
      <c r="AH84">
        <f>((G31)*(MAX($D$16,(AE84)-(K31)))^2)/2+(I31)*(MAX($D$16,(AE84)-(K31)))^3/3+(ABS(F84)^2)/($I$5*MAX(((G31)+(I31)*(MAX($D$16,(AE84)-(K31))))*(MAX($D$16,(AE84)-(K31))),0.000001))</f>
        <v>49.055863329575246</v>
      </c>
      <c r="AI84">
        <f>((G32)*(MAX($D$16,(AD84)-(K32)))^2)/2+(I32)*(MAX($D$16,(AD84)-(K32)))^3/3+(ABS(G84)^2)/($I$5*MAX(((G32)+(I32)*(MAX($D$16,(AD84)-(K32))))*(MAX($D$16,(AD84)-(K32))),0.000001))</f>
        <v>2072376743.6648321</v>
      </c>
      <c r="AJ84">
        <f>((G32)*(MAX($D$16,(AF84)-(K32)))^2)/2+(I32)*(MAX($D$16,(AF84)-(K32)))^3/3+(ABS(G84)^2)/($I$5*MAX(((G32)+(I32)*(MAX($D$16,(AF84)-(K32))))*(MAX($D$16,(AF84)-(K32))),0.000001))</f>
        <v>13692714789.642612</v>
      </c>
      <c r="AK84" t="str">
        <f t="shared" si="22"/>
        <v>Subcritical</v>
      </c>
      <c r="AL84" t="str">
        <f t="shared" si="23"/>
        <v>Supercritical</v>
      </c>
      <c r="AM84">
        <f t="shared" si="24"/>
        <v>52432.141837659197</v>
      </c>
      <c r="AN84">
        <f t="shared" si="25"/>
        <v>52432.141837658986</v>
      </c>
      <c r="AO84">
        <f t="shared" si="26"/>
        <v>3.4197000786662102E-10</v>
      </c>
      <c r="AP84">
        <f t="shared" si="27"/>
        <v>3.4197000786662102E-10</v>
      </c>
    </row>
    <row r="85" spans="1:42" x14ac:dyDescent="0.35">
      <c r="A85">
        <v>42</v>
      </c>
      <c r="B85">
        <f t="shared" si="28"/>
        <v>0</v>
      </c>
      <c r="C85">
        <f t="shared" si="29"/>
        <v>0</v>
      </c>
      <c r="D85">
        <f t="shared" si="30"/>
        <v>52432.141837659197</v>
      </c>
      <c r="E85">
        <f t="shared" si="31"/>
        <v>52432.141837658986</v>
      </c>
      <c r="F85">
        <f t="shared" si="17"/>
        <v>51</v>
      </c>
      <c r="G85">
        <f>IF(N6="None",F85,MAX(0,F85*B85))</f>
        <v>51</v>
      </c>
      <c r="H85">
        <f>IF(N6="None",0,MAX(0,F85-G85))</f>
        <v>0</v>
      </c>
      <c r="I85">
        <f>IF(AND(N7="None",N8="None"),0,IF(N8="None",G85,IF(N7="None",0,MAX(0,G85*C85))))</f>
        <v>0</v>
      </c>
      <c r="J85">
        <f>IF(AND(N7="None",N8="None"),0,IF(N8="None",0,IF(N7="None",G85,MAX(0,G85-I85))))</f>
        <v>51</v>
      </c>
      <c r="K85">
        <f>P5</f>
        <v>637</v>
      </c>
      <c r="L85">
        <f>P6</f>
        <v>634.3119999999999</v>
      </c>
      <c r="M85">
        <f>P7</f>
        <v>635.5</v>
      </c>
      <c r="N85">
        <f>P8</f>
        <v>631.54999999999995</v>
      </c>
      <c r="O85">
        <f>K85+((ABS(F85)/MAX(((F31)+(H31)*(MAX($D$16,(K85)-(J31))))*(MAX($D$16,(K85)-(J31))),0.000001))^2)/(2*$I$5)-((E31)*((((ABS(F85)*$D$6)/(MAX(((F31)+(H31)*(MAX($D$16,(K85)-(J31))))*(MAX($D$16,(K85)-(J31))),0.000001)*MAX(((((F31)+(H31)*(MAX($D$16,(K85)-(J31))))*(MAX($D$16,(K85)-(J31))))/MAX((F31)+2*(MAX($D$16,(K85)-(J31)))*SQRT(1+(H31)^2),0.000001))^(2/3),0.000001)))^2)+(((ABS(F85)*$D$6)/(MAX(((G31)+(I31)*(MAX($D$16,(D85)-(K31))))*(MAX($D$16,(D85)-(K31))),0.000001)*MAX(((((G31)+(I31)*(MAX($D$16,(D85)-(K31))))*(MAX($D$16,(D85)-(K31))))/MAX((G31)+2*(MAX($D$16,(D85)-(K31)))*SQRT(1+(I31)^2),0.000001))^(2/3),0.000001)))^2))/2)+(IF((ABS(F85)/MAX(((G31)+(I31)*(MAX($D$16,(D85)-(K31))))*(MAX($D$16,(D85)-(K31))),0.000001))&gt;(ABS(F85)/MAX(((F31)+(H31)*(MAX($D$16,(K85)-(J31))))*(MAX($D$16,(K85)-(J31))),0.000001)),$D$9*((((ABS(F85)/MAX(((G31)+(I31)*(MAX($D$16,(D85)-(K31))))*(MAX($D$16,(D85)-(K31))),0.000001))^2)/(2*$I$5))-(((ABS(F85)/MAX(((F31)+(H31)*(MAX($D$16,(K85)-(J31))))*(MAX($D$16,(K85)-(J31))),0.000001))^2)/(2*$I$5))),$D$8*((((ABS(F85)/MAX(((F31)+(H31)*(MAX($D$16,(K85)-(J31))))*(MAX($D$16,(K85)-(J31))),0.000001))^2)/(2*$I$5))-(((ABS(F85)/MAX(((G31)+(I31)*(MAX($D$16,(D85)-(K31))))*(MAX($D$16,(D85)-(K31))),0.000001))^2)/(2*$I$5)))))+($D$10*(ABS((X31)-(W31))/90)*MAX(((ABS(F85)/MAX(((F31)+(H31)*(MAX($D$16,(K85)-(J31))))*(MAX($D$16,(K85)-(J31))),0.000001))^2)/(2*$I$5),((ABS(F85)/MAX(((G31)+(I31)*(MAX($D$16,(D85)-(K31))))*(MAX($D$16,(D85)-(K31))),0.000001))^2)/(2*$I$5)))+(0)-((ABS(F85)/MAX(((G31)+(I31)*(MAX($D$16,(D85)-(K31))))*(MAX($D$16,(D85)-(K31))),0.000001))^2)/(2*$I$5)</f>
        <v>637.65825101089831</v>
      </c>
      <c r="P85">
        <f>E85+((ABS(G85)/MAX(((G32)+(I32)*(MAX($D$16,(E85)-(K32))))*(MAX($D$16,(E85)-(K32))),0.000001))^2)/(2*$I$5)+((E32)*((((ABS(G85)*$D$6)/(MAX(((F32)+(H32)*(MAX($D$16,(D85)-(J32))))*(MAX($D$16,(D85)-(J32))),0.000001)*MAX(((((F32)+(H32)*(MAX($D$16,(D85)-(J32))))*(MAX($D$16,(D85)-(J32))))/MAX((F32)+2*(MAX($D$16,(D85)-(J32)))*SQRT(1+(H32)^2),0.000001))^(2/3),0.000001)))^2)+(((ABS(G85)*$D$6)/(MAX(((G32)+(I32)*(MAX($D$16,(E85)-(K32))))*(MAX($D$16,(E85)-(K32))),0.000001)*MAX(((((G32)+(I32)*(MAX($D$16,(E85)-(K32))))*(MAX($D$16,(E85)-(K32))))/MAX((G32)+2*(MAX($D$16,(E85)-(K32)))*SQRT(1+(I32)^2),0.000001))^(2/3),0.000001)))^2))/2)+(IF((ABS(G85)/MAX(((G32)+(I32)*(MAX($D$16,(E85)-(K32))))*(MAX($D$16,(E85)-(K32))),0.000001))&gt;(ABS(G85)/MAX(((F32)+(H32)*(MAX($D$16,(D85)-(J32))))*(MAX($D$16,(D85)-(J32))),0.000001)),$D$9*((((ABS(G85)/MAX(((G32)+(I32)*(MAX($D$16,(E85)-(K32))))*(MAX($D$16,(E85)-(K32))),0.000001))^2)/(2*$I$5))-(((ABS(G85)/MAX(((F32)+(H32)*(MAX($D$16,(D85)-(J32))))*(MAX($D$16,(D85)-(J32))),0.000001))^2)/(2*$I$5))),$D$8*((((ABS(G85)/MAX(((F32)+(H32)*(MAX($D$16,(D85)-(J32))))*(MAX($D$16,(D85)-(J32))),0.000001))^2)/(2*$I$5))-(((ABS(G85)/MAX(((G32)+(I32)*(MAX($D$16,(E85)-(K32))))*(MAX($D$16,(E85)-(K32))),0.000001))^2)/(2*$I$5)))))+($D$10*(ABS((X32)-(W32))/90)*MAX(((ABS(G85)/MAX(((F32)+(H32)*(MAX($D$16,(D85)-(J32))))*(MAX($D$16,(D85)-(J32))),0.000001))^2)/(2*$I$5),((ABS(G85)/MAX(((G32)+(I32)*(MAX($D$16,(E85)-(K32))))*(MAX($D$16,(E85)-(K32))),0.000001))^2)/(2*$I$5)))+(($D$11*0.13607488*(ABS(H85)/MAX(ABS(F85),0.000001))^2*MAX(((ABS(G85)/MAX(((F32)+(H32)*(MAX($D$16,(D85)-(J32))))*(MAX($D$16,(D85)-(J32))),0.000001))^2)/(2*$I$5),((ABS(G85)/MAX(((G32)+(I32)*(MAX($D$16,(E85)-(K32))))*(MAX($D$16,(E85)-(K32))),0.000001))^2)/(2*$I$5))))-((ABS(G85)/MAX(((F32)+(H32)*(MAX($D$16,(D85)-(J32))))*(MAX($D$16,(D85)-(J32))),0.000001))^2)/(2*$I$5)</f>
        <v>52432.141837659539</v>
      </c>
      <c r="Q85">
        <f>L85+((ABS(H85)/MAX(((G33)+(I33)*(MAX($D$16,(L85)-(K33))))*(MAX($D$16,(L85)-(K33))),0.000001))^2)/(2*$I$5)+((E33)*((((ABS(H85)*$D$6)/(MAX(((F33)+(H33)*(MAX($D$16,(D85)-(J33))))*(MAX($D$16,(D85)-(J33))),0.000001)*MAX(((((F33)+(H33)*(MAX($D$16,(D85)-(J33))))*(MAX($D$16,(D85)-(J33))))/MAX((F33)+2*(MAX($D$16,(D85)-(J33)))*SQRT(1+(H33)^2),0.000001))^(2/3),0.000001)))^2)+(((ABS(H85)*$D$6)/(MAX(((G33)+(I33)*(MAX($D$16,(L85)-(K33))))*(MAX($D$16,(L85)-(K33))),0.000001)*MAX(((((G33)+(I33)*(MAX($D$16,(L85)-(K33))))*(MAX($D$16,(L85)-(K33))))/MAX((G33)+2*(MAX($D$16,(L85)-(K33)))*SQRT(1+(I33)^2),0.000001))^(2/3),0.000001)))^2))/2)+(IF((ABS(H85)/MAX(((G33)+(I33)*(MAX($D$16,(L85)-(K33))))*(MAX($D$16,(L85)-(K33))),0.000001))&gt;(ABS(H85)/MAX(((F33)+(H33)*(MAX($D$16,(D85)-(J33))))*(MAX($D$16,(D85)-(J33))),0.000001)),$D$9*((((ABS(H85)/MAX(((G33)+(I33)*(MAX($D$16,(L85)-(K33))))*(MAX($D$16,(L85)-(K33))),0.000001))^2)/(2*$I$5))-(((ABS(H85)/MAX(((F33)+(H33)*(MAX($D$16,(D85)-(J33))))*(MAX($D$16,(D85)-(J33))),0.000001))^2)/(2*$I$5))),$D$8*((((ABS(H85)/MAX(((F33)+(H33)*(MAX($D$16,(D85)-(J33))))*(MAX($D$16,(D85)-(J33))),0.000001))^2)/(2*$I$5))-(((ABS(H85)/MAX(((G33)+(I33)*(MAX($D$16,(L85)-(K33))))*(MAX($D$16,(L85)-(K33))),0.000001))^2)/(2*$I$5)))))+($D$10*(ABS((X33)-(W33))/90)*MAX(((ABS(H85)/MAX(((F33)+(H33)*(MAX($D$16,(D85)-(J33))))*(MAX($D$16,(D85)-(J33))),0.000001))^2)/(2*$I$5),((ABS(H85)/MAX(((G33)+(I33)*(MAX($D$16,(L85)-(K33))))*(MAX($D$16,(L85)-(K33))),0.000001))^2)/(2*$I$5)))+(($D$11*0.00000015*(ABS(G85)/MAX(ABS(F85),0.000001))^2*MAX(((ABS(H85)/MAX(((F33)+(H33)*(MAX($D$16,(D85)-(J33))))*(MAX($D$16,(D85)-(J33))),0.000001))^2)/(2*$I$5),((ABS(H85)/MAX(((G33)+(I33)*(MAX($D$16,(L85)-(K33))))*(MAX($D$16,(L85)-(K33))),0.000001))^2)/(2*$I$5))))-((ABS(H85)/MAX(((F33)+(H33)*(MAX($D$16,(D85)-(J33))))*(MAX($D$16,(D85)-(J33))),0.000001))^2)/(2*$I$5)</f>
        <v>634.3119999999999</v>
      </c>
      <c r="R85">
        <f>D85+((ABS(G85)/MAX(((F32)+(H32)*(MAX($D$16,(D85)-(J32))))*(MAX($D$16,(D85)-(J32))),0.000001))^2)/(2*$I$5)-((E32)*((((ABS(G85)*$D$6)/(MAX(((F32)+(H32)*(MAX($D$16,(D85)-(J32))))*(MAX($D$16,(D85)-(J32))),0.000001)*MAX(((((F32)+(H32)*(MAX($D$16,(D85)-(J32))))*(MAX($D$16,(D85)-(J32))))/MAX((F32)+2*(MAX($D$16,(D85)-(J32)))*SQRT(1+(H32)^2),0.000001))^(2/3),0.000001)))^2)+(((ABS(G85)*$D$6)/(MAX(((G32)+(I32)*(MAX($D$16,(E85)-(K32))))*(MAX($D$16,(E85)-(K32))),0.000001)*MAX(((((G32)+(I32)*(MAX($D$16,(E85)-(K32))))*(MAX($D$16,(E85)-(K32))))/MAX((G32)+2*(MAX($D$16,(E85)-(K32)))*SQRT(1+(I32)^2),0.000001))^(2/3),0.000001)))^2))/2)+(IF((ABS(G85)/MAX(((G32)+(I32)*(MAX($D$16,(E85)-(K32))))*(MAX($D$16,(E85)-(K32))),0.000001))&gt;(ABS(G85)/MAX(((F32)+(H32)*(MAX($D$16,(D85)-(J32))))*(MAX($D$16,(D85)-(J32))),0.000001)),$D$9*((((ABS(G85)/MAX(((G32)+(I32)*(MAX($D$16,(E85)-(K32))))*(MAX($D$16,(E85)-(K32))),0.000001))^2)/(2*$I$5))-(((ABS(G85)/MAX(((F32)+(H32)*(MAX($D$16,(D85)-(J32))))*(MAX($D$16,(D85)-(J32))),0.000001))^2)/(2*$I$5))),$D$8*((((ABS(G85)/MAX(((F32)+(H32)*(MAX($D$16,(D85)-(J32))))*(MAX($D$16,(D85)-(J32))),0.000001))^2)/(2*$I$5))-(((ABS(G85)/MAX(((G32)+(I32)*(MAX($D$16,(E85)-(K32))))*(MAX($D$16,(E85)-(K32))),0.000001))^2)/(2*$I$5)))))+($D$10*(ABS((X32)-(W32))/90)*MAX(((ABS(G85)/MAX(((F32)+(H32)*(MAX($D$16,(D85)-(J32))))*(MAX($D$16,(D85)-(J32))),0.000001))^2)/(2*$I$5),((ABS(G85)/MAX(((G32)+(I32)*(MAX($D$16,(E85)-(K32))))*(MAX($D$16,(E85)-(K32))),0.000001))^2)/(2*$I$5)))+(($D$11*0.13607488*(ABS(H85)/MAX(ABS(F85),0.000001))^2*MAX(((ABS(G85)/MAX(((F32)+(H32)*(MAX($D$16,(D85)-(J32))))*(MAX($D$16,(D85)-(J32))),0.000001))^2)/(2*$I$5),((ABS(G85)/MAX(((G32)+(I32)*(MAX($D$16,(E85)-(K32))))*(MAX($D$16,(E85)-(K32))),0.000001))^2)/(2*$I$5))))-((ABS(G85)/MAX(((G32)+(I32)*(MAX($D$16,(E85)-(K32))))*(MAX($D$16,(E85)-(K32))),0.000001))^2)/(2*$I$5)</f>
        <v>52432.141837659328</v>
      </c>
      <c r="S85">
        <f>M85+((ABS(I85)/MAX(((G34)+(I34)*(MAX($D$16,(M85)-(K34))))*(MAX($D$16,(M85)-(K34))),0.000001))^2)/(2*$I$5)+((E34)*((((ABS(I85)*$D$6)/(MAX(((F34)+(H34)*(MAX($D$16,(E85)-(J34))))*(MAX($D$16,(E85)-(J34))),0.000001)*MAX(((((F34)+(H34)*(MAX($D$16,(E85)-(J34))))*(MAX($D$16,(E85)-(J34))))/MAX((F34)+2*(MAX($D$16,(E85)-(J34)))*SQRT(1+(H34)^2),0.000001))^(2/3),0.000001)))^2)+(((ABS(I85)*$D$6)/(MAX(((G34)+(I34)*(MAX($D$16,(M85)-(K34))))*(MAX($D$16,(M85)-(K34))),0.000001)*MAX(((((G34)+(I34)*(MAX($D$16,(M85)-(K34))))*(MAX($D$16,(M85)-(K34))))/MAX((G34)+2*(MAX($D$16,(M85)-(K34)))*SQRT(1+(I34)^2),0.000001))^(2/3),0.000001)))^2))/2)+(IF((ABS(I85)/MAX(((G34)+(I34)*(MAX($D$16,(M85)-(K34))))*(MAX($D$16,(M85)-(K34))),0.000001))&gt;(ABS(I85)/MAX(((F34)+(H34)*(MAX($D$16,(E85)-(J34))))*(MAX($D$16,(E85)-(J34))),0.000001)),$D$9*((((ABS(I85)/MAX(((G34)+(I34)*(MAX($D$16,(M85)-(K34))))*(MAX($D$16,(M85)-(K34))),0.000001))^2)/(2*$I$5))-(((ABS(I85)/MAX(((F34)+(H34)*(MAX($D$16,(E85)-(J34))))*(MAX($D$16,(E85)-(J34))),0.000001))^2)/(2*$I$5))),$D$8*((((ABS(I85)/MAX(((F34)+(H34)*(MAX($D$16,(E85)-(J34))))*(MAX($D$16,(E85)-(J34))),0.000001))^2)/(2*$I$5))-(((ABS(I85)/MAX(((G34)+(I34)*(MAX($D$16,(M85)-(K34))))*(MAX($D$16,(M85)-(K34))),0.000001))^2)/(2*$I$5)))))+($D$10*(ABS((X34)-(W34))/90)*MAX(((ABS(I85)/MAX(((F34)+(H34)*(MAX($D$16,(E85)-(J34))))*(MAX($D$16,(E85)-(J34))),0.000001))^2)/(2*$I$5),((ABS(I85)/MAX(((G34)+(I34)*(MAX($D$16,(M85)-(K34))))*(MAX($D$16,(M85)-(K34))),0.000001))^2)/(2*$I$5)))+(0)-((ABS(I85)/MAX(((F34)+(H34)*(MAX($D$16,(E85)-(J34))))*(MAX($D$16,(E85)-(J34))),0.000001))^2)/(2*$I$5)</f>
        <v>635.5</v>
      </c>
      <c r="T85">
        <f>N85+((ABS(J85)/MAX(((G35)+(I35)*(MAX($D$16,(N85)-(K35))))*(MAX($D$16,(N85)-(K35))),0.000001))^2)/(2*$I$5)+((E35)*((((ABS(J85)*$D$6)/(MAX(((F35)+(H35)*(MAX($D$16,(E85)-(J35))))*(MAX($D$16,(E85)-(J35))),0.000001)*MAX(((((F35)+(H35)*(MAX($D$16,(E85)-(J35))))*(MAX($D$16,(E85)-(J35))))/MAX((F35)+2*(MAX($D$16,(E85)-(J35)))*SQRT(1+(H35)^2),0.000001))^(2/3),0.000001)))^2)+(((ABS(J85)*$D$6)/(MAX(((G35)+(I35)*(MAX($D$16,(N85)-(K35))))*(MAX($D$16,(N85)-(K35))),0.000001)*MAX(((((G35)+(I35)*(MAX($D$16,(N85)-(K35))))*(MAX($D$16,(N85)-(K35))))/MAX((G35)+2*(MAX($D$16,(N85)-(K35)))*SQRT(1+(I35)^2),0.000001))^(2/3),0.000001)))^2))/2)+(IF((ABS(J85)/MAX(((G35)+(I35)*(MAX($D$16,(N85)-(K35))))*(MAX($D$16,(N85)-(K35))),0.000001))&gt;(ABS(J85)/MAX(((F35)+(H35)*(MAX($D$16,(E85)-(J35))))*(MAX($D$16,(E85)-(J35))),0.000001)),$D$9*((((ABS(J85)/MAX(((G35)+(I35)*(MAX($D$16,(N85)-(K35))))*(MAX($D$16,(N85)-(K35))),0.000001))^2)/(2*$I$5))-(((ABS(J85)/MAX(((F35)+(H35)*(MAX($D$16,(E85)-(J35))))*(MAX($D$16,(E85)-(J35))),0.000001))^2)/(2*$I$5))),$D$8*((((ABS(J85)/MAX(((F35)+(H35)*(MAX($D$16,(E85)-(J35))))*(MAX($D$16,(E85)-(J35))),0.000001))^2)/(2*$I$5))-(((ABS(J85)/MAX(((G35)+(I35)*(MAX($D$16,(N85)-(K35))))*(MAX($D$16,(N85)-(K35))),0.000001))^2)/(2*$I$5)))))+($D$10*(ABS((X35)-(W35))/90)*MAX(((ABS(J85)/MAX(((F35)+(H35)*(MAX($D$16,(E85)-(J35))))*(MAX($D$16,(E85)-(J35))),0.000001))^2)/(2*$I$5),((ABS(J85)/MAX(((G35)+(I35)*(MAX($D$16,(N85)-(K35))))*(MAX($D$16,(N85)-(K35))),0.000001))^2)/(2*$I$5)))+(($D$11*0.34699541*(ABS(I85)/MAX(ABS(G85),0.000001))^2*MAX(((ABS(J85)/MAX(((F35)+(H35)*(MAX($D$16,(E85)-(J35))))*(MAX($D$16,(E85)-(J35))),0.000001))^2)/(2*$I$5),((ABS(J85)/MAX(((G35)+(I35)*(MAX($D$16,(N85)-(K35))))*(MAX($D$16,(N85)-(K35))),0.000001))^2)/(2*$I$5))))-((ABS(J85)/MAX(((F35)+(H35)*(MAX($D$16,(E85)-(J35))))*(MAX($D$16,(E85)-(J35))),0.000001))^2)/(2*$I$5)</f>
        <v>20784.033523923383</v>
      </c>
      <c r="U85">
        <f>(((((F32)*(MAX($D$16,(D85)-(J32)))^2)/2+(H32)*(MAX($D$16,(D85)-(J32)))^3/3+(ABS(G85)^2)/($I$5*MAX(((F32)+(H32)*(MAX($D$16,(D85)-(J32))))*(MAX($D$16,(D85)-(J32))),0.000001)))*0.72785025)-((((F33)*(MAX($D$16,(D85)-(J33)))^2)/2+(H33)*(MAX($D$16,(D85)-(J33)))^3/3+(ABS(H85)^2)/($I$5*MAX(((F33)+(H33)*(MAX($D$16,(D85)-(J33))))*(MAX($D$16,(D85)-(J33))),0.000001)))*0.99999971))/MAX(((G31)*(MAX($D$16,(D85)-(K31)))^2)/2+(I31)*(MAX($D$16,(D85)-(K31)))^3/3+(ABS(F85)^2)/($I$5*MAX(((G31)+(I31)*(MAX($D$16,(D85)-(K31))))*(MAX($D$16,(D85)-(K31))),0.000001)),0.000001)</f>
        <v>-0.27214945999991125</v>
      </c>
      <c r="V85">
        <f>(((((F34)*(MAX($D$16,(E85)-(J34)))^2)/2+(H34)*(MAX($D$16,(E85)-(J34)))^3/3+(ABS(I85)^2)/($I$5*MAX(((F34)+(H34)*(MAX($D$16,(E85)-(J34))))*(MAX($D$16,(E85)-(J34))),0.000001)))*1)-((((F35)*(MAX($D$16,(E85)-(J35)))^2)/2+(H35)*(MAX($D$16,(E85)-(J35)))^3/3+(ABS(J85)^2)/($I$5*MAX(((F35)+(H35)*(MAX($D$16,(E85)-(J35))))*(MAX($D$16,(E85)-(J35))),0.000001)))*0.30600918))/MAX(((G32)*(MAX($D$16,(E85)-(K32)))^2)/2+(I32)*(MAX($D$16,(E85)-(K32)))^3/3+(ABS(G85)^2)/($I$5*MAX(((G32)+(I32)*(MAX($D$16,(E85)-(K32))))*(MAX($D$16,(E85)-(K32))),0.000001)),0.000001)</f>
        <v>0.69398638937190393</v>
      </c>
      <c r="W85">
        <f>IF(N6="None",ABS(P85-D85),MAX(ABS(P85-D85),ABS(Q85-D85)))</f>
        <v>3.4197000786662102E-10</v>
      </c>
      <c r="X85">
        <f>IF(AND(N7="None",N8="None"),0,IF(N8="None",ABS(S85-E85),IF(N7="None",ABS(T85-E85),MAX(ABS(S85-E85),ABS(T85-E85)))))</f>
        <v>51796.641837658986</v>
      </c>
      <c r="AA85">
        <f t="shared" si="18"/>
        <v>52432.141837659314</v>
      </c>
      <c r="AB85">
        <f t="shared" si="19"/>
        <v>41355.303927851528</v>
      </c>
      <c r="AC85">
        <f>IF(N6="None",P85,MAX(P85,Q85))</f>
        <v>52432.141837659539</v>
      </c>
      <c r="AD85">
        <f>IF(AND(N7="None",N8="None"),E85,IF(N8="None",S85,IF(N7="None",T85,MAX(S85,T85))))</f>
        <v>20784.033523923383</v>
      </c>
      <c r="AE85">
        <f t="shared" si="20"/>
        <v>637.65825101089831</v>
      </c>
      <c r="AF85">
        <f t="shared" si="21"/>
        <v>52432.141837659328</v>
      </c>
      <c r="AG85">
        <f>((G31)*(MAX($D$16,(AC85)-(K31)))^2)/2+(I31)*(MAX($D$16,(AC85)-(K31)))^3/3+(ABS(F85)^2)/($I$5*MAX(((G31)+(I31)*(MAX($D$16,(AC85)-(K31))))*(MAX($D$16,(AC85)-(K31))),0.000001))</f>
        <v>8797611517.410799</v>
      </c>
      <c r="AH85">
        <f>((G31)*(MAX($D$16,(AE85)-(K31)))^2)/2+(I31)*(MAX($D$16,(AE85)-(K31)))^3/3+(ABS(F85)^2)/($I$5*MAX(((G31)+(I31)*(MAX($D$16,(AE85)-(K31))))*(MAX($D$16,(AE85)-(K31))),0.000001))</f>
        <v>49.055863329575246</v>
      </c>
      <c r="AI85">
        <f>((G32)*(MAX($D$16,(AD85)-(K32)))^2)/2+(I32)*(MAX($D$16,(AD85)-(K32)))^3/3+(ABS(G85)^2)/($I$5*MAX(((G32)+(I32)*(MAX($D$16,(AD85)-(K32))))*(MAX($D$16,(AD85)-(K32))),0.000001))</f>
        <v>2072376743.6648321</v>
      </c>
      <c r="AJ85">
        <f>((G32)*(MAX($D$16,(AF85)-(K32)))^2)/2+(I32)*(MAX($D$16,(AF85)-(K32)))^3/3+(ABS(G85)^2)/($I$5*MAX(((G32)+(I32)*(MAX($D$16,(AF85)-(K32))))*(MAX($D$16,(AF85)-(K32))),0.000001))</f>
        <v>13692714789.642673</v>
      </c>
      <c r="AK85" t="str">
        <f t="shared" si="22"/>
        <v>Subcritical</v>
      </c>
      <c r="AL85" t="str">
        <f t="shared" si="23"/>
        <v>Supercritical</v>
      </c>
      <c r="AM85">
        <f t="shared" si="24"/>
        <v>52432.141837659314</v>
      </c>
      <c r="AN85">
        <f t="shared" si="25"/>
        <v>52432.141837659103</v>
      </c>
      <c r="AO85">
        <f t="shared" si="26"/>
        <v>3.4197000786662102E-10</v>
      </c>
      <c r="AP85">
        <f t="shared" si="27"/>
        <v>3.4197000786662102E-10</v>
      </c>
    </row>
    <row r="86" spans="1:42" x14ac:dyDescent="0.35">
      <c r="A86">
        <v>43</v>
      </c>
      <c r="B86">
        <f t="shared" si="28"/>
        <v>0</v>
      </c>
      <c r="C86">
        <f t="shared" si="29"/>
        <v>0</v>
      </c>
      <c r="D86">
        <f t="shared" si="30"/>
        <v>52432.141837659314</v>
      </c>
      <c r="E86">
        <f t="shared" si="31"/>
        <v>52432.141837659103</v>
      </c>
      <c r="F86">
        <f t="shared" si="17"/>
        <v>51</v>
      </c>
      <c r="G86">
        <f>IF(N6="None",F86,MAX(0,F86*B86))</f>
        <v>51</v>
      </c>
      <c r="H86">
        <f>IF(N6="None",0,MAX(0,F86-G86))</f>
        <v>0</v>
      </c>
      <c r="I86">
        <f>IF(AND(N7="None",N8="None"),0,IF(N8="None",G86,IF(N7="None",0,MAX(0,G86*C86))))</f>
        <v>0</v>
      </c>
      <c r="J86">
        <f>IF(AND(N7="None",N8="None"),0,IF(N8="None",0,IF(N7="None",G86,MAX(0,G86-I86))))</f>
        <v>51</v>
      </c>
      <c r="K86">
        <f>P5</f>
        <v>637</v>
      </c>
      <c r="L86">
        <f>P6</f>
        <v>634.3119999999999</v>
      </c>
      <c r="M86">
        <f>P7</f>
        <v>635.5</v>
      </c>
      <c r="N86">
        <f>P8</f>
        <v>631.54999999999995</v>
      </c>
      <c r="O86">
        <f>K86+((ABS(F86)/MAX(((F31)+(H31)*(MAX($D$16,(K86)-(J31))))*(MAX($D$16,(K86)-(J31))),0.000001))^2)/(2*$I$5)-((E31)*((((ABS(F86)*$D$6)/(MAX(((F31)+(H31)*(MAX($D$16,(K86)-(J31))))*(MAX($D$16,(K86)-(J31))),0.000001)*MAX(((((F31)+(H31)*(MAX($D$16,(K86)-(J31))))*(MAX($D$16,(K86)-(J31))))/MAX((F31)+2*(MAX($D$16,(K86)-(J31)))*SQRT(1+(H31)^2),0.000001))^(2/3),0.000001)))^2)+(((ABS(F86)*$D$6)/(MAX(((G31)+(I31)*(MAX($D$16,(D86)-(K31))))*(MAX($D$16,(D86)-(K31))),0.000001)*MAX(((((G31)+(I31)*(MAX($D$16,(D86)-(K31))))*(MAX($D$16,(D86)-(K31))))/MAX((G31)+2*(MAX($D$16,(D86)-(K31)))*SQRT(1+(I31)^2),0.000001))^(2/3),0.000001)))^2))/2)+(IF((ABS(F86)/MAX(((G31)+(I31)*(MAX($D$16,(D86)-(K31))))*(MAX($D$16,(D86)-(K31))),0.000001))&gt;(ABS(F86)/MAX(((F31)+(H31)*(MAX($D$16,(K86)-(J31))))*(MAX($D$16,(K86)-(J31))),0.000001)),$D$9*((((ABS(F86)/MAX(((G31)+(I31)*(MAX($D$16,(D86)-(K31))))*(MAX($D$16,(D86)-(K31))),0.000001))^2)/(2*$I$5))-(((ABS(F86)/MAX(((F31)+(H31)*(MAX($D$16,(K86)-(J31))))*(MAX($D$16,(K86)-(J31))),0.000001))^2)/(2*$I$5))),$D$8*((((ABS(F86)/MAX(((F31)+(H31)*(MAX($D$16,(K86)-(J31))))*(MAX($D$16,(K86)-(J31))),0.000001))^2)/(2*$I$5))-(((ABS(F86)/MAX(((G31)+(I31)*(MAX($D$16,(D86)-(K31))))*(MAX($D$16,(D86)-(K31))),0.000001))^2)/(2*$I$5)))))+($D$10*(ABS((X31)-(W31))/90)*MAX(((ABS(F86)/MAX(((F31)+(H31)*(MAX($D$16,(K86)-(J31))))*(MAX($D$16,(K86)-(J31))),0.000001))^2)/(2*$I$5),((ABS(F86)/MAX(((G31)+(I31)*(MAX($D$16,(D86)-(K31))))*(MAX($D$16,(D86)-(K31))),0.000001))^2)/(2*$I$5)))+(0)-((ABS(F86)/MAX(((G31)+(I31)*(MAX($D$16,(D86)-(K31))))*(MAX($D$16,(D86)-(K31))),0.000001))^2)/(2*$I$5)</f>
        <v>637.65825101089831</v>
      </c>
      <c r="P86">
        <f>E86+((ABS(G86)/MAX(((G32)+(I32)*(MAX($D$16,(E86)-(K32))))*(MAX($D$16,(E86)-(K32))),0.000001))^2)/(2*$I$5)+((E32)*((((ABS(G86)*$D$6)/(MAX(((F32)+(H32)*(MAX($D$16,(D86)-(J32))))*(MAX($D$16,(D86)-(J32))),0.000001)*MAX(((((F32)+(H32)*(MAX($D$16,(D86)-(J32))))*(MAX($D$16,(D86)-(J32))))/MAX((F32)+2*(MAX($D$16,(D86)-(J32)))*SQRT(1+(H32)^2),0.000001))^(2/3),0.000001)))^2)+(((ABS(G86)*$D$6)/(MAX(((G32)+(I32)*(MAX($D$16,(E86)-(K32))))*(MAX($D$16,(E86)-(K32))),0.000001)*MAX(((((G32)+(I32)*(MAX($D$16,(E86)-(K32))))*(MAX($D$16,(E86)-(K32))))/MAX((G32)+2*(MAX($D$16,(E86)-(K32)))*SQRT(1+(I32)^2),0.000001))^(2/3),0.000001)))^2))/2)+(IF((ABS(G86)/MAX(((G32)+(I32)*(MAX($D$16,(E86)-(K32))))*(MAX($D$16,(E86)-(K32))),0.000001))&gt;(ABS(G86)/MAX(((F32)+(H32)*(MAX($D$16,(D86)-(J32))))*(MAX($D$16,(D86)-(J32))),0.000001)),$D$9*((((ABS(G86)/MAX(((G32)+(I32)*(MAX($D$16,(E86)-(K32))))*(MAX($D$16,(E86)-(K32))),0.000001))^2)/(2*$I$5))-(((ABS(G86)/MAX(((F32)+(H32)*(MAX($D$16,(D86)-(J32))))*(MAX($D$16,(D86)-(J32))),0.000001))^2)/(2*$I$5))),$D$8*((((ABS(G86)/MAX(((F32)+(H32)*(MAX($D$16,(D86)-(J32))))*(MAX($D$16,(D86)-(J32))),0.000001))^2)/(2*$I$5))-(((ABS(G86)/MAX(((G32)+(I32)*(MAX($D$16,(E86)-(K32))))*(MAX($D$16,(E86)-(K32))),0.000001))^2)/(2*$I$5)))))+($D$10*(ABS((X32)-(W32))/90)*MAX(((ABS(G86)/MAX(((F32)+(H32)*(MAX($D$16,(D86)-(J32))))*(MAX($D$16,(D86)-(J32))),0.000001))^2)/(2*$I$5),((ABS(G86)/MAX(((G32)+(I32)*(MAX($D$16,(E86)-(K32))))*(MAX($D$16,(E86)-(K32))),0.000001))^2)/(2*$I$5)))+(($D$11*0.13607488*(ABS(H86)/MAX(ABS(F86),0.000001))^2*MAX(((ABS(G86)/MAX(((F32)+(H32)*(MAX($D$16,(D86)-(J32))))*(MAX($D$16,(D86)-(J32))),0.000001))^2)/(2*$I$5),((ABS(G86)/MAX(((G32)+(I32)*(MAX($D$16,(E86)-(K32))))*(MAX($D$16,(E86)-(K32))),0.000001))^2)/(2*$I$5))))-((ABS(G86)/MAX(((F32)+(H32)*(MAX($D$16,(D86)-(J32))))*(MAX($D$16,(D86)-(J32))),0.000001))^2)/(2*$I$5)</f>
        <v>52432.141837659656</v>
      </c>
      <c r="Q86">
        <f>L86+((ABS(H86)/MAX(((G33)+(I33)*(MAX($D$16,(L86)-(K33))))*(MAX($D$16,(L86)-(K33))),0.000001))^2)/(2*$I$5)+((E33)*((((ABS(H86)*$D$6)/(MAX(((F33)+(H33)*(MAX($D$16,(D86)-(J33))))*(MAX($D$16,(D86)-(J33))),0.000001)*MAX(((((F33)+(H33)*(MAX($D$16,(D86)-(J33))))*(MAX($D$16,(D86)-(J33))))/MAX((F33)+2*(MAX($D$16,(D86)-(J33)))*SQRT(1+(H33)^2),0.000001))^(2/3),0.000001)))^2)+(((ABS(H86)*$D$6)/(MAX(((G33)+(I33)*(MAX($D$16,(L86)-(K33))))*(MAX($D$16,(L86)-(K33))),0.000001)*MAX(((((G33)+(I33)*(MAX($D$16,(L86)-(K33))))*(MAX($D$16,(L86)-(K33))))/MAX((G33)+2*(MAX($D$16,(L86)-(K33)))*SQRT(1+(I33)^2),0.000001))^(2/3),0.000001)))^2))/2)+(IF((ABS(H86)/MAX(((G33)+(I33)*(MAX($D$16,(L86)-(K33))))*(MAX($D$16,(L86)-(K33))),0.000001))&gt;(ABS(H86)/MAX(((F33)+(H33)*(MAX($D$16,(D86)-(J33))))*(MAX($D$16,(D86)-(J33))),0.000001)),$D$9*((((ABS(H86)/MAX(((G33)+(I33)*(MAX($D$16,(L86)-(K33))))*(MAX($D$16,(L86)-(K33))),0.000001))^2)/(2*$I$5))-(((ABS(H86)/MAX(((F33)+(H33)*(MAX($D$16,(D86)-(J33))))*(MAX($D$16,(D86)-(J33))),0.000001))^2)/(2*$I$5))),$D$8*((((ABS(H86)/MAX(((F33)+(H33)*(MAX($D$16,(D86)-(J33))))*(MAX($D$16,(D86)-(J33))),0.000001))^2)/(2*$I$5))-(((ABS(H86)/MAX(((G33)+(I33)*(MAX($D$16,(L86)-(K33))))*(MAX($D$16,(L86)-(K33))),0.000001))^2)/(2*$I$5)))))+($D$10*(ABS((X33)-(W33))/90)*MAX(((ABS(H86)/MAX(((F33)+(H33)*(MAX($D$16,(D86)-(J33))))*(MAX($D$16,(D86)-(J33))),0.000001))^2)/(2*$I$5),((ABS(H86)/MAX(((G33)+(I33)*(MAX($D$16,(L86)-(K33))))*(MAX($D$16,(L86)-(K33))),0.000001))^2)/(2*$I$5)))+(($D$11*0.00000015*(ABS(G86)/MAX(ABS(F86),0.000001))^2*MAX(((ABS(H86)/MAX(((F33)+(H33)*(MAX($D$16,(D86)-(J33))))*(MAX($D$16,(D86)-(J33))),0.000001))^2)/(2*$I$5),((ABS(H86)/MAX(((G33)+(I33)*(MAX($D$16,(L86)-(K33))))*(MAX($D$16,(L86)-(K33))),0.000001))^2)/(2*$I$5))))-((ABS(H86)/MAX(((F33)+(H33)*(MAX($D$16,(D86)-(J33))))*(MAX($D$16,(D86)-(J33))),0.000001))^2)/(2*$I$5)</f>
        <v>634.3119999999999</v>
      </c>
      <c r="R86">
        <f>D86+((ABS(G86)/MAX(((F32)+(H32)*(MAX($D$16,(D86)-(J32))))*(MAX($D$16,(D86)-(J32))),0.000001))^2)/(2*$I$5)-((E32)*((((ABS(G86)*$D$6)/(MAX(((F32)+(H32)*(MAX($D$16,(D86)-(J32))))*(MAX($D$16,(D86)-(J32))),0.000001)*MAX(((((F32)+(H32)*(MAX($D$16,(D86)-(J32))))*(MAX($D$16,(D86)-(J32))))/MAX((F32)+2*(MAX($D$16,(D86)-(J32)))*SQRT(1+(H32)^2),0.000001))^(2/3),0.000001)))^2)+(((ABS(G86)*$D$6)/(MAX(((G32)+(I32)*(MAX($D$16,(E86)-(K32))))*(MAX($D$16,(E86)-(K32))),0.000001)*MAX(((((G32)+(I32)*(MAX($D$16,(E86)-(K32))))*(MAX($D$16,(E86)-(K32))))/MAX((G32)+2*(MAX($D$16,(E86)-(K32)))*SQRT(1+(I32)^2),0.000001))^(2/3),0.000001)))^2))/2)+(IF((ABS(G86)/MAX(((G32)+(I32)*(MAX($D$16,(E86)-(K32))))*(MAX($D$16,(E86)-(K32))),0.000001))&gt;(ABS(G86)/MAX(((F32)+(H32)*(MAX($D$16,(D86)-(J32))))*(MAX($D$16,(D86)-(J32))),0.000001)),$D$9*((((ABS(G86)/MAX(((G32)+(I32)*(MAX($D$16,(E86)-(K32))))*(MAX($D$16,(E86)-(K32))),0.000001))^2)/(2*$I$5))-(((ABS(G86)/MAX(((F32)+(H32)*(MAX($D$16,(D86)-(J32))))*(MAX($D$16,(D86)-(J32))),0.000001))^2)/(2*$I$5))),$D$8*((((ABS(G86)/MAX(((F32)+(H32)*(MAX($D$16,(D86)-(J32))))*(MAX($D$16,(D86)-(J32))),0.000001))^2)/(2*$I$5))-(((ABS(G86)/MAX(((G32)+(I32)*(MAX($D$16,(E86)-(K32))))*(MAX($D$16,(E86)-(K32))),0.000001))^2)/(2*$I$5)))))+($D$10*(ABS((X32)-(W32))/90)*MAX(((ABS(G86)/MAX(((F32)+(H32)*(MAX($D$16,(D86)-(J32))))*(MAX($D$16,(D86)-(J32))),0.000001))^2)/(2*$I$5),((ABS(G86)/MAX(((G32)+(I32)*(MAX($D$16,(E86)-(K32))))*(MAX($D$16,(E86)-(K32))),0.000001))^2)/(2*$I$5)))+(($D$11*0.13607488*(ABS(H86)/MAX(ABS(F86),0.000001))^2*MAX(((ABS(G86)/MAX(((F32)+(H32)*(MAX($D$16,(D86)-(J32))))*(MAX($D$16,(D86)-(J32))),0.000001))^2)/(2*$I$5),((ABS(G86)/MAX(((G32)+(I32)*(MAX($D$16,(E86)-(K32))))*(MAX($D$16,(E86)-(K32))),0.000001))^2)/(2*$I$5))))-((ABS(G86)/MAX(((G32)+(I32)*(MAX($D$16,(E86)-(K32))))*(MAX($D$16,(E86)-(K32))),0.000001))^2)/(2*$I$5)</f>
        <v>52432.141837659445</v>
      </c>
      <c r="S86">
        <f>M86+((ABS(I86)/MAX(((G34)+(I34)*(MAX($D$16,(M86)-(K34))))*(MAX($D$16,(M86)-(K34))),0.000001))^2)/(2*$I$5)+((E34)*((((ABS(I86)*$D$6)/(MAX(((F34)+(H34)*(MAX($D$16,(E86)-(J34))))*(MAX($D$16,(E86)-(J34))),0.000001)*MAX(((((F34)+(H34)*(MAX($D$16,(E86)-(J34))))*(MAX($D$16,(E86)-(J34))))/MAX((F34)+2*(MAX($D$16,(E86)-(J34)))*SQRT(1+(H34)^2),0.000001))^(2/3),0.000001)))^2)+(((ABS(I86)*$D$6)/(MAX(((G34)+(I34)*(MAX($D$16,(M86)-(K34))))*(MAX($D$16,(M86)-(K34))),0.000001)*MAX(((((G34)+(I34)*(MAX($D$16,(M86)-(K34))))*(MAX($D$16,(M86)-(K34))))/MAX((G34)+2*(MAX($D$16,(M86)-(K34)))*SQRT(1+(I34)^2),0.000001))^(2/3),0.000001)))^2))/2)+(IF((ABS(I86)/MAX(((G34)+(I34)*(MAX($D$16,(M86)-(K34))))*(MAX($D$16,(M86)-(K34))),0.000001))&gt;(ABS(I86)/MAX(((F34)+(H34)*(MAX($D$16,(E86)-(J34))))*(MAX($D$16,(E86)-(J34))),0.000001)),$D$9*((((ABS(I86)/MAX(((G34)+(I34)*(MAX($D$16,(M86)-(K34))))*(MAX($D$16,(M86)-(K34))),0.000001))^2)/(2*$I$5))-(((ABS(I86)/MAX(((F34)+(H34)*(MAX($D$16,(E86)-(J34))))*(MAX($D$16,(E86)-(J34))),0.000001))^2)/(2*$I$5))),$D$8*((((ABS(I86)/MAX(((F34)+(H34)*(MAX($D$16,(E86)-(J34))))*(MAX($D$16,(E86)-(J34))),0.000001))^2)/(2*$I$5))-(((ABS(I86)/MAX(((G34)+(I34)*(MAX($D$16,(M86)-(K34))))*(MAX($D$16,(M86)-(K34))),0.000001))^2)/(2*$I$5)))))+($D$10*(ABS((X34)-(W34))/90)*MAX(((ABS(I86)/MAX(((F34)+(H34)*(MAX($D$16,(E86)-(J34))))*(MAX($D$16,(E86)-(J34))),0.000001))^2)/(2*$I$5),((ABS(I86)/MAX(((G34)+(I34)*(MAX($D$16,(M86)-(K34))))*(MAX($D$16,(M86)-(K34))),0.000001))^2)/(2*$I$5)))+(0)-((ABS(I86)/MAX(((F34)+(H34)*(MAX($D$16,(E86)-(J34))))*(MAX($D$16,(E86)-(J34))),0.000001))^2)/(2*$I$5)</f>
        <v>635.5</v>
      </c>
      <c r="T86">
        <f>N86+((ABS(J86)/MAX(((G35)+(I35)*(MAX($D$16,(N86)-(K35))))*(MAX($D$16,(N86)-(K35))),0.000001))^2)/(2*$I$5)+((E35)*((((ABS(J86)*$D$6)/(MAX(((F35)+(H35)*(MAX($D$16,(E86)-(J35))))*(MAX($D$16,(E86)-(J35))),0.000001)*MAX(((((F35)+(H35)*(MAX($D$16,(E86)-(J35))))*(MAX($D$16,(E86)-(J35))))/MAX((F35)+2*(MAX($D$16,(E86)-(J35)))*SQRT(1+(H35)^2),0.000001))^(2/3),0.000001)))^2)+(((ABS(J86)*$D$6)/(MAX(((G35)+(I35)*(MAX($D$16,(N86)-(K35))))*(MAX($D$16,(N86)-(K35))),0.000001)*MAX(((((G35)+(I35)*(MAX($D$16,(N86)-(K35))))*(MAX($D$16,(N86)-(K35))))/MAX((G35)+2*(MAX($D$16,(N86)-(K35)))*SQRT(1+(I35)^2),0.000001))^(2/3),0.000001)))^2))/2)+(IF((ABS(J86)/MAX(((G35)+(I35)*(MAX($D$16,(N86)-(K35))))*(MAX($D$16,(N86)-(K35))),0.000001))&gt;(ABS(J86)/MAX(((F35)+(H35)*(MAX($D$16,(E86)-(J35))))*(MAX($D$16,(E86)-(J35))),0.000001)),$D$9*((((ABS(J86)/MAX(((G35)+(I35)*(MAX($D$16,(N86)-(K35))))*(MAX($D$16,(N86)-(K35))),0.000001))^2)/(2*$I$5))-(((ABS(J86)/MAX(((F35)+(H35)*(MAX($D$16,(E86)-(J35))))*(MAX($D$16,(E86)-(J35))),0.000001))^2)/(2*$I$5))),$D$8*((((ABS(J86)/MAX(((F35)+(H35)*(MAX($D$16,(E86)-(J35))))*(MAX($D$16,(E86)-(J35))),0.000001))^2)/(2*$I$5))-(((ABS(J86)/MAX(((G35)+(I35)*(MAX($D$16,(N86)-(K35))))*(MAX($D$16,(N86)-(K35))),0.000001))^2)/(2*$I$5)))))+($D$10*(ABS((X35)-(W35))/90)*MAX(((ABS(J86)/MAX(((F35)+(H35)*(MAX($D$16,(E86)-(J35))))*(MAX($D$16,(E86)-(J35))),0.000001))^2)/(2*$I$5),((ABS(J86)/MAX(((G35)+(I35)*(MAX($D$16,(N86)-(K35))))*(MAX($D$16,(N86)-(K35))),0.000001))^2)/(2*$I$5)))+(($D$11*0.34699541*(ABS(I86)/MAX(ABS(G86),0.000001))^2*MAX(((ABS(J86)/MAX(((F35)+(H35)*(MAX($D$16,(E86)-(J35))))*(MAX($D$16,(E86)-(J35))),0.000001))^2)/(2*$I$5),((ABS(J86)/MAX(((G35)+(I35)*(MAX($D$16,(N86)-(K35))))*(MAX($D$16,(N86)-(K35))),0.000001))^2)/(2*$I$5))))-((ABS(J86)/MAX(((F35)+(H35)*(MAX($D$16,(E86)-(J35))))*(MAX($D$16,(E86)-(J35))),0.000001))^2)/(2*$I$5)</f>
        <v>20784.033523923383</v>
      </c>
      <c r="U86">
        <f>(((((F32)*(MAX($D$16,(D86)-(J32)))^2)/2+(H32)*(MAX($D$16,(D86)-(J32)))^3/3+(ABS(G86)^2)/($I$5*MAX(((F32)+(H32)*(MAX($D$16,(D86)-(J32))))*(MAX($D$16,(D86)-(J32))),0.000001)))*0.72785025)-((((F33)*(MAX($D$16,(D86)-(J33)))^2)/2+(H33)*(MAX($D$16,(D86)-(J33)))^3/3+(ABS(H86)^2)/($I$5*MAX(((F33)+(H33)*(MAX($D$16,(D86)-(J33))))*(MAX($D$16,(D86)-(J33))),0.000001)))*0.99999971))/MAX(((G31)*(MAX($D$16,(D86)-(K31)))^2)/2+(I31)*(MAX($D$16,(D86)-(K31)))^3/3+(ABS(F86)^2)/($I$5*MAX(((G31)+(I31)*(MAX($D$16,(D86)-(K31))))*(MAX($D$16,(D86)-(K31))),0.000001)),0.000001)</f>
        <v>-0.27214945999991125</v>
      </c>
      <c r="V86">
        <f>(((((F34)*(MAX($D$16,(E86)-(J34)))^2)/2+(H34)*(MAX($D$16,(E86)-(J34)))^3/3+(ABS(I86)^2)/($I$5*MAX(((F34)+(H34)*(MAX($D$16,(E86)-(J34))))*(MAX($D$16,(E86)-(J34))),0.000001)))*1)-((((F35)*(MAX($D$16,(E86)-(J35)))^2)/2+(H35)*(MAX($D$16,(E86)-(J35)))^3/3+(ABS(J86)^2)/($I$5*MAX(((F35)+(H35)*(MAX($D$16,(E86)-(J35))))*(MAX($D$16,(E86)-(J35))),0.000001)))*0.30600918))/MAX(((G32)*(MAX($D$16,(E86)-(K32)))^2)/2+(I32)*(MAX($D$16,(E86)-(K32)))^3/3+(ABS(G86)^2)/($I$5*MAX(((G32)+(I32)*(MAX($D$16,(E86)-(K32))))*(MAX($D$16,(E86)-(K32))),0.000001)),0.000001)</f>
        <v>0.69398638937190382</v>
      </c>
      <c r="W86">
        <f>IF(N6="None",ABS(P86-D86),MAX(ABS(P86-D86),ABS(Q86-D86)))</f>
        <v>3.4197000786662102E-10</v>
      </c>
      <c r="X86">
        <f>IF(AND(N7="None",N8="None"),0,IF(N8="None",ABS(S86-E86),IF(N7="None",ABS(T86-E86),MAX(ABS(S86-E86),ABS(T86-E86)))))</f>
        <v>51796.641837659103</v>
      </c>
      <c r="AA86">
        <f t="shared" si="18"/>
        <v>52432.14183765943</v>
      </c>
      <c r="AB86">
        <f t="shared" si="19"/>
        <v>41355.303927851601</v>
      </c>
      <c r="AC86">
        <f>IF(N6="None",P86,MAX(P86,Q86))</f>
        <v>52432.141837659656</v>
      </c>
      <c r="AD86">
        <f>IF(AND(N7="None",N8="None"),E86,IF(N8="None",S86,IF(N7="None",T86,MAX(S86,T86))))</f>
        <v>20784.033523923383</v>
      </c>
      <c r="AE86">
        <f t="shared" si="20"/>
        <v>637.65825101089831</v>
      </c>
      <c r="AF86">
        <f t="shared" si="21"/>
        <v>52432.141837659445</v>
      </c>
      <c r="AG86">
        <f>((G31)*(MAX($D$16,(AC86)-(K31)))^2)/2+(I31)*(MAX($D$16,(AC86)-(K31)))^3/3+(ABS(F86)^2)/($I$5*MAX(((G31)+(I31)*(MAX($D$16,(AC86)-(K31))))*(MAX($D$16,(AC86)-(K31))),0.000001))</f>
        <v>8797611517.4108391</v>
      </c>
      <c r="AH86">
        <f>((G31)*(MAX($D$16,(AE86)-(K31)))^2)/2+(I31)*(MAX($D$16,(AE86)-(K31)))^3/3+(ABS(F86)^2)/($I$5*MAX(((G31)+(I31)*(MAX($D$16,(AE86)-(K31))))*(MAX($D$16,(AE86)-(K31))),0.000001))</f>
        <v>49.055863329575246</v>
      </c>
      <c r="AI86">
        <f>((G32)*(MAX($D$16,(AD86)-(K32)))^2)/2+(I32)*(MAX($D$16,(AD86)-(K32)))^3/3+(ABS(G86)^2)/($I$5*MAX(((G32)+(I32)*(MAX($D$16,(AD86)-(K32))))*(MAX($D$16,(AD86)-(K32))),0.000001))</f>
        <v>2072376743.6648321</v>
      </c>
      <c r="AJ86">
        <f>((G32)*(MAX($D$16,(AF86)-(K32)))^2)/2+(I32)*(MAX($D$16,(AF86)-(K32)))^3/3+(ABS(G86)^2)/($I$5*MAX(((G32)+(I32)*(MAX($D$16,(AF86)-(K32))))*(MAX($D$16,(AF86)-(K32))),0.000001))</f>
        <v>13692714789.642735</v>
      </c>
      <c r="AK86" t="str">
        <f t="shared" si="22"/>
        <v>Subcritical</v>
      </c>
      <c r="AL86" t="str">
        <f t="shared" si="23"/>
        <v>Supercritical</v>
      </c>
      <c r="AM86">
        <f t="shared" si="24"/>
        <v>52432.14183765943</v>
      </c>
      <c r="AN86">
        <f t="shared" si="25"/>
        <v>52432.141837659219</v>
      </c>
      <c r="AO86">
        <f t="shared" si="26"/>
        <v>3.4197000786662102E-10</v>
      </c>
      <c r="AP86">
        <f t="shared" si="27"/>
        <v>3.4197000786662102E-10</v>
      </c>
    </row>
    <row r="87" spans="1:42" x14ac:dyDescent="0.35">
      <c r="A87">
        <v>44</v>
      </c>
      <c r="B87">
        <f t="shared" si="28"/>
        <v>0</v>
      </c>
      <c r="C87">
        <f t="shared" si="29"/>
        <v>0</v>
      </c>
      <c r="D87">
        <f t="shared" si="30"/>
        <v>52432.14183765943</v>
      </c>
      <c r="E87">
        <f t="shared" si="31"/>
        <v>52432.141837659219</v>
      </c>
      <c r="F87">
        <f t="shared" si="17"/>
        <v>51</v>
      </c>
      <c r="G87">
        <f>IF(N6="None",F87,MAX(0,F87*B87))</f>
        <v>51</v>
      </c>
      <c r="H87">
        <f>IF(N6="None",0,MAX(0,F87-G87))</f>
        <v>0</v>
      </c>
      <c r="I87">
        <f>IF(AND(N7="None",N8="None"),0,IF(N8="None",G87,IF(N7="None",0,MAX(0,G87*C87))))</f>
        <v>0</v>
      </c>
      <c r="J87">
        <f>IF(AND(N7="None",N8="None"),0,IF(N8="None",0,IF(N7="None",G87,MAX(0,G87-I87))))</f>
        <v>51</v>
      </c>
      <c r="K87">
        <f>P5</f>
        <v>637</v>
      </c>
      <c r="L87">
        <f>P6</f>
        <v>634.3119999999999</v>
      </c>
      <c r="M87">
        <f>P7</f>
        <v>635.5</v>
      </c>
      <c r="N87">
        <f>P8</f>
        <v>631.54999999999995</v>
      </c>
      <c r="O87">
        <f>K87+((ABS(F87)/MAX(((F31)+(H31)*(MAX($D$16,(K87)-(J31))))*(MAX($D$16,(K87)-(J31))),0.000001))^2)/(2*$I$5)-((E31)*((((ABS(F87)*$D$6)/(MAX(((F31)+(H31)*(MAX($D$16,(K87)-(J31))))*(MAX($D$16,(K87)-(J31))),0.000001)*MAX(((((F31)+(H31)*(MAX($D$16,(K87)-(J31))))*(MAX($D$16,(K87)-(J31))))/MAX((F31)+2*(MAX($D$16,(K87)-(J31)))*SQRT(1+(H31)^2),0.000001))^(2/3),0.000001)))^2)+(((ABS(F87)*$D$6)/(MAX(((G31)+(I31)*(MAX($D$16,(D87)-(K31))))*(MAX($D$16,(D87)-(K31))),0.000001)*MAX(((((G31)+(I31)*(MAX($D$16,(D87)-(K31))))*(MAX($D$16,(D87)-(K31))))/MAX((G31)+2*(MAX($D$16,(D87)-(K31)))*SQRT(1+(I31)^2),0.000001))^(2/3),0.000001)))^2))/2)+(IF((ABS(F87)/MAX(((G31)+(I31)*(MAX($D$16,(D87)-(K31))))*(MAX($D$16,(D87)-(K31))),0.000001))&gt;(ABS(F87)/MAX(((F31)+(H31)*(MAX($D$16,(K87)-(J31))))*(MAX($D$16,(K87)-(J31))),0.000001)),$D$9*((((ABS(F87)/MAX(((G31)+(I31)*(MAX($D$16,(D87)-(K31))))*(MAX($D$16,(D87)-(K31))),0.000001))^2)/(2*$I$5))-(((ABS(F87)/MAX(((F31)+(H31)*(MAX($D$16,(K87)-(J31))))*(MAX($D$16,(K87)-(J31))),0.000001))^2)/(2*$I$5))),$D$8*((((ABS(F87)/MAX(((F31)+(H31)*(MAX($D$16,(K87)-(J31))))*(MAX($D$16,(K87)-(J31))),0.000001))^2)/(2*$I$5))-(((ABS(F87)/MAX(((G31)+(I31)*(MAX($D$16,(D87)-(K31))))*(MAX($D$16,(D87)-(K31))),0.000001))^2)/(2*$I$5)))))+($D$10*(ABS((X31)-(W31))/90)*MAX(((ABS(F87)/MAX(((F31)+(H31)*(MAX($D$16,(K87)-(J31))))*(MAX($D$16,(K87)-(J31))),0.000001))^2)/(2*$I$5),((ABS(F87)/MAX(((G31)+(I31)*(MAX($D$16,(D87)-(K31))))*(MAX($D$16,(D87)-(K31))),0.000001))^2)/(2*$I$5)))+(0)-((ABS(F87)/MAX(((G31)+(I31)*(MAX($D$16,(D87)-(K31))))*(MAX($D$16,(D87)-(K31))),0.000001))^2)/(2*$I$5)</f>
        <v>637.65825101089831</v>
      </c>
      <c r="P87">
        <f>E87+((ABS(G87)/MAX(((G32)+(I32)*(MAX($D$16,(E87)-(K32))))*(MAX($D$16,(E87)-(K32))),0.000001))^2)/(2*$I$5)+((E32)*((((ABS(G87)*$D$6)/(MAX(((F32)+(H32)*(MAX($D$16,(D87)-(J32))))*(MAX($D$16,(D87)-(J32))),0.000001)*MAX(((((F32)+(H32)*(MAX($D$16,(D87)-(J32))))*(MAX($D$16,(D87)-(J32))))/MAX((F32)+2*(MAX($D$16,(D87)-(J32)))*SQRT(1+(H32)^2),0.000001))^(2/3),0.000001)))^2)+(((ABS(G87)*$D$6)/(MAX(((G32)+(I32)*(MAX($D$16,(E87)-(K32))))*(MAX($D$16,(E87)-(K32))),0.000001)*MAX(((((G32)+(I32)*(MAX($D$16,(E87)-(K32))))*(MAX($D$16,(E87)-(K32))))/MAX((G32)+2*(MAX($D$16,(E87)-(K32)))*SQRT(1+(I32)^2),0.000001))^(2/3),0.000001)))^2))/2)+(IF((ABS(G87)/MAX(((G32)+(I32)*(MAX($D$16,(E87)-(K32))))*(MAX($D$16,(E87)-(K32))),0.000001))&gt;(ABS(G87)/MAX(((F32)+(H32)*(MAX($D$16,(D87)-(J32))))*(MAX($D$16,(D87)-(J32))),0.000001)),$D$9*((((ABS(G87)/MAX(((G32)+(I32)*(MAX($D$16,(E87)-(K32))))*(MAX($D$16,(E87)-(K32))),0.000001))^2)/(2*$I$5))-(((ABS(G87)/MAX(((F32)+(H32)*(MAX($D$16,(D87)-(J32))))*(MAX($D$16,(D87)-(J32))),0.000001))^2)/(2*$I$5))),$D$8*((((ABS(G87)/MAX(((F32)+(H32)*(MAX($D$16,(D87)-(J32))))*(MAX($D$16,(D87)-(J32))),0.000001))^2)/(2*$I$5))-(((ABS(G87)/MAX(((G32)+(I32)*(MAX($D$16,(E87)-(K32))))*(MAX($D$16,(E87)-(K32))),0.000001))^2)/(2*$I$5)))))+($D$10*(ABS((X32)-(W32))/90)*MAX(((ABS(G87)/MAX(((F32)+(H32)*(MAX($D$16,(D87)-(J32))))*(MAX($D$16,(D87)-(J32))),0.000001))^2)/(2*$I$5),((ABS(G87)/MAX(((G32)+(I32)*(MAX($D$16,(E87)-(K32))))*(MAX($D$16,(E87)-(K32))),0.000001))^2)/(2*$I$5)))+(($D$11*0.13607488*(ABS(H87)/MAX(ABS(F87),0.000001))^2*MAX(((ABS(G87)/MAX(((F32)+(H32)*(MAX($D$16,(D87)-(J32))))*(MAX($D$16,(D87)-(J32))),0.000001))^2)/(2*$I$5),((ABS(G87)/MAX(((G32)+(I32)*(MAX($D$16,(E87)-(K32))))*(MAX($D$16,(E87)-(K32))),0.000001))^2)/(2*$I$5))))-((ABS(G87)/MAX(((F32)+(H32)*(MAX($D$16,(D87)-(J32))))*(MAX($D$16,(D87)-(J32))),0.000001))^2)/(2*$I$5)</f>
        <v>52432.141837659772</v>
      </c>
      <c r="Q87">
        <f>L87+((ABS(H87)/MAX(((G33)+(I33)*(MAX($D$16,(L87)-(K33))))*(MAX($D$16,(L87)-(K33))),0.000001))^2)/(2*$I$5)+((E33)*((((ABS(H87)*$D$6)/(MAX(((F33)+(H33)*(MAX($D$16,(D87)-(J33))))*(MAX($D$16,(D87)-(J33))),0.000001)*MAX(((((F33)+(H33)*(MAX($D$16,(D87)-(J33))))*(MAX($D$16,(D87)-(J33))))/MAX((F33)+2*(MAX($D$16,(D87)-(J33)))*SQRT(1+(H33)^2),0.000001))^(2/3),0.000001)))^2)+(((ABS(H87)*$D$6)/(MAX(((G33)+(I33)*(MAX($D$16,(L87)-(K33))))*(MAX($D$16,(L87)-(K33))),0.000001)*MAX(((((G33)+(I33)*(MAX($D$16,(L87)-(K33))))*(MAX($D$16,(L87)-(K33))))/MAX((G33)+2*(MAX($D$16,(L87)-(K33)))*SQRT(1+(I33)^2),0.000001))^(2/3),0.000001)))^2))/2)+(IF((ABS(H87)/MAX(((G33)+(I33)*(MAX($D$16,(L87)-(K33))))*(MAX($D$16,(L87)-(K33))),0.000001))&gt;(ABS(H87)/MAX(((F33)+(H33)*(MAX($D$16,(D87)-(J33))))*(MAX($D$16,(D87)-(J33))),0.000001)),$D$9*((((ABS(H87)/MAX(((G33)+(I33)*(MAX($D$16,(L87)-(K33))))*(MAX($D$16,(L87)-(K33))),0.000001))^2)/(2*$I$5))-(((ABS(H87)/MAX(((F33)+(H33)*(MAX($D$16,(D87)-(J33))))*(MAX($D$16,(D87)-(J33))),0.000001))^2)/(2*$I$5))),$D$8*((((ABS(H87)/MAX(((F33)+(H33)*(MAX($D$16,(D87)-(J33))))*(MAX($D$16,(D87)-(J33))),0.000001))^2)/(2*$I$5))-(((ABS(H87)/MAX(((G33)+(I33)*(MAX($D$16,(L87)-(K33))))*(MAX($D$16,(L87)-(K33))),0.000001))^2)/(2*$I$5)))))+($D$10*(ABS((X33)-(W33))/90)*MAX(((ABS(H87)/MAX(((F33)+(H33)*(MAX($D$16,(D87)-(J33))))*(MAX($D$16,(D87)-(J33))),0.000001))^2)/(2*$I$5),((ABS(H87)/MAX(((G33)+(I33)*(MAX($D$16,(L87)-(K33))))*(MAX($D$16,(L87)-(K33))),0.000001))^2)/(2*$I$5)))+(($D$11*0.00000015*(ABS(G87)/MAX(ABS(F87),0.000001))^2*MAX(((ABS(H87)/MAX(((F33)+(H33)*(MAX($D$16,(D87)-(J33))))*(MAX($D$16,(D87)-(J33))),0.000001))^2)/(2*$I$5),((ABS(H87)/MAX(((G33)+(I33)*(MAX($D$16,(L87)-(K33))))*(MAX($D$16,(L87)-(K33))),0.000001))^2)/(2*$I$5))))-((ABS(H87)/MAX(((F33)+(H33)*(MAX($D$16,(D87)-(J33))))*(MAX($D$16,(D87)-(J33))),0.000001))^2)/(2*$I$5)</f>
        <v>634.3119999999999</v>
      </c>
      <c r="R87">
        <f>D87+((ABS(G87)/MAX(((F32)+(H32)*(MAX($D$16,(D87)-(J32))))*(MAX($D$16,(D87)-(J32))),0.000001))^2)/(2*$I$5)-((E32)*((((ABS(G87)*$D$6)/(MAX(((F32)+(H32)*(MAX($D$16,(D87)-(J32))))*(MAX($D$16,(D87)-(J32))),0.000001)*MAX(((((F32)+(H32)*(MAX($D$16,(D87)-(J32))))*(MAX($D$16,(D87)-(J32))))/MAX((F32)+2*(MAX($D$16,(D87)-(J32)))*SQRT(1+(H32)^2),0.000001))^(2/3),0.000001)))^2)+(((ABS(G87)*$D$6)/(MAX(((G32)+(I32)*(MAX($D$16,(E87)-(K32))))*(MAX($D$16,(E87)-(K32))),0.000001)*MAX(((((G32)+(I32)*(MAX($D$16,(E87)-(K32))))*(MAX($D$16,(E87)-(K32))))/MAX((G32)+2*(MAX($D$16,(E87)-(K32)))*SQRT(1+(I32)^2),0.000001))^(2/3),0.000001)))^2))/2)+(IF((ABS(G87)/MAX(((G32)+(I32)*(MAX($D$16,(E87)-(K32))))*(MAX($D$16,(E87)-(K32))),0.000001))&gt;(ABS(G87)/MAX(((F32)+(H32)*(MAX($D$16,(D87)-(J32))))*(MAX($D$16,(D87)-(J32))),0.000001)),$D$9*((((ABS(G87)/MAX(((G32)+(I32)*(MAX($D$16,(E87)-(K32))))*(MAX($D$16,(E87)-(K32))),0.000001))^2)/(2*$I$5))-(((ABS(G87)/MAX(((F32)+(H32)*(MAX($D$16,(D87)-(J32))))*(MAX($D$16,(D87)-(J32))),0.000001))^2)/(2*$I$5))),$D$8*((((ABS(G87)/MAX(((F32)+(H32)*(MAX($D$16,(D87)-(J32))))*(MAX($D$16,(D87)-(J32))),0.000001))^2)/(2*$I$5))-(((ABS(G87)/MAX(((G32)+(I32)*(MAX($D$16,(E87)-(K32))))*(MAX($D$16,(E87)-(K32))),0.000001))^2)/(2*$I$5)))))+($D$10*(ABS((X32)-(W32))/90)*MAX(((ABS(G87)/MAX(((F32)+(H32)*(MAX($D$16,(D87)-(J32))))*(MAX($D$16,(D87)-(J32))),0.000001))^2)/(2*$I$5),((ABS(G87)/MAX(((G32)+(I32)*(MAX($D$16,(E87)-(K32))))*(MAX($D$16,(E87)-(K32))),0.000001))^2)/(2*$I$5)))+(($D$11*0.13607488*(ABS(H87)/MAX(ABS(F87),0.000001))^2*MAX(((ABS(G87)/MAX(((F32)+(H32)*(MAX($D$16,(D87)-(J32))))*(MAX($D$16,(D87)-(J32))),0.000001))^2)/(2*$I$5),((ABS(G87)/MAX(((G32)+(I32)*(MAX($D$16,(E87)-(K32))))*(MAX($D$16,(E87)-(K32))),0.000001))^2)/(2*$I$5))))-((ABS(G87)/MAX(((G32)+(I32)*(MAX($D$16,(E87)-(K32))))*(MAX($D$16,(E87)-(K32))),0.000001))^2)/(2*$I$5)</f>
        <v>52432.141837659561</v>
      </c>
      <c r="S87">
        <f>M87+((ABS(I87)/MAX(((G34)+(I34)*(MAX($D$16,(M87)-(K34))))*(MAX($D$16,(M87)-(K34))),0.000001))^2)/(2*$I$5)+((E34)*((((ABS(I87)*$D$6)/(MAX(((F34)+(H34)*(MAX($D$16,(E87)-(J34))))*(MAX($D$16,(E87)-(J34))),0.000001)*MAX(((((F34)+(H34)*(MAX($D$16,(E87)-(J34))))*(MAX($D$16,(E87)-(J34))))/MAX((F34)+2*(MAX($D$16,(E87)-(J34)))*SQRT(1+(H34)^2),0.000001))^(2/3),0.000001)))^2)+(((ABS(I87)*$D$6)/(MAX(((G34)+(I34)*(MAX($D$16,(M87)-(K34))))*(MAX($D$16,(M87)-(K34))),0.000001)*MAX(((((G34)+(I34)*(MAX($D$16,(M87)-(K34))))*(MAX($D$16,(M87)-(K34))))/MAX((G34)+2*(MAX($D$16,(M87)-(K34)))*SQRT(1+(I34)^2),0.000001))^(2/3),0.000001)))^2))/2)+(IF((ABS(I87)/MAX(((G34)+(I34)*(MAX($D$16,(M87)-(K34))))*(MAX($D$16,(M87)-(K34))),0.000001))&gt;(ABS(I87)/MAX(((F34)+(H34)*(MAX($D$16,(E87)-(J34))))*(MAX($D$16,(E87)-(J34))),0.000001)),$D$9*((((ABS(I87)/MAX(((G34)+(I34)*(MAX($D$16,(M87)-(K34))))*(MAX($D$16,(M87)-(K34))),0.000001))^2)/(2*$I$5))-(((ABS(I87)/MAX(((F34)+(H34)*(MAX($D$16,(E87)-(J34))))*(MAX($D$16,(E87)-(J34))),0.000001))^2)/(2*$I$5))),$D$8*((((ABS(I87)/MAX(((F34)+(H34)*(MAX($D$16,(E87)-(J34))))*(MAX($D$16,(E87)-(J34))),0.000001))^2)/(2*$I$5))-(((ABS(I87)/MAX(((G34)+(I34)*(MAX($D$16,(M87)-(K34))))*(MAX($D$16,(M87)-(K34))),0.000001))^2)/(2*$I$5)))))+($D$10*(ABS((X34)-(W34))/90)*MAX(((ABS(I87)/MAX(((F34)+(H34)*(MAX($D$16,(E87)-(J34))))*(MAX($D$16,(E87)-(J34))),0.000001))^2)/(2*$I$5),((ABS(I87)/MAX(((G34)+(I34)*(MAX($D$16,(M87)-(K34))))*(MAX($D$16,(M87)-(K34))),0.000001))^2)/(2*$I$5)))+(0)-((ABS(I87)/MAX(((F34)+(H34)*(MAX($D$16,(E87)-(J34))))*(MAX($D$16,(E87)-(J34))),0.000001))^2)/(2*$I$5)</f>
        <v>635.5</v>
      </c>
      <c r="T87">
        <f>N87+((ABS(J87)/MAX(((G35)+(I35)*(MAX($D$16,(N87)-(K35))))*(MAX($D$16,(N87)-(K35))),0.000001))^2)/(2*$I$5)+((E35)*((((ABS(J87)*$D$6)/(MAX(((F35)+(H35)*(MAX($D$16,(E87)-(J35))))*(MAX($D$16,(E87)-(J35))),0.000001)*MAX(((((F35)+(H35)*(MAX($D$16,(E87)-(J35))))*(MAX($D$16,(E87)-(J35))))/MAX((F35)+2*(MAX($D$16,(E87)-(J35)))*SQRT(1+(H35)^2),0.000001))^(2/3),0.000001)))^2)+(((ABS(J87)*$D$6)/(MAX(((G35)+(I35)*(MAX($D$16,(N87)-(K35))))*(MAX($D$16,(N87)-(K35))),0.000001)*MAX(((((G35)+(I35)*(MAX($D$16,(N87)-(K35))))*(MAX($D$16,(N87)-(K35))))/MAX((G35)+2*(MAX($D$16,(N87)-(K35)))*SQRT(1+(I35)^2),0.000001))^(2/3),0.000001)))^2))/2)+(IF((ABS(J87)/MAX(((G35)+(I35)*(MAX($D$16,(N87)-(K35))))*(MAX($D$16,(N87)-(K35))),0.000001))&gt;(ABS(J87)/MAX(((F35)+(H35)*(MAX($D$16,(E87)-(J35))))*(MAX($D$16,(E87)-(J35))),0.000001)),$D$9*((((ABS(J87)/MAX(((G35)+(I35)*(MAX($D$16,(N87)-(K35))))*(MAX($D$16,(N87)-(K35))),0.000001))^2)/(2*$I$5))-(((ABS(J87)/MAX(((F35)+(H35)*(MAX($D$16,(E87)-(J35))))*(MAX($D$16,(E87)-(J35))),0.000001))^2)/(2*$I$5))),$D$8*((((ABS(J87)/MAX(((F35)+(H35)*(MAX($D$16,(E87)-(J35))))*(MAX($D$16,(E87)-(J35))),0.000001))^2)/(2*$I$5))-(((ABS(J87)/MAX(((G35)+(I35)*(MAX($D$16,(N87)-(K35))))*(MAX($D$16,(N87)-(K35))),0.000001))^2)/(2*$I$5)))))+($D$10*(ABS((X35)-(W35))/90)*MAX(((ABS(J87)/MAX(((F35)+(H35)*(MAX($D$16,(E87)-(J35))))*(MAX($D$16,(E87)-(J35))),0.000001))^2)/(2*$I$5),((ABS(J87)/MAX(((G35)+(I35)*(MAX($D$16,(N87)-(K35))))*(MAX($D$16,(N87)-(K35))),0.000001))^2)/(2*$I$5)))+(($D$11*0.34699541*(ABS(I87)/MAX(ABS(G87),0.000001))^2*MAX(((ABS(J87)/MAX(((F35)+(H35)*(MAX($D$16,(E87)-(J35))))*(MAX($D$16,(E87)-(J35))),0.000001))^2)/(2*$I$5),((ABS(J87)/MAX(((G35)+(I35)*(MAX($D$16,(N87)-(K35))))*(MAX($D$16,(N87)-(K35))),0.000001))^2)/(2*$I$5))))-((ABS(J87)/MAX(((F35)+(H35)*(MAX($D$16,(E87)-(J35))))*(MAX($D$16,(E87)-(J35))),0.000001))^2)/(2*$I$5)</f>
        <v>20784.033523923383</v>
      </c>
      <c r="U87">
        <f>(((((F32)*(MAX($D$16,(D87)-(J32)))^2)/2+(H32)*(MAX($D$16,(D87)-(J32)))^3/3+(ABS(G87)^2)/($I$5*MAX(((F32)+(H32)*(MAX($D$16,(D87)-(J32))))*(MAX($D$16,(D87)-(J32))),0.000001)))*0.72785025)-((((F33)*(MAX($D$16,(D87)-(J33)))^2)/2+(H33)*(MAX($D$16,(D87)-(J33)))^3/3+(ABS(H87)^2)/($I$5*MAX(((F33)+(H33)*(MAX($D$16,(D87)-(J33))))*(MAX($D$16,(D87)-(J33))),0.000001)))*0.99999971))/MAX(((G31)*(MAX($D$16,(D87)-(K31)))^2)/2+(I31)*(MAX($D$16,(D87)-(K31)))^3/3+(ABS(F87)^2)/($I$5*MAX(((G31)+(I31)*(MAX($D$16,(D87)-(K31))))*(MAX($D$16,(D87)-(K31))),0.000001)),0.000001)</f>
        <v>-0.27214945999991119</v>
      </c>
      <c r="V87">
        <f>(((((F34)*(MAX($D$16,(E87)-(J34)))^2)/2+(H34)*(MAX($D$16,(E87)-(J34)))^3/3+(ABS(I87)^2)/($I$5*MAX(((F34)+(H34)*(MAX($D$16,(E87)-(J34))))*(MAX($D$16,(E87)-(J34))),0.000001)))*1)-((((F35)*(MAX($D$16,(E87)-(J35)))^2)/2+(H35)*(MAX($D$16,(E87)-(J35)))^3/3+(ABS(J87)^2)/($I$5*MAX(((F35)+(H35)*(MAX($D$16,(E87)-(J35))))*(MAX($D$16,(E87)-(J35))),0.000001)))*0.30600918))/MAX(((G32)*(MAX($D$16,(E87)-(K32)))^2)/2+(I32)*(MAX($D$16,(E87)-(K32)))^3/3+(ABS(G87)^2)/($I$5*MAX(((G32)+(I32)*(MAX($D$16,(E87)-(K32))))*(MAX($D$16,(E87)-(K32))),0.000001)),0.000001)</f>
        <v>0.69398638937190393</v>
      </c>
      <c r="W87">
        <f>IF(N6="None",ABS(P87-D87),MAX(ABS(P87-D87),ABS(Q87-D87)))</f>
        <v>3.4197000786662102E-10</v>
      </c>
      <c r="X87">
        <f>IF(AND(N7="None",N8="None"),0,IF(N8="None",ABS(S87-E87),IF(N7="None",ABS(T87-E87),MAX(ABS(S87-E87),ABS(T87-E87)))))</f>
        <v>51796.641837659219</v>
      </c>
      <c r="AA87">
        <f t="shared" si="18"/>
        <v>52432.141837659547</v>
      </c>
      <c r="AB87">
        <f t="shared" si="19"/>
        <v>41355.303927851681</v>
      </c>
      <c r="AC87">
        <f>IF(N6="None",P87,MAX(P87,Q87))</f>
        <v>52432.141837659772</v>
      </c>
      <c r="AD87">
        <f>IF(AND(N7="None",N8="None"),E87,IF(N8="None",S87,IF(N7="None",T87,MAX(S87,T87))))</f>
        <v>20784.033523923383</v>
      </c>
      <c r="AE87">
        <f t="shared" si="20"/>
        <v>637.65825101089831</v>
      </c>
      <c r="AF87">
        <f t="shared" si="21"/>
        <v>52432.141837659561</v>
      </c>
      <c r="AG87">
        <f>((G31)*(MAX($D$16,(AC87)-(K31)))^2)/2+(I31)*(MAX($D$16,(AC87)-(K31)))^3/3+(ABS(F87)^2)/($I$5*MAX(((G31)+(I31)*(MAX($D$16,(AC87)-(K31))))*(MAX($D$16,(AC87)-(K31))),0.000001))</f>
        <v>8797611517.4108772</v>
      </c>
      <c r="AH87">
        <f>((G31)*(MAX($D$16,(AE87)-(K31)))^2)/2+(I31)*(MAX($D$16,(AE87)-(K31)))^3/3+(ABS(F87)^2)/($I$5*MAX(((G31)+(I31)*(MAX($D$16,(AE87)-(K31))))*(MAX($D$16,(AE87)-(K31))),0.000001))</f>
        <v>49.055863329575246</v>
      </c>
      <c r="AI87">
        <f>((G32)*(MAX($D$16,(AD87)-(K32)))^2)/2+(I32)*(MAX($D$16,(AD87)-(K32)))^3/3+(ABS(G87)^2)/($I$5*MAX(((G32)+(I32)*(MAX($D$16,(AD87)-(K32))))*(MAX($D$16,(AD87)-(K32))),0.000001))</f>
        <v>2072376743.6648321</v>
      </c>
      <c r="AJ87">
        <f>((G32)*(MAX($D$16,(AF87)-(K32)))^2)/2+(I32)*(MAX($D$16,(AF87)-(K32)))^3/3+(ABS(G87)^2)/($I$5*MAX(((G32)+(I32)*(MAX($D$16,(AF87)-(K32))))*(MAX($D$16,(AF87)-(K32))),0.000001))</f>
        <v>13692714789.642797</v>
      </c>
      <c r="AK87" t="str">
        <f t="shared" si="22"/>
        <v>Subcritical</v>
      </c>
      <c r="AL87" t="str">
        <f t="shared" si="23"/>
        <v>Supercritical</v>
      </c>
      <c r="AM87">
        <f t="shared" si="24"/>
        <v>52432.141837659547</v>
      </c>
      <c r="AN87">
        <f t="shared" si="25"/>
        <v>52432.141837659336</v>
      </c>
      <c r="AO87">
        <f t="shared" si="26"/>
        <v>3.4197000786662102E-10</v>
      </c>
      <c r="AP87">
        <f t="shared" si="27"/>
        <v>3.4197000786662102E-10</v>
      </c>
    </row>
    <row r="88" spans="1:42" x14ac:dyDescent="0.35">
      <c r="A88">
        <v>45</v>
      </c>
      <c r="B88">
        <f t="shared" si="28"/>
        <v>0</v>
      </c>
      <c r="C88">
        <f t="shared" si="29"/>
        <v>0</v>
      </c>
      <c r="D88">
        <f t="shared" si="30"/>
        <v>52432.141837659547</v>
      </c>
      <c r="E88">
        <f t="shared" si="31"/>
        <v>52432.141837659336</v>
      </c>
      <c r="F88">
        <f t="shared" si="17"/>
        <v>51</v>
      </c>
      <c r="G88">
        <f>IF(N6="None",F88,MAX(0,F88*B88))</f>
        <v>51</v>
      </c>
      <c r="H88">
        <f>IF(N6="None",0,MAX(0,F88-G88))</f>
        <v>0</v>
      </c>
      <c r="I88">
        <f>IF(AND(N7="None",N8="None"),0,IF(N8="None",G88,IF(N7="None",0,MAX(0,G88*C88))))</f>
        <v>0</v>
      </c>
      <c r="J88">
        <f>IF(AND(N7="None",N8="None"),0,IF(N8="None",0,IF(N7="None",G88,MAX(0,G88-I88))))</f>
        <v>51</v>
      </c>
      <c r="K88">
        <f>P5</f>
        <v>637</v>
      </c>
      <c r="L88">
        <f>P6</f>
        <v>634.3119999999999</v>
      </c>
      <c r="M88">
        <f>P7</f>
        <v>635.5</v>
      </c>
      <c r="N88">
        <f>P8</f>
        <v>631.54999999999995</v>
      </c>
      <c r="O88">
        <f>K88+((ABS(F88)/MAX(((F31)+(H31)*(MAX($D$16,(K88)-(J31))))*(MAX($D$16,(K88)-(J31))),0.000001))^2)/(2*$I$5)-((E31)*((((ABS(F88)*$D$6)/(MAX(((F31)+(H31)*(MAX($D$16,(K88)-(J31))))*(MAX($D$16,(K88)-(J31))),0.000001)*MAX(((((F31)+(H31)*(MAX($D$16,(K88)-(J31))))*(MAX($D$16,(K88)-(J31))))/MAX((F31)+2*(MAX($D$16,(K88)-(J31)))*SQRT(1+(H31)^2),0.000001))^(2/3),0.000001)))^2)+(((ABS(F88)*$D$6)/(MAX(((G31)+(I31)*(MAX($D$16,(D88)-(K31))))*(MAX($D$16,(D88)-(K31))),0.000001)*MAX(((((G31)+(I31)*(MAX($D$16,(D88)-(K31))))*(MAX($D$16,(D88)-(K31))))/MAX((G31)+2*(MAX($D$16,(D88)-(K31)))*SQRT(1+(I31)^2),0.000001))^(2/3),0.000001)))^2))/2)+(IF((ABS(F88)/MAX(((G31)+(I31)*(MAX($D$16,(D88)-(K31))))*(MAX($D$16,(D88)-(K31))),0.000001))&gt;(ABS(F88)/MAX(((F31)+(H31)*(MAX($D$16,(K88)-(J31))))*(MAX($D$16,(K88)-(J31))),0.000001)),$D$9*((((ABS(F88)/MAX(((G31)+(I31)*(MAX($D$16,(D88)-(K31))))*(MAX($D$16,(D88)-(K31))),0.000001))^2)/(2*$I$5))-(((ABS(F88)/MAX(((F31)+(H31)*(MAX($D$16,(K88)-(J31))))*(MAX($D$16,(K88)-(J31))),0.000001))^2)/(2*$I$5))),$D$8*((((ABS(F88)/MAX(((F31)+(H31)*(MAX($D$16,(K88)-(J31))))*(MAX($D$16,(K88)-(J31))),0.000001))^2)/(2*$I$5))-(((ABS(F88)/MAX(((G31)+(I31)*(MAX($D$16,(D88)-(K31))))*(MAX($D$16,(D88)-(K31))),0.000001))^2)/(2*$I$5)))))+($D$10*(ABS((X31)-(W31))/90)*MAX(((ABS(F88)/MAX(((F31)+(H31)*(MAX($D$16,(K88)-(J31))))*(MAX($D$16,(K88)-(J31))),0.000001))^2)/(2*$I$5),((ABS(F88)/MAX(((G31)+(I31)*(MAX($D$16,(D88)-(K31))))*(MAX($D$16,(D88)-(K31))),0.000001))^2)/(2*$I$5)))+(0)-((ABS(F88)/MAX(((G31)+(I31)*(MAX($D$16,(D88)-(K31))))*(MAX($D$16,(D88)-(K31))),0.000001))^2)/(2*$I$5)</f>
        <v>637.65825101089831</v>
      </c>
      <c r="P88">
        <f>E88+((ABS(G88)/MAX(((G32)+(I32)*(MAX($D$16,(E88)-(K32))))*(MAX($D$16,(E88)-(K32))),0.000001))^2)/(2*$I$5)+((E32)*((((ABS(G88)*$D$6)/(MAX(((F32)+(H32)*(MAX($D$16,(D88)-(J32))))*(MAX($D$16,(D88)-(J32))),0.000001)*MAX(((((F32)+(H32)*(MAX($D$16,(D88)-(J32))))*(MAX($D$16,(D88)-(J32))))/MAX((F32)+2*(MAX($D$16,(D88)-(J32)))*SQRT(1+(H32)^2),0.000001))^(2/3),0.000001)))^2)+(((ABS(G88)*$D$6)/(MAX(((G32)+(I32)*(MAX($D$16,(E88)-(K32))))*(MAX($D$16,(E88)-(K32))),0.000001)*MAX(((((G32)+(I32)*(MAX($D$16,(E88)-(K32))))*(MAX($D$16,(E88)-(K32))))/MAX((G32)+2*(MAX($D$16,(E88)-(K32)))*SQRT(1+(I32)^2),0.000001))^(2/3),0.000001)))^2))/2)+(IF((ABS(G88)/MAX(((G32)+(I32)*(MAX($D$16,(E88)-(K32))))*(MAX($D$16,(E88)-(K32))),0.000001))&gt;(ABS(G88)/MAX(((F32)+(H32)*(MAX($D$16,(D88)-(J32))))*(MAX($D$16,(D88)-(J32))),0.000001)),$D$9*((((ABS(G88)/MAX(((G32)+(I32)*(MAX($D$16,(E88)-(K32))))*(MAX($D$16,(E88)-(K32))),0.000001))^2)/(2*$I$5))-(((ABS(G88)/MAX(((F32)+(H32)*(MAX($D$16,(D88)-(J32))))*(MAX($D$16,(D88)-(J32))),0.000001))^2)/(2*$I$5))),$D$8*((((ABS(G88)/MAX(((F32)+(H32)*(MAX($D$16,(D88)-(J32))))*(MAX($D$16,(D88)-(J32))),0.000001))^2)/(2*$I$5))-(((ABS(G88)/MAX(((G32)+(I32)*(MAX($D$16,(E88)-(K32))))*(MAX($D$16,(E88)-(K32))),0.000001))^2)/(2*$I$5)))))+($D$10*(ABS((X32)-(W32))/90)*MAX(((ABS(G88)/MAX(((F32)+(H32)*(MAX($D$16,(D88)-(J32))))*(MAX($D$16,(D88)-(J32))),0.000001))^2)/(2*$I$5),((ABS(G88)/MAX(((G32)+(I32)*(MAX($D$16,(E88)-(K32))))*(MAX($D$16,(E88)-(K32))),0.000001))^2)/(2*$I$5)))+(($D$11*0.13607488*(ABS(H88)/MAX(ABS(F88),0.000001))^2*MAX(((ABS(G88)/MAX(((F32)+(H32)*(MAX($D$16,(D88)-(J32))))*(MAX($D$16,(D88)-(J32))),0.000001))^2)/(2*$I$5),((ABS(G88)/MAX(((G32)+(I32)*(MAX($D$16,(E88)-(K32))))*(MAX($D$16,(E88)-(K32))),0.000001))^2)/(2*$I$5))))-((ABS(G88)/MAX(((F32)+(H32)*(MAX($D$16,(D88)-(J32))))*(MAX($D$16,(D88)-(J32))),0.000001))^2)/(2*$I$5)</f>
        <v>52432.141837659889</v>
      </c>
      <c r="Q88">
        <f>L88+((ABS(H88)/MAX(((G33)+(I33)*(MAX($D$16,(L88)-(K33))))*(MAX($D$16,(L88)-(K33))),0.000001))^2)/(2*$I$5)+((E33)*((((ABS(H88)*$D$6)/(MAX(((F33)+(H33)*(MAX($D$16,(D88)-(J33))))*(MAX($D$16,(D88)-(J33))),0.000001)*MAX(((((F33)+(H33)*(MAX($D$16,(D88)-(J33))))*(MAX($D$16,(D88)-(J33))))/MAX((F33)+2*(MAX($D$16,(D88)-(J33)))*SQRT(1+(H33)^2),0.000001))^(2/3),0.000001)))^2)+(((ABS(H88)*$D$6)/(MAX(((G33)+(I33)*(MAX($D$16,(L88)-(K33))))*(MAX($D$16,(L88)-(K33))),0.000001)*MAX(((((G33)+(I33)*(MAX($D$16,(L88)-(K33))))*(MAX($D$16,(L88)-(K33))))/MAX((G33)+2*(MAX($D$16,(L88)-(K33)))*SQRT(1+(I33)^2),0.000001))^(2/3),0.000001)))^2))/2)+(IF((ABS(H88)/MAX(((G33)+(I33)*(MAX($D$16,(L88)-(K33))))*(MAX($D$16,(L88)-(K33))),0.000001))&gt;(ABS(H88)/MAX(((F33)+(H33)*(MAX($D$16,(D88)-(J33))))*(MAX($D$16,(D88)-(J33))),0.000001)),$D$9*((((ABS(H88)/MAX(((G33)+(I33)*(MAX($D$16,(L88)-(K33))))*(MAX($D$16,(L88)-(K33))),0.000001))^2)/(2*$I$5))-(((ABS(H88)/MAX(((F33)+(H33)*(MAX($D$16,(D88)-(J33))))*(MAX($D$16,(D88)-(J33))),0.000001))^2)/(2*$I$5))),$D$8*((((ABS(H88)/MAX(((F33)+(H33)*(MAX($D$16,(D88)-(J33))))*(MAX($D$16,(D88)-(J33))),0.000001))^2)/(2*$I$5))-(((ABS(H88)/MAX(((G33)+(I33)*(MAX($D$16,(L88)-(K33))))*(MAX($D$16,(L88)-(K33))),0.000001))^2)/(2*$I$5)))))+($D$10*(ABS((X33)-(W33))/90)*MAX(((ABS(H88)/MAX(((F33)+(H33)*(MAX($D$16,(D88)-(J33))))*(MAX($D$16,(D88)-(J33))),0.000001))^2)/(2*$I$5),((ABS(H88)/MAX(((G33)+(I33)*(MAX($D$16,(L88)-(K33))))*(MAX($D$16,(L88)-(K33))),0.000001))^2)/(2*$I$5)))+(($D$11*0.00000015*(ABS(G88)/MAX(ABS(F88),0.000001))^2*MAX(((ABS(H88)/MAX(((F33)+(H33)*(MAX($D$16,(D88)-(J33))))*(MAX($D$16,(D88)-(J33))),0.000001))^2)/(2*$I$5),((ABS(H88)/MAX(((G33)+(I33)*(MAX($D$16,(L88)-(K33))))*(MAX($D$16,(L88)-(K33))),0.000001))^2)/(2*$I$5))))-((ABS(H88)/MAX(((F33)+(H33)*(MAX($D$16,(D88)-(J33))))*(MAX($D$16,(D88)-(J33))),0.000001))^2)/(2*$I$5)</f>
        <v>634.3119999999999</v>
      </c>
      <c r="R88">
        <f>D88+((ABS(G88)/MAX(((F32)+(H32)*(MAX($D$16,(D88)-(J32))))*(MAX($D$16,(D88)-(J32))),0.000001))^2)/(2*$I$5)-((E32)*((((ABS(G88)*$D$6)/(MAX(((F32)+(H32)*(MAX($D$16,(D88)-(J32))))*(MAX($D$16,(D88)-(J32))),0.000001)*MAX(((((F32)+(H32)*(MAX($D$16,(D88)-(J32))))*(MAX($D$16,(D88)-(J32))))/MAX((F32)+2*(MAX($D$16,(D88)-(J32)))*SQRT(1+(H32)^2),0.000001))^(2/3),0.000001)))^2)+(((ABS(G88)*$D$6)/(MAX(((G32)+(I32)*(MAX($D$16,(E88)-(K32))))*(MAX($D$16,(E88)-(K32))),0.000001)*MAX(((((G32)+(I32)*(MAX($D$16,(E88)-(K32))))*(MAX($D$16,(E88)-(K32))))/MAX((G32)+2*(MAX($D$16,(E88)-(K32)))*SQRT(1+(I32)^2),0.000001))^(2/3),0.000001)))^2))/2)+(IF((ABS(G88)/MAX(((G32)+(I32)*(MAX($D$16,(E88)-(K32))))*(MAX($D$16,(E88)-(K32))),0.000001))&gt;(ABS(G88)/MAX(((F32)+(H32)*(MAX($D$16,(D88)-(J32))))*(MAX($D$16,(D88)-(J32))),0.000001)),$D$9*((((ABS(G88)/MAX(((G32)+(I32)*(MAX($D$16,(E88)-(K32))))*(MAX($D$16,(E88)-(K32))),0.000001))^2)/(2*$I$5))-(((ABS(G88)/MAX(((F32)+(H32)*(MAX($D$16,(D88)-(J32))))*(MAX($D$16,(D88)-(J32))),0.000001))^2)/(2*$I$5))),$D$8*((((ABS(G88)/MAX(((F32)+(H32)*(MAX($D$16,(D88)-(J32))))*(MAX($D$16,(D88)-(J32))),0.000001))^2)/(2*$I$5))-(((ABS(G88)/MAX(((G32)+(I32)*(MAX($D$16,(E88)-(K32))))*(MAX($D$16,(E88)-(K32))),0.000001))^2)/(2*$I$5)))))+($D$10*(ABS((X32)-(W32))/90)*MAX(((ABS(G88)/MAX(((F32)+(H32)*(MAX($D$16,(D88)-(J32))))*(MAX($D$16,(D88)-(J32))),0.000001))^2)/(2*$I$5),((ABS(G88)/MAX(((G32)+(I32)*(MAX($D$16,(E88)-(K32))))*(MAX($D$16,(E88)-(K32))),0.000001))^2)/(2*$I$5)))+(($D$11*0.13607488*(ABS(H88)/MAX(ABS(F88),0.000001))^2*MAX(((ABS(G88)/MAX(((F32)+(H32)*(MAX($D$16,(D88)-(J32))))*(MAX($D$16,(D88)-(J32))),0.000001))^2)/(2*$I$5),((ABS(G88)/MAX(((G32)+(I32)*(MAX($D$16,(E88)-(K32))))*(MAX($D$16,(E88)-(K32))),0.000001))^2)/(2*$I$5))))-((ABS(G88)/MAX(((G32)+(I32)*(MAX($D$16,(E88)-(K32))))*(MAX($D$16,(E88)-(K32))),0.000001))^2)/(2*$I$5)</f>
        <v>52432.141837659678</v>
      </c>
      <c r="S88">
        <f>M88+((ABS(I88)/MAX(((G34)+(I34)*(MAX($D$16,(M88)-(K34))))*(MAX($D$16,(M88)-(K34))),0.000001))^2)/(2*$I$5)+((E34)*((((ABS(I88)*$D$6)/(MAX(((F34)+(H34)*(MAX($D$16,(E88)-(J34))))*(MAX($D$16,(E88)-(J34))),0.000001)*MAX(((((F34)+(H34)*(MAX($D$16,(E88)-(J34))))*(MAX($D$16,(E88)-(J34))))/MAX((F34)+2*(MAX($D$16,(E88)-(J34)))*SQRT(1+(H34)^2),0.000001))^(2/3),0.000001)))^2)+(((ABS(I88)*$D$6)/(MAX(((G34)+(I34)*(MAX($D$16,(M88)-(K34))))*(MAX($D$16,(M88)-(K34))),0.000001)*MAX(((((G34)+(I34)*(MAX($D$16,(M88)-(K34))))*(MAX($D$16,(M88)-(K34))))/MAX((G34)+2*(MAX($D$16,(M88)-(K34)))*SQRT(1+(I34)^2),0.000001))^(2/3),0.000001)))^2))/2)+(IF((ABS(I88)/MAX(((G34)+(I34)*(MAX($D$16,(M88)-(K34))))*(MAX($D$16,(M88)-(K34))),0.000001))&gt;(ABS(I88)/MAX(((F34)+(H34)*(MAX($D$16,(E88)-(J34))))*(MAX($D$16,(E88)-(J34))),0.000001)),$D$9*((((ABS(I88)/MAX(((G34)+(I34)*(MAX($D$16,(M88)-(K34))))*(MAX($D$16,(M88)-(K34))),0.000001))^2)/(2*$I$5))-(((ABS(I88)/MAX(((F34)+(H34)*(MAX($D$16,(E88)-(J34))))*(MAX($D$16,(E88)-(J34))),0.000001))^2)/(2*$I$5))),$D$8*((((ABS(I88)/MAX(((F34)+(H34)*(MAX($D$16,(E88)-(J34))))*(MAX($D$16,(E88)-(J34))),0.000001))^2)/(2*$I$5))-(((ABS(I88)/MAX(((G34)+(I34)*(MAX($D$16,(M88)-(K34))))*(MAX($D$16,(M88)-(K34))),0.000001))^2)/(2*$I$5)))))+($D$10*(ABS((X34)-(W34))/90)*MAX(((ABS(I88)/MAX(((F34)+(H34)*(MAX($D$16,(E88)-(J34))))*(MAX($D$16,(E88)-(J34))),0.000001))^2)/(2*$I$5),((ABS(I88)/MAX(((G34)+(I34)*(MAX($D$16,(M88)-(K34))))*(MAX($D$16,(M88)-(K34))),0.000001))^2)/(2*$I$5)))+(0)-((ABS(I88)/MAX(((F34)+(H34)*(MAX($D$16,(E88)-(J34))))*(MAX($D$16,(E88)-(J34))),0.000001))^2)/(2*$I$5)</f>
        <v>635.5</v>
      </c>
      <c r="T88">
        <f>N88+((ABS(J88)/MAX(((G35)+(I35)*(MAX($D$16,(N88)-(K35))))*(MAX($D$16,(N88)-(K35))),0.000001))^2)/(2*$I$5)+((E35)*((((ABS(J88)*$D$6)/(MAX(((F35)+(H35)*(MAX($D$16,(E88)-(J35))))*(MAX($D$16,(E88)-(J35))),0.000001)*MAX(((((F35)+(H35)*(MAX($D$16,(E88)-(J35))))*(MAX($D$16,(E88)-(J35))))/MAX((F35)+2*(MAX($D$16,(E88)-(J35)))*SQRT(1+(H35)^2),0.000001))^(2/3),0.000001)))^2)+(((ABS(J88)*$D$6)/(MAX(((G35)+(I35)*(MAX($D$16,(N88)-(K35))))*(MAX($D$16,(N88)-(K35))),0.000001)*MAX(((((G35)+(I35)*(MAX($D$16,(N88)-(K35))))*(MAX($D$16,(N88)-(K35))))/MAX((G35)+2*(MAX($D$16,(N88)-(K35)))*SQRT(1+(I35)^2),0.000001))^(2/3),0.000001)))^2))/2)+(IF((ABS(J88)/MAX(((G35)+(I35)*(MAX($D$16,(N88)-(K35))))*(MAX($D$16,(N88)-(K35))),0.000001))&gt;(ABS(J88)/MAX(((F35)+(H35)*(MAX($D$16,(E88)-(J35))))*(MAX($D$16,(E88)-(J35))),0.000001)),$D$9*((((ABS(J88)/MAX(((G35)+(I35)*(MAX($D$16,(N88)-(K35))))*(MAX($D$16,(N88)-(K35))),0.000001))^2)/(2*$I$5))-(((ABS(J88)/MAX(((F35)+(H35)*(MAX($D$16,(E88)-(J35))))*(MAX($D$16,(E88)-(J35))),0.000001))^2)/(2*$I$5))),$D$8*((((ABS(J88)/MAX(((F35)+(H35)*(MAX($D$16,(E88)-(J35))))*(MAX($D$16,(E88)-(J35))),0.000001))^2)/(2*$I$5))-(((ABS(J88)/MAX(((G35)+(I35)*(MAX($D$16,(N88)-(K35))))*(MAX($D$16,(N88)-(K35))),0.000001))^2)/(2*$I$5)))))+($D$10*(ABS((X35)-(W35))/90)*MAX(((ABS(J88)/MAX(((F35)+(H35)*(MAX($D$16,(E88)-(J35))))*(MAX($D$16,(E88)-(J35))),0.000001))^2)/(2*$I$5),((ABS(J88)/MAX(((G35)+(I35)*(MAX($D$16,(N88)-(K35))))*(MAX($D$16,(N88)-(K35))),0.000001))^2)/(2*$I$5)))+(($D$11*0.34699541*(ABS(I88)/MAX(ABS(G88),0.000001))^2*MAX(((ABS(J88)/MAX(((F35)+(H35)*(MAX($D$16,(E88)-(J35))))*(MAX($D$16,(E88)-(J35))),0.000001))^2)/(2*$I$5),((ABS(J88)/MAX(((G35)+(I35)*(MAX($D$16,(N88)-(K35))))*(MAX($D$16,(N88)-(K35))),0.000001))^2)/(2*$I$5))))-((ABS(J88)/MAX(((F35)+(H35)*(MAX($D$16,(E88)-(J35))))*(MAX($D$16,(E88)-(J35))),0.000001))^2)/(2*$I$5)</f>
        <v>20784.033523923383</v>
      </c>
      <c r="U88">
        <f>(((((F32)*(MAX($D$16,(D88)-(J32)))^2)/2+(H32)*(MAX($D$16,(D88)-(J32)))^3/3+(ABS(G88)^2)/($I$5*MAX(((F32)+(H32)*(MAX($D$16,(D88)-(J32))))*(MAX($D$16,(D88)-(J32))),0.000001)))*0.72785025)-((((F33)*(MAX($D$16,(D88)-(J33)))^2)/2+(H33)*(MAX($D$16,(D88)-(J33)))^3/3+(ABS(H88)^2)/($I$5*MAX(((F33)+(H33)*(MAX($D$16,(D88)-(J33))))*(MAX($D$16,(D88)-(J33))),0.000001)))*0.99999971))/MAX(((G31)*(MAX($D$16,(D88)-(K31)))^2)/2+(I31)*(MAX($D$16,(D88)-(K31)))^3/3+(ABS(F88)^2)/($I$5*MAX(((G31)+(I31)*(MAX($D$16,(D88)-(K31))))*(MAX($D$16,(D88)-(K31))),0.000001)),0.000001)</f>
        <v>-0.27214945999991119</v>
      </c>
      <c r="V88">
        <f>(((((F34)*(MAX($D$16,(E88)-(J34)))^2)/2+(H34)*(MAX($D$16,(E88)-(J34)))^3/3+(ABS(I88)^2)/($I$5*MAX(((F34)+(H34)*(MAX($D$16,(E88)-(J34))))*(MAX($D$16,(E88)-(J34))),0.000001)))*1)-((((F35)*(MAX($D$16,(E88)-(J35)))^2)/2+(H35)*(MAX($D$16,(E88)-(J35)))^3/3+(ABS(J88)^2)/($I$5*MAX(((F35)+(H35)*(MAX($D$16,(E88)-(J35))))*(MAX($D$16,(E88)-(J35))),0.000001)))*0.30600918))/MAX(((G32)*(MAX($D$16,(E88)-(K32)))^2)/2+(I32)*(MAX($D$16,(E88)-(K32)))^3/3+(ABS(G88)^2)/($I$5*MAX(((G32)+(I32)*(MAX($D$16,(E88)-(K32))))*(MAX($D$16,(E88)-(K32))),0.000001)),0.000001)</f>
        <v>0.69398638937190393</v>
      </c>
      <c r="W88">
        <f>IF(N6="None",ABS(P88-D88),MAX(ABS(P88-D88),ABS(Q88-D88)))</f>
        <v>3.4197000786662102E-10</v>
      </c>
      <c r="X88">
        <f>IF(AND(N7="None",N8="None"),0,IF(N8="None",ABS(S88-E88),IF(N7="None",ABS(T88-E88),MAX(ABS(S88-E88),ABS(T88-E88)))))</f>
        <v>51796.641837659336</v>
      </c>
      <c r="AA88">
        <f t="shared" si="18"/>
        <v>52432.141837659663</v>
      </c>
      <c r="AB88">
        <f t="shared" si="19"/>
        <v>41355.303927851754</v>
      </c>
      <c r="AC88">
        <f>IF(N6="None",P88,MAX(P88,Q88))</f>
        <v>52432.141837659889</v>
      </c>
      <c r="AD88">
        <f>IF(AND(N7="None",N8="None"),E88,IF(N8="None",S88,IF(N7="None",T88,MAX(S88,T88))))</f>
        <v>20784.033523923383</v>
      </c>
      <c r="AE88">
        <f t="shared" si="20"/>
        <v>637.65825101089831</v>
      </c>
      <c r="AF88">
        <f t="shared" si="21"/>
        <v>52432.141837659678</v>
      </c>
      <c r="AG88">
        <f>((G31)*(MAX($D$16,(AC88)-(K31)))^2)/2+(I31)*(MAX($D$16,(AC88)-(K31)))^3/3+(ABS(F88)^2)/($I$5*MAX(((G31)+(I31)*(MAX($D$16,(AC88)-(K31))))*(MAX($D$16,(AC88)-(K31))),0.000001))</f>
        <v>8797611517.4109192</v>
      </c>
      <c r="AH88">
        <f>((G31)*(MAX($D$16,(AE88)-(K31)))^2)/2+(I31)*(MAX($D$16,(AE88)-(K31)))^3/3+(ABS(F88)^2)/($I$5*MAX(((G31)+(I31)*(MAX($D$16,(AE88)-(K31))))*(MAX($D$16,(AE88)-(K31))),0.000001))</f>
        <v>49.055863329575246</v>
      </c>
      <c r="AI88">
        <f>((G32)*(MAX($D$16,(AD88)-(K32)))^2)/2+(I32)*(MAX($D$16,(AD88)-(K32)))^3/3+(ABS(G88)^2)/($I$5*MAX(((G32)+(I32)*(MAX($D$16,(AD88)-(K32))))*(MAX($D$16,(AD88)-(K32))),0.000001))</f>
        <v>2072376743.6648321</v>
      </c>
      <c r="AJ88">
        <f>((G32)*(MAX($D$16,(AF88)-(K32)))^2)/2+(I32)*(MAX($D$16,(AF88)-(K32)))^3/3+(ABS(G88)^2)/($I$5*MAX(((G32)+(I32)*(MAX($D$16,(AF88)-(K32))))*(MAX($D$16,(AF88)-(K32))),0.000001))</f>
        <v>13692714789.642859</v>
      </c>
      <c r="AK88" t="str">
        <f t="shared" si="22"/>
        <v>Subcritical</v>
      </c>
      <c r="AL88" t="str">
        <f t="shared" si="23"/>
        <v>Supercritical</v>
      </c>
      <c r="AM88">
        <f t="shared" si="24"/>
        <v>52432.141837659663</v>
      </c>
      <c r="AN88">
        <f t="shared" si="25"/>
        <v>52432.141837659452</v>
      </c>
      <c r="AO88">
        <f t="shared" si="26"/>
        <v>3.4197000786662102E-10</v>
      </c>
      <c r="AP88">
        <f t="shared" si="27"/>
        <v>3.4197000786662102E-10</v>
      </c>
    </row>
    <row r="89" spans="1:42" x14ac:dyDescent="0.35">
      <c r="A89">
        <v>46</v>
      </c>
      <c r="B89">
        <f t="shared" si="28"/>
        <v>0</v>
      </c>
      <c r="C89">
        <f t="shared" si="29"/>
        <v>0</v>
      </c>
      <c r="D89">
        <f t="shared" si="30"/>
        <v>52432.141837659663</v>
      </c>
      <c r="E89">
        <f t="shared" si="31"/>
        <v>52432.141837659452</v>
      </c>
      <c r="F89">
        <f t="shared" si="17"/>
        <v>51</v>
      </c>
      <c r="G89">
        <f>IF(N6="None",F89,MAX(0,F89*B89))</f>
        <v>51</v>
      </c>
      <c r="H89">
        <f>IF(N6="None",0,MAX(0,F89-G89))</f>
        <v>0</v>
      </c>
      <c r="I89">
        <f>IF(AND(N7="None",N8="None"),0,IF(N8="None",G89,IF(N7="None",0,MAX(0,G89*C89))))</f>
        <v>0</v>
      </c>
      <c r="J89">
        <f>IF(AND(N7="None",N8="None"),0,IF(N8="None",0,IF(N7="None",G89,MAX(0,G89-I89))))</f>
        <v>51</v>
      </c>
      <c r="K89">
        <f>P5</f>
        <v>637</v>
      </c>
      <c r="L89">
        <f>P6</f>
        <v>634.3119999999999</v>
      </c>
      <c r="M89">
        <f>P7</f>
        <v>635.5</v>
      </c>
      <c r="N89">
        <f>P8</f>
        <v>631.54999999999995</v>
      </c>
      <c r="O89">
        <f>K89+((ABS(F89)/MAX(((F31)+(H31)*(MAX($D$16,(K89)-(J31))))*(MAX($D$16,(K89)-(J31))),0.000001))^2)/(2*$I$5)-((E31)*((((ABS(F89)*$D$6)/(MAX(((F31)+(H31)*(MAX($D$16,(K89)-(J31))))*(MAX($D$16,(K89)-(J31))),0.000001)*MAX(((((F31)+(H31)*(MAX($D$16,(K89)-(J31))))*(MAX($D$16,(K89)-(J31))))/MAX((F31)+2*(MAX($D$16,(K89)-(J31)))*SQRT(1+(H31)^2),0.000001))^(2/3),0.000001)))^2)+(((ABS(F89)*$D$6)/(MAX(((G31)+(I31)*(MAX($D$16,(D89)-(K31))))*(MAX($D$16,(D89)-(K31))),0.000001)*MAX(((((G31)+(I31)*(MAX($D$16,(D89)-(K31))))*(MAX($D$16,(D89)-(K31))))/MAX((G31)+2*(MAX($D$16,(D89)-(K31)))*SQRT(1+(I31)^2),0.000001))^(2/3),0.000001)))^2))/2)+(IF((ABS(F89)/MAX(((G31)+(I31)*(MAX($D$16,(D89)-(K31))))*(MAX($D$16,(D89)-(K31))),0.000001))&gt;(ABS(F89)/MAX(((F31)+(H31)*(MAX($D$16,(K89)-(J31))))*(MAX($D$16,(K89)-(J31))),0.000001)),$D$9*((((ABS(F89)/MAX(((G31)+(I31)*(MAX($D$16,(D89)-(K31))))*(MAX($D$16,(D89)-(K31))),0.000001))^2)/(2*$I$5))-(((ABS(F89)/MAX(((F31)+(H31)*(MAX($D$16,(K89)-(J31))))*(MAX($D$16,(K89)-(J31))),0.000001))^2)/(2*$I$5))),$D$8*((((ABS(F89)/MAX(((F31)+(H31)*(MAX($D$16,(K89)-(J31))))*(MAX($D$16,(K89)-(J31))),0.000001))^2)/(2*$I$5))-(((ABS(F89)/MAX(((G31)+(I31)*(MAX($D$16,(D89)-(K31))))*(MAX($D$16,(D89)-(K31))),0.000001))^2)/(2*$I$5)))))+($D$10*(ABS((X31)-(W31))/90)*MAX(((ABS(F89)/MAX(((F31)+(H31)*(MAX($D$16,(K89)-(J31))))*(MAX($D$16,(K89)-(J31))),0.000001))^2)/(2*$I$5),((ABS(F89)/MAX(((G31)+(I31)*(MAX($D$16,(D89)-(K31))))*(MAX($D$16,(D89)-(K31))),0.000001))^2)/(2*$I$5)))+(0)-((ABS(F89)/MAX(((G31)+(I31)*(MAX($D$16,(D89)-(K31))))*(MAX($D$16,(D89)-(K31))),0.000001))^2)/(2*$I$5)</f>
        <v>637.65825101089831</v>
      </c>
      <c r="P89">
        <f>E89+((ABS(G89)/MAX(((G32)+(I32)*(MAX($D$16,(E89)-(K32))))*(MAX($D$16,(E89)-(K32))),0.000001))^2)/(2*$I$5)+((E32)*((((ABS(G89)*$D$6)/(MAX(((F32)+(H32)*(MAX($D$16,(D89)-(J32))))*(MAX($D$16,(D89)-(J32))),0.000001)*MAX(((((F32)+(H32)*(MAX($D$16,(D89)-(J32))))*(MAX($D$16,(D89)-(J32))))/MAX((F32)+2*(MAX($D$16,(D89)-(J32)))*SQRT(1+(H32)^2),0.000001))^(2/3),0.000001)))^2)+(((ABS(G89)*$D$6)/(MAX(((G32)+(I32)*(MAX($D$16,(E89)-(K32))))*(MAX($D$16,(E89)-(K32))),0.000001)*MAX(((((G32)+(I32)*(MAX($D$16,(E89)-(K32))))*(MAX($D$16,(E89)-(K32))))/MAX((G32)+2*(MAX($D$16,(E89)-(K32)))*SQRT(1+(I32)^2),0.000001))^(2/3),0.000001)))^2))/2)+(IF((ABS(G89)/MAX(((G32)+(I32)*(MAX($D$16,(E89)-(K32))))*(MAX($D$16,(E89)-(K32))),0.000001))&gt;(ABS(G89)/MAX(((F32)+(H32)*(MAX($D$16,(D89)-(J32))))*(MAX($D$16,(D89)-(J32))),0.000001)),$D$9*((((ABS(G89)/MAX(((G32)+(I32)*(MAX($D$16,(E89)-(K32))))*(MAX($D$16,(E89)-(K32))),0.000001))^2)/(2*$I$5))-(((ABS(G89)/MAX(((F32)+(H32)*(MAX($D$16,(D89)-(J32))))*(MAX($D$16,(D89)-(J32))),0.000001))^2)/(2*$I$5))),$D$8*((((ABS(G89)/MAX(((F32)+(H32)*(MAX($D$16,(D89)-(J32))))*(MAX($D$16,(D89)-(J32))),0.000001))^2)/(2*$I$5))-(((ABS(G89)/MAX(((G32)+(I32)*(MAX($D$16,(E89)-(K32))))*(MAX($D$16,(E89)-(K32))),0.000001))^2)/(2*$I$5)))))+($D$10*(ABS((X32)-(W32))/90)*MAX(((ABS(G89)/MAX(((F32)+(H32)*(MAX($D$16,(D89)-(J32))))*(MAX($D$16,(D89)-(J32))),0.000001))^2)/(2*$I$5),((ABS(G89)/MAX(((G32)+(I32)*(MAX($D$16,(E89)-(K32))))*(MAX($D$16,(E89)-(K32))),0.000001))^2)/(2*$I$5)))+(($D$11*0.13607488*(ABS(H89)/MAX(ABS(F89),0.000001))^2*MAX(((ABS(G89)/MAX(((F32)+(H32)*(MAX($D$16,(D89)-(J32))))*(MAX($D$16,(D89)-(J32))),0.000001))^2)/(2*$I$5),((ABS(G89)/MAX(((G32)+(I32)*(MAX($D$16,(E89)-(K32))))*(MAX($D$16,(E89)-(K32))),0.000001))^2)/(2*$I$5))))-((ABS(G89)/MAX(((F32)+(H32)*(MAX($D$16,(D89)-(J32))))*(MAX($D$16,(D89)-(J32))),0.000001))^2)/(2*$I$5)</f>
        <v>52432.141837660005</v>
      </c>
      <c r="Q89">
        <f>L89+((ABS(H89)/MAX(((G33)+(I33)*(MAX($D$16,(L89)-(K33))))*(MAX($D$16,(L89)-(K33))),0.000001))^2)/(2*$I$5)+((E33)*((((ABS(H89)*$D$6)/(MAX(((F33)+(H33)*(MAX($D$16,(D89)-(J33))))*(MAX($D$16,(D89)-(J33))),0.000001)*MAX(((((F33)+(H33)*(MAX($D$16,(D89)-(J33))))*(MAX($D$16,(D89)-(J33))))/MAX((F33)+2*(MAX($D$16,(D89)-(J33)))*SQRT(1+(H33)^2),0.000001))^(2/3),0.000001)))^2)+(((ABS(H89)*$D$6)/(MAX(((G33)+(I33)*(MAX($D$16,(L89)-(K33))))*(MAX($D$16,(L89)-(K33))),0.000001)*MAX(((((G33)+(I33)*(MAX($D$16,(L89)-(K33))))*(MAX($D$16,(L89)-(K33))))/MAX((G33)+2*(MAX($D$16,(L89)-(K33)))*SQRT(1+(I33)^2),0.000001))^(2/3),0.000001)))^2))/2)+(IF((ABS(H89)/MAX(((G33)+(I33)*(MAX($D$16,(L89)-(K33))))*(MAX($D$16,(L89)-(K33))),0.000001))&gt;(ABS(H89)/MAX(((F33)+(H33)*(MAX($D$16,(D89)-(J33))))*(MAX($D$16,(D89)-(J33))),0.000001)),$D$9*((((ABS(H89)/MAX(((G33)+(I33)*(MAX($D$16,(L89)-(K33))))*(MAX($D$16,(L89)-(K33))),0.000001))^2)/(2*$I$5))-(((ABS(H89)/MAX(((F33)+(H33)*(MAX($D$16,(D89)-(J33))))*(MAX($D$16,(D89)-(J33))),0.000001))^2)/(2*$I$5))),$D$8*((((ABS(H89)/MAX(((F33)+(H33)*(MAX($D$16,(D89)-(J33))))*(MAX($D$16,(D89)-(J33))),0.000001))^2)/(2*$I$5))-(((ABS(H89)/MAX(((G33)+(I33)*(MAX($D$16,(L89)-(K33))))*(MAX($D$16,(L89)-(K33))),0.000001))^2)/(2*$I$5)))))+($D$10*(ABS((X33)-(W33))/90)*MAX(((ABS(H89)/MAX(((F33)+(H33)*(MAX($D$16,(D89)-(J33))))*(MAX($D$16,(D89)-(J33))),0.000001))^2)/(2*$I$5),((ABS(H89)/MAX(((G33)+(I33)*(MAX($D$16,(L89)-(K33))))*(MAX($D$16,(L89)-(K33))),0.000001))^2)/(2*$I$5)))+(($D$11*0.00000015*(ABS(G89)/MAX(ABS(F89),0.000001))^2*MAX(((ABS(H89)/MAX(((F33)+(H33)*(MAX($D$16,(D89)-(J33))))*(MAX($D$16,(D89)-(J33))),0.000001))^2)/(2*$I$5),((ABS(H89)/MAX(((G33)+(I33)*(MAX($D$16,(L89)-(K33))))*(MAX($D$16,(L89)-(K33))),0.000001))^2)/(2*$I$5))))-((ABS(H89)/MAX(((F33)+(H33)*(MAX($D$16,(D89)-(J33))))*(MAX($D$16,(D89)-(J33))),0.000001))^2)/(2*$I$5)</f>
        <v>634.3119999999999</v>
      </c>
      <c r="R89">
        <f>D89+((ABS(G89)/MAX(((F32)+(H32)*(MAX($D$16,(D89)-(J32))))*(MAX($D$16,(D89)-(J32))),0.000001))^2)/(2*$I$5)-((E32)*((((ABS(G89)*$D$6)/(MAX(((F32)+(H32)*(MAX($D$16,(D89)-(J32))))*(MAX($D$16,(D89)-(J32))),0.000001)*MAX(((((F32)+(H32)*(MAX($D$16,(D89)-(J32))))*(MAX($D$16,(D89)-(J32))))/MAX((F32)+2*(MAX($D$16,(D89)-(J32)))*SQRT(1+(H32)^2),0.000001))^(2/3),0.000001)))^2)+(((ABS(G89)*$D$6)/(MAX(((G32)+(I32)*(MAX($D$16,(E89)-(K32))))*(MAX($D$16,(E89)-(K32))),0.000001)*MAX(((((G32)+(I32)*(MAX($D$16,(E89)-(K32))))*(MAX($D$16,(E89)-(K32))))/MAX((G32)+2*(MAX($D$16,(E89)-(K32)))*SQRT(1+(I32)^2),0.000001))^(2/3),0.000001)))^2))/2)+(IF((ABS(G89)/MAX(((G32)+(I32)*(MAX($D$16,(E89)-(K32))))*(MAX($D$16,(E89)-(K32))),0.000001))&gt;(ABS(G89)/MAX(((F32)+(H32)*(MAX($D$16,(D89)-(J32))))*(MAX($D$16,(D89)-(J32))),0.000001)),$D$9*((((ABS(G89)/MAX(((G32)+(I32)*(MAX($D$16,(E89)-(K32))))*(MAX($D$16,(E89)-(K32))),0.000001))^2)/(2*$I$5))-(((ABS(G89)/MAX(((F32)+(H32)*(MAX($D$16,(D89)-(J32))))*(MAX($D$16,(D89)-(J32))),0.000001))^2)/(2*$I$5))),$D$8*((((ABS(G89)/MAX(((F32)+(H32)*(MAX($D$16,(D89)-(J32))))*(MAX($D$16,(D89)-(J32))),0.000001))^2)/(2*$I$5))-(((ABS(G89)/MAX(((G32)+(I32)*(MAX($D$16,(E89)-(K32))))*(MAX($D$16,(E89)-(K32))),0.000001))^2)/(2*$I$5)))))+($D$10*(ABS((X32)-(W32))/90)*MAX(((ABS(G89)/MAX(((F32)+(H32)*(MAX($D$16,(D89)-(J32))))*(MAX($D$16,(D89)-(J32))),0.000001))^2)/(2*$I$5),((ABS(G89)/MAX(((G32)+(I32)*(MAX($D$16,(E89)-(K32))))*(MAX($D$16,(E89)-(K32))),0.000001))^2)/(2*$I$5)))+(($D$11*0.13607488*(ABS(H89)/MAX(ABS(F89),0.000001))^2*MAX(((ABS(G89)/MAX(((F32)+(H32)*(MAX($D$16,(D89)-(J32))))*(MAX($D$16,(D89)-(J32))),0.000001))^2)/(2*$I$5),((ABS(G89)/MAX(((G32)+(I32)*(MAX($D$16,(E89)-(K32))))*(MAX($D$16,(E89)-(K32))),0.000001))^2)/(2*$I$5))))-((ABS(G89)/MAX(((G32)+(I32)*(MAX($D$16,(E89)-(K32))))*(MAX($D$16,(E89)-(K32))),0.000001))^2)/(2*$I$5)</f>
        <v>52432.141837659794</v>
      </c>
      <c r="S89">
        <f>M89+((ABS(I89)/MAX(((G34)+(I34)*(MAX($D$16,(M89)-(K34))))*(MAX($D$16,(M89)-(K34))),0.000001))^2)/(2*$I$5)+((E34)*((((ABS(I89)*$D$6)/(MAX(((F34)+(H34)*(MAX($D$16,(E89)-(J34))))*(MAX($D$16,(E89)-(J34))),0.000001)*MAX(((((F34)+(H34)*(MAX($D$16,(E89)-(J34))))*(MAX($D$16,(E89)-(J34))))/MAX((F34)+2*(MAX($D$16,(E89)-(J34)))*SQRT(1+(H34)^2),0.000001))^(2/3),0.000001)))^2)+(((ABS(I89)*$D$6)/(MAX(((G34)+(I34)*(MAX($D$16,(M89)-(K34))))*(MAX($D$16,(M89)-(K34))),0.000001)*MAX(((((G34)+(I34)*(MAX($D$16,(M89)-(K34))))*(MAX($D$16,(M89)-(K34))))/MAX((G34)+2*(MAX($D$16,(M89)-(K34)))*SQRT(1+(I34)^2),0.000001))^(2/3),0.000001)))^2))/2)+(IF((ABS(I89)/MAX(((G34)+(I34)*(MAX($D$16,(M89)-(K34))))*(MAX($D$16,(M89)-(K34))),0.000001))&gt;(ABS(I89)/MAX(((F34)+(H34)*(MAX($D$16,(E89)-(J34))))*(MAX($D$16,(E89)-(J34))),0.000001)),$D$9*((((ABS(I89)/MAX(((G34)+(I34)*(MAX($D$16,(M89)-(K34))))*(MAX($D$16,(M89)-(K34))),0.000001))^2)/(2*$I$5))-(((ABS(I89)/MAX(((F34)+(H34)*(MAX($D$16,(E89)-(J34))))*(MAX($D$16,(E89)-(J34))),0.000001))^2)/(2*$I$5))),$D$8*((((ABS(I89)/MAX(((F34)+(H34)*(MAX($D$16,(E89)-(J34))))*(MAX($D$16,(E89)-(J34))),0.000001))^2)/(2*$I$5))-(((ABS(I89)/MAX(((G34)+(I34)*(MAX($D$16,(M89)-(K34))))*(MAX($D$16,(M89)-(K34))),0.000001))^2)/(2*$I$5)))))+($D$10*(ABS((X34)-(W34))/90)*MAX(((ABS(I89)/MAX(((F34)+(H34)*(MAX($D$16,(E89)-(J34))))*(MAX($D$16,(E89)-(J34))),0.000001))^2)/(2*$I$5),((ABS(I89)/MAX(((G34)+(I34)*(MAX($D$16,(M89)-(K34))))*(MAX($D$16,(M89)-(K34))),0.000001))^2)/(2*$I$5)))+(0)-((ABS(I89)/MAX(((F34)+(H34)*(MAX($D$16,(E89)-(J34))))*(MAX($D$16,(E89)-(J34))),0.000001))^2)/(2*$I$5)</f>
        <v>635.5</v>
      </c>
      <c r="T89">
        <f>N89+((ABS(J89)/MAX(((G35)+(I35)*(MAX($D$16,(N89)-(K35))))*(MAX($D$16,(N89)-(K35))),0.000001))^2)/(2*$I$5)+((E35)*((((ABS(J89)*$D$6)/(MAX(((F35)+(H35)*(MAX($D$16,(E89)-(J35))))*(MAX($D$16,(E89)-(J35))),0.000001)*MAX(((((F35)+(H35)*(MAX($D$16,(E89)-(J35))))*(MAX($D$16,(E89)-(J35))))/MAX((F35)+2*(MAX($D$16,(E89)-(J35)))*SQRT(1+(H35)^2),0.000001))^(2/3),0.000001)))^2)+(((ABS(J89)*$D$6)/(MAX(((G35)+(I35)*(MAX($D$16,(N89)-(K35))))*(MAX($D$16,(N89)-(K35))),0.000001)*MAX(((((G35)+(I35)*(MAX($D$16,(N89)-(K35))))*(MAX($D$16,(N89)-(K35))))/MAX((G35)+2*(MAX($D$16,(N89)-(K35)))*SQRT(1+(I35)^2),0.000001))^(2/3),0.000001)))^2))/2)+(IF((ABS(J89)/MAX(((G35)+(I35)*(MAX($D$16,(N89)-(K35))))*(MAX($D$16,(N89)-(K35))),0.000001))&gt;(ABS(J89)/MAX(((F35)+(H35)*(MAX($D$16,(E89)-(J35))))*(MAX($D$16,(E89)-(J35))),0.000001)),$D$9*((((ABS(J89)/MAX(((G35)+(I35)*(MAX($D$16,(N89)-(K35))))*(MAX($D$16,(N89)-(K35))),0.000001))^2)/(2*$I$5))-(((ABS(J89)/MAX(((F35)+(H35)*(MAX($D$16,(E89)-(J35))))*(MAX($D$16,(E89)-(J35))),0.000001))^2)/(2*$I$5))),$D$8*((((ABS(J89)/MAX(((F35)+(H35)*(MAX($D$16,(E89)-(J35))))*(MAX($D$16,(E89)-(J35))),0.000001))^2)/(2*$I$5))-(((ABS(J89)/MAX(((G35)+(I35)*(MAX($D$16,(N89)-(K35))))*(MAX($D$16,(N89)-(K35))),0.000001))^2)/(2*$I$5)))))+($D$10*(ABS((X35)-(W35))/90)*MAX(((ABS(J89)/MAX(((F35)+(H35)*(MAX($D$16,(E89)-(J35))))*(MAX($D$16,(E89)-(J35))),0.000001))^2)/(2*$I$5),((ABS(J89)/MAX(((G35)+(I35)*(MAX($D$16,(N89)-(K35))))*(MAX($D$16,(N89)-(K35))),0.000001))^2)/(2*$I$5)))+(($D$11*0.34699541*(ABS(I89)/MAX(ABS(G89),0.000001))^2*MAX(((ABS(J89)/MAX(((F35)+(H35)*(MAX($D$16,(E89)-(J35))))*(MAX($D$16,(E89)-(J35))),0.000001))^2)/(2*$I$5),((ABS(J89)/MAX(((G35)+(I35)*(MAX($D$16,(N89)-(K35))))*(MAX($D$16,(N89)-(K35))),0.000001))^2)/(2*$I$5))))-((ABS(J89)/MAX(((F35)+(H35)*(MAX($D$16,(E89)-(J35))))*(MAX($D$16,(E89)-(J35))),0.000001))^2)/(2*$I$5)</f>
        <v>20784.033523923383</v>
      </c>
      <c r="U89">
        <f>(((((F32)*(MAX($D$16,(D89)-(J32)))^2)/2+(H32)*(MAX($D$16,(D89)-(J32)))^3/3+(ABS(G89)^2)/($I$5*MAX(((F32)+(H32)*(MAX($D$16,(D89)-(J32))))*(MAX($D$16,(D89)-(J32))),0.000001)))*0.72785025)-((((F33)*(MAX($D$16,(D89)-(J33)))^2)/2+(H33)*(MAX($D$16,(D89)-(J33)))^3/3+(ABS(H89)^2)/($I$5*MAX(((F33)+(H33)*(MAX($D$16,(D89)-(J33))))*(MAX($D$16,(D89)-(J33))),0.000001)))*0.99999971))/MAX(((G31)*(MAX($D$16,(D89)-(K31)))^2)/2+(I31)*(MAX($D$16,(D89)-(K31)))^3/3+(ABS(F89)^2)/($I$5*MAX(((G31)+(I31)*(MAX($D$16,(D89)-(K31))))*(MAX($D$16,(D89)-(K31))),0.000001)),0.000001)</f>
        <v>-0.27214945999991125</v>
      </c>
      <c r="V89">
        <f>(((((F34)*(MAX($D$16,(E89)-(J34)))^2)/2+(H34)*(MAX($D$16,(E89)-(J34)))^3/3+(ABS(I89)^2)/($I$5*MAX(((F34)+(H34)*(MAX($D$16,(E89)-(J34))))*(MAX($D$16,(E89)-(J34))),0.000001)))*1)-((((F35)*(MAX($D$16,(E89)-(J35)))^2)/2+(H35)*(MAX($D$16,(E89)-(J35)))^3/3+(ABS(J89)^2)/($I$5*MAX(((F35)+(H35)*(MAX($D$16,(E89)-(J35))))*(MAX($D$16,(E89)-(J35))),0.000001)))*0.30600918))/MAX(((G32)*(MAX($D$16,(E89)-(K32)))^2)/2+(I32)*(MAX($D$16,(E89)-(K32)))^3/3+(ABS(G89)^2)/($I$5*MAX(((G32)+(I32)*(MAX($D$16,(E89)-(K32))))*(MAX($D$16,(E89)-(K32))),0.000001)),0.000001)</f>
        <v>0.69398638937190393</v>
      </c>
      <c r="W89">
        <f>IF(N6="None",ABS(P89-D89),MAX(ABS(P89-D89),ABS(Q89-D89)))</f>
        <v>3.4197000786662102E-10</v>
      </c>
      <c r="X89">
        <f>IF(AND(N7="None",N8="None"),0,IF(N8="None",ABS(S89-E89),IF(N7="None",ABS(T89-E89),MAX(ABS(S89-E89),ABS(T89-E89)))))</f>
        <v>51796.641837659452</v>
      </c>
      <c r="AA89">
        <f t="shared" si="18"/>
        <v>52432.141837659779</v>
      </c>
      <c r="AB89">
        <f t="shared" si="19"/>
        <v>41355.303927851826</v>
      </c>
      <c r="AC89">
        <f>IF(N6="None",P89,MAX(P89,Q89))</f>
        <v>52432.141837660005</v>
      </c>
      <c r="AD89">
        <f>IF(AND(N7="None",N8="None"),E89,IF(N8="None",S89,IF(N7="None",T89,MAX(S89,T89))))</f>
        <v>20784.033523923383</v>
      </c>
      <c r="AE89">
        <f t="shared" si="20"/>
        <v>637.65825101089831</v>
      </c>
      <c r="AF89">
        <f t="shared" si="21"/>
        <v>52432.141837659794</v>
      </c>
      <c r="AG89">
        <f>((G31)*(MAX($D$16,(AC89)-(K31)))^2)/2+(I31)*(MAX($D$16,(AC89)-(K31)))^3/3+(ABS(F89)^2)/($I$5*MAX(((G31)+(I31)*(MAX($D$16,(AC89)-(K31))))*(MAX($D$16,(AC89)-(K31))),0.000001))</f>
        <v>8797611517.4109573</v>
      </c>
      <c r="AH89">
        <f>((G31)*(MAX($D$16,(AE89)-(K31)))^2)/2+(I31)*(MAX($D$16,(AE89)-(K31)))^3/3+(ABS(F89)^2)/($I$5*MAX(((G31)+(I31)*(MAX($D$16,(AE89)-(K31))))*(MAX($D$16,(AE89)-(K31))),0.000001))</f>
        <v>49.055863329575246</v>
      </c>
      <c r="AI89">
        <f>((G32)*(MAX($D$16,(AD89)-(K32)))^2)/2+(I32)*(MAX($D$16,(AD89)-(K32)))^3/3+(ABS(G89)^2)/($I$5*MAX(((G32)+(I32)*(MAX($D$16,(AD89)-(K32))))*(MAX($D$16,(AD89)-(K32))),0.000001))</f>
        <v>2072376743.6648321</v>
      </c>
      <c r="AJ89">
        <f>((G32)*(MAX($D$16,(AF89)-(K32)))^2)/2+(I32)*(MAX($D$16,(AF89)-(K32)))^3/3+(ABS(G89)^2)/($I$5*MAX(((G32)+(I32)*(MAX($D$16,(AF89)-(K32))))*(MAX($D$16,(AF89)-(K32))),0.000001))</f>
        <v>13692714789.64292</v>
      </c>
      <c r="AK89" t="str">
        <f t="shared" si="22"/>
        <v>Subcritical</v>
      </c>
      <c r="AL89" t="str">
        <f t="shared" si="23"/>
        <v>Supercritical</v>
      </c>
      <c r="AM89">
        <f t="shared" si="24"/>
        <v>52432.141837659779</v>
      </c>
      <c r="AN89">
        <f t="shared" si="25"/>
        <v>52432.141837659568</v>
      </c>
      <c r="AO89">
        <f t="shared" si="26"/>
        <v>3.4197000786662102E-10</v>
      </c>
      <c r="AP89">
        <f t="shared" si="27"/>
        <v>3.4197000786662102E-10</v>
      </c>
    </row>
    <row r="90" spans="1:42" x14ac:dyDescent="0.35">
      <c r="A90">
        <v>47</v>
      </c>
      <c r="B90">
        <f t="shared" si="28"/>
        <v>0</v>
      </c>
      <c r="C90">
        <f t="shared" si="29"/>
        <v>0</v>
      </c>
      <c r="D90">
        <f t="shared" si="30"/>
        <v>52432.141837659779</v>
      </c>
      <c r="E90">
        <f t="shared" si="31"/>
        <v>52432.141837659568</v>
      </c>
      <c r="F90">
        <f t="shared" si="17"/>
        <v>51</v>
      </c>
      <c r="G90">
        <f>IF(N6="None",F90,MAX(0,F90*B90))</f>
        <v>51</v>
      </c>
      <c r="H90">
        <f>IF(N6="None",0,MAX(0,F90-G90))</f>
        <v>0</v>
      </c>
      <c r="I90">
        <f>IF(AND(N7="None",N8="None"),0,IF(N8="None",G90,IF(N7="None",0,MAX(0,G90*C90))))</f>
        <v>0</v>
      </c>
      <c r="J90">
        <f>IF(AND(N7="None",N8="None"),0,IF(N8="None",0,IF(N7="None",G90,MAX(0,G90-I90))))</f>
        <v>51</v>
      </c>
      <c r="K90">
        <f>P5</f>
        <v>637</v>
      </c>
      <c r="L90">
        <f>P6</f>
        <v>634.3119999999999</v>
      </c>
      <c r="M90">
        <f>P7</f>
        <v>635.5</v>
      </c>
      <c r="N90">
        <f>P8</f>
        <v>631.54999999999995</v>
      </c>
      <c r="O90">
        <f>K90+((ABS(F90)/MAX(((F31)+(H31)*(MAX($D$16,(K90)-(J31))))*(MAX($D$16,(K90)-(J31))),0.000001))^2)/(2*$I$5)-((E31)*((((ABS(F90)*$D$6)/(MAX(((F31)+(H31)*(MAX($D$16,(K90)-(J31))))*(MAX($D$16,(K90)-(J31))),0.000001)*MAX(((((F31)+(H31)*(MAX($D$16,(K90)-(J31))))*(MAX($D$16,(K90)-(J31))))/MAX((F31)+2*(MAX($D$16,(K90)-(J31)))*SQRT(1+(H31)^2),0.000001))^(2/3),0.000001)))^2)+(((ABS(F90)*$D$6)/(MAX(((G31)+(I31)*(MAX($D$16,(D90)-(K31))))*(MAX($D$16,(D90)-(K31))),0.000001)*MAX(((((G31)+(I31)*(MAX($D$16,(D90)-(K31))))*(MAX($D$16,(D90)-(K31))))/MAX((G31)+2*(MAX($D$16,(D90)-(K31)))*SQRT(1+(I31)^2),0.000001))^(2/3),0.000001)))^2))/2)+(IF((ABS(F90)/MAX(((G31)+(I31)*(MAX($D$16,(D90)-(K31))))*(MAX($D$16,(D90)-(K31))),0.000001))&gt;(ABS(F90)/MAX(((F31)+(H31)*(MAX($D$16,(K90)-(J31))))*(MAX($D$16,(K90)-(J31))),0.000001)),$D$9*((((ABS(F90)/MAX(((G31)+(I31)*(MAX($D$16,(D90)-(K31))))*(MAX($D$16,(D90)-(K31))),0.000001))^2)/(2*$I$5))-(((ABS(F90)/MAX(((F31)+(H31)*(MAX($D$16,(K90)-(J31))))*(MAX($D$16,(K90)-(J31))),0.000001))^2)/(2*$I$5))),$D$8*((((ABS(F90)/MAX(((F31)+(H31)*(MAX($D$16,(K90)-(J31))))*(MAX($D$16,(K90)-(J31))),0.000001))^2)/(2*$I$5))-(((ABS(F90)/MAX(((G31)+(I31)*(MAX($D$16,(D90)-(K31))))*(MAX($D$16,(D90)-(K31))),0.000001))^2)/(2*$I$5)))))+($D$10*(ABS((X31)-(W31))/90)*MAX(((ABS(F90)/MAX(((F31)+(H31)*(MAX($D$16,(K90)-(J31))))*(MAX($D$16,(K90)-(J31))),0.000001))^2)/(2*$I$5),((ABS(F90)/MAX(((G31)+(I31)*(MAX($D$16,(D90)-(K31))))*(MAX($D$16,(D90)-(K31))),0.000001))^2)/(2*$I$5)))+(0)-((ABS(F90)/MAX(((G31)+(I31)*(MAX($D$16,(D90)-(K31))))*(MAX($D$16,(D90)-(K31))),0.000001))^2)/(2*$I$5)</f>
        <v>637.65825101089831</v>
      </c>
      <c r="P90">
        <f>E90+((ABS(G90)/MAX(((G32)+(I32)*(MAX($D$16,(E90)-(K32))))*(MAX($D$16,(E90)-(K32))),0.000001))^2)/(2*$I$5)+((E32)*((((ABS(G90)*$D$6)/(MAX(((F32)+(H32)*(MAX($D$16,(D90)-(J32))))*(MAX($D$16,(D90)-(J32))),0.000001)*MAX(((((F32)+(H32)*(MAX($D$16,(D90)-(J32))))*(MAX($D$16,(D90)-(J32))))/MAX((F32)+2*(MAX($D$16,(D90)-(J32)))*SQRT(1+(H32)^2),0.000001))^(2/3),0.000001)))^2)+(((ABS(G90)*$D$6)/(MAX(((G32)+(I32)*(MAX($D$16,(E90)-(K32))))*(MAX($D$16,(E90)-(K32))),0.000001)*MAX(((((G32)+(I32)*(MAX($D$16,(E90)-(K32))))*(MAX($D$16,(E90)-(K32))))/MAX((G32)+2*(MAX($D$16,(E90)-(K32)))*SQRT(1+(I32)^2),0.000001))^(2/3),0.000001)))^2))/2)+(IF((ABS(G90)/MAX(((G32)+(I32)*(MAX($D$16,(E90)-(K32))))*(MAX($D$16,(E90)-(K32))),0.000001))&gt;(ABS(G90)/MAX(((F32)+(H32)*(MAX($D$16,(D90)-(J32))))*(MAX($D$16,(D90)-(J32))),0.000001)),$D$9*((((ABS(G90)/MAX(((G32)+(I32)*(MAX($D$16,(E90)-(K32))))*(MAX($D$16,(E90)-(K32))),0.000001))^2)/(2*$I$5))-(((ABS(G90)/MAX(((F32)+(H32)*(MAX($D$16,(D90)-(J32))))*(MAX($D$16,(D90)-(J32))),0.000001))^2)/(2*$I$5))),$D$8*((((ABS(G90)/MAX(((F32)+(H32)*(MAX($D$16,(D90)-(J32))))*(MAX($D$16,(D90)-(J32))),0.000001))^2)/(2*$I$5))-(((ABS(G90)/MAX(((G32)+(I32)*(MAX($D$16,(E90)-(K32))))*(MAX($D$16,(E90)-(K32))),0.000001))^2)/(2*$I$5)))))+($D$10*(ABS((X32)-(W32))/90)*MAX(((ABS(G90)/MAX(((F32)+(H32)*(MAX($D$16,(D90)-(J32))))*(MAX($D$16,(D90)-(J32))),0.000001))^2)/(2*$I$5),((ABS(G90)/MAX(((G32)+(I32)*(MAX($D$16,(E90)-(K32))))*(MAX($D$16,(E90)-(K32))),0.000001))^2)/(2*$I$5)))+(($D$11*0.13607488*(ABS(H90)/MAX(ABS(F90),0.000001))^2*MAX(((ABS(G90)/MAX(((F32)+(H32)*(MAX($D$16,(D90)-(J32))))*(MAX($D$16,(D90)-(J32))),0.000001))^2)/(2*$I$5),((ABS(G90)/MAX(((G32)+(I32)*(MAX($D$16,(E90)-(K32))))*(MAX($D$16,(E90)-(K32))),0.000001))^2)/(2*$I$5))))-((ABS(G90)/MAX(((F32)+(H32)*(MAX($D$16,(D90)-(J32))))*(MAX($D$16,(D90)-(J32))),0.000001))^2)/(2*$I$5)</f>
        <v>52432.141837660121</v>
      </c>
      <c r="Q90">
        <f>L90+((ABS(H90)/MAX(((G33)+(I33)*(MAX($D$16,(L90)-(K33))))*(MAX($D$16,(L90)-(K33))),0.000001))^2)/(2*$I$5)+((E33)*((((ABS(H90)*$D$6)/(MAX(((F33)+(H33)*(MAX($D$16,(D90)-(J33))))*(MAX($D$16,(D90)-(J33))),0.000001)*MAX(((((F33)+(H33)*(MAX($D$16,(D90)-(J33))))*(MAX($D$16,(D90)-(J33))))/MAX((F33)+2*(MAX($D$16,(D90)-(J33)))*SQRT(1+(H33)^2),0.000001))^(2/3),0.000001)))^2)+(((ABS(H90)*$D$6)/(MAX(((G33)+(I33)*(MAX($D$16,(L90)-(K33))))*(MAX($D$16,(L90)-(K33))),0.000001)*MAX(((((G33)+(I33)*(MAX($D$16,(L90)-(K33))))*(MAX($D$16,(L90)-(K33))))/MAX((G33)+2*(MAX($D$16,(L90)-(K33)))*SQRT(1+(I33)^2),0.000001))^(2/3),0.000001)))^2))/2)+(IF((ABS(H90)/MAX(((G33)+(I33)*(MAX($D$16,(L90)-(K33))))*(MAX($D$16,(L90)-(K33))),0.000001))&gt;(ABS(H90)/MAX(((F33)+(H33)*(MAX($D$16,(D90)-(J33))))*(MAX($D$16,(D90)-(J33))),0.000001)),$D$9*((((ABS(H90)/MAX(((G33)+(I33)*(MAX($D$16,(L90)-(K33))))*(MAX($D$16,(L90)-(K33))),0.000001))^2)/(2*$I$5))-(((ABS(H90)/MAX(((F33)+(H33)*(MAX($D$16,(D90)-(J33))))*(MAX($D$16,(D90)-(J33))),0.000001))^2)/(2*$I$5))),$D$8*((((ABS(H90)/MAX(((F33)+(H33)*(MAX($D$16,(D90)-(J33))))*(MAX($D$16,(D90)-(J33))),0.000001))^2)/(2*$I$5))-(((ABS(H90)/MAX(((G33)+(I33)*(MAX($D$16,(L90)-(K33))))*(MAX($D$16,(L90)-(K33))),0.000001))^2)/(2*$I$5)))))+($D$10*(ABS((X33)-(W33))/90)*MAX(((ABS(H90)/MAX(((F33)+(H33)*(MAX($D$16,(D90)-(J33))))*(MAX($D$16,(D90)-(J33))),0.000001))^2)/(2*$I$5),((ABS(H90)/MAX(((G33)+(I33)*(MAX($D$16,(L90)-(K33))))*(MAX($D$16,(L90)-(K33))),0.000001))^2)/(2*$I$5)))+(($D$11*0.00000015*(ABS(G90)/MAX(ABS(F90),0.000001))^2*MAX(((ABS(H90)/MAX(((F33)+(H33)*(MAX($D$16,(D90)-(J33))))*(MAX($D$16,(D90)-(J33))),0.000001))^2)/(2*$I$5),((ABS(H90)/MAX(((G33)+(I33)*(MAX($D$16,(L90)-(K33))))*(MAX($D$16,(L90)-(K33))),0.000001))^2)/(2*$I$5))))-((ABS(H90)/MAX(((F33)+(H33)*(MAX($D$16,(D90)-(J33))))*(MAX($D$16,(D90)-(J33))),0.000001))^2)/(2*$I$5)</f>
        <v>634.3119999999999</v>
      </c>
      <c r="R90">
        <f>D90+((ABS(G90)/MAX(((F32)+(H32)*(MAX($D$16,(D90)-(J32))))*(MAX($D$16,(D90)-(J32))),0.000001))^2)/(2*$I$5)-((E32)*((((ABS(G90)*$D$6)/(MAX(((F32)+(H32)*(MAX($D$16,(D90)-(J32))))*(MAX($D$16,(D90)-(J32))),0.000001)*MAX(((((F32)+(H32)*(MAX($D$16,(D90)-(J32))))*(MAX($D$16,(D90)-(J32))))/MAX((F32)+2*(MAX($D$16,(D90)-(J32)))*SQRT(1+(H32)^2),0.000001))^(2/3),0.000001)))^2)+(((ABS(G90)*$D$6)/(MAX(((G32)+(I32)*(MAX($D$16,(E90)-(K32))))*(MAX($D$16,(E90)-(K32))),0.000001)*MAX(((((G32)+(I32)*(MAX($D$16,(E90)-(K32))))*(MAX($D$16,(E90)-(K32))))/MAX((G32)+2*(MAX($D$16,(E90)-(K32)))*SQRT(1+(I32)^2),0.000001))^(2/3),0.000001)))^2))/2)+(IF((ABS(G90)/MAX(((G32)+(I32)*(MAX($D$16,(E90)-(K32))))*(MAX($D$16,(E90)-(K32))),0.000001))&gt;(ABS(G90)/MAX(((F32)+(H32)*(MAX($D$16,(D90)-(J32))))*(MAX($D$16,(D90)-(J32))),0.000001)),$D$9*((((ABS(G90)/MAX(((G32)+(I32)*(MAX($D$16,(E90)-(K32))))*(MAX($D$16,(E90)-(K32))),0.000001))^2)/(2*$I$5))-(((ABS(G90)/MAX(((F32)+(H32)*(MAX($D$16,(D90)-(J32))))*(MAX($D$16,(D90)-(J32))),0.000001))^2)/(2*$I$5))),$D$8*((((ABS(G90)/MAX(((F32)+(H32)*(MAX($D$16,(D90)-(J32))))*(MAX($D$16,(D90)-(J32))),0.000001))^2)/(2*$I$5))-(((ABS(G90)/MAX(((G32)+(I32)*(MAX($D$16,(E90)-(K32))))*(MAX($D$16,(E90)-(K32))),0.000001))^2)/(2*$I$5)))))+($D$10*(ABS((X32)-(W32))/90)*MAX(((ABS(G90)/MAX(((F32)+(H32)*(MAX($D$16,(D90)-(J32))))*(MAX($D$16,(D90)-(J32))),0.000001))^2)/(2*$I$5),((ABS(G90)/MAX(((G32)+(I32)*(MAX($D$16,(E90)-(K32))))*(MAX($D$16,(E90)-(K32))),0.000001))^2)/(2*$I$5)))+(($D$11*0.13607488*(ABS(H90)/MAX(ABS(F90),0.000001))^2*MAX(((ABS(G90)/MAX(((F32)+(H32)*(MAX($D$16,(D90)-(J32))))*(MAX($D$16,(D90)-(J32))),0.000001))^2)/(2*$I$5),((ABS(G90)/MAX(((G32)+(I32)*(MAX($D$16,(E90)-(K32))))*(MAX($D$16,(E90)-(K32))),0.000001))^2)/(2*$I$5))))-((ABS(G90)/MAX(((G32)+(I32)*(MAX($D$16,(E90)-(K32))))*(MAX($D$16,(E90)-(K32))),0.000001))^2)/(2*$I$5)</f>
        <v>52432.14183765991</v>
      </c>
      <c r="S90">
        <f>M90+((ABS(I90)/MAX(((G34)+(I34)*(MAX($D$16,(M90)-(K34))))*(MAX($D$16,(M90)-(K34))),0.000001))^2)/(2*$I$5)+((E34)*((((ABS(I90)*$D$6)/(MAX(((F34)+(H34)*(MAX($D$16,(E90)-(J34))))*(MAX($D$16,(E90)-(J34))),0.000001)*MAX(((((F34)+(H34)*(MAX($D$16,(E90)-(J34))))*(MAX($D$16,(E90)-(J34))))/MAX((F34)+2*(MAX($D$16,(E90)-(J34)))*SQRT(1+(H34)^2),0.000001))^(2/3),0.000001)))^2)+(((ABS(I90)*$D$6)/(MAX(((G34)+(I34)*(MAX($D$16,(M90)-(K34))))*(MAX($D$16,(M90)-(K34))),0.000001)*MAX(((((G34)+(I34)*(MAX($D$16,(M90)-(K34))))*(MAX($D$16,(M90)-(K34))))/MAX((G34)+2*(MAX($D$16,(M90)-(K34)))*SQRT(1+(I34)^2),0.000001))^(2/3),0.000001)))^2))/2)+(IF((ABS(I90)/MAX(((G34)+(I34)*(MAX($D$16,(M90)-(K34))))*(MAX($D$16,(M90)-(K34))),0.000001))&gt;(ABS(I90)/MAX(((F34)+(H34)*(MAX($D$16,(E90)-(J34))))*(MAX($D$16,(E90)-(J34))),0.000001)),$D$9*((((ABS(I90)/MAX(((G34)+(I34)*(MAX($D$16,(M90)-(K34))))*(MAX($D$16,(M90)-(K34))),0.000001))^2)/(2*$I$5))-(((ABS(I90)/MAX(((F34)+(H34)*(MAX($D$16,(E90)-(J34))))*(MAX($D$16,(E90)-(J34))),0.000001))^2)/(2*$I$5))),$D$8*((((ABS(I90)/MAX(((F34)+(H34)*(MAX($D$16,(E90)-(J34))))*(MAX($D$16,(E90)-(J34))),0.000001))^2)/(2*$I$5))-(((ABS(I90)/MAX(((G34)+(I34)*(MAX($D$16,(M90)-(K34))))*(MAX($D$16,(M90)-(K34))),0.000001))^2)/(2*$I$5)))))+($D$10*(ABS((X34)-(W34))/90)*MAX(((ABS(I90)/MAX(((F34)+(H34)*(MAX($D$16,(E90)-(J34))))*(MAX($D$16,(E90)-(J34))),0.000001))^2)/(2*$I$5),((ABS(I90)/MAX(((G34)+(I34)*(MAX($D$16,(M90)-(K34))))*(MAX($D$16,(M90)-(K34))),0.000001))^2)/(2*$I$5)))+(0)-((ABS(I90)/MAX(((F34)+(H34)*(MAX($D$16,(E90)-(J34))))*(MAX($D$16,(E90)-(J34))),0.000001))^2)/(2*$I$5)</f>
        <v>635.5</v>
      </c>
      <c r="T90">
        <f>N90+((ABS(J90)/MAX(((G35)+(I35)*(MAX($D$16,(N90)-(K35))))*(MAX($D$16,(N90)-(K35))),0.000001))^2)/(2*$I$5)+((E35)*((((ABS(J90)*$D$6)/(MAX(((F35)+(H35)*(MAX($D$16,(E90)-(J35))))*(MAX($D$16,(E90)-(J35))),0.000001)*MAX(((((F35)+(H35)*(MAX($D$16,(E90)-(J35))))*(MAX($D$16,(E90)-(J35))))/MAX((F35)+2*(MAX($D$16,(E90)-(J35)))*SQRT(1+(H35)^2),0.000001))^(2/3),0.000001)))^2)+(((ABS(J90)*$D$6)/(MAX(((G35)+(I35)*(MAX($D$16,(N90)-(K35))))*(MAX($D$16,(N90)-(K35))),0.000001)*MAX(((((G35)+(I35)*(MAX($D$16,(N90)-(K35))))*(MAX($D$16,(N90)-(K35))))/MAX((G35)+2*(MAX($D$16,(N90)-(K35)))*SQRT(1+(I35)^2),0.000001))^(2/3),0.000001)))^2))/2)+(IF((ABS(J90)/MAX(((G35)+(I35)*(MAX($D$16,(N90)-(K35))))*(MAX($D$16,(N90)-(K35))),0.000001))&gt;(ABS(J90)/MAX(((F35)+(H35)*(MAX($D$16,(E90)-(J35))))*(MAX($D$16,(E90)-(J35))),0.000001)),$D$9*((((ABS(J90)/MAX(((G35)+(I35)*(MAX($D$16,(N90)-(K35))))*(MAX($D$16,(N90)-(K35))),0.000001))^2)/(2*$I$5))-(((ABS(J90)/MAX(((F35)+(H35)*(MAX($D$16,(E90)-(J35))))*(MAX($D$16,(E90)-(J35))),0.000001))^2)/(2*$I$5))),$D$8*((((ABS(J90)/MAX(((F35)+(H35)*(MAX($D$16,(E90)-(J35))))*(MAX($D$16,(E90)-(J35))),0.000001))^2)/(2*$I$5))-(((ABS(J90)/MAX(((G35)+(I35)*(MAX($D$16,(N90)-(K35))))*(MAX($D$16,(N90)-(K35))),0.000001))^2)/(2*$I$5)))))+($D$10*(ABS((X35)-(W35))/90)*MAX(((ABS(J90)/MAX(((F35)+(H35)*(MAX($D$16,(E90)-(J35))))*(MAX($D$16,(E90)-(J35))),0.000001))^2)/(2*$I$5),((ABS(J90)/MAX(((G35)+(I35)*(MAX($D$16,(N90)-(K35))))*(MAX($D$16,(N90)-(K35))),0.000001))^2)/(2*$I$5)))+(($D$11*0.34699541*(ABS(I90)/MAX(ABS(G90),0.000001))^2*MAX(((ABS(J90)/MAX(((F35)+(H35)*(MAX($D$16,(E90)-(J35))))*(MAX($D$16,(E90)-(J35))),0.000001))^2)/(2*$I$5),((ABS(J90)/MAX(((G35)+(I35)*(MAX($D$16,(N90)-(K35))))*(MAX($D$16,(N90)-(K35))),0.000001))^2)/(2*$I$5))))-((ABS(J90)/MAX(((F35)+(H35)*(MAX($D$16,(E90)-(J35))))*(MAX($D$16,(E90)-(J35))),0.000001))^2)/(2*$I$5)</f>
        <v>20784.033523923383</v>
      </c>
      <c r="U90">
        <f>(((((F32)*(MAX($D$16,(D90)-(J32)))^2)/2+(H32)*(MAX($D$16,(D90)-(J32)))^3/3+(ABS(G90)^2)/($I$5*MAX(((F32)+(H32)*(MAX($D$16,(D90)-(J32))))*(MAX($D$16,(D90)-(J32))),0.000001)))*0.72785025)-((((F33)*(MAX($D$16,(D90)-(J33)))^2)/2+(H33)*(MAX($D$16,(D90)-(J33)))^3/3+(ABS(H90)^2)/($I$5*MAX(((F33)+(H33)*(MAX($D$16,(D90)-(J33))))*(MAX($D$16,(D90)-(J33))),0.000001)))*0.99999971))/MAX(((G31)*(MAX($D$16,(D90)-(K31)))^2)/2+(I31)*(MAX($D$16,(D90)-(K31)))^3/3+(ABS(F90)^2)/($I$5*MAX(((G31)+(I31)*(MAX($D$16,(D90)-(K31))))*(MAX($D$16,(D90)-(K31))),0.000001)),0.000001)</f>
        <v>-0.27214945999991125</v>
      </c>
      <c r="V90">
        <f>(((((F34)*(MAX($D$16,(E90)-(J34)))^2)/2+(H34)*(MAX($D$16,(E90)-(J34)))^3/3+(ABS(I90)^2)/($I$5*MAX(((F34)+(H34)*(MAX($D$16,(E90)-(J34))))*(MAX($D$16,(E90)-(J34))),0.000001)))*1)-((((F35)*(MAX($D$16,(E90)-(J35)))^2)/2+(H35)*(MAX($D$16,(E90)-(J35)))^3/3+(ABS(J90)^2)/($I$5*MAX(((F35)+(H35)*(MAX($D$16,(E90)-(J35))))*(MAX($D$16,(E90)-(J35))),0.000001)))*0.30600918))/MAX(((G32)*(MAX($D$16,(E90)-(K32)))^2)/2+(I32)*(MAX($D$16,(E90)-(K32)))^3/3+(ABS(G90)^2)/($I$5*MAX(((G32)+(I32)*(MAX($D$16,(E90)-(K32))))*(MAX($D$16,(E90)-(K32))),0.000001)),0.000001)</f>
        <v>0.69398638937190382</v>
      </c>
      <c r="W90">
        <f>IF(N6="None",ABS(P90-D90),MAX(ABS(P90-D90),ABS(Q90-D90)))</f>
        <v>3.4197000786662102E-10</v>
      </c>
      <c r="X90">
        <f>IF(AND(N7="None",N8="None"),0,IF(N8="None",ABS(S90-E90),IF(N7="None",ABS(T90-E90),MAX(ABS(S90-E90),ABS(T90-E90)))))</f>
        <v>51796.641837659568</v>
      </c>
      <c r="AA90">
        <f t="shared" si="18"/>
        <v>52432.141837659896</v>
      </c>
      <c r="AB90">
        <f t="shared" si="19"/>
        <v>41355.303927851906</v>
      </c>
      <c r="AC90">
        <f>IF(N6="None",P90,MAX(P90,Q90))</f>
        <v>52432.141837660121</v>
      </c>
      <c r="AD90">
        <f>IF(AND(N7="None",N8="None"),E90,IF(N8="None",S90,IF(N7="None",T90,MAX(S90,T90))))</f>
        <v>20784.033523923383</v>
      </c>
      <c r="AE90">
        <f t="shared" si="20"/>
        <v>637.65825101089831</v>
      </c>
      <c r="AF90">
        <f t="shared" si="21"/>
        <v>52432.14183765991</v>
      </c>
      <c r="AG90">
        <f>((G31)*(MAX($D$16,(AC90)-(K31)))^2)/2+(I31)*(MAX($D$16,(AC90)-(K31)))^3/3+(ABS(F90)^2)/($I$5*MAX(((G31)+(I31)*(MAX($D$16,(AC90)-(K31))))*(MAX($D$16,(AC90)-(K31))),0.000001))</f>
        <v>8797611517.4109974</v>
      </c>
      <c r="AH90">
        <f>((G31)*(MAX($D$16,(AE90)-(K31)))^2)/2+(I31)*(MAX($D$16,(AE90)-(K31)))^3/3+(ABS(F90)^2)/($I$5*MAX(((G31)+(I31)*(MAX($D$16,(AE90)-(K31))))*(MAX($D$16,(AE90)-(K31))),0.000001))</f>
        <v>49.055863329575246</v>
      </c>
      <c r="AI90">
        <f>((G32)*(MAX($D$16,(AD90)-(K32)))^2)/2+(I32)*(MAX($D$16,(AD90)-(K32)))^3/3+(ABS(G90)^2)/($I$5*MAX(((G32)+(I32)*(MAX($D$16,(AD90)-(K32))))*(MAX($D$16,(AD90)-(K32))),0.000001))</f>
        <v>2072376743.6648321</v>
      </c>
      <c r="AJ90">
        <f>((G32)*(MAX($D$16,(AF90)-(K32)))^2)/2+(I32)*(MAX($D$16,(AF90)-(K32)))^3/3+(ABS(G90)^2)/($I$5*MAX(((G32)+(I32)*(MAX($D$16,(AF90)-(K32))))*(MAX($D$16,(AF90)-(K32))),0.000001))</f>
        <v>13692714789.642982</v>
      </c>
      <c r="AK90" t="str">
        <f t="shared" si="22"/>
        <v>Subcritical</v>
      </c>
      <c r="AL90" t="str">
        <f t="shared" si="23"/>
        <v>Supercritical</v>
      </c>
      <c r="AM90">
        <f t="shared" si="24"/>
        <v>52432.141837659896</v>
      </c>
      <c r="AN90">
        <f t="shared" si="25"/>
        <v>52432.141837659685</v>
      </c>
      <c r="AO90">
        <f t="shared" si="26"/>
        <v>3.4197000786662102E-10</v>
      </c>
      <c r="AP90">
        <f t="shared" si="27"/>
        <v>3.4197000786662102E-10</v>
      </c>
    </row>
    <row r="91" spans="1:42" x14ac:dyDescent="0.35">
      <c r="A91">
        <v>48</v>
      </c>
      <c r="B91">
        <f t="shared" si="28"/>
        <v>0</v>
      </c>
      <c r="C91">
        <f t="shared" si="29"/>
        <v>0</v>
      </c>
      <c r="D91">
        <f t="shared" si="30"/>
        <v>52432.141837659896</v>
      </c>
      <c r="E91">
        <f t="shared" si="31"/>
        <v>52432.141837659685</v>
      </c>
      <c r="F91">
        <f t="shared" si="17"/>
        <v>51</v>
      </c>
      <c r="G91">
        <f>IF(N6="None",F91,MAX(0,F91*B91))</f>
        <v>51</v>
      </c>
      <c r="H91">
        <f>IF(N6="None",0,MAX(0,F91-G91))</f>
        <v>0</v>
      </c>
      <c r="I91">
        <f>IF(AND(N7="None",N8="None"),0,IF(N8="None",G91,IF(N7="None",0,MAX(0,G91*C91))))</f>
        <v>0</v>
      </c>
      <c r="J91">
        <f>IF(AND(N7="None",N8="None"),0,IF(N8="None",0,IF(N7="None",G91,MAX(0,G91-I91))))</f>
        <v>51</v>
      </c>
      <c r="K91">
        <f>P5</f>
        <v>637</v>
      </c>
      <c r="L91">
        <f>P6</f>
        <v>634.3119999999999</v>
      </c>
      <c r="M91">
        <f>P7</f>
        <v>635.5</v>
      </c>
      <c r="N91">
        <f>P8</f>
        <v>631.54999999999995</v>
      </c>
      <c r="O91">
        <f>K91+((ABS(F91)/MAX(((F31)+(H31)*(MAX($D$16,(K91)-(J31))))*(MAX($D$16,(K91)-(J31))),0.000001))^2)/(2*$I$5)-((E31)*((((ABS(F91)*$D$6)/(MAX(((F31)+(H31)*(MAX($D$16,(K91)-(J31))))*(MAX($D$16,(K91)-(J31))),0.000001)*MAX(((((F31)+(H31)*(MAX($D$16,(K91)-(J31))))*(MAX($D$16,(K91)-(J31))))/MAX((F31)+2*(MAX($D$16,(K91)-(J31)))*SQRT(1+(H31)^2),0.000001))^(2/3),0.000001)))^2)+(((ABS(F91)*$D$6)/(MAX(((G31)+(I31)*(MAX($D$16,(D91)-(K31))))*(MAX($D$16,(D91)-(K31))),0.000001)*MAX(((((G31)+(I31)*(MAX($D$16,(D91)-(K31))))*(MAX($D$16,(D91)-(K31))))/MAX((G31)+2*(MAX($D$16,(D91)-(K31)))*SQRT(1+(I31)^2),0.000001))^(2/3),0.000001)))^2))/2)+(IF((ABS(F91)/MAX(((G31)+(I31)*(MAX($D$16,(D91)-(K31))))*(MAX($D$16,(D91)-(K31))),0.000001))&gt;(ABS(F91)/MAX(((F31)+(H31)*(MAX($D$16,(K91)-(J31))))*(MAX($D$16,(K91)-(J31))),0.000001)),$D$9*((((ABS(F91)/MAX(((G31)+(I31)*(MAX($D$16,(D91)-(K31))))*(MAX($D$16,(D91)-(K31))),0.000001))^2)/(2*$I$5))-(((ABS(F91)/MAX(((F31)+(H31)*(MAX($D$16,(K91)-(J31))))*(MAX($D$16,(K91)-(J31))),0.000001))^2)/(2*$I$5))),$D$8*((((ABS(F91)/MAX(((F31)+(H31)*(MAX($D$16,(K91)-(J31))))*(MAX($D$16,(K91)-(J31))),0.000001))^2)/(2*$I$5))-(((ABS(F91)/MAX(((G31)+(I31)*(MAX($D$16,(D91)-(K31))))*(MAX($D$16,(D91)-(K31))),0.000001))^2)/(2*$I$5)))))+($D$10*(ABS((X31)-(W31))/90)*MAX(((ABS(F91)/MAX(((F31)+(H31)*(MAX($D$16,(K91)-(J31))))*(MAX($D$16,(K91)-(J31))),0.000001))^2)/(2*$I$5),((ABS(F91)/MAX(((G31)+(I31)*(MAX($D$16,(D91)-(K31))))*(MAX($D$16,(D91)-(K31))),0.000001))^2)/(2*$I$5)))+(0)-((ABS(F91)/MAX(((G31)+(I31)*(MAX($D$16,(D91)-(K31))))*(MAX($D$16,(D91)-(K31))),0.000001))^2)/(2*$I$5)</f>
        <v>637.65825101089831</v>
      </c>
      <c r="P91">
        <f>E91+((ABS(G91)/MAX(((G32)+(I32)*(MAX($D$16,(E91)-(K32))))*(MAX($D$16,(E91)-(K32))),0.000001))^2)/(2*$I$5)+((E32)*((((ABS(G91)*$D$6)/(MAX(((F32)+(H32)*(MAX($D$16,(D91)-(J32))))*(MAX($D$16,(D91)-(J32))),0.000001)*MAX(((((F32)+(H32)*(MAX($D$16,(D91)-(J32))))*(MAX($D$16,(D91)-(J32))))/MAX((F32)+2*(MAX($D$16,(D91)-(J32)))*SQRT(1+(H32)^2),0.000001))^(2/3),0.000001)))^2)+(((ABS(G91)*$D$6)/(MAX(((G32)+(I32)*(MAX($D$16,(E91)-(K32))))*(MAX($D$16,(E91)-(K32))),0.000001)*MAX(((((G32)+(I32)*(MAX($D$16,(E91)-(K32))))*(MAX($D$16,(E91)-(K32))))/MAX((G32)+2*(MAX($D$16,(E91)-(K32)))*SQRT(1+(I32)^2),0.000001))^(2/3),0.000001)))^2))/2)+(IF((ABS(G91)/MAX(((G32)+(I32)*(MAX($D$16,(E91)-(K32))))*(MAX($D$16,(E91)-(K32))),0.000001))&gt;(ABS(G91)/MAX(((F32)+(H32)*(MAX($D$16,(D91)-(J32))))*(MAX($D$16,(D91)-(J32))),0.000001)),$D$9*((((ABS(G91)/MAX(((G32)+(I32)*(MAX($D$16,(E91)-(K32))))*(MAX($D$16,(E91)-(K32))),0.000001))^2)/(2*$I$5))-(((ABS(G91)/MAX(((F32)+(H32)*(MAX($D$16,(D91)-(J32))))*(MAX($D$16,(D91)-(J32))),0.000001))^2)/(2*$I$5))),$D$8*((((ABS(G91)/MAX(((F32)+(H32)*(MAX($D$16,(D91)-(J32))))*(MAX($D$16,(D91)-(J32))),0.000001))^2)/(2*$I$5))-(((ABS(G91)/MAX(((G32)+(I32)*(MAX($D$16,(E91)-(K32))))*(MAX($D$16,(E91)-(K32))),0.000001))^2)/(2*$I$5)))))+($D$10*(ABS((X32)-(W32))/90)*MAX(((ABS(G91)/MAX(((F32)+(H32)*(MAX($D$16,(D91)-(J32))))*(MAX($D$16,(D91)-(J32))),0.000001))^2)/(2*$I$5),((ABS(G91)/MAX(((G32)+(I32)*(MAX($D$16,(E91)-(K32))))*(MAX($D$16,(E91)-(K32))),0.000001))^2)/(2*$I$5)))+(($D$11*0.13607488*(ABS(H91)/MAX(ABS(F91),0.000001))^2*MAX(((ABS(G91)/MAX(((F32)+(H32)*(MAX($D$16,(D91)-(J32))))*(MAX($D$16,(D91)-(J32))),0.000001))^2)/(2*$I$5),((ABS(G91)/MAX(((G32)+(I32)*(MAX($D$16,(E91)-(K32))))*(MAX($D$16,(E91)-(K32))),0.000001))^2)/(2*$I$5))))-((ABS(G91)/MAX(((F32)+(H32)*(MAX($D$16,(D91)-(J32))))*(MAX($D$16,(D91)-(J32))),0.000001))^2)/(2*$I$5)</f>
        <v>52432.141837660238</v>
      </c>
      <c r="Q91">
        <f>L91+((ABS(H91)/MAX(((G33)+(I33)*(MAX($D$16,(L91)-(K33))))*(MAX($D$16,(L91)-(K33))),0.000001))^2)/(2*$I$5)+((E33)*((((ABS(H91)*$D$6)/(MAX(((F33)+(H33)*(MAX($D$16,(D91)-(J33))))*(MAX($D$16,(D91)-(J33))),0.000001)*MAX(((((F33)+(H33)*(MAX($D$16,(D91)-(J33))))*(MAX($D$16,(D91)-(J33))))/MAX((F33)+2*(MAX($D$16,(D91)-(J33)))*SQRT(1+(H33)^2),0.000001))^(2/3),0.000001)))^2)+(((ABS(H91)*$D$6)/(MAX(((G33)+(I33)*(MAX($D$16,(L91)-(K33))))*(MAX($D$16,(L91)-(K33))),0.000001)*MAX(((((G33)+(I33)*(MAX($D$16,(L91)-(K33))))*(MAX($D$16,(L91)-(K33))))/MAX((G33)+2*(MAX($D$16,(L91)-(K33)))*SQRT(1+(I33)^2),0.000001))^(2/3),0.000001)))^2))/2)+(IF((ABS(H91)/MAX(((G33)+(I33)*(MAX($D$16,(L91)-(K33))))*(MAX($D$16,(L91)-(K33))),0.000001))&gt;(ABS(H91)/MAX(((F33)+(H33)*(MAX($D$16,(D91)-(J33))))*(MAX($D$16,(D91)-(J33))),0.000001)),$D$9*((((ABS(H91)/MAX(((G33)+(I33)*(MAX($D$16,(L91)-(K33))))*(MAX($D$16,(L91)-(K33))),0.000001))^2)/(2*$I$5))-(((ABS(H91)/MAX(((F33)+(H33)*(MAX($D$16,(D91)-(J33))))*(MAX($D$16,(D91)-(J33))),0.000001))^2)/(2*$I$5))),$D$8*((((ABS(H91)/MAX(((F33)+(H33)*(MAX($D$16,(D91)-(J33))))*(MAX($D$16,(D91)-(J33))),0.000001))^2)/(2*$I$5))-(((ABS(H91)/MAX(((G33)+(I33)*(MAX($D$16,(L91)-(K33))))*(MAX($D$16,(L91)-(K33))),0.000001))^2)/(2*$I$5)))))+($D$10*(ABS((X33)-(W33))/90)*MAX(((ABS(H91)/MAX(((F33)+(H33)*(MAX($D$16,(D91)-(J33))))*(MAX($D$16,(D91)-(J33))),0.000001))^2)/(2*$I$5),((ABS(H91)/MAX(((G33)+(I33)*(MAX($D$16,(L91)-(K33))))*(MAX($D$16,(L91)-(K33))),0.000001))^2)/(2*$I$5)))+(($D$11*0.00000015*(ABS(G91)/MAX(ABS(F91),0.000001))^2*MAX(((ABS(H91)/MAX(((F33)+(H33)*(MAX($D$16,(D91)-(J33))))*(MAX($D$16,(D91)-(J33))),0.000001))^2)/(2*$I$5),((ABS(H91)/MAX(((G33)+(I33)*(MAX($D$16,(L91)-(K33))))*(MAX($D$16,(L91)-(K33))),0.000001))^2)/(2*$I$5))))-((ABS(H91)/MAX(((F33)+(H33)*(MAX($D$16,(D91)-(J33))))*(MAX($D$16,(D91)-(J33))),0.000001))^2)/(2*$I$5)</f>
        <v>634.3119999999999</v>
      </c>
      <c r="R91">
        <f>D91+((ABS(G91)/MAX(((F32)+(H32)*(MAX($D$16,(D91)-(J32))))*(MAX($D$16,(D91)-(J32))),0.000001))^2)/(2*$I$5)-((E32)*((((ABS(G91)*$D$6)/(MAX(((F32)+(H32)*(MAX($D$16,(D91)-(J32))))*(MAX($D$16,(D91)-(J32))),0.000001)*MAX(((((F32)+(H32)*(MAX($D$16,(D91)-(J32))))*(MAX($D$16,(D91)-(J32))))/MAX((F32)+2*(MAX($D$16,(D91)-(J32)))*SQRT(1+(H32)^2),0.000001))^(2/3),0.000001)))^2)+(((ABS(G91)*$D$6)/(MAX(((G32)+(I32)*(MAX($D$16,(E91)-(K32))))*(MAX($D$16,(E91)-(K32))),0.000001)*MAX(((((G32)+(I32)*(MAX($D$16,(E91)-(K32))))*(MAX($D$16,(E91)-(K32))))/MAX((G32)+2*(MAX($D$16,(E91)-(K32)))*SQRT(1+(I32)^2),0.000001))^(2/3),0.000001)))^2))/2)+(IF((ABS(G91)/MAX(((G32)+(I32)*(MAX($D$16,(E91)-(K32))))*(MAX($D$16,(E91)-(K32))),0.000001))&gt;(ABS(G91)/MAX(((F32)+(H32)*(MAX($D$16,(D91)-(J32))))*(MAX($D$16,(D91)-(J32))),0.000001)),$D$9*((((ABS(G91)/MAX(((G32)+(I32)*(MAX($D$16,(E91)-(K32))))*(MAX($D$16,(E91)-(K32))),0.000001))^2)/(2*$I$5))-(((ABS(G91)/MAX(((F32)+(H32)*(MAX($D$16,(D91)-(J32))))*(MAX($D$16,(D91)-(J32))),0.000001))^2)/(2*$I$5))),$D$8*((((ABS(G91)/MAX(((F32)+(H32)*(MAX($D$16,(D91)-(J32))))*(MAX($D$16,(D91)-(J32))),0.000001))^2)/(2*$I$5))-(((ABS(G91)/MAX(((G32)+(I32)*(MAX($D$16,(E91)-(K32))))*(MAX($D$16,(E91)-(K32))),0.000001))^2)/(2*$I$5)))))+($D$10*(ABS((X32)-(W32))/90)*MAX(((ABS(G91)/MAX(((F32)+(H32)*(MAX($D$16,(D91)-(J32))))*(MAX($D$16,(D91)-(J32))),0.000001))^2)/(2*$I$5),((ABS(G91)/MAX(((G32)+(I32)*(MAX($D$16,(E91)-(K32))))*(MAX($D$16,(E91)-(K32))),0.000001))^2)/(2*$I$5)))+(($D$11*0.13607488*(ABS(H91)/MAX(ABS(F91),0.000001))^2*MAX(((ABS(G91)/MAX(((F32)+(H32)*(MAX($D$16,(D91)-(J32))))*(MAX($D$16,(D91)-(J32))),0.000001))^2)/(2*$I$5),((ABS(G91)/MAX(((G32)+(I32)*(MAX($D$16,(E91)-(K32))))*(MAX($D$16,(E91)-(K32))),0.000001))^2)/(2*$I$5))))-((ABS(G91)/MAX(((G32)+(I32)*(MAX($D$16,(E91)-(K32))))*(MAX($D$16,(E91)-(K32))),0.000001))^2)/(2*$I$5)</f>
        <v>52432.141837660027</v>
      </c>
      <c r="S91">
        <f>M91+((ABS(I91)/MAX(((G34)+(I34)*(MAX($D$16,(M91)-(K34))))*(MAX($D$16,(M91)-(K34))),0.000001))^2)/(2*$I$5)+((E34)*((((ABS(I91)*$D$6)/(MAX(((F34)+(H34)*(MAX($D$16,(E91)-(J34))))*(MAX($D$16,(E91)-(J34))),0.000001)*MAX(((((F34)+(H34)*(MAX($D$16,(E91)-(J34))))*(MAX($D$16,(E91)-(J34))))/MAX((F34)+2*(MAX($D$16,(E91)-(J34)))*SQRT(1+(H34)^2),0.000001))^(2/3),0.000001)))^2)+(((ABS(I91)*$D$6)/(MAX(((G34)+(I34)*(MAX($D$16,(M91)-(K34))))*(MAX($D$16,(M91)-(K34))),0.000001)*MAX(((((G34)+(I34)*(MAX($D$16,(M91)-(K34))))*(MAX($D$16,(M91)-(K34))))/MAX((G34)+2*(MAX($D$16,(M91)-(K34)))*SQRT(1+(I34)^2),0.000001))^(2/3),0.000001)))^2))/2)+(IF((ABS(I91)/MAX(((G34)+(I34)*(MAX($D$16,(M91)-(K34))))*(MAX($D$16,(M91)-(K34))),0.000001))&gt;(ABS(I91)/MAX(((F34)+(H34)*(MAX($D$16,(E91)-(J34))))*(MAX($D$16,(E91)-(J34))),0.000001)),$D$9*((((ABS(I91)/MAX(((G34)+(I34)*(MAX($D$16,(M91)-(K34))))*(MAX($D$16,(M91)-(K34))),0.000001))^2)/(2*$I$5))-(((ABS(I91)/MAX(((F34)+(H34)*(MAX($D$16,(E91)-(J34))))*(MAX($D$16,(E91)-(J34))),0.000001))^2)/(2*$I$5))),$D$8*((((ABS(I91)/MAX(((F34)+(H34)*(MAX($D$16,(E91)-(J34))))*(MAX($D$16,(E91)-(J34))),0.000001))^2)/(2*$I$5))-(((ABS(I91)/MAX(((G34)+(I34)*(MAX($D$16,(M91)-(K34))))*(MAX($D$16,(M91)-(K34))),0.000001))^2)/(2*$I$5)))))+($D$10*(ABS((X34)-(W34))/90)*MAX(((ABS(I91)/MAX(((F34)+(H34)*(MAX($D$16,(E91)-(J34))))*(MAX($D$16,(E91)-(J34))),0.000001))^2)/(2*$I$5),((ABS(I91)/MAX(((G34)+(I34)*(MAX($D$16,(M91)-(K34))))*(MAX($D$16,(M91)-(K34))),0.000001))^2)/(2*$I$5)))+(0)-((ABS(I91)/MAX(((F34)+(H34)*(MAX($D$16,(E91)-(J34))))*(MAX($D$16,(E91)-(J34))),0.000001))^2)/(2*$I$5)</f>
        <v>635.5</v>
      </c>
      <c r="T91">
        <f>N91+((ABS(J91)/MAX(((G35)+(I35)*(MAX($D$16,(N91)-(K35))))*(MAX($D$16,(N91)-(K35))),0.000001))^2)/(2*$I$5)+((E35)*((((ABS(J91)*$D$6)/(MAX(((F35)+(H35)*(MAX($D$16,(E91)-(J35))))*(MAX($D$16,(E91)-(J35))),0.000001)*MAX(((((F35)+(H35)*(MAX($D$16,(E91)-(J35))))*(MAX($D$16,(E91)-(J35))))/MAX((F35)+2*(MAX($D$16,(E91)-(J35)))*SQRT(1+(H35)^2),0.000001))^(2/3),0.000001)))^2)+(((ABS(J91)*$D$6)/(MAX(((G35)+(I35)*(MAX($D$16,(N91)-(K35))))*(MAX($D$16,(N91)-(K35))),0.000001)*MAX(((((G35)+(I35)*(MAX($D$16,(N91)-(K35))))*(MAX($D$16,(N91)-(K35))))/MAX((G35)+2*(MAX($D$16,(N91)-(K35)))*SQRT(1+(I35)^2),0.000001))^(2/3),0.000001)))^2))/2)+(IF((ABS(J91)/MAX(((G35)+(I35)*(MAX($D$16,(N91)-(K35))))*(MAX($D$16,(N91)-(K35))),0.000001))&gt;(ABS(J91)/MAX(((F35)+(H35)*(MAX($D$16,(E91)-(J35))))*(MAX($D$16,(E91)-(J35))),0.000001)),$D$9*((((ABS(J91)/MAX(((G35)+(I35)*(MAX($D$16,(N91)-(K35))))*(MAX($D$16,(N91)-(K35))),0.000001))^2)/(2*$I$5))-(((ABS(J91)/MAX(((F35)+(H35)*(MAX($D$16,(E91)-(J35))))*(MAX($D$16,(E91)-(J35))),0.000001))^2)/(2*$I$5))),$D$8*((((ABS(J91)/MAX(((F35)+(H35)*(MAX($D$16,(E91)-(J35))))*(MAX($D$16,(E91)-(J35))),0.000001))^2)/(2*$I$5))-(((ABS(J91)/MAX(((G35)+(I35)*(MAX($D$16,(N91)-(K35))))*(MAX($D$16,(N91)-(K35))),0.000001))^2)/(2*$I$5)))))+($D$10*(ABS((X35)-(W35))/90)*MAX(((ABS(J91)/MAX(((F35)+(H35)*(MAX($D$16,(E91)-(J35))))*(MAX($D$16,(E91)-(J35))),0.000001))^2)/(2*$I$5),((ABS(J91)/MAX(((G35)+(I35)*(MAX($D$16,(N91)-(K35))))*(MAX($D$16,(N91)-(K35))),0.000001))^2)/(2*$I$5)))+(($D$11*0.34699541*(ABS(I91)/MAX(ABS(G91),0.000001))^2*MAX(((ABS(J91)/MAX(((F35)+(H35)*(MAX($D$16,(E91)-(J35))))*(MAX($D$16,(E91)-(J35))),0.000001))^2)/(2*$I$5),((ABS(J91)/MAX(((G35)+(I35)*(MAX($D$16,(N91)-(K35))))*(MAX($D$16,(N91)-(K35))),0.000001))^2)/(2*$I$5))))-((ABS(J91)/MAX(((F35)+(H35)*(MAX($D$16,(E91)-(J35))))*(MAX($D$16,(E91)-(J35))),0.000001))^2)/(2*$I$5)</f>
        <v>20784.033523923383</v>
      </c>
      <c r="U91">
        <f>(((((F32)*(MAX($D$16,(D91)-(J32)))^2)/2+(H32)*(MAX($D$16,(D91)-(J32)))^3/3+(ABS(G91)^2)/($I$5*MAX(((F32)+(H32)*(MAX($D$16,(D91)-(J32))))*(MAX($D$16,(D91)-(J32))),0.000001)))*0.72785025)-((((F33)*(MAX($D$16,(D91)-(J33)))^2)/2+(H33)*(MAX($D$16,(D91)-(J33)))^3/3+(ABS(H91)^2)/($I$5*MAX(((F33)+(H33)*(MAX($D$16,(D91)-(J33))))*(MAX($D$16,(D91)-(J33))),0.000001)))*0.99999971))/MAX(((G31)*(MAX($D$16,(D91)-(K31)))^2)/2+(I31)*(MAX($D$16,(D91)-(K31)))^3/3+(ABS(F91)^2)/($I$5*MAX(((G31)+(I31)*(MAX($D$16,(D91)-(K31))))*(MAX($D$16,(D91)-(K31))),0.000001)),0.000001)</f>
        <v>-0.27214945999991125</v>
      </c>
      <c r="V91">
        <f>(((((F34)*(MAX($D$16,(E91)-(J34)))^2)/2+(H34)*(MAX($D$16,(E91)-(J34)))^3/3+(ABS(I91)^2)/($I$5*MAX(((F34)+(H34)*(MAX($D$16,(E91)-(J34))))*(MAX($D$16,(E91)-(J34))),0.000001)))*1)-((((F35)*(MAX($D$16,(E91)-(J35)))^2)/2+(H35)*(MAX($D$16,(E91)-(J35)))^3/3+(ABS(J91)^2)/($I$5*MAX(((F35)+(H35)*(MAX($D$16,(E91)-(J35))))*(MAX($D$16,(E91)-(J35))),0.000001)))*0.30600918))/MAX(((G32)*(MAX($D$16,(E91)-(K32)))^2)/2+(I32)*(MAX($D$16,(E91)-(K32)))^3/3+(ABS(G91)^2)/($I$5*MAX(((G32)+(I32)*(MAX($D$16,(E91)-(K32))))*(MAX($D$16,(E91)-(K32))),0.000001)),0.000001)</f>
        <v>0.69398638937190393</v>
      </c>
      <c r="W91">
        <f>IF(N6="None",ABS(P91-D91),MAX(ABS(P91-D91),ABS(Q91-D91)))</f>
        <v>3.4197000786662102E-10</v>
      </c>
      <c r="X91">
        <f>IF(AND(N7="None",N8="None"),0,IF(N8="None",ABS(S91-E91),IF(N7="None",ABS(T91-E91),MAX(ABS(S91-E91),ABS(T91-E91)))))</f>
        <v>51796.641837659685</v>
      </c>
      <c r="AA91">
        <f t="shared" si="18"/>
        <v>52432.141837660012</v>
      </c>
      <c r="AB91">
        <f t="shared" si="19"/>
        <v>41355.303927851979</v>
      </c>
      <c r="AC91">
        <f>IF(N6="None",P91,MAX(P91,Q91))</f>
        <v>52432.141837660238</v>
      </c>
      <c r="AD91">
        <f>IF(AND(N7="None",N8="None"),E91,IF(N8="None",S91,IF(N7="None",T91,MAX(S91,T91))))</f>
        <v>20784.033523923383</v>
      </c>
      <c r="AE91">
        <f t="shared" si="20"/>
        <v>637.65825101089831</v>
      </c>
      <c r="AF91">
        <f t="shared" si="21"/>
        <v>52432.141837660027</v>
      </c>
      <c r="AG91">
        <f>((G31)*(MAX($D$16,(AC91)-(K31)))^2)/2+(I31)*(MAX($D$16,(AC91)-(K31)))^3/3+(ABS(F91)^2)/($I$5*MAX(((G31)+(I31)*(MAX($D$16,(AC91)-(K31))))*(MAX($D$16,(AC91)-(K31))),0.000001))</f>
        <v>8797611517.4110374</v>
      </c>
      <c r="AH91">
        <f>((G31)*(MAX($D$16,(AE91)-(K31)))^2)/2+(I31)*(MAX($D$16,(AE91)-(K31)))^3/3+(ABS(F91)^2)/($I$5*MAX(((G31)+(I31)*(MAX($D$16,(AE91)-(K31))))*(MAX($D$16,(AE91)-(K31))),0.000001))</f>
        <v>49.055863329575246</v>
      </c>
      <c r="AI91">
        <f>((G32)*(MAX($D$16,(AD91)-(K32)))^2)/2+(I32)*(MAX($D$16,(AD91)-(K32)))^3/3+(ABS(G91)^2)/($I$5*MAX(((G32)+(I32)*(MAX($D$16,(AD91)-(K32))))*(MAX($D$16,(AD91)-(K32))),0.000001))</f>
        <v>2072376743.6648321</v>
      </c>
      <c r="AJ91">
        <f>((G32)*(MAX($D$16,(AF91)-(K32)))^2)/2+(I32)*(MAX($D$16,(AF91)-(K32)))^3/3+(ABS(G91)^2)/($I$5*MAX(((G32)+(I32)*(MAX($D$16,(AF91)-(K32))))*(MAX($D$16,(AF91)-(K32))),0.000001))</f>
        <v>13692714789.643044</v>
      </c>
      <c r="AK91" t="str">
        <f t="shared" si="22"/>
        <v>Subcritical</v>
      </c>
      <c r="AL91" t="str">
        <f t="shared" si="23"/>
        <v>Supercritical</v>
      </c>
      <c r="AM91">
        <f t="shared" si="24"/>
        <v>52432.141837660012</v>
      </c>
      <c r="AN91">
        <f t="shared" si="25"/>
        <v>52432.141837659801</v>
      </c>
      <c r="AO91">
        <f t="shared" si="26"/>
        <v>3.4197000786662102E-10</v>
      </c>
      <c r="AP91">
        <f t="shared" si="27"/>
        <v>3.4197000786662102E-10</v>
      </c>
    </row>
    <row r="92" spans="1:42" x14ac:dyDescent="0.35">
      <c r="A92">
        <v>49</v>
      </c>
      <c r="B92">
        <f t="shared" si="28"/>
        <v>0</v>
      </c>
      <c r="C92">
        <f t="shared" si="29"/>
        <v>0</v>
      </c>
      <c r="D92">
        <f t="shared" si="30"/>
        <v>52432.141837660012</v>
      </c>
      <c r="E92">
        <f t="shared" si="31"/>
        <v>52432.141837659801</v>
      </c>
      <c r="F92">
        <f t="shared" si="17"/>
        <v>51</v>
      </c>
      <c r="G92">
        <f>IF(N6="None",F92,MAX(0,F92*B92))</f>
        <v>51</v>
      </c>
      <c r="H92">
        <f>IF(N6="None",0,MAX(0,F92-G92))</f>
        <v>0</v>
      </c>
      <c r="I92">
        <f>IF(AND(N7="None",N8="None"),0,IF(N8="None",G92,IF(N7="None",0,MAX(0,G92*C92))))</f>
        <v>0</v>
      </c>
      <c r="J92">
        <f>IF(AND(N7="None",N8="None"),0,IF(N8="None",0,IF(N7="None",G92,MAX(0,G92-I92))))</f>
        <v>51</v>
      </c>
      <c r="K92">
        <f>P5</f>
        <v>637</v>
      </c>
      <c r="L92">
        <f>P6</f>
        <v>634.3119999999999</v>
      </c>
      <c r="M92">
        <f>P7</f>
        <v>635.5</v>
      </c>
      <c r="N92">
        <f>P8</f>
        <v>631.54999999999995</v>
      </c>
      <c r="O92">
        <f>K92+((ABS(F92)/MAX(((F31)+(H31)*(MAX($D$16,(K92)-(J31))))*(MAX($D$16,(K92)-(J31))),0.000001))^2)/(2*$I$5)-((E31)*((((ABS(F92)*$D$6)/(MAX(((F31)+(H31)*(MAX($D$16,(K92)-(J31))))*(MAX($D$16,(K92)-(J31))),0.000001)*MAX(((((F31)+(H31)*(MAX($D$16,(K92)-(J31))))*(MAX($D$16,(K92)-(J31))))/MAX((F31)+2*(MAX($D$16,(K92)-(J31)))*SQRT(1+(H31)^2),0.000001))^(2/3),0.000001)))^2)+(((ABS(F92)*$D$6)/(MAX(((G31)+(I31)*(MAX($D$16,(D92)-(K31))))*(MAX($D$16,(D92)-(K31))),0.000001)*MAX(((((G31)+(I31)*(MAX($D$16,(D92)-(K31))))*(MAX($D$16,(D92)-(K31))))/MAX((G31)+2*(MAX($D$16,(D92)-(K31)))*SQRT(1+(I31)^2),0.000001))^(2/3),0.000001)))^2))/2)+(IF((ABS(F92)/MAX(((G31)+(I31)*(MAX($D$16,(D92)-(K31))))*(MAX($D$16,(D92)-(K31))),0.000001))&gt;(ABS(F92)/MAX(((F31)+(H31)*(MAX($D$16,(K92)-(J31))))*(MAX($D$16,(K92)-(J31))),0.000001)),$D$9*((((ABS(F92)/MAX(((G31)+(I31)*(MAX($D$16,(D92)-(K31))))*(MAX($D$16,(D92)-(K31))),0.000001))^2)/(2*$I$5))-(((ABS(F92)/MAX(((F31)+(H31)*(MAX($D$16,(K92)-(J31))))*(MAX($D$16,(K92)-(J31))),0.000001))^2)/(2*$I$5))),$D$8*((((ABS(F92)/MAX(((F31)+(H31)*(MAX($D$16,(K92)-(J31))))*(MAX($D$16,(K92)-(J31))),0.000001))^2)/(2*$I$5))-(((ABS(F92)/MAX(((G31)+(I31)*(MAX($D$16,(D92)-(K31))))*(MAX($D$16,(D92)-(K31))),0.000001))^2)/(2*$I$5)))))+($D$10*(ABS((X31)-(W31))/90)*MAX(((ABS(F92)/MAX(((F31)+(H31)*(MAX($D$16,(K92)-(J31))))*(MAX($D$16,(K92)-(J31))),0.000001))^2)/(2*$I$5),((ABS(F92)/MAX(((G31)+(I31)*(MAX($D$16,(D92)-(K31))))*(MAX($D$16,(D92)-(K31))),0.000001))^2)/(2*$I$5)))+(0)-((ABS(F92)/MAX(((G31)+(I31)*(MAX($D$16,(D92)-(K31))))*(MAX($D$16,(D92)-(K31))),0.000001))^2)/(2*$I$5)</f>
        <v>637.65825101089831</v>
      </c>
      <c r="P92">
        <f>E92+((ABS(G92)/MAX(((G32)+(I32)*(MAX($D$16,(E92)-(K32))))*(MAX($D$16,(E92)-(K32))),0.000001))^2)/(2*$I$5)+((E32)*((((ABS(G92)*$D$6)/(MAX(((F32)+(H32)*(MAX($D$16,(D92)-(J32))))*(MAX($D$16,(D92)-(J32))),0.000001)*MAX(((((F32)+(H32)*(MAX($D$16,(D92)-(J32))))*(MAX($D$16,(D92)-(J32))))/MAX((F32)+2*(MAX($D$16,(D92)-(J32)))*SQRT(1+(H32)^2),0.000001))^(2/3),0.000001)))^2)+(((ABS(G92)*$D$6)/(MAX(((G32)+(I32)*(MAX($D$16,(E92)-(K32))))*(MAX($D$16,(E92)-(K32))),0.000001)*MAX(((((G32)+(I32)*(MAX($D$16,(E92)-(K32))))*(MAX($D$16,(E92)-(K32))))/MAX((G32)+2*(MAX($D$16,(E92)-(K32)))*SQRT(1+(I32)^2),0.000001))^(2/3),0.000001)))^2))/2)+(IF((ABS(G92)/MAX(((G32)+(I32)*(MAX($D$16,(E92)-(K32))))*(MAX($D$16,(E92)-(K32))),0.000001))&gt;(ABS(G92)/MAX(((F32)+(H32)*(MAX($D$16,(D92)-(J32))))*(MAX($D$16,(D92)-(J32))),0.000001)),$D$9*((((ABS(G92)/MAX(((G32)+(I32)*(MAX($D$16,(E92)-(K32))))*(MAX($D$16,(E92)-(K32))),0.000001))^2)/(2*$I$5))-(((ABS(G92)/MAX(((F32)+(H32)*(MAX($D$16,(D92)-(J32))))*(MAX($D$16,(D92)-(J32))),0.000001))^2)/(2*$I$5))),$D$8*((((ABS(G92)/MAX(((F32)+(H32)*(MAX($D$16,(D92)-(J32))))*(MAX($D$16,(D92)-(J32))),0.000001))^2)/(2*$I$5))-(((ABS(G92)/MAX(((G32)+(I32)*(MAX($D$16,(E92)-(K32))))*(MAX($D$16,(E92)-(K32))),0.000001))^2)/(2*$I$5)))))+($D$10*(ABS((X32)-(W32))/90)*MAX(((ABS(G92)/MAX(((F32)+(H32)*(MAX($D$16,(D92)-(J32))))*(MAX($D$16,(D92)-(J32))),0.000001))^2)/(2*$I$5),((ABS(G92)/MAX(((G32)+(I32)*(MAX($D$16,(E92)-(K32))))*(MAX($D$16,(E92)-(K32))),0.000001))^2)/(2*$I$5)))+(($D$11*0.13607488*(ABS(H92)/MAX(ABS(F92),0.000001))^2*MAX(((ABS(G92)/MAX(((F32)+(H32)*(MAX($D$16,(D92)-(J32))))*(MAX($D$16,(D92)-(J32))),0.000001))^2)/(2*$I$5),((ABS(G92)/MAX(((G32)+(I32)*(MAX($D$16,(E92)-(K32))))*(MAX($D$16,(E92)-(K32))),0.000001))^2)/(2*$I$5))))-((ABS(G92)/MAX(((F32)+(H32)*(MAX($D$16,(D92)-(J32))))*(MAX($D$16,(D92)-(J32))),0.000001))^2)/(2*$I$5)</f>
        <v>52432.141837660354</v>
      </c>
      <c r="Q92">
        <f>L92+((ABS(H92)/MAX(((G33)+(I33)*(MAX($D$16,(L92)-(K33))))*(MAX($D$16,(L92)-(K33))),0.000001))^2)/(2*$I$5)+((E33)*((((ABS(H92)*$D$6)/(MAX(((F33)+(H33)*(MAX($D$16,(D92)-(J33))))*(MAX($D$16,(D92)-(J33))),0.000001)*MAX(((((F33)+(H33)*(MAX($D$16,(D92)-(J33))))*(MAX($D$16,(D92)-(J33))))/MAX((F33)+2*(MAX($D$16,(D92)-(J33)))*SQRT(1+(H33)^2),0.000001))^(2/3),0.000001)))^2)+(((ABS(H92)*$D$6)/(MAX(((G33)+(I33)*(MAX($D$16,(L92)-(K33))))*(MAX($D$16,(L92)-(K33))),0.000001)*MAX(((((G33)+(I33)*(MAX($D$16,(L92)-(K33))))*(MAX($D$16,(L92)-(K33))))/MAX((G33)+2*(MAX($D$16,(L92)-(K33)))*SQRT(1+(I33)^2),0.000001))^(2/3),0.000001)))^2))/2)+(IF((ABS(H92)/MAX(((G33)+(I33)*(MAX($D$16,(L92)-(K33))))*(MAX($D$16,(L92)-(K33))),0.000001))&gt;(ABS(H92)/MAX(((F33)+(H33)*(MAX($D$16,(D92)-(J33))))*(MAX($D$16,(D92)-(J33))),0.000001)),$D$9*((((ABS(H92)/MAX(((G33)+(I33)*(MAX($D$16,(L92)-(K33))))*(MAX($D$16,(L92)-(K33))),0.000001))^2)/(2*$I$5))-(((ABS(H92)/MAX(((F33)+(H33)*(MAX($D$16,(D92)-(J33))))*(MAX($D$16,(D92)-(J33))),0.000001))^2)/(2*$I$5))),$D$8*((((ABS(H92)/MAX(((F33)+(H33)*(MAX($D$16,(D92)-(J33))))*(MAX($D$16,(D92)-(J33))),0.000001))^2)/(2*$I$5))-(((ABS(H92)/MAX(((G33)+(I33)*(MAX($D$16,(L92)-(K33))))*(MAX($D$16,(L92)-(K33))),0.000001))^2)/(2*$I$5)))))+($D$10*(ABS((X33)-(W33))/90)*MAX(((ABS(H92)/MAX(((F33)+(H33)*(MAX($D$16,(D92)-(J33))))*(MAX($D$16,(D92)-(J33))),0.000001))^2)/(2*$I$5),((ABS(H92)/MAX(((G33)+(I33)*(MAX($D$16,(L92)-(K33))))*(MAX($D$16,(L92)-(K33))),0.000001))^2)/(2*$I$5)))+(($D$11*0.00000015*(ABS(G92)/MAX(ABS(F92),0.000001))^2*MAX(((ABS(H92)/MAX(((F33)+(H33)*(MAX($D$16,(D92)-(J33))))*(MAX($D$16,(D92)-(J33))),0.000001))^2)/(2*$I$5),((ABS(H92)/MAX(((G33)+(I33)*(MAX($D$16,(L92)-(K33))))*(MAX($D$16,(L92)-(K33))),0.000001))^2)/(2*$I$5))))-((ABS(H92)/MAX(((F33)+(H33)*(MAX($D$16,(D92)-(J33))))*(MAX($D$16,(D92)-(J33))),0.000001))^2)/(2*$I$5)</f>
        <v>634.3119999999999</v>
      </c>
      <c r="R92">
        <f>D92+((ABS(G92)/MAX(((F32)+(H32)*(MAX($D$16,(D92)-(J32))))*(MAX($D$16,(D92)-(J32))),0.000001))^2)/(2*$I$5)-((E32)*((((ABS(G92)*$D$6)/(MAX(((F32)+(H32)*(MAX($D$16,(D92)-(J32))))*(MAX($D$16,(D92)-(J32))),0.000001)*MAX(((((F32)+(H32)*(MAX($D$16,(D92)-(J32))))*(MAX($D$16,(D92)-(J32))))/MAX((F32)+2*(MAX($D$16,(D92)-(J32)))*SQRT(1+(H32)^2),0.000001))^(2/3),0.000001)))^2)+(((ABS(G92)*$D$6)/(MAX(((G32)+(I32)*(MAX($D$16,(E92)-(K32))))*(MAX($D$16,(E92)-(K32))),0.000001)*MAX(((((G32)+(I32)*(MAX($D$16,(E92)-(K32))))*(MAX($D$16,(E92)-(K32))))/MAX((G32)+2*(MAX($D$16,(E92)-(K32)))*SQRT(1+(I32)^2),0.000001))^(2/3),0.000001)))^2))/2)+(IF((ABS(G92)/MAX(((G32)+(I32)*(MAX($D$16,(E92)-(K32))))*(MAX($D$16,(E92)-(K32))),0.000001))&gt;(ABS(G92)/MAX(((F32)+(H32)*(MAX($D$16,(D92)-(J32))))*(MAX($D$16,(D92)-(J32))),0.000001)),$D$9*((((ABS(G92)/MAX(((G32)+(I32)*(MAX($D$16,(E92)-(K32))))*(MAX($D$16,(E92)-(K32))),0.000001))^2)/(2*$I$5))-(((ABS(G92)/MAX(((F32)+(H32)*(MAX($D$16,(D92)-(J32))))*(MAX($D$16,(D92)-(J32))),0.000001))^2)/(2*$I$5))),$D$8*((((ABS(G92)/MAX(((F32)+(H32)*(MAX($D$16,(D92)-(J32))))*(MAX($D$16,(D92)-(J32))),0.000001))^2)/(2*$I$5))-(((ABS(G92)/MAX(((G32)+(I32)*(MAX($D$16,(E92)-(K32))))*(MAX($D$16,(E92)-(K32))),0.000001))^2)/(2*$I$5)))))+($D$10*(ABS((X32)-(W32))/90)*MAX(((ABS(G92)/MAX(((F32)+(H32)*(MAX($D$16,(D92)-(J32))))*(MAX($D$16,(D92)-(J32))),0.000001))^2)/(2*$I$5),((ABS(G92)/MAX(((G32)+(I32)*(MAX($D$16,(E92)-(K32))))*(MAX($D$16,(E92)-(K32))),0.000001))^2)/(2*$I$5)))+(($D$11*0.13607488*(ABS(H92)/MAX(ABS(F92),0.000001))^2*MAX(((ABS(G92)/MAX(((F32)+(H32)*(MAX($D$16,(D92)-(J32))))*(MAX($D$16,(D92)-(J32))),0.000001))^2)/(2*$I$5),((ABS(G92)/MAX(((G32)+(I32)*(MAX($D$16,(E92)-(K32))))*(MAX($D$16,(E92)-(K32))),0.000001))^2)/(2*$I$5))))-((ABS(G92)/MAX(((G32)+(I32)*(MAX($D$16,(E92)-(K32))))*(MAX($D$16,(E92)-(K32))),0.000001))^2)/(2*$I$5)</f>
        <v>52432.141837660143</v>
      </c>
      <c r="S92">
        <f>M92+((ABS(I92)/MAX(((G34)+(I34)*(MAX($D$16,(M92)-(K34))))*(MAX($D$16,(M92)-(K34))),0.000001))^2)/(2*$I$5)+((E34)*((((ABS(I92)*$D$6)/(MAX(((F34)+(H34)*(MAX($D$16,(E92)-(J34))))*(MAX($D$16,(E92)-(J34))),0.000001)*MAX(((((F34)+(H34)*(MAX($D$16,(E92)-(J34))))*(MAX($D$16,(E92)-(J34))))/MAX((F34)+2*(MAX($D$16,(E92)-(J34)))*SQRT(1+(H34)^2),0.000001))^(2/3),0.000001)))^2)+(((ABS(I92)*$D$6)/(MAX(((G34)+(I34)*(MAX($D$16,(M92)-(K34))))*(MAX($D$16,(M92)-(K34))),0.000001)*MAX(((((G34)+(I34)*(MAX($D$16,(M92)-(K34))))*(MAX($D$16,(M92)-(K34))))/MAX((G34)+2*(MAX($D$16,(M92)-(K34)))*SQRT(1+(I34)^2),0.000001))^(2/3),0.000001)))^2))/2)+(IF((ABS(I92)/MAX(((G34)+(I34)*(MAX($D$16,(M92)-(K34))))*(MAX($D$16,(M92)-(K34))),0.000001))&gt;(ABS(I92)/MAX(((F34)+(H34)*(MAX($D$16,(E92)-(J34))))*(MAX($D$16,(E92)-(J34))),0.000001)),$D$9*((((ABS(I92)/MAX(((G34)+(I34)*(MAX($D$16,(M92)-(K34))))*(MAX($D$16,(M92)-(K34))),0.000001))^2)/(2*$I$5))-(((ABS(I92)/MAX(((F34)+(H34)*(MAX($D$16,(E92)-(J34))))*(MAX($D$16,(E92)-(J34))),0.000001))^2)/(2*$I$5))),$D$8*((((ABS(I92)/MAX(((F34)+(H34)*(MAX($D$16,(E92)-(J34))))*(MAX($D$16,(E92)-(J34))),0.000001))^2)/(2*$I$5))-(((ABS(I92)/MAX(((G34)+(I34)*(MAX($D$16,(M92)-(K34))))*(MAX($D$16,(M92)-(K34))),0.000001))^2)/(2*$I$5)))))+($D$10*(ABS((X34)-(W34))/90)*MAX(((ABS(I92)/MAX(((F34)+(H34)*(MAX($D$16,(E92)-(J34))))*(MAX($D$16,(E92)-(J34))),0.000001))^2)/(2*$I$5),((ABS(I92)/MAX(((G34)+(I34)*(MAX($D$16,(M92)-(K34))))*(MAX($D$16,(M92)-(K34))),0.000001))^2)/(2*$I$5)))+(0)-((ABS(I92)/MAX(((F34)+(H34)*(MAX($D$16,(E92)-(J34))))*(MAX($D$16,(E92)-(J34))),0.000001))^2)/(2*$I$5)</f>
        <v>635.5</v>
      </c>
      <c r="T92">
        <f>N92+((ABS(J92)/MAX(((G35)+(I35)*(MAX($D$16,(N92)-(K35))))*(MAX($D$16,(N92)-(K35))),0.000001))^2)/(2*$I$5)+((E35)*((((ABS(J92)*$D$6)/(MAX(((F35)+(H35)*(MAX($D$16,(E92)-(J35))))*(MAX($D$16,(E92)-(J35))),0.000001)*MAX(((((F35)+(H35)*(MAX($D$16,(E92)-(J35))))*(MAX($D$16,(E92)-(J35))))/MAX((F35)+2*(MAX($D$16,(E92)-(J35)))*SQRT(1+(H35)^2),0.000001))^(2/3),0.000001)))^2)+(((ABS(J92)*$D$6)/(MAX(((G35)+(I35)*(MAX($D$16,(N92)-(K35))))*(MAX($D$16,(N92)-(K35))),0.000001)*MAX(((((G35)+(I35)*(MAX($D$16,(N92)-(K35))))*(MAX($D$16,(N92)-(K35))))/MAX((G35)+2*(MAX($D$16,(N92)-(K35)))*SQRT(1+(I35)^2),0.000001))^(2/3),0.000001)))^2))/2)+(IF((ABS(J92)/MAX(((G35)+(I35)*(MAX($D$16,(N92)-(K35))))*(MAX($D$16,(N92)-(K35))),0.000001))&gt;(ABS(J92)/MAX(((F35)+(H35)*(MAX($D$16,(E92)-(J35))))*(MAX($D$16,(E92)-(J35))),0.000001)),$D$9*((((ABS(J92)/MAX(((G35)+(I35)*(MAX($D$16,(N92)-(K35))))*(MAX($D$16,(N92)-(K35))),0.000001))^2)/(2*$I$5))-(((ABS(J92)/MAX(((F35)+(H35)*(MAX($D$16,(E92)-(J35))))*(MAX($D$16,(E92)-(J35))),0.000001))^2)/(2*$I$5))),$D$8*((((ABS(J92)/MAX(((F35)+(H35)*(MAX($D$16,(E92)-(J35))))*(MAX($D$16,(E92)-(J35))),0.000001))^2)/(2*$I$5))-(((ABS(J92)/MAX(((G35)+(I35)*(MAX($D$16,(N92)-(K35))))*(MAX($D$16,(N92)-(K35))),0.000001))^2)/(2*$I$5)))))+($D$10*(ABS((X35)-(W35))/90)*MAX(((ABS(J92)/MAX(((F35)+(H35)*(MAX($D$16,(E92)-(J35))))*(MAX($D$16,(E92)-(J35))),0.000001))^2)/(2*$I$5),((ABS(J92)/MAX(((G35)+(I35)*(MAX($D$16,(N92)-(K35))))*(MAX($D$16,(N92)-(K35))),0.000001))^2)/(2*$I$5)))+(($D$11*0.34699541*(ABS(I92)/MAX(ABS(G92),0.000001))^2*MAX(((ABS(J92)/MAX(((F35)+(H35)*(MAX($D$16,(E92)-(J35))))*(MAX($D$16,(E92)-(J35))),0.000001))^2)/(2*$I$5),((ABS(J92)/MAX(((G35)+(I35)*(MAX($D$16,(N92)-(K35))))*(MAX($D$16,(N92)-(K35))),0.000001))^2)/(2*$I$5))))-((ABS(J92)/MAX(((F35)+(H35)*(MAX($D$16,(E92)-(J35))))*(MAX($D$16,(E92)-(J35))),0.000001))^2)/(2*$I$5)</f>
        <v>20784.033523923383</v>
      </c>
      <c r="U92">
        <f>(((((F32)*(MAX($D$16,(D92)-(J32)))^2)/2+(H32)*(MAX($D$16,(D92)-(J32)))^3/3+(ABS(G92)^2)/($I$5*MAX(((F32)+(H32)*(MAX($D$16,(D92)-(J32))))*(MAX($D$16,(D92)-(J32))),0.000001)))*0.72785025)-((((F33)*(MAX($D$16,(D92)-(J33)))^2)/2+(H33)*(MAX($D$16,(D92)-(J33)))^3/3+(ABS(H92)^2)/($I$5*MAX(((F33)+(H33)*(MAX($D$16,(D92)-(J33))))*(MAX($D$16,(D92)-(J33))),0.000001)))*0.99999971))/MAX(((G31)*(MAX($D$16,(D92)-(K31)))^2)/2+(I31)*(MAX($D$16,(D92)-(K31)))^3/3+(ABS(F92)^2)/($I$5*MAX(((G31)+(I31)*(MAX($D$16,(D92)-(K31))))*(MAX($D$16,(D92)-(K31))),0.000001)),0.000001)</f>
        <v>-0.27214945999991125</v>
      </c>
      <c r="V92">
        <f>(((((F34)*(MAX($D$16,(E92)-(J34)))^2)/2+(H34)*(MAX($D$16,(E92)-(J34)))^3/3+(ABS(I92)^2)/($I$5*MAX(((F34)+(H34)*(MAX($D$16,(E92)-(J34))))*(MAX($D$16,(E92)-(J34))),0.000001)))*1)-((((F35)*(MAX($D$16,(E92)-(J35)))^2)/2+(H35)*(MAX($D$16,(E92)-(J35)))^3/3+(ABS(J92)^2)/($I$5*MAX(((F35)+(H35)*(MAX($D$16,(E92)-(J35))))*(MAX($D$16,(E92)-(J35))),0.000001)))*0.30600918))/MAX(((G32)*(MAX($D$16,(E92)-(K32)))^2)/2+(I32)*(MAX($D$16,(E92)-(K32)))^3/3+(ABS(G92)^2)/($I$5*MAX(((G32)+(I32)*(MAX($D$16,(E92)-(K32))))*(MAX($D$16,(E92)-(K32))),0.000001)),0.000001)</f>
        <v>0.69398638937190382</v>
      </c>
      <c r="W92">
        <f>IF(N6="None",ABS(P92-D92),MAX(ABS(P92-D92),ABS(Q92-D92)))</f>
        <v>3.4197000786662102E-10</v>
      </c>
      <c r="X92">
        <f>IF(AND(N7="None",N8="None"),0,IF(N8="None",ABS(S92-E92),IF(N7="None",ABS(T92-E92),MAX(ABS(S92-E92),ABS(T92-E92)))))</f>
        <v>51796.641837659801</v>
      </c>
      <c r="AA92">
        <f t="shared" si="18"/>
        <v>52432.141837660129</v>
      </c>
      <c r="AB92">
        <f t="shared" si="19"/>
        <v>41355.303927852059</v>
      </c>
      <c r="AC92">
        <f>IF(N6="None",P92,MAX(P92,Q92))</f>
        <v>52432.141837660354</v>
      </c>
      <c r="AD92">
        <f>IF(AND(N7="None",N8="None"),E92,IF(N8="None",S92,IF(N7="None",T92,MAX(S92,T92))))</f>
        <v>20784.033523923383</v>
      </c>
      <c r="AE92">
        <f t="shared" si="20"/>
        <v>637.65825101089831</v>
      </c>
      <c r="AF92">
        <f t="shared" si="21"/>
        <v>52432.141837660143</v>
      </c>
      <c r="AG92">
        <f>((G31)*(MAX($D$16,(AC92)-(K31)))^2)/2+(I31)*(MAX($D$16,(AC92)-(K31)))^3/3+(ABS(F92)^2)/($I$5*MAX(((G31)+(I31)*(MAX($D$16,(AC92)-(K31))))*(MAX($D$16,(AC92)-(K31))),0.000001))</f>
        <v>8797611517.4110756</v>
      </c>
      <c r="AH92">
        <f>((G31)*(MAX($D$16,(AE92)-(K31)))^2)/2+(I31)*(MAX($D$16,(AE92)-(K31)))^3/3+(ABS(F92)^2)/($I$5*MAX(((G31)+(I31)*(MAX($D$16,(AE92)-(K31))))*(MAX($D$16,(AE92)-(K31))),0.000001))</f>
        <v>49.055863329575246</v>
      </c>
      <c r="AI92">
        <f>((G32)*(MAX($D$16,(AD92)-(K32)))^2)/2+(I32)*(MAX($D$16,(AD92)-(K32)))^3/3+(ABS(G92)^2)/($I$5*MAX(((G32)+(I32)*(MAX($D$16,(AD92)-(K32))))*(MAX($D$16,(AD92)-(K32))),0.000001))</f>
        <v>2072376743.6648321</v>
      </c>
      <c r="AJ92">
        <f>((G32)*(MAX($D$16,(AF92)-(K32)))^2)/2+(I32)*(MAX($D$16,(AF92)-(K32)))^3/3+(ABS(G92)^2)/($I$5*MAX(((G32)+(I32)*(MAX($D$16,(AF92)-(K32))))*(MAX($D$16,(AF92)-(K32))),0.000001))</f>
        <v>13692714789.643105</v>
      </c>
      <c r="AK92" t="str">
        <f t="shared" si="22"/>
        <v>Subcritical</v>
      </c>
      <c r="AL92" t="str">
        <f t="shared" si="23"/>
        <v>Supercritical</v>
      </c>
      <c r="AM92">
        <f t="shared" si="24"/>
        <v>52432.141837660129</v>
      </c>
      <c r="AN92">
        <f t="shared" si="25"/>
        <v>52432.141837659918</v>
      </c>
      <c r="AO92">
        <f t="shared" si="26"/>
        <v>3.4197000786662102E-10</v>
      </c>
      <c r="AP92">
        <f t="shared" si="27"/>
        <v>3.4197000786662102E-10</v>
      </c>
    </row>
    <row r="93" spans="1:42" x14ac:dyDescent="0.35">
      <c r="A93">
        <v>50</v>
      </c>
      <c r="B93">
        <f t="shared" si="28"/>
        <v>0</v>
      </c>
      <c r="C93">
        <f t="shared" si="29"/>
        <v>0</v>
      </c>
      <c r="D93">
        <f t="shared" si="30"/>
        <v>52432.141837660129</v>
      </c>
      <c r="E93">
        <f t="shared" si="31"/>
        <v>52432.141837659918</v>
      </c>
      <c r="F93">
        <f t="shared" si="17"/>
        <v>51</v>
      </c>
      <c r="G93">
        <f>IF(N6="None",F93,MAX(0,F93*B93))</f>
        <v>51</v>
      </c>
      <c r="H93">
        <f>IF(N6="None",0,MAX(0,F93-G93))</f>
        <v>0</v>
      </c>
      <c r="I93">
        <f>IF(AND(N7="None",N8="None"),0,IF(N8="None",G93,IF(N7="None",0,MAX(0,G93*C93))))</f>
        <v>0</v>
      </c>
      <c r="J93">
        <f>IF(AND(N7="None",N8="None"),0,IF(N8="None",0,IF(N7="None",G93,MAX(0,G93-I93))))</f>
        <v>51</v>
      </c>
      <c r="K93">
        <f>P5</f>
        <v>637</v>
      </c>
      <c r="L93">
        <f>P6</f>
        <v>634.3119999999999</v>
      </c>
      <c r="M93">
        <f>P7</f>
        <v>635.5</v>
      </c>
      <c r="N93">
        <f>P8</f>
        <v>631.54999999999995</v>
      </c>
      <c r="O93">
        <f>K93+((ABS(F93)/MAX(((F31)+(H31)*(MAX($D$16,(K93)-(J31))))*(MAX($D$16,(K93)-(J31))),0.000001))^2)/(2*$I$5)-((E31)*((((ABS(F93)*$D$6)/(MAX(((F31)+(H31)*(MAX($D$16,(K93)-(J31))))*(MAX($D$16,(K93)-(J31))),0.000001)*MAX(((((F31)+(H31)*(MAX($D$16,(K93)-(J31))))*(MAX($D$16,(K93)-(J31))))/MAX((F31)+2*(MAX($D$16,(K93)-(J31)))*SQRT(1+(H31)^2),0.000001))^(2/3),0.000001)))^2)+(((ABS(F93)*$D$6)/(MAX(((G31)+(I31)*(MAX($D$16,(D93)-(K31))))*(MAX($D$16,(D93)-(K31))),0.000001)*MAX(((((G31)+(I31)*(MAX($D$16,(D93)-(K31))))*(MAX($D$16,(D93)-(K31))))/MAX((G31)+2*(MAX($D$16,(D93)-(K31)))*SQRT(1+(I31)^2),0.000001))^(2/3),0.000001)))^2))/2)+(IF((ABS(F93)/MAX(((G31)+(I31)*(MAX($D$16,(D93)-(K31))))*(MAX($D$16,(D93)-(K31))),0.000001))&gt;(ABS(F93)/MAX(((F31)+(H31)*(MAX($D$16,(K93)-(J31))))*(MAX($D$16,(K93)-(J31))),0.000001)),$D$9*((((ABS(F93)/MAX(((G31)+(I31)*(MAX($D$16,(D93)-(K31))))*(MAX($D$16,(D93)-(K31))),0.000001))^2)/(2*$I$5))-(((ABS(F93)/MAX(((F31)+(H31)*(MAX($D$16,(K93)-(J31))))*(MAX($D$16,(K93)-(J31))),0.000001))^2)/(2*$I$5))),$D$8*((((ABS(F93)/MAX(((F31)+(H31)*(MAX($D$16,(K93)-(J31))))*(MAX($D$16,(K93)-(J31))),0.000001))^2)/(2*$I$5))-(((ABS(F93)/MAX(((G31)+(I31)*(MAX($D$16,(D93)-(K31))))*(MAX($D$16,(D93)-(K31))),0.000001))^2)/(2*$I$5)))))+($D$10*(ABS((X31)-(W31))/90)*MAX(((ABS(F93)/MAX(((F31)+(H31)*(MAX($D$16,(K93)-(J31))))*(MAX($D$16,(K93)-(J31))),0.000001))^2)/(2*$I$5),((ABS(F93)/MAX(((G31)+(I31)*(MAX($D$16,(D93)-(K31))))*(MAX($D$16,(D93)-(K31))),0.000001))^2)/(2*$I$5)))+(0)-((ABS(F93)/MAX(((G31)+(I31)*(MAX($D$16,(D93)-(K31))))*(MAX($D$16,(D93)-(K31))),0.000001))^2)/(2*$I$5)</f>
        <v>637.65825101089831</v>
      </c>
      <c r="P93">
        <f>E93+((ABS(G93)/MAX(((G32)+(I32)*(MAX($D$16,(E93)-(K32))))*(MAX($D$16,(E93)-(K32))),0.000001))^2)/(2*$I$5)+((E32)*((((ABS(G93)*$D$6)/(MAX(((F32)+(H32)*(MAX($D$16,(D93)-(J32))))*(MAX($D$16,(D93)-(J32))),0.000001)*MAX(((((F32)+(H32)*(MAX($D$16,(D93)-(J32))))*(MAX($D$16,(D93)-(J32))))/MAX((F32)+2*(MAX($D$16,(D93)-(J32)))*SQRT(1+(H32)^2),0.000001))^(2/3),0.000001)))^2)+(((ABS(G93)*$D$6)/(MAX(((G32)+(I32)*(MAX($D$16,(E93)-(K32))))*(MAX($D$16,(E93)-(K32))),0.000001)*MAX(((((G32)+(I32)*(MAX($D$16,(E93)-(K32))))*(MAX($D$16,(E93)-(K32))))/MAX((G32)+2*(MAX($D$16,(E93)-(K32)))*SQRT(1+(I32)^2),0.000001))^(2/3),0.000001)))^2))/2)+(IF((ABS(G93)/MAX(((G32)+(I32)*(MAX($D$16,(E93)-(K32))))*(MAX($D$16,(E93)-(K32))),0.000001))&gt;(ABS(G93)/MAX(((F32)+(H32)*(MAX($D$16,(D93)-(J32))))*(MAX($D$16,(D93)-(J32))),0.000001)),$D$9*((((ABS(G93)/MAX(((G32)+(I32)*(MAX($D$16,(E93)-(K32))))*(MAX($D$16,(E93)-(K32))),0.000001))^2)/(2*$I$5))-(((ABS(G93)/MAX(((F32)+(H32)*(MAX($D$16,(D93)-(J32))))*(MAX($D$16,(D93)-(J32))),0.000001))^2)/(2*$I$5))),$D$8*((((ABS(G93)/MAX(((F32)+(H32)*(MAX($D$16,(D93)-(J32))))*(MAX($D$16,(D93)-(J32))),0.000001))^2)/(2*$I$5))-(((ABS(G93)/MAX(((G32)+(I32)*(MAX($D$16,(E93)-(K32))))*(MAX($D$16,(E93)-(K32))),0.000001))^2)/(2*$I$5)))))+($D$10*(ABS((X32)-(W32))/90)*MAX(((ABS(G93)/MAX(((F32)+(H32)*(MAX($D$16,(D93)-(J32))))*(MAX($D$16,(D93)-(J32))),0.000001))^2)/(2*$I$5),((ABS(G93)/MAX(((G32)+(I32)*(MAX($D$16,(E93)-(K32))))*(MAX($D$16,(E93)-(K32))),0.000001))^2)/(2*$I$5)))+(($D$11*0.13607488*(ABS(H93)/MAX(ABS(F93),0.000001))^2*MAX(((ABS(G93)/MAX(((F32)+(H32)*(MAX($D$16,(D93)-(J32))))*(MAX($D$16,(D93)-(J32))),0.000001))^2)/(2*$I$5),((ABS(G93)/MAX(((G32)+(I32)*(MAX($D$16,(E93)-(K32))))*(MAX($D$16,(E93)-(K32))),0.000001))^2)/(2*$I$5))))-((ABS(G93)/MAX(((F32)+(H32)*(MAX($D$16,(D93)-(J32))))*(MAX($D$16,(D93)-(J32))),0.000001))^2)/(2*$I$5)</f>
        <v>52432.141837660471</v>
      </c>
      <c r="Q93">
        <f>L93+((ABS(H93)/MAX(((G33)+(I33)*(MAX($D$16,(L93)-(K33))))*(MAX($D$16,(L93)-(K33))),0.000001))^2)/(2*$I$5)+((E33)*((((ABS(H93)*$D$6)/(MAX(((F33)+(H33)*(MAX($D$16,(D93)-(J33))))*(MAX($D$16,(D93)-(J33))),0.000001)*MAX(((((F33)+(H33)*(MAX($D$16,(D93)-(J33))))*(MAX($D$16,(D93)-(J33))))/MAX((F33)+2*(MAX($D$16,(D93)-(J33)))*SQRT(1+(H33)^2),0.000001))^(2/3),0.000001)))^2)+(((ABS(H93)*$D$6)/(MAX(((G33)+(I33)*(MAX($D$16,(L93)-(K33))))*(MAX($D$16,(L93)-(K33))),0.000001)*MAX(((((G33)+(I33)*(MAX($D$16,(L93)-(K33))))*(MAX($D$16,(L93)-(K33))))/MAX((G33)+2*(MAX($D$16,(L93)-(K33)))*SQRT(1+(I33)^2),0.000001))^(2/3),0.000001)))^2))/2)+(IF((ABS(H93)/MAX(((G33)+(I33)*(MAX($D$16,(L93)-(K33))))*(MAX($D$16,(L93)-(K33))),0.000001))&gt;(ABS(H93)/MAX(((F33)+(H33)*(MAX($D$16,(D93)-(J33))))*(MAX($D$16,(D93)-(J33))),0.000001)),$D$9*((((ABS(H93)/MAX(((G33)+(I33)*(MAX($D$16,(L93)-(K33))))*(MAX($D$16,(L93)-(K33))),0.000001))^2)/(2*$I$5))-(((ABS(H93)/MAX(((F33)+(H33)*(MAX($D$16,(D93)-(J33))))*(MAX($D$16,(D93)-(J33))),0.000001))^2)/(2*$I$5))),$D$8*((((ABS(H93)/MAX(((F33)+(H33)*(MAX($D$16,(D93)-(J33))))*(MAX($D$16,(D93)-(J33))),0.000001))^2)/(2*$I$5))-(((ABS(H93)/MAX(((G33)+(I33)*(MAX($D$16,(L93)-(K33))))*(MAX($D$16,(L93)-(K33))),0.000001))^2)/(2*$I$5)))))+($D$10*(ABS((X33)-(W33))/90)*MAX(((ABS(H93)/MAX(((F33)+(H33)*(MAX($D$16,(D93)-(J33))))*(MAX($D$16,(D93)-(J33))),0.000001))^2)/(2*$I$5),((ABS(H93)/MAX(((G33)+(I33)*(MAX($D$16,(L93)-(K33))))*(MAX($D$16,(L93)-(K33))),0.000001))^2)/(2*$I$5)))+(($D$11*0.00000015*(ABS(G93)/MAX(ABS(F93),0.000001))^2*MAX(((ABS(H93)/MAX(((F33)+(H33)*(MAX($D$16,(D93)-(J33))))*(MAX($D$16,(D93)-(J33))),0.000001))^2)/(2*$I$5),((ABS(H93)/MAX(((G33)+(I33)*(MAX($D$16,(L93)-(K33))))*(MAX($D$16,(L93)-(K33))),0.000001))^2)/(2*$I$5))))-((ABS(H93)/MAX(((F33)+(H33)*(MAX($D$16,(D93)-(J33))))*(MAX($D$16,(D93)-(J33))),0.000001))^2)/(2*$I$5)</f>
        <v>634.3119999999999</v>
      </c>
      <c r="R93">
        <f>D93+((ABS(G93)/MAX(((F32)+(H32)*(MAX($D$16,(D93)-(J32))))*(MAX($D$16,(D93)-(J32))),0.000001))^2)/(2*$I$5)-((E32)*((((ABS(G93)*$D$6)/(MAX(((F32)+(H32)*(MAX($D$16,(D93)-(J32))))*(MAX($D$16,(D93)-(J32))),0.000001)*MAX(((((F32)+(H32)*(MAX($D$16,(D93)-(J32))))*(MAX($D$16,(D93)-(J32))))/MAX((F32)+2*(MAX($D$16,(D93)-(J32)))*SQRT(1+(H32)^2),0.000001))^(2/3),0.000001)))^2)+(((ABS(G93)*$D$6)/(MAX(((G32)+(I32)*(MAX($D$16,(E93)-(K32))))*(MAX($D$16,(E93)-(K32))),0.000001)*MAX(((((G32)+(I32)*(MAX($D$16,(E93)-(K32))))*(MAX($D$16,(E93)-(K32))))/MAX((G32)+2*(MAX($D$16,(E93)-(K32)))*SQRT(1+(I32)^2),0.000001))^(2/3),0.000001)))^2))/2)+(IF((ABS(G93)/MAX(((G32)+(I32)*(MAX($D$16,(E93)-(K32))))*(MAX($D$16,(E93)-(K32))),0.000001))&gt;(ABS(G93)/MAX(((F32)+(H32)*(MAX($D$16,(D93)-(J32))))*(MAX($D$16,(D93)-(J32))),0.000001)),$D$9*((((ABS(G93)/MAX(((G32)+(I32)*(MAX($D$16,(E93)-(K32))))*(MAX($D$16,(E93)-(K32))),0.000001))^2)/(2*$I$5))-(((ABS(G93)/MAX(((F32)+(H32)*(MAX($D$16,(D93)-(J32))))*(MAX($D$16,(D93)-(J32))),0.000001))^2)/(2*$I$5))),$D$8*((((ABS(G93)/MAX(((F32)+(H32)*(MAX($D$16,(D93)-(J32))))*(MAX($D$16,(D93)-(J32))),0.000001))^2)/(2*$I$5))-(((ABS(G93)/MAX(((G32)+(I32)*(MAX($D$16,(E93)-(K32))))*(MAX($D$16,(E93)-(K32))),0.000001))^2)/(2*$I$5)))))+($D$10*(ABS((X32)-(W32))/90)*MAX(((ABS(G93)/MAX(((F32)+(H32)*(MAX($D$16,(D93)-(J32))))*(MAX($D$16,(D93)-(J32))),0.000001))^2)/(2*$I$5),((ABS(G93)/MAX(((G32)+(I32)*(MAX($D$16,(E93)-(K32))))*(MAX($D$16,(E93)-(K32))),0.000001))^2)/(2*$I$5)))+(($D$11*0.13607488*(ABS(H93)/MAX(ABS(F93),0.000001))^2*MAX(((ABS(G93)/MAX(((F32)+(H32)*(MAX($D$16,(D93)-(J32))))*(MAX($D$16,(D93)-(J32))),0.000001))^2)/(2*$I$5),((ABS(G93)/MAX(((G32)+(I32)*(MAX($D$16,(E93)-(K32))))*(MAX($D$16,(E93)-(K32))),0.000001))^2)/(2*$I$5))))-((ABS(G93)/MAX(((G32)+(I32)*(MAX($D$16,(E93)-(K32))))*(MAX($D$16,(E93)-(K32))),0.000001))^2)/(2*$I$5)</f>
        <v>52432.14183766026</v>
      </c>
      <c r="S93">
        <f>M93+((ABS(I93)/MAX(((G34)+(I34)*(MAX($D$16,(M93)-(K34))))*(MAX($D$16,(M93)-(K34))),0.000001))^2)/(2*$I$5)+((E34)*((((ABS(I93)*$D$6)/(MAX(((F34)+(H34)*(MAX($D$16,(E93)-(J34))))*(MAX($D$16,(E93)-(J34))),0.000001)*MAX(((((F34)+(H34)*(MAX($D$16,(E93)-(J34))))*(MAX($D$16,(E93)-(J34))))/MAX((F34)+2*(MAX($D$16,(E93)-(J34)))*SQRT(1+(H34)^2),0.000001))^(2/3),0.000001)))^2)+(((ABS(I93)*$D$6)/(MAX(((G34)+(I34)*(MAX($D$16,(M93)-(K34))))*(MAX($D$16,(M93)-(K34))),0.000001)*MAX(((((G34)+(I34)*(MAX($D$16,(M93)-(K34))))*(MAX($D$16,(M93)-(K34))))/MAX((G34)+2*(MAX($D$16,(M93)-(K34)))*SQRT(1+(I34)^2),0.000001))^(2/3),0.000001)))^2))/2)+(IF((ABS(I93)/MAX(((G34)+(I34)*(MAX($D$16,(M93)-(K34))))*(MAX($D$16,(M93)-(K34))),0.000001))&gt;(ABS(I93)/MAX(((F34)+(H34)*(MAX($D$16,(E93)-(J34))))*(MAX($D$16,(E93)-(J34))),0.000001)),$D$9*((((ABS(I93)/MAX(((G34)+(I34)*(MAX($D$16,(M93)-(K34))))*(MAX($D$16,(M93)-(K34))),0.000001))^2)/(2*$I$5))-(((ABS(I93)/MAX(((F34)+(H34)*(MAX($D$16,(E93)-(J34))))*(MAX($D$16,(E93)-(J34))),0.000001))^2)/(2*$I$5))),$D$8*((((ABS(I93)/MAX(((F34)+(H34)*(MAX($D$16,(E93)-(J34))))*(MAX($D$16,(E93)-(J34))),0.000001))^2)/(2*$I$5))-(((ABS(I93)/MAX(((G34)+(I34)*(MAX($D$16,(M93)-(K34))))*(MAX($D$16,(M93)-(K34))),0.000001))^2)/(2*$I$5)))))+($D$10*(ABS((X34)-(W34))/90)*MAX(((ABS(I93)/MAX(((F34)+(H34)*(MAX($D$16,(E93)-(J34))))*(MAX($D$16,(E93)-(J34))),0.000001))^2)/(2*$I$5),((ABS(I93)/MAX(((G34)+(I34)*(MAX($D$16,(M93)-(K34))))*(MAX($D$16,(M93)-(K34))),0.000001))^2)/(2*$I$5)))+(0)-((ABS(I93)/MAX(((F34)+(H34)*(MAX($D$16,(E93)-(J34))))*(MAX($D$16,(E93)-(J34))),0.000001))^2)/(2*$I$5)</f>
        <v>635.5</v>
      </c>
      <c r="T93">
        <f>N93+((ABS(J93)/MAX(((G35)+(I35)*(MAX($D$16,(N93)-(K35))))*(MAX($D$16,(N93)-(K35))),0.000001))^2)/(2*$I$5)+((E35)*((((ABS(J93)*$D$6)/(MAX(((F35)+(H35)*(MAX($D$16,(E93)-(J35))))*(MAX($D$16,(E93)-(J35))),0.000001)*MAX(((((F35)+(H35)*(MAX($D$16,(E93)-(J35))))*(MAX($D$16,(E93)-(J35))))/MAX((F35)+2*(MAX($D$16,(E93)-(J35)))*SQRT(1+(H35)^2),0.000001))^(2/3),0.000001)))^2)+(((ABS(J93)*$D$6)/(MAX(((G35)+(I35)*(MAX($D$16,(N93)-(K35))))*(MAX($D$16,(N93)-(K35))),0.000001)*MAX(((((G35)+(I35)*(MAX($D$16,(N93)-(K35))))*(MAX($D$16,(N93)-(K35))))/MAX((G35)+2*(MAX($D$16,(N93)-(K35)))*SQRT(1+(I35)^2),0.000001))^(2/3),0.000001)))^2))/2)+(IF((ABS(J93)/MAX(((G35)+(I35)*(MAX($D$16,(N93)-(K35))))*(MAX($D$16,(N93)-(K35))),0.000001))&gt;(ABS(J93)/MAX(((F35)+(H35)*(MAX($D$16,(E93)-(J35))))*(MAX($D$16,(E93)-(J35))),0.000001)),$D$9*((((ABS(J93)/MAX(((G35)+(I35)*(MAX($D$16,(N93)-(K35))))*(MAX($D$16,(N93)-(K35))),0.000001))^2)/(2*$I$5))-(((ABS(J93)/MAX(((F35)+(H35)*(MAX($D$16,(E93)-(J35))))*(MAX($D$16,(E93)-(J35))),0.000001))^2)/(2*$I$5))),$D$8*((((ABS(J93)/MAX(((F35)+(H35)*(MAX($D$16,(E93)-(J35))))*(MAX($D$16,(E93)-(J35))),0.000001))^2)/(2*$I$5))-(((ABS(J93)/MAX(((G35)+(I35)*(MAX($D$16,(N93)-(K35))))*(MAX($D$16,(N93)-(K35))),0.000001))^2)/(2*$I$5)))))+($D$10*(ABS((X35)-(W35))/90)*MAX(((ABS(J93)/MAX(((F35)+(H35)*(MAX($D$16,(E93)-(J35))))*(MAX($D$16,(E93)-(J35))),0.000001))^2)/(2*$I$5),((ABS(J93)/MAX(((G35)+(I35)*(MAX($D$16,(N93)-(K35))))*(MAX($D$16,(N93)-(K35))),0.000001))^2)/(2*$I$5)))+(($D$11*0.34699541*(ABS(I93)/MAX(ABS(G93),0.000001))^2*MAX(((ABS(J93)/MAX(((F35)+(H35)*(MAX($D$16,(E93)-(J35))))*(MAX($D$16,(E93)-(J35))),0.000001))^2)/(2*$I$5),((ABS(J93)/MAX(((G35)+(I35)*(MAX($D$16,(N93)-(K35))))*(MAX($D$16,(N93)-(K35))),0.000001))^2)/(2*$I$5))))-((ABS(J93)/MAX(((F35)+(H35)*(MAX($D$16,(E93)-(J35))))*(MAX($D$16,(E93)-(J35))),0.000001))^2)/(2*$I$5)</f>
        <v>20784.033523923383</v>
      </c>
      <c r="U93">
        <f>(((((F32)*(MAX($D$16,(D93)-(J32)))^2)/2+(H32)*(MAX($D$16,(D93)-(J32)))^3/3+(ABS(G93)^2)/($I$5*MAX(((F32)+(H32)*(MAX($D$16,(D93)-(J32))))*(MAX($D$16,(D93)-(J32))),0.000001)))*0.72785025)-((((F33)*(MAX($D$16,(D93)-(J33)))^2)/2+(H33)*(MAX($D$16,(D93)-(J33)))^3/3+(ABS(H93)^2)/($I$5*MAX(((F33)+(H33)*(MAX($D$16,(D93)-(J33))))*(MAX($D$16,(D93)-(J33))),0.000001)))*0.99999971))/MAX(((G31)*(MAX($D$16,(D93)-(K31)))^2)/2+(I31)*(MAX($D$16,(D93)-(K31)))^3/3+(ABS(F93)^2)/($I$5*MAX(((G31)+(I31)*(MAX($D$16,(D93)-(K31))))*(MAX($D$16,(D93)-(K31))),0.000001)),0.000001)</f>
        <v>-0.27214945999991125</v>
      </c>
      <c r="V93">
        <f>(((((F34)*(MAX($D$16,(E93)-(J34)))^2)/2+(H34)*(MAX($D$16,(E93)-(J34)))^3/3+(ABS(I93)^2)/($I$5*MAX(((F34)+(H34)*(MAX($D$16,(E93)-(J34))))*(MAX($D$16,(E93)-(J34))),0.000001)))*1)-((((F35)*(MAX($D$16,(E93)-(J35)))^2)/2+(H35)*(MAX($D$16,(E93)-(J35)))^3/3+(ABS(J93)^2)/($I$5*MAX(((F35)+(H35)*(MAX($D$16,(E93)-(J35))))*(MAX($D$16,(E93)-(J35))),0.000001)))*0.30600918))/MAX(((G32)*(MAX($D$16,(E93)-(K32)))^2)/2+(I32)*(MAX($D$16,(E93)-(K32)))^3/3+(ABS(G93)^2)/($I$5*MAX(((G32)+(I32)*(MAX($D$16,(E93)-(K32))))*(MAX($D$16,(E93)-(K32))),0.000001)),0.000001)</f>
        <v>0.69398638937190382</v>
      </c>
      <c r="W93">
        <f>IF(N6="None",ABS(P93-D93),MAX(ABS(P93-D93),ABS(Q93-D93)))</f>
        <v>3.4197000786662102E-10</v>
      </c>
      <c r="X93">
        <f>IF(AND(N7="None",N8="None"),0,IF(N8="None",ABS(S93-E93),IF(N7="None",ABS(T93-E93),MAX(ABS(S93-E93),ABS(T93-E93)))))</f>
        <v>51796.641837659918</v>
      </c>
      <c r="AA93">
        <f t="shared" si="18"/>
        <v>52432.141837660245</v>
      </c>
      <c r="AB93">
        <f t="shared" si="19"/>
        <v>41355.303927852132</v>
      </c>
      <c r="AC93">
        <f>IF(N6="None",P93,MAX(P93,Q93))</f>
        <v>52432.141837660471</v>
      </c>
      <c r="AD93">
        <f>IF(AND(N7="None",N8="None"),E93,IF(N8="None",S93,IF(N7="None",T93,MAX(S93,T93))))</f>
        <v>20784.033523923383</v>
      </c>
      <c r="AE93">
        <f t="shared" si="20"/>
        <v>637.65825101089831</v>
      </c>
      <c r="AF93">
        <f t="shared" si="21"/>
        <v>52432.14183766026</v>
      </c>
      <c r="AG93">
        <f>((G31)*(MAX($D$16,(AC93)-(K31)))^2)/2+(I31)*(MAX($D$16,(AC93)-(K31)))^3/3+(ABS(F93)^2)/($I$5*MAX(((G31)+(I31)*(MAX($D$16,(AC93)-(K31))))*(MAX($D$16,(AC93)-(K31))),0.000001))</f>
        <v>8797611517.4111156</v>
      </c>
      <c r="AH93">
        <f>((G31)*(MAX($D$16,(AE93)-(K31)))^2)/2+(I31)*(MAX($D$16,(AE93)-(K31)))^3/3+(ABS(F93)^2)/($I$5*MAX(((G31)+(I31)*(MAX($D$16,(AE93)-(K31))))*(MAX($D$16,(AE93)-(K31))),0.000001))</f>
        <v>49.055863329575246</v>
      </c>
      <c r="AI93">
        <f>((G32)*(MAX($D$16,(AD93)-(K32)))^2)/2+(I32)*(MAX($D$16,(AD93)-(K32)))^3/3+(ABS(G93)^2)/($I$5*MAX(((G32)+(I32)*(MAX($D$16,(AD93)-(K32))))*(MAX($D$16,(AD93)-(K32))),0.000001))</f>
        <v>2072376743.6648321</v>
      </c>
      <c r="AJ93">
        <f>((G32)*(MAX($D$16,(AF93)-(K32)))^2)/2+(I32)*(MAX($D$16,(AF93)-(K32)))^3/3+(ABS(G93)^2)/($I$5*MAX(((G32)+(I32)*(MAX($D$16,(AF93)-(K32))))*(MAX($D$16,(AF93)-(K32))),0.000001))</f>
        <v>13692714789.643166</v>
      </c>
      <c r="AK93" t="str">
        <f t="shared" si="22"/>
        <v>Subcritical</v>
      </c>
      <c r="AL93" t="str">
        <f t="shared" si="23"/>
        <v>Supercritical</v>
      </c>
      <c r="AM93">
        <f t="shared" si="24"/>
        <v>52432.141837660245</v>
      </c>
      <c r="AN93">
        <f t="shared" si="25"/>
        <v>52432.141837660034</v>
      </c>
      <c r="AO93">
        <f t="shared" si="26"/>
        <v>3.4197000786662102E-10</v>
      </c>
      <c r="AP93">
        <f t="shared" si="27"/>
        <v>3.4197000786662102E-10</v>
      </c>
    </row>
    <row r="94" spans="1:42" x14ac:dyDescent="0.35">
      <c r="A94">
        <v>51</v>
      </c>
      <c r="B94">
        <f t="shared" si="28"/>
        <v>0</v>
      </c>
      <c r="C94">
        <f t="shared" si="29"/>
        <v>0</v>
      </c>
      <c r="D94">
        <f t="shared" si="30"/>
        <v>52432.141837660245</v>
      </c>
      <c r="E94">
        <f t="shared" si="31"/>
        <v>52432.141837660034</v>
      </c>
      <c r="F94">
        <f t="shared" si="17"/>
        <v>51</v>
      </c>
      <c r="G94">
        <f>IF(N6="None",F94,MAX(0,F94*B94))</f>
        <v>51</v>
      </c>
      <c r="H94">
        <f>IF(N6="None",0,MAX(0,F94-G94))</f>
        <v>0</v>
      </c>
      <c r="I94">
        <f>IF(AND(N7="None",N8="None"),0,IF(N8="None",G94,IF(N7="None",0,MAX(0,G94*C94))))</f>
        <v>0</v>
      </c>
      <c r="J94">
        <f>IF(AND(N7="None",N8="None"),0,IF(N8="None",0,IF(N7="None",G94,MAX(0,G94-I94))))</f>
        <v>51</v>
      </c>
      <c r="K94">
        <f>P5</f>
        <v>637</v>
      </c>
      <c r="L94">
        <f>P6</f>
        <v>634.3119999999999</v>
      </c>
      <c r="M94">
        <f>P7</f>
        <v>635.5</v>
      </c>
      <c r="N94">
        <f>P8</f>
        <v>631.54999999999995</v>
      </c>
      <c r="O94">
        <f>K94+((ABS(F94)/MAX(((F31)+(H31)*(MAX($D$16,(K94)-(J31))))*(MAX($D$16,(K94)-(J31))),0.000001))^2)/(2*$I$5)-((E31)*((((ABS(F94)*$D$6)/(MAX(((F31)+(H31)*(MAX($D$16,(K94)-(J31))))*(MAX($D$16,(K94)-(J31))),0.000001)*MAX(((((F31)+(H31)*(MAX($D$16,(K94)-(J31))))*(MAX($D$16,(K94)-(J31))))/MAX((F31)+2*(MAX($D$16,(K94)-(J31)))*SQRT(1+(H31)^2),0.000001))^(2/3),0.000001)))^2)+(((ABS(F94)*$D$6)/(MAX(((G31)+(I31)*(MAX($D$16,(D94)-(K31))))*(MAX($D$16,(D94)-(K31))),0.000001)*MAX(((((G31)+(I31)*(MAX($D$16,(D94)-(K31))))*(MAX($D$16,(D94)-(K31))))/MAX((G31)+2*(MAX($D$16,(D94)-(K31)))*SQRT(1+(I31)^2),0.000001))^(2/3),0.000001)))^2))/2)+(IF((ABS(F94)/MAX(((G31)+(I31)*(MAX($D$16,(D94)-(K31))))*(MAX($D$16,(D94)-(K31))),0.000001))&gt;(ABS(F94)/MAX(((F31)+(H31)*(MAX($D$16,(K94)-(J31))))*(MAX($D$16,(K94)-(J31))),0.000001)),$D$9*((((ABS(F94)/MAX(((G31)+(I31)*(MAX($D$16,(D94)-(K31))))*(MAX($D$16,(D94)-(K31))),0.000001))^2)/(2*$I$5))-(((ABS(F94)/MAX(((F31)+(H31)*(MAX($D$16,(K94)-(J31))))*(MAX($D$16,(K94)-(J31))),0.000001))^2)/(2*$I$5))),$D$8*((((ABS(F94)/MAX(((F31)+(H31)*(MAX($D$16,(K94)-(J31))))*(MAX($D$16,(K94)-(J31))),0.000001))^2)/(2*$I$5))-(((ABS(F94)/MAX(((G31)+(I31)*(MAX($D$16,(D94)-(K31))))*(MAX($D$16,(D94)-(K31))),0.000001))^2)/(2*$I$5)))))+($D$10*(ABS((X31)-(W31))/90)*MAX(((ABS(F94)/MAX(((F31)+(H31)*(MAX($D$16,(K94)-(J31))))*(MAX($D$16,(K94)-(J31))),0.000001))^2)/(2*$I$5),((ABS(F94)/MAX(((G31)+(I31)*(MAX($D$16,(D94)-(K31))))*(MAX($D$16,(D94)-(K31))),0.000001))^2)/(2*$I$5)))+(0)-((ABS(F94)/MAX(((G31)+(I31)*(MAX($D$16,(D94)-(K31))))*(MAX($D$16,(D94)-(K31))),0.000001))^2)/(2*$I$5)</f>
        <v>637.65825101089831</v>
      </c>
      <c r="P94">
        <f>E94+((ABS(G94)/MAX(((G32)+(I32)*(MAX($D$16,(E94)-(K32))))*(MAX($D$16,(E94)-(K32))),0.000001))^2)/(2*$I$5)+((E32)*((((ABS(G94)*$D$6)/(MAX(((F32)+(H32)*(MAX($D$16,(D94)-(J32))))*(MAX($D$16,(D94)-(J32))),0.000001)*MAX(((((F32)+(H32)*(MAX($D$16,(D94)-(J32))))*(MAX($D$16,(D94)-(J32))))/MAX((F32)+2*(MAX($D$16,(D94)-(J32)))*SQRT(1+(H32)^2),0.000001))^(2/3),0.000001)))^2)+(((ABS(G94)*$D$6)/(MAX(((G32)+(I32)*(MAX($D$16,(E94)-(K32))))*(MAX($D$16,(E94)-(K32))),0.000001)*MAX(((((G32)+(I32)*(MAX($D$16,(E94)-(K32))))*(MAX($D$16,(E94)-(K32))))/MAX((G32)+2*(MAX($D$16,(E94)-(K32)))*SQRT(1+(I32)^2),0.000001))^(2/3),0.000001)))^2))/2)+(IF((ABS(G94)/MAX(((G32)+(I32)*(MAX($D$16,(E94)-(K32))))*(MAX($D$16,(E94)-(K32))),0.000001))&gt;(ABS(G94)/MAX(((F32)+(H32)*(MAX($D$16,(D94)-(J32))))*(MAX($D$16,(D94)-(J32))),0.000001)),$D$9*((((ABS(G94)/MAX(((G32)+(I32)*(MAX($D$16,(E94)-(K32))))*(MAX($D$16,(E94)-(K32))),0.000001))^2)/(2*$I$5))-(((ABS(G94)/MAX(((F32)+(H32)*(MAX($D$16,(D94)-(J32))))*(MAX($D$16,(D94)-(J32))),0.000001))^2)/(2*$I$5))),$D$8*((((ABS(G94)/MAX(((F32)+(H32)*(MAX($D$16,(D94)-(J32))))*(MAX($D$16,(D94)-(J32))),0.000001))^2)/(2*$I$5))-(((ABS(G94)/MAX(((G32)+(I32)*(MAX($D$16,(E94)-(K32))))*(MAX($D$16,(E94)-(K32))),0.000001))^2)/(2*$I$5)))))+($D$10*(ABS((X32)-(W32))/90)*MAX(((ABS(G94)/MAX(((F32)+(H32)*(MAX($D$16,(D94)-(J32))))*(MAX($D$16,(D94)-(J32))),0.000001))^2)/(2*$I$5),((ABS(G94)/MAX(((G32)+(I32)*(MAX($D$16,(E94)-(K32))))*(MAX($D$16,(E94)-(K32))),0.000001))^2)/(2*$I$5)))+(($D$11*0.13607488*(ABS(H94)/MAX(ABS(F94),0.000001))^2*MAX(((ABS(G94)/MAX(((F32)+(H32)*(MAX($D$16,(D94)-(J32))))*(MAX($D$16,(D94)-(J32))),0.000001))^2)/(2*$I$5),((ABS(G94)/MAX(((G32)+(I32)*(MAX($D$16,(E94)-(K32))))*(MAX($D$16,(E94)-(K32))),0.000001))^2)/(2*$I$5))))-((ABS(G94)/MAX(((F32)+(H32)*(MAX($D$16,(D94)-(J32))))*(MAX($D$16,(D94)-(J32))),0.000001))^2)/(2*$I$5)</f>
        <v>52432.141837660587</v>
      </c>
      <c r="Q94">
        <f>L94+((ABS(H94)/MAX(((G33)+(I33)*(MAX($D$16,(L94)-(K33))))*(MAX($D$16,(L94)-(K33))),0.000001))^2)/(2*$I$5)+((E33)*((((ABS(H94)*$D$6)/(MAX(((F33)+(H33)*(MAX($D$16,(D94)-(J33))))*(MAX($D$16,(D94)-(J33))),0.000001)*MAX(((((F33)+(H33)*(MAX($D$16,(D94)-(J33))))*(MAX($D$16,(D94)-(J33))))/MAX((F33)+2*(MAX($D$16,(D94)-(J33)))*SQRT(1+(H33)^2),0.000001))^(2/3),0.000001)))^2)+(((ABS(H94)*$D$6)/(MAX(((G33)+(I33)*(MAX($D$16,(L94)-(K33))))*(MAX($D$16,(L94)-(K33))),0.000001)*MAX(((((G33)+(I33)*(MAX($D$16,(L94)-(K33))))*(MAX($D$16,(L94)-(K33))))/MAX((G33)+2*(MAX($D$16,(L94)-(K33)))*SQRT(1+(I33)^2),0.000001))^(2/3),0.000001)))^2))/2)+(IF((ABS(H94)/MAX(((G33)+(I33)*(MAX($D$16,(L94)-(K33))))*(MAX($D$16,(L94)-(K33))),0.000001))&gt;(ABS(H94)/MAX(((F33)+(H33)*(MAX($D$16,(D94)-(J33))))*(MAX($D$16,(D94)-(J33))),0.000001)),$D$9*((((ABS(H94)/MAX(((G33)+(I33)*(MAX($D$16,(L94)-(K33))))*(MAX($D$16,(L94)-(K33))),0.000001))^2)/(2*$I$5))-(((ABS(H94)/MAX(((F33)+(H33)*(MAX($D$16,(D94)-(J33))))*(MAX($D$16,(D94)-(J33))),0.000001))^2)/(2*$I$5))),$D$8*((((ABS(H94)/MAX(((F33)+(H33)*(MAX($D$16,(D94)-(J33))))*(MAX($D$16,(D94)-(J33))),0.000001))^2)/(2*$I$5))-(((ABS(H94)/MAX(((G33)+(I33)*(MAX($D$16,(L94)-(K33))))*(MAX($D$16,(L94)-(K33))),0.000001))^2)/(2*$I$5)))))+($D$10*(ABS((X33)-(W33))/90)*MAX(((ABS(H94)/MAX(((F33)+(H33)*(MAX($D$16,(D94)-(J33))))*(MAX($D$16,(D94)-(J33))),0.000001))^2)/(2*$I$5),((ABS(H94)/MAX(((G33)+(I33)*(MAX($D$16,(L94)-(K33))))*(MAX($D$16,(L94)-(K33))),0.000001))^2)/(2*$I$5)))+(($D$11*0.00000015*(ABS(G94)/MAX(ABS(F94),0.000001))^2*MAX(((ABS(H94)/MAX(((F33)+(H33)*(MAX($D$16,(D94)-(J33))))*(MAX($D$16,(D94)-(J33))),0.000001))^2)/(2*$I$5),((ABS(H94)/MAX(((G33)+(I33)*(MAX($D$16,(L94)-(K33))))*(MAX($D$16,(L94)-(K33))),0.000001))^2)/(2*$I$5))))-((ABS(H94)/MAX(((F33)+(H33)*(MAX($D$16,(D94)-(J33))))*(MAX($D$16,(D94)-(J33))),0.000001))^2)/(2*$I$5)</f>
        <v>634.3119999999999</v>
      </c>
      <c r="R94">
        <f>D94+((ABS(G94)/MAX(((F32)+(H32)*(MAX($D$16,(D94)-(J32))))*(MAX($D$16,(D94)-(J32))),0.000001))^2)/(2*$I$5)-((E32)*((((ABS(G94)*$D$6)/(MAX(((F32)+(H32)*(MAX($D$16,(D94)-(J32))))*(MAX($D$16,(D94)-(J32))),0.000001)*MAX(((((F32)+(H32)*(MAX($D$16,(D94)-(J32))))*(MAX($D$16,(D94)-(J32))))/MAX((F32)+2*(MAX($D$16,(D94)-(J32)))*SQRT(1+(H32)^2),0.000001))^(2/3),0.000001)))^2)+(((ABS(G94)*$D$6)/(MAX(((G32)+(I32)*(MAX($D$16,(E94)-(K32))))*(MAX($D$16,(E94)-(K32))),0.000001)*MAX(((((G32)+(I32)*(MAX($D$16,(E94)-(K32))))*(MAX($D$16,(E94)-(K32))))/MAX((G32)+2*(MAX($D$16,(E94)-(K32)))*SQRT(1+(I32)^2),0.000001))^(2/3),0.000001)))^2))/2)+(IF((ABS(G94)/MAX(((G32)+(I32)*(MAX($D$16,(E94)-(K32))))*(MAX($D$16,(E94)-(K32))),0.000001))&gt;(ABS(G94)/MAX(((F32)+(H32)*(MAX($D$16,(D94)-(J32))))*(MAX($D$16,(D94)-(J32))),0.000001)),$D$9*((((ABS(G94)/MAX(((G32)+(I32)*(MAX($D$16,(E94)-(K32))))*(MAX($D$16,(E94)-(K32))),0.000001))^2)/(2*$I$5))-(((ABS(G94)/MAX(((F32)+(H32)*(MAX($D$16,(D94)-(J32))))*(MAX($D$16,(D94)-(J32))),0.000001))^2)/(2*$I$5))),$D$8*((((ABS(G94)/MAX(((F32)+(H32)*(MAX($D$16,(D94)-(J32))))*(MAX($D$16,(D94)-(J32))),0.000001))^2)/(2*$I$5))-(((ABS(G94)/MAX(((G32)+(I32)*(MAX($D$16,(E94)-(K32))))*(MAX($D$16,(E94)-(K32))),0.000001))^2)/(2*$I$5)))))+($D$10*(ABS((X32)-(W32))/90)*MAX(((ABS(G94)/MAX(((F32)+(H32)*(MAX($D$16,(D94)-(J32))))*(MAX($D$16,(D94)-(J32))),0.000001))^2)/(2*$I$5),((ABS(G94)/MAX(((G32)+(I32)*(MAX($D$16,(E94)-(K32))))*(MAX($D$16,(E94)-(K32))),0.000001))^2)/(2*$I$5)))+(($D$11*0.13607488*(ABS(H94)/MAX(ABS(F94),0.000001))^2*MAX(((ABS(G94)/MAX(((F32)+(H32)*(MAX($D$16,(D94)-(J32))))*(MAX($D$16,(D94)-(J32))),0.000001))^2)/(2*$I$5),((ABS(G94)/MAX(((G32)+(I32)*(MAX($D$16,(E94)-(K32))))*(MAX($D$16,(E94)-(K32))),0.000001))^2)/(2*$I$5))))-((ABS(G94)/MAX(((G32)+(I32)*(MAX($D$16,(E94)-(K32))))*(MAX($D$16,(E94)-(K32))),0.000001))^2)/(2*$I$5)</f>
        <v>52432.141837660376</v>
      </c>
      <c r="S94">
        <f>M94+((ABS(I94)/MAX(((G34)+(I34)*(MAX($D$16,(M94)-(K34))))*(MAX($D$16,(M94)-(K34))),0.000001))^2)/(2*$I$5)+((E34)*((((ABS(I94)*$D$6)/(MAX(((F34)+(H34)*(MAX($D$16,(E94)-(J34))))*(MAX($D$16,(E94)-(J34))),0.000001)*MAX(((((F34)+(H34)*(MAX($D$16,(E94)-(J34))))*(MAX($D$16,(E94)-(J34))))/MAX((F34)+2*(MAX($D$16,(E94)-(J34)))*SQRT(1+(H34)^2),0.000001))^(2/3),0.000001)))^2)+(((ABS(I94)*$D$6)/(MAX(((G34)+(I34)*(MAX($D$16,(M94)-(K34))))*(MAX($D$16,(M94)-(K34))),0.000001)*MAX(((((G34)+(I34)*(MAX($D$16,(M94)-(K34))))*(MAX($D$16,(M94)-(K34))))/MAX((G34)+2*(MAX($D$16,(M94)-(K34)))*SQRT(1+(I34)^2),0.000001))^(2/3),0.000001)))^2))/2)+(IF((ABS(I94)/MAX(((G34)+(I34)*(MAX($D$16,(M94)-(K34))))*(MAX($D$16,(M94)-(K34))),0.000001))&gt;(ABS(I94)/MAX(((F34)+(H34)*(MAX($D$16,(E94)-(J34))))*(MAX($D$16,(E94)-(J34))),0.000001)),$D$9*((((ABS(I94)/MAX(((G34)+(I34)*(MAX($D$16,(M94)-(K34))))*(MAX($D$16,(M94)-(K34))),0.000001))^2)/(2*$I$5))-(((ABS(I94)/MAX(((F34)+(H34)*(MAX($D$16,(E94)-(J34))))*(MAX($D$16,(E94)-(J34))),0.000001))^2)/(2*$I$5))),$D$8*((((ABS(I94)/MAX(((F34)+(H34)*(MAX($D$16,(E94)-(J34))))*(MAX($D$16,(E94)-(J34))),0.000001))^2)/(2*$I$5))-(((ABS(I94)/MAX(((G34)+(I34)*(MAX($D$16,(M94)-(K34))))*(MAX($D$16,(M94)-(K34))),0.000001))^2)/(2*$I$5)))))+($D$10*(ABS((X34)-(W34))/90)*MAX(((ABS(I94)/MAX(((F34)+(H34)*(MAX($D$16,(E94)-(J34))))*(MAX($D$16,(E94)-(J34))),0.000001))^2)/(2*$I$5),((ABS(I94)/MAX(((G34)+(I34)*(MAX($D$16,(M94)-(K34))))*(MAX($D$16,(M94)-(K34))),0.000001))^2)/(2*$I$5)))+(0)-((ABS(I94)/MAX(((F34)+(H34)*(MAX($D$16,(E94)-(J34))))*(MAX($D$16,(E94)-(J34))),0.000001))^2)/(2*$I$5)</f>
        <v>635.5</v>
      </c>
      <c r="T94">
        <f>N94+((ABS(J94)/MAX(((G35)+(I35)*(MAX($D$16,(N94)-(K35))))*(MAX($D$16,(N94)-(K35))),0.000001))^2)/(2*$I$5)+((E35)*((((ABS(J94)*$D$6)/(MAX(((F35)+(H35)*(MAX($D$16,(E94)-(J35))))*(MAX($D$16,(E94)-(J35))),0.000001)*MAX(((((F35)+(H35)*(MAX($D$16,(E94)-(J35))))*(MAX($D$16,(E94)-(J35))))/MAX((F35)+2*(MAX($D$16,(E94)-(J35)))*SQRT(1+(H35)^2),0.000001))^(2/3),0.000001)))^2)+(((ABS(J94)*$D$6)/(MAX(((G35)+(I35)*(MAX($D$16,(N94)-(K35))))*(MAX($D$16,(N94)-(K35))),0.000001)*MAX(((((G35)+(I35)*(MAX($D$16,(N94)-(K35))))*(MAX($D$16,(N94)-(K35))))/MAX((G35)+2*(MAX($D$16,(N94)-(K35)))*SQRT(1+(I35)^2),0.000001))^(2/3),0.000001)))^2))/2)+(IF((ABS(J94)/MAX(((G35)+(I35)*(MAX($D$16,(N94)-(K35))))*(MAX($D$16,(N94)-(K35))),0.000001))&gt;(ABS(J94)/MAX(((F35)+(H35)*(MAX($D$16,(E94)-(J35))))*(MAX($D$16,(E94)-(J35))),0.000001)),$D$9*((((ABS(J94)/MAX(((G35)+(I35)*(MAX($D$16,(N94)-(K35))))*(MAX($D$16,(N94)-(K35))),0.000001))^2)/(2*$I$5))-(((ABS(J94)/MAX(((F35)+(H35)*(MAX($D$16,(E94)-(J35))))*(MAX($D$16,(E94)-(J35))),0.000001))^2)/(2*$I$5))),$D$8*((((ABS(J94)/MAX(((F35)+(H35)*(MAX($D$16,(E94)-(J35))))*(MAX($D$16,(E94)-(J35))),0.000001))^2)/(2*$I$5))-(((ABS(J94)/MAX(((G35)+(I35)*(MAX($D$16,(N94)-(K35))))*(MAX($D$16,(N94)-(K35))),0.000001))^2)/(2*$I$5)))))+($D$10*(ABS((X35)-(W35))/90)*MAX(((ABS(J94)/MAX(((F35)+(H35)*(MAX($D$16,(E94)-(J35))))*(MAX($D$16,(E94)-(J35))),0.000001))^2)/(2*$I$5),((ABS(J94)/MAX(((G35)+(I35)*(MAX($D$16,(N94)-(K35))))*(MAX($D$16,(N94)-(K35))),0.000001))^2)/(2*$I$5)))+(($D$11*0.34699541*(ABS(I94)/MAX(ABS(G94),0.000001))^2*MAX(((ABS(J94)/MAX(((F35)+(H35)*(MAX($D$16,(E94)-(J35))))*(MAX($D$16,(E94)-(J35))),0.000001))^2)/(2*$I$5),((ABS(J94)/MAX(((G35)+(I35)*(MAX($D$16,(N94)-(K35))))*(MAX($D$16,(N94)-(K35))),0.000001))^2)/(2*$I$5))))-((ABS(J94)/MAX(((F35)+(H35)*(MAX($D$16,(E94)-(J35))))*(MAX($D$16,(E94)-(J35))),0.000001))^2)/(2*$I$5)</f>
        <v>20784.033523923383</v>
      </c>
      <c r="U94">
        <f>(((((F32)*(MAX($D$16,(D94)-(J32)))^2)/2+(H32)*(MAX($D$16,(D94)-(J32)))^3/3+(ABS(G94)^2)/($I$5*MAX(((F32)+(H32)*(MAX($D$16,(D94)-(J32))))*(MAX($D$16,(D94)-(J32))),0.000001)))*0.72785025)-((((F33)*(MAX($D$16,(D94)-(J33)))^2)/2+(H33)*(MAX($D$16,(D94)-(J33)))^3/3+(ABS(H94)^2)/($I$5*MAX(((F33)+(H33)*(MAX($D$16,(D94)-(J33))))*(MAX($D$16,(D94)-(J33))),0.000001)))*0.99999971))/MAX(((G31)*(MAX($D$16,(D94)-(K31)))^2)/2+(I31)*(MAX($D$16,(D94)-(K31)))^3/3+(ABS(F94)^2)/($I$5*MAX(((G31)+(I31)*(MAX($D$16,(D94)-(K31))))*(MAX($D$16,(D94)-(K31))),0.000001)),0.000001)</f>
        <v>-0.27214945999991119</v>
      </c>
      <c r="V94">
        <f>(((((F34)*(MAX($D$16,(E94)-(J34)))^2)/2+(H34)*(MAX($D$16,(E94)-(J34)))^3/3+(ABS(I94)^2)/($I$5*MAX(((F34)+(H34)*(MAX($D$16,(E94)-(J34))))*(MAX($D$16,(E94)-(J34))),0.000001)))*1)-((((F35)*(MAX($D$16,(E94)-(J35)))^2)/2+(H35)*(MAX($D$16,(E94)-(J35)))^3/3+(ABS(J94)^2)/($I$5*MAX(((F35)+(H35)*(MAX($D$16,(E94)-(J35))))*(MAX($D$16,(E94)-(J35))),0.000001)))*0.30600918))/MAX(((G32)*(MAX($D$16,(E94)-(K32)))^2)/2+(I32)*(MAX($D$16,(E94)-(K32)))^3/3+(ABS(G94)^2)/($I$5*MAX(((G32)+(I32)*(MAX($D$16,(E94)-(K32))))*(MAX($D$16,(E94)-(K32))),0.000001)),0.000001)</f>
        <v>0.69398638937190382</v>
      </c>
      <c r="W94">
        <f>IF(N6="None",ABS(P94-D94),MAX(ABS(P94-D94),ABS(Q94-D94)))</f>
        <v>3.4197000786662102E-10</v>
      </c>
      <c r="X94">
        <f>IF(AND(N7="None",N8="None"),0,IF(N8="None",ABS(S94-E94),IF(N7="None",ABS(T94-E94),MAX(ABS(S94-E94),ABS(T94-E94)))))</f>
        <v>51796.641837660034</v>
      </c>
      <c r="AA94">
        <f t="shared" si="18"/>
        <v>52432.141837660361</v>
      </c>
      <c r="AB94">
        <f t="shared" si="19"/>
        <v>41355.303927852205</v>
      </c>
      <c r="AC94">
        <f>IF(N6="None",P94,MAX(P94,Q94))</f>
        <v>52432.141837660587</v>
      </c>
      <c r="AD94">
        <f>IF(AND(N7="None",N8="None"),E94,IF(N8="None",S94,IF(N7="None",T94,MAX(S94,T94))))</f>
        <v>20784.033523923383</v>
      </c>
      <c r="AE94">
        <f t="shared" si="20"/>
        <v>637.65825101089831</v>
      </c>
      <c r="AF94">
        <f t="shared" si="21"/>
        <v>52432.141837660376</v>
      </c>
      <c r="AG94">
        <f>((G31)*(MAX($D$16,(AC94)-(K31)))^2)/2+(I31)*(MAX($D$16,(AC94)-(K31)))^3/3+(ABS(F94)^2)/($I$5*MAX(((G31)+(I31)*(MAX($D$16,(AC94)-(K31))))*(MAX($D$16,(AC94)-(K31))),0.000001))</f>
        <v>8797611517.4111538</v>
      </c>
      <c r="AH94">
        <f>((G31)*(MAX($D$16,(AE94)-(K31)))^2)/2+(I31)*(MAX($D$16,(AE94)-(K31)))^3/3+(ABS(F94)^2)/($I$5*MAX(((G31)+(I31)*(MAX($D$16,(AE94)-(K31))))*(MAX($D$16,(AE94)-(K31))),0.000001))</f>
        <v>49.055863329575246</v>
      </c>
      <c r="AI94">
        <f>((G32)*(MAX($D$16,(AD94)-(K32)))^2)/2+(I32)*(MAX($D$16,(AD94)-(K32)))^3/3+(ABS(G94)^2)/($I$5*MAX(((G32)+(I32)*(MAX($D$16,(AD94)-(K32))))*(MAX($D$16,(AD94)-(K32))),0.000001))</f>
        <v>2072376743.6648321</v>
      </c>
      <c r="AJ94">
        <f>((G32)*(MAX($D$16,(AF94)-(K32)))^2)/2+(I32)*(MAX($D$16,(AF94)-(K32)))^3/3+(ABS(G94)^2)/($I$5*MAX(((G32)+(I32)*(MAX($D$16,(AF94)-(K32))))*(MAX($D$16,(AF94)-(K32))),0.000001))</f>
        <v>13692714789.643229</v>
      </c>
      <c r="AK94" t="str">
        <f t="shared" si="22"/>
        <v>Subcritical</v>
      </c>
      <c r="AL94" t="str">
        <f t="shared" si="23"/>
        <v>Supercritical</v>
      </c>
      <c r="AM94">
        <f t="shared" si="24"/>
        <v>52432.141837660361</v>
      </c>
      <c r="AN94">
        <f t="shared" si="25"/>
        <v>52432.14183766015</v>
      </c>
      <c r="AO94">
        <f t="shared" si="26"/>
        <v>3.4197000786662102E-10</v>
      </c>
      <c r="AP94">
        <f t="shared" si="27"/>
        <v>3.4197000786662102E-10</v>
      </c>
    </row>
    <row r="95" spans="1:42" x14ac:dyDescent="0.35">
      <c r="A95">
        <v>52</v>
      </c>
      <c r="B95">
        <f t="shared" si="28"/>
        <v>0</v>
      </c>
      <c r="C95">
        <f t="shared" si="29"/>
        <v>0</v>
      </c>
      <c r="D95">
        <f t="shared" si="30"/>
        <v>52432.141837660361</v>
      </c>
      <c r="E95">
        <f t="shared" si="31"/>
        <v>52432.14183766015</v>
      </c>
      <c r="F95">
        <f t="shared" si="17"/>
        <v>51</v>
      </c>
      <c r="G95">
        <f>IF(N6="None",F95,MAX(0,F95*B95))</f>
        <v>51</v>
      </c>
      <c r="H95">
        <f>IF(N6="None",0,MAX(0,F95-G95))</f>
        <v>0</v>
      </c>
      <c r="I95">
        <f>IF(AND(N7="None",N8="None"),0,IF(N8="None",G95,IF(N7="None",0,MAX(0,G95*C95))))</f>
        <v>0</v>
      </c>
      <c r="J95">
        <f>IF(AND(N7="None",N8="None"),0,IF(N8="None",0,IF(N7="None",G95,MAX(0,G95-I95))))</f>
        <v>51</v>
      </c>
      <c r="K95">
        <f>P5</f>
        <v>637</v>
      </c>
      <c r="L95">
        <f>P6</f>
        <v>634.3119999999999</v>
      </c>
      <c r="M95">
        <f>P7</f>
        <v>635.5</v>
      </c>
      <c r="N95">
        <f>P8</f>
        <v>631.54999999999995</v>
      </c>
      <c r="O95">
        <f>K95+((ABS(F95)/MAX(((F31)+(H31)*(MAX($D$16,(K95)-(J31))))*(MAX($D$16,(K95)-(J31))),0.000001))^2)/(2*$I$5)-((E31)*((((ABS(F95)*$D$6)/(MAX(((F31)+(H31)*(MAX($D$16,(K95)-(J31))))*(MAX($D$16,(K95)-(J31))),0.000001)*MAX(((((F31)+(H31)*(MAX($D$16,(K95)-(J31))))*(MAX($D$16,(K95)-(J31))))/MAX((F31)+2*(MAX($D$16,(K95)-(J31)))*SQRT(1+(H31)^2),0.000001))^(2/3),0.000001)))^2)+(((ABS(F95)*$D$6)/(MAX(((G31)+(I31)*(MAX($D$16,(D95)-(K31))))*(MAX($D$16,(D95)-(K31))),0.000001)*MAX(((((G31)+(I31)*(MAX($D$16,(D95)-(K31))))*(MAX($D$16,(D95)-(K31))))/MAX((G31)+2*(MAX($D$16,(D95)-(K31)))*SQRT(1+(I31)^2),0.000001))^(2/3),0.000001)))^2))/2)+(IF((ABS(F95)/MAX(((G31)+(I31)*(MAX($D$16,(D95)-(K31))))*(MAX($D$16,(D95)-(K31))),0.000001))&gt;(ABS(F95)/MAX(((F31)+(H31)*(MAX($D$16,(K95)-(J31))))*(MAX($D$16,(K95)-(J31))),0.000001)),$D$9*((((ABS(F95)/MAX(((G31)+(I31)*(MAX($D$16,(D95)-(K31))))*(MAX($D$16,(D95)-(K31))),0.000001))^2)/(2*$I$5))-(((ABS(F95)/MAX(((F31)+(H31)*(MAX($D$16,(K95)-(J31))))*(MAX($D$16,(K95)-(J31))),0.000001))^2)/(2*$I$5))),$D$8*((((ABS(F95)/MAX(((F31)+(H31)*(MAX($D$16,(K95)-(J31))))*(MAX($D$16,(K95)-(J31))),0.000001))^2)/(2*$I$5))-(((ABS(F95)/MAX(((G31)+(I31)*(MAX($D$16,(D95)-(K31))))*(MAX($D$16,(D95)-(K31))),0.000001))^2)/(2*$I$5)))))+($D$10*(ABS((X31)-(W31))/90)*MAX(((ABS(F95)/MAX(((F31)+(H31)*(MAX($D$16,(K95)-(J31))))*(MAX($D$16,(K95)-(J31))),0.000001))^2)/(2*$I$5),((ABS(F95)/MAX(((G31)+(I31)*(MAX($D$16,(D95)-(K31))))*(MAX($D$16,(D95)-(K31))),0.000001))^2)/(2*$I$5)))+(0)-((ABS(F95)/MAX(((G31)+(I31)*(MAX($D$16,(D95)-(K31))))*(MAX($D$16,(D95)-(K31))),0.000001))^2)/(2*$I$5)</f>
        <v>637.65825101089831</v>
      </c>
      <c r="P95">
        <f>E95+((ABS(G95)/MAX(((G32)+(I32)*(MAX($D$16,(E95)-(K32))))*(MAX($D$16,(E95)-(K32))),0.000001))^2)/(2*$I$5)+((E32)*((((ABS(G95)*$D$6)/(MAX(((F32)+(H32)*(MAX($D$16,(D95)-(J32))))*(MAX($D$16,(D95)-(J32))),0.000001)*MAX(((((F32)+(H32)*(MAX($D$16,(D95)-(J32))))*(MAX($D$16,(D95)-(J32))))/MAX((F32)+2*(MAX($D$16,(D95)-(J32)))*SQRT(1+(H32)^2),0.000001))^(2/3),0.000001)))^2)+(((ABS(G95)*$D$6)/(MAX(((G32)+(I32)*(MAX($D$16,(E95)-(K32))))*(MAX($D$16,(E95)-(K32))),0.000001)*MAX(((((G32)+(I32)*(MAX($D$16,(E95)-(K32))))*(MAX($D$16,(E95)-(K32))))/MAX((G32)+2*(MAX($D$16,(E95)-(K32)))*SQRT(1+(I32)^2),0.000001))^(2/3),0.000001)))^2))/2)+(IF((ABS(G95)/MAX(((G32)+(I32)*(MAX($D$16,(E95)-(K32))))*(MAX($D$16,(E95)-(K32))),0.000001))&gt;(ABS(G95)/MAX(((F32)+(H32)*(MAX($D$16,(D95)-(J32))))*(MAX($D$16,(D95)-(J32))),0.000001)),$D$9*((((ABS(G95)/MAX(((G32)+(I32)*(MAX($D$16,(E95)-(K32))))*(MAX($D$16,(E95)-(K32))),0.000001))^2)/(2*$I$5))-(((ABS(G95)/MAX(((F32)+(H32)*(MAX($D$16,(D95)-(J32))))*(MAX($D$16,(D95)-(J32))),0.000001))^2)/(2*$I$5))),$D$8*((((ABS(G95)/MAX(((F32)+(H32)*(MAX($D$16,(D95)-(J32))))*(MAX($D$16,(D95)-(J32))),0.000001))^2)/(2*$I$5))-(((ABS(G95)/MAX(((G32)+(I32)*(MAX($D$16,(E95)-(K32))))*(MAX($D$16,(E95)-(K32))),0.000001))^2)/(2*$I$5)))))+($D$10*(ABS((X32)-(W32))/90)*MAX(((ABS(G95)/MAX(((F32)+(H32)*(MAX($D$16,(D95)-(J32))))*(MAX($D$16,(D95)-(J32))),0.000001))^2)/(2*$I$5),((ABS(G95)/MAX(((G32)+(I32)*(MAX($D$16,(E95)-(K32))))*(MAX($D$16,(E95)-(K32))),0.000001))^2)/(2*$I$5)))+(($D$11*0.13607488*(ABS(H95)/MAX(ABS(F95),0.000001))^2*MAX(((ABS(G95)/MAX(((F32)+(H32)*(MAX($D$16,(D95)-(J32))))*(MAX($D$16,(D95)-(J32))),0.000001))^2)/(2*$I$5),((ABS(G95)/MAX(((G32)+(I32)*(MAX($D$16,(E95)-(K32))))*(MAX($D$16,(E95)-(K32))),0.000001))^2)/(2*$I$5))))-((ABS(G95)/MAX(((F32)+(H32)*(MAX($D$16,(D95)-(J32))))*(MAX($D$16,(D95)-(J32))),0.000001))^2)/(2*$I$5)</f>
        <v>52432.141837660703</v>
      </c>
      <c r="Q95">
        <f>L95+((ABS(H95)/MAX(((G33)+(I33)*(MAX($D$16,(L95)-(K33))))*(MAX($D$16,(L95)-(K33))),0.000001))^2)/(2*$I$5)+((E33)*((((ABS(H95)*$D$6)/(MAX(((F33)+(H33)*(MAX($D$16,(D95)-(J33))))*(MAX($D$16,(D95)-(J33))),0.000001)*MAX(((((F33)+(H33)*(MAX($D$16,(D95)-(J33))))*(MAX($D$16,(D95)-(J33))))/MAX((F33)+2*(MAX($D$16,(D95)-(J33)))*SQRT(1+(H33)^2),0.000001))^(2/3),0.000001)))^2)+(((ABS(H95)*$D$6)/(MAX(((G33)+(I33)*(MAX($D$16,(L95)-(K33))))*(MAX($D$16,(L95)-(K33))),0.000001)*MAX(((((G33)+(I33)*(MAX($D$16,(L95)-(K33))))*(MAX($D$16,(L95)-(K33))))/MAX((G33)+2*(MAX($D$16,(L95)-(K33)))*SQRT(1+(I33)^2),0.000001))^(2/3),0.000001)))^2))/2)+(IF((ABS(H95)/MAX(((G33)+(I33)*(MAX($D$16,(L95)-(K33))))*(MAX($D$16,(L95)-(K33))),0.000001))&gt;(ABS(H95)/MAX(((F33)+(H33)*(MAX($D$16,(D95)-(J33))))*(MAX($D$16,(D95)-(J33))),0.000001)),$D$9*((((ABS(H95)/MAX(((G33)+(I33)*(MAX($D$16,(L95)-(K33))))*(MAX($D$16,(L95)-(K33))),0.000001))^2)/(2*$I$5))-(((ABS(H95)/MAX(((F33)+(H33)*(MAX($D$16,(D95)-(J33))))*(MAX($D$16,(D95)-(J33))),0.000001))^2)/(2*$I$5))),$D$8*((((ABS(H95)/MAX(((F33)+(H33)*(MAX($D$16,(D95)-(J33))))*(MAX($D$16,(D95)-(J33))),0.000001))^2)/(2*$I$5))-(((ABS(H95)/MAX(((G33)+(I33)*(MAX($D$16,(L95)-(K33))))*(MAX($D$16,(L95)-(K33))),0.000001))^2)/(2*$I$5)))))+($D$10*(ABS((X33)-(W33))/90)*MAX(((ABS(H95)/MAX(((F33)+(H33)*(MAX($D$16,(D95)-(J33))))*(MAX($D$16,(D95)-(J33))),0.000001))^2)/(2*$I$5),((ABS(H95)/MAX(((G33)+(I33)*(MAX($D$16,(L95)-(K33))))*(MAX($D$16,(L95)-(K33))),0.000001))^2)/(2*$I$5)))+(($D$11*0.00000015*(ABS(G95)/MAX(ABS(F95),0.000001))^2*MAX(((ABS(H95)/MAX(((F33)+(H33)*(MAX($D$16,(D95)-(J33))))*(MAX($D$16,(D95)-(J33))),0.000001))^2)/(2*$I$5),((ABS(H95)/MAX(((G33)+(I33)*(MAX($D$16,(L95)-(K33))))*(MAX($D$16,(L95)-(K33))),0.000001))^2)/(2*$I$5))))-((ABS(H95)/MAX(((F33)+(H33)*(MAX($D$16,(D95)-(J33))))*(MAX($D$16,(D95)-(J33))),0.000001))^2)/(2*$I$5)</f>
        <v>634.3119999999999</v>
      </c>
      <c r="R95">
        <f>D95+((ABS(G95)/MAX(((F32)+(H32)*(MAX($D$16,(D95)-(J32))))*(MAX($D$16,(D95)-(J32))),0.000001))^2)/(2*$I$5)-((E32)*((((ABS(G95)*$D$6)/(MAX(((F32)+(H32)*(MAX($D$16,(D95)-(J32))))*(MAX($D$16,(D95)-(J32))),0.000001)*MAX(((((F32)+(H32)*(MAX($D$16,(D95)-(J32))))*(MAX($D$16,(D95)-(J32))))/MAX((F32)+2*(MAX($D$16,(D95)-(J32)))*SQRT(1+(H32)^2),0.000001))^(2/3),0.000001)))^2)+(((ABS(G95)*$D$6)/(MAX(((G32)+(I32)*(MAX($D$16,(E95)-(K32))))*(MAX($D$16,(E95)-(K32))),0.000001)*MAX(((((G32)+(I32)*(MAX($D$16,(E95)-(K32))))*(MAX($D$16,(E95)-(K32))))/MAX((G32)+2*(MAX($D$16,(E95)-(K32)))*SQRT(1+(I32)^2),0.000001))^(2/3),0.000001)))^2))/2)+(IF((ABS(G95)/MAX(((G32)+(I32)*(MAX($D$16,(E95)-(K32))))*(MAX($D$16,(E95)-(K32))),0.000001))&gt;(ABS(G95)/MAX(((F32)+(H32)*(MAX($D$16,(D95)-(J32))))*(MAX($D$16,(D95)-(J32))),0.000001)),$D$9*((((ABS(G95)/MAX(((G32)+(I32)*(MAX($D$16,(E95)-(K32))))*(MAX($D$16,(E95)-(K32))),0.000001))^2)/(2*$I$5))-(((ABS(G95)/MAX(((F32)+(H32)*(MAX($D$16,(D95)-(J32))))*(MAX($D$16,(D95)-(J32))),0.000001))^2)/(2*$I$5))),$D$8*((((ABS(G95)/MAX(((F32)+(H32)*(MAX($D$16,(D95)-(J32))))*(MAX($D$16,(D95)-(J32))),0.000001))^2)/(2*$I$5))-(((ABS(G95)/MAX(((G32)+(I32)*(MAX($D$16,(E95)-(K32))))*(MAX($D$16,(E95)-(K32))),0.000001))^2)/(2*$I$5)))))+($D$10*(ABS((X32)-(W32))/90)*MAX(((ABS(G95)/MAX(((F32)+(H32)*(MAX($D$16,(D95)-(J32))))*(MAX($D$16,(D95)-(J32))),0.000001))^2)/(2*$I$5),((ABS(G95)/MAX(((G32)+(I32)*(MAX($D$16,(E95)-(K32))))*(MAX($D$16,(E95)-(K32))),0.000001))^2)/(2*$I$5)))+(($D$11*0.13607488*(ABS(H95)/MAX(ABS(F95),0.000001))^2*MAX(((ABS(G95)/MAX(((F32)+(H32)*(MAX($D$16,(D95)-(J32))))*(MAX($D$16,(D95)-(J32))),0.000001))^2)/(2*$I$5),((ABS(G95)/MAX(((G32)+(I32)*(MAX($D$16,(E95)-(K32))))*(MAX($D$16,(E95)-(K32))),0.000001))^2)/(2*$I$5))))-((ABS(G95)/MAX(((G32)+(I32)*(MAX($D$16,(E95)-(K32))))*(MAX($D$16,(E95)-(K32))),0.000001))^2)/(2*$I$5)</f>
        <v>52432.141837660492</v>
      </c>
      <c r="S95">
        <f>M95+((ABS(I95)/MAX(((G34)+(I34)*(MAX($D$16,(M95)-(K34))))*(MAX($D$16,(M95)-(K34))),0.000001))^2)/(2*$I$5)+((E34)*((((ABS(I95)*$D$6)/(MAX(((F34)+(H34)*(MAX($D$16,(E95)-(J34))))*(MAX($D$16,(E95)-(J34))),0.000001)*MAX(((((F34)+(H34)*(MAX($D$16,(E95)-(J34))))*(MAX($D$16,(E95)-(J34))))/MAX((F34)+2*(MAX($D$16,(E95)-(J34)))*SQRT(1+(H34)^2),0.000001))^(2/3),0.000001)))^2)+(((ABS(I95)*$D$6)/(MAX(((G34)+(I34)*(MAX($D$16,(M95)-(K34))))*(MAX($D$16,(M95)-(K34))),0.000001)*MAX(((((G34)+(I34)*(MAX($D$16,(M95)-(K34))))*(MAX($D$16,(M95)-(K34))))/MAX((G34)+2*(MAX($D$16,(M95)-(K34)))*SQRT(1+(I34)^2),0.000001))^(2/3),0.000001)))^2))/2)+(IF((ABS(I95)/MAX(((G34)+(I34)*(MAX($D$16,(M95)-(K34))))*(MAX($D$16,(M95)-(K34))),0.000001))&gt;(ABS(I95)/MAX(((F34)+(H34)*(MAX($D$16,(E95)-(J34))))*(MAX($D$16,(E95)-(J34))),0.000001)),$D$9*((((ABS(I95)/MAX(((G34)+(I34)*(MAX($D$16,(M95)-(K34))))*(MAX($D$16,(M95)-(K34))),0.000001))^2)/(2*$I$5))-(((ABS(I95)/MAX(((F34)+(H34)*(MAX($D$16,(E95)-(J34))))*(MAX($D$16,(E95)-(J34))),0.000001))^2)/(2*$I$5))),$D$8*((((ABS(I95)/MAX(((F34)+(H34)*(MAX($D$16,(E95)-(J34))))*(MAX($D$16,(E95)-(J34))),0.000001))^2)/(2*$I$5))-(((ABS(I95)/MAX(((G34)+(I34)*(MAX($D$16,(M95)-(K34))))*(MAX($D$16,(M95)-(K34))),0.000001))^2)/(2*$I$5)))))+($D$10*(ABS((X34)-(W34))/90)*MAX(((ABS(I95)/MAX(((F34)+(H34)*(MAX($D$16,(E95)-(J34))))*(MAX($D$16,(E95)-(J34))),0.000001))^2)/(2*$I$5),((ABS(I95)/MAX(((G34)+(I34)*(MAX($D$16,(M95)-(K34))))*(MAX($D$16,(M95)-(K34))),0.000001))^2)/(2*$I$5)))+(0)-((ABS(I95)/MAX(((F34)+(H34)*(MAX($D$16,(E95)-(J34))))*(MAX($D$16,(E95)-(J34))),0.000001))^2)/(2*$I$5)</f>
        <v>635.5</v>
      </c>
      <c r="T95">
        <f>N95+((ABS(J95)/MAX(((G35)+(I35)*(MAX($D$16,(N95)-(K35))))*(MAX($D$16,(N95)-(K35))),0.000001))^2)/(2*$I$5)+((E35)*((((ABS(J95)*$D$6)/(MAX(((F35)+(H35)*(MAX($D$16,(E95)-(J35))))*(MAX($D$16,(E95)-(J35))),0.000001)*MAX(((((F35)+(H35)*(MAX($D$16,(E95)-(J35))))*(MAX($D$16,(E95)-(J35))))/MAX((F35)+2*(MAX($D$16,(E95)-(J35)))*SQRT(1+(H35)^2),0.000001))^(2/3),0.000001)))^2)+(((ABS(J95)*$D$6)/(MAX(((G35)+(I35)*(MAX($D$16,(N95)-(K35))))*(MAX($D$16,(N95)-(K35))),0.000001)*MAX(((((G35)+(I35)*(MAX($D$16,(N95)-(K35))))*(MAX($D$16,(N95)-(K35))))/MAX((G35)+2*(MAX($D$16,(N95)-(K35)))*SQRT(1+(I35)^2),0.000001))^(2/3),0.000001)))^2))/2)+(IF((ABS(J95)/MAX(((G35)+(I35)*(MAX($D$16,(N95)-(K35))))*(MAX($D$16,(N95)-(K35))),0.000001))&gt;(ABS(J95)/MAX(((F35)+(H35)*(MAX($D$16,(E95)-(J35))))*(MAX($D$16,(E95)-(J35))),0.000001)),$D$9*((((ABS(J95)/MAX(((G35)+(I35)*(MAX($D$16,(N95)-(K35))))*(MAX($D$16,(N95)-(K35))),0.000001))^2)/(2*$I$5))-(((ABS(J95)/MAX(((F35)+(H35)*(MAX($D$16,(E95)-(J35))))*(MAX($D$16,(E95)-(J35))),0.000001))^2)/(2*$I$5))),$D$8*((((ABS(J95)/MAX(((F35)+(H35)*(MAX($D$16,(E95)-(J35))))*(MAX($D$16,(E95)-(J35))),0.000001))^2)/(2*$I$5))-(((ABS(J95)/MAX(((G35)+(I35)*(MAX($D$16,(N95)-(K35))))*(MAX($D$16,(N95)-(K35))),0.000001))^2)/(2*$I$5)))))+($D$10*(ABS((X35)-(W35))/90)*MAX(((ABS(J95)/MAX(((F35)+(H35)*(MAX($D$16,(E95)-(J35))))*(MAX($D$16,(E95)-(J35))),0.000001))^2)/(2*$I$5),((ABS(J95)/MAX(((G35)+(I35)*(MAX($D$16,(N95)-(K35))))*(MAX($D$16,(N95)-(K35))),0.000001))^2)/(2*$I$5)))+(($D$11*0.34699541*(ABS(I95)/MAX(ABS(G95),0.000001))^2*MAX(((ABS(J95)/MAX(((F35)+(H35)*(MAX($D$16,(E95)-(J35))))*(MAX($D$16,(E95)-(J35))),0.000001))^2)/(2*$I$5),((ABS(J95)/MAX(((G35)+(I35)*(MAX($D$16,(N95)-(K35))))*(MAX($D$16,(N95)-(K35))),0.000001))^2)/(2*$I$5))))-((ABS(J95)/MAX(((F35)+(H35)*(MAX($D$16,(E95)-(J35))))*(MAX($D$16,(E95)-(J35))),0.000001))^2)/(2*$I$5)</f>
        <v>20784.033523923383</v>
      </c>
      <c r="U95">
        <f>(((((F32)*(MAX($D$16,(D95)-(J32)))^2)/2+(H32)*(MAX($D$16,(D95)-(J32)))^3/3+(ABS(G95)^2)/($I$5*MAX(((F32)+(H32)*(MAX($D$16,(D95)-(J32))))*(MAX($D$16,(D95)-(J32))),0.000001)))*0.72785025)-((((F33)*(MAX($D$16,(D95)-(J33)))^2)/2+(H33)*(MAX($D$16,(D95)-(J33)))^3/3+(ABS(H95)^2)/($I$5*MAX(((F33)+(H33)*(MAX($D$16,(D95)-(J33))))*(MAX($D$16,(D95)-(J33))),0.000001)))*0.99999971))/MAX(((G31)*(MAX($D$16,(D95)-(K31)))^2)/2+(I31)*(MAX($D$16,(D95)-(K31)))^3/3+(ABS(F95)^2)/($I$5*MAX(((G31)+(I31)*(MAX($D$16,(D95)-(K31))))*(MAX($D$16,(D95)-(K31))),0.000001)),0.000001)</f>
        <v>-0.27214945999991119</v>
      </c>
      <c r="V95">
        <f>(((((F34)*(MAX($D$16,(E95)-(J34)))^2)/2+(H34)*(MAX($D$16,(E95)-(J34)))^3/3+(ABS(I95)^2)/($I$5*MAX(((F34)+(H34)*(MAX($D$16,(E95)-(J34))))*(MAX($D$16,(E95)-(J34))),0.000001)))*1)-((((F35)*(MAX($D$16,(E95)-(J35)))^2)/2+(H35)*(MAX($D$16,(E95)-(J35)))^3/3+(ABS(J95)^2)/($I$5*MAX(((F35)+(H35)*(MAX($D$16,(E95)-(J35))))*(MAX($D$16,(E95)-(J35))),0.000001)))*0.30600918))/MAX(((G32)*(MAX($D$16,(E95)-(K32)))^2)/2+(I32)*(MAX($D$16,(E95)-(K32)))^3/3+(ABS(G95)^2)/($I$5*MAX(((G32)+(I32)*(MAX($D$16,(E95)-(K32))))*(MAX($D$16,(E95)-(K32))),0.000001)),0.000001)</f>
        <v>0.69398638937190393</v>
      </c>
      <c r="W95">
        <f>IF(N6="None",ABS(P95-D95),MAX(ABS(P95-D95),ABS(Q95-D95)))</f>
        <v>3.4197000786662102E-10</v>
      </c>
      <c r="X95">
        <f>IF(AND(N7="None",N8="None"),0,IF(N8="None",ABS(S95-E95),IF(N7="None",ABS(T95-E95),MAX(ABS(S95-E95),ABS(T95-E95)))))</f>
        <v>51796.64183766015</v>
      </c>
      <c r="AA95">
        <f t="shared" si="18"/>
        <v>52432.141837660478</v>
      </c>
      <c r="AB95">
        <f t="shared" si="19"/>
        <v>41355.303927852285</v>
      </c>
      <c r="AC95">
        <f>IF(N6="None",P95,MAX(P95,Q95))</f>
        <v>52432.141837660703</v>
      </c>
      <c r="AD95">
        <f>IF(AND(N7="None",N8="None"),E95,IF(N8="None",S95,IF(N7="None",T95,MAX(S95,T95))))</f>
        <v>20784.033523923383</v>
      </c>
      <c r="AE95">
        <f t="shared" si="20"/>
        <v>637.65825101089831</v>
      </c>
      <c r="AF95">
        <f t="shared" si="21"/>
        <v>52432.141837660492</v>
      </c>
      <c r="AG95">
        <f>((G31)*(MAX($D$16,(AC95)-(K31)))^2)/2+(I31)*(MAX($D$16,(AC95)-(K31)))^3/3+(ABS(F95)^2)/($I$5*MAX(((G31)+(I31)*(MAX($D$16,(AC95)-(K31))))*(MAX($D$16,(AC95)-(K31))),0.000001))</f>
        <v>8797611517.4111958</v>
      </c>
      <c r="AH95">
        <f>((G31)*(MAX($D$16,(AE95)-(K31)))^2)/2+(I31)*(MAX($D$16,(AE95)-(K31)))^3/3+(ABS(F95)^2)/($I$5*MAX(((G31)+(I31)*(MAX($D$16,(AE95)-(K31))))*(MAX($D$16,(AE95)-(K31))),0.000001))</f>
        <v>49.055863329575246</v>
      </c>
      <c r="AI95">
        <f>((G32)*(MAX($D$16,(AD95)-(K32)))^2)/2+(I32)*(MAX($D$16,(AD95)-(K32)))^3/3+(ABS(G95)^2)/($I$5*MAX(((G32)+(I32)*(MAX($D$16,(AD95)-(K32))))*(MAX($D$16,(AD95)-(K32))),0.000001))</f>
        <v>2072376743.6648321</v>
      </c>
      <c r="AJ95">
        <f>((G32)*(MAX($D$16,(AF95)-(K32)))^2)/2+(I32)*(MAX($D$16,(AF95)-(K32)))^3/3+(ABS(G95)^2)/($I$5*MAX(((G32)+(I32)*(MAX($D$16,(AF95)-(K32))))*(MAX($D$16,(AF95)-(K32))),0.000001))</f>
        <v>13692714789.64329</v>
      </c>
      <c r="AK95" t="str">
        <f t="shared" si="22"/>
        <v>Subcritical</v>
      </c>
      <c r="AL95" t="str">
        <f t="shared" si="23"/>
        <v>Supercritical</v>
      </c>
      <c r="AM95">
        <f t="shared" si="24"/>
        <v>52432.141837660478</v>
      </c>
      <c r="AN95">
        <f t="shared" si="25"/>
        <v>52432.141837660267</v>
      </c>
      <c r="AO95">
        <f t="shared" si="26"/>
        <v>3.4197000786662102E-10</v>
      </c>
      <c r="AP95">
        <f t="shared" si="27"/>
        <v>3.4197000786662102E-10</v>
      </c>
    </row>
    <row r="96" spans="1:42" x14ac:dyDescent="0.35">
      <c r="A96">
        <v>53</v>
      </c>
      <c r="B96">
        <f t="shared" si="28"/>
        <v>0</v>
      </c>
      <c r="C96">
        <f t="shared" si="29"/>
        <v>0</v>
      </c>
      <c r="D96">
        <f t="shared" si="30"/>
        <v>52432.141837660478</v>
      </c>
      <c r="E96">
        <f t="shared" si="31"/>
        <v>52432.141837660267</v>
      </c>
      <c r="F96">
        <f t="shared" si="17"/>
        <v>51</v>
      </c>
      <c r="G96">
        <f>IF(N6="None",F96,MAX(0,F96*B96))</f>
        <v>51</v>
      </c>
      <c r="H96">
        <f>IF(N6="None",0,MAX(0,F96-G96))</f>
        <v>0</v>
      </c>
      <c r="I96">
        <f>IF(AND(N7="None",N8="None"),0,IF(N8="None",G96,IF(N7="None",0,MAX(0,G96*C96))))</f>
        <v>0</v>
      </c>
      <c r="J96">
        <f>IF(AND(N7="None",N8="None"),0,IF(N8="None",0,IF(N7="None",G96,MAX(0,G96-I96))))</f>
        <v>51</v>
      </c>
      <c r="K96">
        <f>P5</f>
        <v>637</v>
      </c>
      <c r="L96">
        <f>P6</f>
        <v>634.3119999999999</v>
      </c>
      <c r="M96">
        <f>P7</f>
        <v>635.5</v>
      </c>
      <c r="N96">
        <f>P8</f>
        <v>631.54999999999995</v>
      </c>
      <c r="O96">
        <f>K96+((ABS(F96)/MAX(((F31)+(H31)*(MAX($D$16,(K96)-(J31))))*(MAX($D$16,(K96)-(J31))),0.000001))^2)/(2*$I$5)-((E31)*((((ABS(F96)*$D$6)/(MAX(((F31)+(H31)*(MAX($D$16,(K96)-(J31))))*(MAX($D$16,(K96)-(J31))),0.000001)*MAX(((((F31)+(H31)*(MAX($D$16,(K96)-(J31))))*(MAX($D$16,(K96)-(J31))))/MAX((F31)+2*(MAX($D$16,(K96)-(J31)))*SQRT(1+(H31)^2),0.000001))^(2/3),0.000001)))^2)+(((ABS(F96)*$D$6)/(MAX(((G31)+(I31)*(MAX($D$16,(D96)-(K31))))*(MAX($D$16,(D96)-(K31))),0.000001)*MAX(((((G31)+(I31)*(MAX($D$16,(D96)-(K31))))*(MAX($D$16,(D96)-(K31))))/MAX((G31)+2*(MAX($D$16,(D96)-(K31)))*SQRT(1+(I31)^2),0.000001))^(2/3),0.000001)))^2))/2)+(IF((ABS(F96)/MAX(((G31)+(I31)*(MAX($D$16,(D96)-(K31))))*(MAX($D$16,(D96)-(K31))),0.000001))&gt;(ABS(F96)/MAX(((F31)+(H31)*(MAX($D$16,(K96)-(J31))))*(MAX($D$16,(K96)-(J31))),0.000001)),$D$9*((((ABS(F96)/MAX(((G31)+(I31)*(MAX($D$16,(D96)-(K31))))*(MAX($D$16,(D96)-(K31))),0.000001))^2)/(2*$I$5))-(((ABS(F96)/MAX(((F31)+(H31)*(MAX($D$16,(K96)-(J31))))*(MAX($D$16,(K96)-(J31))),0.000001))^2)/(2*$I$5))),$D$8*((((ABS(F96)/MAX(((F31)+(H31)*(MAX($D$16,(K96)-(J31))))*(MAX($D$16,(K96)-(J31))),0.000001))^2)/(2*$I$5))-(((ABS(F96)/MAX(((G31)+(I31)*(MAX($D$16,(D96)-(K31))))*(MAX($D$16,(D96)-(K31))),0.000001))^2)/(2*$I$5)))))+($D$10*(ABS((X31)-(W31))/90)*MAX(((ABS(F96)/MAX(((F31)+(H31)*(MAX($D$16,(K96)-(J31))))*(MAX($D$16,(K96)-(J31))),0.000001))^2)/(2*$I$5),((ABS(F96)/MAX(((G31)+(I31)*(MAX($D$16,(D96)-(K31))))*(MAX($D$16,(D96)-(K31))),0.000001))^2)/(2*$I$5)))+(0)-((ABS(F96)/MAX(((G31)+(I31)*(MAX($D$16,(D96)-(K31))))*(MAX($D$16,(D96)-(K31))),0.000001))^2)/(2*$I$5)</f>
        <v>637.65825101089831</v>
      </c>
      <c r="P96">
        <f>E96+((ABS(G96)/MAX(((G32)+(I32)*(MAX($D$16,(E96)-(K32))))*(MAX($D$16,(E96)-(K32))),0.000001))^2)/(2*$I$5)+((E32)*((((ABS(G96)*$D$6)/(MAX(((F32)+(H32)*(MAX($D$16,(D96)-(J32))))*(MAX($D$16,(D96)-(J32))),0.000001)*MAX(((((F32)+(H32)*(MAX($D$16,(D96)-(J32))))*(MAX($D$16,(D96)-(J32))))/MAX((F32)+2*(MAX($D$16,(D96)-(J32)))*SQRT(1+(H32)^2),0.000001))^(2/3),0.000001)))^2)+(((ABS(G96)*$D$6)/(MAX(((G32)+(I32)*(MAX($D$16,(E96)-(K32))))*(MAX($D$16,(E96)-(K32))),0.000001)*MAX(((((G32)+(I32)*(MAX($D$16,(E96)-(K32))))*(MAX($D$16,(E96)-(K32))))/MAX((G32)+2*(MAX($D$16,(E96)-(K32)))*SQRT(1+(I32)^2),0.000001))^(2/3),0.000001)))^2))/2)+(IF((ABS(G96)/MAX(((G32)+(I32)*(MAX($D$16,(E96)-(K32))))*(MAX($D$16,(E96)-(K32))),0.000001))&gt;(ABS(G96)/MAX(((F32)+(H32)*(MAX($D$16,(D96)-(J32))))*(MAX($D$16,(D96)-(J32))),0.000001)),$D$9*((((ABS(G96)/MAX(((G32)+(I32)*(MAX($D$16,(E96)-(K32))))*(MAX($D$16,(E96)-(K32))),0.000001))^2)/(2*$I$5))-(((ABS(G96)/MAX(((F32)+(H32)*(MAX($D$16,(D96)-(J32))))*(MAX($D$16,(D96)-(J32))),0.000001))^2)/(2*$I$5))),$D$8*((((ABS(G96)/MAX(((F32)+(H32)*(MAX($D$16,(D96)-(J32))))*(MAX($D$16,(D96)-(J32))),0.000001))^2)/(2*$I$5))-(((ABS(G96)/MAX(((G32)+(I32)*(MAX($D$16,(E96)-(K32))))*(MAX($D$16,(E96)-(K32))),0.000001))^2)/(2*$I$5)))))+($D$10*(ABS((X32)-(W32))/90)*MAX(((ABS(G96)/MAX(((F32)+(H32)*(MAX($D$16,(D96)-(J32))))*(MAX($D$16,(D96)-(J32))),0.000001))^2)/(2*$I$5),((ABS(G96)/MAX(((G32)+(I32)*(MAX($D$16,(E96)-(K32))))*(MAX($D$16,(E96)-(K32))),0.000001))^2)/(2*$I$5)))+(($D$11*0.13607488*(ABS(H96)/MAX(ABS(F96),0.000001))^2*MAX(((ABS(G96)/MAX(((F32)+(H32)*(MAX($D$16,(D96)-(J32))))*(MAX($D$16,(D96)-(J32))),0.000001))^2)/(2*$I$5),((ABS(G96)/MAX(((G32)+(I32)*(MAX($D$16,(E96)-(K32))))*(MAX($D$16,(E96)-(K32))),0.000001))^2)/(2*$I$5))))-((ABS(G96)/MAX(((F32)+(H32)*(MAX($D$16,(D96)-(J32))))*(MAX($D$16,(D96)-(J32))),0.000001))^2)/(2*$I$5)</f>
        <v>52432.14183766082</v>
      </c>
      <c r="Q96">
        <f>L96+((ABS(H96)/MAX(((G33)+(I33)*(MAX($D$16,(L96)-(K33))))*(MAX($D$16,(L96)-(K33))),0.000001))^2)/(2*$I$5)+((E33)*((((ABS(H96)*$D$6)/(MAX(((F33)+(H33)*(MAX($D$16,(D96)-(J33))))*(MAX($D$16,(D96)-(J33))),0.000001)*MAX(((((F33)+(H33)*(MAX($D$16,(D96)-(J33))))*(MAX($D$16,(D96)-(J33))))/MAX((F33)+2*(MAX($D$16,(D96)-(J33)))*SQRT(1+(H33)^2),0.000001))^(2/3),0.000001)))^2)+(((ABS(H96)*$D$6)/(MAX(((G33)+(I33)*(MAX($D$16,(L96)-(K33))))*(MAX($D$16,(L96)-(K33))),0.000001)*MAX(((((G33)+(I33)*(MAX($D$16,(L96)-(K33))))*(MAX($D$16,(L96)-(K33))))/MAX((G33)+2*(MAX($D$16,(L96)-(K33)))*SQRT(1+(I33)^2),0.000001))^(2/3),0.000001)))^2))/2)+(IF((ABS(H96)/MAX(((G33)+(I33)*(MAX($D$16,(L96)-(K33))))*(MAX($D$16,(L96)-(K33))),0.000001))&gt;(ABS(H96)/MAX(((F33)+(H33)*(MAX($D$16,(D96)-(J33))))*(MAX($D$16,(D96)-(J33))),0.000001)),$D$9*((((ABS(H96)/MAX(((G33)+(I33)*(MAX($D$16,(L96)-(K33))))*(MAX($D$16,(L96)-(K33))),0.000001))^2)/(2*$I$5))-(((ABS(H96)/MAX(((F33)+(H33)*(MAX($D$16,(D96)-(J33))))*(MAX($D$16,(D96)-(J33))),0.000001))^2)/(2*$I$5))),$D$8*((((ABS(H96)/MAX(((F33)+(H33)*(MAX($D$16,(D96)-(J33))))*(MAX($D$16,(D96)-(J33))),0.000001))^2)/(2*$I$5))-(((ABS(H96)/MAX(((G33)+(I33)*(MAX($D$16,(L96)-(K33))))*(MAX($D$16,(L96)-(K33))),0.000001))^2)/(2*$I$5)))))+($D$10*(ABS((X33)-(W33))/90)*MAX(((ABS(H96)/MAX(((F33)+(H33)*(MAX($D$16,(D96)-(J33))))*(MAX($D$16,(D96)-(J33))),0.000001))^2)/(2*$I$5),((ABS(H96)/MAX(((G33)+(I33)*(MAX($D$16,(L96)-(K33))))*(MAX($D$16,(L96)-(K33))),0.000001))^2)/(2*$I$5)))+(($D$11*0.00000015*(ABS(G96)/MAX(ABS(F96),0.000001))^2*MAX(((ABS(H96)/MAX(((F33)+(H33)*(MAX($D$16,(D96)-(J33))))*(MAX($D$16,(D96)-(J33))),0.000001))^2)/(2*$I$5),((ABS(H96)/MAX(((G33)+(I33)*(MAX($D$16,(L96)-(K33))))*(MAX($D$16,(L96)-(K33))),0.000001))^2)/(2*$I$5))))-((ABS(H96)/MAX(((F33)+(H33)*(MAX($D$16,(D96)-(J33))))*(MAX($D$16,(D96)-(J33))),0.000001))^2)/(2*$I$5)</f>
        <v>634.3119999999999</v>
      </c>
      <c r="R96">
        <f>D96+((ABS(G96)/MAX(((F32)+(H32)*(MAX($D$16,(D96)-(J32))))*(MAX($D$16,(D96)-(J32))),0.000001))^2)/(2*$I$5)-((E32)*((((ABS(G96)*$D$6)/(MAX(((F32)+(H32)*(MAX($D$16,(D96)-(J32))))*(MAX($D$16,(D96)-(J32))),0.000001)*MAX(((((F32)+(H32)*(MAX($D$16,(D96)-(J32))))*(MAX($D$16,(D96)-(J32))))/MAX((F32)+2*(MAX($D$16,(D96)-(J32)))*SQRT(1+(H32)^2),0.000001))^(2/3),0.000001)))^2)+(((ABS(G96)*$D$6)/(MAX(((G32)+(I32)*(MAX($D$16,(E96)-(K32))))*(MAX($D$16,(E96)-(K32))),0.000001)*MAX(((((G32)+(I32)*(MAX($D$16,(E96)-(K32))))*(MAX($D$16,(E96)-(K32))))/MAX((G32)+2*(MAX($D$16,(E96)-(K32)))*SQRT(1+(I32)^2),0.000001))^(2/3),0.000001)))^2))/2)+(IF((ABS(G96)/MAX(((G32)+(I32)*(MAX($D$16,(E96)-(K32))))*(MAX($D$16,(E96)-(K32))),0.000001))&gt;(ABS(G96)/MAX(((F32)+(H32)*(MAX($D$16,(D96)-(J32))))*(MAX($D$16,(D96)-(J32))),0.000001)),$D$9*((((ABS(G96)/MAX(((G32)+(I32)*(MAX($D$16,(E96)-(K32))))*(MAX($D$16,(E96)-(K32))),0.000001))^2)/(2*$I$5))-(((ABS(G96)/MAX(((F32)+(H32)*(MAX($D$16,(D96)-(J32))))*(MAX($D$16,(D96)-(J32))),0.000001))^2)/(2*$I$5))),$D$8*((((ABS(G96)/MAX(((F32)+(H32)*(MAX($D$16,(D96)-(J32))))*(MAX($D$16,(D96)-(J32))),0.000001))^2)/(2*$I$5))-(((ABS(G96)/MAX(((G32)+(I32)*(MAX($D$16,(E96)-(K32))))*(MAX($D$16,(E96)-(K32))),0.000001))^2)/(2*$I$5)))))+($D$10*(ABS((X32)-(W32))/90)*MAX(((ABS(G96)/MAX(((F32)+(H32)*(MAX($D$16,(D96)-(J32))))*(MAX($D$16,(D96)-(J32))),0.000001))^2)/(2*$I$5),((ABS(G96)/MAX(((G32)+(I32)*(MAX($D$16,(E96)-(K32))))*(MAX($D$16,(E96)-(K32))),0.000001))^2)/(2*$I$5)))+(($D$11*0.13607488*(ABS(H96)/MAX(ABS(F96),0.000001))^2*MAX(((ABS(G96)/MAX(((F32)+(H32)*(MAX($D$16,(D96)-(J32))))*(MAX($D$16,(D96)-(J32))),0.000001))^2)/(2*$I$5),((ABS(G96)/MAX(((G32)+(I32)*(MAX($D$16,(E96)-(K32))))*(MAX($D$16,(E96)-(K32))),0.000001))^2)/(2*$I$5))))-((ABS(G96)/MAX(((G32)+(I32)*(MAX($D$16,(E96)-(K32))))*(MAX($D$16,(E96)-(K32))),0.000001))^2)/(2*$I$5)</f>
        <v>52432.141837660609</v>
      </c>
      <c r="S96">
        <f>M96+((ABS(I96)/MAX(((G34)+(I34)*(MAX($D$16,(M96)-(K34))))*(MAX($D$16,(M96)-(K34))),0.000001))^2)/(2*$I$5)+((E34)*((((ABS(I96)*$D$6)/(MAX(((F34)+(H34)*(MAX($D$16,(E96)-(J34))))*(MAX($D$16,(E96)-(J34))),0.000001)*MAX(((((F34)+(H34)*(MAX($D$16,(E96)-(J34))))*(MAX($D$16,(E96)-(J34))))/MAX((F34)+2*(MAX($D$16,(E96)-(J34)))*SQRT(1+(H34)^2),0.000001))^(2/3),0.000001)))^2)+(((ABS(I96)*$D$6)/(MAX(((G34)+(I34)*(MAX($D$16,(M96)-(K34))))*(MAX($D$16,(M96)-(K34))),0.000001)*MAX(((((G34)+(I34)*(MAX($D$16,(M96)-(K34))))*(MAX($D$16,(M96)-(K34))))/MAX((G34)+2*(MAX($D$16,(M96)-(K34)))*SQRT(1+(I34)^2),0.000001))^(2/3),0.000001)))^2))/2)+(IF((ABS(I96)/MAX(((G34)+(I34)*(MAX($D$16,(M96)-(K34))))*(MAX($D$16,(M96)-(K34))),0.000001))&gt;(ABS(I96)/MAX(((F34)+(H34)*(MAX($D$16,(E96)-(J34))))*(MAX($D$16,(E96)-(J34))),0.000001)),$D$9*((((ABS(I96)/MAX(((G34)+(I34)*(MAX($D$16,(M96)-(K34))))*(MAX($D$16,(M96)-(K34))),0.000001))^2)/(2*$I$5))-(((ABS(I96)/MAX(((F34)+(H34)*(MAX($D$16,(E96)-(J34))))*(MAX($D$16,(E96)-(J34))),0.000001))^2)/(2*$I$5))),$D$8*((((ABS(I96)/MAX(((F34)+(H34)*(MAX($D$16,(E96)-(J34))))*(MAX($D$16,(E96)-(J34))),0.000001))^2)/(2*$I$5))-(((ABS(I96)/MAX(((G34)+(I34)*(MAX($D$16,(M96)-(K34))))*(MAX($D$16,(M96)-(K34))),0.000001))^2)/(2*$I$5)))))+($D$10*(ABS((X34)-(W34))/90)*MAX(((ABS(I96)/MAX(((F34)+(H34)*(MAX($D$16,(E96)-(J34))))*(MAX($D$16,(E96)-(J34))),0.000001))^2)/(2*$I$5),((ABS(I96)/MAX(((G34)+(I34)*(MAX($D$16,(M96)-(K34))))*(MAX($D$16,(M96)-(K34))),0.000001))^2)/(2*$I$5)))+(0)-((ABS(I96)/MAX(((F34)+(H34)*(MAX($D$16,(E96)-(J34))))*(MAX($D$16,(E96)-(J34))),0.000001))^2)/(2*$I$5)</f>
        <v>635.5</v>
      </c>
      <c r="T96">
        <f>N96+((ABS(J96)/MAX(((G35)+(I35)*(MAX($D$16,(N96)-(K35))))*(MAX($D$16,(N96)-(K35))),0.000001))^2)/(2*$I$5)+((E35)*((((ABS(J96)*$D$6)/(MAX(((F35)+(H35)*(MAX($D$16,(E96)-(J35))))*(MAX($D$16,(E96)-(J35))),0.000001)*MAX(((((F35)+(H35)*(MAX($D$16,(E96)-(J35))))*(MAX($D$16,(E96)-(J35))))/MAX((F35)+2*(MAX($D$16,(E96)-(J35)))*SQRT(1+(H35)^2),0.000001))^(2/3),0.000001)))^2)+(((ABS(J96)*$D$6)/(MAX(((G35)+(I35)*(MAX($D$16,(N96)-(K35))))*(MAX($D$16,(N96)-(K35))),0.000001)*MAX(((((G35)+(I35)*(MAX($D$16,(N96)-(K35))))*(MAX($D$16,(N96)-(K35))))/MAX((G35)+2*(MAX($D$16,(N96)-(K35)))*SQRT(1+(I35)^2),0.000001))^(2/3),0.000001)))^2))/2)+(IF((ABS(J96)/MAX(((G35)+(I35)*(MAX($D$16,(N96)-(K35))))*(MAX($D$16,(N96)-(K35))),0.000001))&gt;(ABS(J96)/MAX(((F35)+(H35)*(MAX($D$16,(E96)-(J35))))*(MAX($D$16,(E96)-(J35))),0.000001)),$D$9*((((ABS(J96)/MAX(((G35)+(I35)*(MAX($D$16,(N96)-(K35))))*(MAX($D$16,(N96)-(K35))),0.000001))^2)/(2*$I$5))-(((ABS(J96)/MAX(((F35)+(H35)*(MAX($D$16,(E96)-(J35))))*(MAX($D$16,(E96)-(J35))),0.000001))^2)/(2*$I$5))),$D$8*((((ABS(J96)/MAX(((F35)+(H35)*(MAX($D$16,(E96)-(J35))))*(MAX($D$16,(E96)-(J35))),0.000001))^2)/(2*$I$5))-(((ABS(J96)/MAX(((G35)+(I35)*(MAX($D$16,(N96)-(K35))))*(MAX($D$16,(N96)-(K35))),0.000001))^2)/(2*$I$5)))))+($D$10*(ABS((X35)-(W35))/90)*MAX(((ABS(J96)/MAX(((F35)+(H35)*(MAX($D$16,(E96)-(J35))))*(MAX($D$16,(E96)-(J35))),0.000001))^2)/(2*$I$5),((ABS(J96)/MAX(((G35)+(I35)*(MAX($D$16,(N96)-(K35))))*(MAX($D$16,(N96)-(K35))),0.000001))^2)/(2*$I$5)))+(($D$11*0.34699541*(ABS(I96)/MAX(ABS(G96),0.000001))^2*MAX(((ABS(J96)/MAX(((F35)+(H35)*(MAX($D$16,(E96)-(J35))))*(MAX($D$16,(E96)-(J35))),0.000001))^2)/(2*$I$5),((ABS(J96)/MAX(((G35)+(I35)*(MAX($D$16,(N96)-(K35))))*(MAX($D$16,(N96)-(K35))),0.000001))^2)/(2*$I$5))))-((ABS(J96)/MAX(((F35)+(H35)*(MAX($D$16,(E96)-(J35))))*(MAX($D$16,(E96)-(J35))),0.000001))^2)/(2*$I$5)</f>
        <v>20784.033523923383</v>
      </c>
      <c r="U96">
        <f>(((((F32)*(MAX($D$16,(D96)-(J32)))^2)/2+(H32)*(MAX($D$16,(D96)-(J32)))^3/3+(ABS(G96)^2)/($I$5*MAX(((F32)+(H32)*(MAX($D$16,(D96)-(J32))))*(MAX($D$16,(D96)-(J32))),0.000001)))*0.72785025)-((((F33)*(MAX($D$16,(D96)-(J33)))^2)/2+(H33)*(MAX($D$16,(D96)-(J33)))^3/3+(ABS(H96)^2)/($I$5*MAX(((F33)+(H33)*(MAX($D$16,(D96)-(J33))))*(MAX($D$16,(D96)-(J33))),0.000001)))*0.99999971))/MAX(((G31)*(MAX($D$16,(D96)-(K31)))^2)/2+(I31)*(MAX($D$16,(D96)-(K31)))^3/3+(ABS(F96)^2)/($I$5*MAX(((G31)+(I31)*(MAX($D$16,(D96)-(K31))))*(MAX($D$16,(D96)-(K31))),0.000001)),0.000001)</f>
        <v>-0.27214945999991119</v>
      </c>
      <c r="V96">
        <f>(((((F34)*(MAX($D$16,(E96)-(J34)))^2)/2+(H34)*(MAX($D$16,(E96)-(J34)))^3/3+(ABS(I96)^2)/($I$5*MAX(((F34)+(H34)*(MAX($D$16,(E96)-(J34))))*(MAX($D$16,(E96)-(J34))),0.000001)))*1)-((((F35)*(MAX($D$16,(E96)-(J35)))^2)/2+(H35)*(MAX($D$16,(E96)-(J35)))^3/3+(ABS(J96)^2)/($I$5*MAX(((F35)+(H35)*(MAX($D$16,(E96)-(J35))))*(MAX($D$16,(E96)-(J35))),0.000001)))*0.30600918))/MAX(((G32)*(MAX($D$16,(E96)-(K32)))^2)/2+(I32)*(MAX($D$16,(E96)-(K32)))^3/3+(ABS(G96)^2)/($I$5*MAX(((G32)+(I32)*(MAX($D$16,(E96)-(K32))))*(MAX($D$16,(E96)-(K32))),0.000001)),0.000001)</f>
        <v>0.69398638937190393</v>
      </c>
      <c r="W96">
        <f>IF(N6="None",ABS(P96-D96),MAX(ABS(P96-D96),ABS(Q96-D96)))</f>
        <v>3.4197000786662102E-10</v>
      </c>
      <c r="X96">
        <f>IF(AND(N7="None",N8="None"),0,IF(N8="None",ABS(S96-E96),IF(N7="None",ABS(T96-E96),MAX(ABS(S96-E96),ABS(T96-E96)))))</f>
        <v>51796.641837660267</v>
      </c>
      <c r="AA96">
        <f t="shared" si="18"/>
        <v>52432.141837660594</v>
      </c>
      <c r="AB96">
        <f t="shared" si="19"/>
        <v>41355.303927852357</v>
      </c>
      <c r="AC96">
        <f>IF(N6="None",P96,MAX(P96,Q96))</f>
        <v>52432.14183766082</v>
      </c>
      <c r="AD96">
        <f>IF(AND(N7="None",N8="None"),E96,IF(N8="None",S96,IF(N7="None",T96,MAX(S96,T96))))</f>
        <v>20784.033523923383</v>
      </c>
      <c r="AE96">
        <f t="shared" si="20"/>
        <v>637.65825101089831</v>
      </c>
      <c r="AF96">
        <f t="shared" si="21"/>
        <v>52432.141837660609</v>
      </c>
      <c r="AG96">
        <f>((G31)*(MAX($D$16,(AC96)-(K31)))^2)/2+(I31)*(MAX($D$16,(AC96)-(K31)))^3/3+(ABS(F96)^2)/($I$5*MAX(((G31)+(I31)*(MAX($D$16,(AC96)-(K31))))*(MAX($D$16,(AC96)-(K31))),0.000001))</f>
        <v>8797611517.4112339</v>
      </c>
      <c r="AH96">
        <f>((G31)*(MAX($D$16,(AE96)-(K31)))^2)/2+(I31)*(MAX($D$16,(AE96)-(K31)))^3/3+(ABS(F96)^2)/($I$5*MAX(((G31)+(I31)*(MAX($D$16,(AE96)-(K31))))*(MAX($D$16,(AE96)-(K31))),0.000001))</f>
        <v>49.055863329575246</v>
      </c>
      <c r="AI96">
        <f>((G32)*(MAX($D$16,(AD96)-(K32)))^2)/2+(I32)*(MAX($D$16,(AD96)-(K32)))^3/3+(ABS(G96)^2)/($I$5*MAX(((G32)+(I32)*(MAX($D$16,(AD96)-(K32))))*(MAX($D$16,(AD96)-(K32))),0.000001))</f>
        <v>2072376743.6648321</v>
      </c>
      <c r="AJ96">
        <f>((G32)*(MAX($D$16,(AF96)-(K32)))^2)/2+(I32)*(MAX($D$16,(AF96)-(K32)))^3/3+(ABS(G96)^2)/($I$5*MAX(((G32)+(I32)*(MAX($D$16,(AF96)-(K32))))*(MAX($D$16,(AF96)-(K32))),0.000001))</f>
        <v>13692714789.643351</v>
      </c>
      <c r="AK96" t="str">
        <f t="shared" si="22"/>
        <v>Subcritical</v>
      </c>
      <c r="AL96" t="str">
        <f t="shared" si="23"/>
        <v>Supercritical</v>
      </c>
      <c r="AM96">
        <f t="shared" si="24"/>
        <v>52432.141837660594</v>
      </c>
      <c r="AN96">
        <f t="shared" si="25"/>
        <v>52432.141837660383</v>
      </c>
      <c r="AO96">
        <f t="shared" si="26"/>
        <v>3.4197000786662102E-10</v>
      </c>
      <c r="AP96">
        <f t="shared" si="27"/>
        <v>3.4197000786662102E-10</v>
      </c>
    </row>
    <row r="97" spans="1:42" x14ac:dyDescent="0.35">
      <c r="A97">
        <v>54</v>
      </c>
      <c r="B97">
        <f t="shared" si="28"/>
        <v>0</v>
      </c>
      <c r="C97">
        <f t="shared" si="29"/>
        <v>0</v>
      </c>
      <c r="D97">
        <f t="shared" si="30"/>
        <v>52432.141837660594</v>
      </c>
      <c r="E97">
        <f t="shared" si="31"/>
        <v>52432.141837660383</v>
      </c>
      <c r="F97">
        <f t="shared" si="17"/>
        <v>51</v>
      </c>
      <c r="G97">
        <f>IF(N6="None",F97,MAX(0,F97*B97))</f>
        <v>51</v>
      </c>
      <c r="H97">
        <f>IF(N6="None",0,MAX(0,F97-G97))</f>
        <v>0</v>
      </c>
      <c r="I97">
        <f>IF(AND(N7="None",N8="None"),0,IF(N8="None",G97,IF(N7="None",0,MAX(0,G97*C97))))</f>
        <v>0</v>
      </c>
      <c r="J97">
        <f>IF(AND(N7="None",N8="None"),0,IF(N8="None",0,IF(N7="None",G97,MAX(0,G97-I97))))</f>
        <v>51</v>
      </c>
      <c r="K97">
        <f>P5</f>
        <v>637</v>
      </c>
      <c r="L97">
        <f>P6</f>
        <v>634.3119999999999</v>
      </c>
      <c r="M97">
        <f>P7</f>
        <v>635.5</v>
      </c>
      <c r="N97">
        <f>P8</f>
        <v>631.54999999999995</v>
      </c>
      <c r="O97">
        <f>K97+((ABS(F97)/MAX(((F31)+(H31)*(MAX($D$16,(K97)-(J31))))*(MAX($D$16,(K97)-(J31))),0.000001))^2)/(2*$I$5)-((E31)*((((ABS(F97)*$D$6)/(MAX(((F31)+(H31)*(MAX($D$16,(K97)-(J31))))*(MAX($D$16,(K97)-(J31))),0.000001)*MAX(((((F31)+(H31)*(MAX($D$16,(K97)-(J31))))*(MAX($D$16,(K97)-(J31))))/MAX((F31)+2*(MAX($D$16,(K97)-(J31)))*SQRT(1+(H31)^2),0.000001))^(2/3),0.000001)))^2)+(((ABS(F97)*$D$6)/(MAX(((G31)+(I31)*(MAX($D$16,(D97)-(K31))))*(MAX($D$16,(D97)-(K31))),0.000001)*MAX(((((G31)+(I31)*(MAX($D$16,(D97)-(K31))))*(MAX($D$16,(D97)-(K31))))/MAX((G31)+2*(MAX($D$16,(D97)-(K31)))*SQRT(1+(I31)^2),0.000001))^(2/3),0.000001)))^2))/2)+(IF((ABS(F97)/MAX(((G31)+(I31)*(MAX($D$16,(D97)-(K31))))*(MAX($D$16,(D97)-(K31))),0.000001))&gt;(ABS(F97)/MAX(((F31)+(H31)*(MAX($D$16,(K97)-(J31))))*(MAX($D$16,(K97)-(J31))),0.000001)),$D$9*((((ABS(F97)/MAX(((G31)+(I31)*(MAX($D$16,(D97)-(K31))))*(MAX($D$16,(D97)-(K31))),0.000001))^2)/(2*$I$5))-(((ABS(F97)/MAX(((F31)+(H31)*(MAX($D$16,(K97)-(J31))))*(MAX($D$16,(K97)-(J31))),0.000001))^2)/(2*$I$5))),$D$8*((((ABS(F97)/MAX(((F31)+(H31)*(MAX($D$16,(K97)-(J31))))*(MAX($D$16,(K97)-(J31))),0.000001))^2)/(2*$I$5))-(((ABS(F97)/MAX(((G31)+(I31)*(MAX($D$16,(D97)-(K31))))*(MAX($D$16,(D97)-(K31))),0.000001))^2)/(2*$I$5)))))+($D$10*(ABS((X31)-(W31))/90)*MAX(((ABS(F97)/MAX(((F31)+(H31)*(MAX($D$16,(K97)-(J31))))*(MAX($D$16,(K97)-(J31))),0.000001))^2)/(2*$I$5),((ABS(F97)/MAX(((G31)+(I31)*(MAX($D$16,(D97)-(K31))))*(MAX($D$16,(D97)-(K31))),0.000001))^2)/(2*$I$5)))+(0)-((ABS(F97)/MAX(((G31)+(I31)*(MAX($D$16,(D97)-(K31))))*(MAX($D$16,(D97)-(K31))),0.000001))^2)/(2*$I$5)</f>
        <v>637.65825101089831</v>
      </c>
      <c r="P97">
        <f>E97+((ABS(G97)/MAX(((G32)+(I32)*(MAX($D$16,(E97)-(K32))))*(MAX($D$16,(E97)-(K32))),0.000001))^2)/(2*$I$5)+((E32)*((((ABS(G97)*$D$6)/(MAX(((F32)+(H32)*(MAX($D$16,(D97)-(J32))))*(MAX($D$16,(D97)-(J32))),0.000001)*MAX(((((F32)+(H32)*(MAX($D$16,(D97)-(J32))))*(MAX($D$16,(D97)-(J32))))/MAX((F32)+2*(MAX($D$16,(D97)-(J32)))*SQRT(1+(H32)^2),0.000001))^(2/3),0.000001)))^2)+(((ABS(G97)*$D$6)/(MAX(((G32)+(I32)*(MAX($D$16,(E97)-(K32))))*(MAX($D$16,(E97)-(K32))),0.000001)*MAX(((((G32)+(I32)*(MAX($D$16,(E97)-(K32))))*(MAX($D$16,(E97)-(K32))))/MAX((G32)+2*(MAX($D$16,(E97)-(K32)))*SQRT(1+(I32)^2),0.000001))^(2/3),0.000001)))^2))/2)+(IF((ABS(G97)/MAX(((G32)+(I32)*(MAX($D$16,(E97)-(K32))))*(MAX($D$16,(E97)-(K32))),0.000001))&gt;(ABS(G97)/MAX(((F32)+(H32)*(MAX($D$16,(D97)-(J32))))*(MAX($D$16,(D97)-(J32))),0.000001)),$D$9*((((ABS(G97)/MAX(((G32)+(I32)*(MAX($D$16,(E97)-(K32))))*(MAX($D$16,(E97)-(K32))),0.000001))^2)/(2*$I$5))-(((ABS(G97)/MAX(((F32)+(H32)*(MAX($D$16,(D97)-(J32))))*(MAX($D$16,(D97)-(J32))),0.000001))^2)/(2*$I$5))),$D$8*((((ABS(G97)/MAX(((F32)+(H32)*(MAX($D$16,(D97)-(J32))))*(MAX($D$16,(D97)-(J32))),0.000001))^2)/(2*$I$5))-(((ABS(G97)/MAX(((G32)+(I32)*(MAX($D$16,(E97)-(K32))))*(MAX($D$16,(E97)-(K32))),0.000001))^2)/(2*$I$5)))))+($D$10*(ABS((X32)-(W32))/90)*MAX(((ABS(G97)/MAX(((F32)+(H32)*(MAX($D$16,(D97)-(J32))))*(MAX($D$16,(D97)-(J32))),0.000001))^2)/(2*$I$5),((ABS(G97)/MAX(((G32)+(I32)*(MAX($D$16,(E97)-(K32))))*(MAX($D$16,(E97)-(K32))),0.000001))^2)/(2*$I$5)))+(($D$11*0.13607488*(ABS(H97)/MAX(ABS(F97),0.000001))^2*MAX(((ABS(G97)/MAX(((F32)+(H32)*(MAX($D$16,(D97)-(J32))))*(MAX($D$16,(D97)-(J32))),0.000001))^2)/(2*$I$5),((ABS(G97)/MAX(((G32)+(I32)*(MAX($D$16,(E97)-(K32))))*(MAX($D$16,(E97)-(K32))),0.000001))^2)/(2*$I$5))))-((ABS(G97)/MAX(((F32)+(H32)*(MAX($D$16,(D97)-(J32))))*(MAX($D$16,(D97)-(J32))),0.000001))^2)/(2*$I$5)</f>
        <v>52432.141837660936</v>
      </c>
      <c r="Q97">
        <f>L97+((ABS(H97)/MAX(((G33)+(I33)*(MAX($D$16,(L97)-(K33))))*(MAX($D$16,(L97)-(K33))),0.000001))^2)/(2*$I$5)+((E33)*((((ABS(H97)*$D$6)/(MAX(((F33)+(H33)*(MAX($D$16,(D97)-(J33))))*(MAX($D$16,(D97)-(J33))),0.000001)*MAX(((((F33)+(H33)*(MAX($D$16,(D97)-(J33))))*(MAX($D$16,(D97)-(J33))))/MAX((F33)+2*(MAX($D$16,(D97)-(J33)))*SQRT(1+(H33)^2),0.000001))^(2/3),0.000001)))^2)+(((ABS(H97)*$D$6)/(MAX(((G33)+(I33)*(MAX($D$16,(L97)-(K33))))*(MAX($D$16,(L97)-(K33))),0.000001)*MAX(((((G33)+(I33)*(MAX($D$16,(L97)-(K33))))*(MAX($D$16,(L97)-(K33))))/MAX((G33)+2*(MAX($D$16,(L97)-(K33)))*SQRT(1+(I33)^2),0.000001))^(2/3),0.000001)))^2))/2)+(IF((ABS(H97)/MAX(((G33)+(I33)*(MAX($D$16,(L97)-(K33))))*(MAX($D$16,(L97)-(K33))),0.000001))&gt;(ABS(H97)/MAX(((F33)+(H33)*(MAX($D$16,(D97)-(J33))))*(MAX($D$16,(D97)-(J33))),0.000001)),$D$9*((((ABS(H97)/MAX(((G33)+(I33)*(MAX($D$16,(L97)-(K33))))*(MAX($D$16,(L97)-(K33))),0.000001))^2)/(2*$I$5))-(((ABS(H97)/MAX(((F33)+(H33)*(MAX($D$16,(D97)-(J33))))*(MAX($D$16,(D97)-(J33))),0.000001))^2)/(2*$I$5))),$D$8*((((ABS(H97)/MAX(((F33)+(H33)*(MAX($D$16,(D97)-(J33))))*(MAX($D$16,(D97)-(J33))),0.000001))^2)/(2*$I$5))-(((ABS(H97)/MAX(((G33)+(I33)*(MAX($D$16,(L97)-(K33))))*(MAX($D$16,(L97)-(K33))),0.000001))^2)/(2*$I$5)))))+($D$10*(ABS((X33)-(W33))/90)*MAX(((ABS(H97)/MAX(((F33)+(H33)*(MAX($D$16,(D97)-(J33))))*(MAX($D$16,(D97)-(J33))),0.000001))^2)/(2*$I$5),((ABS(H97)/MAX(((G33)+(I33)*(MAX($D$16,(L97)-(K33))))*(MAX($D$16,(L97)-(K33))),0.000001))^2)/(2*$I$5)))+(($D$11*0.00000015*(ABS(G97)/MAX(ABS(F97),0.000001))^2*MAX(((ABS(H97)/MAX(((F33)+(H33)*(MAX($D$16,(D97)-(J33))))*(MAX($D$16,(D97)-(J33))),0.000001))^2)/(2*$I$5),((ABS(H97)/MAX(((G33)+(I33)*(MAX($D$16,(L97)-(K33))))*(MAX($D$16,(L97)-(K33))),0.000001))^2)/(2*$I$5))))-((ABS(H97)/MAX(((F33)+(H33)*(MAX($D$16,(D97)-(J33))))*(MAX($D$16,(D97)-(J33))),0.000001))^2)/(2*$I$5)</f>
        <v>634.3119999999999</v>
      </c>
      <c r="R97">
        <f>D97+((ABS(G97)/MAX(((F32)+(H32)*(MAX($D$16,(D97)-(J32))))*(MAX($D$16,(D97)-(J32))),0.000001))^2)/(2*$I$5)-((E32)*((((ABS(G97)*$D$6)/(MAX(((F32)+(H32)*(MAX($D$16,(D97)-(J32))))*(MAX($D$16,(D97)-(J32))),0.000001)*MAX(((((F32)+(H32)*(MAX($D$16,(D97)-(J32))))*(MAX($D$16,(D97)-(J32))))/MAX((F32)+2*(MAX($D$16,(D97)-(J32)))*SQRT(1+(H32)^2),0.000001))^(2/3),0.000001)))^2)+(((ABS(G97)*$D$6)/(MAX(((G32)+(I32)*(MAX($D$16,(E97)-(K32))))*(MAX($D$16,(E97)-(K32))),0.000001)*MAX(((((G32)+(I32)*(MAX($D$16,(E97)-(K32))))*(MAX($D$16,(E97)-(K32))))/MAX((G32)+2*(MAX($D$16,(E97)-(K32)))*SQRT(1+(I32)^2),0.000001))^(2/3),0.000001)))^2))/2)+(IF((ABS(G97)/MAX(((G32)+(I32)*(MAX($D$16,(E97)-(K32))))*(MAX($D$16,(E97)-(K32))),0.000001))&gt;(ABS(G97)/MAX(((F32)+(H32)*(MAX($D$16,(D97)-(J32))))*(MAX($D$16,(D97)-(J32))),0.000001)),$D$9*((((ABS(G97)/MAX(((G32)+(I32)*(MAX($D$16,(E97)-(K32))))*(MAX($D$16,(E97)-(K32))),0.000001))^2)/(2*$I$5))-(((ABS(G97)/MAX(((F32)+(H32)*(MAX($D$16,(D97)-(J32))))*(MAX($D$16,(D97)-(J32))),0.000001))^2)/(2*$I$5))),$D$8*((((ABS(G97)/MAX(((F32)+(H32)*(MAX($D$16,(D97)-(J32))))*(MAX($D$16,(D97)-(J32))),0.000001))^2)/(2*$I$5))-(((ABS(G97)/MAX(((G32)+(I32)*(MAX($D$16,(E97)-(K32))))*(MAX($D$16,(E97)-(K32))),0.000001))^2)/(2*$I$5)))))+($D$10*(ABS((X32)-(W32))/90)*MAX(((ABS(G97)/MAX(((F32)+(H32)*(MAX($D$16,(D97)-(J32))))*(MAX($D$16,(D97)-(J32))),0.000001))^2)/(2*$I$5),((ABS(G97)/MAX(((G32)+(I32)*(MAX($D$16,(E97)-(K32))))*(MAX($D$16,(E97)-(K32))),0.000001))^2)/(2*$I$5)))+(($D$11*0.13607488*(ABS(H97)/MAX(ABS(F97),0.000001))^2*MAX(((ABS(G97)/MAX(((F32)+(H32)*(MAX($D$16,(D97)-(J32))))*(MAX($D$16,(D97)-(J32))),0.000001))^2)/(2*$I$5),((ABS(G97)/MAX(((G32)+(I32)*(MAX($D$16,(E97)-(K32))))*(MAX($D$16,(E97)-(K32))),0.000001))^2)/(2*$I$5))))-((ABS(G97)/MAX(((G32)+(I32)*(MAX($D$16,(E97)-(K32))))*(MAX($D$16,(E97)-(K32))),0.000001))^2)/(2*$I$5)</f>
        <v>52432.141837660725</v>
      </c>
      <c r="S97">
        <f>M97+((ABS(I97)/MAX(((G34)+(I34)*(MAX($D$16,(M97)-(K34))))*(MAX($D$16,(M97)-(K34))),0.000001))^2)/(2*$I$5)+((E34)*((((ABS(I97)*$D$6)/(MAX(((F34)+(H34)*(MAX($D$16,(E97)-(J34))))*(MAX($D$16,(E97)-(J34))),0.000001)*MAX(((((F34)+(H34)*(MAX($D$16,(E97)-(J34))))*(MAX($D$16,(E97)-(J34))))/MAX((F34)+2*(MAX($D$16,(E97)-(J34)))*SQRT(1+(H34)^2),0.000001))^(2/3),0.000001)))^2)+(((ABS(I97)*$D$6)/(MAX(((G34)+(I34)*(MAX($D$16,(M97)-(K34))))*(MAX($D$16,(M97)-(K34))),0.000001)*MAX(((((G34)+(I34)*(MAX($D$16,(M97)-(K34))))*(MAX($D$16,(M97)-(K34))))/MAX((G34)+2*(MAX($D$16,(M97)-(K34)))*SQRT(1+(I34)^2),0.000001))^(2/3),0.000001)))^2))/2)+(IF((ABS(I97)/MAX(((G34)+(I34)*(MAX($D$16,(M97)-(K34))))*(MAX($D$16,(M97)-(K34))),0.000001))&gt;(ABS(I97)/MAX(((F34)+(H34)*(MAX($D$16,(E97)-(J34))))*(MAX($D$16,(E97)-(J34))),0.000001)),$D$9*((((ABS(I97)/MAX(((G34)+(I34)*(MAX($D$16,(M97)-(K34))))*(MAX($D$16,(M97)-(K34))),0.000001))^2)/(2*$I$5))-(((ABS(I97)/MAX(((F34)+(H34)*(MAX($D$16,(E97)-(J34))))*(MAX($D$16,(E97)-(J34))),0.000001))^2)/(2*$I$5))),$D$8*((((ABS(I97)/MAX(((F34)+(H34)*(MAX($D$16,(E97)-(J34))))*(MAX($D$16,(E97)-(J34))),0.000001))^2)/(2*$I$5))-(((ABS(I97)/MAX(((G34)+(I34)*(MAX($D$16,(M97)-(K34))))*(MAX($D$16,(M97)-(K34))),0.000001))^2)/(2*$I$5)))))+($D$10*(ABS((X34)-(W34))/90)*MAX(((ABS(I97)/MAX(((F34)+(H34)*(MAX($D$16,(E97)-(J34))))*(MAX($D$16,(E97)-(J34))),0.000001))^2)/(2*$I$5),((ABS(I97)/MAX(((G34)+(I34)*(MAX($D$16,(M97)-(K34))))*(MAX($D$16,(M97)-(K34))),0.000001))^2)/(2*$I$5)))+(0)-((ABS(I97)/MAX(((F34)+(H34)*(MAX($D$16,(E97)-(J34))))*(MAX($D$16,(E97)-(J34))),0.000001))^2)/(2*$I$5)</f>
        <v>635.5</v>
      </c>
      <c r="T97">
        <f>N97+((ABS(J97)/MAX(((G35)+(I35)*(MAX($D$16,(N97)-(K35))))*(MAX($D$16,(N97)-(K35))),0.000001))^2)/(2*$I$5)+((E35)*((((ABS(J97)*$D$6)/(MAX(((F35)+(H35)*(MAX($D$16,(E97)-(J35))))*(MAX($D$16,(E97)-(J35))),0.000001)*MAX(((((F35)+(H35)*(MAX($D$16,(E97)-(J35))))*(MAX($D$16,(E97)-(J35))))/MAX((F35)+2*(MAX($D$16,(E97)-(J35)))*SQRT(1+(H35)^2),0.000001))^(2/3),0.000001)))^2)+(((ABS(J97)*$D$6)/(MAX(((G35)+(I35)*(MAX($D$16,(N97)-(K35))))*(MAX($D$16,(N97)-(K35))),0.000001)*MAX(((((G35)+(I35)*(MAX($D$16,(N97)-(K35))))*(MAX($D$16,(N97)-(K35))))/MAX((G35)+2*(MAX($D$16,(N97)-(K35)))*SQRT(1+(I35)^2),0.000001))^(2/3),0.000001)))^2))/2)+(IF((ABS(J97)/MAX(((G35)+(I35)*(MAX($D$16,(N97)-(K35))))*(MAX($D$16,(N97)-(K35))),0.000001))&gt;(ABS(J97)/MAX(((F35)+(H35)*(MAX($D$16,(E97)-(J35))))*(MAX($D$16,(E97)-(J35))),0.000001)),$D$9*((((ABS(J97)/MAX(((G35)+(I35)*(MAX($D$16,(N97)-(K35))))*(MAX($D$16,(N97)-(K35))),0.000001))^2)/(2*$I$5))-(((ABS(J97)/MAX(((F35)+(H35)*(MAX($D$16,(E97)-(J35))))*(MAX($D$16,(E97)-(J35))),0.000001))^2)/(2*$I$5))),$D$8*((((ABS(J97)/MAX(((F35)+(H35)*(MAX($D$16,(E97)-(J35))))*(MAX($D$16,(E97)-(J35))),0.000001))^2)/(2*$I$5))-(((ABS(J97)/MAX(((G35)+(I35)*(MAX($D$16,(N97)-(K35))))*(MAX($D$16,(N97)-(K35))),0.000001))^2)/(2*$I$5)))))+($D$10*(ABS((X35)-(W35))/90)*MAX(((ABS(J97)/MAX(((F35)+(H35)*(MAX($D$16,(E97)-(J35))))*(MAX($D$16,(E97)-(J35))),0.000001))^2)/(2*$I$5),((ABS(J97)/MAX(((G35)+(I35)*(MAX($D$16,(N97)-(K35))))*(MAX($D$16,(N97)-(K35))),0.000001))^2)/(2*$I$5)))+(($D$11*0.34699541*(ABS(I97)/MAX(ABS(G97),0.000001))^2*MAX(((ABS(J97)/MAX(((F35)+(H35)*(MAX($D$16,(E97)-(J35))))*(MAX($D$16,(E97)-(J35))),0.000001))^2)/(2*$I$5),((ABS(J97)/MAX(((G35)+(I35)*(MAX($D$16,(N97)-(K35))))*(MAX($D$16,(N97)-(K35))),0.000001))^2)/(2*$I$5))))-((ABS(J97)/MAX(((F35)+(H35)*(MAX($D$16,(E97)-(J35))))*(MAX($D$16,(E97)-(J35))),0.000001))^2)/(2*$I$5)</f>
        <v>20784.033523923383</v>
      </c>
      <c r="U97">
        <f>(((((F32)*(MAX($D$16,(D97)-(J32)))^2)/2+(H32)*(MAX($D$16,(D97)-(J32)))^3/3+(ABS(G97)^2)/($I$5*MAX(((F32)+(H32)*(MAX($D$16,(D97)-(J32))))*(MAX($D$16,(D97)-(J32))),0.000001)))*0.72785025)-((((F33)*(MAX($D$16,(D97)-(J33)))^2)/2+(H33)*(MAX($D$16,(D97)-(J33)))^3/3+(ABS(H97)^2)/($I$5*MAX(((F33)+(H33)*(MAX($D$16,(D97)-(J33))))*(MAX($D$16,(D97)-(J33))),0.000001)))*0.99999971))/MAX(((G31)*(MAX($D$16,(D97)-(K31)))^2)/2+(I31)*(MAX($D$16,(D97)-(K31)))^3/3+(ABS(F97)^2)/($I$5*MAX(((G31)+(I31)*(MAX($D$16,(D97)-(K31))))*(MAX($D$16,(D97)-(K31))),0.000001)),0.000001)</f>
        <v>-0.27214945999991125</v>
      </c>
      <c r="V97">
        <f>(((((F34)*(MAX($D$16,(E97)-(J34)))^2)/2+(H34)*(MAX($D$16,(E97)-(J34)))^3/3+(ABS(I97)^2)/($I$5*MAX(((F34)+(H34)*(MAX($D$16,(E97)-(J34))))*(MAX($D$16,(E97)-(J34))),0.000001)))*1)-((((F35)*(MAX($D$16,(E97)-(J35)))^2)/2+(H35)*(MAX($D$16,(E97)-(J35)))^3/3+(ABS(J97)^2)/($I$5*MAX(((F35)+(H35)*(MAX($D$16,(E97)-(J35))))*(MAX($D$16,(E97)-(J35))),0.000001)))*0.30600918))/MAX(((G32)*(MAX($D$16,(E97)-(K32)))^2)/2+(I32)*(MAX($D$16,(E97)-(K32)))^3/3+(ABS(G97)^2)/($I$5*MAX(((G32)+(I32)*(MAX($D$16,(E97)-(K32))))*(MAX($D$16,(E97)-(K32))),0.000001)),0.000001)</f>
        <v>0.69398638937190393</v>
      </c>
      <c r="W97">
        <f>IF(N6="None",ABS(P97-D97),MAX(ABS(P97-D97),ABS(Q97-D97)))</f>
        <v>3.4197000786662102E-10</v>
      </c>
      <c r="X97">
        <f>IF(AND(N7="None",N8="None"),0,IF(N8="None",ABS(S97-E97),IF(N7="None",ABS(T97-E97),MAX(ABS(S97-E97),ABS(T97-E97)))))</f>
        <v>51796.641837660383</v>
      </c>
      <c r="AA97">
        <f t="shared" si="18"/>
        <v>52432.141837660711</v>
      </c>
      <c r="AB97">
        <f t="shared" si="19"/>
        <v>41355.303927852437</v>
      </c>
      <c r="AC97">
        <f>IF(N6="None",P97,MAX(P97,Q97))</f>
        <v>52432.141837660936</v>
      </c>
      <c r="AD97">
        <f>IF(AND(N7="None",N8="None"),E97,IF(N8="None",S97,IF(N7="None",T97,MAX(S97,T97))))</f>
        <v>20784.033523923383</v>
      </c>
      <c r="AE97">
        <f t="shared" si="20"/>
        <v>637.65825101089831</v>
      </c>
      <c r="AF97">
        <f t="shared" si="21"/>
        <v>52432.141837660725</v>
      </c>
      <c r="AG97">
        <f>((G31)*(MAX($D$16,(AC97)-(K31)))^2)/2+(I31)*(MAX($D$16,(AC97)-(K31)))^3/3+(ABS(F97)^2)/($I$5*MAX(((G31)+(I31)*(MAX($D$16,(AC97)-(K31))))*(MAX($D$16,(AC97)-(K31))),0.000001))</f>
        <v>8797611517.411274</v>
      </c>
      <c r="AH97">
        <f>((G31)*(MAX($D$16,(AE97)-(K31)))^2)/2+(I31)*(MAX($D$16,(AE97)-(K31)))^3/3+(ABS(F97)^2)/($I$5*MAX(((G31)+(I31)*(MAX($D$16,(AE97)-(K31))))*(MAX($D$16,(AE97)-(K31))),0.000001))</f>
        <v>49.055863329575246</v>
      </c>
      <c r="AI97">
        <f>((G32)*(MAX($D$16,(AD97)-(K32)))^2)/2+(I32)*(MAX($D$16,(AD97)-(K32)))^3/3+(ABS(G97)^2)/($I$5*MAX(((G32)+(I32)*(MAX($D$16,(AD97)-(K32))))*(MAX($D$16,(AD97)-(K32))),0.000001))</f>
        <v>2072376743.6648321</v>
      </c>
      <c r="AJ97">
        <f>((G32)*(MAX($D$16,(AF97)-(K32)))^2)/2+(I32)*(MAX($D$16,(AF97)-(K32)))^3/3+(ABS(G97)^2)/($I$5*MAX(((G32)+(I32)*(MAX($D$16,(AF97)-(K32))))*(MAX($D$16,(AF97)-(K32))),0.000001))</f>
        <v>13692714789.643414</v>
      </c>
      <c r="AK97" t="str">
        <f t="shared" si="22"/>
        <v>Subcritical</v>
      </c>
      <c r="AL97" t="str">
        <f t="shared" si="23"/>
        <v>Supercritical</v>
      </c>
      <c r="AM97">
        <f t="shared" si="24"/>
        <v>52432.141837660711</v>
      </c>
      <c r="AN97">
        <f t="shared" si="25"/>
        <v>52432.1418376605</v>
      </c>
      <c r="AO97">
        <f t="shared" si="26"/>
        <v>3.4197000786662102E-10</v>
      </c>
      <c r="AP97">
        <f t="shared" si="27"/>
        <v>3.4197000786662102E-10</v>
      </c>
    </row>
    <row r="98" spans="1:42" x14ac:dyDescent="0.35">
      <c r="A98">
        <v>55</v>
      </c>
      <c r="B98">
        <f t="shared" si="28"/>
        <v>0</v>
      </c>
      <c r="C98">
        <f t="shared" si="29"/>
        <v>0</v>
      </c>
      <c r="D98">
        <f t="shared" si="30"/>
        <v>52432.141837660711</v>
      </c>
      <c r="E98">
        <f t="shared" si="31"/>
        <v>52432.1418376605</v>
      </c>
      <c r="F98">
        <f t="shared" si="17"/>
        <v>51</v>
      </c>
      <c r="G98">
        <f>IF(N6="None",F98,MAX(0,F98*B98))</f>
        <v>51</v>
      </c>
      <c r="H98">
        <f>IF(N6="None",0,MAX(0,F98-G98))</f>
        <v>0</v>
      </c>
      <c r="I98">
        <f>IF(AND(N7="None",N8="None"),0,IF(N8="None",G98,IF(N7="None",0,MAX(0,G98*C98))))</f>
        <v>0</v>
      </c>
      <c r="J98">
        <f>IF(AND(N7="None",N8="None"),0,IF(N8="None",0,IF(N7="None",G98,MAX(0,G98-I98))))</f>
        <v>51</v>
      </c>
      <c r="K98">
        <f>P5</f>
        <v>637</v>
      </c>
      <c r="L98">
        <f>P6</f>
        <v>634.3119999999999</v>
      </c>
      <c r="M98">
        <f>P7</f>
        <v>635.5</v>
      </c>
      <c r="N98">
        <f>P8</f>
        <v>631.54999999999995</v>
      </c>
      <c r="O98">
        <f>K98+((ABS(F98)/MAX(((F31)+(H31)*(MAX($D$16,(K98)-(J31))))*(MAX($D$16,(K98)-(J31))),0.000001))^2)/(2*$I$5)-((E31)*((((ABS(F98)*$D$6)/(MAX(((F31)+(H31)*(MAX($D$16,(K98)-(J31))))*(MAX($D$16,(K98)-(J31))),0.000001)*MAX(((((F31)+(H31)*(MAX($D$16,(K98)-(J31))))*(MAX($D$16,(K98)-(J31))))/MAX((F31)+2*(MAX($D$16,(K98)-(J31)))*SQRT(1+(H31)^2),0.000001))^(2/3),0.000001)))^2)+(((ABS(F98)*$D$6)/(MAX(((G31)+(I31)*(MAX($D$16,(D98)-(K31))))*(MAX($D$16,(D98)-(K31))),0.000001)*MAX(((((G31)+(I31)*(MAX($D$16,(D98)-(K31))))*(MAX($D$16,(D98)-(K31))))/MAX((G31)+2*(MAX($D$16,(D98)-(K31)))*SQRT(1+(I31)^2),0.000001))^(2/3),0.000001)))^2))/2)+(IF((ABS(F98)/MAX(((G31)+(I31)*(MAX($D$16,(D98)-(K31))))*(MAX($D$16,(D98)-(K31))),0.000001))&gt;(ABS(F98)/MAX(((F31)+(H31)*(MAX($D$16,(K98)-(J31))))*(MAX($D$16,(K98)-(J31))),0.000001)),$D$9*((((ABS(F98)/MAX(((G31)+(I31)*(MAX($D$16,(D98)-(K31))))*(MAX($D$16,(D98)-(K31))),0.000001))^2)/(2*$I$5))-(((ABS(F98)/MAX(((F31)+(H31)*(MAX($D$16,(K98)-(J31))))*(MAX($D$16,(K98)-(J31))),0.000001))^2)/(2*$I$5))),$D$8*((((ABS(F98)/MAX(((F31)+(H31)*(MAX($D$16,(K98)-(J31))))*(MAX($D$16,(K98)-(J31))),0.000001))^2)/(2*$I$5))-(((ABS(F98)/MAX(((G31)+(I31)*(MAX($D$16,(D98)-(K31))))*(MAX($D$16,(D98)-(K31))),0.000001))^2)/(2*$I$5)))))+($D$10*(ABS((X31)-(W31))/90)*MAX(((ABS(F98)/MAX(((F31)+(H31)*(MAX($D$16,(K98)-(J31))))*(MAX($D$16,(K98)-(J31))),0.000001))^2)/(2*$I$5),((ABS(F98)/MAX(((G31)+(I31)*(MAX($D$16,(D98)-(K31))))*(MAX($D$16,(D98)-(K31))),0.000001))^2)/(2*$I$5)))+(0)-((ABS(F98)/MAX(((G31)+(I31)*(MAX($D$16,(D98)-(K31))))*(MAX($D$16,(D98)-(K31))),0.000001))^2)/(2*$I$5)</f>
        <v>637.65825101089831</v>
      </c>
      <c r="P98">
        <f>E98+((ABS(G98)/MAX(((G32)+(I32)*(MAX($D$16,(E98)-(K32))))*(MAX($D$16,(E98)-(K32))),0.000001))^2)/(2*$I$5)+((E32)*((((ABS(G98)*$D$6)/(MAX(((F32)+(H32)*(MAX($D$16,(D98)-(J32))))*(MAX($D$16,(D98)-(J32))),0.000001)*MAX(((((F32)+(H32)*(MAX($D$16,(D98)-(J32))))*(MAX($D$16,(D98)-(J32))))/MAX((F32)+2*(MAX($D$16,(D98)-(J32)))*SQRT(1+(H32)^2),0.000001))^(2/3),0.000001)))^2)+(((ABS(G98)*$D$6)/(MAX(((G32)+(I32)*(MAX($D$16,(E98)-(K32))))*(MAX($D$16,(E98)-(K32))),0.000001)*MAX(((((G32)+(I32)*(MAX($D$16,(E98)-(K32))))*(MAX($D$16,(E98)-(K32))))/MAX((G32)+2*(MAX($D$16,(E98)-(K32)))*SQRT(1+(I32)^2),0.000001))^(2/3),0.000001)))^2))/2)+(IF((ABS(G98)/MAX(((G32)+(I32)*(MAX($D$16,(E98)-(K32))))*(MAX($D$16,(E98)-(K32))),0.000001))&gt;(ABS(G98)/MAX(((F32)+(H32)*(MAX($D$16,(D98)-(J32))))*(MAX($D$16,(D98)-(J32))),0.000001)),$D$9*((((ABS(G98)/MAX(((G32)+(I32)*(MAX($D$16,(E98)-(K32))))*(MAX($D$16,(E98)-(K32))),0.000001))^2)/(2*$I$5))-(((ABS(G98)/MAX(((F32)+(H32)*(MAX($D$16,(D98)-(J32))))*(MAX($D$16,(D98)-(J32))),0.000001))^2)/(2*$I$5))),$D$8*((((ABS(G98)/MAX(((F32)+(H32)*(MAX($D$16,(D98)-(J32))))*(MAX($D$16,(D98)-(J32))),0.000001))^2)/(2*$I$5))-(((ABS(G98)/MAX(((G32)+(I32)*(MAX($D$16,(E98)-(K32))))*(MAX($D$16,(E98)-(K32))),0.000001))^2)/(2*$I$5)))))+($D$10*(ABS((X32)-(W32))/90)*MAX(((ABS(G98)/MAX(((F32)+(H32)*(MAX($D$16,(D98)-(J32))))*(MAX($D$16,(D98)-(J32))),0.000001))^2)/(2*$I$5),((ABS(G98)/MAX(((G32)+(I32)*(MAX($D$16,(E98)-(K32))))*(MAX($D$16,(E98)-(K32))),0.000001))^2)/(2*$I$5)))+(($D$11*0.13607488*(ABS(H98)/MAX(ABS(F98),0.000001))^2*MAX(((ABS(G98)/MAX(((F32)+(H32)*(MAX($D$16,(D98)-(J32))))*(MAX($D$16,(D98)-(J32))),0.000001))^2)/(2*$I$5),((ABS(G98)/MAX(((G32)+(I32)*(MAX($D$16,(E98)-(K32))))*(MAX($D$16,(E98)-(K32))),0.000001))^2)/(2*$I$5))))-((ABS(G98)/MAX(((F32)+(H32)*(MAX($D$16,(D98)-(J32))))*(MAX($D$16,(D98)-(J32))),0.000001))^2)/(2*$I$5)</f>
        <v>52432.141837661053</v>
      </c>
      <c r="Q98">
        <f>L98+((ABS(H98)/MAX(((G33)+(I33)*(MAX($D$16,(L98)-(K33))))*(MAX($D$16,(L98)-(K33))),0.000001))^2)/(2*$I$5)+((E33)*((((ABS(H98)*$D$6)/(MAX(((F33)+(H33)*(MAX($D$16,(D98)-(J33))))*(MAX($D$16,(D98)-(J33))),0.000001)*MAX(((((F33)+(H33)*(MAX($D$16,(D98)-(J33))))*(MAX($D$16,(D98)-(J33))))/MAX((F33)+2*(MAX($D$16,(D98)-(J33)))*SQRT(1+(H33)^2),0.000001))^(2/3),0.000001)))^2)+(((ABS(H98)*$D$6)/(MAX(((G33)+(I33)*(MAX($D$16,(L98)-(K33))))*(MAX($D$16,(L98)-(K33))),0.000001)*MAX(((((G33)+(I33)*(MAX($D$16,(L98)-(K33))))*(MAX($D$16,(L98)-(K33))))/MAX((G33)+2*(MAX($D$16,(L98)-(K33)))*SQRT(1+(I33)^2),0.000001))^(2/3),0.000001)))^2))/2)+(IF((ABS(H98)/MAX(((G33)+(I33)*(MAX($D$16,(L98)-(K33))))*(MAX($D$16,(L98)-(K33))),0.000001))&gt;(ABS(H98)/MAX(((F33)+(H33)*(MAX($D$16,(D98)-(J33))))*(MAX($D$16,(D98)-(J33))),0.000001)),$D$9*((((ABS(H98)/MAX(((G33)+(I33)*(MAX($D$16,(L98)-(K33))))*(MAX($D$16,(L98)-(K33))),0.000001))^2)/(2*$I$5))-(((ABS(H98)/MAX(((F33)+(H33)*(MAX($D$16,(D98)-(J33))))*(MAX($D$16,(D98)-(J33))),0.000001))^2)/(2*$I$5))),$D$8*((((ABS(H98)/MAX(((F33)+(H33)*(MAX($D$16,(D98)-(J33))))*(MAX($D$16,(D98)-(J33))),0.000001))^2)/(2*$I$5))-(((ABS(H98)/MAX(((G33)+(I33)*(MAX($D$16,(L98)-(K33))))*(MAX($D$16,(L98)-(K33))),0.000001))^2)/(2*$I$5)))))+($D$10*(ABS((X33)-(W33))/90)*MAX(((ABS(H98)/MAX(((F33)+(H33)*(MAX($D$16,(D98)-(J33))))*(MAX($D$16,(D98)-(J33))),0.000001))^2)/(2*$I$5),((ABS(H98)/MAX(((G33)+(I33)*(MAX($D$16,(L98)-(K33))))*(MAX($D$16,(L98)-(K33))),0.000001))^2)/(2*$I$5)))+(($D$11*0.00000015*(ABS(G98)/MAX(ABS(F98),0.000001))^2*MAX(((ABS(H98)/MAX(((F33)+(H33)*(MAX($D$16,(D98)-(J33))))*(MAX($D$16,(D98)-(J33))),0.000001))^2)/(2*$I$5),((ABS(H98)/MAX(((G33)+(I33)*(MAX($D$16,(L98)-(K33))))*(MAX($D$16,(L98)-(K33))),0.000001))^2)/(2*$I$5))))-((ABS(H98)/MAX(((F33)+(H33)*(MAX($D$16,(D98)-(J33))))*(MAX($D$16,(D98)-(J33))),0.000001))^2)/(2*$I$5)</f>
        <v>634.3119999999999</v>
      </c>
      <c r="R98">
        <f>D98+((ABS(G98)/MAX(((F32)+(H32)*(MAX($D$16,(D98)-(J32))))*(MAX($D$16,(D98)-(J32))),0.000001))^2)/(2*$I$5)-((E32)*((((ABS(G98)*$D$6)/(MAX(((F32)+(H32)*(MAX($D$16,(D98)-(J32))))*(MAX($D$16,(D98)-(J32))),0.000001)*MAX(((((F32)+(H32)*(MAX($D$16,(D98)-(J32))))*(MAX($D$16,(D98)-(J32))))/MAX((F32)+2*(MAX($D$16,(D98)-(J32)))*SQRT(1+(H32)^2),0.000001))^(2/3),0.000001)))^2)+(((ABS(G98)*$D$6)/(MAX(((G32)+(I32)*(MAX($D$16,(E98)-(K32))))*(MAX($D$16,(E98)-(K32))),0.000001)*MAX(((((G32)+(I32)*(MAX($D$16,(E98)-(K32))))*(MAX($D$16,(E98)-(K32))))/MAX((G32)+2*(MAX($D$16,(E98)-(K32)))*SQRT(1+(I32)^2),0.000001))^(2/3),0.000001)))^2))/2)+(IF((ABS(G98)/MAX(((G32)+(I32)*(MAX($D$16,(E98)-(K32))))*(MAX($D$16,(E98)-(K32))),0.000001))&gt;(ABS(G98)/MAX(((F32)+(H32)*(MAX($D$16,(D98)-(J32))))*(MAX($D$16,(D98)-(J32))),0.000001)),$D$9*((((ABS(G98)/MAX(((G32)+(I32)*(MAX($D$16,(E98)-(K32))))*(MAX($D$16,(E98)-(K32))),0.000001))^2)/(2*$I$5))-(((ABS(G98)/MAX(((F32)+(H32)*(MAX($D$16,(D98)-(J32))))*(MAX($D$16,(D98)-(J32))),0.000001))^2)/(2*$I$5))),$D$8*((((ABS(G98)/MAX(((F32)+(H32)*(MAX($D$16,(D98)-(J32))))*(MAX($D$16,(D98)-(J32))),0.000001))^2)/(2*$I$5))-(((ABS(G98)/MAX(((G32)+(I32)*(MAX($D$16,(E98)-(K32))))*(MAX($D$16,(E98)-(K32))),0.000001))^2)/(2*$I$5)))))+($D$10*(ABS((X32)-(W32))/90)*MAX(((ABS(G98)/MAX(((F32)+(H32)*(MAX($D$16,(D98)-(J32))))*(MAX($D$16,(D98)-(J32))),0.000001))^2)/(2*$I$5),((ABS(G98)/MAX(((G32)+(I32)*(MAX($D$16,(E98)-(K32))))*(MAX($D$16,(E98)-(K32))),0.000001))^2)/(2*$I$5)))+(($D$11*0.13607488*(ABS(H98)/MAX(ABS(F98),0.000001))^2*MAX(((ABS(G98)/MAX(((F32)+(H32)*(MAX($D$16,(D98)-(J32))))*(MAX($D$16,(D98)-(J32))),0.000001))^2)/(2*$I$5),((ABS(G98)/MAX(((G32)+(I32)*(MAX($D$16,(E98)-(K32))))*(MAX($D$16,(E98)-(K32))),0.000001))^2)/(2*$I$5))))-((ABS(G98)/MAX(((G32)+(I32)*(MAX($D$16,(E98)-(K32))))*(MAX($D$16,(E98)-(K32))),0.000001))^2)/(2*$I$5)</f>
        <v>52432.141837660842</v>
      </c>
      <c r="S98">
        <f>M98+((ABS(I98)/MAX(((G34)+(I34)*(MAX($D$16,(M98)-(K34))))*(MAX($D$16,(M98)-(K34))),0.000001))^2)/(2*$I$5)+((E34)*((((ABS(I98)*$D$6)/(MAX(((F34)+(H34)*(MAX($D$16,(E98)-(J34))))*(MAX($D$16,(E98)-(J34))),0.000001)*MAX(((((F34)+(H34)*(MAX($D$16,(E98)-(J34))))*(MAX($D$16,(E98)-(J34))))/MAX((F34)+2*(MAX($D$16,(E98)-(J34)))*SQRT(1+(H34)^2),0.000001))^(2/3),0.000001)))^2)+(((ABS(I98)*$D$6)/(MAX(((G34)+(I34)*(MAX($D$16,(M98)-(K34))))*(MAX($D$16,(M98)-(K34))),0.000001)*MAX(((((G34)+(I34)*(MAX($D$16,(M98)-(K34))))*(MAX($D$16,(M98)-(K34))))/MAX((G34)+2*(MAX($D$16,(M98)-(K34)))*SQRT(1+(I34)^2),0.000001))^(2/3),0.000001)))^2))/2)+(IF((ABS(I98)/MAX(((G34)+(I34)*(MAX($D$16,(M98)-(K34))))*(MAX($D$16,(M98)-(K34))),0.000001))&gt;(ABS(I98)/MAX(((F34)+(H34)*(MAX($D$16,(E98)-(J34))))*(MAX($D$16,(E98)-(J34))),0.000001)),$D$9*((((ABS(I98)/MAX(((G34)+(I34)*(MAX($D$16,(M98)-(K34))))*(MAX($D$16,(M98)-(K34))),0.000001))^2)/(2*$I$5))-(((ABS(I98)/MAX(((F34)+(H34)*(MAX($D$16,(E98)-(J34))))*(MAX($D$16,(E98)-(J34))),0.000001))^2)/(2*$I$5))),$D$8*((((ABS(I98)/MAX(((F34)+(H34)*(MAX($D$16,(E98)-(J34))))*(MAX($D$16,(E98)-(J34))),0.000001))^2)/(2*$I$5))-(((ABS(I98)/MAX(((G34)+(I34)*(MAX($D$16,(M98)-(K34))))*(MAX($D$16,(M98)-(K34))),0.000001))^2)/(2*$I$5)))))+($D$10*(ABS((X34)-(W34))/90)*MAX(((ABS(I98)/MAX(((F34)+(H34)*(MAX($D$16,(E98)-(J34))))*(MAX($D$16,(E98)-(J34))),0.000001))^2)/(2*$I$5),((ABS(I98)/MAX(((G34)+(I34)*(MAX($D$16,(M98)-(K34))))*(MAX($D$16,(M98)-(K34))),0.000001))^2)/(2*$I$5)))+(0)-((ABS(I98)/MAX(((F34)+(H34)*(MAX($D$16,(E98)-(J34))))*(MAX($D$16,(E98)-(J34))),0.000001))^2)/(2*$I$5)</f>
        <v>635.5</v>
      </c>
      <c r="T98">
        <f>N98+((ABS(J98)/MAX(((G35)+(I35)*(MAX($D$16,(N98)-(K35))))*(MAX($D$16,(N98)-(K35))),0.000001))^2)/(2*$I$5)+((E35)*((((ABS(J98)*$D$6)/(MAX(((F35)+(H35)*(MAX($D$16,(E98)-(J35))))*(MAX($D$16,(E98)-(J35))),0.000001)*MAX(((((F35)+(H35)*(MAX($D$16,(E98)-(J35))))*(MAX($D$16,(E98)-(J35))))/MAX((F35)+2*(MAX($D$16,(E98)-(J35)))*SQRT(1+(H35)^2),0.000001))^(2/3),0.000001)))^2)+(((ABS(J98)*$D$6)/(MAX(((G35)+(I35)*(MAX($D$16,(N98)-(K35))))*(MAX($D$16,(N98)-(K35))),0.000001)*MAX(((((G35)+(I35)*(MAX($D$16,(N98)-(K35))))*(MAX($D$16,(N98)-(K35))))/MAX((G35)+2*(MAX($D$16,(N98)-(K35)))*SQRT(1+(I35)^2),0.000001))^(2/3),0.000001)))^2))/2)+(IF((ABS(J98)/MAX(((G35)+(I35)*(MAX($D$16,(N98)-(K35))))*(MAX($D$16,(N98)-(K35))),0.000001))&gt;(ABS(J98)/MAX(((F35)+(H35)*(MAX($D$16,(E98)-(J35))))*(MAX($D$16,(E98)-(J35))),0.000001)),$D$9*((((ABS(J98)/MAX(((G35)+(I35)*(MAX($D$16,(N98)-(K35))))*(MAX($D$16,(N98)-(K35))),0.000001))^2)/(2*$I$5))-(((ABS(J98)/MAX(((F35)+(H35)*(MAX($D$16,(E98)-(J35))))*(MAX($D$16,(E98)-(J35))),0.000001))^2)/(2*$I$5))),$D$8*((((ABS(J98)/MAX(((F35)+(H35)*(MAX($D$16,(E98)-(J35))))*(MAX($D$16,(E98)-(J35))),0.000001))^2)/(2*$I$5))-(((ABS(J98)/MAX(((G35)+(I35)*(MAX($D$16,(N98)-(K35))))*(MAX($D$16,(N98)-(K35))),0.000001))^2)/(2*$I$5)))))+($D$10*(ABS((X35)-(W35))/90)*MAX(((ABS(J98)/MAX(((F35)+(H35)*(MAX($D$16,(E98)-(J35))))*(MAX($D$16,(E98)-(J35))),0.000001))^2)/(2*$I$5),((ABS(J98)/MAX(((G35)+(I35)*(MAX($D$16,(N98)-(K35))))*(MAX($D$16,(N98)-(K35))),0.000001))^2)/(2*$I$5)))+(($D$11*0.34699541*(ABS(I98)/MAX(ABS(G98),0.000001))^2*MAX(((ABS(J98)/MAX(((F35)+(H35)*(MAX($D$16,(E98)-(J35))))*(MAX($D$16,(E98)-(J35))),0.000001))^2)/(2*$I$5),((ABS(J98)/MAX(((G35)+(I35)*(MAX($D$16,(N98)-(K35))))*(MAX($D$16,(N98)-(K35))),0.000001))^2)/(2*$I$5))))-((ABS(J98)/MAX(((F35)+(H35)*(MAX($D$16,(E98)-(J35))))*(MAX($D$16,(E98)-(J35))),0.000001))^2)/(2*$I$5)</f>
        <v>20784.033523923383</v>
      </c>
      <c r="U98">
        <f>(((((F32)*(MAX($D$16,(D98)-(J32)))^2)/2+(H32)*(MAX($D$16,(D98)-(J32)))^3/3+(ABS(G98)^2)/($I$5*MAX(((F32)+(H32)*(MAX($D$16,(D98)-(J32))))*(MAX($D$16,(D98)-(J32))),0.000001)))*0.72785025)-((((F33)*(MAX($D$16,(D98)-(J33)))^2)/2+(H33)*(MAX($D$16,(D98)-(J33)))^3/3+(ABS(H98)^2)/($I$5*MAX(((F33)+(H33)*(MAX($D$16,(D98)-(J33))))*(MAX($D$16,(D98)-(J33))),0.000001)))*0.99999971))/MAX(((G31)*(MAX($D$16,(D98)-(K31)))^2)/2+(I31)*(MAX($D$16,(D98)-(K31)))^3/3+(ABS(F98)^2)/($I$5*MAX(((G31)+(I31)*(MAX($D$16,(D98)-(K31))))*(MAX($D$16,(D98)-(K31))),0.000001)),0.000001)</f>
        <v>-0.27214945999991119</v>
      </c>
      <c r="V98">
        <f>(((((F34)*(MAX($D$16,(E98)-(J34)))^2)/2+(H34)*(MAX($D$16,(E98)-(J34)))^3/3+(ABS(I98)^2)/($I$5*MAX(((F34)+(H34)*(MAX($D$16,(E98)-(J34))))*(MAX($D$16,(E98)-(J34))),0.000001)))*1)-((((F35)*(MAX($D$16,(E98)-(J35)))^2)/2+(H35)*(MAX($D$16,(E98)-(J35)))^3/3+(ABS(J98)^2)/($I$5*MAX(((F35)+(H35)*(MAX($D$16,(E98)-(J35))))*(MAX($D$16,(E98)-(J35))),0.000001)))*0.30600918))/MAX(((G32)*(MAX($D$16,(E98)-(K32)))^2)/2+(I32)*(MAX($D$16,(E98)-(K32)))^3/3+(ABS(G98)^2)/($I$5*MAX(((G32)+(I32)*(MAX($D$16,(E98)-(K32))))*(MAX($D$16,(E98)-(K32))),0.000001)),0.000001)</f>
        <v>0.69398638937190393</v>
      </c>
      <c r="W98">
        <f>IF(N6="None",ABS(P98-D98),MAX(ABS(P98-D98),ABS(Q98-D98)))</f>
        <v>3.4197000786662102E-10</v>
      </c>
      <c r="X98">
        <f>IF(AND(N7="None",N8="None"),0,IF(N8="None",ABS(S98-E98),IF(N7="None",ABS(T98-E98),MAX(ABS(S98-E98),ABS(T98-E98)))))</f>
        <v>51796.6418376605</v>
      </c>
      <c r="AA98">
        <f t="shared" si="18"/>
        <v>52432.141837660827</v>
      </c>
      <c r="AB98">
        <f t="shared" si="19"/>
        <v>41355.30392785251</v>
      </c>
      <c r="AC98">
        <f>IF(N6="None",P98,MAX(P98,Q98))</f>
        <v>52432.141837661053</v>
      </c>
      <c r="AD98">
        <f>IF(AND(N7="None",N8="None"),E98,IF(N8="None",S98,IF(N7="None",T98,MAX(S98,T98))))</f>
        <v>20784.033523923383</v>
      </c>
      <c r="AE98">
        <f t="shared" si="20"/>
        <v>637.65825101089831</v>
      </c>
      <c r="AF98">
        <f t="shared" si="21"/>
        <v>52432.141837660842</v>
      </c>
      <c r="AG98">
        <f>((G31)*(MAX($D$16,(AC98)-(K31)))^2)/2+(I31)*(MAX($D$16,(AC98)-(K31)))^3/3+(ABS(F98)^2)/($I$5*MAX(((G31)+(I31)*(MAX($D$16,(AC98)-(K31))))*(MAX($D$16,(AC98)-(K31))),0.000001))</f>
        <v>8797611517.411314</v>
      </c>
      <c r="AH98">
        <f>((G31)*(MAX($D$16,(AE98)-(K31)))^2)/2+(I31)*(MAX($D$16,(AE98)-(K31)))^3/3+(ABS(F98)^2)/($I$5*MAX(((G31)+(I31)*(MAX($D$16,(AE98)-(K31))))*(MAX($D$16,(AE98)-(K31))),0.000001))</f>
        <v>49.055863329575246</v>
      </c>
      <c r="AI98">
        <f>((G32)*(MAX($D$16,(AD98)-(K32)))^2)/2+(I32)*(MAX($D$16,(AD98)-(K32)))^3/3+(ABS(G98)^2)/($I$5*MAX(((G32)+(I32)*(MAX($D$16,(AD98)-(K32))))*(MAX($D$16,(AD98)-(K32))),0.000001))</f>
        <v>2072376743.6648321</v>
      </c>
      <c r="AJ98">
        <f>((G32)*(MAX($D$16,(AF98)-(K32)))^2)/2+(I32)*(MAX($D$16,(AF98)-(K32)))^3/3+(ABS(G98)^2)/($I$5*MAX(((G32)+(I32)*(MAX($D$16,(AF98)-(K32))))*(MAX($D$16,(AF98)-(K32))),0.000001))</f>
        <v>13692714789.643475</v>
      </c>
      <c r="AK98" t="str">
        <f t="shared" si="22"/>
        <v>Subcritical</v>
      </c>
      <c r="AL98" t="str">
        <f t="shared" si="23"/>
        <v>Supercritical</v>
      </c>
      <c r="AM98">
        <f t="shared" si="24"/>
        <v>52432.141837660827</v>
      </c>
      <c r="AN98">
        <f t="shared" si="25"/>
        <v>52432.141837660616</v>
      </c>
      <c r="AO98">
        <f t="shared" si="26"/>
        <v>3.4197000786662102E-10</v>
      </c>
      <c r="AP98">
        <f t="shared" si="27"/>
        <v>3.4197000786662102E-10</v>
      </c>
    </row>
    <row r="99" spans="1:42" x14ac:dyDescent="0.35">
      <c r="A99">
        <v>56</v>
      </c>
      <c r="B99">
        <f t="shared" si="28"/>
        <v>0</v>
      </c>
      <c r="C99">
        <f t="shared" si="29"/>
        <v>0</v>
      </c>
      <c r="D99">
        <f t="shared" si="30"/>
        <v>52432.141837660827</v>
      </c>
      <c r="E99">
        <f t="shared" si="31"/>
        <v>52432.141837660616</v>
      </c>
      <c r="F99">
        <f t="shared" si="17"/>
        <v>51</v>
      </c>
      <c r="G99">
        <f>IF(N6="None",F99,MAX(0,F99*B99))</f>
        <v>51</v>
      </c>
      <c r="H99">
        <f>IF(N6="None",0,MAX(0,F99-G99))</f>
        <v>0</v>
      </c>
      <c r="I99">
        <f>IF(AND(N7="None",N8="None"),0,IF(N8="None",G99,IF(N7="None",0,MAX(0,G99*C99))))</f>
        <v>0</v>
      </c>
      <c r="J99">
        <f>IF(AND(N7="None",N8="None"),0,IF(N8="None",0,IF(N7="None",G99,MAX(0,G99-I99))))</f>
        <v>51</v>
      </c>
      <c r="K99">
        <f>P5</f>
        <v>637</v>
      </c>
      <c r="L99">
        <f>P6</f>
        <v>634.3119999999999</v>
      </c>
      <c r="M99">
        <f>P7</f>
        <v>635.5</v>
      </c>
      <c r="N99">
        <f>P8</f>
        <v>631.54999999999995</v>
      </c>
      <c r="O99">
        <f>K99+((ABS(F99)/MAX(((F31)+(H31)*(MAX($D$16,(K99)-(J31))))*(MAX($D$16,(K99)-(J31))),0.000001))^2)/(2*$I$5)-((E31)*((((ABS(F99)*$D$6)/(MAX(((F31)+(H31)*(MAX($D$16,(K99)-(J31))))*(MAX($D$16,(K99)-(J31))),0.000001)*MAX(((((F31)+(H31)*(MAX($D$16,(K99)-(J31))))*(MAX($D$16,(K99)-(J31))))/MAX((F31)+2*(MAX($D$16,(K99)-(J31)))*SQRT(1+(H31)^2),0.000001))^(2/3),0.000001)))^2)+(((ABS(F99)*$D$6)/(MAX(((G31)+(I31)*(MAX($D$16,(D99)-(K31))))*(MAX($D$16,(D99)-(K31))),0.000001)*MAX(((((G31)+(I31)*(MAX($D$16,(D99)-(K31))))*(MAX($D$16,(D99)-(K31))))/MAX((G31)+2*(MAX($D$16,(D99)-(K31)))*SQRT(1+(I31)^2),0.000001))^(2/3),0.000001)))^2))/2)+(IF((ABS(F99)/MAX(((G31)+(I31)*(MAX($D$16,(D99)-(K31))))*(MAX($D$16,(D99)-(K31))),0.000001))&gt;(ABS(F99)/MAX(((F31)+(H31)*(MAX($D$16,(K99)-(J31))))*(MAX($D$16,(K99)-(J31))),0.000001)),$D$9*((((ABS(F99)/MAX(((G31)+(I31)*(MAX($D$16,(D99)-(K31))))*(MAX($D$16,(D99)-(K31))),0.000001))^2)/(2*$I$5))-(((ABS(F99)/MAX(((F31)+(H31)*(MAX($D$16,(K99)-(J31))))*(MAX($D$16,(K99)-(J31))),0.000001))^2)/(2*$I$5))),$D$8*((((ABS(F99)/MAX(((F31)+(H31)*(MAX($D$16,(K99)-(J31))))*(MAX($D$16,(K99)-(J31))),0.000001))^2)/(2*$I$5))-(((ABS(F99)/MAX(((G31)+(I31)*(MAX($D$16,(D99)-(K31))))*(MAX($D$16,(D99)-(K31))),0.000001))^2)/(2*$I$5)))))+($D$10*(ABS((X31)-(W31))/90)*MAX(((ABS(F99)/MAX(((F31)+(H31)*(MAX($D$16,(K99)-(J31))))*(MAX($D$16,(K99)-(J31))),0.000001))^2)/(2*$I$5),((ABS(F99)/MAX(((G31)+(I31)*(MAX($D$16,(D99)-(K31))))*(MAX($D$16,(D99)-(K31))),0.000001))^2)/(2*$I$5)))+(0)-((ABS(F99)/MAX(((G31)+(I31)*(MAX($D$16,(D99)-(K31))))*(MAX($D$16,(D99)-(K31))),0.000001))^2)/(2*$I$5)</f>
        <v>637.65825101089831</v>
      </c>
      <c r="P99">
        <f>E99+((ABS(G99)/MAX(((G32)+(I32)*(MAX($D$16,(E99)-(K32))))*(MAX($D$16,(E99)-(K32))),0.000001))^2)/(2*$I$5)+((E32)*((((ABS(G99)*$D$6)/(MAX(((F32)+(H32)*(MAX($D$16,(D99)-(J32))))*(MAX($D$16,(D99)-(J32))),0.000001)*MAX(((((F32)+(H32)*(MAX($D$16,(D99)-(J32))))*(MAX($D$16,(D99)-(J32))))/MAX((F32)+2*(MAX($D$16,(D99)-(J32)))*SQRT(1+(H32)^2),0.000001))^(2/3),0.000001)))^2)+(((ABS(G99)*$D$6)/(MAX(((G32)+(I32)*(MAX($D$16,(E99)-(K32))))*(MAX($D$16,(E99)-(K32))),0.000001)*MAX(((((G32)+(I32)*(MAX($D$16,(E99)-(K32))))*(MAX($D$16,(E99)-(K32))))/MAX((G32)+2*(MAX($D$16,(E99)-(K32)))*SQRT(1+(I32)^2),0.000001))^(2/3),0.000001)))^2))/2)+(IF((ABS(G99)/MAX(((G32)+(I32)*(MAX($D$16,(E99)-(K32))))*(MAX($D$16,(E99)-(K32))),0.000001))&gt;(ABS(G99)/MAX(((F32)+(H32)*(MAX($D$16,(D99)-(J32))))*(MAX($D$16,(D99)-(J32))),0.000001)),$D$9*((((ABS(G99)/MAX(((G32)+(I32)*(MAX($D$16,(E99)-(K32))))*(MAX($D$16,(E99)-(K32))),0.000001))^2)/(2*$I$5))-(((ABS(G99)/MAX(((F32)+(H32)*(MAX($D$16,(D99)-(J32))))*(MAX($D$16,(D99)-(J32))),0.000001))^2)/(2*$I$5))),$D$8*((((ABS(G99)/MAX(((F32)+(H32)*(MAX($D$16,(D99)-(J32))))*(MAX($D$16,(D99)-(J32))),0.000001))^2)/(2*$I$5))-(((ABS(G99)/MAX(((G32)+(I32)*(MAX($D$16,(E99)-(K32))))*(MAX($D$16,(E99)-(K32))),0.000001))^2)/(2*$I$5)))))+($D$10*(ABS((X32)-(W32))/90)*MAX(((ABS(G99)/MAX(((F32)+(H32)*(MAX($D$16,(D99)-(J32))))*(MAX($D$16,(D99)-(J32))),0.000001))^2)/(2*$I$5),((ABS(G99)/MAX(((G32)+(I32)*(MAX($D$16,(E99)-(K32))))*(MAX($D$16,(E99)-(K32))),0.000001))^2)/(2*$I$5)))+(($D$11*0.13607488*(ABS(H99)/MAX(ABS(F99),0.000001))^2*MAX(((ABS(G99)/MAX(((F32)+(H32)*(MAX($D$16,(D99)-(J32))))*(MAX($D$16,(D99)-(J32))),0.000001))^2)/(2*$I$5),((ABS(G99)/MAX(((G32)+(I32)*(MAX($D$16,(E99)-(K32))))*(MAX($D$16,(E99)-(K32))),0.000001))^2)/(2*$I$5))))-((ABS(G99)/MAX(((F32)+(H32)*(MAX($D$16,(D99)-(J32))))*(MAX($D$16,(D99)-(J32))),0.000001))^2)/(2*$I$5)</f>
        <v>52432.141837661169</v>
      </c>
      <c r="Q99">
        <f>L99+((ABS(H99)/MAX(((G33)+(I33)*(MAX($D$16,(L99)-(K33))))*(MAX($D$16,(L99)-(K33))),0.000001))^2)/(2*$I$5)+((E33)*((((ABS(H99)*$D$6)/(MAX(((F33)+(H33)*(MAX($D$16,(D99)-(J33))))*(MAX($D$16,(D99)-(J33))),0.000001)*MAX(((((F33)+(H33)*(MAX($D$16,(D99)-(J33))))*(MAX($D$16,(D99)-(J33))))/MAX((F33)+2*(MAX($D$16,(D99)-(J33)))*SQRT(1+(H33)^2),0.000001))^(2/3),0.000001)))^2)+(((ABS(H99)*$D$6)/(MAX(((G33)+(I33)*(MAX($D$16,(L99)-(K33))))*(MAX($D$16,(L99)-(K33))),0.000001)*MAX(((((G33)+(I33)*(MAX($D$16,(L99)-(K33))))*(MAX($D$16,(L99)-(K33))))/MAX((G33)+2*(MAX($D$16,(L99)-(K33)))*SQRT(1+(I33)^2),0.000001))^(2/3),0.000001)))^2))/2)+(IF((ABS(H99)/MAX(((G33)+(I33)*(MAX($D$16,(L99)-(K33))))*(MAX($D$16,(L99)-(K33))),0.000001))&gt;(ABS(H99)/MAX(((F33)+(H33)*(MAX($D$16,(D99)-(J33))))*(MAX($D$16,(D99)-(J33))),0.000001)),$D$9*((((ABS(H99)/MAX(((G33)+(I33)*(MAX($D$16,(L99)-(K33))))*(MAX($D$16,(L99)-(K33))),0.000001))^2)/(2*$I$5))-(((ABS(H99)/MAX(((F33)+(H33)*(MAX($D$16,(D99)-(J33))))*(MAX($D$16,(D99)-(J33))),0.000001))^2)/(2*$I$5))),$D$8*((((ABS(H99)/MAX(((F33)+(H33)*(MAX($D$16,(D99)-(J33))))*(MAX($D$16,(D99)-(J33))),0.000001))^2)/(2*$I$5))-(((ABS(H99)/MAX(((G33)+(I33)*(MAX($D$16,(L99)-(K33))))*(MAX($D$16,(L99)-(K33))),0.000001))^2)/(2*$I$5)))))+($D$10*(ABS((X33)-(W33))/90)*MAX(((ABS(H99)/MAX(((F33)+(H33)*(MAX($D$16,(D99)-(J33))))*(MAX($D$16,(D99)-(J33))),0.000001))^2)/(2*$I$5),((ABS(H99)/MAX(((G33)+(I33)*(MAX($D$16,(L99)-(K33))))*(MAX($D$16,(L99)-(K33))),0.000001))^2)/(2*$I$5)))+(($D$11*0.00000015*(ABS(G99)/MAX(ABS(F99),0.000001))^2*MAX(((ABS(H99)/MAX(((F33)+(H33)*(MAX($D$16,(D99)-(J33))))*(MAX($D$16,(D99)-(J33))),0.000001))^2)/(2*$I$5),((ABS(H99)/MAX(((G33)+(I33)*(MAX($D$16,(L99)-(K33))))*(MAX($D$16,(L99)-(K33))),0.000001))^2)/(2*$I$5))))-((ABS(H99)/MAX(((F33)+(H33)*(MAX($D$16,(D99)-(J33))))*(MAX($D$16,(D99)-(J33))),0.000001))^2)/(2*$I$5)</f>
        <v>634.3119999999999</v>
      </c>
      <c r="R99">
        <f>D99+((ABS(G99)/MAX(((F32)+(H32)*(MAX($D$16,(D99)-(J32))))*(MAX($D$16,(D99)-(J32))),0.000001))^2)/(2*$I$5)-((E32)*((((ABS(G99)*$D$6)/(MAX(((F32)+(H32)*(MAX($D$16,(D99)-(J32))))*(MAX($D$16,(D99)-(J32))),0.000001)*MAX(((((F32)+(H32)*(MAX($D$16,(D99)-(J32))))*(MAX($D$16,(D99)-(J32))))/MAX((F32)+2*(MAX($D$16,(D99)-(J32)))*SQRT(1+(H32)^2),0.000001))^(2/3),0.000001)))^2)+(((ABS(G99)*$D$6)/(MAX(((G32)+(I32)*(MAX($D$16,(E99)-(K32))))*(MAX($D$16,(E99)-(K32))),0.000001)*MAX(((((G32)+(I32)*(MAX($D$16,(E99)-(K32))))*(MAX($D$16,(E99)-(K32))))/MAX((G32)+2*(MAX($D$16,(E99)-(K32)))*SQRT(1+(I32)^2),0.000001))^(2/3),0.000001)))^2))/2)+(IF((ABS(G99)/MAX(((G32)+(I32)*(MAX($D$16,(E99)-(K32))))*(MAX($D$16,(E99)-(K32))),0.000001))&gt;(ABS(G99)/MAX(((F32)+(H32)*(MAX($D$16,(D99)-(J32))))*(MAX($D$16,(D99)-(J32))),0.000001)),$D$9*((((ABS(G99)/MAX(((G32)+(I32)*(MAX($D$16,(E99)-(K32))))*(MAX($D$16,(E99)-(K32))),0.000001))^2)/(2*$I$5))-(((ABS(G99)/MAX(((F32)+(H32)*(MAX($D$16,(D99)-(J32))))*(MAX($D$16,(D99)-(J32))),0.000001))^2)/(2*$I$5))),$D$8*((((ABS(G99)/MAX(((F32)+(H32)*(MAX($D$16,(D99)-(J32))))*(MAX($D$16,(D99)-(J32))),0.000001))^2)/(2*$I$5))-(((ABS(G99)/MAX(((G32)+(I32)*(MAX($D$16,(E99)-(K32))))*(MAX($D$16,(E99)-(K32))),0.000001))^2)/(2*$I$5)))))+($D$10*(ABS((X32)-(W32))/90)*MAX(((ABS(G99)/MAX(((F32)+(H32)*(MAX($D$16,(D99)-(J32))))*(MAX($D$16,(D99)-(J32))),0.000001))^2)/(2*$I$5),((ABS(G99)/MAX(((G32)+(I32)*(MAX($D$16,(E99)-(K32))))*(MAX($D$16,(E99)-(K32))),0.000001))^2)/(2*$I$5)))+(($D$11*0.13607488*(ABS(H99)/MAX(ABS(F99),0.000001))^2*MAX(((ABS(G99)/MAX(((F32)+(H32)*(MAX($D$16,(D99)-(J32))))*(MAX($D$16,(D99)-(J32))),0.000001))^2)/(2*$I$5),((ABS(G99)/MAX(((G32)+(I32)*(MAX($D$16,(E99)-(K32))))*(MAX($D$16,(E99)-(K32))),0.000001))^2)/(2*$I$5))))-((ABS(G99)/MAX(((G32)+(I32)*(MAX($D$16,(E99)-(K32))))*(MAX($D$16,(E99)-(K32))),0.000001))^2)/(2*$I$5)</f>
        <v>52432.141837660958</v>
      </c>
      <c r="S99">
        <f>M99+((ABS(I99)/MAX(((G34)+(I34)*(MAX($D$16,(M99)-(K34))))*(MAX($D$16,(M99)-(K34))),0.000001))^2)/(2*$I$5)+((E34)*((((ABS(I99)*$D$6)/(MAX(((F34)+(H34)*(MAX($D$16,(E99)-(J34))))*(MAX($D$16,(E99)-(J34))),0.000001)*MAX(((((F34)+(H34)*(MAX($D$16,(E99)-(J34))))*(MAX($D$16,(E99)-(J34))))/MAX((F34)+2*(MAX($D$16,(E99)-(J34)))*SQRT(1+(H34)^2),0.000001))^(2/3),0.000001)))^2)+(((ABS(I99)*$D$6)/(MAX(((G34)+(I34)*(MAX($D$16,(M99)-(K34))))*(MAX($D$16,(M99)-(K34))),0.000001)*MAX(((((G34)+(I34)*(MAX($D$16,(M99)-(K34))))*(MAX($D$16,(M99)-(K34))))/MAX((G34)+2*(MAX($D$16,(M99)-(K34)))*SQRT(1+(I34)^2),0.000001))^(2/3),0.000001)))^2))/2)+(IF((ABS(I99)/MAX(((G34)+(I34)*(MAX($D$16,(M99)-(K34))))*(MAX($D$16,(M99)-(K34))),0.000001))&gt;(ABS(I99)/MAX(((F34)+(H34)*(MAX($D$16,(E99)-(J34))))*(MAX($D$16,(E99)-(J34))),0.000001)),$D$9*((((ABS(I99)/MAX(((G34)+(I34)*(MAX($D$16,(M99)-(K34))))*(MAX($D$16,(M99)-(K34))),0.000001))^2)/(2*$I$5))-(((ABS(I99)/MAX(((F34)+(H34)*(MAX($D$16,(E99)-(J34))))*(MAX($D$16,(E99)-(J34))),0.000001))^2)/(2*$I$5))),$D$8*((((ABS(I99)/MAX(((F34)+(H34)*(MAX($D$16,(E99)-(J34))))*(MAX($D$16,(E99)-(J34))),0.000001))^2)/(2*$I$5))-(((ABS(I99)/MAX(((G34)+(I34)*(MAX($D$16,(M99)-(K34))))*(MAX($D$16,(M99)-(K34))),0.000001))^2)/(2*$I$5)))))+($D$10*(ABS((X34)-(W34))/90)*MAX(((ABS(I99)/MAX(((F34)+(H34)*(MAX($D$16,(E99)-(J34))))*(MAX($D$16,(E99)-(J34))),0.000001))^2)/(2*$I$5),((ABS(I99)/MAX(((G34)+(I34)*(MAX($D$16,(M99)-(K34))))*(MAX($D$16,(M99)-(K34))),0.000001))^2)/(2*$I$5)))+(0)-((ABS(I99)/MAX(((F34)+(H34)*(MAX($D$16,(E99)-(J34))))*(MAX($D$16,(E99)-(J34))),0.000001))^2)/(2*$I$5)</f>
        <v>635.5</v>
      </c>
      <c r="T99">
        <f>N99+((ABS(J99)/MAX(((G35)+(I35)*(MAX($D$16,(N99)-(K35))))*(MAX($D$16,(N99)-(K35))),0.000001))^2)/(2*$I$5)+((E35)*((((ABS(J99)*$D$6)/(MAX(((F35)+(H35)*(MAX($D$16,(E99)-(J35))))*(MAX($D$16,(E99)-(J35))),0.000001)*MAX(((((F35)+(H35)*(MAX($D$16,(E99)-(J35))))*(MAX($D$16,(E99)-(J35))))/MAX((F35)+2*(MAX($D$16,(E99)-(J35)))*SQRT(1+(H35)^2),0.000001))^(2/3),0.000001)))^2)+(((ABS(J99)*$D$6)/(MAX(((G35)+(I35)*(MAX($D$16,(N99)-(K35))))*(MAX($D$16,(N99)-(K35))),0.000001)*MAX(((((G35)+(I35)*(MAX($D$16,(N99)-(K35))))*(MAX($D$16,(N99)-(K35))))/MAX((G35)+2*(MAX($D$16,(N99)-(K35)))*SQRT(1+(I35)^2),0.000001))^(2/3),0.000001)))^2))/2)+(IF((ABS(J99)/MAX(((G35)+(I35)*(MAX($D$16,(N99)-(K35))))*(MAX($D$16,(N99)-(K35))),0.000001))&gt;(ABS(J99)/MAX(((F35)+(H35)*(MAX($D$16,(E99)-(J35))))*(MAX($D$16,(E99)-(J35))),0.000001)),$D$9*((((ABS(J99)/MAX(((G35)+(I35)*(MAX($D$16,(N99)-(K35))))*(MAX($D$16,(N99)-(K35))),0.000001))^2)/(2*$I$5))-(((ABS(J99)/MAX(((F35)+(H35)*(MAX($D$16,(E99)-(J35))))*(MAX($D$16,(E99)-(J35))),0.000001))^2)/(2*$I$5))),$D$8*((((ABS(J99)/MAX(((F35)+(H35)*(MAX($D$16,(E99)-(J35))))*(MAX($D$16,(E99)-(J35))),0.000001))^2)/(2*$I$5))-(((ABS(J99)/MAX(((G35)+(I35)*(MAX($D$16,(N99)-(K35))))*(MAX($D$16,(N99)-(K35))),0.000001))^2)/(2*$I$5)))))+($D$10*(ABS((X35)-(W35))/90)*MAX(((ABS(J99)/MAX(((F35)+(H35)*(MAX($D$16,(E99)-(J35))))*(MAX($D$16,(E99)-(J35))),0.000001))^2)/(2*$I$5),((ABS(J99)/MAX(((G35)+(I35)*(MAX($D$16,(N99)-(K35))))*(MAX($D$16,(N99)-(K35))),0.000001))^2)/(2*$I$5)))+(($D$11*0.34699541*(ABS(I99)/MAX(ABS(G99),0.000001))^2*MAX(((ABS(J99)/MAX(((F35)+(H35)*(MAX($D$16,(E99)-(J35))))*(MAX($D$16,(E99)-(J35))),0.000001))^2)/(2*$I$5),((ABS(J99)/MAX(((G35)+(I35)*(MAX($D$16,(N99)-(K35))))*(MAX($D$16,(N99)-(K35))),0.000001))^2)/(2*$I$5))))-((ABS(J99)/MAX(((F35)+(H35)*(MAX($D$16,(E99)-(J35))))*(MAX($D$16,(E99)-(J35))),0.000001))^2)/(2*$I$5)</f>
        <v>20784.033523923383</v>
      </c>
      <c r="U99">
        <f>(((((F32)*(MAX($D$16,(D99)-(J32)))^2)/2+(H32)*(MAX($D$16,(D99)-(J32)))^3/3+(ABS(G99)^2)/($I$5*MAX(((F32)+(H32)*(MAX($D$16,(D99)-(J32))))*(MAX($D$16,(D99)-(J32))),0.000001)))*0.72785025)-((((F33)*(MAX($D$16,(D99)-(J33)))^2)/2+(H33)*(MAX($D$16,(D99)-(J33)))^3/3+(ABS(H99)^2)/($I$5*MAX(((F33)+(H33)*(MAX($D$16,(D99)-(J33))))*(MAX($D$16,(D99)-(J33))),0.000001)))*0.99999971))/MAX(((G31)*(MAX($D$16,(D99)-(K31)))^2)/2+(I31)*(MAX($D$16,(D99)-(K31)))^3/3+(ABS(F99)^2)/($I$5*MAX(((G31)+(I31)*(MAX($D$16,(D99)-(K31))))*(MAX($D$16,(D99)-(K31))),0.000001)),0.000001)</f>
        <v>-0.27214945999991125</v>
      </c>
      <c r="V99">
        <f>(((((F34)*(MAX($D$16,(E99)-(J34)))^2)/2+(H34)*(MAX($D$16,(E99)-(J34)))^3/3+(ABS(I99)^2)/($I$5*MAX(((F34)+(H34)*(MAX($D$16,(E99)-(J34))))*(MAX($D$16,(E99)-(J34))),0.000001)))*1)-((((F35)*(MAX($D$16,(E99)-(J35)))^2)/2+(H35)*(MAX($D$16,(E99)-(J35)))^3/3+(ABS(J99)^2)/($I$5*MAX(((F35)+(H35)*(MAX($D$16,(E99)-(J35))))*(MAX($D$16,(E99)-(J35))),0.000001)))*0.30600918))/MAX(((G32)*(MAX($D$16,(E99)-(K32)))^2)/2+(I32)*(MAX($D$16,(E99)-(K32)))^3/3+(ABS(G99)^2)/($I$5*MAX(((G32)+(I32)*(MAX($D$16,(E99)-(K32))))*(MAX($D$16,(E99)-(K32))),0.000001)),0.000001)</f>
        <v>0.69398638937190393</v>
      </c>
      <c r="W99">
        <f>IF(N6="None",ABS(P99-D99),MAX(ABS(P99-D99),ABS(Q99-D99)))</f>
        <v>3.4197000786662102E-10</v>
      </c>
      <c r="X99">
        <f>IF(AND(N7="None",N8="None"),0,IF(N8="None",ABS(S99-E99),IF(N7="None",ABS(T99-E99),MAX(ABS(S99-E99),ABS(T99-E99)))))</f>
        <v>51796.641837660616</v>
      </c>
      <c r="AA99">
        <f t="shared" si="18"/>
        <v>52432.141837660944</v>
      </c>
      <c r="AB99">
        <f t="shared" si="19"/>
        <v>41355.303927852583</v>
      </c>
      <c r="AC99">
        <f>IF(N6="None",P99,MAX(P99,Q99))</f>
        <v>52432.141837661169</v>
      </c>
      <c r="AD99">
        <f>IF(AND(N7="None",N8="None"),E99,IF(N8="None",S99,IF(N7="None",T99,MAX(S99,T99))))</f>
        <v>20784.033523923383</v>
      </c>
      <c r="AE99">
        <f t="shared" si="20"/>
        <v>637.65825101089831</v>
      </c>
      <c r="AF99">
        <f t="shared" si="21"/>
        <v>52432.141837660958</v>
      </c>
      <c r="AG99">
        <f>((G31)*(MAX($D$16,(AC99)-(K31)))^2)/2+(I31)*(MAX($D$16,(AC99)-(K31)))^3/3+(ABS(F99)^2)/($I$5*MAX(((G31)+(I31)*(MAX($D$16,(AC99)-(K31))))*(MAX($D$16,(AC99)-(K31))),0.000001))</f>
        <v>8797611517.4113541</v>
      </c>
      <c r="AH99">
        <f>((G31)*(MAX($D$16,(AE99)-(K31)))^2)/2+(I31)*(MAX($D$16,(AE99)-(K31)))^3/3+(ABS(F99)^2)/($I$5*MAX(((G31)+(I31)*(MAX($D$16,(AE99)-(K31))))*(MAX($D$16,(AE99)-(K31))),0.000001))</f>
        <v>49.055863329575246</v>
      </c>
      <c r="AI99">
        <f>((G32)*(MAX($D$16,(AD99)-(K32)))^2)/2+(I32)*(MAX($D$16,(AD99)-(K32)))^3/3+(ABS(G99)^2)/($I$5*MAX(((G32)+(I32)*(MAX($D$16,(AD99)-(K32))))*(MAX($D$16,(AD99)-(K32))),0.000001))</f>
        <v>2072376743.6648321</v>
      </c>
      <c r="AJ99">
        <f>((G32)*(MAX($D$16,(AF99)-(K32)))^2)/2+(I32)*(MAX($D$16,(AF99)-(K32)))^3/3+(ABS(G99)^2)/($I$5*MAX(((G32)+(I32)*(MAX($D$16,(AF99)-(K32))))*(MAX($D$16,(AF99)-(K32))),0.000001))</f>
        <v>13692714789.643536</v>
      </c>
      <c r="AK99" t="str">
        <f t="shared" si="22"/>
        <v>Subcritical</v>
      </c>
      <c r="AL99" t="str">
        <f t="shared" si="23"/>
        <v>Supercritical</v>
      </c>
      <c r="AM99">
        <f t="shared" si="24"/>
        <v>52432.141837660944</v>
      </c>
      <c r="AN99">
        <f t="shared" si="25"/>
        <v>52432.141837660733</v>
      </c>
      <c r="AO99">
        <f t="shared" si="26"/>
        <v>3.4197000786662102E-10</v>
      </c>
      <c r="AP99">
        <f t="shared" si="27"/>
        <v>3.4197000786662102E-10</v>
      </c>
    </row>
    <row r="100" spans="1:42" x14ac:dyDescent="0.35">
      <c r="A100">
        <v>57</v>
      </c>
      <c r="B100">
        <f t="shared" si="28"/>
        <v>0</v>
      </c>
      <c r="C100">
        <f t="shared" si="29"/>
        <v>0</v>
      </c>
      <c r="D100">
        <f t="shared" si="30"/>
        <v>52432.141837660944</v>
      </c>
      <c r="E100">
        <f t="shared" si="31"/>
        <v>52432.141837660733</v>
      </c>
      <c r="F100">
        <f t="shared" si="17"/>
        <v>51</v>
      </c>
      <c r="G100">
        <f>IF(N6="None",F100,MAX(0,F100*B100))</f>
        <v>51</v>
      </c>
      <c r="H100">
        <f>IF(N6="None",0,MAX(0,F100-G100))</f>
        <v>0</v>
      </c>
      <c r="I100">
        <f>IF(AND(N7="None",N8="None"),0,IF(N8="None",G100,IF(N7="None",0,MAX(0,G100*C100))))</f>
        <v>0</v>
      </c>
      <c r="J100">
        <f>IF(AND(N7="None",N8="None"),0,IF(N8="None",0,IF(N7="None",G100,MAX(0,G100-I100))))</f>
        <v>51</v>
      </c>
      <c r="K100">
        <f>P5</f>
        <v>637</v>
      </c>
      <c r="L100">
        <f>P6</f>
        <v>634.3119999999999</v>
      </c>
      <c r="M100">
        <f>P7</f>
        <v>635.5</v>
      </c>
      <c r="N100">
        <f>P8</f>
        <v>631.54999999999995</v>
      </c>
      <c r="O100">
        <f>K100+((ABS(F100)/MAX(((F31)+(H31)*(MAX($D$16,(K100)-(J31))))*(MAX($D$16,(K100)-(J31))),0.000001))^2)/(2*$I$5)-((E31)*((((ABS(F100)*$D$6)/(MAX(((F31)+(H31)*(MAX($D$16,(K100)-(J31))))*(MAX($D$16,(K100)-(J31))),0.000001)*MAX(((((F31)+(H31)*(MAX($D$16,(K100)-(J31))))*(MAX($D$16,(K100)-(J31))))/MAX((F31)+2*(MAX($D$16,(K100)-(J31)))*SQRT(1+(H31)^2),0.000001))^(2/3),0.000001)))^2)+(((ABS(F100)*$D$6)/(MAX(((G31)+(I31)*(MAX($D$16,(D100)-(K31))))*(MAX($D$16,(D100)-(K31))),0.000001)*MAX(((((G31)+(I31)*(MAX($D$16,(D100)-(K31))))*(MAX($D$16,(D100)-(K31))))/MAX((G31)+2*(MAX($D$16,(D100)-(K31)))*SQRT(1+(I31)^2),0.000001))^(2/3),0.000001)))^2))/2)+(IF((ABS(F100)/MAX(((G31)+(I31)*(MAX($D$16,(D100)-(K31))))*(MAX($D$16,(D100)-(K31))),0.000001))&gt;(ABS(F100)/MAX(((F31)+(H31)*(MAX($D$16,(K100)-(J31))))*(MAX($D$16,(K100)-(J31))),0.000001)),$D$9*((((ABS(F100)/MAX(((G31)+(I31)*(MAX($D$16,(D100)-(K31))))*(MAX($D$16,(D100)-(K31))),0.000001))^2)/(2*$I$5))-(((ABS(F100)/MAX(((F31)+(H31)*(MAX($D$16,(K100)-(J31))))*(MAX($D$16,(K100)-(J31))),0.000001))^2)/(2*$I$5))),$D$8*((((ABS(F100)/MAX(((F31)+(H31)*(MAX($D$16,(K100)-(J31))))*(MAX($D$16,(K100)-(J31))),0.000001))^2)/(2*$I$5))-(((ABS(F100)/MAX(((G31)+(I31)*(MAX($D$16,(D100)-(K31))))*(MAX($D$16,(D100)-(K31))),0.000001))^2)/(2*$I$5)))))+($D$10*(ABS((X31)-(W31))/90)*MAX(((ABS(F100)/MAX(((F31)+(H31)*(MAX($D$16,(K100)-(J31))))*(MAX($D$16,(K100)-(J31))),0.000001))^2)/(2*$I$5),((ABS(F100)/MAX(((G31)+(I31)*(MAX($D$16,(D100)-(K31))))*(MAX($D$16,(D100)-(K31))),0.000001))^2)/(2*$I$5)))+(0)-((ABS(F100)/MAX(((G31)+(I31)*(MAX($D$16,(D100)-(K31))))*(MAX($D$16,(D100)-(K31))),0.000001))^2)/(2*$I$5)</f>
        <v>637.65825101089831</v>
      </c>
      <c r="P100">
        <f>E100+((ABS(G100)/MAX(((G32)+(I32)*(MAX($D$16,(E100)-(K32))))*(MAX($D$16,(E100)-(K32))),0.000001))^2)/(2*$I$5)+((E32)*((((ABS(G100)*$D$6)/(MAX(((F32)+(H32)*(MAX($D$16,(D100)-(J32))))*(MAX($D$16,(D100)-(J32))),0.000001)*MAX(((((F32)+(H32)*(MAX($D$16,(D100)-(J32))))*(MAX($D$16,(D100)-(J32))))/MAX((F32)+2*(MAX($D$16,(D100)-(J32)))*SQRT(1+(H32)^2),0.000001))^(2/3),0.000001)))^2)+(((ABS(G100)*$D$6)/(MAX(((G32)+(I32)*(MAX($D$16,(E100)-(K32))))*(MAX($D$16,(E100)-(K32))),0.000001)*MAX(((((G32)+(I32)*(MAX($D$16,(E100)-(K32))))*(MAX($D$16,(E100)-(K32))))/MAX((G32)+2*(MAX($D$16,(E100)-(K32)))*SQRT(1+(I32)^2),0.000001))^(2/3),0.000001)))^2))/2)+(IF((ABS(G100)/MAX(((G32)+(I32)*(MAX($D$16,(E100)-(K32))))*(MAX($D$16,(E100)-(K32))),0.000001))&gt;(ABS(G100)/MAX(((F32)+(H32)*(MAX($D$16,(D100)-(J32))))*(MAX($D$16,(D100)-(J32))),0.000001)),$D$9*((((ABS(G100)/MAX(((G32)+(I32)*(MAX($D$16,(E100)-(K32))))*(MAX($D$16,(E100)-(K32))),0.000001))^2)/(2*$I$5))-(((ABS(G100)/MAX(((F32)+(H32)*(MAX($D$16,(D100)-(J32))))*(MAX($D$16,(D100)-(J32))),0.000001))^2)/(2*$I$5))),$D$8*((((ABS(G100)/MAX(((F32)+(H32)*(MAX($D$16,(D100)-(J32))))*(MAX($D$16,(D100)-(J32))),0.000001))^2)/(2*$I$5))-(((ABS(G100)/MAX(((G32)+(I32)*(MAX($D$16,(E100)-(K32))))*(MAX($D$16,(E100)-(K32))),0.000001))^2)/(2*$I$5)))))+($D$10*(ABS((X32)-(W32))/90)*MAX(((ABS(G100)/MAX(((F32)+(H32)*(MAX($D$16,(D100)-(J32))))*(MAX($D$16,(D100)-(J32))),0.000001))^2)/(2*$I$5),((ABS(G100)/MAX(((G32)+(I32)*(MAX($D$16,(E100)-(K32))))*(MAX($D$16,(E100)-(K32))),0.000001))^2)/(2*$I$5)))+(($D$11*0.13607488*(ABS(H100)/MAX(ABS(F100),0.000001))^2*MAX(((ABS(G100)/MAX(((F32)+(H32)*(MAX($D$16,(D100)-(J32))))*(MAX($D$16,(D100)-(J32))),0.000001))^2)/(2*$I$5),((ABS(G100)/MAX(((G32)+(I32)*(MAX($D$16,(E100)-(K32))))*(MAX($D$16,(E100)-(K32))),0.000001))^2)/(2*$I$5))))-((ABS(G100)/MAX(((F32)+(H32)*(MAX($D$16,(D100)-(J32))))*(MAX($D$16,(D100)-(J32))),0.000001))^2)/(2*$I$5)</f>
        <v>52432.141837661286</v>
      </c>
      <c r="Q100">
        <f>L100+((ABS(H100)/MAX(((G33)+(I33)*(MAX($D$16,(L100)-(K33))))*(MAX($D$16,(L100)-(K33))),0.000001))^2)/(2*$I$5)+((E33)*((((ABS(H100)*$D$6)/(MAX(((F33)+(H33)*(MAX($D$16,(D100)-(J33))))*(MAX($D$16,(D100)-(J33))),0.000001)*MAX(((((F33)+(H33)*(MAX($D$16,(D100)-(J33))))*(MAX($D$16,(D100)-(J33))))/MAX((F33)+2*(MAX($D$16,(D100)-(J33)))*SQRT(1+(H33)^2),0.000001))^(2/3),0.000001)))^2)+(((ABS(H100)*$D$6)/(MAX(((G33)+(I33)*(MAX($D$16,(L100)-(K33))))*(MAX($D$16,(L100)-(K33))),0.000001)*MAX(((((G33)+(I33)*(MAX($D$16,(L100)-(K33))))*(MAX($D$16,(L100)-(K33))))/MAX((G33)+2*(MAX($D$16,(L100)-(K33)))*SQRT(1+(I33)^2),0.000001))^(2/3),0.000001)))^2))/2)+(IF((ABS(H100)/MAX(((G33)+(I33)*(MAX($D$16,(L100)-(K33))))*(MAX($D$16,(L100)-(K33))),0.000001))&gt;(ABS(H100)/MAX(((F33)+(H33)*(MAX($D$16,(D100)-(J33))))*(MAX($D$16,(D100)-(J33))),0.000001)),$D$9*((((ABS(H100)/MAX(((G33)+(I33)*(MAX($D$16,(L100)-(K33))))*(MAX($D$16,(L100)-(K33))),0.000001))^2)/(2*$I$5))-(((ABS(H100)/MAX(((F33)+(H33)*(MAX($D$16,(D100)-(J33))))*(MAX($D$16,(D100)-(J33))),0.000001))^2)/(2*$I$5))),$D$8*((((ABS(H100)/MAX(((F33)+(H33)*(MAX($D$16,(D100)-(J33))))*(MAX($D$16,(D100)-(J33))),0.000001))^2)/(2*$I$5))-(((ABS(H100)/MAX(((G33)+(I33)*(MAX($D$16,(L100)-(K33))))*(MAX($D$16,(L100)-(K33))),0.000001))^2)/(2*$I$5)))))+($D$10*(ABS((X33)-(W33))/90)*MAX(((ABS(H100)/MAX(((F33)+(H33)*(MAX($D$16,(D100)-(J33))))*(MAX($D$16,(D100)-(J33))),0.000001))^2)/(2*$I$5),((ABS(H100)/MAX(((G33)+(I33)*(MAX($D$16,(L100)-(K33))))*(MAX($D$16,(L100)-(K33))),0.000001))^2)/(2*$I$5)))+(($D$11*0.00000015*(ABS(G100)/MAX(ABS(F100),0.000001))^2*MAX(((ABS(H100)/MAX(((F33)+(H33)*(MAX($D$16,(D100)-(J33))))*(MAX($D$16,(D100)-(J33))),0.000001))^2)/(2*$I$5),((ABS(H100)/MAX(((G33)+(I33)*(MAX($D$16,(L100)-(K33))))*(MAX($D$16,(L100)-(K33))),0.000001))^2)/(2*$I$5))))-((ABS(H100)/MAX(((F33)+(H33)*(MAX($D$16,(D100)-(J33))))*(MAX($D$16,(D100)-(J33))),0.000001))^2)/(2*$I$5)</f>
        <v>634.3119999999999</v>
      </c>
      <c r="R100">
        <f>D100+((ABS(G100)/MAX(((F32)+(H32)*(MAX($D$16,(D100)-(J32))))*(MAX($D$16,(D100)-(J32))),0.000001))^2)/(2*$I$5)-((E32)*((((ABS(G100)*$D$6)/(MAX(((F32)+(H32)*(MAX($D$16,(D100)-(J32))))*(MAX($D$16,(D100)-(J32))),0.000001)*MAX(((((F32)+(H32)*(MAX($D$16,(D100)-(J32))))*(MAX($D$16,(D100)-(J32))))/MAX((F32)+2*(MAX($D$16,(D100)-(J32)))*SQRT(1+(H32)^2),0.000001))^(2/3),0.000001)))^2)+(((ABS(G100)*$D$6)/(MAX(((G32)+(I32)*(MAX($D$16,(E100)-(K32))))*(MAX($D$16,(E100)-(K32))),0.000001)*MAX(((((G32)+(I32)*(MAX($D$16,(E100)-(K32))))*(MAX($D$16,(E100)-(K32))))/MAX((G32)+2*(MAX($D$16,(E100)-(K32)))*SQRT(1+(I32)^2),0.000001))^(2/3),0.000001)))^2))/2)+(IF((ABS(G100)/MAX(((G32)+(I32)*(MAX($D$16,(E100)-(K32))))*(MAX($D$16,(E100)-(K32))),0.000001))&gt;(ABS(G100)/MAX(((F32)+(H32)*(MAX($D$16,(D100)-(J32))))*(MAX($D$16,(D100)-(J32))),0.000001)),$D$9*((((ABS(G100)/MAX(((G32)+(I32)*(MAX($D$16,(E100)-(K32))))*(MAX($D$16,(E100)-(K32))),0.000001))^2)/(2*$I$5))-(((ABS(G100)/MAX(((F32)+(H32)*(MAX($D$16,(D100)-(J32))))*(MAX($D$16,(D100)-(J32))),0.000001))^2)/(2*$I$5))),$D$8*((((ABS(G100)/MAX(((F32)+(H32)*(MAX($D$16,(D100)-(J32))))*(MAX($D$16,(D100)-(J32))),0.000001))^2)/(2*$I$5))-(((ABS(G100)/MAX(((G32)+(I32)*(MAX($D$16,(E100)-(K32))))*(MAX($D$16,(E100)-(K32))),0.000001))^2)/(2*$I$5)))))+($D$10*(ABS((X32)-(W32))/90)*MAX(((ABS(G100)/MAX(((F32)+(H32)*(MAX($D$16,(D100)-(J32))))*(MAX($D$16,(D100)-(J32))),0.000001))^2)/(2*$I$5),((ABS(G100)/MAX(((G32)+(I32)*(MAX($D$16,(E100)-(K32))))*(MAX($D$16,(E100)-(K32))),0.000001))^2)/(2*$I$5)))+(($D$11*0.13607488*(ABS(H100)/MAX(ABS(F100),0.000001))^2*MAX(((ABS(G100)/MAX(((F32)+(H32)*(MAX($D$16,(D100)-(J32))))*(MAX($D$16,(D100)-(J32))),0.000001))^2)/(2*$I$5),((ABS(G100)/MAX(((G32)+(I32)*(MAX($D$16,(E100)-(K32))))*(MAX($D$16,(E100)-(K32))),0.000001))^2)/(2*$I$5))))-((ABS(G100)/MAX(((G32)+(I32)*(MAX($D$16,(E100)-(K32))))*(MAX($D$16,(E100)-(K32))),0.000001))^2)/(2*$I$5)</f>
        <v>52432.141837661075</v>
      </c>
      <c r="S100">
        <f>M100+((ABS(I100)/MAX(((G34)+(I34)*(MAX($D$16,(M100)-(K34))))*(MAX($D$16,(M100)-(K34))),0.000001))^2)/(2*$I$5)+((E34)*((((ABS(I100)*$D$6)/(MAX(((F34)+(H34)*(MAX($D$16,(E100)-(J34))))*(MAX($D$16,(E100)-(J34))),0.000001)*MAX(((((F34)+(H34)*(MAX($D$16,(E100)-(J34))))*(MAX($D$16,(E100)-(J34))))/MAX((F34)+2*(MAX($D$16,(E100)-(J34)))*SQRT(1+(H34)^2),0.000001))^(2/3),0.000001)))^2)+(((ABS(I100)*$D$6)/(MAX(((G34)+(I34)*(MAX($D$16,(M100)-(K34))))*(MAX($D$16,(M100)-(K34))),0.000001)*MAX(((((G34)+(I34)*(MAX($D$16,(M100)-(K34))))*(MAX($D$16,(M100)-(K34))))/MAX((G34)+2*(MAX($D$16,(M100)-(K34)))*SQRT(1+(I34)^2),0.000001))^(2/3),0.000001)))^2))/2)+(IF((ABS(I100)/MAX(((G34)+(I34)*(MAX($D$16,(M100)-(K34))))*(MAX($D$16,(M100)-(K34))),0.000001))&gt;(ABS(I100)/MAX(((F34)+(H34)*(MAX($D$16,(E100)-(J34))))*(MAX($D$16,(E100)-(J34))),0.000001)),$D$9*((((ABS(I100)/MAX(((G34)+(I34)*(MAX($D$16,(M100)-(K34))))*(MAX($D$16,(M100)-(K34))),0.000001))^2)/(2*$I$5))-(((ABS(I100)/MAX(((F34)+(H34)*(MAX($D$16,(E100)-(J34))))*(MAX($D$16,(E100)-(J34))),0.000001))^2)/(2*$I$5))),$D$8*((((ABS(I100)/MAX(((F34)+(H34)*(MAX($D$16,(E100)-(J34))))*(MAX($D$16,(E100)-(J34))),0.000001))^2)/(2*$I$5))-(((ABS(I100)/MAX(((G34)+(I34)*(MAX($D$16,(M100)-(K34))))*(MAX($D$16,(M100)-(K34))),0.000001))^2)/(2*$I$5)))))+($D$10*(ABS((X34)-(W34))/90)*MAX(((ABS(I100)/MAX(((F34)+(H34)*(MAX($D$16,(E100)-(J34))))*(MAX($D$16,(E100)-(J34))),0.000001))^2)/(2*$I$5),((ABS(I100)/MAX(((G34)+(I34)*(MAX($D$16,(M100)-(K34))))*(MAX($D$16,(M100)-(K34))),0.000001))^2)/(2*$I$5)))+(0)-((ABS(I100)/MAX(((F34)+(H34)*(MAX($D$16,(E100)-(J34))))*(MAX($D$16,(E100)-(J34))),0.000001))^2)/(2*$I$5)</f>
        <v>635.5</v>
      </c>
      <c r="T100">
        <f>N100+((ABS(J100)/MAX(((G35)+(I35)*(MAX($D$16,(N100)-(K35))))*(MAX($D$16,(N100)-(K35))),0.000001))^2)/(2*$I$5)+((E35)*((((ABS(J100)*$D$6)/(MAX(((F35)+(H35)*(MAX($D$16,(E100)-(J35))))*(MAX($D$16,(E100)-(J35))),0.000001)*MAX(((((F35)+(H35)*(MAX($D$16,(E100)-(J35))))*(MAX($D$16,(E100)-(J35))))/MAX((F35)+2*(MAX($D$16,(E100)-(J35)))*SQRT(1+(H35)^2),0.000001))^(2/3),0.000001)))^2)+(((ABS(J100)*$D$6)/(MAX(((G35)+(I35)*(MAX($D$16,(N100)-(K35))))*(MAX($D$16,(N100)-(K35))),0.000001)*MAX(((((G35)+(I35)*(MAX($D$16,(N100)-(K35))))*(MAX($D$16,(N100)-(K35))))/MAX((G35)+2*(MAX($D$16,(N100)-(K35)))*SQRT(1+(I35)^2),0.000001))^(2/3),0.000001)))^2))/2)+(IF((ABS(J100)/MAX(((G35)+(I35)*(MAX($D$16,(N100)-(K35))))*(MAX($D$16,(N100)-(K35))),0.000001))&gt;(ABS(J100)/MAX(((F35)+(H35)*(MAX($D$16,(E100)-(J35))))*(MAX($D$16,(E100)-(J35))),0.000001)),$D$9*((((ABS(J100)/MAX(((G35)+(I35)*(MAX($D$16,(N100)-(K35))))*(MAX($D$16,(N100)-(K35))),0.000001))^2)/(2*$I$5))-(((ABS(J100)/MAX(((F35)+(H35)*(MAX($D$16,(E100)-(J35))))*(MAX($D$16,(E100)-(J35))),0.000001))^2)/(2*$I$5))),$D$8*((((ABS(J100)/MAX(((F35)+(H35)*(MAX($D$16,(E100)-(J35))))*(MAX($D$16,(E100)-(J35))),0.000001))^2)/(2*$I$5))-(((ABS(J100)/MAX(((G35)+(I35)*(MAX($D$16,(N100)-(K35))))*(MAX($D$16,(N100)-(K35))),0.000001))^2)/(2*$I$5)))))+($D$10*(ABS((X35)-(W35))/90)*MAX(((ABS(J100)/MAX(((F35)+(H35)*(MAX($D$16,(E100)-(J35))))*(MAX($D$16,(E100)-(J35))),0.000001))^2)/(2*$I$5),((ABS(J100)/MAX(((G35)+(I35)*(MAX($D$16,(N100)-(K35))))*(MAX($D$16,(N100)-(K35))),0.000001))^2)/(2*$I$5)))+(($D$11*0.34699541*(ABS(I100)/MAX(ABS(G100),0.000001))^2*MAX(((ABS(J100)/MAX(((F35)+(H35)*(MAX($D$16,(E100)-(J35))))*(MAX($D$16,(E100)-(J35))),0.000001))^2)/(2*$I$5),((ABS(J100)/MAX(((G35)+(I35)*(MAX($D$16,(N100)-(K35))))*(MAX($D$16,(N100)-(K35))),0.000001))^2)/(2*$I$5))))-((ABS(J100)/MAX(((F35)+(H35)*(MAX($D$16,(E100)-(J35))))*(MAX($D$16,(E100)-(J35))),0.000001))^2)/(2*$I$5)</f>
        <v>20784.033523923383</v>
      </c>
      <c r="U100">
        <f>(((((F32)*(MAX($D$16,(D100)-(J32)))^2)/2+(H32)*(MAX($D$16,(D100)-(J32)))^3/3+(ABS(G100)^2)/($I$5*MAX(((F32)+(H32)*(MAX($D$16,(D100)-(J32))))*(MAX($D$16,(D100)-(J32))),0.000001)))*0.72785025)-((((F33)*(MAX($D$16,(D100)-(J33)))^2)/2+(H33)*(MAX($D$16,(D100)-(J33)))^3/3+(ABS(H100)^2)/($I$5*MAX(((F33)+(H33)*(MAX($D$16,(D100)-(J33))))*(MAX($D$16,(D100)-(J33))),0.000001)))*0.99999971))/MAX(((G31)*(MAX($D$16,(D100)-(K31)))^2)/2+(I31)*(MAX($D$16,(D100)-(K31)))^3/3+(ABS(F100)^2)/($I$5*MAX(((G31)+(I31)*(MAX($D$16,(D100)-(K31))))*(MAX($D$16,(D100)-(K31))),0.000001)),0.000001)</f>
        <v>-0.27214945999991125</v>
      </c>
      <c r="V100">
        <f>(((((F34)*(MAX($D$16,(E100)-(J34)))^2)/2+(H34)*(MAX($D$16,(E100)-(J34)))^3/3+(ABS(I100)^2)/($I$5*MAX(((F34)+(H34)*(MAX($D$16,(E100)-(J34))))*(MAX($D$16,(E100)-(J34))),0.000001)))*1)-((((F35)*(MAX($D$16,(E100)-(J35)))^2)/2+(H35)*(MAX($D$16,(E100)-(J35)))^3/3+(ABS(J100)^2)/($I$5*MAX(((F35)+(H35)*(MAX($D$16,(E100)-(J35))))*(MAX($D$16,(E100)-(J35))),0.000001)))*0.30600918))/MAX(((G32)*(MAX($D$16,(E100)-(K32)))^2)/2+(I32)*(MAX($D$16,(E100)-(K32)))^3/3+(ABS(G100)^2)/($I$5*MAX(((G32)+(I32)*(MAX($D$16,(E100)-(K32))))*(MAX($D$16,(E100)-(K32))),0.000001)),0.000001)</f>
        <v>0.69398638937190382</v>
      </c>
      <c r="W100">
        <f>IF(N6="None",ABS(P100-D100),MAX(ABS(P100-D100),ABS(Q100-D100)))</f>
        <v>3.4197000786662102E-10</v>
      </c>
      <c r="X100">
        <f>IF(AND(N7="None",N8="None"),0,IF(N8="None",ABS(S100-E100),IF(N7="None",ABS(T100-E100),MAX(ABS(S100-E100),ABS(T100-E100)))))</f>
        <v>51796.641837660733</v>
      </c>
      <c r="AA100">
        <f t="shared" si="18"/>
        <v>52432.14183766106</v>
      </c>
      <c r="AB100">
        <f t="shared" si="19"/>
        <v>41355.303927852663</v>
      </c>
      <c r="AC100">
        <f>IF(N6="None",P100,MAX(P100,Q100))</f>
        <v>52432.141837661286</v>
      </c>
      <c r="AD100">
        <f>IF(AND(N7="None",N8="None"),E100,IF(N8="None",S100,IF(N7="None",T100,MAX(S100,T100))))</f>
        <v>20784.033523923383</v>
      </c>
      <c r="AE100">
        <f t="shared" si="20"/>
        <v>637.65825101089831</v>
      </c>
      <c r="AF100">
        <f t="shared" si="21"/>
        <v>52432.141837661075</v>
      </c>
      <c r="AG100">
        <f>((G31)*(MAX($D$16,(AC100)-(K31)))^2)/2+(I31)*(MAX($D$16,(AC100)-(K31)))^3/3+(ABS(F100)^2)/($I$5*MAX(((G31)+(I31)*(MAX($D$16,(AC100)-(K31))))*(MAX($D$16,(AC100)-(K31))),0.000001))</f>
        <v>8797611517.4113922</v>
      </c>
      <c r="AH100">
        <f>((G31)*(MAX($D$16,(AE100)-(K31)))^2)/2+(I31)*(MAX($D$16,(AE100)-(K31)))^3/3+(ABS(F100)^2)/($I$5*MAX(((G31)+(I31)*(MAX($D$16,(AE100)-(K31))))*(MAX($D$16,(AE100)-(K31))),0.000001))</f>
        <v>49.055863329575246</v>
      </c>
      <c r="AI100">
        <f>((G32)*(MAX($D$16,(AD100)-(K32)))^2)/2+(I32)*(MAX($D$16,(AD100)-(K32)))^3/3+(ABS(G100)^2)/($I$5*MAX(((G32)+(I32)*(MAX($D$16,(AD100)-(K32))))*(MAX($D$16,(AD100)-(K32))),0.000001))</f>
        <v>2072376743.6648321</v>
      </c>
      <c r="AJ100">
        <f>((G32)*(MAX($D$16,(AF100)-(K32)))^2)/2+(I32)*(MAX($D$16,(AF100)-(K32)))^3/3+(ABS(G100)^2)/($I$5*MAX(((G32)+(I32)*(MAX($D$16,(AF100)-(K32))))*(MAX($D$16,(AF100)-(K32))),0.000001))</f>
        <v>13692714789.643597</v>
      </c>
      <c r="AK100" t="str">
        <f t="shared" si="22"/>
        <v>Subcritical</v>
      </c>
      <c r="AL100" t="str">
        <f t="shared" si="23"/>
        <v>Supercritical</v>
      </c>
      <c r="AM100">
        <f t="shared" si="24"/>
        <v>52432.14183766106</v>
      </c>
      <c r="AN100">
        <f t="shared" si="25"/>
        <v>52432.141837660849</v>
      </c>
      <c r="AO100">
        <f t="shared" si="26"/>
        <v>3.4197000786662102E-10</v>
      </c>
      <c r="AP100">
        <f t="shared" si="27"/>
        <v>3.4197000786662102E-10</v>
      </c>
    </row>
    <row r="101" spans="1:42" x14ac:dyDescent="0.35">
      <c r="A101">
        <v>58</v>
      </c>
      <c r="B101">
        <f t="shared" si="28"/>
        <v>0</v>
      </c>
      <c r="C101">
        <f t="shared" si="29"/>
        <v>0</v>
      </c>
      <c r="D101">
        <f t="shared" si="30"/>
        <v>52432.14183766106</v>
      </c>
      <c r="E101">
        <f t="shared" si="31"/>
        <v>52432.141837660849</v>
      </c>
      <c r="F101">
        <f t="shared" si="17"/>
        <v>51</v>
      </c>
      <c r="G101">
        <f>IF(N6="None",F101,MAX(0,F101*B101))</f>
        <v>51</v>
      </c>
      <c r="H101">
        <f>IF(N6="None",0,MAX(0,F101-G101))</f>
        <v>0</v>
      </c>
      <c r="I101">
        <f>IF(AND(N7="None",N8="None"),0,IF(N8="None",G101,IF(N7="None",0,MAX(0,G101*C101))))</f>
        <v>0</v>
      </c>
      <c r="J101">
        <f>IF(AND(N7="None",N8="None"),0,IF(N8="None",0,IF(N7="None",G101,MAX(0,G101-I101))))</f>
        <v>51</v>
      </c>
      <c r="K101">
        <f>P5</f>
        <v>637</v>
      </c>
      <c r="L101">
        <f>P6</f>
        <v>634.3119999999999</v>
      </c>
      <c r="M101">
        <f>P7</f>
        <v>635.5</v>
      </c>
      <c r="N101">
        <f>P8</f>
        <v>631.54999999999995</v>
      </c>
      <c r="O101">
        <f>K101+((ABS(F101)/MAX(((F31)+(H31)*(MAX($D$16,(K101)-(J31))))*(MAX($D$16,(K101)-(J31))),0.000001))^2)/(2*$I$5)-((E31)*((((ABS(F101)*$D$6)/(MAX(((F31)+(H31)*(MAX($D$16,(K101)-(J31))))*(MAX($D$16,(K101)-(J31))),0.000001)*MAX(((((F31)+(H31)*(MAX($D$16,(K101)-(J31))))*(MAX($D$16,(K101)-(J31))))/MAX((F31)+2*(MAX($D$16,(K101)-(J31)))*SQRT(1+(H31)^2),0.000001))^(2/3),0.000001)))^2)+(((ABS(F101)*$D$6)/(MAX(((G31)+(I31)*(MAX($D$16,(D101)-(K31))))*(MAX($D$16,(D101)-(K31))),0.000001)*MAX(((((G31)+(I31)*(MAX($D$16,(D101)-(K31))))*(MAX($D$16,(D101)-(K31))))/MAX((G31)+2*(MAX($D$16,(D101)-(K31)))*SQRT(1+(I31)^2),0.000001))^(2/3),0.000001)))^2))/2)+(IF((ABS(F101)/MAX(((G31)+(I31)*(MAX($D$16,(D101)-(K31))))*(MAX($D$16,(D101)-(K31))),0.000001))&gt;(ABS(F101)/MAX(((F31)+(H31)*(MAX($D$16,(K101)-(J31))))*(MAX($D$16,(K101)-(J31))),0.000001)),$D$9*((((ABS(F101)/MAX(((G31)+(I31)*(MAX($D$16,(D101)-(K31))))*(MAX($D$16,(D101)-(K31))),0.000001))^2)/(2*$I$5))-(((ABS(F101)/MAX(((F31)+(H31)*(MAX($D$16,(K101)-(J31))))*(MAX($D$16,(K101)-(J31))),0.000001))^2)/(2*$I$5))),$D$8*((((ABS(F101)/MAX(((F31)+(H31)*(MAX($D$16,(K101)-(J31))))*(MAX($D$16,(K101)-(J31))),0.000001))^2)/(2*$I$5))-(((ABS(F101)/MAX(((G31)+(I31)*(MAX($D$16,(D101)-(K31))))*(MAX($D$16,(D101)-(K31))),0.000001))^2)/(2*$I$5)))))+($D$10*(ABS((X31)-(W31))/90)*MAX(((ABS(F101)/MAX(((F31)+(H31)*(MAX($D$16,(K101)-(J31))))*(MAX($D$16,(K101)-(J31))),0.000001))^2)/(2*$I$5),((ABS(F101)/MAX(((G31)+(I31)*(MAX($D$16,(D101)-(K31))))*(MAX($D$16,(D101)-(K31))),0.000001))^2)/(2*$I$5)))+(0)-((ABS(F101)/MAX(((G31)+(I31)*(MAX($D$16,(D101)-(K31))))*(MAX($D$16,(D101)-(K31))),0.000001))^2)/(2*$I$5)</f>
        <v>637.65825101089831</v>
      </c>
      <c r="P101">
        <f>E101+((ABS(G101)/MAX(((G32)+(I32)*(MAX($D$16,(E101)-(K32))))*(MAX($D$16,(E101)-(K32))),0.000001))^2)/(2*$I$5)+((E32)*((((ABS(G101)*$D$6)/(MAX(((F32)+(H32)*(MAX($D$16,(D101)-(J32))))*(MAX($D$16,(D101)-(J32))),0.000001)*MAX(((((F32)+(H32)*(MAX($D$16,(D101)-(J32))))*(MAX($D$16,(D101)-(J32))))/MAX((F32)+2*(MAX($D$16,(D101)-(J32)))*SQRT(1+(H32)^2),0.000001))^(2/3),0.000001)))^2)+(((ABS(G101)*$D$6)/(MAX(((G32)+(I32)*(MAX($D$16,(E101)-(K32))))*(MAX($D$16,(E101)-(K32))),0.000001)*MAX(((((G32)+(I32)*(MAX($D$16,(E101)-(K32))))*(MAX($D$16,(E101)-(K32))))/MAX((G32)+2*(MAX($D$16,(E101)-(K32)))*SQRT(1+(I32)^2),0.000001))^(2/3),0.000001)))^2))/2)+(IF((ABS(G101)/MAX(((G32)+(I32)*(MAX($D$16,(E101)-(K32))))*(MAX($D$16,(E101)-(K32))),0.000001))&gt;(ABS(G101)/MAX(((F32)+(H32)*(MAX($D$16,(D101)-(J32))))*(MAX($D$16,(D101)-(J32))),0.000001)),$D$9*((((ABS(G101)/MAX(((G32)+(I32)*(MAX($D$16,(E101)-(K32))))*(MAX($D$16,(E101)-(K32))),0.000001))^2)/(2*$I$5))-(((ABS(G101)/MAX(((F32)+(H32)*(MAX($D$16,(D101)-(J32))))*(MAX($D$16,(D101)-(J32))),0.000001))^2)/(2*$I$5))),$D$8*((((ABS(G101)/MAX(((F32)+(H32)*(MAX($D$16,(D101)-(J32))))*(MAX($D$16,(D101)-(J32))),0.000001))^2)/(2*$I$5))-(((ABS(G101)/MAX(((G32)+(I32)*(MAX($D$16,(E101)-(K32))))*(MAX($D$16,(E101)-(K32))),0.000001))^2)/(2*$I$5)))))+($D$10*(ABS((X32)-(W32))/90)*MAX(((ABS(G101)/MAX(((F32)+(H32)*(MAX($D$16,(D101)-(J32))))*(MAX($D$16,(D101)-(J32))),0.000001))^2)/(2*$I$5),((ABS(G101)/MAX(((G32)+(I32)*(MAX($D$16,(E101)-(K32))))*(MAX($D$16,(E101)-(K32))),0.000001))^2)/(2*$I$5)))+(($D$11*0.13607488*(ABS(H101)/MAX(ABS(F101),0.000001))^2*MAX(((ABS(G101)/MAX(((F32)+(H32)*(MAX($D$16,(D101)-(J32))))*(MAX($D$16,(D101)-(J32))),0.000001))^2)/(2*$I$5),((ABS(G101)/MAX(((G32)+(I32)*(MAX($D$16,(E101)-(K32))))*(MAX($D$16,(E101)-(K32))),0.000001))^2)/(2*$I$5))))-((ABS(G101)/MAX(((F32)+(H32)*(MAX($D$16,(D101)-(J32))))*(MAX($D$16,(D101)-(J32))),0.000001))^2)/(2*$I$5)</f>
        <v>52432.141837661402</v>
      </c>
      <c r="Q101">
        <f>L101+((ABS(H101)/MAX(((G33)+(I33)*(MAX($D$16,(L101)-(K33))))*(MAX($D$16,(L101)-(K33))),0.000001))^2)/(2*$I$5)+((E33)*((((ABS(H101)*$D$6)/(MAX(((F33)+(H33)*(MAX($D$16,(D101)-(J33))))*(MAX($D$16,(D101)-(J33))),0.000001)*MAX(((((F33)+(H33)*(MAX($D$16,(D101)-(J33))))*(MAX($D$16,(D101)-(J33))))/MAX((F33)+2*(MAX($D$16,(D101)-(J33)))*SQRT(1+(H33)^2),0.000001))^(2/3),0.000001)))^2)+(((ABS(H101)*$D$6)/(MAX(((G33)+(I33)*(MAX($D$16,(L101)-(K33))))*(MAX($D$16,(L101)-(K33))),0.000001)*MAX(((((G33)+(I33)*(MAX($D$16,(L101)-(K33))))*(MAX($D$16,(L101)-(K33))))/MAX((G33)+2*(MAX($D$16,(L101)-(K33)))*SQRT(1+(I33)^2),0.000001))^(2/3),0.000001)))^2))/2)+(IF((ABS(H101)/MAX(((G33)+(I33)*(MAX($D$16,(L101)-(K33))))*(MAX($D$16,(L101)-(K33))),0.000001))&gt;(ABS(H101)/MAX(((F33)+(H33)*(MAX($D$16,(D101)-(J33))))*(MAX($D$16,(D101)-(J33))),0.000001)),$D$9*((((ABS(H101)/MAX(((G33)+(I33)*(MAX($D$16,(L101)-(K33))))*(MAX($D$16,(L101)-(K33))),0.000001))^2)/(2*$I$5))-(((ABS(H101)/MAX(((F33)+(H33)*(MAX($D$16,(D101)-(J33))))*(MAX($D$16,(D101)-(J33))),0.000001))^2)/(2*$I$5))),$D$8*((((ABS(H101)/MAX(((F33)+(H33)*(MAX($D$16,(D101)-(J33))))*(MAX($D$16,(D101)-(J33))),0.000001))^2)/(2*$I$5))-(((ABS(H101)/MAX(((G33)+(I33)*(MAX($D$16,(L101)-(K33))))*(MAX($D$16,(L101)-(K33))),0.000001))^2)/(2*$I$5)))))+($D$10*(ABS((X33)-(W33))/90)*MAX(((ABS(H101)/MAX(((F33)+(H33)*(MAX($D$16,(D101)-(J33))))*(MAX($D$16,(D101)-(J33))),0.000001))^2)/(2*$I$5),((ABS(H101)/MAX(((G33)+(I33)*(MAX($D$16,(L101)-(K33))))*(MAX($D$16,(L101)-(K33))),0.000001))^2)/(2*$I$5)))+(($D$11*0.00000015*(ABS(G101)/MAX(ABS(F101),0.000001))^2*MAX(((ABS(H101)/MAX(((F33)+(H33)*(MAX($D$16,(D101)-(J33))))*(MAX($D$16,(D101)-(J33))),0.000001))^2)/(2*$I$5),((ABS(H101)/MAX(((G33)+(I33)*(MAX($D$16,(L101)-(K33))))*(MAX($D$16,(L101)-(K33))),0.000001))^2)/(2*$I$5))))-((ABS(H101)/MAX(((F33)+(H33)*(MAX($D$16,(D101)-(J33))))*(MAX($D$16,(D101)-(J33))),0.000001))^2)/(2*$I$5)</f>
        <v>634.3119999999999</v>
      </c>
      <c r="R101">
        <f>D101+((ABS(G101)/MAX(((F32)+(H32)*(MAX($D$16,(D101)-(J32))))*(MAX($D$16,(D101)-(J32))),0.000001))^2)/(2*$I$5)-((E32)*((((ABS(G101)*$D$6)/(MAX(((F32)+(H32)*(MAX($D$16,(D101)-(J32))))*(MAX($D$16,(D101)-(J32))),0.000001)*MAX(((((F32)+(H32)*(MAX($D$16,(D101)-(J32))))*(MAX($D$16,(D101)-(J32))))/MAX((F32)+2*(MAX($D$16,(D101)-(J32)))*SQRT(1+(H32)^2),0.000001))^(2/3),0.000001)))^2)+(((ABS(G101)*$D$6)/(MAX(((G32)+(I32)*(MAX($D$16,(E101)-(K32))))*(MAX($D$16,(E101)-(K32))),0.000001)*MAX(((((G32)+(I32)*(MAX($D$16,(E101)-(K32))))*(MAX($D$16,(E101)-(K32))))/MAX((G32)+2*(MAX($D$16,(E101)-(K32)))*SQRT(1+(I32)^2),0.000001))^(2/3),0.000001)))^2))/2)+(IF((ABS(G101)/MAX(((G32)+(I32)*(MAX($D$16,(E101)-(K32))))*(MAX($D$16,(E101)-(K32))),0.000001))&gt;(ABS(G101)/MAX(((F32)+(H32)*(MAX($D$16,(D101)-(J32))))*(MAX($D$16,(D101)-(J32))),0.000001)),$D$9*((((ABS(G101)/MAX(((G32)+(I32)*(MAX($D$16,(E101)-(K32))))*(MAX($D$16,(E101)-(K32))),0.000001))^2)/(2*$I$5))-(((ABS(G101)/MAX(((F32)+(H32)*(MAX($D$16,(D101)-(J32))))*(MAX($D$16,(D101)-(J32))),0.000001))^2)/(2*$I$5))),$D$8*((((ABS(G101)/MAX(((F32)+(H32)*(MAX($D$16,(D101)-(J32))))*(MAX($D$16,(D101)-(J32))),0.000001))^2)/(2*$I$5))-(((ABS(G101)/MAX(((G32)+(I32)*(MAX($D$16,(E101)-(K32))))*(MAX($D$16,(E101)-(K32))),0.000001))^2)/(2*$I$5)))))+($D$10*(ABS((X32)-(W32))/90)*MAX(((ABS(G101)/MAX(((F32)+(H32)*(MAX($D$16,(D101)-(J32))))*(MAX($D$16,(D101)-(J32))),0.000001))^2)/(2*$I$5),((ABS(G101)/MAX(((G32)+(I32)*(MAX($D$16,(E101)-(K32))))*(MAX($D$16,(E101)-(K32))),0.000001))^2)/(2*$I$5)))+(($D$11*0.13607488*(ABS(H101)/MAX(ABS(F101),0.000001))^2*MAX(((ABS(G101)/MAX(((F32)+(H32)*(MAX($D$16,(D101)-(J32))))*(MAX($D$16,(D101)-(J32))),0.000001))^2)/(2*$I$5),((ABS(G101)/MAX(((G32)+(I32)*(MAX($D$16,(E101)-(K32))))*(MAX($D$16,(E101)-(K32))),0.000001))^2)/(2*$I$5))))-((ABS(G101)/MAX(((G32)+(I32)*(MAX($D$16,(E101)-(K32))))*(MAX($D$16,(E101)-(K32))),0.000001))^2)/(2*$I$5)</f>
        <v>52432.141837661191</v>
      </c>
      <c r="S101">
        <f>M101+((ABS(I101)/MAX(((G34)+(I34)*(MAX($D$16,(M101)-(K34))))*(MAX($D$16,(M101)-(K34))),0.000001))^2)/(2*$I$5)+((E34)*((((ABS(I101)*$D$6)/(MAX(((F34)+(H34)*(MAX($D$16,(E101)-(J34))))*(MAX($D$16,(E101)-(J34))),0.000001)*MAX(((((F34)+(H34)*(MAX($D$16,(E101)-(J34))))*(MAX($D$16,(E101)-(J34))))/MAX((F34)+2*(MAX($D$16,(E101)-(J34)))*SQRT(1+(H34)^2),0.000001))^(2/3),0.000001)))^2)+(((ABS(I101)*$D$6)/(MAX(((G34)+(I34)*(MAX($D$16,(M101)-(K34))))*(MAX($D$16,(M101)-(K34))),0.000001)*MAX(((((G34)+(I34)*(MAX($D$16,(M101)-(K34))))*(MAX($D$16,(M101)-(K34))))/MAX((G34)+2*(MAX($D$16,(M101)-(K34)))*SQRT(1+(I34)^2),0.000001))^(2/3),0.000001)))^2))/2)+(IF((ABS(I101)/MAX(((G34)+(I34)*(MAX($D$16,(M101)-(K34))))*(MAX($D$16,(M101)-(K34))),0.000001))&gt;(ABS(I101)/MAX(((F34)+(H34)*(MAX($D$16,(E101)-(J34))))*(MAX($D$16,(E101)-(J34))),0.000001)),$D$9*((((ABS(I101)/MAX(((G34)+(I34)*(MAX($D$16,(M101)-(K34))))*(MAX($D$16,(M101)-(K34))),0.000001))^2)/(2*$I$5))-(((ABS(I101)/MAX(((F34)+(H34)*(MAX($D$16,(E101)-(J34))))*(MAX($D$16,(E101)-(J34))),0.000001))^2)/(2*$I$5))),$D$8*((((ABS(I101)/MAX(((F34)+(H34)*(MAX($D$16,(E101)-(J34))))*(MAX($D$16,(E101)-(J34))),0.000001))^2)/(2*$I$5))-(((ABS(I101)/MAX(((G34)+(I34)*(MAX($D$16,(M101)-(K34))))*(MAX($D$16,(M101)-(K34))),0.000001))^2)/(2*$I$5)))))+($D$10*(ABS((X34)-(W34))/90)*MAX(((ABS(I101)/MAX(((F34)+(H34)*(MAX($D$16,(E101)-(J34))))*(MAX($D$16,(E101)-(J34))),0.000001))^2)/(2*$I$5),((ABS(I101)/MAX(((G34)+(I34)*(MAX($D$16,(M101)-(K34))))*(MAX($D$16,(M101)-(K34))),0.000001))^2)/(2*$I$5)))+(0)-((ABS(I101)/MAX(((F34)+(H34)*(MAX($D$16,(E101)-(J34))))*(MAX($D$16,(E101)-(J34))),0.000001))^2)/(2*$I$5)</f>
        <v>635.5</v>
      </c>
      <c r="T101">
        <f>N101+((ABS(J101)/MAX(((G35)+(I35)*(MAX($D$16,(N101)-(K35))))*(MAX($D$16,(N101)-(K35))),0.000001))^2)/(2*$I$5)+((E35)*((((ABS(J101)*$D$6)/(MAX(((F35)+(H35)*(MAX($D$16,(E101)-(J35))))*(MAX($D$16,(E101)-(J35))),0.000001)*MAX(((((F35)+(H35)*(MAX($D$16,(E101)-(J35))))*(MAX($D$16,(E101)-(J35))))/MAX((F35)+2*(MAX($D$16,(E101)-(J35)))*SQRT(1+(H35)^2),0.000001))^(2/3),0.000001)))^2)+(((ABS(J101)*$D$6)/(MAX(((G35)+(I35)*(MAX($D$16,(N101)-(K35))))*(MAX($D$16,(N101)-(K35))),0.000001)*MAX(((((G35)+(I35)*(MAX($D$16,(N101)-(K35))))*(MAX($D$16,(N101)-(K35))))/MAX((G35)+2*(MAX($D$16,(N101)-(K35)))*SQRT(1+(I35)^2),0.000001))^(2/3),0.000001)))^2))/2)+(IF((ABS(J101)/MAX(((G35)+(I35)*(MAX($D$16,(N101)-(K35))))*(MAX($D$16,(N101)-(K35))),0.000001))&gt;(ABS(J101)/MAX(((F35)+(H35)*(MAX($D$16,(E101)-(J35))))*(MAX($D$16,(E101)-(J35))),0.000001)),$D$9*((((ABS(J101)/MAX(((G35)+(I35)*(MAX($D$16,(N101)-(K35))))*(MAX($D$16,(N101)-(K35))),0.000001))^2)/(2*$I$5))-(((ABS(J101)/MAX(((F35)+(H35)*(MAX($D$16,(E101)-(J35))))*(MAX($D$16,(E101)-(J35))),0.000001))^2)/(2*$I$5))),$D$8*((((ABS(J101)/MAX(((F35)+(H35)*(MAX($D$16,(E101)-(J35))))*(MAX($D$16,(E101)-(J35))),0.000001))^2)/(2*$I$5))-(((ABS(J101)/MAX(((G35)+(I35)*(MAX($D$16,(N101)-(K35))))*(MAX($D$16,(N101)-(K35))),0.000001))^2)/(2*$I$5)))))+($D$10*(ABS((X35)-(W35))/90)*MAX(((ABS(J101)/MAX(((F35)+(H35)*(MAX($D$16,(E101)-(J35))))*(MAX($D$16,(E101)-(J35))),0.000001))^2)/(2*$I$5),((ABS(J101)/MAX(((G35)+(I35)*(MAX($D$16,(N101)-(K35))))*(MAX($D$16,(N101)-(K35))),0.000001))^2)/(2*$I$5)))+(($D$11*0.34699541*(ABS(I101)/MAX(ABS(G101),0.000001))^2*MAX(((ABS(J101)/MAX(((F35)+(H35)*(MAX($D$16,(E101)-(J35))))*(MAX($D$16,(E101)-(J35))),0.000001))^2)/(2*$I$5),((ABS(J101)/MAX(((G35)+(I35)*(MAX($D$16,(N101)-(K35))))*(MAX($D$16,(N101)-(K35))),0.000001))^2)/(2*$I$5))))-((ABS(J101)/MAX(((F35)+(H35)*(MAX($D$16,(E101)-(J35))))*(MAX($D$16,(E101)-(J35))),0.000001))^2)/(2*$I$5)</f>
        <v>20784.033523923383</v>
      </c>
      <c r="U101">
        <f>(((((F32)*(MAX($D$16,(D101)-(J32)))^2)/2+(H32)*(MAX($D$16,(D101)-(J32)))^3/3+(ABS(G101)^2)/($I$5*MAX(((F32)+(H32)*(MAX($D$16,(D101)-(J32))))*(MAX($D$16,(D101)-(J32))),0.000001)))*0.72785025)-((((F33)*(MAX($D$16,(D101)-(J33)))^2)/2+(H33)*(MAX($D$16,(D101)-(J33)))^3/3+(ABS(H101)^2)/($I$5*MAX(((F33)+(H33)*(MAX($D$16,(D101)-(J33))))*(MAX($D$16,(D101)-(J33))),0.000001)))*0.99999971))/MAX(((G31)*(MAX($D$16,(D101)-(K31)))^2)/2+(I31)*(MAX($D$16,(D101)-(K31)))^3/3+(ABS(F101)^2)/($I$5*MAX(((G31)+(I31)*(MAX($D$16,(D101)-(K31))))*(MAX($D$16,(D101)-(K31))),0.000001)),0.000001)</f>
        <v>-0.27214945999991119</v>
      </c>
      <c r="V101">
        <f>(((((F34)*(MAX($D$16,(E101)-(J34)))^2)/2+(H34)*(MAX($D$16,(E101)-(J34)))^3/3+(ABS(I101)^2)/($I$5*MAX(((F34)+(H34)*(MAX($D$16,(E101)-(J34))))*(MAX($D$16,(E101)-(J34))),0.000001)))*1)-((((F35)*(MAX($D$16,(E101)-(J35)))^2)/2+(H35)*(MAX($D$16,(E101)-(J35)))^3/3+(ABS(J101)^2)/($I$5*MAX(((F35)+(H35)*(MAX($D$16,(E101)-(J35))))*(MAX($D$16,(E101)-(J35))),0.000001)))*0.30600918))/MAX(((G32)*(MAX($D$16,(E101)-(K32)))^2)/2+(I32)*(MAX($D$16,(E101)-(K32)))^3/3+(ABS(G101)^2)/($I$5*MAX(((G32)+(I32)*(MAX($D$16,(E101)-(K32))))*(MAX($D$16,(E101)-(K32))),0.000001)),0.000001)</f>
        <v>0.69398638937190382</v>
      </c>
      <c r="W101">
        <f>IF(N6="None",ABS(P101-D101),MAX(ABS(P101-D101),ABS(Q101-D101)))</f>
        <v>3.4197000786662102E-10</v>
      </c>
      <c r="X101">
        <f>IF(AND(N7="None",N8="None"),0,IF(N8="None",ABS(S101-E101),IF(N7="None",ABS(T101-E101),MAX(ABS(S101-E101),ABS(T101-E101)))))</f>
        <v>51796.641837660849</v>
      </c>
      <c r="AA101">
        <f t="shared" si="18"/>
        <v>52432.141837661176</v>
      </c>
      <c r="AB101">
        <f t="shared" si="19"/>
        <v>41355.303927852736</v>
      </c>
      <c r="AC101">
        <f>IF(N6="None",P101,MAX(P101,Q101))</f>
        <v>52432.141837661402</v>
      </c>
      <c r="AD101">
        <f>IF(AND(N7="None",N8="None"),E101,IF(N8="None",S101,IF(N7="None",T101,MAX(S101,T101))))</f>
        <v>20784.033523923383</v>
      </c>
      <c r="AE101">
        <f t="shared" si="20"/>
        <v>637.65825101089831</v>
      </c>
      <c r="AF101">
        <f t="shared" si="21"/>
        <v>52432.141837661191</v>
      </c>
      <c r="AG101">
        <f>((G31)*(MAX($D$16,(AC101)-(K31)))^2)/2+(I31)*(MAX($D$16,(AC101)-(K31)))^3/3+(ABS(F101)^2)/($I$5*MAX(((G31)+(I31)*(MAX($D$16,(AC101)-(K31))))*(MAX($D$16,(AC101)-(K31))),0.000001))</f>
        <v>8797611517.4114323</v>
      </c>
      <c r="AH101">
        <f>((G31)*(MAX($D$16,(AE101)-(K31)))^2)/2+(I31)*(MAX($D$16,(AE101)-(K31)))^3/3+(ABS(F101)^2)/($I$5*MAX(((G31)+(I31)*(MAX($D$16,(AE101)-(K31))))*(MAX($D$16,(AE101)-(K31))),0.000001))</f>
        <v>49.055863329575246</v>
      </c>
      <c r="AI101">
        <f>((G32)*(MAX($D$16,(AD101)-(K32)))^2)/2+(I32)*(MAX($D$16,(AD101)-(K32)))^3/3+(ABS(G101)^2)/($I$5*MAX(((G32)+(I32)*(MAX($D$16,(AD101)-(K32))))*(MAX($D$16,(AD101)-(K32))),0.000001))</f>
        <v>2072376743.6648321</v>
      </c>
      <c r="AJ101">
        <f>((G32)*(MAX($D$16,(AF101)-(K32)))^2)/2+(I32)*(MAX($D$16,(AF101)-(K32)))^3/3+(ABS(G101)^2)/($I$5*MAX(((G32)+(I32)*(MAX($D$16,(AF101)-(K32))))*(MAX($D$16,(AF101)-(K32))),0.000001))</f>
        <v>13692714789.64366</v>
      </c>
      <c r="AK101" t="str">
        <f t="shared" si="22"/>
        <v>Subcritical</v>
      </c>
      <c r="AL101" t="str">
        <f t="shared" si="23"/>
        <v>Supercritical</v>
      </c>
      <c r="AM101">
        <f t="shared" si="24"/>
        <v>52432.141837661176</v>
      </c>
      <c r="AN101">
        <f t="shared" si="25"/>
        <v>52432.141837660965</v>
      </c>
      <c r="AO101">
        <f t="shared" si="26"/>
        <v>3.4197000786662102E-10</v>
      </c>
      <c r="AP101">
        <f t="shared" si="27"/>
        <v>3.4197000786662102E-10</v>
      </c>
    </row>
    <row r="102" spans="1:42" x14ac:dyDescent="0.35">
      <c r="A102">
        <v>59</v>
      </c>
      <c r="B102">
        <f t="shared" si="28"/>
        <v>0</v>
      </c>
      <c r="C102">
        <f t="shared" si="29"/>
        <v>0</v>
      </c>
      <c r="D102">
        <f t="shared" si="30"/>
        <v>52432.141837661176</v>
      </c>
      <c r="E102">
        <f t="shared" si="31"/>
        <v>52432.141837660965</v>
      </c>
      <c r="F102">
        <f t="shared" si="17"/>
        <v>51</v>
      </c>
      <c r="G102">
        <f>IF(N6="None",F102,MAX(0,F102*B102))</f>
        <v>51</v>
      </c>
      <c r="H102">
        <f>IF(N6="None",0,MAX(0,F102-G102))</f>
        <v>0</v>
      </c>
      <c r="I102">
        <f>IF(AND(N7="None",N8="None"),0,IF(N8="None",G102,IF(N7="None",0,MAX(0,G102*C102))))</f>
        <v>0</v>
      </c>
      <c r="J102">
        <f>IF(AND(N7="None",N8="None"),0,IF(N8="None",0,IF(N7="None",G102,MAX(0,G102-I102))))</f>
        <v>51</v>
      </c>
      <c r="K102">
        <f>P5</f>
        <v>637</v>
      </c>
      <c r="L102">
        <f>P6</f>
        <v>634.3119999999999</v>
      </c>
      <c r="M102">
        <f>P7</f>
        <v>635.5</v>
      </c>
      <c r="N102">
        <f>P8</f>
        <v>631.54999999999995</v>
      </c>
      <c r="O102">
        <f>K102+((ABS(F102)/MAX(((F31)+(H31)*(MAX($D$16,(K102)-(J31))))*(MAX($D$16,(K102)-(J31))),0.000001))^2)/(2*$I$5)-((E31)*((((ABS(F102)*$D$6)/(MAX(((F31)+(H31)*(MAX($D$16,(K102)-(J31))))*(MAX($D$16,(K102)-(J31))),0.000001)*MAX(((((F31)+(H31)*(MAX($D$16,(K102)-(J31))))*(MAX($D$16,(K102)-(J31))))/MAX((F31)+2*(MAX($D$16,(K102)-(J31)))*SQRT(1+(H31)^2),0.000001))^(2/3),0.000001)))^2)+(((ABS(F102)*$D$6)/(MAX(((G31)+(I31)*(MAX($D$16,(D102)-(K31))))*(MAX($D$16,(D102)-(K31))),0.000001)*MAX(((((G31)+(I31)*(MAX($D$16,(D102)-(K31))))*(MAX($D$16,(D102)-(K31))))/MAX((G31)+2*(MAX($D$16,(D102)-(K31)))*SQRT(1+(I31)^2),0.000001))^(2/3),0.000001)))^2))/2)+(IF((ABS(F102)/MAX(((G31)+(I31)*(MAX($D$16,(D102)-(K31))))*(MAX($D$16,(D102)-(K31))),0.000001))&gt;(ABS(F102)/MAX(((F31)+(H31)*(MAX($D$16,(K102)-(J31))))*(MAX($D$16,(K102)-(J31))),0.000001)),$D$9*((((ABS(F102)/MAX(((G31)+(I31)*(MAX($D$16,(D102)-(K31))))*(MAX($D$16,(D102)-(K31))),0.000001))^2)/(2*$I$5))-(((ABS(F102)/MAX(((F31)+(H31)*(MAX($D$16,(K102)-(J31))))*(MAX($D$16,(K102)-(J31))),0.000001))^2)/(2*$I$5))),$D$8*((((ABS(F102)/MAX(((F31)+(H31)*(MAX($D$16,(K102)-(J31))))*(MAX($D$16,(K102)-(J31))),0.000001))^2)/(2*$I$5))-(((ABS(F102)/MAX(((G31)+(I31)*(MAX($D$16,(D102)-(K31))))*(MAX($D$16,(D102)-(K31))),0.000001))^2)/(2*$I$5)))))+($D$10*(ABS((X31)-(W31))/90)*MAX(((ABS(F102)/MAX(((F31)+(H31)*(MAX($D$16,(K102)-(J31))))*(MAX($D$16,(K102)-(J31))),0.000001))^2)/(2*$I$5),((ABS(F102)/MAX(((G31)+(I31)*(MAX($D$16,(D102)-(K31))))*(MAX($D$16,(D102)-(K31))),0.000001))^2)/(2*$I$5)))+(0)-((ABS(F102)/MAX(((G31)+(I31)*(MAX($D$16,(D102)-(K31))))*(MAX($D$16,(D102)-(K31))),0.000001))^2)/(2*$I$5)</f>
        <v>637.65825101089831</v>
      </c>
      <c r="P102">
        <f>E102+((ABS(G102)/MAX(((G32)+(I32)*(MAX($D$16,(E102)-(K32))))*(MAX($D$16,(E102)-(K32))),0.000001))^2)/(2*$I$5)+((E32)*((((ABS(G102)*$D$6)/(MAX(((F32)+(H32)*(MAX($D$16,(D102)-(J32))))*(MAX($D$16,(D102)-(J32))),0.000001)*MAX(((((F32)+(H32)*(MAX($D$16,(D102)-(J32))))*(MAX($D$16,(D102)-(J32))))/MAX((F32)+2*(MAX($D$16,(D102)-(J32)))*SQRT(1+(H32)^2),0.000001))^(2/3),0.000001)))^2)+(((ABS(G102)*$D$6)/(MAX(((G32)+(I32)*(MAX($D$16,(E102)-(K32))))*(MAX($D$16,(E102)-(K32))),0.000001)*MAX(((((G32)+(I32)*(MAX($D$16,(E102)-(K32))))*(MAX($D$16,(E102)-(K32))))/MAX((G32)+2*(MAX($D$16,(E102)-(K32)))*SQRT(1+(I32)^2),0.000001))^(2/3),0.000001)))^2))/2)+(IF((ABS(G102)/MAX(((G32)+(I32)*(MAX($D$16,(E102)-(K32))))*(MAX($D$16,(E102)-(K32))),0.000001))&gt;(ABS(G102)/MAX(((F32)+(H32)*(MAX($D$16,(D102)-(J32))))*(MAX($D$16,(D102)-(J32))),0.000001)),$D$9*((((ABS(G102)/MAX(((G32)+(I32)*(MAX($D$16,(E102)-(K32))))*(MAX($D$16,(E102)-(K32))),0.000001))^2)/(2*$I$5))-(((ABS(G102)/MAX(((F32)+(H32)*(MAX($D$16,(D102)-(J32))))*(MAX($D$16,(D102)-(J32))),0.000001))^2)/(2*$I$5))),$D$8*((((ABS(G102)/MAX(((F32)+(H32)*(MAX($D$16,(D102)-(J32))))*(MAX($D$16,(D102)-(J32))),0.000001))^2)/(2*$I$5))-(((ABS(G102)/MAX(((G32)+(I32)*(MAX($D$16,(E102)-(K32))))*(MAX($D$16,(E102)-(K32))),0.000001))^2)/(2*$I$5)))))+($D$10*(ABS((X32)-(W32))/90)*MAX(((ABS(G102)/MAX(((F32)+(H32)*(MAX($D$16,(D102)-(J32))))*(MAX($D$16,(D102)-(J32))),0.000001))^2)/(2*$I$5),((ABS(G102)/MAX(((G32)+(I32)*(MAX($D$16,(E102)-(K32))))*(MAX($D$16,(E102)-(K32))),0.000001))^2)/(2*$I$5)))+(($D$11*0.13607488*(ABS(H102)/MAX(ABS(F102),0.000001))^2*MAX(((ABS(G102)/MAX(((F32)+(H32)*(MAX($D$16,(D102)-(J32))))*(MAX($D$16,(D102)-(J32))),0.000001))^2)/(2*$I$5),((ABS(G102)/MAX(((G32)+(I32)*(MAX($D$16,(E102)-(K32))))*(MAX($D$16,(E102)-(K32))),0.000001))^2)/(2*$I$5))))-((ABS(G102)/MAX(((F32)+(H32)*(MAX($D$16,(D102)-(J32))))*(MAX($D$16,(D102)-(J32))),0.000001))^2)/(2*$I$5)</f>
        <v>52432.141837661518</v>
      </c>
      <c r="Q102">
        <f>L102+((ABS(H102)/MAX(((G33)+(I33)*(MAX($D$16,(L102)-(K33))))*(MAX($D$16,(L102)-(K33))),0.000001))^2)/(2*$I$5)+((E33)*((((ABS(H102)*$D$6)/(MAX(((F33)+(H33)*(MAX($D$16,(D102)-(J33))))*(MAX($D$16,(D102)-(J33))),0.000001)*MAX(((((F33)+(H33)*(MAX($D$16,(D102)-(J33))))*(MAX($D$16,(D102)-(J33))))/MAX((F33)+2*(MAX($D$16,(D102)-(J33)))*SQRT(1+(H33)^2),0.000001))^(2/3),0.000001)))^2)+(((ABS(H102)*$D$6)/(MAX(((G33)+(I33)*(MAX($D$16,(L102)-(K33))))*(MAX($D$16,(L102)-(K33))),0.000001)*MAX(((((G33)+(I33)*(MAX($D$16,(L102)-(K33))))*(MAX($D$16,(L102)-(K33))))/MAX((G33)+2*(MAX($D$16,(L102)-(K33)))*SQRT(1+(I33)^2),0.000001))^(2/3),0.000001)))^2))/2)+(IF((ABS(H102)/MAX(((G33)+(I33)*(MAX($D$16,(L102)-(K33))))*(MAX($D$16,(L102)-(K33))),0.000001))&gt;(ABS(H102)/MAX(((F33)+(H33)*(MAX($D$16,(D102)-(J33))))*(MAX($D$16,(D102)-(J33))),0.000001)),$D$9*((((ABS(H102)/MAX(((G33)+(I33)*(MAX($D$16,(L102)-(K33))))*(MAX($D$16,(L102)-(K33))),0.000001))^2)/(2*$I$5))-(((ABS(H102)/MAX(((F33)+(H33)*(MAX($D$16,(D102)-(J33))))*(MAX($D$16,(D102)-(J33))),0.000001))^2)/(2*$I$5))),$D$8*((((ABS(H102)/MAX(((F33)+(H33)*(MAX($D$16,(D102)-(J33))))*(MAX($D$16,(D102)-(J33))),0.000001))^2)/(2*$I$5))-(((ABS(H102)/MAX(((G33)+(I33)*(MAX($D$16,(L102)-(K33))))*(MAX($D$16,(L102)-(K33))),0.000001))^2)/(2*$I$5)))))+($D$10*(ABS((X33)-(W33))/90)*MAX(((ABS(H102)/MAX(((F33)+(H33)*(MAX($D$16,(D102)-(J33))))*(MAX($D$16,(D102)-(J33))),0.000001))^2)/(2*$I$5),((ABS(H102)/MAX(((G33)+(I33)*(MAX($D$16,(L102)-(K33))))*(MAX($D$16,(L102)-(K33))),0.000001))^2)/(2*$I$5)))+(($D$11*0.00000015*(ABS(G102)/MAX(ABS(F102),0.000001))^2*MAX(((ABS(H102)/MAX(((F33)+(H33)*(MAX($D$16,(D102)-(J33))))*(MAX($D$16,(D102)-(J33))),0.000001))^2)/(2*$I$5),((ABS(H102)/MAX(((G33)+(I33)*(MAX($D$16,(L102)-(K33))))*(MAX($D$16,(L102)-(K33))),0.000001))^2)/(2*$I$5))))-((ABS(H102)/MAX(((F33)+(H33)*(MAX($D$16,(D102)-(J33))))*(MAX($D$16,(D102)-(J33))),0.000001))^2)/(2*$I$5)</f>
        <v>634.3119999999999</v>
      </c>
      <c r="R102">
        <f>D102+((ABS(G102)/MAX(((F32)+(H32)*(MAX($D$16,(D102)-(J32))))*(MAX($D$16,(D102)-(J32))),0.000001))^2)/(2*$I$5)-((E32)*((((ABS(G102)*$D$6)/(MAX(((F32)+(H32)*(MAX($D$16,(D102)-(J32))))*(MAX($D$16,(D102)-(J32))),0.000001)*MAX(((((F32)+(H32)*(MAX($D$16,(D102)-(J32))))*(MAX($D$16,(D102)-(J32))))/MAX((F32)+2*(MAX($D$16,(D102)-(J32)))*SQRT(1+(H32)^2),0.000001))^(2/3),0.000001)))^2)+(((ABS(G102)*$D$6)/(MAX(((G32)+(I32)*(MAX($D$16,(E102)-(K32))))*(MAX($D$16,(E102)-(K32))),0.000001)*MAX(((((G32)+(I32)*(MAX($D$16,(E102)-(K32))))*(MAX($D$16,(E102)-(K32))))/MAX((G32)+2*(MAX($D$16,(E102)-(K32)))*SQRT(1+(I32)^2),0.000001))^(2/3),0.000001)))^2))/2)+(IF((ABS(G102)/MAX(((G32)+(I32)*(MAX($D$16,(E102)-(K32))))*(MAX($D$16,(E102)-(K32))),0.000001))&gt;(ABS(G102)/MAX(((F32)+(H32)*(MAX($D$16,(D102)-(J32))))*(MAX($D$16,(D102)-(J32))),0.000001)),$D$9*((((ABS(G102)/MAX(((G32)+(I32)*(MAX($D$16,(E102)-(K32))))*(MAX($D$16,(E102)-(K32))),0.000001))^2)/(2*$I$5))-(((ABS(G102)/MAX(((F32)+(H32)*(MAX($D$16,(D102)-(J32))))*(MAX($D$16,(D102)-(J32))),0.000001))^2)/(2*$I$5))),$D$8*((((ABS(G102)/MAX(((F32)+(H32)*(MAX($D$16,(D102)-(J32))))*(MAX($D$16,(D102)-(J32))),0.000001))^2)/(2*$I$5))-(((ABS(G102)/MAX(((G32)+(I32)*(MAX($D$16,(E102)-(K32))))*(MAX($D$16,(E102)-(K32))),0.000001))^2)/(2*$I$5)))))+($D$10*(ABS((X32)-(W32))/90)*MAX(((ABS(G102)/MAX(((F32)+(H32)*(MAX($D$16,(D102)-(J32))))*(MAX($D$16,(D102)-(J32))),0.000001))^2)/(2*$I$5),((ABS(G102)/MAX(((G32)+(I32)*(MAX($D$16,(E102)-(K32))))*(MAX($D$16,(E102)-(K32))),0.000001))^2)/(2*$I$5)))+(($D$11*0.13607488*(ABS(H102)/MAX(ABS(F102),0.000001))^2*MAX(((ABS(G102)/MAX(((F32)+(H32)*(MAX($D$16,(D102)-(J32))))*(MAX($D$16,(D102)-(J32))),0.000001))^2)/(2*$I$5),((ABS(G102)/MAX(((G32)+(I32)*(MAX($D$16,(E102)-(K32))))*(MAX($D$16,(E102)-(K32))),0.000001))^2)/(2*$I$5))))-((ABS(G102)/MAX(((G32)+(I32)*(MAX($D$16,(E102)-(K32))))*(MAX($D$16,(E102)-(K32))),0.000001))^2)/(2*$I$5)</f>
        <v>52432.141837661307</v>
      </c>
      <c r="S102">
        <f>M102+((ABS(I102)/MAX(((G34)+(I34)*(MAX($D$16,(M102)-(K34))))*(MAX($D$16,(M102)-(K34))),0.000001))^2)/(2*$I$5)+((E34)*((((ABS(I102)*$D$6)/(MAX(((F34)+(H34)*(MAX($D$16,(E102)-(J34))))*(MAX($D$16,(E102)-(J34))),0.000001)*MAX(((((F34)+(H34)*(MAX($D$16,(E102)-(J34))))*(MAX($D$16,(E102)-(J34))))/MAX((F34)+2*(MAX($D$16,(E102)-(J34)))*SQRT(1+(H34)^2),0.000001))^(2/3),0.000001)))^2)+(((ABS(I102)*$D$6)/(MAX(((G34)+(I34)*(MAX($D$16,(M102)-(K34))))*(MAX($D$16,(M102)-(K34))),0.000001)*MAX(((((G34)+(I34)*(MAX($D$16,(M102)-(K34))))*(MAX($D$16,(M102)-(K34))))/MAX((G34)+2*(MAX($D$16,(M102)-(K34)))*SQRT(1+(I34)^2),0.000001))^(2/3),0.000001)))^2))/2)+(IF((ABS(I102)/MAX(((G34)+(I34)*(MAX($D$16,(M102)-(K34))))*(MAX($D$16,(M102)-(K34))),0.000001))&gt;(ABS(I102)/MAX(((F34)+(H34)*(MAX($D$16,(E102)-(J34))))*(MAX($D$16,(E102)-(J34))),0.000001)),$D$9*((((ABS(I102)/MAX(((G34)+(I34)*(MAX($D$16,(M102)-(K34))))*(MAX($D$16,(M102)-(K34))),0.000001))^2)/(2*$I$5))-(((ABS(I102)/MAX(((F34)+(H34)*(MAX($D$16,(E102)-(J34))))*(MAX($D$16,(E102)-(J34))),0.000001))^2)/(2*$I$5))),$D$8*((((ABS(I102)/MAX(((F34)+(H34)*(MAX($D$16,(E102)-(J34))))*(MAX($D$16,(E102)-(J34))),0.000001))^2)/(2*$I$5))-(((ABS(I102)/MAX(((G34)+(I34)*(MAX($D$16,(M102)-(K34))))*(MAX($D$16,(M102)-(K34))),0.000001))^2)/(2*$I$5)))))+($D$10*(ABS((X34)-(W34))/90)*MAX(((ABS(I102)/MAX(((F34)+(H34)*(MAX($D$16,(E102)-(J34))))*(MAX($D$16,(E102)-(J34))),0.000001))^2)/(2*$I$5),((ABS(I102)/MAX(((G34)+(I34)*(MAX($D$16,(M102)-(K34))))*(MAX($D$16,(M102)-(K34))),0.000001))^2)/(2*$I$5)))+(0)-((ABS(I102)/MAX(((F34)+(H34)*(MAX($D$16,(E102)-(J34))))*(MAX($D$16,(E102)-(J34))),0.000001))^2)/(2*$I$5)</f>
        <v>635.5</v>
      </c>
      <c r="T102">
        <f>N102+((ABS(J102)/MAX(((G35)+(I35)*(MAX($D$16,(N102)-(K35))))*(MAX($D$16,(N102)-(K35))),0.000001))^2)/(2*$I$5)+((E35)*((((ABS(J102)*$D$6)/(MAX(((F35)+(H35)*(MAX($D$16,(E102)-(J35))))*(MAX($D$16,(E102)-(J35))),0.000001)*MAX(((((F35)+(H35)*(MAX($D$16,(E102)-(J35))))*(MAX($D$16,(E102)-(J35))))/MAX((F35)+2*(MAX($D$16,(E102)-(J35)))*SQRT(1+(H35)^2),0.000001))^(2/3),0.000001)))^2)+(((ABS(J102)*$D$6)/(MAX(((G35)+(I35)*(MAX($D$16,(N102)-(K35))))*(MAX($D$16,(N102)-(K35))),0.000001)*MAX(((((G35)+(I35)*(MAX($D$16,(N102)-(K35))))*(MAX($D$16,(N102)-(K35))))/MAX((G35)+2*(MAX($D$16,(N102)-(K35)))*SQRT(1+(I35)^2),0.000001))^(2/3),0.000001)))^2))/2)+(IF((ABS(J102)/MAX(((G35)+(I35)*(MAX($D$16,(N102)-(K35))))*(MAX($D$16,(N102)-(K35))),0.000001))&gt;(ABS(J102)/MAX(((F35)+(H35)*(MAX($D$16,(E102)-(J35))))*(MAX($D$16,(E102)-(J35))),0.000001)),$D$9*((((ABS(J102)/MAX(((G35)+(I35)*(MAX($D$16,(N102)-(K35))))*(MAX($D$16,(N102)-(K35))),0.000001))^2)/(2*$I$5))-(((ABS(J102)/MAX(((F35)+(H35)*(MAX($D$16,(E102)-(J35))))*(MAX($D$16,(E102)-(J35))),0.000001))^2)/(2*$I$5))),$D$8*((((ABS(J102)/MAX(((F35)+(H35)*(MAX($D$16,(E102)-(J35))))*(MAX($D$16,(E102)-(J35))),0.000001))^2)/(2*$I$5))-(((ABS(J102)/MAX(((G35)+(I35)*(MAX($D$16,(N102)-(K35))))*(MAX($D$16,(N102)-(K35))),0.000001))^2)/(2*$I$5)))))+($D$10*(ABS((X35)-(W35))/90)*MAX(((ABS(J102)/MAX(((F35)+(H35)*(MAX($D$16,(E102)-(J35))))*(MAX($D$16,(E102)-(J35))),0.000001))^2)/(2*$I$5),((ABS(J102)/MAX(((G35)+(I35)*(MAX($D$16,(N102)-(K35))))*(MAX($D$16,(N102)-(K35))),0.000001))^2)/(2*$I$5)))+(($D$11*0.34699541*(ABS(I102)/MAX(ABS(G102),0.000001))^2*MAX(((ABS(J102)/MAX(((F35)+(H35)*(MAX($D$16,(E102)-(J35))))*(MAX($D$16,(E102)-(J35))),0.000001))^2)/(2*$I$5),((ABS(J102)/MAX(((G35)+(I35)*(MAX($D$16,(N102)-(K35))))*(MAX($D$16,(N102)-(K35))),0.000001))^2)/(2*$I$5))))-((ABS(J102)/MAX(((F35)+(H35)*(MAX($D$16,(E102)-(J35))))*(MAX($D$16,(E102)-(J35))),0.000001))^2)/(2*$I$5)</f>
        <v>20784.033523923383</v>
      </c>
      <c r="U102">
        <f>(((((F32)*(MAX($D$16,(D102)-(J32)))^2)/2+(H32)*(MAX($D$16,(D102)-(J32)))^3/3+(ABS(G102)^2)/($I$5*MAX(((F32)+(H32)*(MAX($D$16,(D102)-(J32))))*(MAX($D$16,(D102)-(J32))),0.000001)))*0.72785025)-((((F33)*(MAX($D$16,(D102)-(J33)))^2)/2+(H33)*(MAX($D$16,(D102)-(J33)))^3/3+(ABS(H102)^2)/($I$5*MAX(((F33)+(H33)*(MAX($D$16,(D102)-(J33))))*(MAX($D$16,(D102)-(J33))),0.000001)))*0.99999971))/MAX(((G31)*(MAX($D$16,(D102)-(K31)))^2)/2+(I31)*(MAX($D$16,(D102)-(K31)))^3/3+(ABS(F102)^2)/($I$5*MAX(((G31)+(I31)*(MAX($D$16,(D102)-(K31))))*(MAX($D$16,(D102)-(K31))),0.000001)),0.000001)</f>
        <v>-0.27214945999991125</v>
      </c>
      <c r="V102">
        <f>(((((F34)*(MAX($D$16,(E102)-(J34)))^2)/2+(H34)*(MAX($D$16,(E102)-(J34)))^3/3+(ABS(I102)^2)/($I$5*MAX(((F34)+(H34)*(MAX($D$16,(E102)-(J34))))*(MAX($D$16,(E102)-(J34))),0.000001)))*1)-((((F35)*(MAX($D$16,(E102)-(J35)))^2)/2+(H35)*(MAX($D$16,(E102)-(J35)))^3/3+(ABS(J102)^2)/($I$5*MAX(((F35)+(H35)*(MAX($D$16,(E102)-(J35))))*(MAX($D$16,(E102)-(J35))),0.000001)))*0.30600918))/MAX(((G32)*(MAX($D$16,(E102)-(K32)))^2)/2+(I32)*(MAX($D$16,(E102)-(K32)))^3/3+(ABS(G102)^2)/($I$5*MAX(((G32)+(I32)*(MAX($D$16,(E102)-(K32))))*(MAX($D$16,(E102)-(K32))),0.000001)),0.000001)</f>
        <v>0.69398638937190382</v>
      </c>
      <c r="W102">
        <f>IF(N6="None",ABS(P102-D102),MAX(ABS(P102-D102),ABS(Q102-D102)))</f>
        <v>3.4197000786662102E-10</v>
      </c>
      <c r="X102">
        <f>IF(AND(N7="None",N8="None"),0,IF(N8="None",ABS(S102-E102),IF(N7="None",ABS(T102-E102),MAX(ABS(S102-E102),ABS(T102-E102)))))</f>
        <v>51796.641837660965</v>
      </c>
      <c r="AA102">
        <f t="shared" si="18"/>
        <v>52432.141837661293</v>
      </c>
      <c r="AB102">
        <f t="shared" si="19"/>
        <v>41355.303927852816</v>
      </c>
      <c r="AC102">
        <f>IF(N6="None",P102,MAX(P102,Q102))</f>
        <v>52432.141837661518</v>
      </c>
      <c r="AD102">
        <f>IF(AND(N7="None",N8="None"),E102,IF(N8="None",S102,IF(N7="None",T102,MAX(S102,T102))))</f>
        <v>20784.033523923383</v>
      </c>
      <c r="AE102">
        <f t="shared" si="20"/>
        <v>637.65825101089831</v>
      </c>
      <c r="AF102">
        <f t="shared" si="21"/>
        <v>52432.141837661307</v>
      </c>
      <c r="AG102">
        <f>((G31)*(MAX($D$16,(AC102)-(K31)))^2)/2+(I31)*(MAX($D$16,(AC102)-(K31)))^3/3+(ABS(F102)^2)/($I$5*MAX(((G31)+(I31)*(MAX($D$16,(AC102)-(K31))))*(MAX($D$16,(AC102)-(K31))),0.000001))</f>
        <v>8797611517.4114723</v>
      </c>
      <c r="AH102">
        <f>((G31)*(MAX($D$16,(AE102)-(K31)))^2)/2+(I31)*(MAX($D$16,(AE102)-(K31)))^3/3+(ABS(F102)^2)/($I$5*MAX(((G31)+(I31)*(MAX($D$16,(AE102)-(K31))))*(MAX($D$16,(AE102)-(K31))),0.000001))</f>
        <v>49.055863329575246</v>
      </c>
      <c r="AI102">
        <f>((G32)*(MAX($D$16,(AD102)-(K32)))^2)/2+(I32)*(MAX($D$16,(AD102)-(K32)))^3/3+(ABS(G102)^2)/($I$5*MAX(((G32)+(I32)*(MAX($D$16,(AD102)-(K32))))*(MAX($D$16,(AD102)-(K32))),0.000001))</f>
        <v>2072376743.6648321</v>
      </c>
      <c r="AJ102">
        <f>((G32)*(MAX($D$16,(AF102)-(K32)))^2)/2+(I32)*(MAX($D$16,(AF102)-(K32)))^3/3+(ABS(G102)^2)/($I$5*MAX(((G32)+(I32)*(MAX($D$16,(AF102)-(K32))))*(MAX($D$16,(AF102)-(K32))),0.000001))</f>
        <v>13692714789.643721</v>
      </c>
      <c r="AK102" t="str">
        <f t="shared" si="22"/>
        <v>Subcritical</v>
      </c>
      <c r="AL102" t="str">
        <f t="shared" si="23"/>
        <v>Supercritical</v>
      </c>
      <c r="AM102">
        <f t="shared" si="24"/>
        <v>52432.141837661293</v>
      </c>
      <c r="AN102">
        <f t="shared" si="25"/>
        <v>52432.141837661082</v>
      </c>
      <c r="AO102">
        <f t="shared" si="26"/>
        <v>3.4197000786662102E-10</v>
      </c>
      <c r="AP102">
        <f t="shared" si="27"/>
        <v>3.4197000786662102E-10</v>
      </c>
    </row>
    <row r="103" spans="1:42" x14ac:dyDescent="0.35">
      <c r="A103">
        <v>60</v>
      </c>
      <c r="B103">
        <f t="shared" si="28"/>
        <v>0</v>
      </c>
      <c r="C103">
        <f t="shared" si="29"/>
        <v>0</v>
      </c>
      <c r="D103">
        <f t="shared" si="30"/>
        <v>52432.141837661293</v>
      </c>
      <c r="E103">
        <f t="shared" si="31"/>
        <v>52432.141837661082</v>
      </c>
      <c r="F103">
        <f t="shared" si="17"/>
        <v>51</v>
      </c>
      <c r="G103">
        <f>IF(N6="None",F103,MAX(0,F103*B103))</f>
        <v>51</v>
      </c>
      <c r="H103">
        <f>IF(N6="None",0,MAX(0,F103-G103))</f>
        <v>0</v>
      </c>
      <c r="I103">
        <f>IF(AND(N7="None",N8="None"),0,IF(N8="None",G103,IF(N7="None",0,MAX(0,G103*C103))))</f>
        <v>0</v>
      </c>
      <c r="J103">
        <f>IF(AND(N7="None",N8="None"),0,IF(N8="None",0,IF(N7="None",G103,MAX(0,G103-I103))))</f>
        <v>51</v>
      </c>
      <c r="K103">
        <f>P5</f>
        <v>637</v>
      </c>
      <c r="L103">
        <f>P6</f>
        <v>634.3119999999999</v>
      </c>
      <c r="M103">
        <f>P7</f>
        <v>635.5</v>
      </c>
      <c r="N103">
        <f>P8</f>
        <v>631.54999999999995</v>
      </c>
      <c r="O103">
        <f>K103+((ABS(F103)/MAX(((F31)+(H31)*(MAX($D$16,(K103)-(J31))))*(MAX($D$16,(K103)-(J31))),0.000001))^2)/(2*$I$5)-((E31)*((((ABS(F103)*$D$6)/(MAX(((F31)+(H31)*(MAX($D$16,(K103)-(J31))))*(MAX($D$16,(K103)-(J31))),0.000001)*MAX(((((F31)+(H31)*(MAX($D$16,(K103)-(J31))))*(MAX($D$16,(K103)-(J31))))/MAX((F31)+2*(MAX($D$16,(K103)-(J31)))*SQRT(1+(H31)^2),0.000001))^(2/3),0.000001)))^2)+(((ABS(F103)*$D$6)/(MAX(((G31)+(I31)*(MAX($D$16,(D103)-(K31))))*(MAX($D$16,(D103)-(K31))),0.000001)*MAX(((((G31)+(I31)*(MAX($D$16,(D103)-(K31))))*(MAX($D$16,(D103)-(K31))))/MAX((G31)+2*(MAX($D$16,(D103)-(K31)))*SQRT(1+(I31)^2),0.000001))^(2/3),0.000001)))^2))/2)+(IF((ABS(F103)/MAX(((G31)+(I31)*(MAX($D$16,(D103)-(K31))))*(MAX($D$16,(D103)-(K31))),0.000001))&gt;(ABS(F103)/MAX(((F31)+(H31)*(MAX($D$16,(K103)-(J31))))*(MAX($D$16,(K103)-(J31))),0.000001)),$D$9*((((ABS(F103)/MAX(((G31)+(I31)*(MAX($D$16,(D103)-(K31))))*(MAX($D$16,(D103)-(K31))),0.000001))^2)/(2*$I$5))-(((ABS(F103)/MAX(((F31)+(H31)*(MAX($D$16,(K103)-(J31))))*(MAX($D$16,(K103)-(J31))),0.000001))^2)/(2*$I$5))),$D$8*((((ABS(F103)/MAX(((F31)+(H31)*(MAX($D$16,(K103)-(J31))))*(MAX($D$16,(K103)-(J31))),0.000001))^2)/(2*$I$5))-(((ABS(F103)/MAX(((G31)+(I31)*(MAX($D$16,(D103)-(K31))))*(MAX($D$16,(D103)-(K31))),0.000001))^2)/(2*$I$5)))))+($D$10*(ABS((X31)-(W31))/90)*MAX(((ABS(F103)/MAX(((F31)+(H31)*(MAX($D$16,(K103)-(J31))))*(MAX($D$16,(K103)-(J31))),0.000001))^2)/(2*$I$5),((ABS(F103)/MAX(((G31)+(I31)*(MAX($D$16,(D103)-(K31))))*(MAX($D$16,(D103)-(K31))),0.000001))^2)/(2*$I$5)))+(0)-((ABS(F103)/MAX(((G31)+(I31)*(MAX($D$16,(D103)-(K31))))*(MAX($D$16,(D103)-(K31))),0.000001))^2)/(2*$I$5)</f>
        <v>637.65825101089831</v>
      </c>
      <c r="P103">
        <f>E103+((ABS(G103)/MAX(((G32)+(I32)*(MAX($D$16,(E103)-(K32))))*(MAX($D$16,(E103)-(K32))),0.000001))^2)/(2*$I$5)+((E32)*((((ABS(G103)*$D$6)/(MAX(((F32)+(H32)*(MAX($D$16,(D103)-(J32))))*(MAX($D$16,(D103)-(J32))),0.000001)*MAX(((((F32)+(H32)*(MAX($D$16,(D103)-(J32))))*(MAX($D$16,(D103)-(J32))))/MAX((F32)+2*(MAX($D$16,(D103)-(J32)))*SQRT(1+(H32)^2),0.000001))^(2/3),0.000001)))^2)+(((ABS(G103)*$D$6)/(MAX(((G32)+(I32)*(MAX($D$16,(E103)-(K32))))*(MAX($D$16,(E103)-(K32))),0.000001)*MAX(((((G32)+(I32)*(MAX($D$16,(E103)-(K32))))*(MAX($D$16,(E103)-(K32))))/MAX((G32)+2*(MAX($D$16,(E103)-(K32)))*SQRT(1+(I32)^2),0.000001))^(2/3),0.000001)))^2))/2)+(IF((ABS(G103)/MAX(((G32)+(I32)*(MAX($D$16,(E103)-(K32))))*(MAX($D$16,(E103)-(K32))),0.000001))&gt;(ABS(G103)/MAX(((F32)+(H32)*(MAX($D$16,(D103)-(J32))))*(MAX($D$16,(D103)-(J32))),0.000001)),$D$9*((((ABS(G103)/MAX(((G32)+(I32)*(MAX($D$16,(E103)-(K32))))*(MAX($D$16,(E103)-(K32))),0.000001))^2)/(2*$I$5))-(((ABS(G103)/MAX(((F32)+(H32)*(MAX($D$16,(D103)-(J32))))*(MAX($D$16,(D103)-(J32))),0.000001))^2)/(2*$I$5))),$D$8*((((ABS(G103)/MAX(((F32)+(H32)*(MAX($D$16,(D103)-(J32))))*(MAX($D$16,(D103)-(J32))),0.000001))^2)/(2*$I$5))-(((ABS(G103)/MAX(((G32)+(I32)*(MAX($D$16,(E103)-(K32))))*(MAX($D$16,(E103)-(K32))),0.000001))^2)/(2*$I$5)))))+($D$10*(ABS((X32)-(W32))/90)*MAX(((ABS(G103)/MAX(((F32)+(H32)*(MAX($D$16,(D103)-(J32))))*(MAX($D$16,(D103)-(J32))),0.000001))^2)/(2*$I$5),((ABS(G103)/MAX(((G32)+(I32)*(MAX($D$16,(E103)-(K32))))*(MAX($D$16,(E103)-(K32))),0.000001))^2)/(2*$I$5)))+(($D$11*0.13607488*(ABS(H103)/MAX(ABS(F103),0.000001))^2*MAX(((ABS(G103)/MAX(((F32)+(H32)*(MAX($D$16,(D103)-(J32))))*(MAX($D$16,(D103)-(J32))),0.000001))^2)/(2*$I$5),((ABS(G103)/MAX(((G32)+(I32)*(MAX($D$16,(E103)-(K32))))*(MAX($D$16,(E103)-(K32))),0.000001))^2)/(2*$I$5))))-((ABS(G103)/MAX(((F32)+(H32)*(MAX($D$16,(D103)-(J32))))*(MAX($D$16,(D103)-(J32))),0.000001))^2)/(2*$I$5)</f>
        <v>52432.141837661635</v>
      </c>
      <c r="Q103">
        <f>L103+((ABS(H103)/MAX(((G33)+(I33)*(MAX($D$16,(L103)-(K33))))*(MAX($D$16,(L103)-(K33))),0.000001))^2)/(2*$I$5)+((E33)*((((ABS(H103)*$D$6)/(MAX(((F33)+(H33)*(MAX($D$16,(D103)-(J33))))*(MAX($D$16,(D103)-(J33))),0.000001)*MAX(((((F33)+(H33)*(MAX($D$16,(D103)-(J33))))*(MAX($D$16,(D103)-(J33))))/MAX((F33)+2*(MAX($D$16,(D103)-(J33)))*SQRT(1+(H33)^2),0.000001))^(2/3),0.000001)))^2)+(((ABS(H103)*$D$6)/(MAX(((G33)+(I33)*(MAX($D$16,(L103)-(K33))))*(MAX($D$16,(L103)-(K33))),0.000001)*MAX(((((G33)+(I33)*(MAX($D$16,(L103)-(K33))))*(MAX($D$16,(L103)-(K33))))/MAX((G33)+2*(MAX($D$16,(L103)-(K33)))*SQRT(1+(I33)^2),0.000001))^(2/3),0.000001)))^2))/2)+(IF((ABS(H103)/MAX(((G33)+(I33)*(MAX($D$16,(L103)-(K33))))*(MAX($D$16,(L103)-(K33))),0.000001))&gt;(ABS(H103)/MAX(((F33)+(H33)*(MAX($D$16,(D103)-(J33))))*(MAX($D$16,(D103)-(J33))),0.000001)),$D$9*((((ABS(H103)/MAX(((G33)+(I33)*(MAX($D$16,(L103)-(K33))))*(MAX($D$16,(L103)-(K33))),0.000001))^2)/(2*$I$5))-(((ABS(H103)/MAX(((F33)+(H33)*(MAX($D$16,(D103)-(J33))))*(MAX($D$16,(D103)-(J33))),0.000001))^2)/(2*$I$5))),$D$8*((((ABS(H103)/MAX(((F33)+(H33)*(MAX($D$16,(D103)-(J33))))*(MAX($D$16,(D103)-(J33))),0.000001))^2)/(2*$I$5))-(((ABS(H103)/MAX(((G33)+(I33)*(MAX($D$16,(L103)-(K33))))*(MAX($D$16,(L103)-(K33))),0.000001))^2)/(2*$I$5)))))+($D$10*(ABS((X33)-(W33))/90)*MAX(((ABS(H103)/MAX(((F33)+(H33)*(MAX($D$16,(D103)-(J33))))*(MAX($D$16,(D103)-(J33))),0.000001))^2)/(2*$I$5),((ABS(H103)/MAX(((G33)+(I33)*(MAX($D$16,(L103)-(K33))))*(MAX($D$16,(L103)-(K33))),0.000001))^2)/(2*$I$5)))+(($D$11*0.00000015*(ABS(G103)/MAX(ABS(F103),0.000001))^2*MAX(((ABS(H103)/MAX(((F33)+(H33)*(MAX($D$16,(D103)-(J33))))*(MAX($D$16,(D103)-(J33))),0.000001))^2)/(2*$I$5),((ABS(H103)/MAX(((G33)+(I33)*(MAX($D$16,(L103)-(K33))))*(MAX($D$16,(L103)-(K33))),0.000001))^2)/(2*$I$5))))-((ABS(H103)/MAX(((F33)+(H33)*(MAX($D$16,(D103)-(J33))))*(MAX($D$16,(D103)-(J33))),0.000001))^2)/(2*$I$5)</f>
        <v>634.3119999999999</v>
      </c>
      <c r="R103">
        <f>D103+((ABS(G103)/MAX(((F32)+(H32)*(MAX($D$16,(D103)-(J32))))*(MAX($D$16,(D103)-(J32))),0.000001))^2)/(2*$I$5)-((E32)*((((ABS(G103)*$D$6)/(MAX(((F32)+(H32)*(MAX($D$16,(D103)-(J32))))*(MAX($D$16,(D103)-(J32))),0.000001)*MAX(((((F32)+(H32)*(MAX($D$16,(D103)-(J32))))*(MAX($D$16,(D103)-(J32))))/MAX((F32)+2*(MAX($D$16,(D103)-(J32)))*SQRT(1+(H32)^2),0.000001))^(2/3),0.000001)))^2)+(((ABS(G103)*$D$6)/(MAX(((G32)+(I32)*(MAX($D$16,(E103)-(K32))))*(MAX($D$16,(E103)-(K32))),0.000001)*MAX(((((G32)+(I32)*(MAX($D$16,(E103)-(K32))))*(MAX($D$16,(E103)-(K32))))/MAX((G32)+2*(MAX($D$16,(E103)-(K32)))*SQRT(1+(I32)^2),0.000001))^(2/3),0.000001)))^2))/2)+(IF((ABS(G103)/MAX(((G32)+(I32)*(MAX($D$16,(E103)-(K32))))*(MAX($D$16,(E103)-(K32))),0.000001))&gt;(ABS(G103)/MAX(((F32)+(H32)*(MAX($D$16,(D103)-(J32))))*(MAX($D$16,(D103)-(J32))),0.000001)),$D$9*((((ABS(G103)/MAX(((G32)+(I32)*(MAX($D$16,(E103)-(K32))))*(MAX($D$16,(E103)-(K32))),0.000001))^2)/(2*$I$5))-(((ABS(G103)/MAX(((F32)+(H32)*(MAX($D$16,(D103)-(J32))))*(MAX($D$16,(D103)-(J32))),0.000001))^2)/(2*$I$5))),$D$8*((((ABS(G103)/MAX(((F32)+(H32)*(MAX($D$16,(D103)-(J32))))*(MAX($D$16,(D103)-(J32))),0.000001))^2)/(2*$I$5))-(((ABS(G103)/MAX(((G32)+(I32)*(MAX($D$16,(E103)-(K32))))*(MAX($D$16,(E103)-(K32))),0.000001))^2)/(2*$I$5)))))+($D$10*(ABS((X32)-(W32))/90)*MAX(((ABS(G103)/MAX(((F32)+(H32)*(MAX($D$16,(D103)-(J32))))*(MAX($D$16,(D103)-(J32))),0.000001))^2)/(2*$I$5),((ABS(G103)/MAX(((G32)+(I32)*(MAX($D$16,(E103)-(K32))))*(MAX($D$16,(E103)-(K32))),0.000001))^2)/(2*$I$5)))+(($D$11*0.13607488*(ABS(H103)/MAX(ABS(F103),0.000001))^2*MAX(((ABS(G103)/MAX(((F32)+(H32)*(MAX($D$16,(D103)-(J32))))*(MAX($D$16,(D103)-(J32))),0.000001))^2)/(2*$I$5),((ABS(G103)/MAX(((G32)+(I32)*(MAX($D$16,(E103)-(K32))))*(MAX($D$16,(E103)-(K32))),0.000001))^2)/(2*$I$5))))-((ABS(G103)/MAX(((G32)+(I32)*(MAX($D$16,(E103)-(K32))))*(MAX($D$16,(E103)-(K32))),0.000001))^2)/(2*$I$5)</f>
        <v>52432.141837661424</v>
      </c>
      <c r="S103">
        <f>M103+((ABS(I103)/MAX(((G34)+(I34)*(MAX($D$16,(M103)-(K34))))*(MAX($D$16,(M103)-(K34))),0.000001))^2)/(2*$I$5)+((E34)*((((ABS(I103)*$D$6)/(MAX(((F34)+(H34)*(MAX($D$16,(E103)-(J34))))*(MAX($D$16,(E103)-(J34))),0.000001)*MAX(((((F34)+(H34)*(MAX($D$16,(E103)-(J34))))*(MAX($D$16,(E103)-(J34))))/MAX((F34)+2*(MAX($D$16,(E103)-(J34)))*SQRT(1+(H34)^2),0.000001))^(2/3),0.000001)))^2)+(((ABS(I103)*$D$6)/(MAX(((G34)+(I34)*(MAX($D$16,(M103)-(K34))))*(MAX($D$16,(M103)-(K34))),0.000001)*MAX(((((G34)+(I34)*(MAX($D$16,(M103)-(K34))))*(MAX($D$16,(M103)-(K34))))/MAX((G34)+2*(MAX($D$16,(M103)-(K34)))*SQRT(1+(I34)^2),0.000001))^(2/3),0.000001)))^2))/2)+(IF((ABS(I103)/MAX(((G34)+(I34)*(MAX($D$16,(M103)-(K34))))*(MAX($D$16,(M103)-(K34))),0.000001))&gt;(ABS(I103)/MAX(((F34)+(H34)*(MAX($D$16,(E103)-(J34))))*(MAX($D$16,(E103)-(J34))),0.000001)),$D$9*((((ABS(I103)/MAX(((G34)+(I34)*(MAX($D$16,(M103)-(K34))))*(MAX($D$16,(M103)-(K34))),0.000001))^2)/(2*$I$5))-(((ABS(I103)/MAX(((F34)+(H34)*(MAX($D$16,(E103)-(J34))))*(MAX($D$16,(E103)-(J34))),0.000001))^2)/(2*$I$5))),$D$8*((((ABS(I103)/MAX(((F34)+(H34)*(MAX($D$16,(E103)-(J34))))*(MAX($D$16,(E103)-(J34))),0.000001))^2)/(2*$I$5))-(((ABS(I103)/MAX(((G34)+(I34)*(MAX($D$16,(M103)-(K34))))*(MAX($D$16,(M103)-(K34))),0.000001))^2)/(2*$I$5)))))+($D$10*(ABS((X34)-(W34))/90)*MAX(((ABS(I103)/MAX(((F34)+(H34)*(MAX($D$16,(E103)-(J34))))*(MAX($D$16,(E103)-(J34))),0.000001))^2)/(2*$I$5),((ABS(I103)/MAX(((G34)+(I34)*(MAX($D$16,(M103)-(K34))))*(MAX($D$16,(M103)-(K34))),0.000001))^2)/(2*$I$5)))+(0)-((ABS(I103)/MAX(((F34)+(H34)*(MAX($D$16,(E103)-(J34))))*(MAX($D$16,(E103)-(J34))),0.000001))^2)/(2*$I$5)</f>
        <v>635.5</v>
      </c>
      <c r="T103">
        <f>N103+((ABS(J103)/MAX(((G35)+(I35)*(MAX($D$16,(N103)-(K35))))*(MAX($D$16,(N103)-(K35))),0.000001))^2)/(2*$I$5)+((E35)*((((ABS(J103)*$D$6)/(MAX(((F35)+(H35)*(MAX($D$16,(E103)-(J35))))*(MAX($D$16,(E103)-(J35))),0.000001)*MAX(((((F35)+(H35)*(MAX($D$16,(E103)-(J35))))*(MAX($D$16,(E103)-(J35))))/MAX((F35)+2*(MAX($D$16,(E103)-(J35)))*SQRT(1+(H35)^2),0.000001))^(2/3),0.000001)))^2)+(((ABS(J103)*$D$6)/(MAX(((G35)+(I35)*(MAX($D$16,(N103)-(K35))))*(MAX($D$16,(N103)-(K35))),0.000001)*MAX(((((G35)+(I35)*(MAX($D$16,(N103)-(K35))))*(MAX($D$16,(N103)-(K35))))/MAX((G35)+2*(MAX($D$16,(N103)-(K35)))*SQRT(1+(I35)^2),0.000001))^(2/3),0.000001)))^2))/2)+(IF((ABS(J103)/MAX(((G35)+(I35)*(MAX($D$16,(N103)-(K35))))*(MAX($D$16,(N103)-(K35))),0.000001))&gt;(ABS(J103)/MAX(((F35)+(H35)*(MAX($D$16,(E103)-(J35))))*(MAX($D$16,(E103)-(J35))),0.000001)),$D$9*((((ABS(J103)/MAX(((G35)+(I35)*(MAX($D$16,(N103)-(K35))))*(MAX($D$16,(N103)-(K35))),0.000001))^2)/(2*$I$5))-(((ABS(J103)/MAX(((F35)+(H35)*(MAX($D$16,(E103)-(J35))))*(MAX($D$16,(E103)-(J35))),0.000001))^2)/(2*$I$5))),$D$8*((((ABS(J103)/MAX(((F35)+(H35)*(MAX($D$16,(E103)-(J35))))*(MAX($D$16,(E103)-(J35))),0.000001))^2)/(2*$I$5))-(((ABS(J103)/MAX(((G35)+(I35)*(MAX($D$16,(N103)-(K35))))*(MAX($D$16,(N103)-(K35))),0.000001))^2)/(2*$I$5)))))+($D$10*(ABS((X35)-(W35))/90)*MAX(((ABS(J103)/MAX(((F35)+(H35)*(MAX($D$16,(E103)-(J35))))*(MAX($D$16,(E103)-(J35))),0.000001))^2)/(2*$I$5),((ABS(J103)/MAX(((G35)+(I35)*(MAX($D$16,(N103)-(K35))))*(MAX($D$16,(N103)-(K35))),0.000001))^2)/(2*$I$5)))+(($D$11*0.34699541*(ABS(I103)/MAX(ABS(G103),0.000001))^2*MAX(((ABS(J103)/MAX(((F35)+(H35)*(MAX($D$16,(E103)-(J35))))*(MAX($D$16,(E103)-(J35))),0.000001))^2)/(2*$I$5),((ABS(J103)/MAX(((G35)+(I35)*(MAX($D$16,(N103)-(K35))))*(MAX($D$16,(N103)-(K35))),0.000001))^2)/(2*$I$5))))-((ABS(J103)/MAX(((F35)+(H35)*(MAX($D$16,(E103)-(J35))))*(MAX($D$16,(E103)-(J35))),0.000001))^2)/(2*$I$5)</f>
        <v>20784.033523923383</v>
      </c>
      <c r="U103">
        <f>(((((F32)*(MAX($D$16,(D103)-(J32)))^2)/2+(H32)*(MAX($D$16,(D103)-(J32)))^3/3+(ABS(G103)^2)/($I$5*MAX(((F32)+(H32)*(MAX($D$16,(D103)-(J32))))*(MAX($D$16,(D103)-(J32))),0.000001)))*0.72785025)-((((F33)*(MAX($D$16,(D103)-(J33)))^2)/2+(H33)*(MAX($D$16,(D103)-(J33)))^3/3+(ABS(H103)^2)/($I$5*MAX(((F33)+(H33)*(MAX($D$16,(D103)-(J33))))*(MAX($D$16,(D103)-(J33))),0.000001)))*0.99999971))/MAX(((G31)*(MAX($D$16,(D103)-(K31)))^2)/2+(I31)*(MAX($D$16,(D103)-(K31)))^3/3+(ABS(F103)^2)/($I$5*MAX(((G31)+(I31)*(MAX($D$16,(D103)-(K31))))*(MAX($D$16,(D103)-(K31))),0.000001)),0.000001)</f>
        <v>-0.27214945999991125</v>
      </c>
      <c r="V103">
        <f>(((((F34)*(MAX($D$16,(E103)-(J34)))^2)/2+(H34)*(MAX($D$16,(E103)-(J34)))^3/3+(ABS(I103)^2)/($I$5*MAX(((F34)+(H34)*(MAX($D$16,(E103)-(J34))))*(MAX($D$16,(E103)-(J34))),0.000001)))*1)-((((F35)*(MAX($D$16,(E103)-(J35)))^2)/2+(H35)*(MAX($D$16,(E103)-(J35)))^3/3+(ABS(J103)^2)/($I$5*MAX(((F35)+(H35)*(MAX($D$16,(E103)-(J35))))*(MAX($D$16,(E103)-(J35))),0.000001)))*0.30600918))/MAX(((G32)*(MAX($D$16,(E103)-(K32)))^2)/2+(I32)*(MAX($D$16,(E103)-(K32)))^3/3+(ABS(G103)^2)/($I$5*MAX(((G32)+(I32)*(MAX($D$16,(E103)-(K32))))*(MAX($D$16,(E103)-(K32))),0.000001)),0.000001)</f>
        <v>0.69398638937190393</v>
      </c>
      <c r="W103">
        <f>IF(N6="None",ABS(P103-D103),MAX(ABS(P103-D103),ABS(Q103-D103)))</f>
        <v>3.4197000786662102E-10</v>
      </c>
      <c r="X103">
        <f>IF(AND(N7="None",N8="None"),0,IF(N8="None",ABS(S103-E103),IF(N7="None",ABS(T103-E103),MAX(ABS(S103-E103),ABS(T103-E103)))))</f>
        <v>51796.641837661082</v>
      </c>
      <c r="AA103">
        <f t="shared" si="18"/>
        <v>52432.141837661409</v>
      </c>
      <c r="AB103">
        <f t="shared" si="19"/>
        <v>41355.303927852889</v>
      </c>
      <c r="AC103">
        <f>IF(N6="None",P103,MAX(P103,Q103))</f>
        <v>52432.141837661635</v>
      </c>
      <c r="AD103">
        <f>IF(AND(N7="None",N8="None"),E103,IF(N8="None",S103,IF(N7="None",T103,MAX(S103,T103))))</f>
        <v>20784.033523923383</v>
      </c>
      <c r="AE103">
        <f t="shared" si="20"/>
        <v>637.65825101089831</v>
      </c>
      <c r="AF103">
        <f t="shared" si="21"/>
        <v>52432.141837661424</v>
      </c>
      <c r="AG103">
        <f>((G31)*(MAX($D$16,(AC103)-(K31)))^2)/2+(I31)*(MAX($D$16,(AC103)-(K31)))^3/3+(ABS(F103)^2)/($I$5*MAX(((G31)+(I31)*(MAX($D$16,(AC103)-(K31))))*(MAX($D$16,(AC103)-(K31))),0.000001))</f>
        <v>8797611517.4115105</v>
      </c>
      <c r="AH103">
        <f>((G31)*(MAX($D$16,(AE103)-(K31)))^2)/2+(I31)*(MAX($D$16,(AE103)-(K31)))^3/3+(ABS(F103)^2)/($I$5*MAX(((G31)+(I31)*(MAX($D$16,(AE103)-(K31))))*(MAX($D$16,(AE103)-(K31))),0.000001))</f>
        <v>49.055863329575246</v>
      </c>
      <c r="AI103">
        <f>((G32)*(MAX($D$16,(AD103)-(K32)))^2)/2+(I32)*(MAX($D$16,(AD103)-(K32)))^3/3+(ABS(G103)^2)/($I$5*MAX(((G32)+(I32)*(MAX($D$16,(AD103)-(K32))))*(MAX($D$16,(AD103)-(K32))),0.000001))</f>
        <v>2072376743.6648321</v>
      </c>
      <c r="AJ103">
        <f>((G32)*(MAX($D$16,(AF103)-(K32)))^2)/2+(I32)*(MAX($D$16,(AF103)-(K32)))^3/3+(ABS(G103)^2)/($I$5*MAX(((G32)+(I32)*(MAX($D$16,(AF103)-(K32))))*(MAX($D$16,(AF103)-(K32))),0.000001))</f>
        <v>13692714789.643782</v>
      </c>
      <c r="AK103" t="str">
        <f t="shared" si="22"/>
        <v>Subcritical</v>
      </c>
      <c r="AL103" t="str">
        <f t="shared" si="23"/>
        <v>Supercritical</v>
      </c>
      <c r="AM103">
        <f t="shared" si="24"/>
        <v>52432.141837661409</v>
      </c>
      <c r="AN103">
        <f t="shared" si="25"/>
        <v>52432.141837661198</v>
      </c>
      <c r="AO103">
        <f t="shared" si="26"/>
        <v>3.4197000786662102E-10</v>
      </c>
      <c r="AP103">
        <f t="shared" si="27"/>
        <v>3.4197000786662102E-10</v>
      </c>
    </row>
    <row r="104" spans="1:42" x14ac:dyDescent="0.35">
      <c r="A104">
        <v>61</v>
      </c>
      <c r="B104">
        <f t="shared" si="28"/>
        <v>0</v>
      </c>
      <c r="C104">
        <f t="shared" si="29"/>
        <v>0</v>
      </c>
      <c r="D104">
        <f t="shared" si="30"/>
        <v>52432.141837661409</v>
      </c>
      <c r="E104">
        <f t="shared" si="31"/>
        <v>52432.141837661198</v>
      </c>
      <c r="F104">
        <f t="shared" si="17"/>
        <v>51</v>
      </c>
      <c r="G104">
        <f>IF(N6="None",F104,MAX(0,F104*B104))</f>
        <v>51</v>
      </c>
      <c r="H104">
        <f>IF(N6="None",0,MAX(0,F104-G104))</f>
        <v>0</v>
      </c>
      <c r="I104">
        <f>IF(AND(N7="None",N8="None"),0,IF(N8="None",G104,IF(N7="None",0,MAX(0,G104*C104))))</f>
        <v>0</v>
      </c>
      <c r="J104">
        <f>IF(AND(N7="None",N8="None"),0,IF(N8="None",0,IF(N7="None",G104,MAX(0,G104-I104))))</f>
        <v>51</v>
      </c>
      <c r="K104">
        <f>P5</f>
        <v>637</v>
      </c>
      <c r="L104">
        <f>P6</f>
        <v>634.3119999999999</v>
      </c>
      <c r="M104">
        <f>P7</f>
        <v>635.5</v>
      </c>
      <c r="N104">
        <f>P8</f>
        <v>631.54999999999995</v>
      </c>
      <c r="O104">
        <f>K104+((ABS(F104)/MAX(((F31)+(H31)*(MAX($D$16,(K104)-(J31))))*(MAX($D$16,(K104)-(J31))),0.000001))^2)/(2*$I$5)-((E31)*((((ABS(F104)*$D$6)/(MAX(((F31)+(H31)*(MAX($D$16,(K104)-(J31))))*(MAX($D$16,(K104)-(J31))),0.000001)*MAX(((((F31)+(H31)*(MAX($D$16,(K104)-(J31))))*(MAX($D$16,(K104)-(J31))))/MAX((F31)+2*(MAX($D$16,(K104)-(J31)))*SQRT(1+(H31)^2),0.000001))^(2/3),0.000001)))^2)+(((ABS(F104)*$D$6)/(MAX(((G31)+(I31)*(MAX($D$16,(D104)-(K31))))*(MAX($D$16,(D104)-(K31))),0.000001)*MAX(((((G31)+(I31)*(MAX($D$16,(D104)-(K31))))*(MAX($D$16,(D104)-(K31))))/MAX((G31)+2*(MAX($D$16,(D104)-(K31)))*SQRT(1+(I31)^2),0.000001))^(2/3),0.000001)))^2))/2)+(IF((ABS(F104)/MAX(((G31)+(I31)*(MAX($D$16,(D104)-(K31))))*(MAX($D$16,(D104)-(K31))),0.000001))&gt;(ABS(F104)/MAX(((F31)+(H31)*(MAX($D$16,(K104)-(J31))))*(MAX($D$16,(K104)-(J31))),0.000001)),$D$9*((((ABS(F104)/MAX(((G31)+(I31)*(MAX($D$16,(D104)-(K31))))*(MAX($D$16,(D104)-(K31))),0.000001))^2)/(2*$I$5))-(((ABS(F104)/MAX(((F31)+(H31)*(MAX($D$16,(K104)-(J31))))*(MAX($D$16,(K104)-(J31))),0.000001))^2)/(2*$I$5))),$D$8*((((ABS(F104)/MAX(((F31)+(H31)*(MAX($D$16,(K104)-(J31))))*(MAX($D$16,(K104)-(J31))),0.000001))^2)/(2*$I$5))-(((ABS(F104)/MAX(((G31)+(I31)*(MAX($D$16,(D104)-(K31))))*(MAX($D$16,(D104)-(K31))),0.000001))^2)/(2*$I$5)))))+($D$10*(ABS((X31)-(W31))/90)*MAX(((ABS(F104)/MAX(((F31)+(H31)*(MAX($D$16,(K104)-(J31))))*(MAX($D$16,(K104)-(J31))),0.000001))^2)/(2*$I$5),((ABS(F104)/MAX(((G31)+(I31)*(MAX($D$16,(D104)-(K31))))*(MAX($D$16,(D104)-(K31))),0.000001))^2)/(2*$I$5)))+(0)-((ABS(F104)/MAX(((G31)+(I31)*(MAX($D$16,(D104)-(K31))))*(MAX($D$16,(D104)-(K31))),0.000001))^2)/(2*$I$5)</f>
        <v>637.65825101089831</v>
      </c>
      <c r="P104">
        <f>E104+((ABS(G104)/MAX(((G32)+(I32)*(MAX($D$16,(E104)-(K32))))*(MAX($D$16,(E104)-(K32))),0.000001))^2)/(2*$I$5)+((E32)*((((ABS(G104)*$D$6)/(MAX(((F32)+(H32)*(MAX($D$16,(D104)-(J32))))*(MAX($D$16,(D104)-(J32))),0.000001)*MAX(((((F32)+(H32)*(MAX($D$16,(D104)-(J32))))*(MAX($D$16,(D104)-(J32))))/MAX((F32)+2*(MAX($D$16,(D104)-(J32)))*SQRT(1+(H32)^2),0.000001))^(2/3),0.000001)))^2)+(((ABS(G104)*$D$6)/(MAX(((G32)+(I32)*(MAX($D$16,(E104)-(K32))))*(MAX($D$16,(E104)-(K32))),0.000001)*MAX(((((G32)+(I32)*(MAX($D$16,(E104)-(K32))))*(MAX($D$16,(E104)-(K32))))/MAX((G32)+2*(MAX($D$16,(E104)-(K32)))*SQRT(1+(I32)^2),0.000001))^(2/3),0.000001)))^2))/2)+(IF((ABS(G104)/MAX(((G32)+(I32)*(MAX($D$16,(E104)-(K32))))*(MAX($D$16,(E104)-(K32))),0.000001))&gt;(ABS(G104)/MAX(((F32)+(H32)*(MAX($D$16,(D104)-(J32))))*(MAX($D$16,(D104)-(J32))),0.000001)),$D$9*((((ABS(G104)/MAX(((G32)+(I32)*(MAX($D$16,(E104)-(K32))))*(MAX($D$16,(E104)-(K32))),0.000001))^2)/(2*$I$5))-(((ABS(G104)/MAX(((F32)+(H32)*(MAX($D$16,(D104)-(J32))))*(MAX($D$16,(D104)-(J32))),0.000001))^2)/(2*$I$5))),$D$8*((((ABS(G104)/MAX(((F32)+(H32)*(MAX($D$16,(D104)-(J32))))*(MAX($D$16,(D104)-(J32))),0.000001))^2)/(2*$I$5))-(((ABS(G104)/MAX(((G32)+(I32)*(MAX($D$16,(E104)-(K32))))*(MAX($D$16,(E104)-(K32))),0.000001))^2)/(2*$I$5)))))+($D$10*(ABS((X32)-(W32))/90)*MAX(((ABS(G104)/MAX(((F32)+(H32)*(MAX($D$16,(D104)-(J32))))*(MAX($D$16,(D104)-(J32))),0.000001))^2)/(2*$I$5),((ABS(G104)/MAX(((G32)+(I32)*(MAX($D$16,(E104)-(K32))))*(MAX($D$16,(E104)-(K32))),0.000001))^2)/(2*$I$5)))+(($D$11*0.13607488*(ABS(H104)/MAX(ABS(F104),0.000001))^2*MAX(((ABS(G104)/MAX(((F32)+(H32)*(MAX($D$16,(D104)-(J32))))*(MAX($D$16,(D104)-(J32))),0.000001))^2)/(2*$I$5),((ABS(G104)/MAX(((G32)+(I32)*(MAX($D$16,(E104)-(K32))))*(MAX($D$16,(E104)-(K32))),0.000001))^2)/(2*$I$5))))-((ABS(G104)/MAX(((F32)+(H32)*(MAX($D$16,(D104)-(J32))))*(MAX($D$16,(D104)-(J32))),0.000001))^2)/(2*$I$5)</f>
        <v>52432.141837661751</v>
      </c>
      <c r="Q104">
        <f>L104+((ABS(H104)/MAX(((G33)+(I33)*(MAX($D$16,(L104)-(K33))))*(MAX($D$16,(L104)-(K33))),0.000001))^2)/(2*$I$5)+((E33)*((((ABS(H104)*$D$6)/(MAX(((F33)+(H33)*(MAX($D$16,(D104)-(J33))))*(MAX($D$16,(D104)-(J33))),0.000001)*MAX(((((F33)+(H33)*(MAX($D$16,(D104)-(J33))))*(MAX($D$16,(D104)-(J33))))/MAX((F33)+2*(MAX($D$16,(D104)-(J33)))*SQRT(1+(H33)^2),0.000001))^(2/3),0.000001)))^2)+(((ABS(H104)*$D$6)/(MAX(((G33)+(I33)*(MAX($D$16,(L104)-(K33))))*(MAX($D$16,(L104)-(K33))),0.000001)*MAX(((((G33)+(I33)*(MAX($D$16,(L104)-(K33))))*(MAX($D$16,(L104)-(K33))))/MAX((G33)+2*(MAX($D$16,(L104)-(K33)))*SQRT(1+(I33)^2),0.000001))^(2/3),0.000001)))^2))/2)+(IF((ABS(H104)/MAX(((G33)+(I33)*(MAX($D$16,(L104)-(K33))))*(MAX($D$16,(L104)-(K33))),0.000001))&gt;(ABS(H104)/MAX(((F33)+(H33)*(MAX($D$16,(D104)-(J33))))*(MAX($D$16,(D104)-(J33))),0.000001)),$D$9*((((ABS(H104)/MAX(((G33)+(I33)*(MAX($D$16,(L104)-(K33))))*(MAX($D$16,(L104)-(K33))),0.000001))^2)/(2*$I$5))-(((ABS(H104)/MAX(((F33)+(H33)*(MAX($D$16,(D104)-(J33))))*(MAX($D$16,(D104)-(J33))),0.000001))^2)/(2*$I$5))),$D$8*((((ABS(H104)/MAX(((F33)+(H33)*(MAX($D$16,(D104)-(J33))))*(MAX($D$16,(D104)-(J33))),0.000001))^2)/(2*$I$5))-(((ABS(H104)/MAX(((G33)+(I33)*(MAX($D$16,(L104)-(K33))))*(MAX($D$16,(L104)-(K33))),0.000001))^2)/(2*$I$5)))))+($D$10*(ABS((X33)-(W33))/90)*MAX(((ABS(H104)/MAX(((F33)+(H33)*(MAX($D$16,(D104)-(J33))))*(MAX($D$16,(D104)-(J33))),0.000001))^2)/(2*$I$5),((ABS(H104)/MAX(((G33)+(I33)*(MAX($D$16,(L104)-(K33))))*(MAX($D$16,(L104)-(K33))),0.000001))^2)/(2*$I$5)))+(($D$11*0.00000015*(ABS(G104)/MAX(ABS(F104),0.000001))^2*MAX(((ABS(H104)/MAX(((F33)+(H33)*(MAX($D$16,(D104)-(J33))))*(MAX($D$16,(D104)-(J33))),0.000001))^2)/(2*$I$5),((ABS(H104)/MAX(((G33)+(I33)*(MAX($D$16,(L104)-(K33))))*(MAX($D$16,(L104)-(K33))),0.000001))^2)/(2*$I$5))))-((ABS(H104)/MAX(((F33)+(H33)*(MAX($D$16,(D104)-(J33))))*(MAX($D$16,(D104)-(J33))),0.000001))^2)/(2*$I$5)</f>
        <v>634.3119999999999</v>
      </c>
      <c r="R104">
        <f>D104+((ABS(G104)/MAX(((F32)+(H32)*(MAX($D$16,(D104)-(J32))))*(MAX($D$16,(D104)-(J32))),0.000001))^2)/(2*$I$5)-((E32)*((((ABS(G104)*$D$6)/(MAX(((F32)+(H32)*(MAX($D$16,(D104)-(J32))))*(MAX($D$16,(D104)-(J32))),0.000001)*MAX(((((F32)+(H32)*(MAX($D$16,(D104)-(J32))))*(MAX($D$16,(D104)-(J32))))/MAX((F32)+2*(MAX($D$16,(D104)-(J32)))*SQRT(1+(H32)^2),0.000001))^(2/3),0.000001)))^2)+(((ABS(G104)*$D$6)/(MAX(((G32)+(I32)*(MAX($D$16,(E104)-(K32))))*(MAX($D$16,(E104)-(K32))),0.000001)*MAX(((((G32)+(I32)*(MAX($D$16,(E104)-(K32))))*(MAX($D$16,(E104)-(K32))))/MAX((G32)+2*(MAX($D$16,(E104)-(K32)))*SQRT(1+(I32)^2),0.000001))^(2/3),0.000001)))^2))/2)+(IF((ABS(G104)/MAX(((G32)+(I32)*(MAX($D$16,(E104)-(K32))))*(MAX($D$16,(E104)-(K32))),0.000001))&gt;(ABS(G104)/MAX(((F32)+(H32)*(MAX($D$16,(D104)-(J32))))*(MAX($D$16,(D104)-(J32))),0.000001)),$D$9*((((ABS(G104)/MAX(((G32)+(I32)*(MAX($D$16,(E104)-(K32))))*(MAX($D$16,(E104)-(K32))),0.000001))^2)/(2*$I$5))-(((ABS(G104)/MAX(((F32)+(H32)*(MAX($D$16,(D104)-(J32))))*(MAX($D$16,(D104)-(J32))),0.000001))^2)/(2*$I$5))),$D$8*((((ABS(G104)/MAX(((F32)+(H32)*(MAX($D$16,(D104)-(J32))))*(MAX($D$16,(D104)-(J32))),0.000001))^2)/(2*$I$5))-(((ABS(G104)/MAX(((G32)+(I32)*(MAX($D$16,(E104)-(K32))))*(MAX($D$16,(E104)-(K32))),0.000001))^2)/(2*$I$5)))))+($D$10*(ABS((X32)-(W32))/90)*MAX(((ABS(G104)/MAX(((F32)+(H32)*(MAX($D$16,(D104)-(J32))))*(MAX($D$16,(D104)-(J32))),0.000001))^2)/(2*$I$5),((ABS(G104)/MAX(((G32)+(I32)*(MAX($D$16,(E104)-(K32))))*(MAX($D$16,(E104)-(K32))),0.000001))^2)/(2*$I$5)))+(($D$11*0.13607488*(ABS(H104)/MAX(ABS(F104),0.000001))^2*MAX(((ABS(G104)/MAX(((F32)+(H32)*(MAX($D$16,(D104)-(J32))))*(MAX($D$16,(D104)-(J32))),0.000001))^2)/(2*$I$5),((ABS(G104)/MAX(((G32)+(I32)*(MAX($D$16,(E104)-(K32))))*(MAX($D$16,(E104)-(K32))),0.000001))^2)/(2*$I$5))))-((ABS(G104)/MAX(((G32)+(I32)*(MAX($D$16,(E104)-(K32))))*(MAX($D$16,(E104)-(K32))),0.000001))^2)/(2*$I$5)</f>
        <v>52432.14183766154</v>
      </c>
      <c r="S104">
        <f>M104+((ABS(I104)/MAX(((G34)+(I34)*(MAX($D$16,(M104)-(K34))))*(MAX($D$16,(M104)-(K34))),0.000001))^2)/(2*$I$5)+((E34)*((((ABS(I104)*$D$6)/(MAX(((F34)+(H34)*(MAX($D$16,(E104)-(J34))))*(MAX($D$16,(E104)-(J34))),0.000001)*MAX(((((F34)+(H34)*(MAX($D$16,(E104)-(J34))))*(MAX($D$16,(E104)-(J34))))/MAX((F34)+2*(MAX($D$16,(E104)-(J34)))*SQRT(1+(H34)^2),0.000001))^(2/3),0.000001)))^2)+(((ABS(I104)*$D$6)/(MAX(((G34)+(I34)*(MAX($D$16,(M104)-(K34))))*(MAX($D$16,(M104)-(K34))),0.000001)*MAX(((((G34)+(I34)*(MAX($D$16,(M104)-(K34))))*(MAX($D$16,(M104)-(K34))))/MAX((G34)+2*(MAX($D$16,(M104)-(K34)))*SQRT(1+(I34)^2),0.000001))^(2/3),0.000001)))^2))/2)+(IF((ABS(I104)/MAX(((G34)+(I34)*(MAX($D$16,(M104)-(K34))))*(MAX($D$16,(M104)-(K34))),0.000001))&gt;(ABS(I104)/MAX(((F34)+(H34)*(MAX($D$16,(E104)-(J34))))*(MAX($D$16,(E104)-(J34))),0.000001)),$D$9*((((ABS(I104)/MAX(((G34)+(I34)*(MAX($D$16,(M104)-(K34))))*(MAX($D$16,(M104)-(K34))),0.000001))^2)/(2*$I$5))-(((ABS(I104)/MAX(((F34)+(H34)*(MAX($D$16,(E104)-(J34))))*(MAX($D$16,(E104)-(J34))),0.000001))^2)/(2*$I$5))),$D$8*((((ABS(I104)/MAX(((F34)+(H34)*(MAX($D$16,(E104)-(J34))))*(MAX($D$16,(E104)-(J34))),0.000001))^2)/(2*$I$5))-(((ABS(I104)/MAX(((G34)+(I34)*(MAX($D$16,(M104)-(K34))))*(MAX($D$16,(M104)-(K34))),0.000001))^2)/(2*$I$5)))))+($D$10*(ABS((X34)-(W34))/90)*MAX(((ABS(I104)/MAX(((F34)+(H34)*(MAX($D$16,(E104)-(J34))))*(MAX($D$16,(E104)-(J34))),0.000001))^2)/(2*$I$5),((ABS(I104)/MAX(((G34)+(I34)*(MAX($D$16,(M104)-(K34))))*(MAX($D$16,(M104)-(K34))),0.000001))^2)/(2*$I$5)))+(0)-((ABS(I104)/MAX(((F34)+(H34)*(MAX($D$16,(E104)-(J34))))*(MAX($D$16,(E104)-(J34))),0.000001))^2)/(2*$I$5)</f>
        <v>635.5</v>
      </c>
      <c r="T104">
        <f>N104+((ABS(J104)/MAX(((G35)+(I35)*(MAX($D$16,(N104)-(K35))))*(MAX($D$16,(N104)-(K35))),0.000001))^2)/(2*$I$5)+((E35)*((((ABS(J104)*$D$6)/(MAX(((F35)+(H35)*(MAX($D$16,(E104)-(J35))))*(MAX($D$16,(E104)-(J35))),0.000001)*MAX(((((F35)+(H35)*(MAX($D$16,(E104)-(J35))))*(MAX($D$16,(E104)-(J35))))/MAX((F35)+2*(MAX($D$16,(E104)-(J35)))*SQRT(1+(H35)^2),0.000001))^(2/3),0.000001)))^2)+(((ABS(J104)*$D$6)/(MAX(((G35)+(I35)*(MAX($D$16,(N104)-(K35))))*(MAX($D$16,(N104)-(K35))),0.000001)*MAX(((((G35)+(I35)*(MAX($D$16,(N104)-(K35))))*(MAX($D$16,(N104)-(K35))))/MAX((G35)+2*(MAX($D$16,(N104)-(K35)))*SQRT(1+(I35)^2),0.000001))^(2/3),0.000001)))^2))/2)+(IF((ABS(J104)/MAX(((G35)+(I35)*(MAX($D$16,(N104)-(K35))))*(MAX($D$16,(N104)-(K35))),0.000001))&gt;(ABS(J104)/MAX(((F35)+(H35)*(MAX($D$16,(E104)-(J35))))*(MAX($D$16,(E104)-(J35))),0.000001)),$D$9*((((ABS(J104)/MAX(((G35)+(I35)*(MAX($D$16,(N104)-(K35))))*(MAX($D$16,(N104)-(K35))),0.000001))^2)/(2*$I$5))-(((ABS(J104)/MAX(((F35)+(H35)*(MAX($D$16,(E104)-(J35))))*(MAX($D$16,(E104)-(J35))),0.000001))^2)/(2*$I$5))),$D$8*((((ABS(J104)/MAX(((F35)+(H35)*(MAX($D$16,(E104)-(J35))))*(MAX($D$16,(E104)-(J35))),0.000001))^2)/(2*$I$5))-(((ABS(J104)/MAX(((G35)+(I35)*(MAX($D$16,(N104)-(K35))))*(MAX($D$16,(N104)-(K35))),0.000001))^2)/(2*$I$5)))))+($D$10*(ABS((X35)-(W35))/90)*MAX(((ABS(J104)/MAX(((F35)+(H35)*(MAX($D$16,(E104)-(J35))))*(MAX($D$16,(E104)-(J35))),0.000001))^2)/(2*$I$5),((ABS(J104)/MAX(((G35)+(I35)*(MAX($D$16,(N104)-(K35))))*(MAX($D$16,(N104)-(K35))),0.000001))^2)/(2*$I$5)))+(($D$11*0.34699541*(ABS(I104)/MAX(ABS(G104),0.000001))^2*MAX(((ABS(J104)/MAX(((F35)+(H35)*(MAX($D$16,(E104)-(J35))))*(MAX($D$16,(E104)-(J35))),0.000001))^2)/(2*$I$5),((ABS(J104)/MAX(((G35)+(I35)*(MAX($D$16,(N104)-(K35))))*(MAX($D$16,(N104)-(K35))),0.000001))^2)/(2*$I$5))))-((ABS(J104)/MAX(((F35)+(H35)*(MAX($D$16,(E104)-(J35))))*(MAX($D$16,(E104)-(J35))),0.000001))^2)/(2*$I$5)</f>
        <v>20784.033523923383</v>
      </c>
      <c r="U104">
        <f>(((((F32)*(MAX($D$16,(D104)-(J32)))^2)/2+(H32)*(MAX($D$16,(D104)-(J32)))^3/3+(ABS(G104)^2)/($I$5*MAX(((F32)+(H32)*(MAX($D$16,(D104)-(J32))))*(MAX($D$16,(D104)-(J32))),0.000001)))*0.72785025)-((((F33)*(MAX($D$16,(D104)-(J33)))^2)/2+(H33)*(MAX($D$16,(D104)-(J33)))^3/3+(ABS(H104)^2)/($I$5*MAX(((F33)+(H33)*(MAX($D$16,(D104)-(J33))))*(MAX($D$16,(D104)-(J33))),0.000001)))*0.99999971))/MAX(((G31)*(MAX($D$16,(D104)-(K31)))^2)/2+(I31)*(MAX($D$16,(D104)-(K31)))^3/3+(ABS(F104)^2)/($I$5*MAX(((G31)+(I31)*(MAX($D$16,(D104)-(K31))))*(MAX($D$16,(D104)-(K31))),0.000001)),0.000001)</f>
        <v>-0.27214945999991125</v>
      </c>
      <c r="V104">
        <f>(((((F34)*(MAX($D$16,(E104)-(J34)))^2)/2+(H34)*(MAX($D$16,(E104)-(J34)))^3/3+(ABS(I104)^2)/($I$5*MAX(((F34)+(H34)*(MAX($D$16,(E104)-(J34))))*(MAX($D$16,(E104)-(J34))),0.000001)))*1)-((((F35)*(MAX($D$16,(E104)-(J35)))^2)/2+(H35)*(MAX($D$16,(E104)-(J35)))^3/3+(ABS(J104)^2)/($I$5*MAX(((F35)+(H35)*(MAX($D$16,(E104)-(J35))))*(MAX($D$16,(E104)-(J35))),0.000001)))*0.30600918))/MAX(((G32)*(MAX($D$16,(E104)-(K32)))^2)/2+(I32)*(MAX($D$16,(E104)-(K32)))^3/3+(ABS(G104)^2)/($I$5*MAX(((G32)+(I32)*(MAX($D$16,(E104)-(K32))))*(MAX($D$16,(E104)-(K32))),0.000001)),0.000001)</f>
        <v>0.69398638937190382</v>
      </c>
      <c r="W104">
        <f>IF(N6="None",ABS(P104-D104),MAX(ABS(P104-D104),ABS(Q104-D104)))</f>
        <v>3.4197000786662102E-10</v>
      </c>
      <c r="X104">
        <f>IF(AND(N7="None",N8="None"),0,IF(N8="None",ABS(S104-E104),IF(N7="None",ABS(T104-E104),MAX(ABS(S104-E104),ABS(T104-E104)))))</f>
        <v>51796.641837661198</v>
      </c>
      <c r="AA104">
        <f t="shared" si="18"/>
        <v>52432.141837661526</v>
      </c>
      <c r="AB104">
        <f t="shared" si="19"/>
        <v>41355.303927852961</v>
      </c>
      <c r="AC104">
        <f>IF(N6="None",P104,MAX(P104,Q104))</f>
        <v>52432.141837661751</v>
      </c>
      <c r="AD104">
        <f>IF(AND(N7="None",N8="None"),E104,IF(N8="None",S104,IF(N7="None",T104,MAX(S104,T104))))</f>
        <v>20784.033523923383</v>
      </c>
      <c r="AE104">
        <f t="shared" si="20"/>
        <v>637.65825101089831</v>
      </c>
      <c r="AF104">
        <f t="shared" si="21"/>
        <v>52432.14183766154</v>
      </c>
      <c r="AG104">
        <f>((G31)*(MAX($D$16,(AC104)-(K31)))^2)/2+(I31)*(MAX($D$16,(AC104)-(K31)))^3/3+(ABS(F104)^2)/($I$5*MAX(((G31)+(I31)*(MAX($D$16,(AC104)-(K31))))*(MAX($D$16,(AC104)-(K31))),0.000001))</f>
        <v>8797611517.4115505</v>
      </c>
      <c r="AH104">
        <f>((G31)*(MAX($D$16,(AE104)-(K31)))^2)/2+(I31)*(MAX($D$16,(AE104)-(K31)))^3/3+(ABS(F104)^2)/($I$5*MAX(((G31)+(I31)*(MAX($D$16,(AE104)-(K31))))*(MAX($D$16,(AE104)-(K31))),0.000001))</f>
        <v>49.055863329575246</v>
      </c>
      <c r="AI104">
        <f>((G32)*(MAX($D$16,(AD104)-(K32)))^2)/2+(I32)*(MAX($D$16,(AD104)-(K32)))^3/3+(ABS(G104)^2)/($I$5*MAX(((G32)+(I32)*(MAX($D$16,(AD104)-(K32))))*(MAX($D$16,(AD104)-(K32))),0.000001))</f>
        <v>2072376743.6648321</v>
      </c>
      <c r="AJ104">
        <f>((G32)*(MAX($D$16,(AF104)-(K32)))^2)/2+(I32)*(MAX($D$16,(AF104)-(K32)))^3/3+(ABS(G104)^2)/($I$5*MAX(((G32)+(I32)*(MAX($D$16,(AF104)-(K32))))*(MAX($D$16,(AF104)-(K32))),0.000001))</f>
        <v>13692714789.643845</v>
      </c>
      <c r="AK104" t="str">
        <f t="shared" si="22"/>
        <v>Subcritical</v>
      </c>
      <c r="AL104" t="str">
        <f t="shared" si="23"/>
        <v>Supercritical</v>
      </c>
      <c r="AM104">
        <f t="shared" si="24"/>
        <v>52432.141837661526</v>
      </c>
      <c r="AN104">
        <f t="shared" si="25"/>
        <v>52432.141837661315</v>
      </c>
      <c r="AO104">
        <f t="shared" si="26"/>
        <v>3.4197000786662102E-10</v>
      </c>
      <c r="AP104">
        <f t="shared" si="27"/>
        <v>3.4197000786662102E-10</v>
      </c>
    </row>
    <row r="105" spans="1:42" x14ac:dyDescent="0.35">
      <c r="A105">
        <v>62</v>
      </c>
      <c r="B105">
        <f t="shared" si="28"/>
        <v>0</v>
      </c>
      <c r="C105">
        <f t="shared" si="29"/>
        <v>0</v>
      </c>
      <c r="D105">
        <f t="shared" si="30"/>
        <v>52432.141837661526</v>
      </c>
      <c r="E105">
        <f t="shared" si="31"/>
        <v>52432.141837661315</v>
      </c>
      <c r="F105">
        <f t="shared" si="17"/>
        <v>51</v>
      </c>
      <c r="G105">
        <f>IF(N6="None",F105,MAX(0,F105*B105))</f>
        <v>51</v>
      </c>
      <c r="H105">
        <f>IF(N6="None",0,MAX(0,F105-G105))</f>
        <v>0</v>
      </c>
      <c r="I105">
        <f>IF(AND(N7="None",N8="None"),0,IF(N8="None",G105,IF(N7="None",0,MAX(0,G105*C105))))</f>
        <v>0</v>
      </c>
      <c r="J105">
        <f>IF(AND(N7="None",N8="None"),0,IF(N8="None",0,IF(N7="None",G105,MAX(0,G105-I105))))</f>
        <v>51</v>
      </c>
      <c r="K105">
        <f>P5</f>
        <v>637</v>
      </c>
      <c r="L105">
        <f>P6</f>
        <v>634.3119999999999</v>
      </c>
      <c r="M105">
        <f>P7</f>
        <v>635.5</v>
      </c>
      <c r="N105">
        <f>P8</f>
        <v>631.54999999999995</v>
      </c>
      <c r="O105">
        <f>K105+((ABS(F105)/MAX(((F31)+(H31)*(MAX($D$16,(K105)-(J31))))*(MAX($D$16,(K105)-(J31))),0.000001))^2)/(2*$I$5)-((E31)*((((ABS(F105)*$D$6)/(MAX(((F31)+(H31)*(MAX($D$16,(K105)-(J31))))*(MAX($D$16,(K105)-(J31))),0.000001)*MAX(((((F31)+(H31)*(MAX($D$16,(K105)-(J31))))*(MAX($D$16,(K105)-(J31))))/MAX((F31)+2*(MAX($D$16,(K105)-(J31)))*SQRT(1+(H31)^2),0.000001))^(2/3),0.000001)))^2)+(((ABS(F105)*$D$6)/(MAX(((G31)+(I31)*(MAX($D$16,(D105)-(K31))))*(MAX($D$16,(D105)-(K31))),0.000001)*MAX(((((G31)+(I31)*(MAX($D$16,(D105)-(K31))))*(MAX($D$16,(D105)-(K31))))/MAX((G31)+2*(MAX($D$16,(D105)-(K31)))*SQRT(1+(I31)^2),0.000001))^(2/3),0.000001)))^2))/2)+(IF((ABS(F105)/MAX(((G31)+(I31)*(MAX($D$16,(D105)-(K31))))*(MAX($D$16,(D105)-(K31))),0.000001))&gt;(ABS(F105)/MAX(((F31)+(H31)*(MAX($D$16,(K105)-(J31))))*(MAX($D$16,(K105)-(J31))),0.000001)),$D$9*((((ABS(F105)/MAX(((G31)+(I31)*(MAX($D$16,(D105)-(K31))))*(MAX($D$16,(D105)-(K31))),0.000001))^2)/(2*$I$5))-(((ABS(F105)/MAX(((F31)+(H31)*(MAX($D$16,(K105)-(J31))))*(MAX($D$16,(K105)-(J31))),0.000001))^2)/(2*$I$5))),$D$8*((((ABS(F105)/MAX(((F31)+(H31)*(MAX($D$16,(K105)-(J31))))*(MAX($D$16,(K105)-(J31))),0.000001))^2)/(2*$I$5))-(((ABS(F105)/MAX(((G31)+(I31)*(MAX($D$16,(D105)-(K31))))*(MAX($D$16,(D105)-(K31))),0.000001))^2)/(2*$I$5)))))+($D$10*(ABS((X31)-(W31))/90)*MAX(((ABS(F105)/MAX(((F31)+(H31)*(MAX($D$16,(K105)-(J31))))*(MAX($D$16,(K105)-(J31))),0.000001))^2)/(2*$I$5),((ABS(F105)/MAX(((G31)+(I31)*(MAX($D$16,(D105)-(K31))))*(MAX($D$16,(D105)-(K31))),0.000001))^2)/(2*$I$5)))+(0)-((ABS(F105)/MAX(((G31)+(I31)*(MAX($D$16,(D105)-(K31))))*(MAX($D$16,(D105)-(K31))),0.000001))^2)/(2*$I$5)</f>
        <v>637.65825101089831</v>
      </c>
      <c r="P105">
        <f>E105+((ABS(G105)/MAX(((G32)+(I32)*(MAX($D$16,(E105)-(K32))))*(MAX($D$16,(E105)-(K32))),0.000001))^2)/(2*$I$5)+((E32)*((((ABS(G105)*$D$6)/(MAX(((F32)+(H32)*(MAX($D$16,(D105)-(J32))))*(MAX($D$16,(D105)-(J32))),0.000001)*MAX(((((F32)+(H32)*(MAX($D$16,(D105)-(J32))))*(MAX($D$16,(D105)-(J32))))/MAX((F32)+2*(MAX($D$16,(D105)-(J32)))*SQRT(1+(H32)^2),0.000001))^(2/3),0.000001)))^2)+(((ABS(G105)*$D$6)/(MAX(((G32)+(I32)*(MAX($D$16,(E105)-(K32))))*(MAX($D$16,(E105)-(K32))),0.000001)*MAX(((((G32)+(I32)*(MAX($D$16,(E105)-(K32))))*(MAX($D$16,(E105)-(K32))))/MAX((G32)+2*(MAX($D$16,(E105)-(K32)))*SQRT(1+(I32)^2),0.000001))^(2/3),0.000001)))^2))/2)+(IF((ABS(G105)/MAX(((G32)+(I32)*(MAX($D$16,(E105)-(K32))))*(MAX($D$16,(E105)-(K32))),0.000001))&gt;(ABS(G105)/MAX(((F32)+(H32)*(MAX($D$16,(D105)-(J32))))*(MAX($D$16,(D105)-(J32))),0.000001)),$D$9*((((ABS(G105)/MAX(((G32)+(I32)*(MAX($D$16,(E105)-(K32))))*(MAX($D$16,(E105)-(K32))),0.000001))^2)/(2*$I$5))-(((ABS(G105)/MAX(((F32)+(H32)*(MAX($D$16,(D105)-(J32))))*(MAX($D$16,(D105)-(J32))),0.000001))^2)/(2*$I$5))),$D$8*((((ABS(G105)/MAX(((F32)+(H32)*(MAX($D$16,(D105)-(J32))))*(MAX($D$16,(D105)-(J32))),0.000001))^2)/(2*$I$5))-(((ABS(G105)/MAX(((G32)+(I32)*(MAX($D$16,(E105)-(K32))))*(MAX($D$16,(E105)-(K32))),0.000001))^2)/(2*$I$5)))))+($D$10*(ABS((X32)-(W32))/90)*MAX(((ABS(G105)/MAX(((F32)+(H32)*(MAX($D$16,(D105)-(J32))))*(MAX($D$16,(D105)-(J32))),0.000001))^2)/(2*$I$5),((ABS(G105)/MAX(((G32)+(I32)*(MAX($D$16,(E105)-(K32))))*(MAX($D$16,(E105)-(K32))),0.000001))^2)/(2*$I$5)))+(($D$11*0.13607488*(ABS(H105)/MAX(ABS(F105),0.000001))^2*MAX(((ABS(G105)/MAX(((F32)+(H32)*(MAX($D$16,(D105)-(J32))))*(MAX($D$16,(D105)-(J32))),0.000001))^2)/(2*$I$5),((ABS(G105)/MAX(((G32)+(I32)*(MAX($D$16,(E105)-(K32))))*(MAX($D$16,(E105)-(K32))),0.000001))^2)/(2*$I$5))))-((ABS(G105)/MAX(((F32)+(H32)*(MAX($D$16,(D105)-(J32))))*(MAX($D$16,(D105)-(J32))),0.000001))^2)/(2*$I$5)</f>
        <v>52432.141837661868</v>
      </c>
      <c r="Q105">
        <f>L105+((ABS(H105)/MAX(((G33)+(I33)*(MAX($D$16,(L105)-(K33))))*(MAX($D$16,(L105)-(K33))),0.000001))^2)/(2*$I$5)+((E33)*((((ABS(H105)*$D$6)/(MAX(((F33)+(H33)*(MAX($D$16,(D105)-(J33))))*(MAX($D$16,(D105)-(J33))),0.000001)*MAX(((((F33)+(H33)*(MAX($D$16,(D105)-(J33))))*(MAX($D$16,(D105)-(J33))))/MAX((F33)+2*(MAX($D$16,(D105)-(J33)))*SQRT(1+(H33)^2),0.000001))^(2/3),0.000001)))^2)+(((ABS(H105)*$D$6)/(MAX(((G33)+(I33)*(MAX($D$16,(L105)-(K33))))*(MAX($D$16,(L105)-(K33))),0.000001)*MAX(((((G33)+(I33)*(MAX($D$16,(L105)-(K33))))*(MAX($D$16,(L105)-(K33))))/MAX((G33)+2*(MAX($D$16,(L105)-(K33)))*SQRT(1+(I33)^2),0.000001))^(2/3),0.000001)))^2))/2)+(IF((ABS(H105)/MAX(((G33)+(I33)*(MAX($D$16,(L105)-(K33))))*(MAX($D$16,(L105)-(K33))),0.000001))&gt;(ABS(H105)/MAX(((F33)+(H33)*(MAX($D$16,(D105)-(J33))))*(MAX($D$16,(D105)-(J33))),0.000001)),$D$9*((((ABS(H105)/MAX(((G33)+(I33)*(MAX($D$16,(L105)-(K33))))*(MAX($D$16,(L105)-(K33))),0.000001))^2)/(2*$I$5))-(((ABS(H105)/MAX(((F33)+(H33)*(MAX($D$16,(D105)-(J33))))*(MAX($D$16,(D105)-(J33))),0.000001))^2)/(2*$I$5))),$D$8*((((ABS(H105)/MAX(((F33)+(H33)*(MAX($D$16,(D105)-(J33))))*(MAX($D$16,(D105)-(J33))),0.000001))^2)/(2*$I$5))-(((ABS(H105)/MAX(((G33)+(I33)*(MAX($D$16,(L105)-(K33))))*(MAX($D$16,(L105)-(K33))),0.000001))^2)/(2*$I$5)))))+($D$10*(ABS((X33)-(W33))/90)*MAX(((ABS(H105)/MAX(((F33)+(H33)*(MAX($D$16,(D105)-(J33))))*(MAX($D$16,(D105)-(J33))),0.000001))^2)/(2*$I$5),((ABS(H105)/MAX(((G33)+(I33)*(MAX($D$16,(L105)-(K33))))*(MAX($D$16,(L105)-(K33))),0.000001))^2)/(2*$I$5)))+(($D$11*0.00000015*(ABS(G105)/MAX(ABS(F105),0.000001))^2*MAX(((ABS(H105)/MAX(((F33)+(H33)*(MAX($D$16,(D105)-(J33))))*(MAX($D$16,(D105)-(J33))),0.000001))^2)/(2*$I$5),((ABS(H105)/MAX(((G33)+(I33)*(MAX($D$16,(L105)-(K33))))*(MAX($D$16,(L105)-(K33))),0.000001))^2)/(2*$I$5))))-((ABS(H105)/MAX(((F33)+(H33)*(MAX($D$16,(D105)-(J33))))*(MAX($D$16,(D105)-(J33))),0.000001))^2)/(2*$I$5)</f>
        <v>634.3119999999999</v>
      </c>
      <c r="R105">
        <f>D105+((ABS(G105)/MAX(((F32)+(H32)*(MAX($D$16,(D105)-(J32))))*(MAX($D$16,(D105)-(J32))),0.000001))^2)/(2*$I$5)-((E32)*((((ABS(G105)*$D$6)/(MAX(((F32)+(H32)*(MAX($D$16,(D105)-(J32))))*(MAX($D$16,(D105)-(J32))),0.000001)*MAX(((((F32)+(H32)*(MAX($D$16,(D105)-(J32))))*(MAX($D$16,(D105)-(J32))))/MAX((F32)+2*(MAX($D$16,(D105)-(J32)))*SQRT(1+(H32)^2),0.000001))^(2/3),0.000001)))^2)+(((ABS(G105)*$D$6)/(MAX(((G32)+(I32)*(MAX($D$16,(E105)-(K32))))*(MAX($D$16,(E105)-(K32))),0.000001)*MAX(((((G32)+(I32)*(MAX($D$16,(E105)-(K32))))*(MAX($D$16,(E105)-(K32))))/MAX((G32)+2*(MAX($D$16,(E105)-(K32)))*SQRT(1+(I32)^2),0.000001))^(2/3),0.000001)))^2))/2)+(IF((ABS(G105)/MAX(((G32)+(I32)*(MAX($D$16,(E105)-(K32))))*(MAX($D$16,(E105)-(K32))),0.000001))&gt;(ABS(G105)/MAX(((F32)+(H32)*(MAX($D$16,(D105)-(J32))))*(MAX($D$16,(D105)-(J32))),0.000001)),$D$9*((((ABS(G105)/MAX(((G32)+(I32)*(MAX($D$16,(E105)-(K32))))*(MAX($D$16,(E105)-(K32))),0.000001))^2)/(2*$I$5))-(((ABS(G105)/MAX(((F32)+(H32)*(MAX($D$16,(D105)-(J32))))*(MAX($D$16,(D105)-(J32))),0.000001))^2)/(2*$I$5))),$D$8*((((ABS(G105)/MAX(((F32)+(H32)*(MAX($D$16,(D105)-(J32))))*(MAX($D$16,(D105)-(J32))),0.000001))^2)/(2*$I$5))-(((ABS(G105)/MAX(((G32)+(I32)*(MAX($D$16,(E105)-(K32))))*(MAX($D$16,(E105)-(K32))),0.000001))^2)/(2*$I$5)))))+($D$10*(ABS((X32)-(W32))/90)*MAX(((ABS(G105)/MAX(((F32)+(H32)*(MAX($D$16,(D105)-(J32))))*(MAX($D$16,(D105)-(J32))),0.000001))^2)/(2*$I$5),((ABS(G105)/MAX(((G32)+(I32)*(MAX($D$16,(E105)-(K32))))*(MAX($D$16,(E105)-(K32))),0.000001))^2)/(2*$I$5)))+(($D$11*0.13607488*(ABS(H105)/MAX(ABS(F105),0.000001))^2*MAX(((ABS(G105)/MAX(((F32)+(H32)*(MAX($D$16,(D105)-(J32))))*(MAX($D$16,(D105)-(J32))),0.000001))^2)/(2*$I$5),((ABS(G105)/MAX(((G32)+(I32)*(MAX($D$16,(E105)-(K32))))*(MAX($D$16,(E105)-(K32))),0.000001))^2)/(2*$I$5))))-((ABS(G105)/MAX(((G32)+(I32)*(MAX($D$16,(E105)-(K32))))*(MAX($D$16,(E105)-(K32))),0.000001))^2)/(2*$I$5)</f>
        <v>52432.141837661657</v>
      </c>
      <c r="S105">
        <f>M105+((ABS(I105)/MAX(((G34)+(I34)*(MAX($D$16,(M105)-(K34))))*(MAX($D$16,(M105)-(K34))),0.000001))^2)/(2*$I$5)+((E34)*((((ABS(I105)*$D$6)/(MAX(((F34)+(H34)*(MAX($D$16,(E105)-(J34))))*(MAX($D$16,(E105)-(J34))),0.000001)*MAX(((((F34)+(H34)*(MAX($D$16,(E105)-(J34))))*(MAX($D$16,(E105)-(J34))))/MAX((F34)+2*(MAX($D$16,(E105)-(J34)))*SQRT(1+(H34)^2),0.000001))^(2/3),0.000001)))^2)+(((ABS(I105)*$D$6)/(MAX(((G34)+(I34)*(MAX($D$16,(M105)-(K34))))*(MAX($D$16,(M105)-(K34))),0.000001)*MAX(((((G34)+(I34)*(MAX($D$16,(M105)-(K34))))*(MAX($D$16,(M105)-(K34))))/MAX((G34)+2*(MAX($D$16,(M105)-(K34)))*SQRT(1+(I34)^2),0.000001))^(2/3),0.000001)))^2))/2)+(IF((ABS(I105)/MAX(((G34)+(I34)*(MAX($D$16,(M105)-(K34))))*(MAX($D$16,(M105)-(K34))),0.000001))&gt;(ABS(I105)/MAX(((F34)+(H34)*(MAX($D$16,(E105)-(J34))))*(MAX($D$16,(E105)-(J34))),0.000001)),$D$9*((((ABS(I105)/MAX(((G34)+(I34)*(MAX($D$16,(M105)-(K34))))*(MAX($D$16,(M105)-(K34))),0.000001))^2)/(2*$I$5))-(((ABS(I105)/MAX(((F34)+(H34)*(MAX($D$16,(E105)-(J34))))*(MAX($D$16,(E105)-(J34))),0.000001))^2)/(2*$I$5))),$D$8*((((ABS(I105)/MAX(((F34)+(H34)*(MAX($D$16,(E105)-(J34))))*(MAX($D$16,(E105)-(J34))),0.000001))^2)/(2*$I$5))-(((ABS(I105)/MAX(((G34)+(I34)*(MAX($D$16,(M105)-(K34))))*(MAX($D$16,(M105)-(K34))),0.000001))^2)/(2*$I$5)))))+($D$10*(ABS((X34)-(W34))/90)*MAX(((ABS(I105)/MAX(((F34)+(H34)*(MAX($D$16,(E105)-(J34))))*(MAX($D$16,(E105)-(J34))),0.000001))^2)/(2*$I$5),((ABS(I105)/MAX(((G34)+(I34)*(MAX($D$16,(M105)-(K34))))*(MAX($D$16,(M105)-(K34))),0.000001))^2)/(2*$I$5)))+(0)-((ABS(I105)/MAX(((F34)+(H34)*(MAX($D$16,(E105)-(J34))))*(MAX($D$16,(E105)-(J34))),0.000001))^2)/(2*$I$5)</f>
        <v>635.5</v>
      </c>
      <c r="T105">
        <f>N105+((ABS(J105)/MAX(((G35)+(I35)*(MAX($D$16,(N105)-(K35))))*(MAX($D$16,(N105)-(K35))),0.000001))^2)/(2*$I$5)+((E35)*((((ABS(J105)*$D$6)/(MAX(((F35)+(H35)*(MAX($D$16,(E105)-(J35))))*(MAX($D$16,(E105)-(J35))),0.000001)*MAX(((((F35)+(H35)*(MAX($D$16,(E105)-(J35))))*(MAX($D$16,(E105)-(J35))))/MAX((F35)+2*(MAX($D$16,(E105)-(J35)))*SQRT(1+(H35)^2),0.000001))^(2/3),0.000001)))^2)+(((ABS(J105)*$D$6)/(MAX(((G35)+(I35)*(MAX($D$16,(N105)-(K35))))*(MAX($D$16,(N105)-(K35))),0.000001)*MAX(((((G35)+(I35)*(MAX($D$16,(N105)-(K35))))*(MAX($D$16,(N105)-(K35))))/MAX((G35)+2*(MAX($D$16,(N105)-(K35)))*SQRT(1+(I35)^2),0.000001))^(2/3),0.000001)))^2))/2)+(IF((ABS(J105)/MAX(((G35)+(I35)*(MAX($D$16,(N105)-(K35))))*(MAX($D$16,(N105)-(K35))),0.000001))&gt;(ABS(J105)/MAX(((F35)+(H35)*(MAX($D$16,(E105)-(J35))))*(MAX($D$16,(E105)-(J35))),0.000001)),$D$9*((((ABS(J105)/MAX(((G35)+(I35)*(MAX($D$16,(N105)-(K35))))*(MAX($D$16,(N105)-(K35))),0.000001))^2)/(2*$I$5))-(((ABS(J105)/MAX(((F35)+(H35)*(MAX($D$16,(E105)-(J35))))*(MAX($D$16,(E105)-(J35))),0.000001))^2)/(2*$I$5))),$D$8*((((ABS(J105)/MAX(((F35)+(H35)*(MAX($D$16,(E105)-(J35))))*(MAX($D$16,(E105)-(J35))),0.000001))^2)/(2*$I$5))-(((ABS(J105)/MAX(((G35)+(I35)*(MAX($D$16,(N105)-(K35))))*(MAX($D$16,(N105)-(K35))),0.000001))^2)/(2*$I$5)))))+($D$10*(ABS((X35)-(W35))/90)*MAX(((ABS(J105)/MAX(((F35)+(H35)*(MAX($D$16,(E105)-(J35))))*(MAX($D$16,(E105)-(J35))),0.000001))^2)/(2*$I$5),((ABS(J105)/MAX(((G35)+(I35)*(MAX($D$16,(N105)-(K35))))*(MAX($D$16,(N105)-(K35))),0.000001))^2)/(2*$I$5)))+(($D$11*0.34699541*(ABS(I105)/MAX(ABS(G105),0.000001))^2*MAX(((ABS(J105)/MAX(((F35)+(H35)*(MAX($D$16,(E105)-(J35))))*(MAX($D$16,(E105)-(J35))),0.000001))^2)/(2*$I$5),((ABS(J105)/MAX(((G35)+(I35)*(MAX($D$16,(N105)-(K35))))*(MAX($D$16,(N105)-(K35))),0.000001))^2)/(2*$I$5))))-((ABS(J105)/MAX(((F35)+(H35)*(MAX($D$16,(E105)-(J35))))*(MAX($D$16,(E105)-(J35))),0.000001))^2)/(2*$I$5)</f>
        <v>20784.033523923383</v>
      </c>
      <c r="U105">
        <f>(((((F32)*(MAX($D$16,(D105)-(J32)))^2)/2+(H32)*(MAX($D$16,(D105)-(J32)))^3/3+(ABS(G105)^2)/($I$5*MAX(((F32)+(H32)*(MAX($D$16,(D105)-(J32))))*(MAX($D$16,(D105)-(J32))),0.000001)))*0.72785025)-((((F33)*(MAX($D$16,(D105)-(J33)))^2)/2+(H33)*(MAX($D$16,(D105)-(J33)))^3/3+(ABS(H105)^2)/($I$5*MAX(((F33)+(H33)*(MAX($D$16,(D105)-(J33))))*(MAX($D$16,(D105)-(J33))),0.000001)))*0.99999971))/MAX(((G31)*(MAX($D$16,(D105)-(K31)))^2)/2+(I31)*(MAX($D$16,(D105)-(K31)))^3/3+(ABS(F105)^2)/($I$5*MAX(((G31)+(I31)*(MAX($D$16,(D105)-(K31))))*(MAX($D$16,(D105)-(K31))),0.000001)),0.000001)</f>
        <v>-0.27214945999991119</v>
      </c>
      <c r="V105">
        <f>(((((F34)*(MAX($D$16,(E105)-(J34)))^2)/2+(H34)*(MAX($D$16,(E105)-(J34)))^3/3+(ABS(I105)^2)/($I$5*MAX(((F34)+(H34)*(MAX($D$16,(E105)-(J34))))*(MAX($D$16,(E105)-(J34))),0.000001)))*1)-((((F35)*(MAX($D$16,(E105)-(J35)))^2)/2+(H35)*(MAX($D$16,(E105)-(J35)))^3/3+(ABS(J105)^2)/($I$5*MAX(((F35)+(H35)*(MAX($D$16,(E105)-(J35))))*(MAX($D$16,(E105)-(J35))),0.000001)))*0.30600918))/MAX(((G32)*(MAX($D$16,(E105)-(K32)))^2)/2+(I32)*(MAX($D$16,(E105)-(K32)))^3/3+(ABS(G105)^2)/($I$5*MAX(((G32)+(I32)*(MAX($D$16,(E105)-(K32))))*(MAX($D$16,(E105)-(K32))),0.000001)),0.000001)</f>
        <v>0.69398638937190393</v>
      </c>
      <c r="W105">
        <f>IF(N6="None",ABS(P105-D105),MAX(ABS(P105-D105),ABS(Q105-D105)))</f>
        <v>3.4197000786662102E-10</v>
      </c>
      <c r="X105">
        <f>IF(AND(N7="None",N8="None"),0,IF(N8="None",ABS(S105-E105),IF(N7="None",ABS(T105-E105),MAX(ABS(S105-E105),ABS(T105-E105)))))</f>
        <v>51796.641837661315</v>
      </c>
      <c r="AA105">
        <f t="shared" si="18"/>
        <v>52432.141837661642</v>
      </c>
      <c r="AB105">
        <f t="shared" si="19"/>
        <v>41355.303927853041</v>
      </c>
      <c r="AC105">
        <f>IF(N6="None",P105,MAX(P105,Q105))</f>
        <v>52432.141837661868</v>
      </c>
      <c r="AD105">
        <f>IF(AND(N7="None",N8="None"),E105,IF(N8="None",S105,IF(N7="None",T105,MAX(S105,T105))))</f>
        <v>20784.033523923383</v>
      </c>
      <c r="AE105">
        <f t="shared" si="20"/>
        <v>637.65825101089831</v>
      </c>
      <c r="AF105">
        <f t="shared" si="21"/>
        <v>52432.141837661657</v>
      </c>
      <c r="AG105">
        <f>((G31)*(MAX($D$16,(AC105)-(K31)))^2)/2+(I31)*(MAX($D$16,(AC105)-(K31)))^3/3+(ABS(F105)^2)/($I$5*MAX(((G31)+(I31)*(MAX($D$16,(AC105)-(K31))))*(MAX($D$16,(AC105)-(K31))),0.000001))</f>
        <v>8797611517.4115906</v>
      </c>
      <c r="AH105">
        <f>((G31)*(MAX($D$16,(AE105)-(K31)))^2)/2+(I31)*(MAX($D$16,(AE105)-(K31)))^3/3+(ABS(F105)^2)/($I$5*MAX(((G31)+(I31)*(MAX($D$16,(AE105)-(K31))))*(MAX($D$16,(AE105)-(K31))),0.000001))</f>
        <v>49.055863329575246</v>
      </c>
      <c r="AI105">
        <f>((G32)*(MAX($D$16,(AD105)-(K32)))^2)/2+(I32)*(MAX($D$16,(AD105)-(K32)))^3/3+(ABS(G105)^2)/($I$5*MAX(((G32)+(I32)*(MAX($D$16,(AD105)-(K32))))*(MAX($D$16,(AD105)-(K32))),0.000001))</f>
        <v>2072376743.6648321</v>
      </c>
      <c r="AJ105">
        <f>((G32)*(MAX($D$16,(AF105)-(K32)))^2)/2+(I32)*(MAX($D$16,(AF105)-(K32)))^3/3+(ABS(G105)^2)/($I$5*MAX(((G32)+(I32)*(MAX($D$16,(AF105)-(K32))))*(MAX($D$16,(AF105)-(K32))),0.000001))</f>
        <v>13692714789.643906</v>
      </c>
      <c r="AK105" t="str">
        <f t="shared" si="22"/>
        <v>Subcritical</v>
      </c>
      <c r="AL105" t="str">
        <f t="shared" si="23"/>
        <v>Supercritical</v>
      </c>
      <c r="AM105">
        <f t="shared" si="24"/>
        <v>52432.141837661642</v>
      </c>
      <c r="AN105">
        <f t="shared" si="25"/>
        <v>52432.141837661431</v>
      </c>
      <c r="AO105">
        <f t="shared" si="26"/>
        <v>3.4197000786662102E-10</v>
      </c>
      <c r="AP105">
        <f t="shared" si="27"/>
        <v>3.4197000786662102E-10</v>
      </c>
    </row>
    <row r="106" spans="1:42" x14ac:dyDescent="0.35">
      <c r="A106">
        <v>63</v>
      </c>
      <c r="B106">
        <f t="shared" si="28"/>
        <v>0</v>
      </c>
      <c r="C106">
        <f t="shared" si="29"/>
        <v>0</v>
      </c>
      <c r="D106">
        <f t="shared" si="30"/>
        <v>52432.141837661642</v>
      </c>
      <c r="E106">
        <f t="shared" si="31"/>
        <v>52432.141837661431</v>
      </c>
      <c r="F106">
        <f t="shared" si="17"/>
        <v>51</v>
      </c>
      <c r="G106">
        <f>IF(N6="None",F106,MAX(0,F106*B106))</f>
        <v>51</v>
      </c>
      <c r="H106">
        <f>IF(N6="None",0,MAX(0,F106-G106))</f>
        <v>0</v>
      </c>
      <c r="I106">
        <f>IF(AND(N7="None",N8="None"),0,IF(N8="None",G106,IF(N7="None",0,MAX(0,G106*C106))))</f>
        <v>0</v>
      </c>
      <c r="J106">
        <f>IF(AND(N7="None",N8="None"),0,IF(N8="None",0,IF(N7="None",G106,MAX(0,G106-I106))))</f>
        <v>51</v>
      </c>
      <c r="K106">
        <f>P5</f>
        <v>637</v>
      </c>
      <c r="L106">
        <f>P6</f>
        <v>634.3119999999999</v>
      </c>
      <c r="M106">
        <f>P7</f>
        <v>635.5</v>
      </c>
      <c r="N106">
        <f>P8</f>
        <v>631.54999999999995</v>
      </c>
      <c r="O106">
        <f>K106+((ABS(F106)/MAX(((F31)+(H31)*(MAX($D$16,(K106)-(J31))))*(MAX($D$16,(K106)-(J31))),0.000001))^2)/(2*$I$5)-((E31)*((((ABS(F106)*$D$6)/(MAX(((F31)+(H31)*(MAX($D$16,(K106)-(J31))))*(MAX($D$16,(K106)-(J31))),0.000001)*MAX(((((F31)+(H31)*(MAX($D$16,(K106)-(J31))))*(MAX($D$16,(K106)-(J31))))/MAX((F31)+2*(MAX($D$16,(K106)-(J31)))*SQRT(1+(H31)^2),0.000001))^(2/3),0.000001)))^2)+(((ABS(F106)*$D$6)/(MAX(((G31)+(I31)*(MAX($D$16,(D106)-(K31))))*(MAX($D$16,(D106)-(K31))),0.000001)*MAX(((((G31)+(I31)*(MAX($D$16,(D106)-(K31))))*(MAX($D$16,(D106)-(K31))))/MAX((G31)+2*(MAX($D$16,(D106)-(K31)))*SQRT(1+(I31)^2),0.000001))^(2/3),0.000001)))^2))/2)+(IF((ABS(F106)/MAX(((G31)+(I31)*(MAX($D$16,(D106)-(K31))))*(MAX($D$16,(D106)-(K31))),0.000001))&gt;(ABS(F106)/MAX(((F31)+(H31)*(MAX($D$16,(K106)-(J31))))*(MAX($D$16,(K106)-(J31))),0.000001)),$D$9*((((ABS(F106)/MAX(((G31)+(I31)*(MAX($D$16,(D106)-(K31))))*(MAX($D$16,(D106)-(K31))),0.000001))^2)/(2*$I$5))-(((ABS(F106)/MAX(((F31)+(H31)*(MAX($D$16,(K106)-(J31))))*(MAX($D$16,(K106)-(J31))),0.000001))^2)/(2*$I$5))),$D$8*((((ABS(F106)/MAX(((F31)+(H31)*(MAX($D$16,(K106)-(J31))))*(MAX($D$16,(K106)-(J31))),0.000001))^2)/(2*$I$5))-(((ABS(F106)/MAX(((G31)+(I31)*(MAX($D$16,(D106)-(K31))))*(MAX($D$16,(D106)-(K31))),0.000001))^2)/(2*$I$5)))))+($D$10*(ABS((X31)-(W31))/90)*MAX(((ABS(F106)/MAX(((F31)+(H31)*(MAX($D$16,(K106)-(J31))))*(MAX($D$16,(K106)-(J31))),0.000001))^2)/(2*$I$5),((ABS(F106)/MAX(((G31)+(I31)*(MAX($D$16,(D106)-(K31))))*(MAX($D$16,(D106)-(K31))),0.000001))^2)/(2*$I$5)))+(0)-((ABS(F106)/MAX(((G31)+(I31)*(MAX($D$16,(D106)-(K31))))*(MAX($D$16,(D106)-(K31))),0.000001))^2)/(2*$I$5)</f>
        <v>637.65825101089831</v>
      </c>
      <c r="P106">
        <f>E106+((ABS(G106)/MAX(((G32)+(I32)*(MAX($D$16,(E106)-(K32))))*(MAX($D$16,(E106)-(K32))),0.000001))^2)/(2*$I$5)+((E32)*((((ABS(G106)*$D$6)/(MAX(((F32)+(H32)*(MAX($D$16,(D106)-(J32))))*(MAX($D$16,(D106)-(J32))),0.000001)*MAX(((((F32)+(H32)*(MAX($D$16,(D106)-(J32))))*(MAX($D$16,(D106)-(J32))))/MAX((F32)+2*(MAX($D$16,(D106)-(J32)))*SQRT(1+(H32)^2),0.000001))^(2/3),0.000001)))^2)+(((ABS(G106)*$D$6)/(MAX(((G32)+(I32)*(MAX($D$16,(E106)-(K32))))*(MAX($D$16,(E106)-(K32))),0.000001)*MAX(((((G32)+(I32)*(MAX($D$16,(E106)-(K32))))*(MAX($D$16,(E106)-(K32))))/MAX((G32)+2*(MAX($D$16,(E106)-(K32)))*SQRT(1+(I32)^2),0.000001))^(2/3),0.000001)))^2))/2)+(IF((ABS(G106)/MAX(((G32)+(I32)*(MAX($D$16,(E106)-(K32))))*(MAX($D$16,(E106)-(K32))),0.000001))&gt;(ABS(G106)/MAX(((F32)+(H32)*(MAX($D$16,(D106)-(J32))))*(MAX($D$16,(D106)-(J32))),0.000001)),$D$9*((((ABS(G106)/MAX(((G32)+(I32)*(MAX($D$16,(E106)-(K32))))*(MAX($D$16,(E106)-(K32))),0.000001))^2)/(2*$I$5))-(((ABS(G106)/MAX(((F32)+(H32)*(MAX($D$16,(D106)-(J32))))*(MAX($D$16,(D106)-(J32))),0.000001))^2)/(2*$I$5))),$D$8*((((ABS(G106)/MAX(((F32)+(H32)*(MAX($D$16,(D106)-(J32))))*(MAX($D$16,(D106)-(J32))),0.000001))^2)/(2*$I$5))-(((ABS(G106)/MAX(((G32)+(I32)*(MAX($D$16,(E106)-(K32))))*(MAX($D$16,(E106)-(K32))),0.000001))^2)/(2*$I$5)))))+($D$10*(ABS((X32)-(W32))/90)*MAX(((ABS(G106)/MAX(((F32)+(H32)*(MAX($D$16,(D106)-(J32))))*(MAX($D$16,(D106)-(J32))),0.000001))^2)/(2*$I$5),((ABS(G106)/MAX(((G32)+(I32)*(MAX($D$16,(E106)-(K32))))*(MAX($D$16,(E106)-(K32))),0.000001))^2)/(2*$I$5)))+(($D$11*0.13607488*(ABS(H106)/MAX(ABS(F106),0.000001))^2*MAX(((ABS(G106)/MAX(((F32)+(H32)*(MAX($D$16,(D106)-(J32))))*(MAX($D$16,(D106)-(J32))),0.000001))^2)/(2*$I$5),((ABS(G106)/MAX(((G32)+(I32)*(MAX($D$16,(E106)-(K32))))*(MAX($D$16,(E106)-(K32))),0.000001))^2)/(2*$I$5))))-((ABS(G106)/MAX(((F32)+(H32)*(MAX($D$16,(D106)-(J32))))*(MAX($D$16,(D106)-(J32))),0.000001))^2)/(2*$I$5)</f>
        <v>52432.141837661984</v>
      </c>
      <c r="Q106">
        <f>L106+((ABS(H106)/MAX(((G33)+(I33)*(MAX($D$16,(L106)-(K33))))*(MAX($D$16,(L106)-(K33))),0.000001))^2)/(2*$I$5)+((E33)*((((ABS(H106)*$D$6)/(MAX(((F33)+(H33)*(MAX($D$16,(D106)-(J33))))*(MAX($D$16,(D106)-(J33))),0.000001)*MAX(((((F33)+(H33)*(MAX($D$16,(D106)-(J33))))*(MAX($D$16,(D106)-(J33))))/MAX((F33)+2*(MAX($D$16,(D106)-(J33)))*SQRT(1+(H33)^2),0.000001))^(2/3),0.000001)))^2)+(((ABS(H106)*$D$6)/(MAX(((G33)+(I33)*(MAX($D$16,(L106)-(K33))))*(MAX($D$16,(L106)-(K33))),0.000001)*MAX(((((G33)+(I33)*(MAX($D$16,(L106)-(K33))))*(MAX($D$16,(L106)-(K33))))/MAX((G33)+2*(MAX($D$16,(L106)-(K33)))*SQRT(1+(I33)^2),0.000001))^(2/3),0.000001)))^2))/2)+(IF((ABS(H106)/MAX(((G33)+(I33)*(MAX($D$16,(L106)-(K33))))*(MAX($D$16,(L106)-(K33))),0.000001))&gt;(ABS(H106)/MAX(((F33)+(H33)*(MAX($D$16,(D106)-(J33))))*(MAX($D$16,(D106)-(J33))),0.000001)),$D$9*((((ABS(H106)/MAX(((G33)+(I33)*(MAX($D$16,(L106)-(K33))))*(MAX($D$16,(L106)-(K33))),0.000001))^2)/(2*$I$5))-(((ABS(H106)/MAX(((F33)+(H33)*(MAX($D$16,(D106)-(J33))))*(MAX($D$16,(D106)-(J33))),0.000001))^2)/(2*$I$5))),$D$8*((((ABS(H106)/MAX(((F33)+(H33)*(MAX($D$16,(D106)-(J33))))*(MAX($D$16,(D106)-(J33))),0.000001))^2)/(2*$I$5))-(((ABS(H106)/MAX(((G33)+(I33)*(MAX($D$16,(L106)-(K33))))*(MAX($D$16,(L106)-(K33))),0.000001))^2)/(2*$I$5)))))+($D$10*(ABS((X33)-(W33))/90)*MAX(((ABS(H106)/MAX(((F33)+(H33)*(MAX($D$16,(D106)-(J33))))*(MAX($D$16,(D106)-(J33))),0.000001))^2)/(2*$I$5),((ABS(H106)/MAX(((G33)+(I33)*(MAX($D$16,(L106)-(K33))))*(MAX($D$16,(L106)-(K33))),0.000001))^2)/(2*$I$5)))+(($D$11*0.00000015*(ABS(G106)/MAX(ABS(F106),0.000001))^2*MAX(((ABS(H106)/MAX(((F33)+(H33)*(MAX($D$16,(D106)-(J33))))*(MAX($D$16,(D106)-(J33))),0.000001))^2)/(2*$I$5),((ABS(H106)/MAX(((G33)+(I33)*(MAX($D$16,(L106)-(K33))))*(MAX($D$16,(L106)-(K33))),0.000001))^2)/(2*$I$5))))-((ABS(H106)/MAX(((F33)+(H33)*(MAX($D$16,(D106)-(J33))))*(MAX($D$16,(D106)-(J33))),0.000001))^2)/(2*$I$5)</f>
        <v>634.3119999999999</v>
      </c>
      <c r="R106">
        <f>D106+((ABS(G106)/MAX(((F32)+(H32)*(MAX($D$16,(D106)-(J32))))*(MAX($D$16,(D106)-(J32))),0.000001))^2)/(2*$I$5)-((E32)*((((ABS(G106)*$D$6)/(MAX(((F32)+(H32)*(MAX($D$16,(D106)-(J32))))*(MAX($D$16,(D106)-(J32))),0.000001)*MAX(((((F32)+(H32)*(MAX($D$16,(D106)-(J32))))*(MAX($D$16,(D106)-(J32))))/MAX((F32)+2*(MAX($D$16,(D106)-(J32)))*SQRT(1+(H32)^2),0.000001))^(2/3),0.000001)))^2)+(((ABS(G106)*$D$6)/(MAX(((G32)+(I32)*(MAX($D$16,(E106)-(K32))))*(MAX($D$16,(E106)-(K32))),0.000001)*MAX(((((G32)+(I32)*(MAX($D$16,(E106)-(K32))))*(MAX($D$16,(E106)-(K32))))/MAX((G32)+2*(MAX($D$16,(E106)-(K32)))*SQRT(1+(I32)^2),0.000001))^(2/3),0.000001)))^2))/2)+(IF((ABS(G106)/MAX(((G32)+(I32)*(MAX($D$16,(E106)-(K32))))*(MAX($D$16,(E106)-(K32))),0.000001))&gt;(ABS(G106)/MAX(((F32)+(H32)*(MAX($D$16,(D106)-(J32))))*(MAX($D$16,(D106)-(J32))),0.000001)),$D$9*((((ABS(G106)/MAX(((G32)+(I32)*(MAX($D$16,(E106)-(K32))))*(MAX($D$16,(E106)-(K32))),0.000001))^2)/(2*$I$5))-(((ABS(G106)/MAX(((F32)+(H32)*(MAX($D$16,(D106)-(J32))))*(MAX($D$16,(D106)-(J32))),0.000001))^2)/(2*$I$5))),$D$8*((((ABS(G106)/MAX(((F32)+(H32)*(MAX($D$16,(D106)-(J32))))*(MAX($D$16,(D106)-(J32))),0.000001))^2)/(2*$I$5))-(((ABS(G106)/MAX(((G32)+(I32)*(MAX($D$16,(E106)-(K32))))*(MAX($D$16,(E106)-(K32))),0.000001))^2)/(2*$I$5)))))+($D$10*(ABS((X32)-(W32))/90)*MAX(((ABS(G106)/MAX(((F32)+(H32)*(MAX($D$16,(D106)-(J32))))*(MAX($D$16,(D106)-(J32))),0.000001))^2)/(2*$I$5),((ABS(G106)/MAX(((G32)+(I32)*(MAX($D$16,(E106)-(K32))))*(MAX($D$16,(E106)-(K32))),0.000001))^2)/(2*$I$5)))+(($D$11*0.13607488*(ABS(H106)/MAX(ABS(F106),0.000001))^2*MAX(((ABS(G106)/MAX(((F32)+(H32)*(MAX($D$16,(D106)-(J32))))*(MAX($D$16,(D106)-(J32))),0.000001))^2)/(2*$I$5),((ABS(G106)/MAX(((G32)+(I32)*(MAX($D$16,(E106)-(K32))))*(MAX($D$16,(E106)-(K32))),0.000001))^2)/(2*$I$5))))-((ABS(G106)/MAX(((G32)+(I32)*(MAX($D$16,(E106)-(K32))))*(MAX($D$16,(E106)-(K32))),0.000001))^2)/(2*$I$5)</f>
        <v>52432.141837661773</v>
      </c>
      <c r="S106">
        <f>M106+((ABS(I106)/MAX(((G34)+(I34)*(MAX($D$16,(M106)-(K34))))*(MAX($D$16,(M106)-(K34))),0.000001))^2)/(2*$I$5)+((E34)*((((ABS(I106)*$D$6)/(MAX(((F34)+(H34)*(MAX($D$16,(E106)-(J34))))*(MAX($D$16,(E106)-(J34))),0.000001)*MAX(((((F34)+(H34)*(MAX($D$16,(E106)-(J34))))*(MAX($D$16,(E106)-(J34))))/MAX((F34)+2*(MAX($D$16,(E106)-(J34)))*SQRT(1+(H34)^2),0.000001))^(2/3),0.000001)))^2)+(((ABS(I106)*$D$6)/(MAX(((G34)+(I34)*(MAX($D$16,(M106)-(K34))))*(MAX($D$16,(M106)-(K34))),0.000001)*MAX(((((G34)+(I34)*(MAX($D$16,(M106)-(K34))))*(MAX($D$16,(M106)-(K34))))/MAX((G34)+2*(MAX($D$16,(M106)-(K34)))*SQRT(1+(I34)^2),0.000001))^(2/3),0.000001)))^2))/2)+(IF((ABS(I106)/MAX(((G34)+(I34)*(MAX($D$16,(M106)-(K34))))*(MAX($D$16,(M106)-(K34))),0.000001))&gt;(ABS(I106)/MAX(((F34)+(H34)*(MAX($D$16,(E106)-(J34))))*(MAX($D$16,(E106)-(J34))),0.000001)),$D$9*((((ABS(I106)/MAX(((G34)+(I34)*(MAX($D$16,(M106)-(K34))))*(MAX($D$16,(M106)-(K34))),0.000001))^2)/(2*$I$5))-(((ABS(I106)/MAX(((F34)+(H34)*(MAX($D$16,(E106)-(J34))))*(MAX($D$16,(E106)-(J34))),0.000001))^2)/(2*$I$5))),$D$8*((((ABS(I106)/MAX(((F34)+(H34)*(MAX($D$16,(E106)-(J34))))*(MAX($D$16,(E106)-(J34))),0.000001))^2)/(2*$I$5))-(((ABS(I106)/MAX(((G34)+(I34)*(MAX($D$16,(M106)-(K34))))*(MAX($D$16,(M106)-(K34))),0.000001))^2)/(2*$I$5)))))+($D$10*(ABS((X34)-(W34))/90)*MAX(((ABS(I106)/MAX(((F34)+(H34)*(MAX($D$16,(E106)-(J34))))*(MAX($D$16,(E106)-(J34))),0.000001))^2)/(2*$I$5),((ABS(I106)/MAX(((G34)+(I34)*(MAX($D$16,(M106)-(K34))))*(MAX($D$16,(M106)-(K34))),0.000001))^2)/(2*$I$5)))+(0)-((ABS(I106)/MAX(((F34)+(H34)*(MAX($D$16,(E106)-(J34))))*(MAX($D$16,(E106)-(J34))),0.000001))^2)/(2*$I$5)</f>
        <v>635.5</v>
      </c>
      <c r="T106">
        <f>N106+((ABS(J106)/MAX(((G35)+(I35)*(MAX($D$16,(N106)-(K35))))*(MAX($D$16,(N106)-(K35))),0.000001))^2)/(2*$I$5)+((E35)*((((ABS(J106)*$D$6)/(MAX(((F35)+(H35)*(MAX($D$16,(E106)-(J35))))*(MAX($D$16,(E106)-(J35))),0.000001)*MAX(((((F35)+(H35)*(MAX($D$16,(E106)-(J35))))*(MAX($D$16,(E106)-(J35))))/MAX((F35)+2*(MAX($D$16,(E106)-(J35)))*SQRT(1+(H35)^2),0.000001))^(2/3),0.000001)))^2)+(((ABS(J106)*$D$6)/(MAX(((G35)+(I35)*(MAX($D$16,(N106)-(K35))))*(MAX($D$16,(N106)-(K35))),0.000001)*MAX(((((G35)+(I35)*(MAX($D$16,(N106)-(K35))))*(MAX($D$16,(N106)-(K35))))/MAX((G35)+2*(MAX($D$16,(N106)-(K35)))*SQRT(1+(I35)^2),0.000001))^(2/3),0.000001)))^2))/2)+(IF((ABS(J106)/MAX(((G35)+(I35)*(MAX($D$16,(N106)-(K35))))*(MAX($D$16,(N106)-(K35))),0.000001))&gt;(ABS(J106)/MAX(((F35)+(H35)*(MAX($D$16,(E106)-(J35))))*(MAX($D$16,(E106)-(J35))),0.000001)),$D$9*((((ABS(J106)/MAX(((G35)+(I35)*(MAX($D$16,(N106)-(K35))))*(MAX($D$16,(N106)-(K35))),0.000001))^2)/(2*$I$5))-(((ABS(J106)/MAX(((F35)+(H35)*(MAX($D$16,(E106)-(J35))))*(MAX($D$16,(E106)-(J35))),0.000001))^2)/(2*$I$5))),$D$8*((((ABS(J106)/MAX(((F35)+(H35)*(MAX($D$16,(E106)-(J35))))*(MAX($D$16,(E106)-(J35))),0.000001))^2)/(2*$I$5))-(((ABS(J106)/MAX(((G35)+(I35)*(MAX($D$16,(N106)-(K35))))*(MAX($D$16,(N106)-(K35))),0.000001))^2)/(2*$I$5)))))+($D$10*(ABS((X35)-(W35))/90)*MAX(((ABS(J106)/MAX(((F35)+(H35)*(MAX($D$16,(E106)-(J35))))*(MAX($D$16,(E106)-(J35))),0.000001))^2)/(2*$I$5),((ABS(J106)/MAX(((G35)+(I35)*(MAX($D$16,(N106)-(K35))))*(MAX($D$16,(N106)-(K35))),0.000001))^2)/(2*$I$5)))+(($D$11*0.34699541*(ABS(I106)/MAX(ABS(G106),0.000001))^2*MAX(((ABS(J106)/MAX(((F35)+(H35)*(MAX($D$16,(E106)-(J35))))*(MAX($D$16,(E106)-(J35))),0.000001))^2)/(2*$I$5),((ABS(J106)/MAX(((G35)+(I35)*(MAX($D$16,(N106)-(K35))))*(MAX($D$16,(N106)-(K35))),0.000001))^2)/(2*$I$5))))-((ABS(J106)/MAX(((F35)+(H35)*(MAX($D$16,(E106)-(J35))))*(MAX($D$16,(E106)-(J35))),0.000001))^2)/(2*$I$5)</f>
        <v>20784.033523923383</v>
      </c>
      <c r="U106">
        <f>(((((F32)*(MAX($D$16,(D106)-(J32)))^2)/2+(H32)*(MAX($D$16,(D106)-(J32)))^3/3+(ABS(G106)^2)/($I$5*MAX(((F32)+(H32)*(MAX($D$16,(D106)-(J32))))*(MAX($D$16,(D106)-(J32))),0.000001)))*0.72785025)-((((F33)*(MAX($D$16,(D106)-(J33)))^2)/2+(H33)*(MAX($D$16,(D106)-(J33)))^3/3+(ABS(H106)^2)/($I$5*MAX(((F33)+(H33)*(MAX($D$16,(D106)-(J33))))*(MAX($D$16,(D106)-(J33))),0.000001)))*0.99999971))/MAX(((G31)*(MAX($D$16,(D106)-(K31)))^2)/2+(I31)*(MAX($D$16,(D106)-(K31)))^3/3+(ABS(F106)^2)/($I$5*MAX(((G31)+(I31)*(MAX($D$16,(D106)-(K31))))*(MAX($D$16,(D106)-(K31))),0.000001)),0.000001)</f>
        <v>-0.27214945999991125</v>
      </c>
      <c r="V106">
        <f>(((((F34)*(MAX($D$16,(E106)-(J34)))^2)/2+(H34)*(MAX($D$16,(E106)-(J34)))^3/3+(ABS(I106)^2)/($I$5*MAX(((F34)+(H34)*(MAX($D$16,(E106)-(J34))))*(MAX($D$16,(E106)-(J34))),0.000001)))*1)-((((F35)*(MAX($D$16,(E106)-(J35)))^2)/2+(H35)*(MAX($D$16,(E106)-(J35)))^3/3+(ABS(J106)^2)/($I$5*MAX(((F35)+(H35)*(MAX($D$16,(E106)-(J35))))*(MAX($D$16,(E106)-(J35))),0.000001)))*0.30600918))/MAX(((G32)*(MAX($D$16,(E106)-(K32)))^2)/2+(I32)*(MAX($D$16,(E106)-(K32)))^3/3+(ABS(G106)^2)/($I$5*MAX(((G32)+(I32)*(MAX($D$16,(E106)-(K32))))*(MAX($D$16,(E106)-(K32))),0.000001)),0.000001)</f>
        <v>0.69398638937190393</v>
      </c>
      <c r="W106">
        <f>IF(N6="None",ABS(P106-D106),MAX(ABS(P106-D106),ABS(Q106-D106)))</f>
        <v>3.4197000786662102E-10</v>
      </c>
      <c r="X106">
        <f>IF(AND(N7="None",N8="None"),0,IF(N8="None",ABS(S106-E106),IF(N7="None",ABS(T106-E106),MAX(ABS(S106-E106),ABS(T106-E106)))))</f>
        <v>51796.641837661431</v>
      </c>
      <c r="AA106">
        <f t="shared" si="18"/>
        <v>52432.141837661758</v>
      </c>
      <c r="AB106">
        <f t="shared" si="19"/>
        <v>41355.303927853114</v>
      </c>
      <c r="AC106">
        <f>IF(N6="None",P106,MAX(P106,Q106))</f>
        <v>52432.141837661984</v>
      </c>
      <c r="AD106">
        <f>IF(AND(N7="None",N8="None"),E106,IF(N8="None",S106,IF(N7="None",T106,MAX(S106,T106))))</f>
        <v>20784.033523923383</v>
      </c>
      <c r="AE106">
        <f t="shared" si="20"/>
        <v>637.65825101089831</v>
      </c>
      <c r="AF106">
        <f t="shared" si="21"/>
        <v>52432.141837661773</v>
      </c>
      <c r="AG106">
        <f>((G31)*(MAX($D$16,(AC106)-(K31)))^2)/2+(I31)*(MAX($D$16,(AC106)-(K31)))^3/3+(ABS(F106)^2)/($I$5*MAX(((G31)+(I31)*(MAX($D$16,(AC106)-(K31))))*(MAX($D$16,(AC106)-(K31))),0.000001))</f>
        <v>8797611517.4116306</v>
      </c>
      <c r="AH106">
        <f>((G31)*(MAX($D$16,(AE106)-(K31)))^2)/2+(I31)*(MAX($D$16,(AE106)-(K31)))^3/3+(ABS(F106)^2)/($I$5*MAX(((G31)+(I31)*(MAX($D$16,(AE106)-(K31))))*(MAX($D$16,(AE106)-(K31))),0.000001))</f>
        <v>49.055863329575246</v>
      </c>
      <c r="AI106">
        <f>((G32)*(MAX($D$16,(AD106)-(K32)))^2)/2+(I32)*(MAX($D$16,(AD106)-(K32)))^3/3+(ABS(G106)^2)/($I$5*MAX(((G32)+(I32)*(MAX($D$16,(AD106)-(K32))))*(MAX($D$16,(AD106)-(K32))),0.000001))</f>
        <v>2072376743.6648321</v>
      </c>
      <c r="AJ106">
        <f>((G32)*(MAX($D$16,(AF106)-(K32)))^2)/2+(I32)*(MAX($D$16,(AF106)-(K32)))^3/3+(ABS(G106)^2)/($I$5*MAX(((G32)+(I32)*(MAX($D$16,(AF106)-(K32))))*(MAX($D$16,(AF106)-(K32))),0.000001))</f>
        <v>13692714789.643965</v>
      </c>
      <c r="AK106" t="str">
        <f t="shared" si="22"/>
        <v>Subcritical</v>
      </c>
      <c r="AL106" t="str">
        <f t="shared" si="23"/>
        <v>Supercritical</v>
      </c>
      <c r="AM106">
        <f t="shared" si="24"/>
        <v>52432.141837661758</v>
      </c>
      <c r="AN106">
        <f t="shared" si="25"/>
        <v>52432.141837661547</v>
      </c>
      <c r="AO106">
        <f t="shared" si="26"/>
        <v>3.4197000786662102E-10</v>
      </c>
      <c r="AP106">
        <f t="shared" si="27"/>
        <v>3.4197000786662102E-10</v>
      </c>
    </row>
    <row r="107" spans="1:42" x14ac:dyDescent="0.35">
      <c r="A107">
        <v>64</v>
      </c>
      <c r="B107">
        <f t="shared" si="28"/>
        <v>0</v>
      </c>
      <c r="C107">
        <f t="shared" si="29"/>
        <v>0</v>
      </c>
      <c r="D107">
        <f t="shared" si="30"/>
        <v>52432.141837661758</v>
      </c>
      <c r="E107">
        <f t="shared" si="31"/>
        <v>52432.141837661547</v>
      </c>
      <c r="F107">
        <f t="shared" ref="F107:F122" si="32">$D$5</f>
        <v>51</v>
      </c>
      <c r="G107">
        <f>IF(N6="None",F107,MAX(0,F107*B107))</f>
        <v>51</v>
      </c>
      <c r="H107">
        <f>IF(N6="None",0,MAX(0,F107-G107))</f>
        <v>0</v>
      </c>
      <c r="I107">
        <f>IF(AND(N7="None",N8="None"),0,IF(N8="None",G107,IF(N7="None",0,MAX(0,G107*C107))))</f>
        <v>0</v>
      </c>
      <c r="J107">
        <f>IF(AND(N7="None",N8="None"),0,IF(N8="None",0,IF(N7="None",G107,MAX(0,G107-I107))))</f>
        <v>51</v>
      </c>
      <c r="K107">
        <f>P5</f>
        <v>637</v>
      </c>
      <c r="L107">
        <f>P6</f>
        <v>634.3119999999999</v>
      </c>
      <c r="M107">
        <f>P7</f>
        <v>635.5</v>
      </c>
      <c r="N107">
        <f>P8</f>
        <v>631.54999999999995</v>
      </c>
      <c r="O107">
        <f>K107+((ABS(F107)/MAX(((F31)+(H31)*(MAX($D$16,(K107)-(J31))))*(MAX($D$16,(K107)-(J31))),0.000001))^2)/(2*$I$5)-((E31)*((((ABS(F107)*$D$6)/(MAX(((F31)+(H31)*(MAX($D$16,(K107)-(J31))))*(MAX($D$16,(K107)-(J31))),0.000001)*MAX(((((F31)+(H31)*(MAX($D$16,(K107)-(J31))))*(MAX($D$16,(K107)-(J31))))/MAX((F31)+2*(MAX($D$16,(K107)-(J31)))*SQRT(1+(H31)^2),0.000001))^(2/3),0.000001)))^2)+(((ABS(F107)*$D$6)/(MAX(((G31)+(I31)*(MAX($D$16,(D107)-(K31))))*(MAX($D$16,(D107)-(K31))),0.000001)*MAX(((((G31)+(I31)*(MAX($D$16,(D107)-(K31))))*(MAX($D$16,(D107)-(K31))))/MAX((G31)+2*(MAX($D$16,(D107)-(K31)))*SQRT(1+(I31)^2),0.000001))^(2/3),0.000001)))^2))/2)+(IF((ABS(F107)/MAX(((G31)+(I31)*(MAX($D$16,(D107)-(K31))))*(MAX($D$16,(D107)-(K31))),0.000001))&gt;(ABS(F107)/MAX(((F31)+(H31)*(MAX($D$16,(K107)-(J31))))*(MAX($D$16,(K107)-(J31))),0.000001)),$D$9*((((ABS(F107)/MAX(((G31)+(I31)*(MAX($D$16,(D107)-(K31))))*(MAX($D$16,(D107)-(K31))),0.000001))^2)/(2*$I$5))-(((ABS(F107)/MAX(((F31)+(H31)*(MAX($D$16,(K107)-(J31))))*(MAX($D$16,(K107)-(J31))),0.000001))^2)/(2*$I$5))),$D$8*((((ABS(F107)/MAX(((F31)+(H31)*(MAX($D$16,(K107)-(J31))))*(MAX($D$16,(K107)-(J31))),0.000001))^2)/(2*$I$5))-(((ABS(F107)/MAX(((G31)+(I31)*(MAX($D$16,(D107)-(K31))))*(MAX($D$16,(D107)-(K31))),0.000001))^2)/(2*$I$5)))))+($D$10*(ABS((X31)-(W31))/90)*MAX(((ABS(F107)/MAX(((F31)+(H31)*(MAX($D$16,(K107)-(J31))))*(MAX($D$16,(K107)-(J31))),0.000001))^2)/(2*$I$5),((ABS(F107)/MAX(((G31)+(I31)*(MAX($D$16,(D107)-(K31))))*(MAX($D$16,(D107)-(K31))),0.000001))^2)/(2*$I$5)))+(0)-((ABS(F107)/MAX(((G31)+(I31)*(MAX($D$16,(D107)-(K31))))*(MAX($D$16,(D107)-(K31))),0.000001))^2)/(2*$I$5)</f>
        <v>637.65825101089831</v>
      </c>
      <c r="P107">
        <f>E107+((ABS(G107)/MAX(((G32)+(I32)*(MAX($D$16,(E107)-(K32))))*(MAX($D$16,(E107)-(K32))),0.000001))^2)/(2*$I$5)+((E32)*((((ABS(G107)*$D$6)/(MAX(((F32)+(H32)*(MAX($D$16,(D107)-(J32))))*(MAX($D$16,(D107)-(J32))),0.000001)*MAX(((((F32)+(H32)*(MAX($D$16,(D107)-(J32))))*(MAX($D$16,(D107)-(J32))))/MAX((F32)+2*(MAX($D$16,(D107)-(J32)))*SQRT(1+(H32)^2),0.000001))^(2/3),0.000001)))^2)+(((ABS(G107)*$D$6)/(MAX(((G32)+(I32)*(MAX($D$16,(E107)-(K32))))*(MAX($D$16,(E107)-(K32))),0.000001)*MAX(((((G32)+(I32)*(MAX($D$16,(E107)-(K32))))*(MAX($D$16,(E107)-(K32))))/MAX((G32)+2*(MAX($D$16,(E107)-(K32)))*SQRT(1+(I32)^2),0.000001))^(2/3),0.000001)))^2))/2)+(IF((ABS(G107)/MAX(((G32)+(I32)*(MAX($D$16,(E107)-(K32))))*(MAX($D$16,(E107)-(K32))),0.000001))&gt;(ABS(G107)/MAX(((F32)+(H32)*(MAX($D$16,(D107)-(J32))))*(MAX($D$16,(D107)-(J32))),0.000001)),$D$9*((((ABS(G107)/MAX(((G32)+(I32)*(MAX($D$16,(E107)-(K32))))*(MAX($D$16,(E107)-(K32))),0.000001))^2)/(2*$I$5))-(((ABS(G107)/MAX(((F32)+(H32)*(MAX($D$16,(D107)-(J32))))*(MAX($D$16,(D107)-(J32))),0.000001))^2)/(2*$I$5))),$D$8*((((ABS(G107)/MAX(((F32)+(H32)*(MAX($D$16,(D107)-(J32))))*(MAX($D$16,(D107)-(J32))),0.000001))^2)/(2*$I$5))-(((ABS(G107)/MAX(((G32)+(I32)*(MAX($D$16,(E107)-(K32))))*(MAX($D$16,(E107)-(K32))),0.000001))^2)/(2*$I$5)))))+($D$10*(ABS((X32)-(W32))/90)*MAX(((ABS(G107)/MAX(((F32)+(H32)*(MAX($D$16,(D107)-(J32))))*(MAX($D$16,(D107)-(J32))),0.000001))^2)/(2*$I$5),((ABS(G107)/MAX(((G32)+(I32)*(MAX($D$16,(E107)-(K32))))*(MAX($D$16,(E107)-(K32))),0.000001))^2)/(2*$I$5)))+(($D$11*0.13607488*(ABS(H107)/MAX(ABS(F107),0.000001))^2*MAX(((ABS(G107)/MAX(((F32)+(H32)*(MAX($D$16,(D107)-(J32))))*(MAX($D$16,(D107)-(J32))),0.000001))^2)/(2*$I$5),((ABS(G107)/MAX(((G32)+(I32)*(MAX($D$16,(E107)-(K32))))*(MAX($D$16,(E107)-(K32))),0.000001))^2)/(2*$I$5))))-((ABS(G107)/MAX(((F32)+(H32)*(MAX($D$16,(D107)-(J32))))*(MAX($D$16,(D107)-(J32))),0.000001))^2)/(2*$I$5)</f>
        <v>52432.1418376621</v>
      </c>
      <c r="Q107">
        <f>L107+((ABS(H107)/MAX(((G33)+(I33)*(MAX($D$16,(L107)-(K33))))*(MAX($D$16,(L107)-(K33))),0.000001))^2)/(2*$I$5)+((E33)*((((ABS(H107)*$D$6)/(MAX(((F33)+(H33)*(MAX($D$16,(D107)-(J33))))*(MAX($D$16,(D107)-(J33))),0.000001)*MAX(((((F33)+(H33)*(MAX($D$16,(D107)-(J33))))*(MAX($D$16,(D107)-(J33))))/MAX((F33)+2*(MAX($D$16,(D107)-(J33)))*SQRT(1+(H33)^2),0.000001))^(2/3),0.000001)))^2)+(((ABS(H107)*$D$6)/(MAX(((G33)+(I33)*(MAX($D$16,(L107)-(K33))))*(MAX($D$16,(L107)-(K33))),0.000001)*MAX(((((G33)+(I33)*(MAX($D$16,(L107)-(K33))))*(MAX($D$16,(L107)-(K33))))/MAX((G33)+2*(MAX($D$16,(L107)-(K33)))*SQRT(1+(I33)^2),0.000001))^(2/3),0.000001)))^2))/2)+(IF((ABS(H107)/MAX(((G33)+(I33)*(MAX($D$16,(L107)-(K33))))*(MAX($D$16,(L107)-(K33))),0.000001))&gt;(ABS(H107)/MAX(((F33)+(H33)*(MAX($D$16,(D107)-(J33))))*(MAX($D$16,(D107)-(J33))),0.000001)),$D$9*((((ABS(H107)/MAX(((G33)+(I33)*(MAX($D$16,(L107)-(K33))))*(MAX($D$16,(L107)-(K33))),0.000001))^2)/(2*$I$5))-(((ABS(H107)/MAX(((F33)+(H33)*(MAX($D$16,(D107)-(J33))))*(MAX($D$16,(D107)-(J33))),0.000001))^2)/(2*$I$5))),$D$8*((((ABS(H107)/MAX(((F33)+(H33)*(MAX($D$16,(D107)-(J33))))*(MAX($D$16,(D107)-(J33))),0.000001))^2)/(2*$I$5))-(((ABS(H107)/MAX(((G33)+(I33)*(MAX($D$16,(L107)-(K33))))*(MAX($D$16,(L107)-(K33))),0.000001))^2)/(2*$I$5)))))+($D$10*(ABS((X33)-(W33))/90)*MAX(((ABS(H107)/MAX(((F33)+(H33)*(MAX($D$16,(D107)-(J33))))*(MAX($D$16,(D107)-(J33))),0.000001))^2)/(2*$I$5),((ABS(H107)/MAX(((G33)+(I33)*(MAX($D$16,(L107)-(K33))))*(MAX($D$16,(L107)-(K33))),0.000001))^2)/(2*$I$5)))+(($D$11*0.00000015*(ABS(G107)/MAX(ABS(F107),0.000001))^2*MAX(((ABS(H107)/MAX(((F33)+(H33)*(MAX($D$16,(D107)-(J33))))*(MAX($D$16,(D107)-(J33))),0.000001))^2)/(2*$I$5),((ABS(H107)/MAX(((G33)+(I33)*(MAX($D$16,(L107)-(K33))))*(MAX($D$16,(L107)-(K33))),0.000001))^2)/(2*$I$5))))-((ABS(H107)/MAX(((F33)+(H33)*(MAX($D$16,(D107)-(J33))))*(MAX($D$16,(D107)-(J33))),0.000001))^2)/(2*$I$5)</f>
        <v>634.3119999999999</v>
      </c>
      <c r="R107">
        <f>D107+((ABS(G107)/MAX(((F32)+(H32)*(MAX($D$16,(D107)-(J32))))*(MAX($D$16,(D107)-(J32))),0.000001))^2)/(2*$I$5)-((E32)*((((ABS(G107)*$D$6)/(MAX(((F32)+(H32)*(MAX($D$16,(D107)-(J32))))*(MAX($D$16,(D107)-(J32))),0.000001)*MAX(((((F32)+(H32)*(MAX($D$16,(D107)-(J32))))*(MAX($D$16,(D107)-(J32))))/MAX((F32)+2*(MAX($D$16,(D107)-(J32)))*SQRT(1+(H32)^2),0.000001))^(2/3),0.000001)))^2)+(((ABS(G107)*$D$6)/(MAX(((G32)+(I32)*(MAX($D$16,(E107)-(K32))))*(MAX($D$16,(E107)-(K32))),0.000001)*MAX(((((G32)+(I32)*(MAX($D$16,(E107)-(K32))))*(MAX($D$16,(E107)-(K32))))/MAX((G32)+2*(MAX($D$16,(E107)-(K32)))*SQRT(1+(I32)^2),0.000001))^(2/3),0.000001)))^2))/2)+(IF((ABS(G107)/MAX(((G32)+(I32)*(MAX($D$16,(E107)-(K32))))*(MAX($D$16,(E107)-(K32))),0.000001))&gt;(ABS(G107)/MAX(((F32)+(H32)*(MAX($D$16,(D107)-(J32))))*(MAX($D$16,(D107)-(J32))),0.000001)),$D$9*((((ABS(G107)/MAX(((G32)+(I32)*(MAX($D$16,(E107)-(K32))))*(MAX($D$16,(E107)-(K32))),0.000001))^2)/(2*$I$5))-(((ABS(G107)/MAX(((F32)+(H32)*(MAX($D$16,(D107)-(J32))))*(MAX($D$16,(D107)-(J32))),0.000001))^2)/(2*$I$5))),$D$8*((((ABS(G107)/MAX(((F32)+(H32)*(MAX($D$16,(D107)-(J32))))*(MAX($D$16,(D107)-(J32))),0.000001))^2)/(2*$I$5))-(((ABS(G107)/MAX(((G32)+(I32)*(MAX($D$16,(E107)-(K32))))*(MAX($D$16,(E107)-(K32))),0.000001))^2)/(2*$I$5)))))+($D$10*(ABS((X32)-(W32))/90)*MAX(((ABS(G107)/MAX(((F32)+(H32)*(MAX($D$16,(D107)-(J32))))*(MAX($D$16,(D107)-(J32))),0.000001))^2)/(2*$I$5),((ABS(G107)/MAX(((G32)+(I32)*(MAX($D$16,(E107)-(K32))))*(MAX($D$16,(E107)-(K32))),0.000001))^2)/(2*$I$5)))+(($D$11*0.13607488*(ABS(H107)/MAX(ABS(F107),0.000001))^2*MAX(((ABS(G107)/MAX(((F32)+(H32)*(MAX($D$16,(D107)-(J32))))*(MAX($D$16,(D107)-(J32))),0.000001))^2)/(2*$I$5),((ABS(G107)/MAX(((G32)+(I32)*(MAX($D$16,(E107)-(K32))))*(MAX($D$16,(E107)-(K32))),0.000001))^2)/(2*$I$5))))-((ABS(G107)/MAX(((G32)+(I32)*(MAX($D$16,(E107)-(K32))))*(MAX($D$16,(E107)-(K32))),0.000001))^2)/(2*$I$5)</f>
        <v>52432.141837661889</v>
      </c>
      <c r="S107">
        <f>M107+((ABS(I107)/MAX(((G34)+(I34)*(MAX($D$16,(M107)-(K34))))*(MAX($D$16,(M107)-(K34))),0.000001))^2)/(2*$I$5)+((E34)*((((ABS(I107)*$D$6)/(MAX(((F34)+(H34)*(MAX($D$16,(E107)-(J34))))*(MAX($D$16,(E107)-(J34))),0.000001)*MAX(((((F34)+(H34)*(MAX($D$16,(E107)-(J34))))*(MAX($D$16,(E107)-(J34))))/MAX((F34)+2*(MAX($D$16,(E107)-(J34)))*SQRT(1+(H34)^2),0.000001))^(2/3),0.000001)))^2)+(((ABS(I107)*$D$6)/(MAX(((G34)+(I34)*(MAX($D$16,(M107)-(K34))))*(MAX($D$16,(M107)-(K34))),0.000001)*MAX(((((G34)+(I34)*(MAX($D$16,(M107)-(K34))))*(MAX($D$16,(M107)-(K34))))/MAX((G34)+2*(MAX($D$16,(M107)-(K34)))*SQRT(1+(I34)^2),0.000001))^(2/3),0.000001)))^2))/2)+(IF((ABS(I107)/MAX(((G34)+(I34)*(MAX($D$16,(M107)-(K34))))*(MAX($D$16,(M107)-(K34))),0.000001))&gt;(ABS(I107)/MAX(((F34)+(H34)*(MAX($D$16,(E107)-(J34))))*(MAX($D$16,(E107)-(J34))),0.000001)),$D$9*((((ABS(I107)/MAX(((G34)+(I34)*(MAX($D$16,(M107)-(K34))))*(MAX($D$16,(M107)-(K34))),0.000001))^2)/(2*$I$5))-(((ABS(I107)/MAX(((F34)+(H34)*(MAX($D$16,(E107)-(J34))))*(MAX($D$16,(E107)-(J34))),0.000001))^2)/(2*$I$5))),$D$8*((((ABS(I107)/MAX(((F34)+(H34)*(MAX($D$16,(E107)-(J34))))*(MAX($D$16,(E107)-(J34))),0.000001))^2)/(2*$I$5))-(((ABS(I107)/MAX(((G34)+(I34)*(MAX($D$16,(M107)-(K34))))*(MAX($D$16,(M107)-(K34))),0.000001))^2)/(2*$I$5)))))+($D$10*(ABS((X34)-(W34))/90)*MAX(((ABS(I107)/MAX(((F34)+(H34)*(MAX($D$16,(E107)-(J34))))*(MAX($D$16,(E107)-(J34))),0.000001))^2)/(2*$I$5),((ABS(I107)/MAX(((G34)+(I34)*(MAX($D$16,(M107)-(K34))))*(MAX($D$16,(M107)-(K34))),0.000001))^2)/(2*$I$5)))+(0)-((ABS(I107)/MAX(((F34)+(H34)*(MAX($D$16,(E107)-(J34))))*(MAX($D$16,(E107)-(J34))),0.000001))^2)/(2*$I$5)</f>
        <v>635.5</v>
      </c>
      <c r="T107">
        <f>N107+((ABS(J107)/MAX(((G35)+(I35)*(MAX($D$16,(N107)-(K35))))*(MAX($D$16,(N107)-(K35))),0.000001))^2)/(2*$I$5)+((E35)*((((ABS(J107)*$D$6)/(MAX(((F35)+(H35)*(MAX($D$16,(E107)-(J35))))*(MAX($D$16,(E107)-(J35))),0.000001)*MAX(((((F35)+(H35)*(MAX($D$16,(E107)-(J35))))*(MAX($D$16,(E107)-(J35))))/MAX((F35)+2*(MAX($D$16,(E107)-(J35)))*SQRT(1+(H35)^2),0.000001))^(2/3),0.000001)))^2)+(((ABS(J107)*$D$6)/(MAX(((G35)+(I35)*(MAX($D$16,(N107)-(K35))))*(MAX($D$16,(N107)-(K35))),0.000001)*MAX(((((G35)+(I35)*(MAX($D$16,(N107)-(K35))))*(MAX($D$16,(N107)-(K35))))/MAX((G35)+2*(MAX($D$16,(N107)-(K35)))*SQRT(1+(I35)^2),0.000001))^(2/3),0.000001)))^2))/2)+(IF((ABS(J107)/MAX(((G35)+(I35)*(MAX($D$16,(N107)-(K35))))*(MAX($D$16,(N107)-(K35))),0.000001))&gt;(ABS(J107)/MAX(((F35)+(H35)*(MAX($D$16,(E107)-(J35))))*(MAX($D$16,(E107)-(J35))),0.000001)),$D$9*((((ABS(J107)/MAX(((G35)+(I35)*(MAX($D$16,(N107)-(K35))))*(MAX($D$16,(N107)-(K35))),0.000001))^2)/(2*$I$5))-(((ABS(J107)/MAX(((F35)+(H35)*(MAX($D$16,(E107)-(J35))))*(MAX($D$16,(E107)-(J35))),0.000001))^2)/(2*$I$5))),$D$8*((((ABS(J107)/MAX(((F35)+(H35)*(MAX($D$16,(E107)-(J35))))*(MAX($D$16,(E107)-(J35))),0.000001))^2)/(2*$I$5))-(((ABS(J107)/MAX(((G35)+(I35)*(MAX($D$16,(N107)-(K35))))*(MAX($D$16,(N107)-(K35))),0.000001))^2)/(2*$I$5)))))+($D$10*(ABS((X35)-(W35))/90)*MAX(((ABS(J107)/MAX(((F35)+(H35)*(MAX($D$16,(E107)-(J35))))*(MAX($D$16,(E107)-(J35))),0.000001))^2)/(2*$I$5),((ABS(J107)/MAX(((G35)+(I35)*(MAX($D$16,(N107)-(K35))))*(MAX($D$16,(N107)-(K35))),0.000001))^2)/(2*$I$5)))+(($D$11*0.34699541*(ABS(I107)/MAX(ABS(G107),0.000001))^2*MAX(((ABS(J107)/MAX(((F35)+(H35)*(MAX($D$16,(E107)-(J35))))*(MAX($D$16,(E107)-(J35))),0.000001))^2)/(2*$I$5),((ABS(J107)/MAX(((G35)+(I35)*(MAX($D$16,(N107)-(K35))))*(MAX($D$16,(N107)-(K35))),0.000001))^2)/(2*$I$5))))-((ABS(J107)/MAX(((F35)+(H35)*(MAX($D$16,(E107)-(J35))))*(MAX($D$16,(E107)-(J35))),0.000001))^2)/(2*$I$5)</f>
        <v>20784.033523923383</v>
      </c>
      <c r="U107">
        <f>(((((F32)*(MAX($D$16,(D107)-(J32)))^2)/2+(H32)*(MAX($D$16,(D107)-(J32)))^3/3+(ABS(G107)^2)/($I$5*MAX(((F32)+(H32)*(MAX($D$16,(D107)-(J32))))*(MAX($D$16,(D107)-(J32))),0.000001)))*0.72785025)-((((F33)*(MAX($D$16,(D107)-(J33)))^2)/2+(H33)*(MAX($D$16,(D107)-(J33)))^3/3+(ABS(H107)^2)/($I$5*MAX(((F33)+(H33)*(MAX($D$16,(D107)-(J33))))*(MAX($D$16,(D107)-(J33))),0.000001)))*0.99999971))/MAX(((G31)*(MAX($D$16,(D107)-(K31)))^2)/2+(I31)*(MAX($D$16,(D107)-(K31)))^3/3+(ABS(F107)^2)/($I$5*MAX(((G31)+(I31)*(MAX($D$16,(D107)-(K31))))*(MAX($D$16,(D107)-(K31))),0.000001)),0.000001)</f>
        <v>-0.27214945999991125</v>
      </c>
      <c r="V107">
        <f>(((((F34)*(MAX($D$16,(E107)-(J34)))^2)/2+(H34)*(MAX($D$16,(E107)-(J34)))^3/3+(ABS(I107)^2)/($I$5*MAX(((F34)+(H34)*(MAX($D$16,(E107)-(J34))))*(MAX($D$16,(E107)-(J34))),0.000001)))*1)-((((F35)*(MAX($D$16,(E107)-(J35)))^2)/2+(H35)*(MAX($D$16,(E107)-(J35)))^3/3+(ABS(J107)^2)/($I$5*MAX(((F35)+(H35)*(MAX($D$16,(E107)-(J35))))*(MAX($D$16,(E107)-(J35))),0.000001)))*0.30600918))/MAX(((G32)*(MAX($D$16,(E107)-(K32)))^2)/2+(I32)*(MAX($D$16,(E107)-(K32)))^3/3+(ABS(G107)^2)/($I$5*MAX(((G32)+(I32)*(MAX($D$16,(E107)-(K32))))*(MAX($D$16,(E107)-(K32))),0.000001)),0.000001)</f>
        <v>0.69398638937190382</v>
      </c>
      <c r="W107">
        <f>IF(N6="None",ABS(P107-D107),MAX(ABS(P107-D107),ABS(Q107-D107)))</f>
        <v>3.4197000786662102E-10</v>
      </c>
      <c r="X107">
        <f>IF(AND(N7="None",N8="None"),0,IF(N8="None",ABS(S107-E107),IF(N7="None",ABS(T107-E107),MAX(ABS(S107-E107),ABS(T107-E107)))))</f>
        <v>51796.641837661547</v>
      </c>
      <c r="AA107">
        <f t="shared" ref="AA107:AA122" si="33">D107+$D$13*(AC107-D107)</f>
        <v>52432.141837661875</v>
      </c>
      <c r="AB107">
        <f t="shared" ref="AB107:AB122" si="34">E107+$D$13*(AD107-E107)</f>
        <v>41355.303927853194</v>
      </c>
      <c r="AC107">
        <f>IF(N6="None",P107,MAX(P107,Q107))</f>
        <v>52432.1418376621</v>
      </c>
      <c r="AD107">
        <f>IF(AND(N7="None",N8="None"),E107,IF(N8="None",S107,IF(N7="None",T107,MAX(S107,T107))))</f>
        <v>20784.033523923383</v>
      </c>
      <c r="AE107">
        <f t="shared" ref="AE107:AE122" si="35">O107</f>
        <v>637.65825101089831</v>
      </c>
      <c r="AF107">
        <f t="shared" ref="AF107:AF122" si="36">R107</f>
        <v>52432.141837661889</v>
      </c>
      <c r="AG107">
        <f>((G31)*(MAX($D$16,(AC107)-(K31)))^2)/2+(I31)*(MAX($D$16,(AC107)-(K31)))^3/3+(ABS(F107)^2)/($I$5*MAX(((G31)+(I31)*(MAX($D$16,(AC107)-(K31))))*(MAX($D$16,(AC107)-(K31))),0.000001))</f>
        <v>8797611517.4116688</v>
      </c>
      <c r="AH107">
        <f>((G31)*(MAX($D$16,(AE107)-(K31)))^2)/2+(I31)*(MAX($D$16,(AE107)-(K31)))^3/3+(ABS(F107)^2)/($I$5*MAX(((G31)+(I31)*(MAX($D$16,(AE107)-(K31))))*(MAX($D$16,(AE107)-(K31))),0.000001))</f>
        <v>49.055863329575246</v>
      </c>
      <c r="AI107">
        <f>((G32)*(MAX($D$16,(AD107)-(K32)))^2)/2+(I32)*(MAX($D$16,(AD107)-(K32)))^3/3+(ABS(G107)^2)/($I$5*MAX(((G32)+(I32)*(MAX($D$16,(AD107)-(K32))))*(MAX($D$16,(AD107)-(K32))),0.000001))</f>
        <v>2072376743.6648321</v>
      </c>
      <c r="AJ107">
        <f>((G32)*(MAX($D$16,(AF107)-(K32)))^2)/2+(I32)*(MAX($D$16,(AF107)-(K32)))^3/3+(ABS(G107)^2)/($I$5*MAX(((G32)+(I32)*(MAX($D$16,(AF107)-(K32))))*(MAX($D$16,(AF107)-(K32))),0.000001))</f>
        <v>13692714789.64403</v>
      </c>
      <c r="AK107" t="str">
        <f t="shared" ref="AK107:AK122" si="37">IF(AH107&gt;=AG107,"Supercritical","Subcritical")</f>
        <v>Subcritical</v>
      </c>
      <c r="AL107" t="str">
        <f t="shared" ref="AL107:AL122" si="38">IF(AJ107&gt;=AI107,"Supercritical","Subcritical")</f>
        <v>Supercritical</v>
      </c>
      <c r="AM107">
        <f t="shared" ref="AM107:AM122" si="39">D107+$D$13*(IF(AK107="Supercritical",AE107,AC107)-D107)</f>
        <v>52432.141837661875</v>
      </c>
      <c r="AN107">
        <f t="shared" ref="AN107:AN122" si="40">E107+$D$13*(IF(AL107="Supercritical",AF107,AD107)-E107)</f>
        <v>52432.141837661664</v>
      </c>
      <c r="AO107">
        <f t="shared" ref="AO107:AO122" si="41">ABS(IF(AK107="Supercritical",AE107,AC107)-D107)</f>
        <v>3.4197000786662102E-10</v>
      </c>
      <c r="AP107">
        <f t="shared" ref="AP107:AP122" si="42">ABS(IF(AL107="Supercritical",AF107,AD107)-E107)</f>
        <v>3.4197000786662102E-10</v>
      </c>
    </row>
    <row r="108" spans="1:42" x14ac:dyDescent="0.35">
      <c r="A108">
        <v>65</v>
      </c>
      <c r="B108">
        <f t="shared" ref="B108:B122" si="43">Y107</f>
        <v>0</v>
      </c>
      <c r="C108">
        <f t="shared" ref="C108:C122" si="44">Z107</f>
        <v>0</v>
      </c>
      <c r="D108">
        <f t="shared" ref="D108:D122" si="45">AM107</f>
        <v>52432.141837661875</v>
      </c>
      <c r="E108">
        <f t="shared" ref="E108:E122" si="46">AN107</f>
        <v>52432.141837661664</v>
      </c>
      <c r="F108">
        <f t="shared" si="32"/>
        <v>51</v>
      </c>
      <c r="G108">
        <f>IF(N6="None",F108,MAX(0,F108*B108))</f>
        <v>51</v>
      </c>
      <c r="H108">
        <f>IF(N6="None",0,MAX(0,F108-G108))</f>
        <v>0</v>
      </c>
      <c r="I108">
        <f>IF(AND(N7="None",N8="None"),0,IF(N8="None",G108,IF(N7="None",0,MAX(0,G108*C108))))</f>
        <v>0</v>
      </c>
      <c r="J108">
        <f>IF(AND(N7="None",N8="None"),0,IF(N8="None",0,IF(N7="None",G108,MAX(0,G108-I108))))</f>
        <v>51</v>
      </c>
      <c r="K108">
        <f>P5</f>
        <v>637</v>
      </c>
      <c r="L108">
        <f>P6</f>
        <v>634.3119999999999</v>
      </c>
      <c r="M108">
        <f>P7</f>
        <v>635.5</v>
      </c>
      <c r="N108">
        <f>P8</f>
        <v>631.54999999999995</v>
      </c>
      <c r="O108">
        <f>K108+((ABS(F108)/MAX(((F31)+(H31)*(MAX($D$16,(K108)-(J31))))*(MAX($D$16,(K108)-(J31))),0.000001))^2)/(2*$I$5)-((E31)*((((ABS(F108)*$D$6)/(MAX(((F31)+(H31)*(MAX($D$16,(K108)-(J31))))*(MAX($D$16,(K108)-(J31))),0.000001)*MAX(((((F31)+(H31)*(MAX($D$16,(K108)-(J31))))*(MAX($D$16,(K108)-(J31))))/MAX((F31)+2*(MAX($D$16,(K108)-(J31)))*SQRT(1+(H31)^2),0.000001))^(2/3),0.000001)))^2)+(((ABS(F108)*$D$6)/(MAX(((G31)+(I31)*(MAX($D$16,(D108)-(K31))))*(MAX($D$16,(D108)-(K31))),0.000001)*MAX(((((G31)+(I31)*(MAX($D$16,(D108)-(K31))))*(MAX($D$16,(D108)-(K31))))/MAX((G31)+2*(MAX($D$16,(D108)-(K31)))*SQRT(1+(I31)^2),0.000001))^(2/3),0.000001)))^2))/2)+(IF((ABS(F108)/MAX(((G31)+(I31)*(MAX($D$16,(D108)-(K31))))*(MAX($D$16,(D108)-(K31))),0.000001))&gt;(ABS(F108)/MAX(((F31)+(H31)*(MAX($D$16,(K108)-(J31))))*(MAX($D$16,(K108)-(J31))),0.000001)),$D$9*((((ABS(F108)/MAX(((G31)+(I31)*(MAX($D$16,(D108)-(K31))))*(MAX($D$16,(D108)-(K31))),0.000001))^2)/(2*$I$5))-(((ABS(F108)/MAX(((F31)+(H31)*(MAX($D$16,(K108)-(J31))))*(MAX($D$16,(K108)-(J31))),0.000001))^2)/(2*$I$5))),$D$8*((((ABS(F108)/MAX(((F31)+(H31)*(MAX($D$16,(K108)-(J31))))*(MAX($D$16,(K108)-(J31))),0.000001))^2)/(2*$I$5))-(((ABS(F108)/MAX(((G31)+(I31)*(MAX($D$16,(D108)-(K31))))*(MAX($D$16,(D108)-(K31))),0.000001))^2)/(2*$I$5)))))+($D$10*(ABS((X31)-(W31))/90)*MAX(((ABS(F108)/MAX(((F31)+(H31)*(MAX($D$16,(K108)-(J31))))*(MAX($D$16,(K108)-(J31))),0.000001))^2)/(2*$I$5),((ABS(F108)/MAX(((G31)+(I31)*(MAX($D$16,(D108)-(K31))))*(MAX($D$16,(D108)-(K31))),0.000001))^2)/(2*$I$5)))+(0)-((ABS(F108)/MAX(((G31)+(I31)*(MAX($D$16,(D108)-(K31))))*(MAX($D$16,(D108)-(K31))),0.000001))^2)/(2*$I$5)</f>
        <v>637.65825101089831</v>
      </c>
      <c r="P108">
        <f>E108+((ABS(G108)/MAX(((G32)+(I32)*(MAX($D$16,(E108)-(K32))))*(MAX($D$16,(E108)-(K32))),0.000001))^2)/(2*$I$5)+((E32)*((((ABS(G108)*$D$6)/(MAX(((F32)+(H32)*(MAX($D$16,(D108)-(J32))))*(MAX($D$16,(D108)-(J32))),0.000001)*MAX(((((F32)+(H32)*(MAX($D$16,(D108)-(J32))))*(MAX($D$16,(D108)-(J32))))/MAX((F32)+2*(MAX($D$16,(D108)-(J32)))*SQRT(1+(H32)^2),0.000001))^(2/3),0.000001)))^2)+(((ABS(G108)*$D$6)/(MAX(((G32)+(I32)*(MAX($D$16,(E108)-(K32))))*(MAX($D$16,(E108)-(K32))),0.000001)*MAX(((((G32)+(I32)*(MAX($D$16,(E108)-(K32))))*(MAX($D$16,(E108)-(K32))))/MAX((G32)+2*(MAX($D$16,(E108)-(K32)))*SQRT(1+(I32)^2),0.000001))^(2/3),0.000001)))^2))/2)+(IF((ABS(G108)/MAX(((G32)+(I32)*(MAX($D$16,(E108)-(K32))))*(MAX($D$16,(E108)-(K32))),0.000001))&gt;(ABS(G108)/MAX(((F32)+(H32)*(MAX($D$16,(D108)-(J32))))*(MAX($D$16,(D108)-(J32))),0.000001)),$D$9*((((ABS(G108)/MAX(((G32)+(I32)*(MAX($D$16,(E108)-(K32))))*(MAX($D$16,(E108)-(K32))),0.000001))^2)/(2*$I$5))-(((ABS(G108)/MAX(((F32)+(H32)*(MAX($D$16,(D108)-(J32))))*(MAX($D$16,(D108)-(J32))),0.000001))^2)/(2*$I$5))),$D$8*((((ABS(G108)/MAX(((F32)+(H32)*(MAX($D$16,(D108)-(J32))))*(MAX($D$16,(D108)-(J32))),0.000001))^2)/(2*$I$5))-(((ABS(G108)/MAX(((G32)+(I32)*(MAX($D$16,(E108)-(K32))))*(MAX($D$16,(E108)-(K32))),0.000001))^2)/(2*$I$5)))))+($D$10*(ABS((X32)-(W32))/90)*MAX(((ABS(G108)/MAX(((F32)+(H32)*(MAX($D$16,(D108)-(J32))))*(MAX($D$16,(D108)-(J32))),0.000001))^2)/(2*$I$5),((ABS(G108)/MAX(((G32)+(I32)*(MAX($D$16,(E108)-(K32))))*(MAX($D$16,(E108)-(K32))),0.000001))^2)/(2*$I$5)))+(($D$11*0.13607488*(ABS(H108)/MAX(ABS(F108),0.000001))^2*MAX(((ABS(G108)/MAX(((F32)+(H32)*(MAX($D$16,(D108)-(J32))))*(MAX($D$16,(D108)-(J32))),0.000001))^2)/(2*$I$5),((ABS(G108)/MAX(((G32)+(I32)*(MAX($D$16,(E108)-(K32))))*(MAX($D$16,(E108)-(K32))),0.000001))^2)/(2*$I$5))))-((ABS(G108)/MAX(((F32)+(H32)*(MAX($D$16,(D108)-(J32))))*(MAX($D$16,(D108)-(J32))),0.000001))^2)/(2*$I$5)</f>
        <v>52432.141837662217</v>
      </c>
      <c r="Q108">
        <f>L108+((ABS(H108)/MAX(((G33)+(I33)*(MAX($D$16,(L108)-(K33))))*(MAX($D$16,(L108)-(K33))),0.000001))^2)/(2*$I$5)+((E33)*((((ABS(H108)*$D$6)/(MAX(((F33)+(H33)*(MAX($D$16,(D108)-(J33))))*(MAX($D$16,(D108)-(J33))),0.000001)*MAX(((((F33)+(H33)*(MAX($D$16,(D108)-(J33))))*(MAX($D$16,(D108)-(J33))))/MAX((F33)+2*(MAX($D$16,(D108)-(J33)))*SQRT(1+(H33)^2),0.000001))^(2/3),0.000001)))^2)+(((ABS(H108)*$D$6)/(MAX(((G33)+(I33)*(MAX($D$16,(L108)-(K33))))*(MAX($D$16,(L108)-(K33))),0.000001)*MAX(((((G33)+(I33)*(MAX($D$16,(L108)-(K33))))*(MAX($D$16,(L108)-(K33))))/MAX((G33)+2*(MAX($D$16,(L108)-(K33)))*SQRT(1+(I33)^2),0.000001))^(2/3),0.000001)))^2))/2)+(IF((ABS(H108)/MAX(((G33)+(I33)*(MAX($D$16,(L108)-(K33))))*(MAX($D$16,(L108)-(K33))),0.000001))&gt;(ABS(H108)/MAX(((F33)+(H33)*(MAX($D$16,(D108)-(J33))))*(MAX($D$16,(D108)-(J33))),0.000001)),$D$9*((((ABS(H108)/MAX(((G33)+(I33)*(MAX($D$16,(L108)-(K33))))*(MAX($D$16,(L108)-(K33))),0.000001))^2)/(2*$I$5))-(((ABS(H108)/MAX(((F33)+(H33)*(MAX($D$16,(D108)-(J33))))*(MAX($D$16,(D108)-(J33))),0.000001))^2)/(2*$I$5))),$D$8*((((ABS(H108)/MAX(((F33)+(H33)*(MAX($D$16,(D108)-(J33))))*(MAX($D$16,(D108)-(J33))),0.000001))^2)/(2*$I$5))-(((ABS(H108)/MAX(((G33)+(I33)*(MAX($D$16,(L108)-(K33))))*(MAX($D$16,(L108)-(K33))),0.000001))^2)/(2*$I$5)))))+($D$10*(ABS((X33)-(W33))/90)*MAX(((ABS(H108)/MAX(((F33)+(H33)*(MAX($D$16,(D108)-(J33))))*(MAX($D$16,(D108)-(J33))),0.000001))^2)/(2*$I$5),((ABS(H108)/MAX(((G33)+(I33)*(MAX($D$16,(L108)-(K33))))*(MAX($D$16,(L108)-(K33))),0.000001))^2)/(2*$I$5)))+(($D$11*0.00000015*(ABS(G108)/MAX(ABS(F108),0.000001))^2*MAX(((ABS(H108)/MAX(((F33)+(H33)*(MAX($D$16,(D108)-(J33))))*(MAX($D$16,(D108)-(J33))),0.000001))^2)/(2*$I$5),((ABS(H108)/MAX(((G33)+(I33)*(MAX($D$16,(L108)-(K33))))*(MAX($D$16,(L108)-(K33))),0.000001))^2)/(2*$I$5))))-((ABS(H108)/MAX(((F33)+(H33)*(MAX($D$16,(D108)-(J33))))*(MAX($D$16,(D108)-(J33))),0.000001))^2)/(2*$I$5)</f>
        <v>634.3119999999999</v>
      </c>
      <c r="R108">
        <f>D108+((ABS(G108)/MAX(((F32)+(H32)*(MAX($D$16,(D108)-(J32))))*(MAX($D$16,(D108)-(J32))),0.000001))^2)/(2*$I$5)-((E32)*((((ABS(G108)*$D$6)/(MAX(((F32)+(H32)*(MAX($D$16,(D108)-(J32))))*(MAX($D$16,(D108)-(J32))),0.000001)*MAX(((((F32)+(H32)*(MAX($D$16,(D108)-(J32))))*(MAX($D$16,(D108)-(J32))))/MAX((F32)+2*(MAX($D$16,(D108)-(J32)))*SQRT(1+(H32)^2),0.000001))^(2/3),0.000001)))^2)+(((ABS(G108)*$D$6)/(MAX(((G32)+(I32)*(MAX($D$16,(E108)-(K32))))*(MAX($D$16,(E108)-(K32))),0.000001)*MAX(((((G32)+(I32)*(MAX($D$16,(E108)-(K32))))*(MAX($D$16,(E108)-(K32))))/MAX((G32)+2*(MAX($D$16,(E108)-(K32)))*SQRT(1+(I32)^2),0.000001))^(2/3),0.000001)))^2))/2)+(IF((ABS(G108)/MAX(((G32)+(I32)*(MAX($D$16,(E108)-(K32))))*(MAX($D$16,(E108)-(K32))),0.000001))&gt;(ABS(G108)/MAX(((F32)+(H32)*(MAX($D$16,(D108)-(J32))))*(MAX($D$16,(D108)-(J32))),0.000001)),$D$9*((((ABS(G108)/MAX(((G32)+(I32)*(MAX($D$16,(E108)-(K32))))*(MAX($D$16,(E108)-(K32))),0.000001))^2)/(2*$I$5))-(((ABS(G108)/MAX(((F32)+(H32)*(MAX($D$16,(D108)-(J32))))*(MAX($D$16,(D108)-(J32))),0.000001))^2)/(2*$I$5))),$D$8*((((ABS(G108)/MAX(((F32)+(H32)*(MAX($D$16,(D108)-(J32))))*(MAX($D$16,(D108)-(J32))),0.000001))^2)/(2*$I$5))-(((ABS(G108)/MAX(((G32)+(I32)*(MAX($D$16,(E108)-(K32))))*(MAX($D$16,(E108)-(K32))),0.000001))^2)/(2*$I$5)))))+($D$10*(ABS((X32)-(W32))/90)*MAX(((ABS(G108)/MAX(((F32)+(H32)*(MAX($D$16,(D108)-(J32))))*(MAX($D$16,(D108)-(J32))),0.000001))^2)/(2*$I$5),((ABS(G108)/MAX(((G32)+(I32)*(MAX($D$16,(E108)-(K32))))*(MAX($D$16,(E108)-(K32))),0.000001))^2)/(2*$I$5)))+(($D$11*0.13607488*(ABS(H108)/MAX(ABS(F108),0.000001))^2*MAX(((ABS(G108)/MAX(((F32)+(H32)*(MAX($D$16,(D108)-(J32))))*(MAX($D$16,(D108)-(J32))),0.000001))^2)/(2*$I$5),((ABS(G108)/MAX(((G32)+(I32)*(MAX($D$16,(E108)-(K32))))*(MAX($D$16,(E108)-(K32))),0.000001))^2)/(2*$I$5))))-((ABS(G108)/MAX(((G32)+(I32)*(MAX($D$16,(E108)-(K32))))*(MAX($D$16,(E108)-(K32))),0.000001))^2)/(2*$I$5)</f>
        <v>52432.141837662006</v>
      </c>
      <c r="S108">
        <f>M108+((ABS(I108)/MAX(((G34)+(I34)*(MAX($D$16,(M108)-(K34))))*(MAX($D$16,(M108)-(K34))),0.000001))^2)/(2*$I$5)+((E34)*((((ABS(I108)*$D$6)/(MAX(((F34)+(H34)*(MAX($D$16,(E108)-(J34))))*(MAX($D$16,(E108)-(J34))),0.000001)*MAX(((((F34)+(H34)*(MAX($D$16,(E108)-(J34))))*(MAX($D$16,(E108)-(J34))))/MAX((F34)+2*(MAX($D$16,(E108)-(J34)))*SQRT(1+(H34)^2),0.000001))^(2/3),0.000001)))^2)+(((ABS(I108)*$D$6)/(MAX(((G34)+(I34)*(MAX($D$16,(M108)-(K34))))*(MAX($D$16,(M108)-(K34))),0.000001)*MAX(((((G34)+(I34)*(MAX($D$16,(M108)-(K34))))*(MAX($D$16,(M108)-(K34))))/MAX((G34)+2*(MAX($D$16,(M108)-(K34)))*SQRT(1+(I34)^2),0.000001))^(2/3),0.000001)))^2))/2)+(IF((ABS(I108)/MAX(((G34)+(I34)*(MAX($D$16,(M108)-(K34))))*(MAX($D$16,(M108)-(K34))),0.000001))&gt;(ABS(I108)/MAX(((F34)+(H34)*(MAX($D$16,(E108)-(J34))))*(MAX($D$16,(E108)-(J34))),0.000001)),$D$9*((((ABS(I108)/MAX(((G34)+(I34)*(MAX($D$16,(M108)-(K34))))*(MAX($D$16,(M108)-(K34))),0.000001))^2)/(2*$I$5))-(((ABS(I108)/MAX(((F34)+(H34)*(MAX($D$16,(E108)-(J34))))*(MAX($D$16,(E108)-(J34))),0.000001))^2)/(2*$I$5))),$D$8*((((ABS(I108)/MAX(((F34)+(H34)*(MAX($D$16,(E108)-(J34))))*(MAX($D$16,(E108)-(J34))),0.000001))^2)/(2*$I$5))-(((ABS(I108)/MAX(((G34)+(I34)*(MAX($D$16,(M108)-(K34))))*(MAX($D$16,(M108)-(K34))),0.000001))^2)/(2*$I$5)))))+($D$10*(ABS((X34)-(W34))/90)*MAX(((ABS(I108)/MAX(((F34)+(H34)*(MAX($D$16,(E108)-(J34))))*(MAX($D$16,(E108)-(J34))),0.000001))^2)/(2*$I$5),((ABS(I108)/MAX(((G34)+(I34)*(MAX($D$16,(M108)-(K34))))*(MAX($D$16,(M108)-(K34))),0.000001))^2)/(2*$I$5)))+(0)-((ABS(I108)/MAX(((F34)+(H34)*(MAX($D$16,(E108)-(J34))))*(MAX($D$16,(E108)-(J34))),0.000001))^2)/(2*$I$5)</f>
        <v>635.5</v>
      </c>
      <c r="T108">
        <f>N108+((ABS(J108)/MAX(((G35)+(I35)*(MAX($D$16,(N108)-(K35))))*(MAX($D$16,(N108)-(K35))),0.000001))^2)/(2*$I$5)+((E35)*((((ABS(J108)*$D$6)/(MAX(((F35)+(H35)*(MAX($D$16,(E108)-(J35))))*(MAX($D$16,(E108)-(J35))),0.000001)*MAX(((((F35)+(H35)*(MAX($D$16,(E108)-(J35))))*(MAX($D$16,(E108)-(J35))))/MAX((F35)+2*(MAX($D$16,(E108)-(J35)))*SQRT(1+(H35)^2),0.000001))^(2/3),0.000001)))^2)+(((ABS(J108)*$D$6)/(MAX(((G35)+(I35)*(MAX($D$16,(N108)-(K35))))*(MAX($D$16,(N108)-(K35))),0.000001)*MAX(((((G35)+(I35)*(MAX($D$16,(N108)-(K35))))*(MAX($D$16,(N108)-(K35))))/MAX((G35)+2*(MAX($D$16,(N108)-(K35)))*SQRT(1+(I35)^2),0.000001))^(2/3),0.000001)))^2))/2)+(IF((ABS(J108)/MAX(((G35)+(I35)*(MAX($D$16,(N108)-(K35))))*(MAX($D$16,(N108)-(K35))),0.000001))&gt;(ABS(J108)/MAX(((F35)+(H35)*(MAX($D$16,(E108)-(J35))))*(MAX($D$16,(E108)-(J35))),0.000001)),$D$9*((((ABS(J108)/MAX(((G35)+(I35)*(MAX($D$16,(N108)-(K35))))*(MAX($D$16,(N108)-(K35))),0.000001))^2)/(2*$I$5))-(((ABS(J108)/MAX(((F35)+(H35)*(MAX($D$16,(E108)-(J35))))*(MAX($D$16,(E108)-(J35))),0.000001))^2)/(2*$I$5))),$D$8*((((ABS(J108)/MAX(((F35)+(H35)*(MAX($D$16,(E108)-(J35))))*(MAX($D$16,(E108)-(J35))),0.000001))^2)/(2*$I$5))-(((ABS(J108)/MAX(((G35)+(I35)*(MAX($D$16,(N108)-(K35))))*(MAX($D$16,(N108)-(K35))),0.000001))^2)/(2*$I$5)))))+($D$10*(ABS((X35)-(W35))/90)*MAX(((ABS(J108)/MAX(((F35)+(H35)*(MAX($D$16,(E108)-(J35))))*(MAX($D$16,(E108)-(J35))),0.000001))^2)/(2*$I$5),((ABS(J108)/MAX(((G35)+(I35)*(MAX($D$16,(N108)-(K35))))*(MAX($D$16,(N108)-(K35))),0.000001))^2)/(2*$I$5)))+(($D$11*0.34699541*(ABS(I108)/MAX(ABS(G108),0.000001))^2*MAX(((ABS(J108)/MAX(((F35)+(H35)*(MAX($D$16,(E108)-(J35))))*(MAX($D$16,(E108)-(J35))),0.000001))^2)/(2*$I$5),((ABS(J108)/MAX(((G35)+(I35)*(MAX($D$16,(N108)-(K35))))*(MAX($D$16,(N108)-(K35))),0.000001))^2)/(2*$I$5))))-((ABS(J108)/MAX(((F35)+(H35)*(MAX($D$16,(E108)-(J35))))*(MAX($D$16,(E108)-(J35))),0.000001))^2)/(2*$I$5)</f>
        <v>20784.033523923383</v>
      </c>
      <c r="U108">
        <f>(((((F32)*(MAX($D$16,(D108)-(J32)))^2)/2+(H32)*(MAX($D$16,(D108)-(J32)))^3/3+(ABS(G108)^2)/($I$5*MAX(((F32)+(H32)*(MAX($D$16,(D108)-(J32))))*(MAX($D$16,(D108)-(J32))),0.000001)))*0.72785025)-((((F33)*(MAX($D$16,(D108)-(J33)))^2)/2+(H33)*(MAX($D$16,(D108)-(J33)))^3/3+(ABS(H108)^2)/($I$5*MAX(((F33)+(H33)*(MAX($D$16,(D108)-(J33))))*(MAX($D$16,(D108)-(J33))),0.000001)))*0.99999971))/MAX(((G31)*(MAX($D$16,(D108)-(K31)))^2)/2+(I31)*(MAX($D$16,(D108)-(K31)))^3/3+(ABS(F108)^2)/($I$5*MAX(((G31)+(I31)*(MAX($D$16,(D108)-(K31))))*(MAX($D$16,(D108)-(K31))),0.000001)),0.000001)</f>
        <v>-0.27214945999991119</v>
      </c>
      <c r="V108">
        <f>(((((F34)*(MAX($D$16,(E108)-(J34)))^2)/2+(H34)*(MAX($D$16,(E108)-(J34)))^3/3+(ABS(I108)^2)/($I$5*MAX(((F34)+(H34)*(MAX($D$16,(E108)-(J34))))*(MAX($D$16,(E108)-(J34))),0.000001)))*1)-((((F35)*(MAX($D$16,(E108)-(J35)))^2)/2+(H35)*(MAX($D$16,(E108)-(J35)))^3/3+(ABS(J108)^2)/($I$5*MAX(((F35)+(H35)*(MAX($D$16,(E108)-(J35))))*(MAX($D$16,(E108)-(J35))),0.000001)))*0.30600918))/MAX(((G32)*(MAX($D$16,(E108)-(K32)))^2)/2+(I32)*(MAX($D$16,(E108)-(K32)))^3/3+(ABS(G108)^2)/($I$5*MAX(((G32)+(I32)*(MAX($D$16,(E108)-(K32))))*(MAX($D$16,(E108)-(K32))),0.000001)),0.000001)</f>
        <v>0.69398638937190393</v>
      </c>
      <c r="W108">
        <f>IF(N6="None",ABS(P108-D108),MAX(ABS(P108-D108),ABS(Q108-D108)))</f>
        <v>3.4197000786662102E-10</v>
      </c>
      <c r="X108">
        <f>IF(AND(N7="None",N8="None"),0,IF(N8="None",ABS(S108-E108),IF(N7="None",ABS(T108-E108),MAX(ABS(S108-E108),ABS(T108-E108)))))</f>
        <v>51796.641837661664</v>
      </c>
      <c r="AA108">
        <f t="shared" si="33"/>
        <v>52432.141837661991</v>
      </c>
      <c r="AB108">
        <f t="shared" si="34"/>
        <v>41355.303927853267</v>
      </c>
      <c r="AC108">
        <f>IF(N6="None",P108,MAX(P108,Q108))</f>
        <v>52432.141837662217</v>
      </c>
      <c r="AD108">
        <f>IF(AND(N7="None",N8="None"),E108,IF(N8="None",S108,IF(N7="None",T108,MAX(S108,T108))))</f>
        <v>20784.033523923383</v>
      </c>
      <c r="AE108">
        <f t="shared" si="35"/>
        <v>637.65825101089831</v>
      </c>
      <c r="AF108">
        <f t="shared" si="36"/>
        <v>52432.141837662006</v>
      </c>
      <c r="AG108">
        <f>((G31)*(MAX($D$16,(AC108)-(K31)))^2)/2+(I31)*(MAX($D$16,(AC108)-(K31)))^3/3+(ABS(F108)^2)/($I$5*MAX(((G31)+(I31)*(MAX($D$16,(AC108)-(K31))))*(MAX($D$16,(AC108)-(K31))),0.000001))</f>
        <v>8797611517.4117088</v>
      </c>
      <c r="AH108">
        <f>((G31)*(MAX($D$16,(AE108)-(K31)))^2)/2+(I31)*(MAX($D$16,(AE108)-(K31)))^3/3+(ABS(F108)^2)/($I$5*MAX(((G31)+(I31)*(MAX($D$16,(AE108)-(K31))))*(MAX($D$16,(AE108)-(K31))),0.000001))</f>
        <v>49.055863329575246</v>
      </c>
      <c r="AI108">
        <f>((G32)*(MAX($D$16,(AD108)-(K32)))^2)/2+(I32)*(MAX($D$16,(AD108)-(K32)))^3/3+(ABS(G108)^2)/($I$5*MAX(((G32)+(I32)*(MAX($D$16,(AD108)-(K32))))*(MAX($D$16,(AD108)-(K32))),0.000001))</f>
        <v>2072376743.6648321</v>
      </c>
      <c r="AJ108">
        <f>((G32)*(MAX($D$16,(AF108)-(K32)))^2)/2+(I32)*(MAX($D$16,(AF108)-(K32)))^3/3+(ABS(G108)^2)/($I$5*MAX(((G32)+(I32)*(MAX($D$16,(AF108)-(K32))))*(MAX($D$16,(AF108)-(K32))),0.000001))</f>
        <v>13692714789.644091</v>
      </c>
      <c r="AK108" t="str">
        <f t="shared" si="37"/>
        <v>Subcritical</v>
      </c>
      <c r="AL108" t="str">
        <f t="shared" si="38"/>
        <v>Supercritical</v>
      </c>
      <c r="AM108">
        <f t="shared" si="39"/>
        <v>52432.141837661991</v>
      </c>
      <c r="AN108">
        <f t="shared" si="40"/>
        <v>52432.14183766178</v>
      </c>
      <c r="AO108">
        <f t="shared" si="41"/>
        <v>3.4197000786662102E-10</v>
      </c>
      <c r="AP108">
        <f t="shared" si="42"/>
        <v>3.4197000786662102E-10</v>
      </c>
    </row>
    <row r="109" spans="1:42" x14ac:dyDescent="0.35">
      <c r="A109">
        <v>66</v>
      </c>
      <c r="B109">
        <f t="shared" si="43"/>
        <v>0</v>
      </c>
      <c r="C109">
        <f t="shared" si="44"/>
        <v>0</v>
      </c>
      <c r="D109">
        <f t="shared" si="45"/>
        <v>52432.141837661991</v>
      </c>
      <c r="E109">
        <f t="shared" si="46"/>
        <v>52432.14183766178</v>
      </c>
      <c r="F109">
        <f t="shared" si="32"/>
        <v>51</v>
      </c>
      <c r="G109">
        <f>IF(N6="None",F109,MAX(0,F109*B109))</f>
        <v>51</v>
      </c>
      <c r="H109">
        <f>IF(N6="None",0,MAX(0,F109-G109))</f>
        <v>0</v>
      </c>
      <c r="I109">
        <f>IF(AND(N7="None",N8="None"),0,IF(N8="None",G109,IF(N7="None",0,MAX(0,G109*C109))))</f>
        <v>0</v>
      </c>
      <c r="J109">
        <f>IF(AND(N7="None",N8="None"),0,IF(N8="None",0,IF(N7="None",G109,MAX(0,G109-I109))))</f>
        <v>51</v>
      </c>
      <c r="K109">
        <f>P5</f>
        <v>637</v>
      </c>
      <c r="L109">
        <f>P6</f>
        <v>634.3119999999999</v>
      </c>
      <c r="M109">
        <f>P7</f>
        <v>635.5</v>
      </c>
      <c r="N109">
        <f>P8</f>
        <v>631.54999999999995</v>
      </c>
      <c r="O109">
        <f>K109+((ABS(F109)/MAX(((F31)+(H31)*(MAX($D$16,(K109)-(J31))))*(MAX($D$16,(K109)-(J31))),0.000001))^2)/(2*$I$5)-((E31)*((((ABS(F109)*$D$6)/(MAX(((F31)+(H31)*(MAX($D$16,(K109)-(J31))))*(MAX($D$16,(K109)-(J31))),0.000001)*MAX(((((F31)+(H31)*(MAX($D$16,(K109)-(J31))))*(MAX($D$16,(K109)-(J31))))/MAX((F31)+2*(MAX($D$16,(K109)-(J31)))*SQRT(1+(H31)^2),0.000001))^(2/3),0.000001)))^2)+(((ABS(F109)*$D$6)/(MAX(((G31)+(I31)*(MAX($D$16,(D109)-(K31))))*(MAX($D$16,(D109)-(K31))),0.000001)*MAX(((((G31)+(I31)*(MAX($D$16,(D109)-(K31))))*(MAX($D$16,(D109)-(K31))))/MAX((G31)+2*(MAX($D$16,(D109)-(K31)))*SQRT(1+(I31)^2),0.000001))^(2/3),0.000001)))^2))/2)+(IF((ABS(F109)/MAX(((G31)+(I31)*(MAX($D$16,(D109)-(K31))))*(MAX($D$16,(D109)-(K31))),0.000001))&gt;(ABS(F109)/MAX(((F31)+(H31)*(MAX($D$16,(K109)-(J31))))*(MAX($D$16,(K109)-(J31))),0.000001)),$D$9*((((ABS(F109)/MAX(((G31)+(I31)*(MAX($D$16,(D109)-(K31))))*(MAX($D$16,(D109)-(K31))),0.000001))^2)/(2*$I$5))-(((ABS(F109)/MAX(((F31)+(H31)*(MAX($D$16,(K109)-(J31))))*(MAX($D$16,(K109)-(J31))),0.000001))^2)/(2*$I$5))),$D$8*((((ABS(F109)/MAX(((F31)+(H31)*(MAX($D$16,(K109)-(J31))))*(MAX($D$16,(K109)-(J31))),0.000001))^2)/(2*$I$5))-(((ABS(F109)/MAX(((G31)+(I31)*(MAX($D$16,(D109)-(K31))))*(MAX($D$16,(D109)-(K31))),0.000001))^2)/(2*$I$5)))))+($D$10*(ABS((X31)-(W31))/90)*MAX(((ABS(F109)/MAX(((F31)+(H31)*(MAX($D$16,(K109)-(J31))))*(MAX($D$16,(K109)-(J31))),0.000001))^2)/(2*$I$5),((ABS(F109)/MAX(((G31)+(I31)*(MAX($D$16,(D109)-(K31))))*(MAX($D$16,(D109)-(K31))),0.000001))^2)/(2*$I$5)))+(0)-((ABS(F109)/MAX(((G31)+(I31)*(MAX($D$16,(D109)-(K31))))*(MAX($D$16,(D109)-(K31))),0.000001))^2)/(2*$I$5)</f>
        <v>637.65825101089831</v>
      </c>
      <c r="P109">
        <f>E109+((ABS(G109)/MAX(((G32)+(I32)*(MAX($D$16,(E109)-(K32))))*(MAX($D$16,(E109)-(K32))),0.000001))^2)/(2*$I$5)+((E32)*((((ABS(G109)*$D$6)/(MAX(((F32)+(H32)*(MAX($D$16,(D109)-(J32))))*(MAX($D$16,(D109)-(J32))),0.000001)*MAX(((((F32)+(H32)*(MAX($D$16,(D109)-(J32))))*(MAX($D$16,(D109)-(J32))))/MAX((F32)+2*(MAX($D$16,(D109)-(J32)))*SQRT(1+(H32)^2),0.000001))^(2/3),0.000001)))^2)+(((ABS(G109)*$D$6)/(MAX(((G32)+(I32)*(MAX($D$16,(E109)-(K32))))*(MAX($D$16,(E109)-(K32))),0.000001)*MAX(((((G32)+(I32)*(MAX($D$16,(E109)-(K32))))*(MAX($D$16,(E109)-(K32))))/MAX((G32)+2*(MAX($D$16,(E109)-(K32)))*SQRT(1+(I32)^2),0.000001))^(2/3),0.000001)))^2))/2)+(IF((ABS(G109)/MAX(((G32)+(I32)*(MAX($D$16,(E109)-(K32))))*(MAX($D$16,(E109)-(K32))),0.000001))&gt;(ABS(G109)/MAX(((F32)+(H32)*(MAX($D$16,(D109)-(J32))))*(MAX($D$16,(D109)-(J32))),0.000001)),$D$9*((((ABS(G109)/MAX(((G32)+(I32)*(MAX($D$16,(E109)-(K32))))*(MAX($D$16,(E109)-(K32))),0.000001))^2)/(2*$I$5))-(((ABS(G109)/MAX(((F32)+(H32)*(MAX($D$16,(D109)-(J32))))*(MAX($D$16,(D109)-(J32))),0.000001))^2)/(2*$I$5))),$D$8*((((ABS(G109)/MAX(((F32)+(H32)*(MAX($D$16,(D109)-(J32))))*(MAX($D$16,(D109)-(J32))),0.000001))^2)/(2*$I$5))-(((ABS(G109)/MAX(((G32)+(I32)*(MAX($D$16,(E109)-(K32))))*(MAX($D$16,(E109)-(K32))),0.000001))^2)/(2*$I$5)))))+($D$10*(ABS((X32)-(W32))/90)*MAX(((ABS(G109)/MAX(((F32)+(H32)*(MAX($D$16,(D109)-(J32))))*(MAX($D$16,(D109)-(J32))),0.000001))^2)/(2*$I$5),((ABS(G109)/MAX(((G32)+(I32)*(MAX($D$16,(E109)-(K32))))*(MAX($D$16,(E109)-(K32))),0.000001))^2)/(2*$I$5)))+(($D$11*0.13607488*(ABS(H109)/MAX(ABS(F109),0.000001))^2*MAX(((ABS(G109)/MAX(((F32)+(H32)*(MAX($D$16,(D109)-(J32))))*(MAX($D$16,(D109)-(J32))),0.000001))^2)/(2*$I$5),((ABS(G109)/MAX(((G32)+(I32)*(MAX($D$16,(E109)-(K32))))*(MAX($D$16,(E109)-(K32))),0.000001))^2)/(2*$I$5))))-((ABS(G109)/MAX(((F32)+(H32)*(MAX($D$16,(D109)-(J32))))*(MAX($D$16,(D109)-(J32))),0.000001))^2)/(2*$I$5)</f>
        <v>52432.141837662333</v>
      </c>
      <c r="Q109">
        <f>L109+((ABS(H109)/MAX(((G33)+(I33)*(MAX($D$16,(L109)-(K33))))*(MAX($D$16,(L109)-(K33))),0.000001))^2)/(2*$I$5)+((E33)*((((ABS(H109)*$D$6)/(MAX(((F33)+(H33)*(MAX($D$16,(D109)-(J33))))*(MAX($D$16,(D109)-(J33))),0.000001)*MAX(((((F33)+(H33)*(MAX($D$16,(D109)-(J33))))*(MAX($D$16,(D109)-(J33))))/MAX((F33)+2*(MAX($D$16,(D109)-(J33)))*SQRT(1+(H33)^2),0.000001))^(2/3),0.000001)))^2)+(((ABS(H109)*$D$6)/(MAX(((G33)+(I33)*(MAX($D$16,(L109)-(K33))))*(MAX($D$16,(L109)-(K33))),0.000001)*MAX(((((G33)+(I33)*(MAX($D$16,(L109)-(K33))))*(MAX($D$16,(L109)-(K33))))/MAX((G33)+2*(MAX($D$16,(L109)-(K33)))*SQRT(1+(I33)^2),0.000001))^(2/3),0.000001)))^2))/2)+(IF((ABS(H109)/MAX(((G33)+(I33)*(MAX($D$16,(L109)-(K33))))*(MAX($D$16,(L109)-(K33))),0.000001))&gt;(ABS(H109)/MAX(((F33)+(H33)*(MAX($D$16,(D109)-(J33))))*(MAX($D$16,(D109)-(J33))),0.000001)),$D$9*((((ABS(H109)/MAX(((G33)+(I33)*(MAX($D$16,(L109)-(K33))))*(MAX($D$16,(L109)-(K33))),0.000001))^2)/(2*$I$5))-(((ABS(H109)/MAX(((F33)+(H33)*(MAX($D$16,(D109)-(J33))))*(MAX($D$16,(D109)-(J33))),0.000001))^2)/(2*$I$5))),$D$8*((((ABS(H109)/MAX(((F33)+(H33)*(MAX($D$16,(D109)-(J33))))*(MAX($D$16,(D109)-(J33))),0.000001))^2)/(2*$I$5))-(((ABS(H109)/MAX(((G33)+(I33)*(MAX($D$16,(L109)-(K33))))*(MAX($D$16,(L109)-(K33))),0.000001))^2)/(2*$I$5)))))+($D$10*(ABS((X33)-(W33))/90)*MAX(((ABS(H109)/MAX(((F33)+(H33)*(MAX($D$16,(D109)-(J33))))*(MAX($D$16,(D109)-(J33))),0.000001))^2)/(2*$I$5),((ABS(H109)/MAX(((G33)+(I33)*(MAX($D$16,(L109)-(K33))))*(MAX($D$16,(L109)-(K33))),0.000001))^2)/(2*$I$5)))+(($D$11*0.00000015*(ABS(G109)/MAX(ABS(F109),0.000001))^2*MAX(((ABS(H109)/MAX(((F33)+(H33)*(MAX($D$16,(D109)-(J33))))*(MAX($D$16,(D109)-(J33))),0.000001))^2)/(2*$I$5),((ABS(H109)/MAX(((G33)+(I33)*(MAX($D$16,(L109)-(K33))))*(MAX($D$16,(L109)-(K33))),0.000001))^2)/(2*$I$5))))-((ABS(H109)/MAX(((F33)+(H33)*(MAX($D$16,(D109)-(J33))))*(MAX($D$16,(D109)-(J33))),0.000001))^2)/(2*$I$5)</f>
        <v>634.3119999999999</v>
      </c>
      <c r="R109">
        <f>D109+((ABS(G109)/MAX(((F32)+(H32)*(MAX($D$16,(D109)-(J32))))*(MAX($D$16,(D109)-(J32))),0.000001))^2)/(2*$I$5)-((E32)*((((ABS(G109)*$D$6)/(MAX(((F32)+(H32)*(MAX($D$16,(D109)-(J32))))*(MAX($D$16,(D109)-(J32))),0.000001)*MAX(((((F32)+(H32)*(MAX($D$16,(D109)-(J32))))*(MAX($D$16,(D109)-(J32))))/MAX((F32)+2*(MAX($D$16,(D109)-(J32)))*SQRT(1+(H32)^2),0.000001))^(2/3),0.000001)))^2)+(((ABS(G109)*$D$6)/(MAX(((G32)+(I32)*(MAX($D$16,(E109)-(K32))))*(MAX($D$16,(E109)-(K32))),0.000001)*MAX(((((G32)+(I32)*(MAX($D$16,(E109)-(K32))))*(MAX($D$16,(E109)-(K32))))/MAX((G32)+2*(MAX($D$16,(E109)-(K32)))*SQRT(1+(I32)^2),0.000001))^(2/3),0.000001)))^2))/2)+(IF((ABS(G109)/MAX(((G32)+(I32)*(MAX($D$16,(E109)-(K32))))*(MAX($D$16,(E109)-(K32))),0.000001))&gt;(ABS(G109)/MAX(((F32)+(H32)*(MAX($D$16,(D109)-(J32))))*(MAX($D$16,(D109)-(J32))),0.000001)),$D$9*((((ABS(G109)/MAX(((G32)+(I32)*(MAX($D$16,(E109)-(K32))))*(MAX($D$16,(E109)-(K32))),0.000001))^2)/(2*$I$5))-(((ABS(G109)/MAX(((F32)+(H32)*(MAX($D$16,(D109)-(J32))))*(MAX($D$16,(D109)-(J32))),0.000001))^2)/(2*$I$5))),$D$8*((((ABS(G109)/MAX(((F32)+(H32)*(MAX($D$16,(D109)-(J32))))*(MAX($D$16,(D109)-(J32))),0.000001))^2)/(2*$I$5))-(((ABS(G109)/MAX(((G32)+(I32)*(MAX($D$16,(E109)-(K32))))*(MAX($D$16,(E109)-(K32))),0.000001))^2)/(2*$I$5)))))+($D$10*(ABS((X32)-(W32))/90)*MAX(((ABS(G109)/MAX(((F32)+(H32)*(MAX($D$16,(D109)-(J32))))*(MAX($D$16,(D109)-(J32))),0.000001))^2)/(2*$I$5),((ABS(G109)/MAX(((G32)+(I32)*(MAX($D$16,(E109)-(K32))))*(MAX($D$16,(E109)-(K32))),0.000001))^2)/(2*$I$5)))+(($D$11*0.13607488*(ABS(H109)/MAX(ABS(F109),0.000001))^2*MAX(((ABS(G109)/MAX(((F32)+(H32)*(MAX($D$16,(D109)-(J32))))*(MAX($D$16,(D109)-(J32))),0.000001))^2)/(2*$I$5),((ABS(G109)/MAX(((G32)+(I32)*(MAX($D$16,(E109)-(K32))))*(MAX($D$16,(E109)-(K32))),0.000001))^2)/(2*$I$5))))-((ABS(G109)/MAX(((G32)+(I32)*(MAX($D$16,(E109)-(K32))))*(MAX($D$16,(E109)-(K32))),0.000001))^2)/(2*$I$5)</f>
        <v>52432.141837662122</v>
      </c>
      <c r="S109">
        <f>M109+((ABS(I109)/MAX(((G34)+(I34)*(MAX($D$16,(M109)-(K34))))*(MAX($D$16,(M109)-(K34))),0.000001))^2)/(2*$I$5)+((E34)*((((ABS(I109)*$D$6)/(MAX(((F34)+(H34)*(MAX($D$16,(E109)-(J34))))*(MAX($D$16,(E109)-(J34))),0.000001)*MAX(((((F34)+(H34)*(MAX($D$16,(E109)-(J34))))*(MAX($D$16,(E109)-(J34))))/MAX((F34)+2*(MAX($D$16,(E109)-(J34)))*SQRT(1+(H34)^2),0.000001))^(2/3),0.000001)))^2)+(((ABS(I109)*$D$6)/(MAX(((G34)+(I34)*(MAX($D$16,(M109)-(K34))))*(MAX($D$16,(M109)-(K34))),0.000001)*MAX(((((G34)+(I34)*(MAX($D$16,(M109)-(K34))))*(MAX($D$16,(M109)-(K34))))/MAX((G34)+2*(MAX($D$16,(M109)-(K34)))*SQRT(1+(I34)^2),0.000001))^(2/3),0.000001)))^2))/2)+(IF((ABS(I109)/MAX(((G34)+(I34)*(MAX($D$16,(M109)-(K34))))*(MAX($D$16,(M109)-(K34))),0.000001))&gt;(ABS(I109)/MAX(((F34)+(H34)*(MAX($D$16,(E109)-(J34))))*(MAX($D$16,(E109)-(J34))),0.000001)),$D$9*((((ABS(I109)/MAX(((G34)+(I34)*(MAX($D$16,(M109)-(K34))))*(MAX($D$16,(M109)-(K34))),0.000001))^2)/(2*$I$5))-(((ABS(I109)/MAX(((F34)+(H34)*(MAX($D$16,(E109)-(J34))))*(MAX($D$16,(E109)-(J34))),0.000001))^2)/(2*$I$5))),$D$8*((((ABS(I109)/MAX(((F34)+(H34)*(MAX($D$16,(E109)-(J34))))*(MAX($D$16,(E109)-(J34))),0.000001))^2)/(2*$I$5))-(((ABS(I109)/MAX(((G34)+(I34)*(MAX($D$16,(M109)-(K34))))*(MAX($D$16,(M109)-(K34))),0.000001))^2)/(2*$I$5)))))+($D$10*(ABS((X34)-(W34))/90)*MAX(((ABS(I109)/MAX(((F34)+(H34)*(MAX($D$16,(E109)-(J34))))*(MAX($D$16,(E109)-(J34))),0.000001))^2)/(2*$I$5),((ABS(I109)/MAX(((G34)+(I34)*(MAX($D$16,(M109)-(K34))))*(MAX($D$16,(M109)-(K34))),0.000001))^2)/(2*$I$5)))+(0)-((ABS(I109)/MAX(((F34)+(H34)*(MAX($D$16,(E109)-(J34))))*(MAX($D$16,(E109)-(J34))),0.000001))^2)/(2*$I$5)</f>
        <v>635.5</v>
      </c>
      <c r="T109">
        <f>N109+((ABS(J109)/MAX(((G35)+(I35)*(MAX($D$16,(N109)-(K35))))*(MAX($D$16,(N109)-(K35))),0.000001))^2)/(2*$I$5)+((E35)*((((ABS(J109)*$D$6)/(MAX(((F35)+(H35)*(MAX($D$16,(E109)-(J35))))*(MAX($D$16,(E109)-(J35))),0.000001)*MAX(((((F35)+(H35)*(MAX($D$16,(E109)-(J35))))*(MAX($D$16,(E109)-(J35))))/MAX((F35)+2*(MAX($D$16,(E109)-(J35)))*SQRT(1+(H35)^2),0.000001))^(2/3),0.000001)))^2)+(((ABS(J109)*$D$6)/(MAX(((G35)+(I35)*(MAX($D$16,(N109)-(K35))))*(MAX($D$16,(N109)-(K35))),0.000001)*MAX(((((G35)+(I35)*(MAX($D$16,(N109)-(K35))))*(MAX($D$16,(N109)-(K35))))/MAX((G35)+2*(MAX($D$16,(N109)-(K35)))*SQRT(1+(I35)^2),0.000001))^(2/3),0.000001)))^2))/2)+(IF((ABS(J109)/MAX(((G35)+(I35)*(MAX($D$16,(N109)-(K35))))*(MAX($D$16,(N109)-(K35))),0.000001))&gt;(ABS(J109)/MAX(((F35)+(H35)*(MAX($D$16,(E109)-(J35))))*(MAX($D$16,(E109)-(J35))),0.000001)),$D$9*((((ABS(J109)/MAX(((G35)+(I35)*(MAX($D$16,(N109)-(K35))))*(MAX($D$16,(N109)-(K35))),0.000001))^2)/(2*$I$5))-(((ABS(J109)/MAX(((F35)+(H35)*(MAX($D$16,(E109)-(J35))))*(MAX($D$16,(E109)-(J35))),0.000001))^2)/(2*$I$5))),$D$8*((((ABS(J109)/MAX(((F35)+(H35)*(MAX($D$16,(E109)-(J35))))*(MAX($D$16,(E109)-(J35))),0.000001))^2)/(2*$I$5))-(((ABS(J109)/MAX(((G35)+(I35)*(MAX($D$16,(N109)-(K35))))*(MAX($D$16,(N109)-(K35))),0.000001))^2)/(2*$I$5)))))+($D$10*(ABS((X35)-(W35))/90)*MAX(((ABS(J109)/MAX(((F35)+(H35)*(MAX($D$16,(E109)-(J35))))*(MAX($D$16,(E109)-(J35))),0.000001))^2)/(2*$I$5),((ABS(J109)/MAX(((G35)+(I35)*(MAX($D$16,(N109)-(K35))))*(MAX($D$16,(N109)-(K35))),0.000001))^2)/(2*$I$5)))+(($D$11*0.34699541*(ABS(I109)/MAX(ABS(G109),0.000001))^2*MAX(((ABS(J109)/MAX(((F35)+(H35)*(MAX($D$16,(E109)-(J35))))*(MAX($D$16,(E109)-(J35))),0.000001))^2)/(2*$I$5),((ABS(J109)/MAX(((G35)+(I35)*(MAX($D$16,(N109)-(K35))))*(MAX($D$16,(N109)-(K35))),0.000001))^2)/(2*$I$5))))-((ABS(J109)/MAX(((F35)+(H35)*(MAX($D$16,(E109)-(J35))))*(MAX($D$16,(E109)-(J35))),0.000001))^2)/(2*$I$5)</f>
        <v>20784.033523923383</v>
      </c>
      <c r="U109">
        <f>(((((F32)*(MAX($D$16,(D109)-(J32)))^2)/2+(H32)*(MAX($D$16,(D109)-(J32)))^3/3+(ABS(G109)^2)/($I$5*MAX(((F32)+(H32)*(MAX($D$16,(D109)-(J32))))*(MAX($D$16,(D109)-(J32))),0.000001)))*0.72785025)-((((F33)*(MAX($D$16,(D109)-(J33)))^2)/2+(H33)*(MAX($D$16,(D109)-(J33)))^3/3+(ABS(H109)^2)/($I$5*MAX(((F33)+(H33)*(MAX($D$16,(D109)-(J33))))*(MAX($D$16,(D109)-(J33))),0.000001)))*0.99999971))/MAX(((G31)*(MAX($D$16,(D109)-(K31)))^2)/2+(I31)*(MAX($D$16,(D109)-(K31)))^3/3+(ABS(F109)^2)/($I$5*MAX(((G31)+(I31)*(MAX($D$16,(D109)-(K31))))*(MAX($D$16,(D109)-(K31))),0.000001)),0.000001)</f>
        <v>-0.2721494599999113</v>
      </c>
      <c r="V109">
        <f>(((((F34)*(MAX($D$16,(E109)-(J34)))^2)/2+(H34)*(MAX($D$16,(E109)-(J34)))^3/3+(ABS(I109)^2)/($I$5*MAX(((F34)+(H34)*(MAX($D$16,(E109)-(J34))))*(MAX($D$16,(E109)-(J34))),0.000001)))*1)-((((F35)*(MAX($D$16,(E109)-(J35)))^2)/2+(H35)*(MAX($D$16,(E109)-(J35)))^3/3+(ABS(J109)^2)/($I$5*MAX(((F35)+(H35)*(MAX($D$16,(E109)-(J35))))*(MAX($D$16,(E109)-(J35))),0.000001)))*0.30600918))/MAX(((G32)*(MAX($D$16,(E109)-(K32)))^2)/2+(I32)*(MAX($D$16,(E109)-(K32)))^3/3+(ABS(G109)^2)/($I$5*MAX(((G32)+(I32)*(MAX($D$16,(E109)-(K32))))*(MAX($D$16,(E109)-(K32))),0.000001)),0.000001)</f>
        <v>0.69398638937190404</v>
      </c>
      <c r="W109">
        <f>IF(N6="None",ABS(P109-D109),MAX(ABS(P109-D109),ABS(Q109-D109)))</f>
        <v>3.4197000786662102E-10</v>
      </c>
      <c r="X109">
        <f>IF(AND(N7="None",N8="None"),0,IF(N8="None",ABS(S109-E109),IF(N7="None",ABS(T109-E109),MAX(ABS(S109-E109),ABS(T109-E109)))))</f>
        <v>51796.64183766178</v>
      </c>
      <c r="AA109">
        <f t="shared" si="33"/>
        <v>52432.141837662108</v>
      </c>
      <c r="AB109">
        <f t="shared" si="34"/>
        <v>41355.30392785334</v>
      </c>
      <c r="AC109">
        <f>IF(N6="None",P109,MAX(P109,Q109))</f>
        <v>52432.141837662333</v>
      </c>
      <c r="AD109">
        <f>IF(AND(N7="None",N8="None"),E109,IF(N8="None",S109,IF(N7="None",T109,MAX(S109,T109))))</f>
        <v>20784.033523923383</v>
      </c>
      <c r="AE109">
        <f t="shared" si="35"/>
        <v>637.65825101089831</v>
      </c>
      <c r="AF109">
        <f t="shared" si="36"/>
        <v>52432.141837662122</v>
      </c>
      <c r="AG109">
        <f>((G31)*(MAX($D$16,(AC109)-(K31)))^2)/2+(I31)*(MAX($D$16,(AC109)-(K31)))^3/3+(ABS(F109)^2)/($I$5*MAX(((G31)+(I31)*(MAX($D$16,(AC109)-(K31))))*(MAX($D$16,(AC109)-(K31))),0.000001))</f>
        <v>8797611517.4117489</v>
      </c>
      <c r="AH109">
        <f>((G31)*(MAX($D$16,(AE109)-(K31)))^2)/2+(I31)*(MAX($D$16,(AE109)-(K31)))^3/3+(ABS(F109)^2)/($I$5*MAX(((G31)+(I31)*(MAX($D$16,(AE109)-(K31))))*(MAX($D$16,(AE109)-(K31))),0.000001))</f>
        <v>49.055863329575246</v>
      </c>
      <c r="AI109">
        <f>((G32)*(MAX($D$16,(AD109)-(K32)))^2)/2+(I32)*(MAX($D$16,(AD109)-(K32)))^3/3+(ABS(G109)^2)/($I$5*MAX(((G32)+(I32)*(MAX($D$16,(AD109)-(K32))))*(MAX($D$16,(AD109)-(K32))),0.000001))</f>
        <v>2072376743.6648321</v>
      </c>
      <c r="AJ109">
        <f>((G32)*(MAX($D$16,(AF109)-(K32)))^2)/2+(I32)*(MAX($D$16,(AF109)-(K32)))^3/3+(ABS(G109)^2)/($I$5*MAX(((G32)+(I32)*(MAX($D$16,(AF109)-(K32))))*(MAX($D$16,(AF109)-(K32))),0.000001))</f>
        <v>13692714789.64415</v>
      </c>
      <c r="AK109" t="str">
        <f t="shared" si="37"/>
        <v>Subcritical</v>
      </c>
      <c r="AL109" t="str">
        <f t="shared" si="38"/>
        <v>Supercritical</v>
      </c>
      <c r="AM109">
        <f t="shared" si="39"/>
        <v>52432.141837662108</v>
      </c>
      <c r="AN109">
        <f t="shared" si="40"/>
        <v>52432.141837661897</v>
      </c>
      <c r="AO109">
        <f t="shared" si="41"/>
        <v>3.4197000786662102E-10</v>
      </c>
      <c r="AP109">
        <f t="shared" si="42"/>
        <v>3.4197000786662102E-10</v>
      </c>
    </row>
    <row r="110" spans="1:42" x14ac:dyDescent="0.35">
      <c r="A110">
        <v>67</v>
      </c>
      <c r="B110">
        <f t="shared" si="43"/>
        <v>0</v>
      </c>
      <c r="C110">
        <f t="shared" si="44"/>
        <v>0</v>
      </c>
      <c r="D110">
        <f t="shared" si="45"/>
        <v>52432.141837662108</v>
      </c>
      <c r="E110">
        <f t="shared" si="46"/>
        <v>52432.141837661897</v>
      </c>
      <c r="F110">
        <f t="shared" si="32"/>
        <v>51</v>
      </c>
      <c r="G110">
        <f>IF(N6="None",F110,MAX(0,F110*B110))</f>
        <v>51</v>
      </c>
      <c r="H110">
        <f>IF(N6="None",0,MAX(0,F110-G110))</f>
        <v>0</v>
      </c>
      <c r="I110">
        <f>IF(AND(N7="None",N8="None"),0,IF(N8="None",G110,IF(N7="None",0,MAX(0,G110*C110))))</f>
        <v>0</v>
      </c>
      <c r="J110">
        <f>IF(AND(N7="None",N8="None"),0,IF(N8="None",0,IF(N7="None",G110,MAX(0,G110-I110))))</f>
        <v>51</v>
      </c>
      <c r="K110">
        <f>P5</f>
        <v>637</v>
      </c>
      <c r="L110">
        <f>P6</f>
        <v>634.3119999999999</v>
      </c>
      <c r="M110">
        <f>P7</f>
        <v>635.5</v>
      </c>
      <c r="N110">
        <f>P8</f>
        <v>631.54999999999995</v>
      </c>
      <c r="O110">
        <f>K110+((ABS(F110)/MAX(((F31)+(H31)*(MAX($D$16,(K110)-(J31))))*(MAX($D$16,(K110)-(J31))),0.000001))^2)/(2*$I$5)-((E31)*((((ABS(F110)*$D$6)/(MAX(((F31)+(H31)*(MAX($D$16,(K110)-(J31))))*(MAX($D$16,(K110)-(J31))),0.000001)*MAX(((((F31)+(H31)*(MAX($D$16,(K110)-(J31))))*(MAX($D$16,(K110)-(J31))))/MAX((F31)+2*(MAX($D$16,(K110)-(J31)))*SQRT(1+(H31)^2),0.000001))^(2/3),0.000001)))^2)+(((ABS(F110)*$D$6)/(MAX(((G31)+(I31)*(MAX($D$16,(D110)-(K31))))*(MAX($D$16,(D110)-(K31))),0.000001)*MAX(((((G31)+(I31)*(MAX($D$16,(D110)-(K31))))*(MAX($D$16,(D110)-(K31))))/MAX((G31)+2*(MAX($D$16,(D110)-(K31)))*SQRT(1+(I31)^2),0.000001))^(2/3),0.000001)))^2))/2)+(IF((ABS(F110)/MAX(((G31)+(I31)*(MAX($D$16,(D110)-(K31))))*(MAX($D$16,(D110)-(K31))),0.000001))&gt;(ABS(F110)/MAX(((F31)+(H31)*(MAX($D$16,(K110)-(J31))))*(MAX($D$16,(K110)-(J31))),0.000001)),$D$9*((((ABS(F110)/MAX(((G31)+(I31)*(MAX($D$16,(D110)-(K31))))*(MAX($D$16,(D110)-(K31))),0.000001))^2)/(2*$I$5))-(((ABS(F110)/MAX(((F31)+(H31)*(MAX($D$16,(K110)-(J31))))*(MAX($D$16,(K110)-(J31))),0.000001))^2)/(2*$I$5))),$D$8*((((ABS(F110)/MAX(((F31)+(H31)*(MAX($D$16,(K110)-(J31))))*(MAX($D$16,(K110)-(J31))),0.000001))^2)/(2*$I$5))-(((ABS(F110)/MAX(((G31)+(I31)*(MAX($D$16,(D110)-(K31))))*(MAX($D$16,(D110)-(K31))),0.000001))^2)/(2*$I$5)))))+($D$10*(ABS((X31)-(W31))/90)*MAX(((ABS(F110)/MAX(((F31)+(H31)*(MAX($D$16,(K110)-(J31))))*(MAX($D$16,(K110)-(J31))),0.000001))^2)/(2*$I$5),((ABS(F110)/MAX(((G31)+(I31)*(MAX($D$16,(D110)-(K31))))*(MAX($D$16,(D110)-(K31))),0.000001))^2)/(2*$I$5)))+(0)-((ABS(F110)/MAX(((G31)+(I31)*(MAX($D$16,(D110)-(K31))))*(MAX($D$16,(D110)-(K31))),0.000001))^2)/(2*$I$5)</f>
        <v>637.65825101089831</v>
      </c>
      <c r="P110">
        <f>E110+((ABS(G110)/MAX(((G32)+(I32)*(MAX($D$16,(E110)-(K32))))*(MAX($D$16,(E110)-(K32))),0.000001))^2)/(2*$I$5)+((E32)*((((ABS(G110)*$D$6)/(MAX(((F32)+(H32)*(MAX($D$16,(D110)-(J32))))*(MAX($D$16,(D110)-(J32))),0.000001)*MAX(((((F32)+(H32)*(MAX($D$16,(D110)-(J32))))*(MAX($D$16,(D110)-(J32))))/MAX((F32)+2*(MAX($D$16,(D110)-(J32)))*SQRT(1+(H32)^2),0.000001))^(2/3),0.000001)))^2)+(((ABS(G110)*$D$6)/(MAX(((G32)+(I32)*(MAX($D$16,(E110)-(K32))))*(MAX($D$16,(E110)-(K32))),0.000001)*MAX(((((G32)+(I32)*(MAX($D$16,(E110)-(K32))))*(MAX($D$16,(E110)-(K32))))/MAX((G32)+2*(MAX($D$16,(E110)-(K32)))*SQRT(1+(I32)^2),0.000001))^(2/3),0.000001)))^2))/2)+(IF((ABS(G110)/MAX(((G32)+(I32)*(MAX($D$16,(E110)-(K32))))*(MAX($D$16,(E110)-(K32))),0.000001))&gt;(ABS(G110)/MAX(((F32)+(H32)*(MAX($D$16,(D110)-(J32))))*(MAX($D$16,(D110)-(J32))),0.000001)),$D$9*((((ABS(G110)/MAX(((G32)+(I32)*(MAX($D$16,(E110)-(K32))))*(MAX($D$16,(E110)-(K32))),0.000001))^2)/(2*$I$5))-(((ABS(G110)/MAX(((F32)+(H32)*(MAX($D$16,(D110)-(J32))))*(MAX($D$16,(D110)-(J32))),0.000001))^2)/(2*$I$5))),$D$8*((((ABS(G110)/MAX(((F32)+(H32)*(MAX($D$16,(D110)-(J32))))*(MAX($D$16,(D110)-(J32))),0.000001))^2)/(2*$I$5))-(((ABS(G110)/MAX(((G32)+(I32)*(MAX($D$16,(E110)-(K32))))*(MAX($D$16,(E110)-(K32))),0.000001))^2)/(2*$I$5)))))+($D$10*(ABS((X32)-(W32))/90)*MAX(((ABS(G110)/MAX(((F32)+(H32)*(MAX($D$16,(D110)-(J32))))*(MAX($D$16,(D110)-(J32))),0.000001))^2)/(2*$I$5),((ABS(G110)/MAX(((G32)+(I32)*(MAX($D$16,(E110)-(K32))))*(MAX($D$16,(E110)-(K32))),0.000001))^2)/(2*$I$5)))+(($D$11*0.13607488*(ABS(H110)/MAX(ABS(F110),0.000001))^2*MAX(((ABS(G110)/MAX(((F32)+(H32)*(MAX($D$16,(D110)-(J32))))*(MAX($D$16,(D110)-(J32))),0.000001))^2)/(2*$I$5),((ABS(G110)/MAX(((G32)+(I32)*(MAX($D$16,(E110)-(K32))))*(MAX($D$16,(E110)-(K32))),0.000001))^2)/(2*$I$5))))-((ABS(G110)/MAX(((F32)+(H32)*(MAX($D$16,(D110)-(J32))))*(MAX($D$16,(D110)-(J32))),0.000001))^2)/(2*$I$5)</f>
        <v>52432.14183766245</v>
      </c>
      <c r="Q110">
        <f>L110+((ABS(H110)/MAX(((G33)+(I33)*(MAX($D$16,(L110)-(K33))))*(MAX($D$16,(L110)-(K33))),0.000001))^2)/(2*$I$5)+((E33)*((((ABS(H110)*$D$6)/(MAX(((F33)+(H33)*(MAX($D$16,(D110)-(J33))))*(MAX($D$16,(D110)-(J33))),0.000001)*MAX(((((F33)+(H33)*(MAX($D$16,(D110)-(J33))))*(MAX($D$16,(D110)-(J33))))/MAX((F33)+2*(MAX($D$16,(D110)-(J33)))*SQRT(1+(H33)^2),0.000001))^(2/3),0.000001)))^2)+(((ABS(H110)*$D$6)/(MAX(((G33)+(I33)*(MAX($D$16,(L110)-(K33))))*(MAX($D$16,(L110)-(K33))),0.000001)*MAX(((((G33)+(I33)*(MAX($D$16,(L110)-(K33))))*(MAX($D$16,(L110)-(K33))))/MAX((G33)+2*(MAX($D$16,(L110)-(K33)))*SQRT(1+(I33)^2),0.000001))^(2/3),0.000001)))^2))/2)+(IF((ABS(H110)/MAX(((G33)+(I33)*(MAX($D$16,(L110)-(K33))))*(MAX($D$16,(L110)-(K33))),0.000001))&gt;(ABS(H110)/MAX(((F33)+(H33)*(MAX($D$16,(D110)-(J33))))*(MAX($D$16,(D110)-(J33))),0.000001)),$D$9*((((ABS(H110)/MAX(((G33)+(I33)*(MAX($D$16,(L110)-(K33))))*(MAX($D$16,(L110)-(K33))),0.000001))^2)/(2*$I$5))-(((ABS(H110)/MAX(((F33)+(H33)*(MAX($D$16,(D110)-(J33))))*(MAX($D$16,(D110)-(J33))),0.000001))^2)/(2*$I$5))),$D$8*((((ABS(H110)/MAX(((F33)+(H33)*(MAX($D$16,(D110)-(J33))))*(MAX($D$16,(D110)-(J33))),0.000001))^2)/(2*$I$5))-(((ABS(H110)/MAX(((G33)+(I33)*(MAX($D$16,(L110)-(K33))))*(MAX($D$16,(L110)-(K33))),0.000001))^2)/(2*$I$5)))))+($D$10*(ABS((X33)-(W33))/90)*MAX(((ABS(H110)/MAX(((F33)+(H33)*(MAX($D$16,(D110)-(J33))))*(MAX($D$16,(D110)-(J33))),0.000001))^2)/(2*$I$5),((ABS(H110)/MAX(((G33)+(I33)*(MAX($D$16,(L110)-(K33))))*(MAX($D$16,(L110)-(K33))),0.000001))^2)/(2*$I$5)))+(($D$11*0.00000015*(ABS(G110)/MAX(ABS(F110),0.000001))^2*MAX(((ABS(H110)/MAX(((F33)+(H33)*(MAX($D$16,(D110)-(J33))))*(MAX($D$16,(D110)-(J33))),0.000001))^2)/(2*$I$5),((ABS(H110)/MAX(((G33)+(I33)*(MAX($D$16,(L110)-(K33))))*(MAX($D$16,(L110)-(K33))),0.000001))^2)/(2*$I$5))))-((ABS(H110)/MAX(((F33)+(H33)*(MAX($D$16,(D110)-(J33))))*(MAX($D$16,(D110)-(J33))),0.000001))^2)/(2*$I$5)</f>
        <v>634.3119999999999</v>
      </c>
      <c r="R110">
        <f>D110+((ABS(G110)/MAX(((F32)+(H32)*(MAX($D$16,(D110)-(J32))))*(MAX($D$16,(D110)-(J32))),0.000001))^2)/(2*$I$5)-((E32)*((((ABS(G110)*$D$6)/(MAX(((F32)+(H32)*(MAX($D$16,(D110)-(J32))))*(MAX($D$16,(D110)-(J32))),0.000001)*MAX(((((F32)+(H32)*(MAX($D$16,(D110)-(J32))))*(MAX($D$16,(D110)-(J32))))/MAX((F32)+2*(MAX($D$16,(D110)-(J32)))*SQRT(1+(H32)^2),0.000001))^(2/3),0.000001)))^2)+(((ABS(G110)*$D$6)/(MAX(((G32)+(I32)*(MAX($D$16,(E110)-(K32))))*(MAX($D$16,(E110)-(K32))),0.000001)*MAX(((((G32)+(I32)*(MAX($D$16,(E110)-(K32))))*(MAX($D$16,(E110)-(K32))))/MAX((G32)+2*(MAX($D$16,(E110)-(K32)))*SQRT(1+(I32)^2),0.000001))^(2/3),0.000001)))^2))/2)+(IF((ABS(G110)/MAX(((G32)+(I32)*(MAX($D$16,(E110)-(K32))))*(MAX($D$16,(E110)-(K32))),0.000001))&gt;(ABS(G110)/MAX(((F32)+(H32)*(MAX($D$16,(D110)-(J32))))*(MAX($D$16,(D110)-(J32))),0.000001)),$D$9*((((ABS(G110)/MAX(((G32)+(I32)*(MAX($D$16,(E110)-(K32))))*(MAX($D$16,(E110)-(K32))),0.000001))^2)/(2*$I$5))-(((ABS(G110)/MAX(((F32)+(H32)*(MAX($D$16,(D110)-(J32))))*(MAX($D$16,(D110)-(J32))),0.000001))^2)/(2*$I$5))),$D$8*((((ABS(G110)/MAX(((F32)+(H32)*(MAX($D$16,(D110)-(J32))))*(MAX($D$16,(D110)-(J32))),0.000001))^2)/(2*$I$5))-(((ABS(G110)/MAX(((G32)+(I32)*(MAX($D$16,(E110)-(K32))))*(MAX($D$16,(E110)-(K32))),0.000001))^2)/(2*$I$5)))))+($D$10*(ABS((X32)-(W32))/90)*MAX(((ABS(G110)/MAX(((F32)+(H32)*(MAX($D$16,(D110)-(J32))))*(MAX($D$16,(D110)-(J32))),0.000001))^2)/(2*$I$5),((ABS(G110)/MAX(((G32)+(I32)*(MAX($D$16,(E110)-(K32))))*(MAX($D$16,(E110)-(K32))),0.000001))^2)/(2*$I$5)))+(($D$11*0.13607488*(ABS(H110)/MAX(ABS(F110),0.000001))^2*MAX(((ABS(G110)/MAX(((F32)+(H32)*(MAX($D$16,(D110)-(J32))))*(MAX($D$16,(D110)-(J32))),0.000001))^2)/(2*$I$5),((ABS(G110)/MAX(((G32)+(I32)*(MAX($D$16,(E110)-(K32))))*(MAX($D$16,(E110)-(K32))),0.000001))^2)/(2*$I$5))))-((ABS(G110)/MAX(((G32)+(I32)*(MAX($D$16,(E110)-(K32))))*(MAX($D$16,(E110)-(K32))),0.000001))^2)/(2*$I$5)</f>
        <v>52432.141837662239</v>
      </c>
      <c r="S110">
        <f>M110+((ABS(I110)/MAX(((G34)+(I34)*(MAX($D$16,(M110)-(K34))))*(MAX($D$16,(M110)-(K34))),0.000001))^2)/(2*$I$5)+((E34)*((((ABS(I110)*$D$6)/(MAX(((F34)+(H34)*(MAX($D$16,(E110)-(J34))))*(MAX($D$16,(E110)-(J34))),0.000001)*MAX(((((F34)+(H34)*(MAX($D$16,(E110)-(J34))))*(MAX($D$16,(E110)-(J34))))/MAX((F34)+2*(MAX($D$16,(E110)-(J34)))*SQRT(1+(H34)^2),0.000001))^(2/3),0.000001)))^2)+(((ABS(I110)*$D$6)/(MAX(((G34)+(I34)*(MAX($D$16,(M110)-(K34))))*(MAX($D$16,(M110)-(K34))),0.000001)*MAX(((((G34)+(I34)*(MAX($D$16,(M110)-(K34))))*(MAX($D$16,(M110)-(K34))))/MAX((G34)+2*(MAX($D$16,(M110)-(K34)))*SQRT(1+(I34)^2),0.000001))^(2/3),0.000001)))^2))/2)+(IF((ABS(I110)/MAX(((G34)+(I34)*(MAX($D$16,(M110)-(K34))))*(MAX($D$16,(M110)-(K34))),0.000001))&gt;(ABS(I110)/MAX(((F34)+(H34)*(MAX($D$16,(E110)-(J34))))*(MAX($D$16,(E110)-(J34))),0.000001)),$D$9*((((ABS(I110)/MAX(((G34)+(I34)*(MAX($D$16,(M110)-(K34))))*(MAX($D$16,(M110)-(K34))),0.000001))^2)/(2*$I$5))-(((ABS(I110)/MAX(((F34)+(H34)*(MAX($D$16,(E110)-(J34))))*(MAX($D$16,(E110)-(J34))),0.000001))^2)/(2*$I$5))),$D$8*((((ABS(I110)/MAX(((F34)+(H34)*(MAX($D$16,(E110)-(J34))))*(MAX($D$16,(E110)-(J34))),0.000001))^2)/(2*$I$5))-(((ABS(I110)/MAX(((G34)+(I34)*(MAX($D$16,(M110)-(K34))))*(MAX($D$16,(M110)-(K34))),0.000001))^2)/(2*$I$5)))))+($D$10*(ABS((X34)-(W34))/90)*MAX(((ABS(I110)/MAX(((F34)+(H34)*(MAX($D$16,(E110)-(J34))))*(MAX($D$16,(E110)-(J34))),0.000001))^2)/(2*$I$5),((ABS(I110)/MAX(((G34)+(I34)*(MAX($D$16,(M110)-(K34))))*(MAX($D$16,(M110)-(K34))),0.000001))^2)/(2*$I$5)))+(0)-((ABS(I110)/MAX(((F34)+(H34)*(MAX($D$16,(E110)-(J34))))*(MAX($D$16,(E110)-(J34))),0.000001))^2)/(2*$I$5)</f>
        <v>635.5</v>
      </c>
      <c r="T110">
        <f>N110+((ABS(J110)/MAX(((G35)+(I35)*(MAX($D$16,(N110)-(K35))))*(MAX($D$16,(N110)-(K35))),0.000001))^2)/(2*$I$5)+((E35)*((((ABS(J110)*$D$6)/(MAX(((F35)+(H35)*(MAX($D$16,(E110)-(J35))))*(MAX($D$16,(E110)-(J35))),0.000001)*MAX(((((F35)+(H35)*(MAX($D$16,(E110)-(J35))))*(MAX($D$16,(E110)-(J35))))/MAX((F35)+2*(MAX($D$16,(E110)-(J35)))*SQRT(1+(H35)^2),0.000001))^(2/3),0.000001)))^2)+(((ABS(J110)*$D$6)/(MAX(((G35)+(I35)*(MAX($D$16,(N110)-(K35))))*(MAX($D$16,(N110)-(K35))),0.000001)*MAX(((((G35)+(I35)*(MAX($D$16,(N110)-(K35))))*(MAX($D$16,(N110)-(K35))))/MAX((G35)+2*(MAX($D$16,(N110)-(K35)))*SQRT(1+(I35)^2),0.000001))^(2/3),0.000001)))^2))/2)+(IF((ABS(J110)/MAX(((G35)+(I35)*(MAX($D$16,(N110)-(K35))))*(MAX($D$16,(N110)-(K35))),0.000001))&gt;(ABS(J110)/MAX(((F35)+(H35)*(MAX($D$16,(E110)-(J35))))*(MAX($D$16,(E110)-(J35))),0.000001)),$D$9*((((ABS(J110)/MAX(((G35)+(I35)*(MAX($D$16,(N110)-(K35))))*(MAX($D$16,(N110)-(K35))),0.000001))^2)/(2*$I$5))-(((ABS(J110)/MAX(((F35)+(H35)*(MAX($D$16,(E110)-(J35))))*(MAX($D$16,(E110)-(J35))),0.000001))^2)/(2*$I$5))),$D$8*((((ABS(J110)/MAX(((F35)+(H35)*(MAX($D$16,(E110)-(J35))))*(MAX($D$16,(E110)-(J35))),0.000001))^2)/(2*$I$5))-(((ABS(J110)/MAX(((G35)+(I35)*(MAX($D$16,(N110)-(K35))))*(MAX($D$16,(N110)-(K35))),0.000001))^2)/(2*$I$5)))))+($D$10*(ABS((X35)-(W35))/90)*MAX(((ABS(J110)/MAX(((F35)+(H35)*(MAX($D$16,(E110)-(J35))))*(MAX($D$16,(E110)-(J35))),0.000001))^2)/(2*$I$5),((ABS(J110)/MAX(((G35)+(I35)*(MAX($D$16,(N110)-(K35))))*(MAX($D$16,(N110)-(K35))),0.000001))^2)/(2*$I$5)))+(($D$11*0.34699541*(ABS(I110)/MAX(ABS(G110),0.000001))^2*MAX(((ABS(J110)/MAX(((F35)+(H35)*(MAX($D$16,(E110)-(J35))))*(MAX($D$16,(E110)-(J35))),0.000001))^2)/(2*$I$5),((ABS(J110)/MAX(((G35)+(I35)*(MAX($D$16,(N110)-(K35))))*(MAX($D$16,(N110)-(K35))),0.000001))^2)/(2*$I$5))))-((ABS(J110)/MAX(((F35)+(H35)*(MAX($D$16,(E110)-(J35))))*(MAX($D$16,(E110)-(J35))),0.000001))^2)/(2*$I$5)</f>
        <v>20784.033523923383</v>
      </c>
      <c r="U110">
        <f>(((((F32)*(MAX($D$16,(D110)-(J32)))^2)/2+(H32)*(MAX($D$16,(D110)-(J32)))^3/3+(ABS(G110)^2)/($I$5*MAX(((F32)+(H32)*(MAX($D$16,(D110)-(J32))))*(MAX($D$16,(D110)-(J32))),0.000001)))*0.72785025)-((((F33)*(MAX($D$16,(D110)-(J33)))^2)/2+(H33)*(MAX($D$16,(D110)-(J33)))^3/3+(ABS(H110)^2)/($I$5*MAX(((F33)+(H33)*(MAX($D$16,(D110)-(J33))))*(MAX($D$16,(D110)-(J33))),0.000001)))*0.99999971))/MAX(((G31)*(MAX($D$16,(D110)-(K31)))^2)/2+(I31)*(MAX($D$16,(D110)-(K31)))^3/3+(ABS(F110)^2)/($I$5*MAX(((G31)+(I31)*(MAX($D$16,(D110)-(K31))))*(MAX($D$16,(D110)-(K31))),0.000001)),0.000001)</f>
        <v>-0.27214945999991125</v>
      </c>
      <c r="V110">
        <f>(((((F34)*(MAX($D$16,(E110)-(J34)))^2)/2+(H34)*(MAX($D$16,(E110)-(J34)))^3/3+(ABS(I110)^2)/($I$5*MAX(((F34)+(H34)*(MAX($D$16,(E110)-(J34))))*(MAX($D$16,(E110)-(J34))),0.000001)))*1)-((((F35)*(MAX($D$16,(E110)-(J35)))^2)/2+(H35)*(MAX($D$16,(E110)-(J35)))^3/3+(ABS(J110)^2)/($I$5*MAX(((F35)+(H35)*(MAX($D$16,(E110)-(J35))))*(MAX($D$16,(E110)-(J35))),0.000001)))*0.30600918))/MAX(((G32)*(MAX($D$16,(E110)-(K32)))^2)/2+(I32)*(MAX($D$16,(E110)-(K32)))^3/3+(ABS(G110)^2)/($I$5*MAX(((G32)+(I32)*(MAX($D$16,(E110)-(K32))))*(MAX($D$16,(E110)-(K32))),0.000001)),0.000001)</f>
        <v>0.69398638937190393</v>
      </c>
      <c r="W110">
        <f>IF(N6="None",ABS(P110-D110),MAX(ABS(P110-D110),ABS(Q110-D110)))</f>
        <v>3.4197000786662102E-10</v>
      </c>
      <c r="X110">
        <f>IF(AND(N7="None",N8="None"),0,IF(N8="None",ABS(S110-E110),IF(N7="None",ABS(T110-E110),MAX(ABS(S110-E110),ABS(T110-E110)))))</f>
        <v>51796.641837661897</v>
      </c>
      <c r="AA110">
        <f t="shared" si="33"/>
        <v>52432.141837662224</v>
      </c>
      <c r="AB110">
        <f t="shared" si="34"/>
        <v>41355.30392785342</v>
      </c>
      <c r="AC110">
        <f>IF(N6="None",P110,MAX(P110,Q110))</f>
        <v>52432.14183766245</v>
      </c>
      <c r="AD110">
        <f>IF(AND(N7="None",N8="None"),E110,IF(N8="None",S110,IF(N7="None",T110,MAX(S110,T110))))</f>
        <v>20784.033523923383</v>
      </c>
      <c r="AE110">
        <f t="shared" si="35"/>
        <v>637.65825101089831</v>
      </c>
      <c r="AF110">
        <f t="shared" si="36"/>
        <v>52432.141837662239</v>
      </c>
      <c r="AG110">
        <f>((G31)*(MAX($D$16,(AC110)-(K31)))^2)/2+(I31)*(MAX($D$16,(AC110)-(K31)))^3/3+(ABS(F110)^2)/($I$5*MAX(((G31)+(I31)*(MAX($D$16,(AC110)-(K31))))*(MAX($D$16,(AC110)-(K31))),0.000001))</f>
        <v>8797611517.411787</v>
      </c>
      <c r="AH110">
        <f>((G31)*(MAX($D$16,(AE110)-(K31)))^2)/2+(I31)*(MAX($D$16,(AE110)-(K31)))^3/3+(ABS(F110)^2)/($I$5*MAX(((G31)+(I31)*(MAX($D$16,(AE110)-(K31))))*(MAX($D$16,(AE110)-(K31))),0.000001))</f>
        <v>49.055863329575246</v>
      </c>
      <c r="AI110">
        <f>((G32)*(MAX($D$16,(AD110)-(K32)))^2)/2+(I32)*(MAX($D$16,(AD110)-(K32)))^3/3+(ABS(G110)^2)/($I$5*MAX(((G32)+(I32)*(MAX($D$16,(AD110)-(K32))))*(MAX($D$16,(AD110)-(K32))),0.000001))</f>
        <v>2072376743.6648321</v>
      </c>
      <c r="AJ110">
        <f>((G32)*(MAX($D$16,(AF110)-(K32)))^2)/2+(I32)*(MAX($D$16,(AF110)-(K32)))^3/3+(ABS(G110)^2)/($I$5*MAX(((G32)+(I32)*(MAX($D$16,(AF110)-(K32))))*(MAX($D$16,(AF110)-(K32))),0.000001))</f>
        <v>13692714789.644211</v>
      </c>
      <c r="AK110" t="str">
        <f t="shared" si="37"/>
        <v>Subcritical</v>
      </c>
      <c r="AL110" t="str">
        <f t="shared" si="38"/>
        <v>Supercritical</v>
      </c>
      <c r="AM110">
        <f t="shared" si="39"/>
        <v>52432.141837662224</v>
      </c>
      <c r="AN110">
        <f t="shared" si="40"/>
        <v>52432.141837662013</v>
      </c>
      <c r="AO110">
        <f t="shared" si="41"/>
        <v>3.4197000786662102E-10</v>
      </c>
      <c r="AP110">
        <f t="shared" si="42"/>
        <v>3.4197000786662102E-10</v>
      </c>
    </row>
    <row r="111" spans="1:42" x14ac:dyDescent="0.35">
      <c r="A111">
        <v>68</v>
      </c>
      <c r="B111">
        <f t="shared" si="43"/>
        <v>0</v>
      </c>
      <c r="C111">
        <f t="shared" si="44"/>
        <v>0</v>
      </c>
      <c r="D111">
        <f t="shared" si="45"/>
        <v>52432.141837662224</v>
      </c>
      <c r="E111">
        <f t="shared" si="46"/>
        <v>52432.141837662013</v>
      </c>
      <c r="F111">
        <f t="shared" si="32"/>
        <v>51</v>
      </c>
      <c r="G111">
        <f>IF(N6="None",F111,MAX(0,F111*B111))</f>
        <v>51</v>
      </c>
      <c r="H111">
        <f>IF(N6="None",0,MAX(0,F111-G111))</f>
        <v>0</v>
      </c>
      <c r="I111">
        <f>IF(AND(N7="None",N8="None"),0,IF(N8="None",G111,IF(N7="None",0,MAX(0,G111*C111))))</f>
        <v>0</v>
      </c>
      <c r="J111">
        <f>IF(AND(N7="None",N8="None"),0,IF(N8="None",0,IF(N7="None",G111,MAX(0,G111-I111))))</f>
        <v>51</v>
      </c>
      <c r="K111">
        <f>P5</f>
        <v>637</v>
      </c>
      <c r="L111">
        <f>P6</f>
        <v>634.3119999999999</v>
      </c>
      <c r="M111">
        <f>P7</f>
        <v>635.5</v>
      </c>
      <c r="N111">
        <f>P8</f>
        <v>631.54999999999995</v>
      </c>
      <c r="O111">
        <f>K111+((ABS(F111)/MAX(((F31)+(H31)*(MAX($D$16,(K111)-(J31))))*(MAX($D$16,(K111)-(J31))),0.000001))^2)/(2*$I$5)-((E31)*((((ABS(F111)*$D$6)/(MAX(((F31)+(H31)*(MAX($D$16,(K111)-(J31))))*(MAX($D$16,(K111)-(J31))),0.000001)*MAX(((((F31)+(H31)*(MAX($D$16,(K111)-(J31))))*(MAX($D$16,(K111)-(J31))))/MAX((F31)+2*(MAX($D$16,(K111)-(J31)))*SQRT(1+(H31)^2),0.000001))^(2/3),0.000001)))^2)+(((ABS(F111)*$D$6)/(MAX(((G31)+(I31)*(MAX($D$16,(D111)-(K31))))*(MAX($D$16,(D111)-(K31))),0.000001)*MAX(((((G31)+(I31)*(MAX($D$16,(D111)-(K31))))*(MAX($D$16,(D111)-(K31))))/MAX((G31)+2*(MAX($D$16,(D111)-(K31)))*SQRT(1+(I31)^2),0.000001))^(2/3),0.000001)))^2))/2)+(IF((ABS(F111)/MAX(((G31)+(I31)*(MAX($D$16,(D111)-(K31))))*(MAX($D$16,(D111)-(K31))),0.000001))&gt;(ABS(F111)/MAX(((F31)+(H31)*(MAX($D$16,(K111)-(J31))))*(MAX($D$16,(K111)-(J31))),0.000001)),$D$9*((((ABS(F111)/MAX(((G31)+(I31)*(MAX($D$16,(D111)-(K31))))*(MAX($D$16,(D111)-(K31))),0.000001))^2)/(2*$I$5))-(((ABS(F111)/MAX(((F31)+(H31)*(MAX($D$16,(K111)-(J31))))*(MAX($D$16,(K111)-(J31))),0.000001))^2)/(2*$I$5))),$D$8*((((ABS(F111)/MAX(((F31)+(H31)*(MAX($D$16,(K111)-(J31))))*(MAX($D$16,(K111)-(J31))),0.000001))^2)/(2*$I$5))-(((ABS(F111)/MAX(((G31)+(I31)*(MAX($D$16,(D111)-(K31))))*(MAX($D$16,(D111)-(K31))),0.000001))^2)/(2*$I$5)))))+($D$10*(ABS((X31)-(W31))/90)*MAX(((ABS(F111)/MAX(((F31)+(H31)*(MAX($D$16,(K111)-(J31))))*(MAX($D$16,(K111)-(J31))),0.000001))^2)/(2*$I$5),((ABS(F111)/MAX(((G31)+(I31)*(MAX($D$16,(D111)-(K31))))*(MAX($D$16,(D111)-(K31))),0.000001))^2)/(2*$I$5)))+(0)-((ABS(F111)/MAX(((G31)+(I31)*(MAX($D$16,(D111)-(K31))))*(MAX($D$16,(D111)-(K31))),0.000001))^2)/(2*$I$5)</f>
        <v>637.65825101089831</v>
      </c>
      <c r="P111">
        <f>E111+((ABS(G111)/MAX(((G32)+(I32)*(MAX($D$16,(E111)-(K32))))*(MAX($D$16,(E111)-(K32))),0.000001))^2)/(2*$I$5)+((E32)*((((ABS(G111)*$D$6)/(MAX(((F32)+(H32)*(MAX($D$16,(D111)-(J32))))*(MAX($D$16,(D111)-(J32))),0.000001)*MAX(((((F32)+(H32)*(MAX($D$16,(D111)-(J32))))*(MAX($D$16,(D111)-(J32))))/MAX((F32)+2*(MAX($D$16,(D111)-(J32)))*SQRT(1+(H32)^2),0.000001))^(2/3),0.000001)))^2)+(((ABS(G111)*$D$6)/(MAX(((G32)+(I32)*(MAX($D$16,(E111)-(K32))))*(MAX($D$16,(E111)-(K32))),0.000001)*MAX(((((G32)+(I32)*(MAX($D$16,(E111)-(K32))))*(MAX($D$16,(E111)-(K32))))/MAX((G32)+2*(MAX($D$16,(E111)-(K32)))*SQRT(1+(I32)^2),0.000001))^(2/3),0.000001)))^2))/2)+(IF((ABS(G111)/MAX(((G32)+(I32)*(MAX($D$16,(E111)-(K32))))*(MAX($D$16,(E111)-(K32))),0.000001))&gt;(ABS(G111)/MAX(((F32)+(H32)*(MAX($D$16,(D111)-(J32))))*(MAX($D$16,(D111)-(J32))),0.000001)),$D$9*((((ABS(G111)/MAX(((G32)+(I32)*(MAX($D$16,(E111)-(K32))))*(MAX($D$16,(E111)-(K32))),0.000001))^2)/(2*$I$5))-(((ABS(G111)/MAX(((F32)+(H32)*(MAX($D$16,(D111)-(J32))))*(MAX($D$16,(D111)-(J32))),0.000001))^2)/(2*$I$5))),$D$8*((((ABS(G111)/MAX(((F32)+(H32)*(MAX($D$16,(D111)-(J32))))*(MAX($D$16,(D111)-(J32))),0.000001))^2)/(2*$I$5))-(((ABS(G111)/MAX(((G32)+(I32)*(MAX($D$16,(E111)-(K32))))*(MAX($D$16,(E111)-(K32))),0.000001))^2)/(2*$I$5)))))+($D$10*(ABS((X32)-(W32))/90)*MAX(((ABS(G111)/MAX(((F32)+(H32)*(MAX($D$16,(D111)-(J32))))*(MAX($D$16,(D111)-(J32))),0.000001))^2)/(2*$I$5),((ABS(G111)/MAX(((G32)+(I32)*(MAX($D$16,(E111)-(K32))))*(MAX($D$16,(E111)-(K32))),0.000001))^2)/(2*$I$5)))+(($D$11*0.13607488*(ABS(H111)/MAX(ABS(F111),0.000001))^2*MAX(((ABS(G111)/MAX(((F32)+(H32)*(MAX($D$16,(D111)-(J32))))*(MAX($D$16,(D111)-(J32))),0.000001))^2)/(2*$I$5),((ABS(G111)/MAX(((G32)+(I32)*(MAX($D$16,(E111)-(K32))))*(MAX($D$16,(E111)-(K32))),0.000001))^2)/(2*$I$5))))-((ABS(G111)/MAX(((F32)+(H32)*(MAX($D$16,(D111)-(J32))))*(MAX($D$16,(D111)-(J32))),0.000001))^2)/(2*$I$5)</f>
        <v>52432.141837662566</v>
      </c>
      <c r="Q111">
        <f>L111+((ABS(H111)/MAX(((G33)+(I33)*(MAX($D$16,(L111)-(K33))))*(MAX($D$16,(L111)-(K33))),0.000001))^2)/(2*$I$5)+((E33)*((((ABS(H111)*$D$6)/(MAX(((F33)+(H33)*(MAX($D$16,(D111)-(J33))))*(MAX($D$16,(D111)-(J33))),0.000001)*MAX(((((F33)+(H33)*(MAX($D$16,(D111)-(J33))))*(MAX($D$16,(D111)-(J33))))/MAX((F33)+2*(MAX($D$16,(D111)-(J33)))*SQRT(1+(H33)^2),0.000001))^(2/3),0.000001)))^2)+(((ABS(H111)*$D$6)/(MAX(((G33)+(I33)*(MAX($D$16,(L111)-(K33))))*(MAX($D$16,(L111)-(K33))),0.000001)*MAX(((((G33)+(I33)*(MAX($D$16,(L111)-(K33))))*(MAX($D$16,(L111)-(K33))))/MAX((G33)+2*(MAX($D$16,(L111)-(K33)))*SQRT(1+(I33)^2),0.000001))^(2/3),0.000001)))^2))/2)+(IF((ABS(H111)/MAX(((G33)+(I33)*(MAX($D$16,(L111)-(K33))))*(MAX($D$16,(L111)-(K33))),0.000001))&gt;(ABS(H111)/MAX(((F33)+(H33)*(MAX($D$16,(D111)-(J33))))*(MAX($D$16,(D111)-(J33))),0.000001)),$D$9*((((ABS(H111)/MAX(((G33)+(I33)*(MAX($D$16,(L111)-(K33))))*(MAX($D$16,(L111)-(K33))),0.000001))^2)/(2*$I$5))-(((ABS(H111)/MAX(((F33)+(H33)*(MAX($D$16,(D111)-(J33))))*(MAX($D$16,(D111)-(J33))),0.000001))^2)/(2*$I$5))),$D$8*((((ABS(H111)/MAX(((F33)+(H33)*(MAX($D$16,(D111)-(J33))))*(MAX($D$16,(D111)-(J33))),0.000001))^2)/(2*$I$5))-(((ABS(H111)/MAX(((G33)+(I33)*(MAX($D$16,(L111)-(K33))))*(MAX($D$16,(L111)-(K33))),0.000001))^2)/(2*$I$5)))))+($D$10*(ABS((X33)-(W33))/90)*MAX(((ABS(H111)/MAX(((F33)+(H33)*(MAX($D$16,(D111)-(J33))))*(MAX($D$16,(D111)-(J33))),0.000001))^2)/(2*$I$5),((ABS(H111)/MAX(((G33)+(I33)*(MAX($D$16,(L111)-(K33))))*(MAX($D$16,(L111)-(K33))),0.000001))^2)/(2*$I$5)))+(($D$11*0.00000015*(ABS(G111)/MAX(ABS(F111),0.000001))^2*MAX(((ABS(H111)/MAX(((F33)+(H33)*(MAX($D$16,(D111)-(J33))))*(MAX($D$16,(D111)-(J33))),0.000001))^2)/(2*$I$5),((ABS(H111)/MAX(((G33)+(I33)*(MAX($D$16,(L111)-(K33))))*(MAX($D$16,(L111)-(K33))),0.000001))^2)/(2*$I$5))))-((ABS(H111)/MAX(((F33)+(H33)*(MAX($D$16,(D111)-(J33))))*(MAX($D$16,(D111)-(J33))),0.000001))^2)/(2*$I$5)</f>
        <v>634.3119999999999</v>
      </c>
      <c r="R111">
        <f>D111+((ABS(G111)/MAX(((F32)+(H32)*(MAX($D$16,(D111)-(J32))))*(MAX($D$16,(D111)-(J32))),0.000001))^2)/(2*$I$5)-((E32)*((((ABS(G111)*$D$6)/(MAX(((F32)+(H32)*(MAX($D$16,(D111)-(J32))))*(MAX($D$16,(D111)-(J32))),0.000001)*MAX(((((F32)+(H32)*(MAX($D$16,(D111)-(J32))))*(MAX($D$16,(D111)-(J32))))/MAX((F32)+2*(MAX($D$16,(D111)-(J32)))*SQRT(1+(H32)^2),0.000001))^(2/3),0.000001)))^2)+(((ABS(G111)*$D$6)/(MAX(((G32)+(I32)*(MAX($D$16,(E111)-(K32))))*(MAX($D$16,(E111)-(K32))),0.000001)*MAX(((((G32)+(I32)*(MAX($D$16,(E111)-(K32))))*(MAX($D$16,(E111)-(K32))))/MAX((G32)+2*(MAX($D$16,(E111)-(K32)))*SQRT(1+(I32)^2),0.000001))^(2/3),0.000001)))^2))/2)+(IF((ABS(G111)/MAX(((G32)+(I32)*(MAX($D$16,(E111)-(K32))))*(MAX($D$16,(E111)-(K32))),0.000001))&gt;(ABS(G111)/MAX(((F32)+(H32)*(MAX($D$16,(D111)-(J32))))*(MAX($D$16,(D111)-(J32))),0.000001)),$D$9*((((ABS(G111)/MAX(((G32)+(I32)*(MAX($D$16,(E111)-(K32))))*(MAX($D$16,(E111)-(K32))),0.000001))^2)/(2*$I$5))-(((ABS(G111)/MAX(((F32)+(H32)*(MAX($D$16,(D111)-(J32))))*(MAX($D$16,(D111)-(J32))),0.000001))^2)/(2*$I$5))),$D$8*((((ABS(G111)/MAX(((F32)+(H32)*(MAX($D$16,(D111)-(J32))))*(MAX($D$16,(D111)-(J32))),0.000001))^2)/(2*$I$5))-(((ABS(G111)/MAX(((G32)+(I32)*(MAX($D$16,(E111)-(K32))))*(MAX($D$16,(E111)-(K32))),0.000001))^2)/(2*$I$5)))))+($D$10*(ABS((X32)-(W32))/90)*MAX(((ABS(G111)/MAX(((F32)+(H32)*(MAX($D$16,(D111)-(J32))))*(MAX($D$16,(D111)-(J32))),0.000001))^2)/(2*$I$5),((ABS(G111)/MAX(((G32)+(I32)*(MAX($D$16,(E111)-(K32))))*(MAX($D$16,(E111)-(K32))),0.000001))^2)/(2*$I$5)))+(($D$11*0.13607488*(ABS(H111)/MAX(ABS(F111),0.000001))^2*MAX(((ABS(G111)/MAX(((F32)+(H32)*(MAX($D$16,(D111)-(J32))))*(MAX($D$16,(D111)-(J32))),0.000001))^2)/(2*$I$5),((ABS(G111)/MAX(((G32)+(I32)*(MAX($D$16,(E111)-(K32))))*(MAX($D$16,(E111)-(K32))),0.000001))^2)/(2*$I$5))))-((ABS(G111)/MAX(((G32)+(I32)*(MAX($D$16,(E111)-(K32))))*(MAX($D$16,(E111)-(K32))),0.000001))^2)/(2*$I$5)</f>
        <v>52432.141837662355</v>
      </c>
      <c r="S111">
        <f>M111+((ABS(I111)/MAX(((G34)+(I34)*(MAX($D$16,(M111)-(K34))))*(MAX($D$16,(M111)-(K34))),0.000001))^2)/(2*$I$5)+((E34)*((((ABS(I111)*$D$6)/(MAX(((F34)+(H34)*(MAX($D$16,(E111)-(J34))))*(MAX($D$16,(E111)-(J34))),0.000001)*MAX(((((F34)+(H34)*(MAX($D$16,(E111)-(J34))))*(MAX($D$16,(E111)-(J34))))/MAX((F34)+2*(MAX($D$16,(E111)-(J34)))*SQRT(1+(H34)^2),0.000001))^(2/3),0.000001)))^2)+(((ABS(I111)*$D$6)/(MAX(((G34)+(I34)*(MAX($D$16,(M111)-(K34))))*(MAX($D$16,(M111)-(K34))),0.000001)*MAX(((((G34)+(I34)*(MAX($D$16,(M111)-(K34))))*(MAX($D$16,(M111)-(K34))))/MAX((G34)+2*(MAX($D$16,(M111)-(K34)))*SQRT(1+(I34)^2),0.000001))^(2/3),0.000001)))^2))/2)+(IF((ABS(I111)/MAX(((G34)+(I34)*(MAX($D$16,(M111)-(K34))))*(MAX($D$16,(M111)-(K34))),0.000001))&gt;(ABS(I111)/MAX(((F34)+(H34)*(MAX($D$16,(E111)-(J34))))*(MAX($D$16,(E111)-(J34))),0.000001)),$D$9*((((ABS(I111)/MAX(((G34)+(I34)*(MAX($D$16,(M111)-(K34))))*(MAX($D$16,(M111)-(K34))),0.000001))^2)/(2*$I$5))-(((ABS(I111)/MAX(((F34)+(H34)*(MAX($D$16,(E111)-(J34))))*(MAX($D$16,(E111)-(J34))),0.000001))^2)/(2*$I$5))),$D$8*((((ABS(I111)/MAX(((F34)+(H34)*(MAX($D$16,(E111)-(J34))))*(MAX($D$16,(E111)-(J34))),0.000001))^2)/(2*$I$5))-(((ABS(I111)/MAX(((G34)+(I34)*(MAX($D$16,(M111)-(K34))))*(MAX($D$16,(M111)-(K34))),0.000001))^2)/(2*$I$5)))))+($D$10*(ABS((X34)-(W34))/90)*MAX(((ABS(I111)/MAX(((F34)+(H34)*(MAX($D$16,(E111)-(J34))))*(MAX($D$16,(E111)-(J34))),0.000001))^2)/(2*$I$5),((ABS(I111)/MAX(((G34)+(I34)*(MAX($D$16,(M111)-(K34))))*(MAX($D$16,(M111)-(K34))),0.000001))^2)/(2*$I$5)))+(0)-((ABS(I111)/MAX(((F34)+(H34)*(MAX($D$16,(E111)-(J34))))*(MAX($D$16,(E111)-(J34))),0.000001))^2)/(2*$I$5)</f>
        <v>635.5</v>
      </c>
      <c r="T111">
        <f>N111+((ABS(J111)/MAX(((G35)+(I35)*(MAX($D$16,(N111)-(K35))))*(MAX($D$16,(N111)-(K35))),0.000001))^2)/(2*$I$5)+((E35)*((((ABS(J111)*$D$6)/(MAX(((F35)+(H35)*(MAX($D$16,(E111)-(J35))))*(MAX($D$16,(E111)-(J35))),0.000001)*MAX(((((F35)+(H35)*(MAX($D$16,(E111)-(J35))))*(MAX($D$16,(E111)-(J35))))/MAX((F35)+2*(MAX($D$16,(E111)-(J35)))*SQRT(1+(H35)^2),0.000001))^(2/3),0.000001)))^2)+(((ABS(J111)*$D$6)/(MAX(((G35)+(I35)*(MAX($D$16,(N111)-(K35))))*(MAX($D$16,(N111)-(K35))),0.000001)*MAX(((((G35)+(I35)*(MAX($D$16,(N111)-(K35))))*(MAX($D$16,(N111)-(K35))))/MAX((G35)+2*(MAX($D$16,(N111)-(K35)))*SQRT(1+(I35)^2),0.000001))^(2/3),0.000001)))^2))/2)+(IF((ABS(J111)/MAX(((G35)+(I35)*(MAX($D$16,(N111)-(K35))))*(MAX($D$16,(N111)-(K35))),0.000001))&gt;(ABS(J111)/MAX(((F35)+(H35)*(MAX($D$16,(E111)-(J35))))*(MAX($D$16,(E111)-(J35))),0.000001)),$D$9*((((ABS(J111)/MAX(((G35)+(I35)*(MAX($D$16,(N111)-(K35))))*(MAX($D$16,(N111)-(K35))),0.000001))^2)/(2*$I$5))-(((ABS(J111)/MAX(((F35)+(H35)*(MAX($D$16,(E111)-(J35))))*(MAX($D$16,(E111)-(J35))),0.000001))^2)/(2*$I$5))),$D$8*((((ABS(J111)/MAX(((F35)+(H35)*(MAX($D$16,(E111)-(J35))))*(MAX($D$16,(E111)-(J35))),0.000001))^2)/(2*$I$5))-(((ABS(J111)/MAX(((G35)+(I35)*(MAX($D$16,(N111)-(K35))))*(MAX($D$16,(N111)-(K35))),0.000001))^2)/(2*$I$5)))))+($D$10*(ABS((X35)-(W35))/90)*MAX(((ABS(J111)/MAX(((F35)+(H35)*(MAX($D$16,(E111)-(J35))))*(MAX($D$16,(E111)-(J35))),0.000001))^2)/(2*$I$5),((ABS(J111)/MAX(((G35)+(I35)*(MAX($D$16,(N111)-(K35))))*(MAX($D$16,(N111)-(K35))),0.000001))^2)/(2*$I$5)))+(($D$11*0.34699541*(ABS(I111)/MAX(ABS(G111),0.000001))^2*MAX(((ABS(J111)/MAX(((F35)+(H35)*(MAX($D$16,(E111)-(J35))))*(MAX($D$16,(E111)-(J35))),0.000001))^2)/(2*$I$5),((ABS(J111)/MAX(((G35)+(I35)*(MAX($D$16,(N111)-(K35))))*(MAX($D$16,(N111)-(K35))),0.000001))^2)/(2*$I$5))))-((ABS(J111)/MAX(((F35)+(H35)*(MAX($D$16,(E111)-(J35))))*(MAX($D$16,(E111)-(J35))),0.000001))^2)/(2*$I$5)</f>
        <v>20784.033523923383</v>
      </c>
      <c r="U111">
        <f>(((((F32)*(MAX($D$16,(D111)-(J32)))^2)/2+(H32)*(MAX($D$16,(D111)-(J32)))^3/3+(ABS(G111)^2)/($I$5*MAX(((F32)+(H32)*(MAX($D$16,(D111)-(J32))))*(MAX($D$16,(D111)-(J32))),0.000001)))*0.72785025)-((((F33)*(MAX($D$16,(D111)-(J33)))^2)/2+(H33)*(MAX($D$16,(D111)-(J33)))^3/3+(ABS(H111)^2)/($I$5*MAX(((F33)+(H33)*(MAX($D$16,(D111)-(J33))))*(MAX($D$16,(D111)-(J33))),0.000001)))*0.99999971))/MAX(((G31)*(MAX($D$16,(D111)-(K31)))^2)/2+(I31)*(MAX($D$16,(D111)-(K31)))^3/3+(ABS(F111)^2)/($I$5*MAX(((G31)+(I31)*(MAX($D$16,(D111)-(K31))))*(MAX($D$16,(D111)-(K31))),0.000001)),0.000001)</f>
        <v>-0.27214945999991125</v>
      </c>
      <c r="V111">
        <f>(((((F34)*(MAX($D$16,(E111)-(J34)))^2)/2+(H34)*(MAX($D$16,(E111)-(J34)))^3/3+(ABS(I111)^2)/($I$5*MAX(((F34)+(H34)*(MAX($D$16,(E111)-(J34))))*(MAX($D$16,(E111)-(J34))),0.000001)))*1)-((((F35)*(MAX($D$16,(E111)-(J35)))^2)/2+(H35)*(MAX($D$16,(E111)-(J35)))^3/3+(ABS(J111)^2)/($I$5*MAX(((F35)+(H35)*(MAX($D$16,(E111)-(J35))))*(MAX($D$16,(E111)-(J35))),0.000001)))*0.30600918))/MAX(((G32)*(MAX($D$16,(E111)-(K32)))^2)/2+(I32)*(MAX($D$16,(E111)-(K32)))^3/3+(ABS(G111)^2)/($I$5*MAX(((G32)+(I32)*(MAX($D$16,(E111)-(K32))))*(MAX($D$16,(E111)-(K32))),0.000001)),0.000001)</f>
        <v>0.69398638937190393</v>
      </c>
      <c r="W111">
        <f>IF(N6="None",ABS(P111-D111),MAX(ABS(P111-D111),ABS(Q111-D111)))</f>
        <v>3.4197000786662102E-10</v>
      </c>
      <c r="X111">
        <f>IF(AND(N7="None",N8="None"),0,IF(N8="None",ABS(S111-E111),IF(N7="None",ABS(T111-E111),MAX(ABS(S111-E111),ABS(T111-E111)))))</f>
        <v>51796.641837662013</v>
      </c>
      <c r="AA111">
        <f t="shared" si="33"/>
        <v>52432.141837662341</v>
      </c>
      <c r="AB111">
        <f t="shared" si="34"/>
        <v>41355.303927853492</v>
      </c>
      <c r="AC111">
        <f>IF(N6="None",P111,MAX(P111,Q111))</f>
        <v>52432.141837662566</v>
      </c>
      <c r="AD111">
        <f>IF(AND(N7="None",N8="None"),E111,IF(N8="None",S111,IF(N7="None",T111,MAX(S111,T111))))</f>
        <v>20784.033523923383</v>
      </c>
      <c r="AE111">
        <f t="shared" si="35"/>
        <v>637.65825101089831</v>
      </c>
      <c r="AF111">
        <f t="shared" si="36"/>
        <v>52432.141837662355</v>
      </c>
      <c r="AG111">
        <f>((G31)*(MAX($D$16,(AC111)-(K31)))^2)/2+(I31)*(MAX($D$16,(AC111)-(K31)))^3/3+(ABS(F111)^2)/($I$5*MAX(((G31)+(I31)*(MAX($D$16,(AC111)-(K31))))*(MAX($D$16,(AC111)-(K31))),0.000001))</f>
        <v>8797611517.4118271</v>
      </c>
      <c r="AH111">
        <f>((G31)*(MAX($D$16,(AE111)-(K31)))^2)/2+(I31)*(MAX($D$16,(AE111)-(K31)))^3/3+(ABS(F111)^2)/($I$5*MAX(((G31)+(I31)*(MAX($D$16,(AE111)-(K31))))*(MAX($D$16,(AE111)-(K31))),0.000001))</f>
        <v>49.055863329575246</v>
      </c>
      <c r="AI111">
        <f>((G32)*(MAX($D$16,(AD111)-(K32)))^2)/2+(I32)*(MAX($D$16,(AD111)-(K32)))^3/3+(ABS(G111)^2)/($I$5*MAX(((G32)+(I32)*(MAX($D$16,(AD111)-(K32))))*(MAX($D$16,(AD111)-(K32))),0.000001))</f>
        <v>2072376743.6648321</v>
      </c>
      <c r="AJ111">
        <f>((G32)*(MAX($D$16,(AF111)-(K32)))^2)/2+(I32)*(MAX($D$16,(AF111)-(K32)))^3/3+(ABS(G111)^2)/($I$5*MAX(((G32)+(I32)*(MAX($D$16,(AF111)-(K32))))*(MAX($D$16,(AF111)-(K32))),0.000001))</f>
        <v>13692714789.644274</v>
      </c>
      <c r="AK111" t="str">
        <f t="shared" si="37"/>
        <v>Subcritical</v>
      </c>
      <c r="AL111" t="str">
        <f t="shared" si="38"/>
        <v>Supercritical</v>
      </c>
      <c r="AM111">
        <f t="shared" si="39"/>
        <v>52432.141837662341</v>
      </c>
      <c r="AN111">
        <f t="shared" si="40"/>
        <v>52432.14183766213</v>
      </c>
      <c r="AO111">
        <f t="shared" si="41"/>
        <v>3.4197000786662102E-10</v>
      </c>
      <c r="AP111">
        <f t="shared" si="42"/>
        <v>3.4197000786662102E-10</v>
      </c>
    </row>
    <row r="112" spans="1:42" x14ac:dyDescent="0.35">
      <c r="A112">
        <v>69</v>
      </c>
      <c r="B112">
        <f t="shared" si="43"/>
        <v>0</v>
      </c>
      <c r="C112">
        <f t="shared" si="44"/>
        <v>0</v>
      </c>
      <c r="D112">
        <f t="shared" si="45"/>
        <v>52432.141837662341</v>
      </c>
      <c r="E112">
        <f t="shared" si="46"/>
        <v>52432.14183766213</v>
      </c>
      <c r="F112">
        <f t="shared" si="32"/>
        <v>51</v>
      </c>
      <c r="G112">
        <f>IF(N6="None",F112,MAX(0,F112*B112))</f>
        <v>51</v>
      </c>
      <c r="H112">
        <f>IF(N6="None",0,MAX(0,F112-G112))</f>
        <v>0</v>
      </c>
      <c r="I112">
        <f>IF(AND(N7="None",N8="None"),0,IF(N8="None",G112,IF(N7="None",0,MAX(0,G112*C112))))</f>
        <v>0</v>
      </c>
      <c r="J112">
        <f>IF(AND(N7="None",N8="None"),0,IF(N8="None",0,IF(N7="None",G112,MAX(0,G112-I112))))</f>
        <v>51</v>
      </c>
      <c r="K112">
        <f>P5</f>
        <v>637</v>
      </c>
      <c r="L112">
        <f>P6</f>
        <v>634.3119999999999</v>
      </c>
      <c r="M112">
        <f>P7</f>
        <v>635.5</v>
      </c>
      <c r="N112">
        <f>P8</f>
        <v>631.54999999999995</v>
      </c>
      <c r="O112">
        <f>K112+((ABS(F112)/MAX(((F31)+(H31)*(MAX($D$16,(K112)-(J31))))*(MAX($D$16,(K112)-(J31))),0.000001))^2)/(2*$I$5)-((E31)*((((ABS(F112)*$D$6)/(MAX(((F31)+(H31)*(MAX($D$16,(K112)-(J31))))*(MAX($D$16,(K112)-(J31))),0.000001)*MAX(((((F31)+(H31)*(MAX($D$16,(K112)-(J31))))*(MAX($D$16,(K112)-(J31))))/MAX((F31)+2*(MAX($D$16,(K112)-(J31)))*SQRT(1+(H31)^2),0.000001))^(2/3),0.000001)))^2)+(((ABS(F112)*$D$6)/(MAX(((G31)+(I31)*(MAX($D$16,(D112)-(K31))))*(MAX($D$16,(D112)-(K31))),0.000001)*MAX(((((G31)+(I31)*(MAX($D$16,(D112)-(K31))))*(MAX($D$16,(D112)-(K31))))/MAX((G31)+2*(MAX($D$16,(D112)-(K31)))*SQRT(1+(I31)^2),0.000001))^(2/3),0.000001)))^2))/2)+(IF((ABS(F112)/MAX(((G31)+(I31)*(MAX($D$16,(D112)-(K31))))*(MAX($D$16,(D112)-(K31))),0.000001))&gt;(ABS(F112)/MAX(((F31)+(H31)*(MAX($D$16,(K112)-(J31))))*(MAX($D$16,(K112)-(J31))),0.000001)),$D$9*((((ABS(F112)/MAX(((G31)+(I31)*(MAX($D$16,(D112)-(K31))))*(MAX($D$16,(D112)-(K31))),0.000001))^2)/(2*$I$5))-(((ABS(F112)/MAX(((F31)+(H31)*(MAX($D$16,(K112)-(J31))))*(MAX($D$16,(K112)-(J31))),0.000001))^2)/(2*$I$5))),$D$8*((((ABS(F112)/MAX(((F31)+(H31)*(MAX($D$16,(K112)-(J31))))*(MAX($D$16,(K112)-(J31))),0.000001))^2)/(2*$I$5))-(((ABS(F112)/MAX(((G31)+(I31)*(MAX($D$16,(D112)-(K31))))*(MAX($D$16,(D112)-(K31))),0.000001))^2)/(2*$I$5)))))+($D$10*(ABS((X31)-(W31))/90)*MAX(((ABS(F112)/MAX(((F31)+(H31)*(MAX($D$16,(K112)-(J31))))*(MAX($D$16,(K112)-(J31))),0.000001))^2)/(2*$I$5),((ABS(F112)/MAX(((G31)+(I31)*(MAX($D$16,(D112)-(K31))))*(MAX($D$16,(D112)-(K31))),0.000001))^2)/(2*$I$5)))+(0)-((ABS(F112)/MAX(((G31)+(I31)*(MAX($D$16,(D112)-(K31))))*(MAX($D$16,(D112)-(K31))),0.000001))^2)/(2*$I$5)</f>
        <v>637.65825101089831</v>
      </c>
      <c r="P112">
        <f>E112+((ABS(G112)/MAX(((G32)+(I32)*(MAX($D$16,(E112)-(K32))))*(MAX($D$16,(E112)-(K32))),0.000001))^2)/(2*$I$5)+((E32)*((((ABS(G112)*$D$6)/(MAX(((F32)+(H32)*(MAX($D$16,(D112)-(J32))))*(MAX($D$16,(D112)-(J32))),0.000001)*MAX(((((F32)+(H32)*(MAX($D$16,(D112)-(J32))))*(MAX($D$16,(D112)-(J32))))/MAX((F32)+2*(MAX($D$16,(D112)-(J32)))*SQRT(1+(H32)^2),0.000001))^(2/3),0.000001)))^2)+(((ABS(G112)*$D$6)/(MAX(((G32)+(I32)*(MAX($D$16,(E112)-(K32))))*(MAX($D$16,(E112)-(K32))),0.000001)*MAX(((((G32)+(I32)*(MAX($D$16,(E112)-(K32))))*(MAX($D$16,(E112)-(K32))))/MAX((G32)+2*(MAX($D$16,(E112)-(K32)))*SQRT(1+(I32)^2),0.000001))^(2/3),0.000001)))^2))/2)+(IF((ABS(G112)/MAX(((G32)+(I32)*(MAX($D$16,(E112)-(K32))))*(MAX($D$16,(E112)-(K32))),0.000001))&gt;(ABS(G112)/MAX(((F32)+(H32)*(MAX($D$16,(D112)-(J32))))*(MAX($D$16,(D112)-(J32))),0.000001)),$D$9*((((ABS(G112)/MAX(((G32)+(I32)*(MAX($D$16,(E112)-(K32))))*(MAX($D$16,(E112)-(K32))),0.000001))^2)/(2*$I$5))-(((ABS(G112)/MAX(((F32)+(H32)*(MAX($D$16,(D112)-(J32))))*(MAX($D$16,(D112)-(J32))),0.000001))^2)/(2*$I$5))),$D$8*((((ABS(G112)/MAX(((F32)+(H32)*(MAX($D$16,(D112)-(J32))))*(MAX($D$16,(D112)-(J32))),0.000001))^2)/(2*$I$5))-(((ABS(G112)/MAX(((G32)+(I32)*(MAX($D$16,(E112)-(K32))))*(MAX($D$16,(E112)-(K32))),0.000001))^2)/(2*$I$5)))))+($D$10*(ABS((X32)-(W32))/90)*MAX(((ABS(G112)/MAX(((F32)+(H32)*(MAX($D$16,(D112)-(J32))))*(MAX($D$16,(D112)-(J32))),0.000001))^2)/(2*$I$5),((ABS(G112)/MAX(((G32)+(I32)*(MAX($D$16,(E112)-(K32))))*(MAX($D$16,(E112)-(K32))),0.000001))^2)/(2*$I$5)))+(($D$11*0.13607488*(ABS(H112)/MAX(ABS(F112),0.000001))^2*MAX(((ABS(G112)/MAX(((F32)+(H32)*(MAX($D$16,(D112)-(J32))))*(MAX($D$16,(D112)-(J32))),0.000001))^2)/(2*$I$5),((ABS(G112)/MAX(((G32)+(I32)*(MAX($D$16,(E112)-(K32))))*(MAX($D$16,(E112)-(K32))),0.000001))^2)/(2*$I$5))))-((ABS(G112)/MAX(((F32)+(H32)*(MAX($D$16,(D112)-(J32))))*(MAX($D$16,(D112)-(J32))),0.000001))^2)/(2*$I$5)</f>
        <v>52432.141837662683</v>
      </c>
      <c r="Q112">
        <f>L112+((ABS(H112)/MAX(((G33)+(I33)*(MAX($D$16,(L112)-(K33))))*(MAX($D$16,(L112)-(K33))),0.000001))^2)/(2*$I$5)+((E33)*((((ABS(H112)*$D$6)/(MAX(((F33)+(H33)*(MAX($D$16,(D112)-(J33))))*(MAX($D$16,(D112)-(J33))),0.000001)*MAX(((((F33)+(H33)*(MAX($D$16,(D112)-(J33))))*(MAX($D$16,(D112)-(J33))))/MAX((F33)+2*(MAX($D$16,(D112)-(J33)))*SQRT(1+(H33)^2),0.000001))^(2/3),0.000001)))^2)+(((ABS(H112)*$D$6)/(MAX(((G33)+(I33)*(MAX($D$16,(L112)-(K33))))*(MAX($D$16,(L112)-(K33))),0.000001)*MAX(((((G33)+(I33)*(MAX($D$16,(L112)-(K33))))*(MAX($D$16,(L112)-(K33))))/MAX((G33)+2*(MAX($D$16,(L112)-(K33)))*SQRT(1+(I33)^2),0.000001))^(2/3),0.000001)))^2))/2)+(IF((ABS(H112)/MAX(((G33)+(I33)*(MAX($D$16,(L112)-(K33))))*(MAX($D$16,(L112)-(K33))),0.000001))&gt;(ABS(H112)/MAX(((F33)+(H33)*(MAX($D$16,(D112)-(J33))))*(MAX($D$16,(D112)-(J33))),0.000001)),$D$9*((((ABS(H112)/MAX(((G33)+(I33)*(MAX($D$16,(L112)-(K33))))*(MAX($D$16,(L112)-(K33))),0.000001))^2)/(2*$I$5))-(((ABS(H112)/MAX(((F33)+(H33)*(MAX($D$16,(D112)-(J33))))*(MAX($D$16,(D112)-(J33))),0.000001))^2)/(2*$I$5))),$D$8*((((ABS(H112)/MAX(((F33)+(H33)*(MAX($D$16,(D112)-(J33))))*(MAX($D$16,(D112)-(J33))),0.000001))^2)/(2*$I$5))-(((ABS(H112)/MAX(((G33)+(I33)*(MAX($D$16,(L112)-(K33))))*(MAX($D$16,(L112)-(K33))),0.000001))^2)/(2*$I$5)))))+($D$10*(ABS((X33)-(W33))/90)*MAX(((ABS(H112)/MAX(((F33)+(H33)*(MAX($D$16,(D112)-(J33))))*(MAX($D$16,(D112)-(J33))),0.000001))^2)/(2*$I$5),((ABS(H112)/MAX(((G33)+(I33)*(MAX($D$16,(L112)-(K33))))*(MAX($D$16,(L112)-(K33))),0.000001))^2)/(2*$I$5)))+(($D$11*0.00000015*(ABS(G112)/MAX(ABS(F112),0.000001))^2*MAX(((ABS(H112)/MAX(((F33)+(H33)*(MAX($D$16,(D112)-(J33))))*(MAX($D$16,(D112)-(J33))),0.000001))^2)/(2*$I$5),((ABS(H112)/MAX(((G33)+(I33)*(MAX($D$16,(L112)-(K33))))*(MAX($D$16,(L112)-(K33))),0.000001))^2)/(2*$I$5))))-((ABS(H112)/MAX(((F33)+(H33)*(MAX($D$16,(D112)-(J33))))*(MAX($D$16,(D112)-(J33))),0.000001))^2)/(2*$I$5)</f>
        <v>634.3119999999999</v>
      </c>
      <c r="R112">
        <f>D112+((ABS(G112)/MAX(((F32)+(H32)*(MAX($D$16,(D112)-(J32))))*(MAX($D$16,(D112)-(J32))),0.000001))^2)/(2*$I$5)-((E32)*((((ABS(G112)*$D$6)/(MAX(((F32)+(H32)*(MAX($D$16,(D112)-(J32))))*(MAX($D$16,(D112)-(J32))),0.000001)*MAX(((((F32)+(H32)*(MAX($D$16,(D112)-(J32))))*(MAX($D$16,(D112)-(J32))))/MAX((F32)+2*(MAX($D$16,(D112)-(J32)))*SQRT(1+(H32)^2),0.000001))^(2/3),0.000001)))^2)+(((ABS(G112)*$D$6)/(MAX(((G32)+(I32)*(MAX($D$16,(E112)-(K32))))*(MAX($D$16,(E112)-(K32))),0.000001)*MAX(((((G32)+(I32)*(MAX($D$16,(E112)-(K32))))*(MAX($D$16,(E112)-(K32))))/MAX((G32)+2*(MAX($D$16,(E112)-(K32)))*SQRT(1+(I32)^2),0.000001))^(2/3),0.000001)))^2))/2)+(IF((ABS(G112)/MAX(((G32)+(I32)*(MAX($D$16,(E112)-(K32))))*(MAX($D$16,(E112)-(K32))),0.000001))&gt;(ABS(G112)/MAX(((F32)+(H32)*(MAX($D$16,(D112)-(J32))))*(MAX($D$16,(D112)-(J32))),0.000001)),$D$9*((((ABS(G112)/MAX(((G32)+(I32)*(MAX($D$16,(E112)-(K32))))*(MAX($D$16,(E112)-(K32))),0.000001))^2)/(2*$I$5))-(((ABS(G112)/MAX(((F32)+(H32)*(MAX($D$16,(D112)-(J32))))*(MAX($D$16,(D112)-(J32))),0.000001))^2)/(2*$I$5))),$D$8*((((ABS(G112)/MAX(((F32)+(H32)*(MAX($D$16,(D112)-(J32))))*(MAX($D$16,(D112)-(J32))),0.000001))^2)/(2*$I$5))-(((ABS(G112)/MAX(((G32)+(I32)*(MAX($D$16,(E112)-(K32))))*(MAX($D$16,(E112)-(K32))),0.000001))^2)/(2*$I$5)))))+($D$10*(ABS((X32)-(W32))/90)*MAX(((ABS(G112)/MAX(((F32)+(H32)*(MAX($D$16,(D112)-(J32))))*(MAX($D$16,(D112)-(J32))),0.000001))^2)/(2*$I$5),((ABS(G112)/MAX(((G32)+(I32)*(MAX($D$16,(E112)-(K32))))*(MAX($D$16,(E112)-(K32))),0.000001))^2)/(2*$I$5)))+(($D$11*0.13607488*(ABS(H112)/MAX(ABS(F112),0.000001))^2*MAX(((ABS(G112)/MAX(((F32)+(H32)*(MAX($D$16,(D112)-(J32))))*(MAX($D$16,(D112)-(J32))),0.000001))^2)/(2*$I$5),((ABS(G112)/MAX(((G32)+(I32)*(MAX($D$16,(E112)-(K32))))*(MAX($D$16,(E112)-(K32))),0.000001))^2)/(2*$I$5))))-((ABS(G112)/MAX(((G32)+(I32)*(MAX($D$16,(E112)-(K32))))*(MAX($D$16,(E112)-(K32))),0.000001))^2)/(2*$I$5)</f>
        <v>52432.141837662472</v>
      </c>
      <c r="S112">
        <f>M112+((ABS(I112)/MAX(((G34)+(I34)*(MAX($D$16,(M112)-(K34))))*(MAX($D$16,(M112)-(K34))),0.000001))^2)/(2*$I$5)+((E34)*((((ABS(I112)*$D$6)/(MAX(((F34)+(H34)*(MAX($D$16,(E112)-(J34))))*(MAX($D$16,(E112)-(J34))),0.000001)*MAX(((((F34)+(H34)*(MAX($D$16,(E112)-(J34))))*(MAX($D$16,(E112)-(J34))))/MAX((F34)+2*(MAX($D$16,(E112)-(J34)))*SQRT(1+(H34)^2),0.000001))^(2/3),0.000001)))^2)+(((ABS(I112)*$D$6)/(MAX(((G34)+(I34)*(MAX($D$16,(M112)-(K34))))*(MAX($D$16,(M112)-(K34))),0.000001)*MAX(((((G34)+(I34)*(MAX($D$16,(M112)-(K34))))*(MAX($D$16,(M112)-(K34))))/MAX((G34)+2*(MAX($D$16,(M112)-(K34)))*SQRT(1+(I34)^2),0.000001))^(2/3),0.000001)))^2))/2)+(IF((ABS(I112)/MAX(((G34)+(I34)*(MAX($D$16,(M112)-(K34))))*(MAX($D$16,(M112)-(K34))),0.000001))&gt;(ABS(I112)/MAX(((F34)+(H34)*(MAX($D$16,(E112)-(J34))))*(MAX($D$16,(E112)-(J34))),0.000001)),$D$9*((((ABS(I112)/MAX(((G34)+(I34)*(MAX($D$16,(M112)-(K34))))*(MAX($D$16,(M112)-(K34))),0.000001))^2)/(2*$I$5))-(((ABS(I112)/MAX(((F34)+(H34)*(MAX($D$16,(E112)-(J34))))*(MAX($D$16,(E112)-(J34))),0.000001))^2)/(2*$I$5))),$D$8*((((ABS(I112)/MAX(((F34)+(H34)*(MAX($D$16,(E112)-(J34))))*(MAX($D$16,(E112)-(J34))),0.000001))^2)/(2*$I$5))-(((ABS(I112)/MAX(((G34)+(I34)*(MAX($D$16,(M112)-(K34))))*(MAX($D$16,(M112)-(K34))),0.000001))^2)/(2*$I$5)))))+($D$10*(ABS((X34)-(W34))/90)*MAX(((ABS(I112)/MAX(((F34)+(H34)*(MAX($D$16,(E112)-(J34))))*(MAX($D$16,(E112)-(J34))),0.000001))^2)/(2*$I$5),((ABS(I112)/MAX(((G34)+(I34)*(MAX($D$16,(M112)-(K34))))*(MAX($D$16,(M112)-(K34))),0.000001))^2)/(2*$I$5)))+(0)-((ABS(I112)/MAX(((F34)+(H34)*(MAX($D$16,(E112)-(J34))))*(MAX($D$16,(E112)-(J34))),0.000001))^2)/(2*$I$5)</f>
        <v>635.5</v>
      </c>
      <c r="T112">
        <f>N112+((ABS(J112)/MAX(((G35)+(I35)*(MAX($D$16,(N112)-(K35))))*(MAX($D$16,(N112)-(K35))),0.000001))^2)/(2*$I$5)+((E35)*((((ABS(J112)*$D$6)/(MAX(((F35)+(H35)*(MAX($D$16,(E112)-(J35))))*(MAX($D$16,(E112)-(J35))),0.000001)*MAX(((((F35)+(H35)*(MAX($D$16,(E112)-(J35))))*(MAX($D$16,(E112)-(J35))))/MAX((F35)+2*(MAX($D$16,(E112)-(J35)))*SQRT(1+(H35)^2),0.000001))^(2/3),0.000001)))^2)+(((ABS(J112)*$D$6)/(MAX(((G35)+(I35)*(MAX($D$16,(N112)-(K35))))*(MAX($D$16,(N112)-(K35))),0.000001)*MAX(((((G35)+(I35)*(MAX($D$16,(N112)-(K35))))*(MAX($D$16,(N112)-(K35))))/MAX((G35)+2*(MAX($D$16,(N112)-(K35)))*SQRT(1+(I35)^2),0.000001))^(2/3),0.000001)))^2))/2)+(IF((ABS(J112)/MAX(((G35)+(I35)*(MAX($D$16,(N112)-(K35))))*(MAX($D$16,(N112)-(K35))),0.000001))&gt;(ABS(J112)/MAX(((F35)+(H35)*(MAX($D$16,(E112)-(J35))))*(MAX($D$16,(E112)-(J35))),0.000001)),$D$9*((((ABS(J112)/MAX(((G35)+(I35)*(MAX($D$16,(N112)-(K35))))*(MAX($D$16,(N112)-(K35))),0.000001))^2)/(2*$I$5))-(((ABS(J112)/MAX(((F35)+(H35)*(MAX($D$16,(E112)-(J35))))*(MAX($D$16,(E112)-(J35))),0.000001))^2)/(2*$I$5))),$D$8*((((ABS(J112)/MAX(((F35)+(H35)*(MAX($D$16,(E112)-(J35))))*(MAX($D$16,(E112)-(J35))),0.000001))^2)/(2*$I$5))-(((ABS(J112)/MAX(((G35)+(I35)*(MAX($D$16,(N112)-(K35))))*(MAX($D$16,(N112)-(K35))),0.000001))^2)/(2*$I$5)))))+($D$10*(ABS((X35)-(W35))/90)*MAX(((ABS(J112)/MAX(((F35)+(H35)*(MAX($D$16,(E112)-(J35))))*(MAX($D$16,(E112)-(J35))),0.000001))^2)/(2*$I$5),((ABS(J112)/MAX(((G35)+(I35)*(MAX($D$16,(N112)-(K35))))*(MAX($D$16,(N112)-(K35))),0.000001))^2)/(2*$I$5)))+(($D$11*0.34699541*(ABS(I112)/MAX(ABS(G112),0.000001))^2*MAX(((ABS(J112)/MAX(((F35)+(H35)*(MAX($D$16,(E112)-(J35))))*(MAX($D$16,(E112)-(J35))),0.000001))^2)/(2*$I$5),((ABS(J112)/MAX(((G35)+(I35)*(MAX($D$16,(N112)-(K35))))*(MAX($D$16,(N112)-(K35))),0.000001))^2)/(2*$I$5))))-((ABS(J112)/MAX(((F35)+(H35)*(MAX($D$16,(E112)-(J35))))*(MAX($D$16,(E112)-(J35))),0.000001))^2)/(2*$I$5)</f>
        <v>20784.033523923383</v>
      </c>
      <c r="U112">
        <f>(((((F32)*(MAX($D$16,(D112)-(J32)))^2)/2+(H32)*(MAX($D$16,(D112)-(J32)))^3/3+(ABS(G112)^2)/($I$5*MAX(((F32)+(H32)*(MAX($D$16,(D112)-(J32))))*(MAX($D$16,(D112)-(J32))),0.000001)))*0.72785025)-((((F33)*(MAX($D$16,(D112)-(J33)))^2)/2+(H33)*(MAX($D$16,(D112)-(J33)))^3/3+(ABS(H112)^2)/($I$5*MAX(((F33)+(H33)*(MAX($D$16,(D112)-(J33))))*(MAX($D$16,(D112)-(J33))),0.000001)))*0.99999971))/MAX(((G31)*(MAX($D$16,(D112)-(K31)))^2)/2+(I31)*(MAX($D$16,(D112)-(K31)))^3/3+(ABS(F112)^2)/($I$5*MAX(((G31)+(I31)*(MAX($D$16,(D112)-(K31))))*(MAX($D$16,(D112)-(K31))),0.000001)),0.000001)</f>
        <v>-0.27214945999991119</v>
      </c>
      <c r="V112">
        <f>(((((F34)*(MAX($D$16,(E112)-(J34)))^2)/2+(H34)*(MAX($D$16,(E112)-(J34)))^3/3+(ABS(I112)^2)/($I$5*MAX(((F34)+(H34)*(MAX($D$16,(E112)-(J34))))*(MAX($D$16,(E112)-(J34))),0.000001)))*1)-((((F35)*(MAX($D$16,(E112)-(J35)))^2)/2+(H35)*(MAX($D$16,(E112)-(J35)))^3/3+(ABS(J112)^2)/($I$5*MAX(((F35)+(H35)*(MAX($D$16,(E112)-(J35))))*(MAX($D$16,(E112)-(J35))),0.000001)))*0.30600918))/MAX(((G32)*(MAX($D$16,(E112)-(K32)))^2)/2+(I32)*(MAX($D$16,(E112)-(K32)))^3/3+(ABS(G112)^2)/($I$5*MAX(((G32)+(I32)*(MAX($D$16,(E112)-(K32))))*(MAX($D$16,(E112)-(K32))),0.000001)),0.000001)</f>
        <v>0.69398638937190393</v>
      </c>
      <c r="W112">
        <f>IF(N6="None",ABS(P112-D112),MAX(ABS(P112-D112),ABS(Q112-D112)))</f>
        <v>3.4197000786662102E-10</v>
      </c>
      <c r="X112">
        <f>IF(AND(N7="None",N8="None"),0,IF(N8="None",ABS(S112-E112),IF(N7="None",ABS(T112-E112),MAX(ABS(S112-E112),ABS(T112-E112)))))</f>
        <v>51796.64183766213</v>
      </c>
      <c r="AA112">
        <f t="shared" si="33"/>
        <v>52432.141837662457</v>
      </c>
      <c r="AB112">
        <f t="shared" si="34"/>
        <v>41355.303927853573</v>
      </c>
      <c r="AC112">
        <f>IF(N6="None",P112,MAX(P112,Q112))</f>
        <v>52432.141837662683</v>
      </c>
      <c r="AD112">
        <f>IF(AND(N7="None",N8="None"),E112,IF(N8="None",S112,IF(N7="None",T112,MAX(S112,T112))))</f>
        <v>20784.033523923383</v>
      </c>
      <c r="AE112">
        <f t="shared" si="35"/>
        <v>637.65825101089831</v>
      </c>
      <c r="AF112">
        <f t="shared" si="36"/>
        <v>52432.141837662472</v>
      </c>
      <c r="AG112">
        <f>((G31)*(MAX($D$16,(AC112)-(K31)))^2)/2+(I31)*(MAX($D$16,(AC112)-(K31)))^3/3+(ABS(F112)^2)/($I$5*MAX(((G31)+(I31)*(MAX($D$16,(AC112)-(K31))))*(MAX($D$16,(AC112)-(K31))),0.000001))</f>
        <v>8797611517.4118671</v>
      </c>
      <c r="AH112">
        <f>((G31)*(MAX($D$16,(AE112)-(K31)))^2)/2+(I31)*(MAX($D$16,(AE112)-(K31)))^3/3+(ABS(F112)^2)/($I$5*MAX(((G31)+(I31)*(MAX($D$16,(AE112)-(K31))))*(MAX($D$16,(AE112)-(K31))),0.000001))</f>
        <v>49.055863329575246</v>
      </c>
      <c r="AI112">
        <f>((G32)*(MAX($D$16,(AD112)-(K32)))^2)/2+(I32)*(MAX($D$16,(AD112)-(K32)))^3/3+(ABS(G112)^2)/($I$5*MAX(((G32)+(I32)*(MAX($D$16,(AD112)-(K32))))*(MAX($D$16,(AD112)-(K32))),0.000001))</f>
        <v>2072376743.6648321</v>
      </c>
      <c r="AJ112">
        <f>((G32)*(MAX($D$16,(AF112)-(K32)))^2)/2+(I32)*(MAX($D$16,(AF112)-(K32)))^3/3+(ABS(G112)^2)/($I$5*MAX(((G32)+(I32)*(MAX($D$16,(AF112)-(K32))))*(MAX($D$16,(AF112)-(K32))),0.000001))</f>
        <v>13692714789.644335</v>
      </c>
      <c r="AK112" t="str">
        <f t="shared" si="37"/>
        <v>Subcritical</v>
      </c>
      <c r="AL112" t="str">
        <f t="shared" si="38"/>
        <v>Supercritical</v>
      </c>
      <c r="AM112">
        <f t="shared" si="39"/>
        <v>52432.141837662457</v>
      </c>
      <c r="AN112">
        <f t="shared" si="40"/>
        <v>52432.141837662246</v>
      </c>
      <c r="AO112">
        <f t="shared" si="41"/>
        <v>3.4197000786662102E-10</v>
      </c>
      <c r="AP112">
        <f t="shared" si="42"/>
        <v>3.4197000786662102E-10</v>
      </c>
    </row>
    <row r="113" spans="1:42" x14ac:dyDescent="0.35">
      <c r="A113">
        <v>70</v>
      </c>
      <c r="B113">
        <f t="shared" si="43"/>
        <v>0</v>
      </c>
      <c r="C113">
        <f t="shared" si="44"/>
        <v>0</v>
      </c>
      <c r="D113">
        <f t="shared" si="45"/>
        <v>52432.141837662457</v>
      </c>
      <c r="E113">
        <f t="shared" si="46"/>
        <v>52432.141837662246</v>
      </c>
      <c r="F113">
        <f t="shared" si="32"/>
        <v>51</v>
      </c>
      <c r="G113">
        <f>IF(N6="None",F113,MAX(0,F113*B113))</f>
        <v>51</v>
      </c>
      <c r="H113">
        <f>IF(N6="None",0,MAX(0,F113-G113))</f>
        <v>0</v>
      </c>
      <c r="I113">
        <f>IF(AND(N7="None",N8="None"),0,IF(N8="None",G113,IF(N7="None",0,MAX(0,G113*C113))))</f>
        <v>0</v>
      </c>
      <c r="J113">
        <f>IF(AND(N7="None",N8="None"),0,IF(N8="None",0,IF(N7="None",G113,MAX(0,G113-I113))))</f>
        <v>51</v>
      </c>
      <c r="K113">
        <f>P5</f>
        <v>637</v>
      </c>
      <c r="L113">
        <f>P6</f>
        <v>634.3119999999999</v>
      </c>
      <c r="M113">
        <f>P7</f>
        <v>635.5</v>
      </c>
      <c r="N113">
        <f>P8</f>
        <v>631.54999999999995</v>
      </c>
      <c r="O113">
        <f>K113+((ABS(F113)/MAX(((F31)+(H31)*(MAX($D$16,(K113)-(J31))))*(MAX($D$16,(K113)-(J31))),0.000001))^2)/(2*$I$5)-((E31)*((((ABS(F113)*$D$6)/(MAX(((F31)+(H31)*(MAX($D$16,(K113)-(J31))))*(MAX($D$16,(K113)-(J31))),0.000001)*MAX(((((F31)+(H31)*(MAX($D$16,(K113)-(J31))))*(MAX($D$16,(K113)-(J31))))/MAX((F31)+2*(MAX($D$16,(K113)-(J31)))*SQRT(1+(H31)^2),0.000001))^(2/3),0.000001)))^2)+(((ABS(F113)*$D$6)/(MAX(((G31)+(I31)*(MAX($D$16,(D113)-(K31))))*(MAX($D$16,(D113)-(K31))),0.000001)*MAX(((((G31)+(I31)*(MAX($D$16,(D113)-(K31))))*(MAX($D$16,(D113)-(K31))))/MAX((G31)+2*(MAX($D$16,(D113)-(K31)))*SQRT(1+(I31)^2),0.000001))^(2/3),0.000001)))^2))/2)+(IF((ABS(F113)/MAX(((G31)+(I31)*(MAX($D$16,(D113)-(K31))))*(MAX($D$16,(D113)-(K31))),0.000001))&gt;(ABS(F113)/MAX(((F31)+(H31)*(MAX($D$16,(K113)-(J31))))*(MAX($D$16,(K113)-(J31))),0.000001)),$D$9*((((ABS(F113)/MAX(((G31)+(I31)*(MAX($D$16,(D113)-(K31))))*(MAX($D$16,(D113)-(K31))),0.000001))^2)/(2*$I$5))-(((ABS(F113)/MAX(((F31)+(H31)*(MAX($D$16,(K113)-(J31))))*(MAX($D$16,(K113)-(J31))),0.000001))^2)/(2*$I$5))),$D$8*((((ABS(F113)/MAX(((F31)+(H31)*(MAX($D$16,(K113)-(J31))))*(MAX($D$16,(K113)-(J31))),0.000001))^2)/(2*$I$5))-(((ABS(F113)/MAX(((G31)+(I31)*(MAX($D$16,(D113)-(K31))))*(MAX($D$16,(D113)-(K31))),0.000001))^2)/(2*$I$5)))))+($D$10*(ABS((X31)-(W31))/90)*MAX(((ABS(F113)/MAX(((F31)+(H31)*(MAX($D$16,(K113)-(J31))))*(MAX($D$16,(K113)-(J31))),0.000001))^2)/(2*$I$5),((ABS(F113)/MAX(((G31)+(I31)*(MAX($D$16,(D113)-(K31))))*(MAX($D$16,(D113)-(K31))),0.000001))^2)/(2*$I$5)))+(0)-((ABS(F113)/MAX(((G31)+(I31)*(MAX($D$16,(D113)-(K31))))*(MAX($D$16,(D113)-(K31))),0.000001))^2)/(2*$I$5)</f>
        <v>637.65825101089831</v>
      </c>
      <c r="P113">
        <f>E113+((ABS(G113)/MAX(((G32)+(I32)*(MAX($D$16,(E113)-(K32))))*(MAX($D$16,(E113)-(K32))),0.000001))^2)/(2*$I$5)+((E32)*((((ABS(G113)*$D$6)/(MAX(((F32)+(H32)*(MAX($D$16,(D113)-(J32))))*(MAX($D$16,(D113)-(J32))),0.000001)*MAX(((((F32)+(H32)*(MAX($D$16,(D113)-(J32))))*(MAX($D$16,(D113)-(J32))))/MAX((F32)+2*(MAX($D$16,(D113)-(J32)))*SQRT(1+(H32)^2),0.000001))^(2/3),0.000001)))^2)+(((ABS(G113)*$D$6)/(MAX(((G32)+(I32)*(MAX($D$16,(E113)-(K32))))*(MAX($D$16,(E113)-(K32))),0.000001)*MAX(((((G32)+(I32)*(MAX($D$16,(E113)-(K32))))*(MAX($D$16,(E113)-(K32))))/MAX((G32)+2*(MAX($D$16,(E113)-(K32)))*SQRT(1+(I32)^2),0.000001))^(2/3),0.000001)))^2))/2)+(IF((ABS(G113)/MAX(((G32)+(I32)*(MAX($D$16,(E113)-(K32))))*(MAX($D$16,(E113)-(K32))),0.000001))&gt;(ABS(G113)/MAX(((F32)+(H32)*(MAX($D$16,(D113)-(J32))))*(MAX($D$16,(D113)-(J32))),0.000001)),$D$9*((((ABS(G113)/MAX(((G32)+(I32)*(MAX($D$16,(E113)-(K32))))*(MAX($D$16,(E113)-(K32))),0.000001))^2)/(2*$I$5))-(((ABS(G113)/MAX(((F32)+(H32)*(MAX($D$16,(D113)-(J32))))*(MAX($D$16,(D113)-(J32))),0.000001))^2)/(2*$I$5))),$D$8*((((ABS(G113)/MAX(((F32)+(H32)*(MAX($D$16,(D113)-(J32))))*(MAX($D$16,(D113)-(J32))),0.000001))^2)/(2*$I$5))-(((ABS(G113)/MAX(((G32)+(I32)*(MAX($D$16,(E113)-(K32))))*(MAX($D$16,(E113)-(K32))),0.000001))^2)/(2*$I$5)))))+($D$10*(ABS((X32)-(W32))/90)*MAX(((ABS(G113)/MAX(((F32)+(H32)*(MAX($D$16,(D113)-(J32))))*(MAX($D$16,(D113)-(J32))),0.000001))^2)/(2*$I$5),((ABS(G113)/MAX(((G32)+(I32)*(MAX($D$16,(E113)-(K32))))*(MAX($D$16,(E113)-(K32))),0.000001))^2)/(2*$I$5)))+(($D$11*0.13607488*(ABS(H113)/MAX(ABS(F113),0.000001))^2*MAX(((ABS(G113)/MAX(((F32)+(H32)*(MAX($D$16,(D113)-(J32))))*(MAX($D$16,(D113)-(J32))),0.000001))^2)/(2*$I$5),((ABS(G113)/MAX(((G32)+(I32)*(MAX($D$16,(E113)-(K32))))*(MAX($D$16,(E113)-(K32))),0.000001))^2)/(2*$I$5))))-((ABS(G113)/MAX(((F32)+(H32)*(MAX($D$16,(D113)-(J32))))*(MAX($D$16,(D113)-(J32))),0.000001))^2)/(2*$I$5)</f>
        <v>52432.141837662799</v>
      </c>
      <c r="Q113">
        <f>L113+((ABS(H113)/MAX(((G33)+(I33)*(MAX($D$16,(L113)-(K33))))*(MAX($D$16,(L113)-(K33))),0.000001))^2)/(2*$I$5)+((E33)*((((ABS(H113)*$D$6)/(MAX(((F33)+(H33)*(MAX($D$16,(D113)-(J33))))*(MAX($D$16,(D113)-(J33))),0.000001)*MAX(((((F33)+(H33)*(MAX($D$16,(D113)-(J33))))*(MAX($D$16,(D113)-(J33))))/MAX((F33)+2*(MAX($D$16,(D113)-(J33)))*SQRT(1+(H33)^2),0.000001))^(2/3),0.000001)))^2)+(((ABS(H113)*$D$6)/(MAX(((G33)+(I33)*(MAX($D$16,(L113)-(K33))))*(MAX($D$16,(L113)-(K33))),0.000001)*MAX(((((G33)+(I33)*(MAX($D$16,(L113)-(K33))))*(MAX($D$16,(L113)-(K33))))/MAX((G33)+2*(MAX($D$16,(L113)-(K33)))*SQRT(1+(I33)^2),0.000001))^(2/3),0.000001)))^2))/2)+(IF((ABS(H113)/MAX(((G33)+(I33)*(MAX($D$16,(L113)-(K33))))*(MAX($D$16,(L113)-(K33))),0.000001))&gt;(ABS(H113)/MAX(((F33)+(H33)*(MAX($D$16,(D113)-(J33))))*(MAX($D$16,(D113)-(J33))),0.000001)),$D$9*((((ABS(H113)/MAX(((G33)+(I33)*(MAX($D$16,(L113)-(K33))))*(MAX($D$16,(L113)-(K33))),0.000001))^2)/(2*$I$5))-(((ABS(H113)/MAX(((F33)+(H33)*(MAX($D$16,(D113)-(J33))))*(MAX($D$16,(D113)-(J33))),0.000001))^2)/(2*$I$5))),$D$8*((((ABS(H113)/MAX(((F33)+(H33)*(MAX($D$16,(D113)-(J33))))*(MAX($D$16,(D113)-(J33))),0.000001))^2)/(2*$I$5))-(((ABS(H113)/MAX(((G33)+(I33)*(MAX($D$16,(L113)-(K33))))*(MAX($D$16,(L113)-(K33))),0.000001))^2)/(2*$I$5)))))+($D$10*(ABS((X33)-(W33))/90)*MAX(((ABS(H113)/MAX(((F33)+(H33)*(MAX($D$16,(D113)-(J33))))*(MAX($D$16,(D113)-(J33))),0.000001))^2)/(2*$I$5),((ABS(H113)/MAX(((G33)+(I33)*(MAX($D$16,(L113)-(K33))))*(MAX($D$16,(L113)-(K33))),0.000001))^2)/(2*$I$5)))+(($D$11*0.00000015*(ABS(G113)/MAX(ABS(F113),0.000001))^2*MAX(((ABS(H113)/MAX(((F33)+(H33)*(MAX($D$16,(D113)-(J33))))*(MAX($D$16,(D113)-(J33))),0.000001))^2)/(2*$I$5),((ABS(H113)/MAX(((G33)+(I33)*(MAX($D$16,(L113)-(K33))))*(MAX($D$16,(L113)-(K33))),0.000001))^2)/(2*$I$5))))-((ABS(H113)/MAX(((F33)+(H33)*(MAX($D$16,(D113)-(J33))))*(MAX($D$16,(D113)-(J33))),0.000001))^2)/(2*$I$5)</f>
        <v>634.3119999999999</v>
      </c>
      <c r="R113">
        <f>D113+((ABS(G113)/MAX(((F32)+(H32)*(MAX($D$16,(D113)-(J32))))*(MAX($D$16,(D113)-(J32))),0.000001))^2)/(2*$I$5)-((E32)*((((ABS(G113)*$D$6)/(MAX(((F32)+(H32)*(MAX($D$16,(D113)-(J32))))*(MAX($D$16,(D113)-(J32))),0.000001)*MAX(((((F32)+(H32)*(MAX($D$16,(D113)-(J32))))*(MAX($D$16,(D113)-(J32))))/MAX((F32)+2*(MAX($D$16,(D113)-(J32)))*SQRT(1+(H32)^2),0.000001))^(2/3),0.000001)))^2)+(((ABS(G113)*$D$6)/(MAX(((G32)+(I32)*(MAX($D$16,(E113)-(K32))))*(MAX($D$16,(E113)-(K32))),0.000001)*MAX(((((G32)+(I32)*(MAX($D$16,(E113)-(K32))))*(MAX($D$16,(E113)-(K32))))/MAX((G32)+2*(MAX($D$16,(E113)-(K32)))*SQRT(1+(I32)^2),0.000001))^(2/3),0.000001)))^2))/2)+(IF((ABS(G113)/MAX(((G32)+(I32)*(MAX($D$16,(E113)-(K32))))*(MAX($D$16,(E113)-(K32))),0.000001))&gt;(ABS(G113)/MAX(((F32)+(H32)*(MAX($D$16,(D113)-(J32))))*(MAX($D$16,(D113)-(J32))),0.000001)),$D$9*((((ABS(G113)/MAX(((G32)+(I32)*(MAX($D$16,(E113)-(K32))))*(MAX($D$16,(E113)-(K32))),0.000001))^2)/(2*$I$5))-(((ABS(G113)/MAX(((F32)+(H32)*(MAX($D$16,(D113)-(J32))))*(MAX($D$16,(D113)-(J32))),0.000001))^2)/(2*$I$5))),$D$8*((((ABS(G113)/MAX(((F32)+(H32)*(MAX($D$16,(D113)-(J32))))*(MAX($D$16,(D113)-(J32))),0.000001))^2)/(2*$I$5))-(((ABS(G113)/MAX(((G32)+(I32)*(MAX($D$16,(E113)-(K32))))*(MAX($D$16,(E113)-(K32))),0.000001))^2)/(2*$I$5)))))+($D$10*(ABS((X32)-(W32))/90)*MAX(((ABS(G113)/MAX(((F32)+(H32)*(MAX($D$16,(D113)-(J32))))*(MAX($D$16,(D113)-(J32))),0.000001))^2)/(2*$I$5),((ABS(G113)/MAX(((G32)+(I32)*(MAX($D$16,(E113)-(K32))))*(MAX($D$16,(E113)-(K32))),0.000001))^2)/(2*$I$5)))+(($D$11*0.13607488*(ABS(H113)/MAX(ABS(F113),0.000001))^2*MAX(((ABS(G113)/MAX(((F32)+(H32)*(MAX($D$16,(D113)-(J32))))*(MAX($D$16,(D113)-(J32))),0.000001))^2)/(2*$I$5),((ABS(G113)/MAX(((G32)+(I32)*(MAX($D$16,(E113)-(K32))))*(MAX($D$16,(E113)-(K32))),0.000001))^2)/(2*$I$5))))-((ABS(G113)/MAX(((G32)+(I32)*(MAX($D$16,(E113)-(K32))))*(MAX($D$16,(E113)-(K32))),0.000001))^2)/(2*$I$5)</f>
        <v>52432.141837662588</v>
      </c>
      <c r="S113">
        <f>M113+((ABS(I113)/MAX(((G34)+(I34)*(MAX($D$16,(M113)-(K34))))*(MAX($D$16,(M113)-(K34))),0.000001))^2)/(2*$I$5)+((E34)*((((ABS(I113)*$D$6)/(MAX(((F34)+(H34)*(MAX($D$16,(E113)-(J34))))*(MAX($D$16,(E113)-(J34))),0.000001)*MAX(((((F34)+(H34)*(MAX($D$16,(E113)-(J34))))*(MAX($D$16,(E113)-(J34))))/MAX((F34)+2*(MAX($D$16,(E113)-(J34)))*SQRT(1+(H34)^2),0.000001))^(2/3),0.000001)))^2)+(((ABS(I113)*$D$6)/(MAX(((G34)+(I34)*(MAX($D$16,(M113)-(K34))))*(MAX($D$16,(M113)-(K34))),0.000001)*MAX(((((G34)+(I34)*(MAX($D$16,(M113)-(K34))))*(MAX($D$16,(M113)-(K34))))/MAX((G34)+2*(MAX($D$16,(M113)-(K34)))*SQRT(1+(I34)^2),0.000001))^(2/3),0.000001)))^2))/2)+(IF((ABS(I113)/MAX(((G34)+(I34)*(MAX($D$16,(M113)-(K34))))*(MAX($D$16,(M113)-(K34))),0.000001))&gt;(ABS(I113)/MAX(((F34)+(H34)*(MAX($D$16,(E113)-(J34))))*(MAX($D$16,(E113)-(J34))),0.000001)),$D$9*((((ABS(I113)/MAX(((G34)+(I34)*(MAX($D$16,(M113)-(K34))))*(MAX($D$16,(M113)-(K34))),0.000001))^2)/(2*$I$5))-(((ABS(I113)/MAX(((F34)+(H34)*(MAX($D$16,(E113)-(J34))))*(MAX($D$16,(E113)-(J34))),0.000001))^2)/(2*$I$5))),$D$8*((((ABS(I113)/MAX(((F34)+(H34)*(MAX($D$16,(E113)-(J34))))*(MAX($D$16,(E113)-(J34))),0.000001))^2)/(2*$I$5))-(((ABS(I113)/MAX(((G34)+(I34)*(MAX($D$16,(M113)-(K34))))*(MAX($D$16,(M113)-(K34))),0.000001))^2)/(2*$I$5)))))+($D$10*(ABS((X34)-(W34))/90)*MAX(((ABS(I113)/MAX(((F34)+(H34)*(MAX($D$16,(E113)-(J34))))*(MAX($D$16,(E113)-(J34))),0.000001))^2)/(2*$I$5),((ABS(I113)/MAX(((G34)+(I34)*(MAX($D$16,(M113)-(K34))))*(MAX($D$16,(M113)-(K34))),0.000001))^2)/(2*$I$5)))+(0)-((ABS(I113)/MAX(((F34)+(H34)*(MAX($D$16,(E113)-(J34))))*(MAX($D$16,(E113)-(J34))),0.000001))^2)/(2*$I$5)</f>
        <v>635.5</v>
      </c>
      <c r="T113">
        <f>N113+((ABS(J113)/MAX(((G35)+(I35)*(MAX($D$16,(N113)-(K35))))*(MAX($D$16,(N113)-(K35))),0.000001))^2)/(2*$I$5)+((E35)*((((ABS(J113)*$D$6)/(MAX(((F35)+(H35)*(MAX($D$16,(E113)-(J35))))*(MAX($D$16,(E113)-(J35))),0.000001)*MAX(((((F35)+(H35)*(MAX($D$16,(E113)-(J35))))*(MAX($D$16,(E113)-(J35))))/MAX((F35)+2*(MAX($D$16,(E113)-(J35)))*SQRT(1+(H35)^2),0.000001))^(2/3),0.000001)))^2)+(((ABS(J113)*$D$6)/(MAX(((G35)+(I35)*(MAX($D$16,(N113)-(K35))))*(MAX($D$16,(N113)-(K35))),0.000001)*MAX(((((G35)+(I35)*(MAX($D$16,(N113)-(K35))))*(MAX($D$16,(N113)-(K35))))/MAX((G35)+2*(MAX($D$16,(N113)-(K35)))*SQRT(1+(I35)^2),0.000001))^(2/3),0.000001)))^2))/2)+(IF((ABS(J113)/MAX(((G35)+(I35)*(MAX($D$16,(N113)-(K35))))*(MAX($D$16,(N113)-(K35))),0.000001))&gt;(ABS(J113)/MAX(((F35)+(H35)*(MAX($D$16,(E113)-(J35))))*(MAX($D$16,(E113)-(J35))),0.000001)),$D$9*((((ABS(J113)/MAX(((G35)+(I35)*(MAX($D$16,(N113)-(K35))))*(MAX($D$16,(N113)-(K35))),0.000001))^2)/(2*$I$5))-(((ABS(J113)/MAX(((F35)+(H35)*(MAX($D$16,(E113)-(J35))))*(MAX($D$16,(E113)-(J35))),0.000001))^2)/(2*$I$5))),$D$8*((((ABS(J113)/MAX(((F35)+(H35)*(MAX($D$16,(E113)-(J35))))*(MAX($D$16,(E113)-(J35))),0.000001))^2)/(2*$I$5))-(((ABS(J113)/MAX(((G35)+(I35)*(MAX($D$16,(N113)-(K35))))*(MAX($D$16,(N113)-(K35))),0.000001))^2)/(2*$I$5)))))+($D$10*(ABS((X35)-(W35))/90)*MAX(((ABS(J113)/MAX(((F35)+(H35)*(MAX($D$16,(E113)-(J35))))*(MAX($D$16,(E113)-(J35))),0.000001))^2)/(2*$I$5),((ABS(J113)/MAX(((G35)+(I35)*(MAX($D$16,(N113)-(K35))))*(MAX($D$16,(N113)-(K35))),0.000001))^2)/(2*$I$5)))+(($D$11*0.34699541*(ABS(I113)/MAX(ABS(G113),0.000001))^2*MAX(((ABS(J113)/MAX(((F35)+(H35)*(MAX($D$16,(E113)-(J35))))*(MAX($D$16,(E113)-(J35))),0.000001))^2)/(2*$I$5),((ABS(J113)/MAX(((G35)+(I35)*(MAX($D$16,(N113)-(K35))))*(MAX($D$16,(N113)-(K35))),0.000001))^2)/(2*$I$5))))-((ABS(J113)/MAX(((F35)+(H35)*(MAX($D$16,(E113)-(J35))))*(MAX($D$16,(E113)-(J35))),0.000001))^2)/(2*$I$5)</f>
        <v>20784.033523923383</v>
      </c>
      <c r="U113">
        <f>(((((F32)*(MAX($D$16,(D113)-(J32)))^2)/2+(H32)*(MAX($D$16,(D113)-(J32)))^3/3+(ABS(G113)^2)/($I$5*MAX(((F32)+(H32)*(MAX($D$16,(D113)-(J32))))*(MAX($D$16,(D113)-(J32))),0.000001)))*0.72785025)-((((F33)*(MAX($D$16,(D113)-(J33)))^2)/2+(H33)*(MAX($D$16,(D113)-(J33)))^3/3+(ABS(H113)^2)/($I$5*MAX(((F33)+(H33)*(MAX($D$16,(D113)-(J33))))*(MAX($D$16,(D113)-(J33))),0.000001)))*0.99999971))/MAX(((G31)*(MAX($D$16,(D113)-(K31)))^2)/2+(I31)*(MAX($D$16,(D113)-(K31)))^3/3+(ABS(F113)^2)/($I$5*MAX(((G31)+(I31)*(MAX($D$16,(D113)-(K31))))*(MAX($D$16,(D113)-(K31))),0.000001)),0.000001)</f>
        <v>-0.27214945999991125</v>
      </c>
      <c r="V113">
        <f>(((((F34)*(MAX($D$16,(E113)-(J34)))^2)/2+(H34)*(MAX($D$16,(E113)-(J34)))^3/3+(ABS(I113)^2)/($I$5*MAX(((F34)+(H34)*(MAX($D$16,(E113)-(J34))))*(MAX($D$16,(E113)-(J34))),0.000001)))*1)-((((F35)*(MAX($D$16,(E113)-(J35)))^2)/2+(H35)*(MAX($D$16,(E113)-(J35)))^3/3+(ABS(J113)^2)/($I$5*MAX(((F35)+(H35)*(MAX($D$16,(E113)-(J35))))*(MAX($D$16,(E113)-(J35))),0.000001)))*0.30600918))/MAX(((G32)*(MAX($D$16,(E113)-(K32)))^2)/2+(I32)*(MAX($D$16,(E113)-(K32)))^3/3+(ABS(G113)^2)/($I$5*MAX(((G32)+(I32)*(MAX($D$16,(E113)-(K32))))*(MAX($D$16,(E113)-(K32))),0.000001)),0.000001)</f>
        <v>0.69398638937190393</v>
      </c>
      <c r="W113">
        <f>IF(N6="None",ABS(P113-D113),MAX(ABS(P113-D113),ABS(Q113-D113)))</f>
        <v>3.4197000786662102E-10</v>
      </c>
      <c r="X113">
        <f>IF(AND(N7="None",N8="None"),0,IF(N8="None",ABS(S113-E113),IF(N7="None",ABS(T113-E113),MAX(ABS(S113-E113),ABS(T113-E113)))))</f>
        <v>51796.641837662246</v>
      </c>
      <c r="AA113">
        <f t="shared" si="33"/>
        <v>52432.141837662573</v>
      </c>
      <c r="AB113">
        <f t="shared" si="34"/>
        <v>41355.303927853645</v>
      </c>
      <c r="AC113">
        <f>IF(N6="None",P113,MAX(P113,Q113))</f>
        <v>52432.141837662799</v>
      </c>
      <c r="AD113">
        <f>IF(AND(N7="None",N8="None"),E113,IF(N8="None",S113,IF(N7="None",T113,MAX(S113,T113))))</f>
        <v>20784.033523923383</v>
      </c>
      <c r="AE113">
        <f t="shared" si="35"/>
        <v>637.65825101089831</v>
      </c>
      <c r="AF113">
        <f t="shared" si="36"/>
        <v>52432.141837662588</v>
      </c>
      <c r="AG113">
        <f>((G31)*(MAX($D$16,(AC113)-(K31)))^2)/2+(I31)*(MAX($D$16,(AC113)-(K31)))^3/3+(ABS(F113)^2)/($I$5*MAX(((G31)+(I31)*(MAX($D$16,(AC113)-(K31))))*(MAX($D$16,(AC113)-(K31))),0.000001))</f>
        <v>8797611517.4119072</v>
      </c>
      <c r="AH113">
        <f>((G31)*(MAX($D$16,(AE113)-(K31)))^2)/2+(I31)*(MAX($D$16,(AE113)-(K31)))^3/3+(ABS(F113)^2)/($I$5*MAX(((G31)+(I31)*(MAX($D$16,(AE113)-(K31))))*(MAX($D$16,(AE113)-(K31))),0.000001))</f>
        <v>49.055863329575246</v>
      </c>
      <c r="AI113">
        <f>((G32)*(MAX($D$16,(AD113)-(K32)))^2)/2+(I32)*(MAX($D$16,(AD113)-(K32)))^3/3+(ABS(G113)^2)/($I$5*MAX(((G32)+(I32)*(MAX($D$16,(AD113)-(K32))))*(MAX($D$16,(AD113)-(K32))),0.000001))</f>
        <v>2072376743.6648321</v>
      </c>
      <c r="AJ113">
        <f>((G32)*(MAX($D$16,(AF113)-(K32)))^2)/2+(I32)*(MAX($D$16,(AF113)-(K32)))^3/3+(ABS(G113)^2)/($I$5*MAX(((G32)+(I32)*(MAX($D$16,(AF113)-(K32))))*(MAX($D$16,(AF113)-(K32))),0.000001))</f>
        <v>13692714789.644396</v>
      </c>
      <c r="AK113" t="str">
        <f t="shared" si="37"/>
        <v>Subcritical</v>
      </c>
      <c r="AL113" t="str">
        <f t="shared" si="38"/>
        <v>Supercritical</v>
      </c>
      <c r="AM113">
        <f t="shared" si="39"/>
        <v>52432.141837662573</v>
      </c>
      <c r="AN113">
        <f t="shared" si="40"/>
        <v>52432.141837662362</v>
      </c>
      <c r="AO113">
        <f t="shared" si="41"/>
        <v>3.4197000786662102E-10</v>
      </c>
      <c r="AP113">
        <f t="shared" si="42"/>
        <v>3.4197000786662102E-10</v>
      </c>
    </row>
    <row r="114" spans="1:42" x14ac:dyDescent="0.35">
      <c r="A114">
        <v>71</v>
      </c>
      <c r="B114">
        <f t="shared" si="43"/>
        <v>0</v>
      </c>
      <c r="C114">
        <f t="shared" si="44"/>
        <v>0</v>
      </c>
      <c r="D114">
        <f t="shared" si="45"/>
        <v>52432.141837662573</v>
      </c>
      <c r="E114">
        <f t="shared" si="46"/>
        <v>52432.141837662362</v>
      </c>
      <c r="F114">
        <f t="shared" si="32"/>
        <v>51</v>
      </c>
      <c r="G114">
        <f>IF(N6="None",F114,MAX(0,F114*B114))</f>
        <v>51</v>
      </c>
      <c r="H114">
        <f>IF(N6="None",0,MAX(0,F114-G114))</f>
        <v>0</v>
      </c>
      <c r="I114">
        <f>IF(AND(N7="None",N8="None"),0,IF(N8="None",G114,IF(N7="None",0,MAX(0,G114*C114))))</f>
        <v>0</v>
      </c>
      <c r="J114">
        <f>IF(AND(N7="None",N8="None"),0,IF(N8="None",0,IF(N7="None",G114,MAX(0,G114-I114))))</f>
        <v>51</v>
      </c>
      <c r="K114">
        <f>P5</f>
        <v>637</v>
      </c>
      <c r="L114">
        <f>P6</f>
        <v>634.3119999999999</v>
      </c>
      <c r="M114">
        <f>P7</f>
        <v>635.5</v>
      </c>
      <c r="N114">
        <f>P8</f>
        <v>631.54999999999995</v>
      </c>
      <c r="O114">
        <f>K114+((ABS(F114)/MAX(((F31)+(H31)*(MAX($D$16,(K114)-(J31))))*(MAX($D$16,(K114)-(J31))),0.000001))^2)/(2*$I$5)-((E31)*((((ABS(F114)*$D$6)/(MAX(((F31)+(H31)*(MAX($D$16,(K114)-(J31))))*(MAX($D$16,(K114)-(J31))),0.000001)*MAX(((((F31)+(H31)*(MAX($D$16,(K114)-(J31))))*(MAX($D$16,(K114)-(J31))))/MAX((F31)+2*(MAX($D$16,(K114)-(J31)))*SQRT(1+(H31)^2),0.000001))^(2/3),0.000001)))^2)+(((ABS(F114)*$D$6)/(MAX(((G31)+(I31)*(MAX($D$16,(D114)-(K31))))*(MAX($D$16,(D114)-(K31))),0.000001)*MAX(((((G31)+(I31)*(MAX($D$16,(D114)-(K31))))*(MAX($D$16,(D114)-(K31))))/MAX((G31)+2*(MAX($D$16,(D114)-(K31)))*SQRT(1+(I31)^2),0.000001))^(2/3),0.000001)))^2))/2)+(IF((ABS(F114)/MAX(((G31)+(I31)*(MAX($D$16,(D114)-(K31))))*(MAX($D$16,(D114)-(K31))),0.000001))&gt;(ABS(F114)/MAX(((F31)+(H31)*(MAX($D$16,(K114)-(J31))))*(MAX($D$16,(K114)-(J31))),0.000001)),$D$9*((((ABS(F114)/MAX(((G31)+(I31)*(MAX($D$16,(D114)-(K31))))*(MAX($D$16,(D114)-(K31))),0.000001))^2)/(2*$I$5))-(((ABS(F114)/MAX(((F31)+(H31)*(MAX($D$16,(K114)-(J31))))*(MAX($D$16,(K114)-(J31))),0.000001))^2)/(2*$I$5))),$D$8*((((ABS(F114)/MAX(((F31)+(H31)*(MAX($D$16,(K114)-(J31))))*(MAX($D$16,(K114)-(J31))),0.000001))^2)/(2*$I$5))-(((ABS(F114)/MAX(((G31)+(I31)*(MAX($D$16,(D114)-(K31))))*(MAX($D$16,(D114)-(K31))),0.000001))^2)/(2*$I$5)))))+($D$10*(ABS((X31)-(W31))/90)*MAX(((ABS(F114)/MAX(((F31)+(H31)*(MAX($D$16,(K114)-(J31))))*(MAX($D$16,(K114)-(J31))),0.000001))^2)/(2*$I$5),((ABS(F114)/MAX(((G31)+(I31)*(MAX($D$16,(D114)-(K31))))*(MAX($D$16,(D114)-(K31))),0.000001))^2)/(2*$I$5)))+(0)-((ABS(F114)/MAX(((G31)+(I31)*(MAX($D$16,(D114)-(K31))))*(MAX($D$16,(D114)-(K31))),0.000001))^2)/(2*$I$5)</f>
        <v>637.65825101089831</v>
      </c>
      <c r="P114">
        <f>E114+((ABS(G114)/MAX(((G32)+(I32)*(MAX($D$16,(E114)-(K32))))*(MAX($D$16,(E114)-(K32))),0.000001))^2)/(2*$I$5)+((E32)*((((ABS(G114)*$D$6)/(MAX(((F32)+(H32)*(MAX($D$16,(D114)-(J32))))*(MAX($D$16,(D114)-(J32))),0.000001)*MAX(((((F32)+(H32)*(MAX($D$16,(D114)-(J32))))*(MAX($D$16,(D114)-(J32))))/MAX((F32)+2*(MAX($D$16,(D114)-(J32)))*SQRT(1+(H32)^2),0.000001))^(2/3),0.000001)))^2)+(((ABS(G114)*$D$6)/(MAX(((G32)+(I32)*(MAX($D$16,(E114)-(K32))))*(MAX($D$16,(E114)-(K32))),0.000001)*MAX(((((G32)+(I32)*(MAX($D$16,(E114)-(K32))))*(MAX($D$16,(E114)-(K32))))/MAX((G32)+2*(MAX($D$16,(E114)-(K32)))*SQRT(1+(I32)^2),0.000001))^(2/3),0.000001)))^2))/2)+(IF((ABS(G114)/MAX(((G32)+(I32)*(MAX($D$16,(E114)-(K32))))*(MAX($D$16,(E114)-(K32))),0.000001))&gt;(ABS(G114)/MAX(((F32)+(H32)*(MAX($D$16,(D114)-(J32))))*(MAX($D$16,(D114)-(J32))),0.000001)),$D$9*((((ABS(G114)/MAX(((G32)+(I32)*(MAX($D$16,(E114)-(K32))))*(MAX($D$16,(E114)-(K32))),0.000001))^2)/(2*$I$5))-(((ABS(G114)/MAX(((F32)+(H32)*(MAX($D$16,(D114)-(J32))))*(MAX($D$16,(D114)-(J32))),0.000001))^2)/(2*$I$5))),$D$8*((((ABS(G114)/MAX(((F32)+(H32)*(MAX($D$16,(D114)-(J32))))*(MAX($D$16,(D114)-(J32))),0.000001))^2)/(2*$I$5))-(((ABS(G114)/MAX(((G32)+(I32)*(MAX($D$16,(E114)-(K32))))*(MAX($D$16,(E114)-(K32))),0.000001))^2)/(2*$I$5)))))+($D$10*(ABS((X32)-(W32))/90)*MAX(((ABS(G114)/MAX(((F32)+(H32)*(MAX($D$16,(D114)-(J32))))*(MAX($D$16,(D114)-(J32))),0.000001))^2)/(2*$I$5),((ABS(G114)/MAX(((G32)+(I32)*(MAX($D$16,(E114)-(K32))))*(MAX($D$16,(E114)-(K32))),0.000001))^2)/(2*$I$5)))+(($D$11*0.13607488*(ABS(H114)/MAX(ABS(F114),0.000001))^2*MAX(((ABS(G114)/MAX(((F32)+(H32)*(MAX($D$16,(D114)-(J32))))*(MAX($D$16,(D114)-(J32))),0.000001))^2)/(2*$I$5),((ABS(G114)/MAX(((G32)+(I32)*(MAX($D$16,(E114)-(K32))))*(MAX($D$16,(E114)-(K32))),0.000001))^2)/(2*$I$5))))-((ABS(G114)/MAX(((F32)+(H32)*(MAX($D$16,(D114)-(J32))))*(MAX($D$16,(D114)-(J32))),0.000001))^2)/(2*$I$5)</f>
        <v>52432.141837662915</v>
      </c>
      <c r="Q114">
        <f>L114+((ABS(H114)/MAX(((G33)+(I33)*(MAX($D$16,(L114)-(K33))))*(MAX($D$16,(L114)-(K33))),0.000001))^2)/(2*$I$5)+((E33)*((((ABS(H114)*$D$6)/(MAX(((F33)+(H33)*(MAX($D$16,(D114)-(J33))))*(MAX($D$16,(D114)-(J33))),0.000001)*MAX(((((F33)+(H33)*(MAX($D$16,(D114)-(J33))))*(MAX($D$16,(D114)-(J33))))/MAX((F33)+2*(MAX($D$16,(D114)-(J33)))*SQRT(1+(H33)^2),0.000001))^(2/3),0.000001)))^2)+(((ABS(H114)*$D$6)/(MAX(((G33)+(I33)*(MAX($D$16,(L114)-(K33))))*(MAX($D$16,(L114)-(K33))),0.000001)*MAX(((((G33)+(I33)*(MAX($D$16,(L114)-(K33))))*(MAX($D$16,(L114)-(K33))))/MAX((G33)+2*(MAX($D$16,(L114)-(K33)))*SQRT(1+(I33)^2),0.000001))^(2/3),0.000001)))^2))/2)+(IF((ABS(H114)/MAX(((G33)+(I33)*(MAX($D$16,(L114)-(K33))))*(MAX($D$16,(L114)-(K33))),0.000001))&gt;(ABS(H114)/MAX(((F33)+(H33)*(MAX($D$16,(D114)-(J33))))*(MAX($D$16,(D114)-(J33))),0.000001)),$D$9*((((ABS(H114)/MAX(((G33)+(I33)*(MAX($D$16,(L114)-(K33))))*(MAX($D$16,(L114)-(K33))),0.000001))^2)/(2*$I$5))-(((ABS(H114)/MAX(((F33)+(H33)*(MAX($D$16,(D114)-(J33))))*(MAX($D$16,(D114)-(J33))),0.000001))^2)/(2*$I$5))),$D$8*((((ABS(H114)/MAX(((F33)+(H33)*(MAX($D$16,(D114)-(J33))))*(MAX($D$16,(D114)-(J33))),0.000001))^2)/(2*$I$5))-(((ABS(H114)/MAX(((G33)+(I33)*(MAX($D$16,(L114)-(K33))))*(MAX($D$16,(L114)-(K33))),0.000001))^2)/(2*$I$5)))))+($D$10*(ABS((X33)-(W33))/90)*MAX(((ABS(H114)/MAX(((F33)+(H33)*(MAX($D$16,(D114)-(J33))))*(MAX($D$16,(D114)-(J33))),0.000001))^2)/(2*$I$5),((ABS(H114)/MAX(((G33)+(I33)*(MAX($D$16,(L114)-(K33))))*(MAX($D$16,(L114)-(K33))),0.000001))^2)/(2*$I$5)))+(($D$11*0.00000015*(ABS(G114)/MAX(ABS(F114),0.000001))^2*MAX(((ABS(H114)/MAX(((F33)+(H33)*(MAX($D$16,(D114)-(J33))))*(MAX($D$16,(D114)-(J33))),0.000001))^2)/(2*$I$5),((ABS(H114)/MAX(((G33)+(I33)*(MAX($D$16,(L114)-(K33))))*(MAX($D$16,(L114)-(K33))),0.000001))^2)/(2*$I$5))))-((ABS(H114)/MAX(((F33)+(H33)*(MAX($D$16,(D114)-(J33))))*(MAX($D$16,(D114)-(J33))),0.000001))^2)/(2*$I$5)</f>
        <v>634.3119999999999</v>
      </c>
      <c r="R114">
        <f>D114+((ABS(G114)/MAX(((F32)+(H32)*(MAX($D$16,(D114)-(J32))))*(MAX($D$16,(D114)-(J32))),0.000001))^2)/(2*$I$5)-((E32)*((((ABS(G114)*$D$6)/(MAX(((F32)+(H32)*(MAX($D$16,(D114)-(J32))))*(MAX($D$16,(D114)-(J32))),0.000001)*MAX(((((F32)+(H32)*(MAX($D$16,(D114)-(J32))))*(MAX($D$16,(D114)-(J32))))/MAX((F32)+2*(MAX($D$16,(D114)-(J32)))*SQRT(1+(H32)^2),0.000001))^(2/3),0.000001)))^2)+(((ABS(G114)*$D$6)/(MAX(((G32)+(I32)*(MAX($D$16,(E114)-(K32))))*(MAX($D$16,(E114)-(K32))),0.000001)*MAX(((((G32)+(I32)*(MAX($D$16,(E114)-(K32))))*(MAX($D$16,(E114)-(K32))))/MAX((G32)+2*(MAX($D$16,(E114)-(K32)))*SQRT(1+(I32)^2),0.000001))^(2/3),0.000001)))^2))/2)+(IF((ABS(G114)/MAX(((G32)+(I32)*(MAX($D$16,(E114)-(K32))))*(MAX($D$16,(E114)-(K32))),0.000001))&gt;(ABS(G114)/MAX(((F32)+(H32)*(MAX($D$16,(D114)-(J32))))*(MAX($D$16,(D114)-(J32))),0.000001)),$D$9*((((ABS(G114)/MAX(((G32)+(I32)*(MAX($D$16,(E114)-(K32))))*(MAX($D$16,(E114)-(K32))),0.000001))^2)/(2*$I$5))-(((ABS(G114)/MAX(((F32)+(H32)*(MAX($D$16,(D114)-(J32))))*(MAX($D$16,(D114)-(J32))),0.000001))^2)/(2*$I$5))),$D$8*((((ABS(G114)/MAX(((F32)+(H32)*(MAX($D$16,(D114)-(J32))))*(MAX($D$16,(D114)-(J32))),0.000001))^2)/(2*$I$5))-(((ABS(G114)/MAX(((G32)+(I32)*(MAX($D$16,(E114)-(K32))))*(MAX($D$16,(E114)-(K32))),0.000001))^2)/(2*$I$5)))))+($D$10*(ABS((X32)-(W32))/90)*MAX(((ABS(G114)/MAX(((F32)+(H32)*(MAX($D$16,(D114)-(J32))))*(MAX($D$16,(D114)-(J32))),0.000001))^2)/(2*$I$5),((ABS(G114)/MAX(((G32)+(I32)*(MAX($D$16,(E114)-(K32))))*(MAX($D$16,(E114)-(K32))),0.000001))^2)/(2*$I$5)))+(($D$11*0.13607488*(ABS(H114)/MAX(ABS(F114),0.000001))^2*MAX(((ABS(G114)/MAX(((F32)+(H32)*(MAX($D$16,(D114)-(J32))))*(MAX($D$16,(D114)-(J32))),0.000001))^2)/(2*$I$5),((ABS(G114)/MAX(((G32)+(I32)*(MAX($D$16,(E114)-(K32))))*(MAX($D$16,(E114)-(K32))),0.000001))^2)/(2*$I$5))))-((ABS(G114)/MAX(((G32)+(I32)*(MAX($D$16,(E114)-(K32))))*(MAX($D$16,(E114)-(K32))),0.000001))^2)/(2*$I$5)</f>
        <v>52432.141837662704</v>
      </c>
      <c r="S114">
        <f>M114+((ABS(I114)/MAX(((G34)+(I34)*(MAX($D$16,(M114)-(K34))))*(MAX($D$16,(M114)-(K34))),0.000001))^2)/(2*$I$5)+((E34)*((((ABS(I114)*$D$6)/(MAX(((F34)+(H34)*(MAX($D$16,(E114)-(J34))))*(MAX($D$16,(E114)-(J34))),0.000001)*MAX(((((F34)+(H34)*(MAX($D$16,(E114)-(J34))))*(MAX($D$16,(E114)-(J34))))/MAX((F34)+2*(MAX($D$16,(E114)-(J34)))*SQRT(1+(H34)^2),0.000001))^(2/3),0.000001)))^2)+(((ABS(I114)*$D$6)/(MAX(((G34)+(I34)*(MAX($D$16,(M114)-(K34))))*(MAX($D$16,(M114)-(K34))),0.000001)*MAX(((((G34)+(I34)*(MAX($D$16,(M114)-(K34))))*(MAX($D$16,(M114)-(K34))))/MAX((G34)+2*(MAX($D$16,(M114)-(K34)))*SQRT(1+(I34)^2),0.000001))^(2/3),0.000001)))^2))/2)+(IF((ABS(I114)/MAX(((G34)+(I34)*(MAX($D$16,(M114)-(K34))))*(MAX($D$16,(M114)-(K34))),0.000001))&gt;(ABS(I114)/MAX(((F34)+(H34)*(MAX($D$16,(E114)-(J34))))*(MAX($D$16,(E114)-(J34))),0.000001)),$D$9*((((ABS(I114)/MAX(((G34)+(I34)*(MAX($D$16,(M114)-(K34))))*(MAX($D$16,(M114)-(K34))),0.000001))^2)/(2*$I$5))-(((ABS(I114)/MAX(((F34)+(H34)*(MAX($D$16,(E114)-(J34))))*(MAX($D$16,(E114)-(J34))),0.000001))^2)/(2*$I$5))),$D$8*((((ABS(I114)/MAX(((F34)+(H34)*(MAX($D$16,(E114)-(J34))))*(MAX($D$16,(E114)-(J34))),0.000001))^2)/(2*$I$5))-(((ABS(I114)/MAX(((G34)+(I34)*(MAX($D$16,(M114)-(K34))))*(MAX($D$16,(M114)-(K34))),0.000001))^2)/(2*$I$5)))))+($D$10*(ABS((X34)-(W34))/90)*MAX(((ABS(I114)/MAX(((F34)+(H34)*(MAX($D$16,(E114)-(J34))))*(MAX($D$16,(E114)-(J34))),0.000001))^2)/(2*$I$5),((ABS(I114)/MAX(((G34)+(I34)*(MAX($D$16,(M114)-(K34))))*(MAX($D$16,(M114)-(K34))),0.000001))^2)/(2*$I$5)))+(0)-((ABS(I114)/MAX(((F34)+(H34)*(MAX($D$16,(E114)-(J34))))*(MAX($D$16,(E114)-(J34))),0.000001))^2)/(2*$I$5)</f>
        <v>635.5</v>
      </c>
      <c r="T114">
        <f>N114+((ABS(J114)/MAX(((G35)+(I35)*(MAX($D$16,(N114)-(K35))))*(MAX($D$16,(N114)-(K35))),0.000001))^2)/(2*$I$5)+((E35)*((((ABS(J114)*$D$6)/(MAX(((F35)+(H35)*(MAX($D$16,(E114)-(J35))))*(MAX($D$16,(E114)-(J35))),0.000001)*MAX(((((F35)+(H35)*(MAX($D$16,(E114)-(J35))))*(MAX($D$16,(E114)-(J35))))/MAX((F35)+2*(MAX($D$16,(E114)-(J35)))*SQRT(1+(H35)^2),0.000001))^(2/3),0.000001)))^2)+(((ABS(J114)*$D$6)/(MAX(((G35)+(I35)*(MAX($D$16,(N114)-(K35))))*(MAX($D$16,(N114)-(K35))),0.000001)*MAX(((((G35)+(I35)*(MAX($D$16,(N114)-(K35))))*(MAX($D$16,(N114)-(K35))))/MAX((G35)+2*(MAX($D$16,(N114)-(K35)))*SQRT(1+(I35)^2),0.000001))^(2/3),0.000001)))^2))/2)+(IF((ABS(J114)/MAX(((G35)+(I35)*(MAX($D$16,(N114)-(K35))))*(MAX($D$16,(N114)-(K35))),0.000001))&gt;(ABS(J114)/MAX(((F35)+(H35)*(MAX($D$16,(E114)-(J35))))*(MAX($D$16,(E114)-(J35))),0.000001)),$D$9*((((ABS(J114)/MAX(((G35)+(I35)*(MAX($D$16,(N114)-(K35))))*(MAX($D$16,(N114)-(K35))),0.000001))^2)/(2*$I$5))-(((ABS(J114)/MAX(((F35)+(H35)*(MAX($D$16,(E114)-(J35))))*(MAX($D$16,(E114)-(J35))),0.000001))^2)/(2*$I$5))),$D$8*((((ABS(J114)/MAX(((F35)+(H35)*(MAX($D$16,(E114)-(J35))))*(MAX($D$16,(E114)-(J35))),0.000001))^2)/(2*$I$5))-(((ABS(J114)/MAX(((G35)+(I35)*(MAX($D$16,(N114)-(K35))))*(MAX($D$16,(N114)-(K35))),0.000001))^2)/(2*$I$5)))))+($D$10*(ABS((X35)-(W35))/90)*MAX(((ABS(J114)/MAX(((F35)+(H35)*(MAX($D$16,(E114)-(J35))))*(MAX($D$16,(E114)-(J35))),0.000001))^2)/(2*$I$5),((ABS(J114)/MAX(((G35)+(I35)*(MAX($D$16,(N114)-(K35))))*(MAX($D$16,(N114)-(K35))),0.000001))^2)/(2*$I$5)))+(($D$11*0.34699541*(ABS(I114)/MAX(ABS(G114),0.000001))^2*MAX(((ABS(J114)/MAX(((F35)+(H35)*(MAX($D$16,(E114)-(J35))))*(MAX($D$16,(E114)-(J35))),0.000001))^2)/(2*$I$5),((ABS(J114)/MAX(((G35)+(I35)*(MAX($D$16,(N114)-(K35))))*(MAX($D$16,(N114)-(K35))),0.000001))^2)/(2*$I$5))))-((ABS(J114)/MAX(((F35)+(H35)*(MAX($D$16,(E114)-(J35))))*(MAX($D$16,(E114)-(J35))),0.000001))^2)/(2*$I$5)</f>
        <v>20784.033523923383</v>
      </c>
      <c r="U114">
        <f>(((((F32)*(MAX($D$16,(D114)-(J32)))^2)/2+(H32)*(MAX($D$16,(D114)-(J32)))^3/3+(ABS(G114)^2)/($I$5*MAX(((F32)+(H32)*(MAX($D$16,(D114)-(J32))))*(MAX($D$16,(D114)-(J32))),0.000001)))*0.72785025)-((((F33)*(MAX($D$16,(D114)-(J33)))^2)/2+(H33)*(MAX($D$16,(D114)-(J33)))^3/3+(ABS(H114)^2)/($I$5*MAX(((F33)+(H33)*(MAX($D$16,(D114)-(J33))))*(MAX($D$16,(D114)-(J33))),0.000001)))*0.99999971))/MAX(((G31)*(MAX($D$16,(D114)-(K31)))^2)/2+(I31)*(MAX($D$16,(D114)-(K31)))^3/3+(ABS(F114)^2)/($I$5*MAX(((G31)+(I31)*(MAX($D$16,(D114)-(K31))))*(MAX($D$16,(D114)-(K31))),0.000001)),0.000001)</f>
        <v>-0.27214945999991119</v>
      </c>
      <c r="V114">
        <f>(((((F34)*(MAX($D$16,(E114)-(J34)))^2)/2+(H34)*(MAX($D$16,(E114)-(J34)))^3/3+(ABS(I114)^2)/($I$5*MAX(((F34)+(H34)*(MAX($D$16,(E114)-(J34))))*(MAX($D$16,(E114)-(J34))),0.000001)))*1)-((((F35)*(MAX($D$16,(E114)-(J35)))^2)/2+(H35)*(MAX($D$16,(E114)-(J35)))^3/3+(ABS(J114)^2)/($I$5*MAX(((F35)+(H35)*(MAX($D$16,(E114)-(J35))))*(MAX($D$16,(E114)-(J35))),0.000001)))*0.30600918))/MAX(((G32)*(MAX($D$16,(E114)-(K32)))^2)/2+(I32)*(MAX($D$16,(E114)-(K32)))^3/3+(ABS(G114)^2)/($I$5*MAX(((G32)+(I32)*(MAX($D$16,(E114)-(K32))))*(MAX($D$16,(E114)-(K32))),0.000001)),0.000001)</f>
        <v>0.69398638937190393</v>
      </c>
      <c r="W114">
        <f>IF(N6="None",ABS(P114-D114),MAX(ABS(P114-D114),ABS(Q114-D114)))</f>
        <v>3.4197000786662102E-10</v>
      </c>
      <c r="X114">
        <f>IF(AND(N7="None",N8="None"),0,IF(N8="None",ABS(S114-E114),IF(N7="None",ABS(T114-E114),MAX(ABS(S114-E114),ABS(T114-E114)))))</f>
        <v>51796.641837662362</v>
      </c>
      <c r="AA114">
        <f t="shared" si="33"/>
        <v>52432.14183766269</v>
      </c>
      <c r="AB114">
        <f t="shared" si="34"/>
        <v>41355.303927853718</v>
      </c>
      <c r="AC114">
        <f>IF(N6="None",P114,MAX(P114,Q114))</f>
        <v>52432.141837662915</v>
      </c>
      <c r="AD114">
        <f>IF(AND(N7="None",N8="None"),E114,IF(N8="None",S114,IF(N7="None",T114,MAX(S114,T114))))</f>
        <v>20784.033523923383</v>
      </c>
      <c r="AE114">
        <f t="shared" si="35"/>
        <v>637.65825101089831</v>
      </c>
      <c r="AF114">
        <f t="shared" si="36"/>
        <v>52432.141837662704</v>
      </c>
      <c r="AG114">
        <f>((G31)*(MAX($D$16,(AC114)-(K31)))^2)/2+(I31)*(MAX($D$16,(AC114)-(K31)))^3/3+(ABS(F114)^2)/($I$5*MAX(((G31)+(I31)*(MAX($D$16,(AC114)-(K31))))*(MAX($D$16,(AC114)-(K31))),0.000001))</f>
        <v>8797611517.4119453</v>
      </c>
      <c r="AH114">
        <f>((G31)*(MAX($D$16,(AE114)-(K31)))^2)/2+(I31)*(MAX($D$16,(AE114)-(K31)))^3/3+(ABS(F114)^2)/($I$5*MAX(((G31)+(I31)*(MAX($D$16,(AE114)-(K31))))*(MAX($D$16,(AE114)-(K31))),0.000001))</f>
        <v>49.055863329575246</v>
      </c>
      <c r="AI114">
        <f>((G32)*(MAX($D$16,(AD114)-(K32)))^2)/2+(I32)*(MAX($D$16,(AD114)-(K32)))^3/3+(ABS(G114)^2)/($I$5*MAX(((G32)+(I32)*(MAX($D$16,(AD114)-(K32))))*(MAX($D$16,(AD114)-(K32))),0.000001))</f>
        <v>2072376743.6648321</v>
      </c>
      <c r="AJ114">
        <f>((G32)*(MAX($D$16,(AF114)-(K32)))^2)/2+(I32)*(MAX($D$16,(AF114)-(K32)))^3/3+(ABS(G114)^2)/($I$5*MAX(((G32)+(I32)*(MAX($D$16,(AF114)-(K32))))*(MAX($D$16,(AF114)-(K32))),0.000001))</f>
        <v>13692714789.644459</v>
      </c>
      <c r="AK114" t="str">
        <f t="shared" si="37"/>
        <v>Subcritical</v>
      </c>
      <c r="AL114" t="str">
        <f t="shared" si="38"/>
        <v>Supercritical</v>
      </c>
      <c r="AM114">
        <f t="shared" si="39"/>
        <v>52432.14183766269</v>
      </c>
      <c r="AN114">
        <f t="shared" si="40"/>
        <v>52432.141837662479</v>
      </c>
      <c r="AO114">
        <f t="shared" si="41"/>
        <v>3.4197000786662102E-10</v>
      </c>
      <c r="AP114">
        <f t="shared" si="42"/>
        <v>3.4197000786662102E-10</v>
      </c>
    </row>
    <row r="115" spans="1:42" x14ac:dyDescent="0.35">
      <c r="A115">
        <v>72</v>
      </c>
      <c r="B115">
        <f t="shared" si="43"/>
        <v>0</v>
      </c>
      <c r="C115">
        <f t="shared" si="44"/>
        <v>0</v>
      </c>
      <c r="D115">
        <f t="shared" si="45"/>
        <v>52432.14183766269</v>
      </c>
      <c r="E115">
        <f t="shared" si="46"/>
        <v>52432.141837662479</v>
      </c>
      <c r="F115">
        <f t="shared" si="32"/>
        <v>51</v>
      </c>
      <c r="G115">
        <f>IF(N6="None",F115,MAX(0,F115*B115))</f>
        <v>51</v>
      </c>
      <c r="H115">
        <f>IF(N6="None",0,MAX(0,F115-G115))</f>
        <v>0</v>
      </c>
      <c r="I115">
        <f>IF(AND(N7="None",N8="None"),0,IF(N8="None",G115,IF(N7="None",0,MAX(0,G115*C115))))</f>
        <v>0</v>
      </c>
      <c r="J115">
        <f>IF(AND(N7="None",N8="None"),0,IF(N8="None",0,IF(N7="None",G115,MAX(0,G115-I115))))</f>
        <v>51</v>
      </c>
      <c r="K115">
        <f>P5</f>
        <v>637</v>
      </c>
      <c r="L115">
        <f>P6</f>
        <v>634.3119999999999</v>
      </c>
      <c r="M115">
        <f>P7</f>
        <v>635.5</v>
      </c>
      <c r="N115">
        <f>P8</f>
        <v>631.54999999999995</v>
      </c>
      <c r="O115">
        <f>K115+((ABS(F115)/MAX(((F31)+(H31)*(MAX($D$16,(K115)-(J31))))*(MAX($D$16,(K115)-(J31))),0.000001))^2)/(2*$I$5)-((E31)*((((ABS(F115)*$D$6)/(MAX(((F31)+(H31)*(MAX($D$16,(K115)-(J31))))*(MAX($D$16,(K115)-(J31))),0.000001)*MAX(((((F31)+(H31)*(MAX($D$16,(K115)-(J31))))*(MAX($D$16,(K115)-(J31))))/MAX((F31)+2*(MAX($D$16,(K115)-(J31)))*SQRT(1+(H31)^2),0.000001))^(2/3),0.000001)))^2)+(((ABS(F115)*$D$6)/(MAX(((G31)+(I31)*(MAX($D$16,(D115)-(K31))))*(MAX($D$16,(D115)-(K31))),0.000001)*MAX(((((G31)+(I31)*(MAX($D$16,(D115)-(K31))))*(MAX($D$16,(D115)-(K31))))/MAX((G31)+2*(MAX($D$16,(D115)-(K31)))*SQRT(1+(I31)^2),0.000001))^(2/3),0.000001)))^2))/2)+(IF((ABS(F115)/MAX(((G31)+(I31)*(MAX($D$16,(D115)-(K31))))*(MAX($D$16,(D115)-(K31))),0.000001))&gt;(ABS(F115)/MAX(((F31)+(H31)*(MAX($D$16,(K115)-(J31))))*(MAX($D$16,(K115)-(J31))),0.000001)),$D$9*((((ABS(F115)/MAX(((G31)+(I31)*(MAX($D$16,(D115)-(K31))))*(MAX($D$16,(D115)-(K31))),0.000001))^2)/(2*$I$5))-(((ABS(F115)/MAX(((F31)+(H31)*(MAX($D$16,(K115)-(J31))))*(MAX($D$16,(K115)-(J31))),0.000001))^2)/(2*$I$5))),$D$8*((((ABS(F115)/MAX(((F31)+(H31)*(MAX($D$16,(K115)-(J31))))*(MAX($D$16,(K115)-(J31))),0.000001))^2)/(2*$I$5))-(((ABS(F115)/MAX(((G31)+(I31)*(MAX($D$16,(D115)-(K31))))*(MAX($D$16,(D115)-(K31))),0.000001))^2)/(2*$I$5)))))+($D$10*(ABS((X31)-(W31))/90)*MAX(((ABS(F115)/MAX(((F31)+(H31)*(MAX($D$16,(K115)-(J31))))*(MAX($D$16,(K115)-(J31))),0.000001))^2)/(2*$I$5),((ABS(F115)/MAX(((G31)+(I31)*(MAX($D$16,(D115)-(K31))))*(MAX($D$16,(D115)-(K31))),0.000001))^2)/(2*$I$5)))+(0)-((ABS(F115)/MAX(((G31)+(I31)*(MAX($D$16,(D115)-(K31))))*(MAX($D$16,(D115)-(K31))),0.000001))^2)/(2*$I$5)</f>
        <v>637.65825101089831</v>
      </c>
      <c r="P115">
        <f>E115+((ABS(G115)/MAX(((G32)+(I32)*(MAX($D$16,(E115)-(K32))))*(MAX($D$16,(E115)-(K32))),0.000001))^2)/(2*$I$5)+((E32)*((((ABS(G115)*$D$6)/(MAX(((F32)+(H32)*(MAX($D$16,(D115)-(J32))))*(MAX($D$16,(D115)-(J32))),0.000001)*MAX(((((F32)+(H32)*(MAX($D$16,(D115)-(J32))))*(MAX($D$16,(D115)-(J32))))/MAX((F32)+2*(MAX($D$16,(D115)-(J32)))*SQRT(1+(H32)^2),0.000001))^(2/3),0.000001)))^2)+(((ABS(G115)*$D$6)/(MAX(((G32)+(I32)*(MAX($D$16,(E115)-(K32))))*(MAX($D$16,(E115)-(K32))),0.000001)*MAX(((((G32)+(I32)*(MAX($D$16,(E115)-(K32))))*(MAX($D$16,(E115)-(K32))))/MAX((G32)+2*(MAX($D$16,(E115)-(K32)))*SQRT(1+(I32)^2),0.000001))^(2/3),0.000001)))^2))/2)+(IF((ABS(G115)/MAX(((G32)+(I32)*(MAX($D$16,(E115)-(K32))))*(MAX($D$16,(E115)-(K32))),0.000001))&gt;(ABS(G115)/MAX(((F32)+(H32)*(MAX($D$16,(D115)-(J32))))*(MAX($D$16,(D115)-(J32))),0.000001)),$D$9*((((ABS(G115)/MAX(((G32)+(I32)*(MAX($D$16,(E115)-(K32))))*(MAX($D$16,(E115)-(K32))),0.000001))^2)/(2*$I$5))-(((ABS(G115)/MAX(((F32)+(H32)*(MAX($D$16,(D115)-(J32))))*(MAX($D$16,(D115)-(J32))),0.000001))^2)/(2*$I$5))),$D$8*((((ABS(G115)/MAX(((F32)+(H32)*(MAX($D$16,(D115)-(J32))))*(MAX($D$16,(D115)-(J32))),0.000001))^2)/(2*$I$5))-(((ABS(G115)/MAX(((G32)+(I32)*(MAX($D$16,(E115)-(K32))))*(MAX($D$16,(E115)-(K32))),0.000001))^2)/(2*$I$5)))))+($D$10*(ABS((X32)-(W32))/90)*MAX(((ABS(G115)/MAX(((F32)+(H32)*(MAX($D$16,(D115)-(J32))))*(MAX($D$16,(D115)-(J32))),0.000001))^2)/(2*$I$5),((ABS(G115)/MAX(((G32)+(I32)*(MAX($D$16,(E115)-(K32))))*(MAX($D$16,(E115)-(K32))),0.000001))^2)/(2*$I$5)))+(($D$11*0.13607488*(ABS(H115)/MAX(ABS(F115),0.000001))^2*MAX(((ABS(G115)/MAX(((F32)+(H32)*(MAX($D$16,(D115)-(J32))))*(MAX($D$16,(D115)-(J32))),0.000001))^2)/(2*$I$5),((ABS(G115)/MAX(((G32)+(I32)*(MAX($D$16,(E115)-(K32))))*(MAX($D$16,(E115)-(K32))),0.000001))^2)/(2*$I$5))))-((ABS(G115)/MAX(((F32)+(H32)*(MAX($D$16,(D115)-(J32))))*(MAX($D$16,(D115)-(J32))),0.000001))^2)/(2*$I$5)</f>
        <v>52432.141837663032</v>
      </c>
      <c r="Q115">
        <f>L115+((ABS(H115)/MAX(((G33)+(I33)*(MAX($D$16,(L115)-(K33))))*(MAX($D$16,(L115)-(K33))),0.000001))^2)/(2*$I$5)+((E33)*((((ABS(H115)*$D$6)/(MAX(((F33)+(H33)*(MAX($D$16,(D115)-(J33))))*(MAX($D$16,(D115)-(J33))),0.000001)*MAX(((((F33)+(H33)*(MAX($D$16,(D115)-(J33))))*(MAX($D$16,(D115)-(J33))))/MAX((F33)+2*(MAX($D$16,(D115)-(J33)))*SQRT(1+(H33)^2),0.000001))^(2/3),0.000001)))^2)+(((ABS(H115)*$D$6)/(MAX(((G33)+(I33)*(MAX($D$16,(L115)-(K33))))*(MAX($D$16,(L115)-(K33))),0.000001)*MAX(((((G33)+(I33)*(MAX($D$16,(L115)-(K33))))*(MAX($D$16,(L115)-(K33))))/MAX((G33)+2*(MAX($D$16,(L115)-(K33)))*SQRT(1+(I33)^2),0.000001))^(2/3),0.000001)))^2))/2)+(IF((ABS(H115)/MAX(((G33)+(I33)*(MAX($D$16,(L115)-(K33))))*(MAX($D$16,(L115)-(K33))),0.000001))&gt;(ABS(H115)/MAX(((F33)+(H33)*(MAX($D$16,(D115)-(J33))))*(MAX($D$16,(D115)-(J33))),0.000001)),$D$9*((((ABS(H115)/MAX(((G33)+(I33)*(MAX($D$16,(L115)-(K33))))*(MAX($D$16,(L115)-(K33))),0.000001))^2)/(2*$I$5))-(((ABS(H115)/MAX(((F33)+(H33)*(MAX($D$16,(D115)-(J33))))*(MAX($D$16,(D115)-(J33))),0.000001))^2)/(2*$I$5))),$D$8*((((ABS(H115)/MAX(((F33)+(H33)*(MAX($D$16,(D115)-(J33))))*(MAX($D$16,(D115)-(J33))),0.000001))^2)/(2*$I$5))-(((ABS(H115)/MAX(((G33)+(I33)*(MAX($D$16,(L115)-(K33))))*(MAX($D$16,(L115)-(K33))),0.000001))^2)/(2*$I$5)))))+($D$10*(ABS((X33)-(W33))/90)*MAX(((ABS(H115)/MAX(((F33)+(H33)*(MAX($D$16,(D115)-(J33))))*(MAX($D$16,(D115)-(J33))),0.000001))^2)/(2*$I$5),((ABS(H115)/MAX(((G33)+(I33)*(MAX($D$16,(L115)-(K33))))*(MAX($D$16,(L115)-(K33))),0.000001))^2)/(2*$I$5)))+(($D$11*0.00000015*(ABS(G115)/MAX(ABS(F115),0.000001))^2*MAX(((ABS(H115)/MAX(((F33)+(H33)*(MAX($D$16,(D115)-(J33))))*(MAX($D$16,(D115)-(J33))),0.000001))^2)/(2*$I$5),((ABS(H115)/MAX(((G33)+(I33)*(MAX($D$16,(L115)-(K33))))*(MAX($D$16,(L115)-(K33))),0.000001))^2)/(2*$I$5))))-((ABS(H115)/MAX(((F33)+(H33)*(MAX($D$16,(D115)-(J33))))*(MAX($D$16,(D115)-(J33))),0.000001))^2)/(2*$I$5)</f>
        <v>634.3119999999999</v>
      </c>
      <c r="R115">
        <f>D115+((ABS(G115)/MAX(((F32)+(H32)*(MAX($D$16,(D115)-(J32))))*(MAX($D$16,(D115)-(J32))),0.000001))^2)/(2*$I$5)-((E32)*((((ABS(G115)*$D$6)/(MAX(((F32)+(H32)*(MAX($D$16,(D115)-(J32))))*(MAX($D$16,(D115)-(J32))),0.000001)*MAX(((((F32)+(H32)*(MAX($D$16,(D115)-(J32))))*(MAX($D$16,(D115)-(J32))))/MAX((F32)+2*(MAX($D$16,(D115)-(J32)))*SQRT(1+(H32)^2),0.000001))^(2/3),0.000001)))^2)+(((ABS(G115)*$D$6)/(MAX(((G32)+(I32)*(MAX($D$16,(E115)-(K32))))*(MAX($D$16,(E115)-(K32))),0.000001)*MAX(((((G32)+(I32)*(MAX($D$16,(E115)-(K32))))*(MAX($D$16,(E115)-(K32))))/MAX((G32)+2*(MAX($D$16,(E115)-(K32)))*SQRT(1+(I32)^2),0.000001))^(2/3),0.000001)))^2))/2)+(IF((ABS(G115)/MAX(((G32)+(I32)*(MAX($D$16,(E115)-(K32))))*(MAX($D$16,(E115)-(K32))),0.000001))&gt;(ABS(G115)/MAX(((F32)+(H32)*(MAX($D$16,(D115)-(J32))))*(MAX($D$16,(D115)-(J32))),0.000001)),$D$9*((((ABS(G115)/MAX(((G32)+(I32)*(MAX($D$16,(E115)-(K32))))*(MAX($D$16,(E115)-(K32))),0.000001))^2)/(2*$I$5))-(((ABS(G115)/MAX(((F32)+(H32)*(MAX($D$16,(D115)-(J32))))*(MAX($D$16,(D115)-(J32))),0.000001))^2)/(2*$I$5))),$D$8*((((ABS(G115)/MAX(((F32)+(H32)*(MAX($D$16,(D115)-(J32))))*(MAX($D$16,(D115)-(J32))),0.000001))^2)/(2*$I$5))-(((ABS(G115)/MAX(((G32)+(I32)*(MAX($D$16,(E115)-(K32))))*(MAX($D$16,(E115)-(K32))),0.000001))^2)/(2*$I$5)))))+($D$10*(ABS((X32)-(W32))/90)*MAX(((ABS(G115)/MAX(((F32)+(H32)*(MAX($D$16,(D115)-(J32))))*(MAX($D$16,(D115)-(J32))),0.000001))^2)/(2*$I$5),((ABS(G115)/MAX(((G32)+(I32)*(MAX($D$16,(E115)-(K32))))*(MAX($D$16,(E115)-(K32))),0.000001))^2)/(2*$I$5)))+(($D$11*0.13607488*(ABS(H115)/MAX(ABS(F115),0.000001))^2*MAX(((ABS(G115)/MAX(((F32)+(H32)*(MAX($D$16,(D115)-(J32))))*(MAX($D$16,(D115)-(J32))),0.000001))^2)/(2*$I$5),((ABS(G115)/MAX(((G32)+(I32)*(MAX($D$16,(E115)-(K32))))*(MAX($D$16,(E115)-(K32))),0.000001))^2)/(2*$I$5))))-((ABS(G115)/MAX(((G32)+(I32)*(MAX($D$16,(E115)-(K32))))*(MAX($D$16,(E115)-(K32))),0.000001))^2)/(2*$I$5)</f>
        <v>52432.141837662821</v>
      </c>
      <c r="S115">
        <f>M115+((ABS(I115)/MAX(((G34)+(I34)*(MAX($D$16,(M115)-(K34))))*(MAX($D$16,(M115)-(K34))),0.000001))^2)/(2*$I$5)+((E34)*((((ABS(I115)*$D$6)/(MAX(((F34)+(H34)*(MAX($D$16,(E115)-(J34))))*(MAX($D$16,(E115)-(J34))),0.000001)*MAX(((((F34)+(H34)*(MAX($D$16,(E115)-(J34))))*(MAX($D$16,(E115)-(J34))))/MAX((F34)+2*(MAX($D$16,(E115)-(J34)))*SQRT(1+(H34)^2),0.000001))^(2/3),0.000001)))^2)+(((ABS(I115)*$D$6)/(MAX(((G34)+(I34)*(MAX($D$16,(M115)-(K34))))*(MAX($D$16,(M115)-(K34))),0.000001)*MAX(((((G34)+(I34)*(MAX($D$16,(M115)-(K34))))*(MAX($D$16,(M115)-(K34))))/MAX((G34)+2*(MAX($D$16,(M115)-(K34)))*SQRT(1+(I34)^2),0.000001))^(2/3),0.000001)))^2))/2)+(IF((ABS(I115)/MAX(((G34)+(I34)*(MAX($D$16,(M115)-(K34))))*(MAX($D$16,(M115)-(K34))),0.000001))&gt;(ABS(I115)/MAX(((F34)+(H34)*(MAX($D$16,(E115)-(J34))))*(MAX($D$16,(E115)-(J34))),0.000001)),$D$9*((((ABS(I115)/MAX(((G34)+(I34)*(MAX($D$16,(M115)-(K34))))*(MAX($D$16,(M115)-(K34))),0.000001))^2)/(2*$I$5))-(((ABS(I115)/MAX(((F34)+(H34)*(MAX($D$16,(E115)-(J34))))*(MAX($D$16,(E115)-(J34))),0.000001))^2)/(2*$I$5))),$D$8*((((ABS(I115)/MAX(((F34)+(H34)*(MAX($D$16,(E115)-(J34))))*(MAX($D$16,(E115)-(J34))),0.000001))^2)/(2*$I$5))-(((ABS(I115)/MAX(((G34)+(I34)*(MAX($D$16,(M115)-(K34))))*(MAX($D$16,(M115)-(K34))),0.000001))^2)/(2*$I$5)))))+($D$10*(ABS((X34)-(W34))/90)*MAX(((ABS(I115)/MAX(((F34)+(H34)*(MAX($D$16,(E115)-(J34))))*(MAX($D$16,(E115)-(J34))),0.000001))^2)/(2*$I$5),((ABS(I115)/MAX(((G34)+(I34)*(MAX($D$16,(M115)-(K34))))*(MAX($D$16,(M115)-(K34))),0.000001))^2)/(2*$I$5)))+(0)-((ABS(I115)/MAX(((F34)+(H34)*(MAX($D$16,(E115)-(J34))))*(MAX($D$16,(E115)-(J34))),0.000001))^2)/(2*$I$5)</f>
        <v>635.5</v>
      </c>
      <c r="T115">
        <f>N115+((ABS(J115)/MAX(((G35)+(I35)*(MAX($D$16,(N115)-(K35))))*(MAX($D$16,(N115)-(K35))),0.000001))^2)/(2*$I$5)+((E35)*((((ABS(J115)*$D$6)/(MAX(((F35)+(H35)*(MAX($D$16,(E115)-(J35))))*(MAX($D$16,(E115)-(J35))),0.000001)*MAX(((((F35)+(H35)*(MAX($D$16,(E115)-(J35))))*(MAX($D$16,(E115)-(J35))))/MAX((F35)+2*(MAX($D$16,(E115)-(J35)))*SQRT(1+(H35)^2),0.000001))^(2/3),0.000001)))^2)+(((ABS(J115)*$D$6)/(MAX(((G35)+(I35)*(MAX($D$16,(N115)-(K35))))*(MAX($D$16,(N115)-(K35))),0.000001)*MAX(((((G35)+(I35)*(MAX($D$16,(N115)-(K35))))*(MAX($D$16,(N115)-(K35))))/MAX((G35)+2*(MAX($D$16,(N115)-(K35)))*SQRT(1+(I35)^2),0.000001))^(2/3),0.000001)))^2))/2)+(IF((ABS(J115)/MAX(((G35)+(I35)*(MAX($D$16,(N115)-(K35))))*(MAX($D$16,(N115)-(K35))),0.000001))&gt;(ABS(J115)/MAX(((F35)+(H35)*(MAX($D$16,(E115)-(J35))))*(MAX($D$16,(E115)-(J35))),0.000001)),$D$9*((((ABS(J115)/MAX(((G35)+(I35)*(MAX($D$16,(N115)-(K35))))*(MAX($D$16,(N115)-(K35))),0.000001))^2)/(2*$I$5))-(((ABS(J115)/MAX(((F35)+(H35)*(MAX($D$16,(E115)-(J35))))*(MAX($D$16,(E115)-(J35))),0.000001))^2)/(2*$I$5))),$D$8*((((ABS(J115)/MAX(((F35)+(H35)*(MAX($D$16,(E115)-(J35))))*(MAX($D$16,(E115)-(J35))),0.000001))^2)/(2*$I$5))-(((ABS(J115)/MAX(((G35)+(I35)*(MAX($D$16,(N115)-(K35))))*(MAX($D$16,(N115)-(K35))),0.000001))^2)/(2*$I$5)))))+($D$10*(ABS((X35)-(W35))/90)*MAX(((ABS(J115)/MAX(((F35)+(H35)*(MAX($D$16,(E115)-(J35))))*(MAX($D$16,(E115)-(J35))),0.000001))^2)/(2*$I$5),((ABS(J115)/MAX(((G35)+(I35)*(MAX($D$16,(N115)-(K35))))*(MAX($D$16,(N115)-(K35))),0.000001))^2)/(2*$I$5)))+(($D$11*0.34699541*(ABS(I115)/MAX(ABS(G115),0.000001))^2*MAX(((ABS(J115)/MAX(((F35)+(H35)*(MAX($D$16,(E115)-(J35))))*(MAX($D$16,(E115)-(J35))),0.000001))^2)/(2*$I$5),((ABS(J115)/MAX(((G35)+(I35)*(MAX($D$16,(N115)-(K35))))*(MAX($D$16,(N115)-(K35))),0.000001))^2)/(2*$I$5))))-((ABS(J115)/MAX(((F35)+(H35)*(MAX($D$16,(E115)-(J35))))*(MAX($D$16,(E115)-(J35))),0.000001))^2)/(2*$I$5)</f>
        <v>20784.033523923383</v>
      </c>
      <c r="U115">
        <f>(((((F32)*(MAX($D$16,(D115)-(J32)))^2)/2+(H32)*(MAX($D$16,(D115)-(J32)))^3/3+(ABS(G115)^2)/($I$5*MAX(((F32)+(H32)*(MAX($D$16,(D115)-(J32))))*(MAX($D$16,(D115)-(J32))),0.000001)))*0.72785025)-((((F33)*(MAX($D$16,(D115)-(J33)))^2)/2+(H33)*(MAX($D$16,(D115)-(J33)))^3/3+(ABS(H115)^2)/($I$5*MAX(((F33)+(H33)*(MAX($D$16,(D115)-(J33))))*(MAX($D$16,(D115)-(J33))),0.000001)))*0.99999971))/MAX(((G31)*(MAX($D$16,(D115)-(K31)))^2)/2+(I31)*(MAX($D$16,(D115)-(K31)))^3/3+(ABS(F115)^2)/($I$5*MAX(((G31)+(I31)*(MAX($D$16,(D115)-(K31))))*(MAX($D$16,(D115)-(K31))),0.000001)),0.000001)</f>
        <v>-0.27214945999991125</v>
      </c>
      <c r="V115">
        <f>(((((F34)*(MAX($D$16,(E115)-(J34)))^2)/2+(H34)*(MAX($D$16,(E115)-(J34)))^3/3+(ABS(I115)^2)/($I$5*MAX(((F34)+(H34)*(MAX($D$16,(E115)-(J34))))*(MAX($D$16,(E115)-(J34))),0.000001)))*1)-((((F35)*(MAX($D$16,(E115)-(J35)))^2)/2+(H35)*(MAX($D$16,(E115)-(J35)))^3/3+(ABS(J115)^2)/($I$5*MAX(((F35)+(H35)*(MAX($D$16,(E115)-(J35))))*(MAX($D$16,(E115)-(J35))),0.000001)))*0.30600918))/MAX(((G32)*(MAX($D$16,(E115)-(K32)))^2)/2+(I32)*(MAX($D$16,(E115)-(K32)))^3/3+(ABS(G115)^2)/($I$5*MAX(((G32)+(I32)*(MAX($D$16,(E115)-(K32))))*(MAX($D$16,(E115)-(K32))),0.000001)),0.000001)</f>
        <v>0.69398638937190393</v>
      </c>
      <c r="W115">
        <f>IF(N6="None",ABS(P115-D115),MAX(ABS(P115-D115),ABS(Q115-D115)))</f>
        <v>3.4197000786662102E-10</v>
      </c>
      <c r="X115">
        <f>IF(AND(N7="None",N8="None"),0,IF(N8="None",ABS(S115-E115),IF(N7="None",ABS(T115-E115),MAX(ABS(S115-E115),ABS(T115-E115)))))</f>
        <v>51796.641837662479</v>
      </c>
      <c r="AA115">
        <f t="shared" si="33"/>
        <v>52432.141837662806</v>
      </c>
      <c r="AB115">
        <f t="shared" si="34"/>
        <v>41355.303927853798</v>
      </c>
      <c r="AC115">
        <f>IF(N6="None",P115,MAX(P115,Q115))</f>
        <v>52432.141837663032</v>
      </c>
      <c r="AD115">
        <f>IF(AND(N7="None",N8="None"),E115,IF(N8="None",S115,IF(N7="None",T115,MAX(S115,T115))))</f>
        <v>20784.033523923383</v>
      </c>
      <c r="AE115">
        <f t="shared" si="35"/>
        <v>637.65825101089831</v>
      </c>
      <c r="AF115">
        <f t="shared" si="36"/>
        <v>52432.141837662821</v>
      </c>
      <c r="AG115">
        <f>((G31)*(MAX($D$16,(AC115)-(K31)))^2)/2+(I31)*(MAX($D$16,(AC115)-(K31)))^3/3+(ABS(F115)^2)/($I$5*MAX(((G31)+(I31)*(MAX($D$16,(AC115)-(K31))))*(MAX($D$16,(AC115)-(K31))),0.000001))</f>
        <v>8797611517.4119873</v>
      </c>
      <c r="AH115">
        <f>((G31)*(MAX($D$16,(AE115)-(K31)))^2)/2+(I31)*(MAX($D$16,(AE115)-(K31)))^3/3+(ABS(F115)^2)/($I$5*MAX(((G31)+(I31)*(MAX($D$16,(AE115)-(K31))))*(MAX($D$16,(AE115)-(K31))),0.000001))</f>
        <v>49.055863329575246</v>
      </c>
      <c r="AI115">
        <f>((G32)*(MAX($D$16,(AD115)-(K32)))^2)/2+(I32)*(MAX($D$16,(AD115)-(K32)))^3/3+(ABS(G115)^2)/($I$5*MAX(((G32)+(I32)*(MAX($D$16,(AD115)-(K32))))*(MAX($D$16,(AD115)-(K32))),0.000001))</f>
        <v>2072376743.6648321</v>
      </c>
      <c r="AJ115">
        <f>((G32)*(MAX($D$16,(AF115)-(K32)))^2)/2+(I32)*(MAX($D$16,(AF115)-(K32)))^3/3+(ABS(G115)^2)/($I$5*MAX(((G32)+(I32)*(MAX($D$16,(AF115)-(K32))))*(MAX($D$16,(AF115)-(K32))),0.000001))</f>
        <v>13692714789.64452</v>
      </c>
      <c r="AK115" t="str">
        <f t="shared" si="37"/>
        <v>Subcritical</v>
      </c>
      <c r="AL115" t="str">
        <f t="shared" si="38"/>
        <v>Supercritical</v>
      </c>
      <c r="AM115">
        <f t="shared" si="39"/>
        <v>52432.141837662806</v>
      </c>
      <c r="AN115">
        <f t="shared" si="40"/>
        <v>52432.141837662595</v>
      </c>
      <c r="AO115">
        <f t="shared" si="41"/>
        <v>3.4197000786662102E-10</v>
      </c>
      <c r="AP115">
        <f t="shared" si="42"/>
        <v>3.4197000786662102E-10</v>
      </c>
    </row>
    <row r="116" spans="1:42" x14ac:dyDescent="0.35">
      <c r="A116">
        <v>73</v>
      </c>
      <c r="B116">
        <f t="shared" si="43"/>
        <v>0</v>
      </c>
      <c r="C116">
        <f t="shared" si="44"/>
        <v>0</v>
      </c>
      <c r="D116">
        <f t="shared" si="45"/>
        <v>52432.141837662806</v>
      </c>
      <c r="E116">
        <f t="shared" si="46"/>
        <v>52432.141837662595</v>
      </c>
      <c r="F116">
        <f t="shared" si="32"/>
        <v>51</v>
      </c>
      <c r="G116">
        <f>IF(N6="None",F116,MAX(0,F116*B116))</f>
        <v>51</v>
      </c>
      <c r="H116">
        <f>IF(N6="None",0,MAX(0,F116-G116))</f>
        <v>0</v>
      </c>
      <c r="I116">
        <f>IF(AND(N7="None",N8="None"),0,IF(N8="None",G116,IF(N7="None",0,MAX(0,G116*C116))))</f>
        <v>0</v>
      </c>
      <c r="J116">
        <f>IF(AND(N7="None",N8="None"),0,IF(N8="None",0,IF(N7="None",G116,MAX(0,G116-I116))))</f>
        <v>51</v>
      </c>
      <c r="K116">
        <f>P5</f>
        <v>637</v>
      </c>
      <c r="L116">
        <f>P6</f>
        <v>634.3119999999999</v>
      </c>
      <c r="M116">
        <f>P7</f>
        <v>635.5</v>
      </c>
      <c r="N116">
        <f>P8</f>
        <v>631.54999999999995</v>
      </c>
      <c r="O116">
        <f>K116+((ABS(F116)/MAX(((F31)+(H31)*(MAX($D$16,(K116)-(J31))))*(MAX($D$16,(K116)-(J31))),0.000001))^2)/(2*$I$5)-((E31)*((((ABS(F116)*$D$6)/(MAX(((F31)+(H31)*(MAX($D$16,(K116)-(J31))))*(MAX($D$16,(K116)-(J31))),0.000001)*MAX(((((F31)+(H31)*(MAX($D$16,(K116)-(J31))))*(MAX($D$16,(K116)-(J31))))/MAX((F31)+2*(MAX($D$16,(K116)-(J31)))*SQRT(1+(H31)^2),0.000001))^(2/3),0.000001)))^2)+(((ABS(F116)*$D$6)/(MAX(((G31)+(I31)*(MAX($D$16,(D116)-(K31))))*(MAX($D$16,(D116)-(K31))),0.000001)*MAX(((((G31)+(I31)*(MAX($D$16,(D116)-(K31))))*(MAX($D$16,(D116)-(K31))))/MAX((G31)+2*(MAX($D$16,(D116)-(K31)))*SQRT(1+(I31)^2),0.000001))^(2/3),0.000001)))^2))/2)+(IF((ABS(F116)/MAX(((G31)+(I31)*(MAX($D$16,(D116)-(K31))))*(MAX($D$16,(D116)-(K31))),0.000001))&gt;(ABS(F116)/MAX(((F31)+(H31)*(MAX($D$16,(K116)-(J31))))*(MAX($D$16,(K116)-(J31))),0.000001)),$D$9*((((ABS(F116)/MAX(((G31)+(I31)*(MAX($D$16,(D116)-(K31))))*(MAX($D$16,(D116)-(K31))),0.000001))^2)/(2*$I$5))-(((ABS(F116)/MAX(((F31)+(H31)*(MAX($D$16,(K116)-(J31))))*(MAX($D$16,(K116)-(J31))),0.000001))^2)/(2*$I$5))),$D$8*((((ABS(F116)/MAX(((F31)+(H31)*(MAX($D$16,(K116)-(J31))))*(MAX($D$16,(K116)-(J31))),0.000001))^2)/(2*$I$5))-(((ABS(F116)/MAX(((G31)+(I31)*(MAX($D$16,(D116)-(K31))))*(MAX($D$16,(D116)-(K31))),0.000001))^2)/(2*$I$5)))))+($D$10*(ABS((X31)-(W31))/90)*MAX(((ABS(F116)/MAX(((F31)+(H31)*(MAX($D$16,(K116)-(J31))))*(MAX($D$16,(K116)-(J31))),0.000001))^2)/(2*$I$5),((ABS(F116)/MAX(((G31)+(I31)*(MAX($D$16,(D116)-(K31))))*(MAX($D$16,(D116)-(K31))),0.000001))^2)/(2*$I$5)))+(0)-((ABS(F116)/MAX(((G31)+(I31)*(MAX($D$16,(D116)-(K31))))*(MAX($D$16,(D116)-(K31))),0.000001))^2)/(2*$I$5)</f>
        <v>637.65825101089831</v>
      </c>
      <c r="P116">
        <f>E116+((ABS(G116)/MAX(((G32)+(I32)*(MAX($D$16,(E116)-(K32))))*(MAX($D$16,(E116)-(K32))),0.000001))^2)/(2*$I$5)+((E32)*((((ABS(G116)*$D$6)/(MAX(((F32)+(H32)*(MAX($D$16,(D116)-(J32))))*(MAX($D$16,(D116)-(J32))),0.000001)*MAX(((((F32)+(H32)*(MAX($D$16,(D116)-(J32))))*(MAX($D$16,(D116)-(J32))))/MAX((F32)+2*(MAX($D$16,(D116)-(J32)))*SQRT(1+(H32)^2),0.000001))^(2/3),0.000001)))^2)+(((ABS(G116)*$D$6)/(MAX(((G32)+(I32)*(MAX($D$16,(E116)-(K32))))*(MAX($D$16,(E116)-(K32))),0.000001)*MAX(((((G32)+(I32)*(MAX($D$16,(E116)-(K32))))*(MAX($D$16,(E116)-(K32))))/MAX((G32)+2*(MAX($D$16,(E116)-(K32)))*SQRT(1+(I32)^2),0.000001))^(2/3),0.000001)))^2))/2)+(IF((ABS(G116)/MAX(((G32)+(I32)*(MAX($D$16,(E116)-(K32))))*(MAX($D$16,(E116)-(K32))),0.000001))&gt;(ABS(G116)/MAX(((F32)+(H32)*(MAX($D$16,(D116)-(J32))))*(MAX($D$16,(D116)-(J32))),0.000001)),$D$9*((((ABS(G116)/MAX(((G32)+(I32)*(MAX($D$16,(E116)-(K32))))*(MAX($D$16,(E116)-(K32))),0.000001))^2)/(2*$I$5))-(((ABS(G116)/MAX(((F32)+(H32)*(MAX($D$16,(D116)-(J32))))*(MAX($D$16,(D116)-(J32))),0.000001))^2)/(2*$I$5))),$D$8*((((ABS(G116)/MAX(((F32)+(H32)*(MAX($D$16,(D116)-(J32))))*(MAX($D$16,(D116)-(J32))),0.000001))^2)/(2*$I$5))-(((ABS(G116)/MAX(((G32)+(I32)*(MAX($D$16,(E116)-(K32))))*(MAX($D$16,(E116)-(K32))),0.000001))^2)/(2*$I$5)))))+($D$10*(ABS((X32)-(W32))/90)*MAX(((ABS(G116)/MAX(((F32)+(H32)*(MAX($D$16,(D116)-(J32))))*(MAX($D$16,(D116)-(J32))),0.000001))^2)/(2*$I$5),((ABS(G116)/MAX(((G32)+(I32)*(MAX($D$16,(E116)-(K32))))*(MAX($D$16,(E116)-(K32))),0.000001))^2)/(2*$I$5)))+(($D$11*0.13607488*(ABS(H116)/MAX(ABS(F116),0.000001))^2*MAX(((ABS(G116)/MAX(((F32)+(H32)*(MAX($D$16,(D116)-(J32))))*(MAX($D$16,(D116)-(J32))),0.000001))^2)/(2*$I$5),((ABS(G116)/MAX(((G32)+(I32)*(MAX($D$16,(E116)-(K32))))*(MAX($D$16,(E116)-(K32))),0.000001))^2)/(2*$I$5))))-((ABS(G116)/MAX(((F32)+(H32)*(MAX($D$16,(D116)-(J32))))*(MAX($D$16,(D116)-(J32))),0.000001))^2)/(2*$I$5)</f>
        <v>52432.141837663148</v>
      </c>
      <c r="Q116">
        <f>L116+((ABS(H116)/MAX(((G33)+(I33)*(MAX($D$16,(L116)-(K33))))*(MAX($D$16,(L116)-(K33))),0.000001))^2)/(2*$I$5)+((E33)*((((ABS(H116)*$D$6)/(MAX(((F33)+(H33)*(MAX($D$16,(D116)-(J33))))*(MAX($D$16,(D116)-(J33))),0.000001)*MAX(((((F33)+(H33)*(MAX($D$16,(D116)-(J33))))*(MAX($D$16,(D116)-(J33))))/MAX((F33)+2*(MAX($D$16,(D116)-(J33)))*SQRT(1+(H33)^2),0.000001))^(2/3),0.000001)))^2)+(((ABS(H116)*$D$6)/(MAX(((G33)+(I33)*(MAX($D$16,(L116)-(K33))))*(MAX($D$16,(L116)-(K33))),0.000001)*MAX(((((G33)+(I33)*(MAX($D$16,(L116)-(K33))))*(MAX($D$16,(L116)-(K33))))/MAX((G33)+2*(MAX($D$16,(L116)-(K33)))*SQRT(1+(I33)^2),0.000001))^(2/3),0.000001)))^2))/2)+(IF((ABS(H116)/MAX(((G33)+(I33)*(MAX($D$16,(L116)-(K33))))*(MAX($D$16,(L116)-(K33))),0.000001))&gt;(ABS(H116)/MAX(((F33)+(H33)*(MAX($D$16,(D116)-(J33))))*(MAX($D$16,(D116)-(J33))),0.000001)),$D$9*((((ABS(H116)/MAX(((G33)+(I33)*(MAX($D$16,(L116)-(K33))))*(MAX($D$16,(L116)-(K33))),0.000001))^2)/(2*$I$5))-(((ABS(H116)/MAX(((F33)+(H33)*(MAX($D$16,(D116)-(J33))))*(MAX($D$16,(D116)-(J33))),0.000001))^2)/(2*$I$5))),$D$8*((((ABS(H116)/MAX(((F33)+(H33)*(MAX($D$16,(D116)-(J33))))*(MAX($D$16,(D116)-(J33))),0.000001))^2)/(2*$I$5))-(((ABS(H116)/MAX(((G33)+(I33)*(MAX($D$16,(L116)-(K33))))*(MAX($D$16,(L116)-(K33))),0.000001))^2)/(2*$I$5)))))+($D$10*(ABS((X33)-(W33))/90)*MAX(((ABS(H116)/MAX(((F33)+(H33)*(MAX($D$16,(D116)-(J33))))*(MAX($D$16,(D116)-(J33))),0.000001))^2)/(2*$I$5),((ABS(H116)/MAX(((G33)+(I33)*(MAX($D$16,(L116)-(K33))))*(MAX($D$16,(L116)-(K33))),0.000001))^2)/(2*$I$5)))+(($D$11*0.00000015*(ABS(G116)/MAX(ABS(F116),0.000001))^2*MAX(((ABS(H116)/MAX(((F33)+(H33)*(MAX($D$16,(D116)-(J33))))*(MAX($D$16,(D116)-(J33))),0.000001))^2)/(2*$I$5),((ABS(H116)/MAX(((G33)+(I33)*(MAX($D$16,(L116)-(K33))))*(MAX($D$16,(L116)-(K33))),0.000001))^2)/(2*$I$5))))-((ABS(H116)/MAX(((F33)+(H33)*(MAX($D$16,(D116)-(J33))))*(MAX($D$16,(D116)-(J33))),0.000001))^2)/(2*$I$5)</f>
        <v>634.3119999999999</v>
      </c>
      <c r="R116">
        <f>D116+((ABS(G116)/MAX(((F32)+(H32)*(MAX($D$16,(D116)-(J32))))*(MAX($D$16,(D116)-(J32))),0.000001))^2)/(2*$I$5)-((E32)*((((ABS(G116)*$D$6)/(MAX(((F32)+(H32)*(MAX($D$16,(D116)-(J32))))*(MAX($D$16,(D116)-(J32))),0.000001)*MAX(((((F32)+(H32)*(MAX($D$16,(D116)-(J32))))*(MAX($D$16,(D116)-(J32))))/MAX((F32)+2*(MAX($D$16,(D116)-(J32)))*SQRT(1+(H32)^2),0.000001))^(2/3),0.000001)))^2)+(((ABS(G116)*$D$6)/(MAX(((G32)+(I32)*(MAX($D$16,(E116)-(K32))))*(MAX($D$16,(E116)-(K32))),0.000001)*MAX(((((G32)+(I32)*(MAX($D$16,(E116)-(K32))))*(MAX($D$16,(E116)-(K32))))/MAX((G32)+2*(MAX($D$16,(E116)-(K32)))*SQRT(1+(I32)^2),0.000001))^(2/3),0.000001)))^2))/2)+(IF((ABS(G116)/MAX(((G32)+(I32)*(MAX($D$16,(E116)-(K32))))*(MAX($D$16,(E116)-(K32))),0.000001))&gt;(ABS(G116)/MAX(((F32)+(H32)*(MAX($D$16,(D116)-(J32))))*(MAX($D$16,(D116)-(J32))),0.000001)),$D$9*((((ABS(G116)/MAX(((G32)+(I32)*(MAX($D$16,(E116)-(K32))))*(MAX($D$16,(E116)-(K32))),0.000001))^2)/(2*$I$5))-(((ABS(G116)/MAX(((F32)+(H32)*(MAX($D$16,(D116)-(J32))))*(MAX($D$16,(D116)-(J32))),0.000001))^2)/(2*$I$5))),$D$8*((((ABS(G116)/MAX(((F32)+(H32)*(MAX($D$16,(D116)-(J32))))*(MAX($D$16,(D116)-(J32))),0.000001))^2)/(2*$I$5))-(((ABS(G116)/MAX(((G32)+(I32)*(MAX($D$16,(E116)-(K32))))*(MAX($D$16,(E116)-(K32))),0.000001))^2)/(2*$I$5)))))+($D$10*(ABS((X32)-(W32))/90)*MAX(((ABS(G116)/MAX(((F32)+(H32)*(MAX($D$16,(D116)-(J32))))*(MAX($D$16,(D116)-(J32))),0.000001))^2)/(2*$I$5),((ABS(G116)/MAX(((G32)+(I32)*(MAX($D$16,(E116)-(K32))))*(MAX($D$16,(E116)-(K32))),0.000001))^2)/(2*$I$5)))+(($D$11*0.13607488*(ABS(H116)/MAX(ABS(F116),0.000001))^2*MAX(((ABS(G116)/MAX(((F32)+(H32)*(MAX($D$16,(D116)-(J32))))*(MAX($D$16,(D116)-(J32))),0.000001))^2)/(2*$I$5),((ABS(G116)/MAX(((G32)+(I32)*(MAX($D$16,(E116)-(K32))))*(MAX($D$16,(E116)-(K32))),0.000001))^2)/(2*$I$5))))-((ABS(G116)/MAX(((G32)+(I32)*(MAX($D$16,(E116)-(K32))))*(MAX($D$16,(E116)-(K32))),0.000001))^2)/(2*$I$5)</f>
        <v>52432.141837662937</v>
      </c>
      <c r="S116">
        <f>M116+((ABS(I116)/MAX(((G34)+(I34)*(MAX($D$16,(M116)-(K34))))*(MAX($D$16,(M116)-(K34))),0.000001))^2)/(2*$I$5)+((E34)*((((ABS(I116)*$D$6)/(MAX(((F34)+(H34)*(MAX($D$16,(E116)-(J34))))*(MAX($D$16,(E116)-(J34))),0.000001)*MAX(((((F34)+(H34)*(MAX($D$16,(E116)-(J34))))*(MAX($D$16,(E116)-(J34))))/MAX((F34)+2*(MAX($D$16,(E116)-(J34)))*SQRT(1+(H34)^2),0.000001))^(2/3),0.000001)))^2)+(((ABS(I116)*$D$6)/(MAX(((G34)+(I34)*(MAX($D$16,(M116)-(K34))))*(MAX($D$16,(M116)-(K34))),0.000001)*MAX(((((G34)+(I34)*(MAX($D$16,(M116)-(K34))))*(MAX($D$16,(M116)-(K34))))/MAX((G34)+2*(MAX($D$16,(M116)-(K34)))*SQRT(1+(I34)^2),0.000001))^(2/3),0.000001)))^2))/2)+(IF((ABS(I116)/MAX(((G34)+(I34)*(MAX($D$16,(M116)-(K34))))*(MAX($D$16,(M116)-(K34))),0.000001))&gt;(ABS(I116)/MAX(((F34)+(H34)*(MAX($D$16,(E116)-(J34))))*(MAX($D$16,(E116)-(J34))),0.000001)),$D$9*((((ABS(I116)/MAX(((G34)+(I34)*(MAX($D$16,(M116)-(K34))))*(MAX($D$16,(M116)-(K34))),0.000001))^2)/(2*$I$5))-(((ABS(I116)/MAX(((F34)+(H34)*(MAX($D$16,(E116)-(J34))))*(MAX($D$16,(E116)-(J34))),0.000001))^2)/(2*$I$5))),$D$8*((((ABS(I116)/MAX(((F34)+(H34)*(MAX($D$16,(E116)-(J34))))*(MAX($D$16,(E116)-(J34))),0.000001))^2)/(2*$I$5))-(((ABS(I116)/MAX(((G34)+(I34)*(MAX($D$16,(M116)-(K34))))*(MAX($D$16,(M116)-(K34))),0.000001))^2)/(2*$I$5)))))+($D$10*(ABS((X34)-(W34))/90)*MAX(((ABS(I116)/MAX(((F34)+(H34)*(MAX($D$16,(E116)-(J34))))*(MAX($D$16,(E116)-(J34))),0.000001))^2)/(2*$I$5),((ABS(I116)/MAX(((G34)+(I34)*(MAX($D$16,(M116)-(K34))))*(MAX($D$16,(M116)-(K34))),0.000001))^2)/(2*$I$5)))+(0)-((ABS(I116)/MAX(((F34)+(H34)*(MAX($D$16,(E116)-(J34))))*(MAX($D$16,(E116)-(J34))),0.000001))^2)/(2*$I$5)</f>
        <v>635.5</v>
      </c>
      <c r="T116">
        <f>N116+((ABS(J116)/MAX(((G35)+(I35)*(MAX($D$16,(N116)-(K35))))*(MAX($D$16,(N116)-(K35))),0.000001))^2)/(2*$I$5)+((E35)*((((ABS(J116)*$D$6)/(MAX(((F35)+(H35)*(MAX($D$16,(E116)-(J35))))*(MAX($D$16,(E116)-(J35))),0.000001)*MAX(((((F35)+(H35)*(MAX($D$16,(E116)-(J35))))*(MAX($D$16,(E116)-(J35))))/MAX((F35)+2*(MAX($D$16,(E116)-(J35)))*SQRT(1+(H35)^2),0.000001))^(2/3),0.000001)))^2)+(((ABS(J116)*$D$6)/(MAX(((G35)+(I35)*(MAX($D$16,(N116)-(K35))))*(MAX($D$16,(N116)-(K35))),0.000001)*MAX(((((G35)+(I35)*(MAX($D$16,(N116)-(K35))))*(MAX($D$16,(N116)-(K35))))/MAX((G35)+2*(MAX($D$16,(N116)-(K35)))*SQRT(1+(I35)^2),0.000001))^(2/3),0.000001)))^2))/2)+(IF((ABS(J116)/MAX(((G35)+(I35)*(MAX($D$16,(N116)-(K35))))*(MAX($D$16,(N116)-(K35))),0.000001))&gt;(ABS(J116)/MAX(((F35)+(H35)*(MAX($D$16,(E116)-(J35))))*(MAX($D$16,(E116)-(J35))),0.000001)),$D$9*((((ABS(J116)/MAX(((G35)+(I35)*(MAX($D$16,(N116)-(K35))))*(MAX($D$16,(N116)-(K35))),0.000001))^2)/(2*$I$5))-(((ABS(J116)/MAX(((F35)+(H35)*(MAX($D$16,(E116)-(J35))))*(MAX($D$16,(E116)-(J35))),0.000001))^2)/(2*$I$5))),$D$8*((((ABS(J116)/MAX(((F35)+(H35)*(MAX($D$16,(E116)-(J35))))*(MAX($D$16,(E116)-(J35))),0.000001))^2)/(2*$I$5))-(((ABS(J116)/MAX(((G35)+(I35)*(MAX($D$16,(N116)-(K35))))*(MAX($D$16,(N116)-(K35))),0.000001))^2)/(2*$I$5)))))+($D$10*(ABS((X35)-(W35))/90)*MAX(((ABS(J116)/MAX(((F35)+(H35)*(MAX($D$16,(E116)-(J35))))*(MAX($D$16,(E116)-(J35))),0.000001))^2)/(2*$I$5),((ABS(J116)/MAX(((G35)+(I35)*(MAX($D$16,(N116)-(K35))))*(MAX($D$16,(N116)-(K35))),0.000001))^2)/(2*$I$5)))+(($D$11*0.34699541*(ABS(I116)/MAX(ABS(G116),0.000001))^2*MAX(((ABS(J116)/MAX(((F35)+(H35)*(MAX($D$16,(E116)-(J35))))*(MAX($D$16,(E116)-(J35))),0.000001))^2)/(2*$I$5),((ABS(J116)/MAX(((G35)+(I35)*(MAX($D$16,(N116)-(K35))))*(MAX($D$16,(N116)-(K35))),0.000001))^2)/(2*$I$5))))-((ABS(J116)/MAX(((F35)+(H35)*(MAX($D$16,(E116)-(J35))))*(MAX($D$16,(E116)-(J35))),0.000001))^2)/(2*$I$5)</f>
        <v>20784.033523923383</v>
      </c>
      <c r="U116">
        <f>(((((F32)*(MAX($D$16,(D116)-(J32)))^2)/2+(H32)*(MAX($D$16,(D116)-(J32)))^3/3+(ABS(G116)^2)/($I$5*MAX(((F32)+(H32)*(MAX($D$16,(D116)-(J32))))*(MAX($D$16,(D116)-(J32))),0.000001)))*0.72785025)-((((F33)*(MAX($D$16,(D116)-(J33)))^2)/2+(H33)*(MAX($D$16,(D116)-(J33)))^3/3+(ABS(H116)^2)/($I$5*MAX(((F33)+(H33)*(MAX($D$16,(D116)-(J33))))*(MAX($D$16,(D116)-(J33))),0.000001)))*0.99999971))/MAX(((G31)*(MAX($D$16,(D116)-(K31)))^2)/2+(I31)*(MAX($D$16,(D116)-(K31)))^3/3+(ABS(F116)^2)/($I$5*MAX(((G31)+(I31)*(MAX($D$16,(D116)-(K31))))*(MAX($D$16,(D116)-(K31))),0.000001)),0.000001)</f>
        <v>-0.27214945999991119</v>
      </c>
      <c r="V116">
        <f>(((((F34)*(MAX($D$16,(E116)-(J34)))^2)/2+(H34)*(MAX($D$16,(E116)-(J34)))^3/3+(ABS(I116)^2)/($I$5*MAX(((F34)+(H34)*(MAX($D$16,(E116)-(J34))))*(MAX($D$16,(E116)-(J34))),0.000001)))*1)-((((F35)*(MAX($D$16,(E116)-(J35)))^2)/2+(H35)*(MAX($D$16,(E116)-(J35)))^3/3+(ABS(J116)^2)/($I$5*MAX(((F35)+(H35)*(MAX($D$16,(E116)-(J35))))*(MAX($D$16,(E116)-(J35))),0.000001)))*0.30600918))/MAX(((G32)*(MAX($D$16,(E116)-(K32)))^2)/2+(I32)*(MAX($D$16,(E116)-(K32)))^3/3+(ABS(G116)^2)/($I$5*MAX(((G32)+(I32)*(MAX($D$16,(E116)-(K32))))*(MAX($D$16,(E116)-(K32))),0.000001)),0.000001)</f>
        <v>0.69398638937190393</v>
      </c>
      <c r="W116">
        <f>IF(N6="None",ABS(P116-D116),MAX(ABS(P116-D116),ABS(Q116-D116)))</f>
        <v>3.4197000786662102E-10</v>
      </c>
      <c r="X116">
        <f>IF(AND(N7="None",N8="None"),0,IF(N8="None",ABS(S116-E116),IF(N7="None",ABS(T116-E116),MAX(ABS(S116-E116),ABS(T116-E116)))))</f>
        <v>51796.641837662595</v>
      </c>
      <c r="AA116">
        <f t="shared" si="33"/>
        <v>52432.141837662923</v>
      </c>
      <c r="AB116">
        <f t="shared" si="34"/>
        <v>41355.303927853871</v>
      </c>
      <c r="AC116">
        <f>IF(N6="None",P116,MAX(P116,Q116))</f>
        <v>52432.141837663148</v>
      </c>
      <c r="AD116">
        <f>IF(AND(N7="None",N8="None"),E116,IF(N8="None",S116,IF(N7="None",T116,MAX(S116,T116))))</f>
        <v>20784.033523923383</v>
      </c>
      <c r="AE116">
        <f t="shared" si="35"/>
        <v>637.65825101089831</v>
      </c>
      <c r="AF116">
        <f t="shared" si="36"/>
        <v>52432.141837662937</v>
      </c>
      <c r="AG116">
        <f>((G31)*(MAX($D$16,(AC116)-(K31)))^2)/2+(I31)*(MAX($D$16,(AC116)-(K31)))^3/3+(ABS(F116)^2)/($I$5*MAX(((G31)+(I31)*(MAX($D$16,(AC116)-(K31))))*(MAX($D$16,(AC116)-(K31))),0.000001))</f>
        <v>8797611517.4120255</v>
      </c>
      <c r="AH116">
        <f>((G31)*(MAX($D$16,(AE116)-(K31)))^2)/2+(I31)*(MAX($D$16,(AE116)-(K31)))^3/3+(ABS(F116)^2)/($I$5*MAX(((G31)+(I31)*(MAX($D$16,(AE116)-(K31))))*(MAX($D$16,(AE116)-(K31))),0.000001))</f>
        <v>49.055863329575246</v>
      </c>
      <c r="AI116">
        <f>((G32)*(MAX($D$16,(AD116)-(K32)))^2)/2+(I32)*(MAX($D$16,(AD116)-(K32)))^3/3+(ABS(G116)^2)/($I$5*MAX(((G32)+(I32)*(MAX($D$16,(AD116)-(K32))))*(MAX($D$16,(AD116)-(K32))),0.000001))</f>
        <v>2072376743.6648321</v>
      </c>
      <c r="AJ116">
        <f>((G32)*(MAX($D$16,(AF116)-(K32)))^2)/2+(I32)*(MAX($D$16,(AF116)-(K32)))^3/3+(ABS(G116)^2)/($I$5*MAX(((G32)+(I32)*(MAX($D$16,(AF116)-(K32))))*(MAX($D$16,(AF116)-(K32))),0.000001))</f>
        <v>13692714789.644581</v>
      </c>
      <c r="AK116" t="str">
        <f t="shared" si="37"/>
        <v>Subcritical</v>
      </c>
      <c r="AL116" t="str">
        <f t="shared" si="38"/>
        <v>Supercritical</v>
      </c>
      <c r="AM116">
        <f t="shared" si="39"/>
        <v>52432.141837662923</v>
      </c>
      <c r="AN116">
        <f t="shared" si="40"/>
        <v>52432.141837662712</v>
      </c>
      <c r="AO116">
        <f t="shared" si="41"/>
        <v>3.4197000786662102E-10</v>
      </c>
      <c r="AP116">
        <f t="shared" si="42"/>
        <v>3.4197000786662102E-10</v>
      </c>
    </row>
    <row r="117" spans="1:42" x14ac:dyDescent="0.35">
      <c r="A117">
        <v>74</v>
      </c>
      <c r="B117">
        <f t="shared" si="43"/>
        <v>0</v>
      </c>
      <c r="C117">
        <f t="shared" si="44"/>
        <v>0</v>
      </c>
      <c r="D117">
        <f t="shared" si="45"/>
        <v>52432.141837662923</v>
      </c>
      <c r="E117">
        <f t="shared" si="46"/>
        <v>52432.141837662712</v>
      </c>
      <c r="F117">
        <f t="shared" si="32"/>
        <v>51</v>
      </c>
      <c r="G117">
        <f>IF(N6="None",F117,MAX(0,F117*B117))</f>
        <v>51</v>
      </c>
      <c r="H117">
        <f>IF(N6="None",0,MAX(0,F117-G117))</f>
        <v>0</v>
      </c>
      <c r="I117">
        <f>IF(AND(N7="None",N8="None"),0,IF(N8="None",G117,IF(N7="None",0,MAX(0,G117*C117))))</f>
        <v>0</v>
      </c>
      <c r="J117">
        <f>IF(AND(N7="None",N8="None"),0,IF(N8="None",0,IF(N7="None",G117,MAX(0,G117-I117))))</f>
        <v>51</v>
      </c>
      <c r="K117">
        <f>P5</f>
        <v>637</v>
      </c>
      <c r="L117">
        <f>P6</f>
        <v>634.3119999999999</v>
      </c>
      <c r="M117">
        <f>P7</f>
        <v>635.5</v>
      </c>
      <c r="N117">
        <f>P8</f>
        <v>631.54999999999995</v>
      </c>
      <c r="O117">
        <f>K117+((ABS(F117)/MAX(((F31)+(H31)*(MAX($D$16,(K117)-(J31))))*(MAX($D$16,(K117)-(J31))),0.000001))^2)/(2*$I$5)-((E31)*((((ABS(F117)*$D$6)/(MAX(((F31)+(H31)*(MAX($D$16,(K117)-(J31))))*(MAX($D$16,(K117)-(J31))),0.000001)*MAX(((((F31)+(H31)*(MAX($D$16,(K117)-(J31))))*(MAX($D$16,(K117)-(J31))))/MAX((F31)+2*(MAX($D$16,(K117)-(J31)))*SQRT(1+(H31)^2),0.000001))^(2/3),0.000001)))^2)+(((ABS(F117)*$D$6)/(MAX(((G31)+(I31)*(MAX($D$16,(D117)-(K31))))*(MAX($D$16,(D117)-(K31))),0.000001)*MAX(((((G31)+(I31)*(MAX($D$16,(D117)-(K31))))*(MAX($D$16,(D117)-(K31))))/MAX((G31)+2*(MAX($D$16,(D117)-(K31)))*SQRT(1+(I31)^2),0.000001))^(2/3),0.000001)))^2))/2)+(IF((ABS(F117)/MAX(((G31)+(I31)*(MAX($D$16,(D117)-(K31))))*(MAX($D$16,(D117)-(K31))),0.000001))&gt;(ABS(F117)/MAX(((F31)+(H31)*(MAX($D$16,(K117)-(J31))))*(MAX($D$16,(K117)-(J31))),0.000001)),$D$9*((((ABS(F117)/MAX(((G31)+(I31)*(MAX($D$16,(D117)-(K31))))*(MAX($D$16,(D117)-(K31))),0.000001))^2)/(2*$I$5))-(((ABS(F117)/MAX(((F31)+(H31)*(MAX($D$16,(K117)-(J31))))*(MAX($D$16,(K117)-(J31))),0.000001))^2)/(2*$I$5))),$D$8*((((ABS(F117)/MAX(((F31)+(H31)*(MAX($D$16,(K117)-(J31))))*(MAX($D$16,(K117)-(J31))),0.000001))^2)/(2*$I$5))-(((ABS(F117)/MAX(((G31)+(I31)*(MAX($D$16,(D117)-(K31))))*(MAX($D$16,(D117)-(K31))),0.000001))^2)/(2*$I$5)))))+($D$10*(ABS((X31)-(W31))/90)*MAX(((ABS(F117)/MAX(((F31)+(H31)*(MAX($D$16,(K117)-(J31))))*(MAX($D$16,(K117)-(J31))),0.000001))^2)/(2*$I$5),((ABS(F117)/MAX(((G31)+(I31)*(MAX($D$16,(D117)-(K31))))*(MAX($D$16,(D117)-(K31))),0.000001))^2)/(2*$I$5)))+(0)-((ABS(F117)/MAX(((G31)+(I31)*(MAX($D$16,(D117)-(K31))))*(MAX($D$16,(D117)-(K31))),0.000001))^2)/(2*$I$5)</f>
        <v>637.65825101089831</v>
      </c>
      <c r="P117">
        <f>E117+((ABS(G117)/MAX(((G32)+(I32)*(MAX($D$16,(E117)-(K32))))*(MAX($D$16,(E117)-(K32))),0.000001))^2)/(2*$I$5)+((E32)*((((ABS(G117)*$D$6)/(MAX(((F32)+(H32)*(MAX($D$16,(D117)-(J32))))*(MAX($D$16,(D117)-(J32))),0.000001)*MAX(((((F32)+(H32)*(MAX($D$16,(D117)-(J32))))*(MAX($D$16,(D117)-(J32))))/MAX((F32)+2*(MAX($D$16,(D117)-(J32)))*SQRT(1+(H32)^2),0.000001))^(2/3),0.000001)))^2)+(((ABS(G117)*$D$6)/(MAX(((G32)+(I32)*(MAX($D$16,(E117)-(K32))))*(MAX($D$16,(E117)-(K32))),0.000001)*MAX(((((G32)+(I32)*(MAX($D$16,(E117)-(K32))))*(MAX($D$16,(E117)-(K32))))/MAX((G32)+2*(MAX($D$16,(E117)-(K32)))*SQRT(1+(I32)^2),0.000001))^(2/3),0.000001)))^2))/2)+(IF((ABS(G117)/MAX(((G32)+(I32)*(MAX($D$16,(E117)-(K32))))*(MAX($D$16,(E117)-(K32))),0.000001))&gt;(ABS(G117)/MAX(((F32)+(H32)*(MAX($D$16,(D117)-(J32))))*(MAX($D$16,(D117)-(J32))),0.000001)),$D$9*((((ABS(G117)/MAX(((G32)+(I32)*(MAX($D$16,(E117)-(K32))))*(MAX($D$16,(E117)-(K32))),0.000001))^2)/(2*$I$5))-(((ABS(G117)/MAX(((F32)+(H32)*(MAX($D$16,(D117)-(J32))))*(MAX($D$16,(D117)-(J32))),0.000001))^2)/(2*$I$5))),$D$8*((((ABS(G117)/MAX(((F32)+(H32)*(MAX($D$16,(D117)-(J32))))*(MAX($D$16,(D117)-(J32))),0.000001))^2)/(2*$I$5))-(((ABS(G117)/MAX(((G32)+(I32)*(MAX($D$16,(E117)-(K32))))*(MAX($D$16,(E117)-(K32))),0.000001))^2)/(2*$I$5)))))+($D$10*(ABS((X32)-(W32))/90)*MAX(((ABS(G117)/MAX(((F32)+(H32)*(MAX($D$16,(D117)-(J32))))*(MAX($D$16,(D117)-(J32))),0.000001))^2)/(2*$I$5),((ABS(G117)/MAX(((G32)+(I32)*(MAX($D$16,(E117)-(K32))))*(MAX($D$16,(E117)-(K32))),0.000001))^2)/(2*$I$5)))+(($D$11*0.13607488*(ABS(H117)/MAX(ABS(F117),0.000001))^2*MAX(((ABS(G117)/MAX(((F32)+(H32)*(MAX($D$16,(D117)-(J32))))*(MAX($D$16,(D117)-(J32))),0.000001))^2)/(2*$I$5),((ABS(G117)/MAX(((G32)+(I32)*(MAX($D$16,(E117)-(K32))))*(MAX($D$16,(E117)-(K32))),0.000001))^2)/(2*$I$5))))-((ABS(G117)/MAX(((F32)+(H32)*(MAX($D$16,(D117)-(J32))))*(MAX($D$16,(D117)-(J32))),0.000001))^2)/(2*$I$5)</f>
        <v>52432.141837663265</v>
      </c>
      <c r="Q117">
        <f>L117+((ABS(H117)/MAX(((G33)+(I33)*(MAX($D$16,(L117)-(K33))))*(MAX($D$16,(L117)-(K33))),0.000001))^2)/(2*$I$5)+((E33)*((((ABS(H117)*$D$6)/(MAX(((F33)+(H33)*(MAX($D$16,(D117)-(J33))))*(MAX($D$16,(D117)-(J33))),0.000001)*MAX(((((F33)+(H33)*(MAX($D$16,(D117)-(J33))))*(MAX($D$16,(D117)-(J33))))/MAX((F33)+2*(MAX($D$16,(D117)-(J33)))*SQRT(1+(H33)^2),0.000001))^(2/3),0.000001)))^2)+(((ABS(H117)*$D$6)/(MAX(((G33)+(I33)*(MAX($D$16,(L117)-(K33))))*(MAX($D$16,(L117)-(K33))),0.000001)*MAX(((((G33)+(I33)*(MAX($D$16,(L117)-(K33))))*(MAX($D$16,(L117)-(K33))))/MAX((G33)+2*(MAX($D$16,(L117)-(K33)))*SQRT(1+(I33)^2),0.000001))^(2/3),0.000001)))^2))/2)+(IF((ABS(H117)/MAX(((G33)+(I33)*(MAX($D$16,(L117)-(K33))))*(MAX($D$16,(L117)-(K33))),0.000001))&gt;(ABS(H117)/MAX(((F33)+(H33)*(MAX($D$16,(D117)-(J33))))*(MAX($D$16,(D117)-(J33))),0.000001)),$D$9*((((ABS(H117)/MAX(((G33)+(I33)*(MAX($D$16,(L117)-(K33))))*(MAX($D$16,(L117)-(K33))),0.000001))^2)/(2*$I$5))-(((ABS(H117)/MAX(((F33)+(H33)*(MAX($D$16,(D117)-(J33))))*(MAX($D$16,(D117)-(J33))),0.000001))^2)/(2*$I$5))),$D$8*((((ABS(H117)/MAX(((F33)+(H33)*(MAX($D$16,(D117)-(J33))))*(MAX($D$16,(D117)-(J33))),0.000001))^2)/(2*$I$5))-(((ABS(H117)/MAX(((G33)+(I33)*(MAX($D$16,(L117)-(K33))))*(MAX($D$16,(L117)-(K33))),0.000001))^2)/(2*$I$5)))))+($D$10*(ABS((X33)-(W33))/90)*MAX(((ABS(H117)/MAX(((F33)+(H33)*(MAX($D$16,(D117)-(J33))))*(MAX($D$16,(D117)-(J33))),0.000001))^2)/(2*$I$5),((ABS(H117)/MAX(((G33)+(I33)*(MAX($D$16,(L117)-(K33))))*(MAX($D$16,(L117)-(K33))),0.000001))^2)/(2*$I$5)))+(($D$11*0.00000015*(ABS(G117)/MAX(ABS(F117),0.000001))^2*MAX(((ABS(H117)/MAX(((F33)+(H33)*(MAX($D$16,(D117)-(J33))))*(MAX($D$16,(D117)-(J33))),0.000001))^2)/(2*$I$5),((ABS(H117)/MAX(((G33)+(I33)*(MAX($D$16,(L117)-(K33))))*(MAX($D$16,(L117)-(K33))),0.000001))^2)/(2*$I$5))))-((ABS(H117)/MAX(((F33)+(H33)*(MAX($D$16,(D117)-(J33))))*(MAX($D$16,(D117)-(J33))),0.000001))^2)/(2*$I$5)</f>
        <v>634.3119999999999</v>
      </c>
      <c r="R117">
        <f>D117+((ABS(G117)/MAX(((F32)+(H32)*(MAX($D$16,(D117)-(J32))))*(MAX($D$16,(D117)-(J32))),0.000001))^2)/(2*$I$5)-((E32)*((((ABS(G117)*$D$6)/(MAX(((F32)+(H32)*(MAX($D$16,(D117)-(J32))))*(MAX($D$16,(D117)-(J32))),0.000001)*MAX(((((F32)+(H32)*(MAX($D$16,(D117)-(J32))))*(MAX($D$16,(D117)-(J32))))/MAX((F32)+2*(MAX($D$16,(D117)-(J32)))*SQRT(1+(H32)^2),0.000001))^(2/3),0.000001)))^2)+(((ABS(G117)*$D$6)/(MAX(((G32)+(I32)*(MAX($D$16,(E117)-(K32))))*(MAX($D$16,(E117)-(K32))),0.000001)*MAX(((((G32)+(I32)*(MAX($D$16,(E117)-(K32))))*(MAX($D$16,(E117)-(K32))))/MAX((G32)+2*(MAX($D$16,(E117)-(K32)))*SQRT(1+(I32)^2),0.000001))^(2/3),0.000001)))^2))/2)+(IF((ABS(G117)/MAX(((G32)+(I32)*(MAX($D$16,(E117)-(K32))))*(MAX($D$16,(E117)-(K32))),0.000001))&gt;(ABS(G117)/MAX(((F32)+(H32)*(MAX($D$16,(D117)-(J32))))*(MAX($D$16,(D117)-(J32))),0.000001)),$D$9*((((ABS(G117)/MAX(((G32)+(I32)*(MAX($D$16,(E117)-(K32))))*(MAX($D$16,(E117)-(K32))),0.000001))^2)/(2*$I$5))-(((ABS(G117)/MAX(((F32)+(H32)*(MAX($D$16,(D117)-(J32))))*(MAX($D$16,(D117)-(J32))),0.000001))^2)/(2*$I$5))),$D$8*((((ABS(G117)/MAX(((F32)+(H32)*(MAX($D$16,(D117)-(J32))))*(MAX($D$16,(D117)-(J32))),0.000001))^2)/(2*$I$5))-(((ABS(G117)/MAX(((G32)+(I32)*(MAX($D$16,(E117)-(K32))))*(MAX($D$16,(E117)-(K32))),0.000001))^2)/(2*$I$5)))))+($D$10*(ABS((X32)-(W32))/90)*MAX(((ABS(G117)/MAX(((F32)+(H32)*(MAX($D$16,(D117)-(J32))))*(MAX($D$16,(D117)-(J32))),0.000001))^2)/(2*$I$5),((ABS(G117)/MAX(((G32)+(I32)*(MAX($D$16,(E117)-(K32))))*(MAX($D$16,(E117)-(K32))),0.000001))^2)/(2*$I$5)))+(($D$11*0.13607488*(ABS(H117)/MAX(ABS(F117),0.000001))^2*MAX(((ABS(G117)/MAX(((F32)+(H32)*(MAX($D$16,(D117)-(J32))))*(MAX($D$16,(D117)-(J32))),0.000001))^2)/(2*$I$5),((ABS(G117)/MAX(((G32)+(I32)*(MAX($D$16,(E117)-(K32))))*(MAX($D$16,(E117)-(K32))),0.000001))^2)/(2*$I$5))))-((ABS(G117)/MAX(((G32)+(I32)*(MAX($D$16,(E117)-(K32))))*(MAX($D$16,(E117)-(K32))),0.000001))^2)/(2*$I$5)</f>
        <v>52432.141837663054</v>
      </c>
      <c r="S117">
        <f>M117+((ABS(I117)/MAX(((G34)+(I34)*(MAX($D$16,(M117)-(K34))))*(MAX($D$16,(M117)-(K34))),0.000001))^2)/(2*$I$5)+((E34)*((((ABS(I117)*$D$6)/(MAX(((F34)+(H34)*(MAX($D$16,(E117)-(J34))))*(MAX($D$16,(E117)-(J34))),0.000001)*MAX(((((F34)+(H34)*(MAX($D$16,(E117)-(J34))))*(MAX($D$16,(E117)-(J34))))/MAX((F34)+2*(MAX($D$16,(E117)-(J34)))*SQRT(1+(H34)^2),0.000001))^(2/3),0.000001)))^2)+(((ABS(I117)*$D$6)/(MAX(((G34)+(I34)*(MAX($D$16,(M117)-(K34))))*(MAX($D$16,(M117)-(K34))),0.000001)*MAX(((((G34)+(I34)*(MAX($D$16,(M117)-(K34))))*(MAX($D$16,(M117)-(K34))))/MAX((G34)+2*(MAX($D$16,(M117)-(K34)))*SQRT(1+(I34)^2),0.000001))^(2/3),0.000001)))^2))/2)+(IF((ABS(I117)/MAX(((G34)+(I34)*(MAX($D$16,(M117)-(K34))))*(MAX($D$16,(M117)-(K34))),0.000001))&gt;(ABS(I117)/MAX(((F34)+(H34)*(MAX($D$16,(E117)-(J34))))*(MAX($D$16,(E117)-(J34))),0.000001)),$D$9*((((ABS(I117)/MAX(((G34)+(I34)*(MAX($D$16,(M117)-(K34))))*(MAX($D$16,(M117)-(K34))),0.000001))^2)/(2*$I$5))-(((ABS(I117)/MAX(((F34)+(H34)*(MAX($D$16,(E117)-(J34))))*(MAX($D$16,(E117)-(J34))),0.000001))^2)/(2*$I$5))),$D$8*((((ABS(I117)/MAX(((F34)+(H34)*(MAX($D$16,(E117)-(J34))))*(MAX($D$16,(E117)-(J34))),0.000001))^2)/(2*$I$5))-(((ABS(I117)/MAX(((G34)+(I34)*(MAX($D$16,(M117)-(K34))))*(MAX($D$16,(M117)-(K34))),0.000001))^2)/(2*$I$5)))))+($D$10*(ABS((X34)-(W34))/90)*MAX(((ABS(I117)/MAX(((F34)+(H34)*(MAX($D$16,(E117)-(J34))))*(MAX($D$16,(E117)-(J34))),0.000001))^2)/(2*$I$5),((ABS(I117)/MAX(((G34)+(I34)*(MAX($D$16,(M117)-(K34))))*(MAX($D$16,(M117)-(K34))),0.000001))^2)/(2*$I$5)))+(0)-((ABS(I117)/MAX(((F34)+(H34)*(MAX($D$16,(E117)-(J34))))*(MAX($D$16,(E117)-(J34))),0.000001))^2)/(2*$I$5)</f>
        <v>635.5</v>
      </c>
      <c r="T117">
        <f>N117+((ABS(J117)/MAX(((G35)+(I35)*(MAX($D$16,(N117)-(K35))))*(MAX($D$16,(N117)-(K35))),0.000001))^2)/(2*$I$5)+((E35)*((((ABS(J117)*$D$6)/(MAX(((F35)+(H35)*(MAX($D$16,(E117)-(J35))))*(MAX($D$16,(E117)-(J35))),0.000001)*MAX(((((F35)+(H35)*(MAX($D$16,(E117)-(J35))))*(MAX($D$16,(E117)-(J35))))/MAX((F35)+2*(MAX($D$16,(E117)-(J35)))*SQRT(1+(H35)^2),0.000001))^(2/3),0.000001)))^2)+(((ABS(J117)*$D$6)/(MAX(((G35)+(I35)*(MAX($D$16,(N117)-(K35))))*(MAX($D$16,(N117)-(K35))),0.000001)*MAX(((((G35)+(I35)*(MAX($D$16,(N117)-(K35))))*(MAX($D$16,(N117)-(K35))))/MAX((G35)+2*(MAX($D$16,(N117)-(K35)))*SQRT(1+(I35)^2),0.000001))^(2/3),0.000001)))^2))/2)+(IF((ABS(J117)/MAX(((G35)+(I35)*(MAX($D$16,(N117)-(K35))))*(MAX($D$16,(N117)-(K35))),0.000001))&gt;(ABS(J117)/MAX(((F35)+(H35)*(MAX($D$16,(E117)-(J35))))*(MAX($D$16,(E117)-(J35))),0.000001)),$D$9*((((ABS(J117)/MAX(((G35)+(I35)*(MAX($D$16,(N117)-(K35))))*(MAX($D$16,(N117)-(K35))),0.000001))^2)/(2*$I$5))-(((ABS(J117)/MAX(((F35)+(H35)*(MAX($D$16,(E117)-(J35))))*(MAX($D$16,(E117)-(J35))),0.000001))^2)/(2*$I$5))),$D$8*((((ABS(J117)/MAX(((F35)+(H35)*(MAX($D$16,(E117)-(J35))))*(MAX($D$16,(E117)-(J35))),0.000001))^2)/(2*$I$5))-(((ABS(J117)/MAX(((G35)+(I35)*(MAX($D$16,(N117)-(K35))))*(MAX($D$16,(N117)-(K35))),0.000001))^2)/(2*$I$5)))))+($D$10*(ABS((X35)-(W35))/90)*MAX(((ABS(J117)/MAX(((F35)+(H35)*(MAX($D$16,(E117)-(J35))))*(MAX($D$16,(E117)-(J35))),0.000001))^2)/(2*$I$5),((ABS(J117)/MAX(((G35)+(I35)*(MAX($D$16,(N117)-(K35))))*(MAX($D$16,(N117)-(K35))),0.000001))^2)/(2*$I$5)))+(($D$11*0.34699541*(ABS(I117)/MAX(ABS(G117),0.000001))^2*MAX(((ABS(J117)/MAX(((F35)+(H35)*(MAX($D$16,(E117)-(J35))))*(MAX($D$16,(E117)-(J35))),0.000001))^2)/(2*$I$5),((ABS(J117)/MAX(((G35)+(I35)*(MAX($D$16,(N117)-(K35))))*(MAX($D$16,(N117)-(K35))),0.000001))^2)/(2*$I$5))))-((ABS(J117)/MAX(((F35)+(H35)*(MAX($D$16,(E117)-(J35))))*(MAX($D$16,(E117)-(J35))),0.000001))^2)/(2*$I$5)</f>
        <v>20784.033523923383</v>
      </c>
      <c r="U117">
        <f>(((((F32)*(MAX($D$16,(D117)-(J32)))^2)/2+(H32)*(MAX($D$16,(D117)-(J32)))^3/3+(ABS(G117)^2)/($I$5*MAX(((F32)+(H32)*(MAX($D$16,(D117)-(J32))))*(MAX($D$16,(D117)-(J32))),0.000001)))*0.72785025)-((((F33)*(MAX($D$16,(D117)-(J33)))^2)/2+(H33)*(MAX($D$16,(D117)-(J33)))^3/3+(ABS(H117)^2)/($I$5*MAX(((F33)+(H33)*(MAX($D$16,(D117)-(J33))))*(MAX($D$16,(D117)-(J33))),0.000001)))*0.99999971))/MAX(((G31)*(MAX($D$16,(D117)-(K31)))^2)/2+(I31)*(MAX($D$16,(D117)-(K31)))^3/3+(ABS(F117)^2)/($I$5*MAX(((G31)+(I31)*(MAX($D$16,(D117)-(K31))))*(MAX($D$16,(D117)-(K31))),0.000001)),0.000001)</f>
        <v>-0.27214945999991125</v>
      </c>
      <c r="V117">
        <f>(((((F34)*(MAX($D$16,(E117)-(J34)))^2)/2+(H34)*(MAX($D$16,(E117)-(J34)))^3/3+(ABS(I117)^2)/($I$5*MAX(((F34)+(H34)*(MAX($D$16,(E117)-(J34))))*(MAX($D$16,(E117)-(J34))),0.000001)))*1)-((((F35)*(MAX($D$16,(E117)-(J35)))^2)/2+(H35)*(MAX($D$16,(E117)-(J35)))^3/3+(ABS(J117)^2)/($I$5*MAX(((F35)+(H35)*(MAX($D$16,(E117)-(J35))))*(MAX($D$16,(E117)-(J35))),0.000001)))*0.30600918))/MAX(((G32)*(MAX($D$16,(E117)-(K32)))^2)/2+(I32)*(MAX($D$16,(E117)-(K32)))^3/3+(ABS(G117)^2)/($I$5*MAX(((G32)+(I32)*(MAX($D$16,(E117)-(K32))))*(MAX($D$16,(E117)-(K32))),0.000001)),0.000001)</f>
        <v>0.69398638937190382</v>
      </c>
      <c r="W117">
        <f>IF(N6="None",ABS(P117-D117),MAX(ABS(P117-D117),ABS(Q117-D117)))</f>
        <v>3.4197000786662102E-10</v>
      </c>
      <c r="X117">
        <f>IF(AND(N7="None",N8="None"),0,IF(N8="None",ABS(S117-E117),IF(N7="None",ABS(T117-E117),MAX(ABS(S117-E117),ABS(T117-E117)))))</f>
        <v>51796.641837662712</v>
      </c>
      <c r="AA117">
        <f t="shared" si="33"/>
        <v>52432.141837663039</v>
      </c>
      <c r="AB117">
        <f t="shared" si="34"/>
        <v>41355.303927853951</v>
      </c>
      <c r="AC117">
        <f>IF(N6="None",P117,MAX(P117,Q117))</f>
        <v>52432.141837663265</v>
      </c>
      <c r="AD117">
        <f>IF(AND(N7="None",N8="None"),E117,IF(N8="None",S117,IF(N7="None",T117,MAX(S117,T117))))</f>
        <v>20784.033523923383</v>
      </c>
      <c r="AE117">
        <f t="shared" si="35"/>
        <v>637.65825101089831</v>
      </c>
      <c r="AF117">
        <f t="shared" si="36"/>
        <v>52432.141837663054</v>
      </c>
      <c r="AG117">
        <f>((G31)*(MAX($D$16,(AC117)-(K31)))^2)/2+(I31)*(MAX($D$16,(AC117)-(K31)))^3/3+(ABS(F117)^2)/($I$5*MAX(((G31)+(I31)*(MAX($D$16,(AC117)-(K31))))*(MAX($D$16,(AC117)-(K31))),0.000001))</f>
        <v>8797611517.4120636</v>
      </c>
      <c r="AH117">
        <f>((G31)*(MAX($D$16,(AE117)-(K31)))^2)/2+(I31)*(MAX($D$16,(AE117)-(K31)))^3/3+(ABS(F117)^2)/($I$5*MAX(((G31)+(I31)*(MAX($D$16,(AE117)-(K31))))*(MAX($D$16,(AE117)-(K31))),0.000001))</f>
        <v>49.055863329575246</v>
      </c>
      <c r="AI117">
        <f>((G32)*(MAX($D$16,(AD117)-(K32)))^2)/2+(I32)*(MAX($D$16,(AD117)-(K32)))^3/3+(ABS(G117)^2)/($I$5*MAX(((G32)+(I32)*(MAX($D$16,(AD117)-(K32))))*(MAX($D$16,(AD117)-(K32))),0.000001))</f>
        <v>2072376743.6648321</v>
      </c>
      <c r="AJ117">
        <f>((G32)*(MAX($D$16,(AF117)-(K32)))^2)/2+(I32)*(MAX($D$16,(AF117)-(K32)))^3/3+(ABS(G117)^2)/($I$5*MAX(((G32)+(I32)*(MAX($D$16,(AF117)-(K32))))*(MAX($D$16,(AF117)-(K32))),0.000001))</f>
        <v>13692714789.644642</v>
      </c>
      <c r="AK117" t="str">
        <f t="shared" si="37"/>
        <v>Subcritical</v>
      </c>
      <c r="AL117" t="str">
        <f t="shared" si="38"/>
        <v>Supercritical</v>
      </c>
      <c r="AM117">
        <f t="shared" si="39"/>
        <v>52432.141837663039</v>
      </c>
      <c r="AN117">
        <f t="shared" si="40"/>
        <v>52432.141837662828</v>
      </c>
      <c r="AO117">
        <f t="shared" si="41"/>
        <v>3.4197000786662102E-10</v>
      </c>
      <c r="AP117">
        <f t="shared" si="42"/>
        <v>3.4197000786662102E-10</v>
      </c>
    </row>
    <row r="118" spans="1:42" x14ac:dyDescent="0.35">
      <c r="A118">
        <v>75</v>
      </c>
      <c r="B118">
        <f t="shared" si="43"/>
        <v>0</v>
      </c>
      <c r="C118">
        <f t="shared" si="44"/>
        <v>0</v>
      </c>
      <c r="D118">
        <f t="shared" si="45"/>
        <v>52432.141837663039</v>
      </c>
      <c r="E118">
        <f t="shared" si="46"/>
        <v>52432.141837662828</v>
      </c>
      <c r="F118">
        <f t="shared" si="32"/>
        <v>51</v>
      </c>
      <c r="G118">
        <f>IF(N6="None",F118,MAX(0,F118*B118))</f>
        <v>51</v>
      </c>
      <c r="H118">
        <f>IF(N6="None",0,MAX(0,F118-G118))</f>
        <v>0</v>
      </c>
      <c r="I118">
        <f>IF(AND(N7="None",N8="None"),0,IF(N8="None",G118,IF(N7="None",0,MAX(0,G118*C118))))</f>
        <v>0</v>
      </c>
      <c r="J118">
        <f>IF(AND(N7="None",N8="None"),0,IF(N8="None",0,IF(N7="None",G118,MAX(0,G118-I118))))</f>
        <v>51</v>
      </c>
      <c r="K118">
        <f>P5</f>
        <v>637</v>
      </c>
      <c r="L118">
        <f>P6</f>
        <v>634.3119999999999</v>
      </c>
      <c r="M118">
        <f>P7</f>
        <v>635.5</v>
      </c>
      <c r="N118">
        <f>P8</f>
        <v>631.54999999999995</v>
      </c>
      <c r="O118">
        <f>K118+((ABS(F118)/MAX(((F31)+(H31)*(MAX($D$16,(K118)-(J31))))*(MAX($D$16,(K118)-(J31))),0.000001))^2)/(2*$I$5)-((E31)*((((ABS(F118)*$D$6)/(MAX(((F31)+(H31)*(MAX($D$16,(K118)-(J31))))*(MAX($D$16,(K118)-(J31))),0.000001)*MAX(((((F31)+(H31)*(MAX($D$16,(K118)-(J31))))*(MAX($D$16,(K118)-(J31))))/MAX((F31)+2*(MAX($D$16,(K118)-(J31)))*SQRT(1+(H31)^2),0.000001))^(2/3),0.000001)))^2)+(((ABS(F118)*$D$6)/(MAX(((G31)+(I31)*(MAX($D$16,(D118)-(K31))))*(MAX($D$16,(D118)-(K31))),0.000001)*MAX(((((G31)+(I31)*(MAX($D$16,(D118)-(K31))))*(MAX($D$16,(D118)-(K31))))/MAX((G31)+2*(MAX($D$16,(D118)-(K31)))*SQRT(1+(I31)^2),0.000001))^(2/3),0.000001)))^2))/2)+(IF((ABS(F118)/MAX(((G31)+(I31)*(MAX($D$16,(D118)-(K31))))*(MAX($D$16,(D118)-(K31))),0.000001))&gt;(ABS(F118)/MAX(((F31)+(H31)*(MAX($D$16,(K118)-(J31))))*(MAX($D$16,(K118)-(J31))),0.000001)),$D$9*((((ABS(F118)/MAX(((G31)+(I31)*(MAX($D$16,(D118)-(K31))))*(MAX($D$16,(D118)-(K31))),0.000001))^2)/(2*$I$5))-(((ABS(F118)/MAX(((F31)+(H31)*(MAX($D$16,(K118)-(J31))))*(MAX($D$16,(K118)-(J31))),0.000001))^2)/(2*$I$5))),$D$8*((((ABS(F118)/MAX(((F31)+(H31)*(MAX($D$16,(K118)-(J31))))*(MAX($D$16,(K118)-(J31))),0.000001))^2)/(2*$I$5))-(((ABS(F118)/MAX(((G31)+(I31)*(MAX($D$16,(D118)-(K31))))*(MAX($D$16,(D118)-(K31))),0.000001))^2)/(2*$I$5)))))+($D$10*(ABS((X31)-(W31))/90)*MAX(((ABS(F118)/MAX(((F31)+(H31)*(MAX($D$16,(K118)-(J31))))*(MAX($D$16,(K118)-(J31))),0.000001))^2)/(2*$I$5),((ABS(F118)/MAX(((G31)+(I31)*(MAX($D$16,(D118)-(K31))))*(MAX($D$16,(D118)-(K31))),0.000001))^2)/(2*$I$5)))+(0)-((ABS(F118)/MAX(((G31)+(I31)*(MAX($D$16,(D118)-(K31))))*(MAX($D$16,(D118)-(K31))),0.000001))^2)/(2*$I$5)</f>
        <v>637.65825101089831</v>
      </c>
      <c r="P118">
        <f>E118+((ABS(G118)/MAX(((G32)+(I32)*(MAX($D$16,(E118)-(K32))))*(MAX($D$16,(E118)-(K32))),0.000001))^2)/(2*$I$5)+((E32)*((((ABS(G118)*$D$6)/(MAX(((F32)+(H32)*(MAX($D$16,(D118)-(J32))))*(MAX($D$16,(D118)-(J32))),0.000001)*MAX(((((F32)+(H32)*(MAX($D$16,(D118)-(J32))))*(MAX($D$16,(D118)-(J32))))/MAX((F32)+2*(MAX($D$16,(D118)-(J32)))*SQRT(1+(H32)^2),0.000001))^(2/3),0.000001)))^2)+(((ABS(G118)*$D$6)/(MAX(((G32)+(I32)*(MAX($D$16,(E118)-(K32))))*(MAX($D$16,(E118)-(K32))),0.000001)*MAX(((((G32)+(I32)*(MAX($D$16,(E118)-(K32))))*(MAX($D$16,(E118)-(K32))))/MAX((G32)+2*(MAX($D$16,(E118)-(K32)))*SQRT(1+(I32)^2),0.000001))^(2/3),0.000001)))^2))/2)+(IF((ABS(G118)/MAX(((G32)+(I32)*(MAX($D$16,(E118)-(K32))))*(MAX($D$16,(E118)-(K32))),0.000001))&gt;(ABS(G118)/MAX(((F32)+(H32)*(MAX($D$16,(D118)-(J32))))*(MAX($D$16,(D118)-(J32))),0.000001)),$D$9*((((ABS(G118)/MAX(((G32)+(I32)*(MAX($D$16,(E118)-(K32))))*(MAX($D$16,(E118)-(K32))),0.000001))^2)/(2*$I$5))-(((ABS(G118)/MAX(((F32)+(H32)*(MAX($D$16,(D118)-(J32))))*(MAX($D$16,(D118)-(J32))),0.000001))^2)/(2*$I$5))),$D$8*((((ABS(G118)/MAX(((F32)+(H32)*(MAX($D$16,(D118)-(J32))))*(MAX($D$16,(D118)-(J32))),0.000001))^2)/(2*$I$5))-(((ABS(G118)/MAX(((G32)+(I32)*(MAX($D$16,(E118)-(K32))))*(MAX($D$16,(E118)-(K32))),0.000001))^2)/(2*$I$5)))))+($D$10*(ABS((X32)-(W32))/90)*MAX(((ABS(G118)/MAX(((F32)+(H32)*(MAX($D$16,(D118)-(J32))))*(MAX($D$16,(D118)-(J32))),0.000001))^2)/(2*$I$5),((ABS(G118)/MAX(((G32)+(I32)*(MAX($D$16,(E118)-(K32))))*(MAX($D$16,(E118)-(K32))),0.000001))^2)/(2*$I$5)))+(($D$11*0.13607488*(ABS(H118)/MAX(ABS(F118),0.000001))^2*MAX(((ABS(G118)/MAX(((F32)+(H32)*(MAX($D$16,(D118)-(J32))))*(MAX($D$16,(D118)-(J32))),0.000001))^2)/(2*$I$5),((ABS(G118)/MAX(((G32)+(I32)*(MAX($D$16,(E118)-(K32))))*(MAX($D$16,(E118)-(K32))),0.000001))^2)/(2*$I$5))))-((ABS(G118)/MAX(((F32)+(H32)*(MAX($D$16,(D118)-(J32))))*(MAX($D$16,(D118)-(J32))),0.000001))^2)/(2*$I$5)</f>
        <v>52432.141837663381</v>
      </c>
      <c r="Q118">
        <f>L118+((ABS(H118)/MAX(((G33)+(I33)*(MAX($D$16,(L118)-(K33))))*(MAX($D$16,(L118)-(K33))),0.000001))^2)/(2*$I$5)+((E33)*((((ABS(H118)*$D$6)/(MAX(((F33)+(H33)*(MAX($D$16,(D118)-(J33))))*(MAX($D$16,(D118)-(J33))),0.000001)*MAX(((((F33)+(H33)*(MAX($D$16,(D118)-(J33))))*(MAX($D$16,(D118)-(J33))))/MAX((F33)+2*(MAX($D$16,(D118)-(J33)))*SQRT(1+(H33)^2),0.000001))^(2/3),0.000001)))^2)+(((ABS(H118)*$D$6)/(MAX(((G33)+(I33)*(MAX($D$16,(L118)-(K33))))*(MAX($D$16,(L118)-(K33))),0.000001)*MAX(((((G33)+(I33)*(MAX($D$16,(L118)-(K33))))*(MAX($D$16,(L118)-(K33))))/MAX((G33)+2*(MAX($D$16,(L118)-(K33)))*SQRT(1+(I33)^2),0.000001))^(2/3),0.000001)))^2))/2)+(IF((ABS(H118)/MAX(((G33)+(I33)*(MAX($D$16,(L118)-(K33))))*(MAX($D$16,(L118)-(K33))),0.000001))&gt;(ABS(H118)/MAX(((F33)+(H33)*(MAX($D$16,(D118)-(J33))))*(MAX($D$16,(D118)-(J33))),0.000001)),$D$9*((((ABS(H118)/MAX(((G33)+(I33)*(MAX($D$16,(L118)-(K33))))*(MAX($D$16,(L118)-(K33))),0.000001))^2)/(2*$I$5))-(((ABS(H118)/MAX(((F33)+(H33)*(MAX($D$16,(D118)-(J33))))*(MAX($D$16,(D118)-(J33))),0.000001))^2)/(2*$I$5))),$D$8*((((ABS(H118)/MAX(((F33)+(H33)*(MAX($D$16,(D118)-(J33))))*(MAX($D$16,(D118)-(J33))),0.000001))^2)/(2*$I$5))-(((ABS(H118)/MAX(((G33)+(I33)*(MAX($D$16,(L118)-(K33))))*(MAX($D$16,(L118)-(K33))),0.000001))^2)/(2*$I$5)))))+($D$10*(ABS((X33)-(W33))/90)*MAX(((ABS(H118)/MAX(((F33)+(H33)*(MAX($D$16,(D118)-(J33))))*(MAX($D$16,(D118)-(J33))),0.000001))^2)/(2*$I$5),((ABS(H118)/MAX(((G33)+(I33)*(MAX($D$16,(L118)-(K33))))*(MAX($D$16,(L118)-(K33))),0.000001))^2)/(2*$I$5)))+(($D$11*0.00000015*(ABS(G118)/MAX(ABS(F118),0.000001))^2*MAX(((ABS(H118)/MAX(((F33)+(H33)*(MAX($D$16,(D118)-(J33))))*(MAX($D$16,(D118)-(J33))),0.000001))^2)/(2*$I$5),((ABS(H118)/MAX(((G33)+(I33)*(MAX($D$16,(L118)-(K33))))*(MAX($D$16,(L118)-(K33))),0.000001))^2)/(2*$I$5))))-((ABS(H118)/MAX(((F33)+(H33)*(MAX($D$16,(D118)-(J33))))*(MAX($D$16,(D118)-(J33))),0.000001))^2)/(2*$I$5)</f>
        <v>634.3119999999999</v>
      </c>
      <c r="R118">
        <f>D118+((ABS(G118)/MAX(((F32)+(H32)*(MAX($D$16,(D118)-(J32))))*(MAX($D$16,(D118)-(J32))),0.000001))^2)/(2*$I$5)-((E32)*((((ABS(G118)*$D$6)/(MAX(((F32)+(H32)*(MAX($D$16,(D118)-(J32))))*(MAX($D$16,(D118)-(J32))),0.000001)*MAX(((((F32)+(H32)*(MAX($D$16,(D118)-(J32))))*(MAX($D$16,(D118)-(J32))))/MAX((F32)+2*(MAX($D$16,(D118)-(J32)))*SQRT(1+(H32)^2),0.000001))^(2/3),0.000001)))^2)+(((ABS(G118)*$D$6)/(MAX(((G32)+(I32)*(MAX($D$16,(E118)-(K32))))*(MAX($D$16,(E118)-(K32))),0.000001)*MAX(((((G32)+(I32)*(MAX($D$16,(E118)-(K32))))*(MAX($D$16,(E118)-(K32))))/MAX((G32)+2*(MAX($D$16,(E118)-(K32)))*SQRT(1+(I32)^2),0.000001))^(2/3),0.000001)))^2))/2)+(IF((ABS(G118)/MAX(((G32)+(I32)*(MAX($D$16,(E118)-(K32))))*(MAX($D$16,(E118)-(K32))),0.000001))&gt;(ABS(G118)/MAX(((F32)+(H32)*(MAX($D$16,(D118)-(J32))))*(MAX($D$16,(D118)-(J32))),0.000001)),$D$9*((((ABS(G118)/MAX(((G32)+(I32)*(MAX($D$16,(E118)-(K32))))*(MAX($D$16,(E118)-(K32))),0.000001))^2)/(2*$I$5))-(((ABS(G118)/MAX(((F32)+(H32)*(MAX($D$16,(D118)-(J32))))*(MAX($D$16,(D118)-(J32))),0.000001))^2)/(2*$I$5))),$D$8*((((ABS(G118)/MAX(((F32)+(H32)*(MAX($D$16,(D118)-(J32))))*(MAX($D$16,(D118)-(J32))),0.000001))^2)/(2*$I$5))-(((ABS(G118)/MAX(((G32)+(I32)*(MAX($D$16,(E118)-(K32))))*(MAX($D$16,(E118)-(K32))),0.000001))^2)/(2*$I$5)))))+($D$10*(ABS((X32)-(W32))/90)*MAX(((ABS(G118)/MAX(((F32)+(H32)*(MAX($D$16,(D118)-(J32))))*(MAX($D$16,(D118)-(J32))),0.000001))^2)/(2*$I$5),((ABS(G118)/MAX(((G32)+(I32)*(MAX($D$16,(E118)-(K32))))*(MAX($D$16,(E118)-(K32))),0.000001))^2)/(2*$I$5)))+(($D$11*0.13607488*(ABS(H118)/MAX(ABS(F118),0.000001))^2*MAX(((ABS(G118)/MAX(((F32)+(H32)*(MAX($D$16,(D118)-(J32))))*(MAX($D$16,(D118)-(J32))),0.000001))^2)/(2*$I$5),((ABS(G118)/MAX(((G32)+(I32)*(MAX($D$16,(E118)-(K32))))*(MAX($D$16,(E118)-(K32))),0.000001))^2)/(2*$I$5))))-((ABS(G118)/MAX(((G32)+(I32)*(MAX($D$16,(E118)-(K32))))*(MAX($D$16,(E118)-(K32))),0.000001))^2)/(2*$I$5)</f>
        <v>52432.14183766317</v>
      </c>
      <c r="S118">
        <f>M118+((ABS(I118)/MAX(((G34)+(I34)*(MAX($D$16,(M118)-(K34))))*(MAX($D$16,(M118)-(K34))),0.000001))^2)/(2*$I$5)+((E34)*((((ABS(I118)*$D$6)/(MAX(((F34)+(H34)*(MAX($D$16,(E118)-(J34))))*(MAX($D$16,(E118)-(J34))),0.000001)*MAX(((((F34)+(H34)*(MAX($D$16,(E118)-(J34))))*(MAX($D$16,(E118)-(J34))))/MAX((F34)+2*(MAX($D$16,(E118)-(J34)))*SQRT(1+(H34)^2),0.000001))^(2/3),0.000001)))^2)+(((ABS(I118)*$D$6)/(MAX(((G34)+(I34)*(MAX($D$16,(M118)-(K34))))*(MAX($D$16,(M118)-(K34))),0.000001)*MAX(((((G34)+(I34)*(MAX($D$16,(M118)-(K34))))*(MAX($D$16,(M118)-(K34))))/MAX((G34)+2*(MAX($D$16,(M118)-(K34)))*SQRT(1+(I34)^2),0.000001))^(2/3),0.000001)))^2))/2)+(IF((ABS(I118)/MAX(((G34)+(I34)*(MAX($D$16,(M118)-(K34))))*(MAX($D$16,(M118)-(K34))),0.000001))&gt;(ABS(I118)/MAX(((F34)+(H34)*(MAX($D$16,(E118)-(J34))))*(MAX($D$16,(E118)-(J34))),0.000001)),$D$9*((((ABS(I118)/MAX(((G34)+(I34)*(MAX($D$16,(M118)-(K34))))*(MAX($D$16,(M118)-(K34))),0.000001))^2)/(2*$I$5))-(((ABS(I118)/MAX(((F34)+(H34)*(MAX($D$16,(E118)-(J34))))*(MAX($D$16,(E118)-(J34))),0.000001))^2)/(2*$I$5))),$D$8*((((ABS(I118)/MAX(((F34)+(H34)*(MAX($D$16,(E118)-(J34))))*(MAX($D$16,(E118)-(J34))),0.000001))^2)/(2*$I$5))-(((ABS(I118)/MAX(((G34)+(I34)*(MAX($D$16,(M118)-(K34))))*(MAX($D$16,(M118)-(K34))),0.000001))^2)/(2*$I$5)))))+($D$10*(ABS((X34)-(W34))/90)*MAX(((ABS(I118)/MAX(((F34)+(H34)*(MAX($D$16,(E118)-(J34))))*(MAX($D$16,(E118)-(J34))),0.000001))^2)/(2*$I$5),((ABS(I118)/MAX(((G34)+(I34)*(MAX($D$16,(M118)-(K34))))*(MAX($D$16,(M118)-(K34))),0.000001))^2)/(2*$I$5)))+(0)-((ABS(I118)/MAX(((F34)+(H34)*(MAX($D$16,(E118)-(J34))))*(MAX($D$16,(E118)-(J34))),0.000001))^2)/(2*$I$5)</f>
        <v>635.5</v>
      </c>
      <c r="T118">
        <f>N118+((ABS(J118)/MAX(((G35)+(I35)*(MAX($D$16,(N118)-(K35))))*(MAX($D$16,(N118)-(K35))),0.000001))^2)/(2*$I$5)+((E35)*((((ABS(J118)*$D$6)/(MAX(((F35)+(H35)*(MAX($D$16,(E118)-(J35))))*(MAX($D$16,(E118)-(J35))),0.000001)*MAX(((((F35)+(H35)*(MAX($D$16,(E118)-(J35))))*(MAX($D$16,(E118)-(J35))))/MAX((F35)+2*(MAX($D$16,(E118)-(J35)))*SQRT(1+(H35)^2),0.000001))^(2/3),0.000001)))^2)+(((ABS(J118)*$D$6)/(MAX(((G35)+(I35)*(MAX($D$16,(N118)-(K35))))*(MAX($D$16,(N118)-(K35))),0.000001)*MAX(((((G35)+(I35)*(MAX($D$16,(N118)-(K35))))*(MAX($D$16,(N118)-(K35))))/MAX((G35)+2*(MAX($D$16,(N118)-(K35)))*SQRT(1+(I35)^2),0.000001))^(2/3),0.000001)))^2))/2)+(IF((ABS(J118)/MAX(((G35)+(I35)*(MAX($D$16,(N118)-(K35))))*(MAX($D$16,(N118)-(K35))),0.000001))&gt;(ABS(J118)/MAX(((F35)+(H35)*(MAX($D$16,(E118)-(J35))))*(MAX($D$16,(E118)-(J35))),0.000001)),$D$9*((((ABS(J118)/MAX(((G35)+(I35)*(MAX($D$16,(N118)-(K35))))*(MAX($D$16,(N118)-(K35))),0.000001))^2)/(2*$I$5))-(((ABS(J118)/MAX(((F35)+(H35)*(MAX($D$16,(E118)-(J35))))*(MAX($D$16,(E118)-(J35))),0.000001))^2)/(2*$I$5))),$D$8*((((ABS(J118)/MAX(((F35)+(H35)*(MAX($D$16,(E118)-(J35))))*(MAX($D$16,(E118)-(J35))),0.000001))^2)/(2*$I$5))-(((ABS(J118)/MAX(((G35)+(I35)*(MAX($D$16,(N118)-(K35))))*(MAX($D$16,(N118)-(K35))),0.000001))^2)/(2*$I$5)))))+($D$10*(ABS((X35)-(W35))/90)*MAX(((ABS(J118)/MAX(((F35)+(H35)*(MAX($D$16,(E118)-(J35))))*(MAX($D$16,(E118)-(J35))),0.000001))^2)/(2*$I$5),((ABS(J118)/MAX(((G35)+(I35)*(MAX($D$16,(N118)-(K35))))*(MAX($D$16,(N118)-(K35))),0.000001))^2)/(2*$I$5)))+(($D$11*0.34699541*(ABS(I118)/MAX(ABS(G118),0.000001))^2*MAX(((ABS(J118)/MAX(((F35)+(H35)*(MAX($D$16,(E118)-(J35))))*(MAX($D$16,(E118)-(J35))),0.000001))^2)/(2*$I$5),((ABS(J118)/MAX(((G35)+(I35)*(MAX($D$16,(N118)-(K35))))*(MAX($D$16,(N118)-(K35))),0.000001))^2)/(2*$I$5))))-((ABS(J118)/MAX(((F35)+(H35)*(MAX($D$16,(E118)-(J35))))*(MAX($D$16,(E118)-(J35))),0.000001))^2)/(2*$I$5)</f>
        <v>20784.033523923383</v>
      </c>
      <c r="U118">
        <f>(((((F32)*(MAX($D$16,(D118)-(J32)))^2)/2+(H32)*(MAX($D$16,(D118)-(J32)))^3/3+(ABS(G118)^2)/($I$5*MAX(((F32)+(H32)*(MAX($D$16,(D118)-(J32))))*(MAX($D$16,(D118)-(J32))),0.000001)))*0.72785025)-((((F33)*(MAX($D$16,(D118)-(J33)))^2)/2+(H33)*(MAX($D$16,(D118)-(J33)))^3/3+(ABS(H118)^2)/($I$5*MAX(((F33)+(H33)*(MAX($D$16,(D118)-(J33))))*(MAX($D$16,(D118)-(J33))),0.000001)))*0.99999971))/MAX(((G31)*(MAX($D$16,(D118)-(K31)))^2)/2+(I31)*(MAX($D$16,(D118)-(K31)))^3/3+(ABS(F118)^2)/($I$5*MAX(((G31)+(I31)*(MAX($D$16,(D118)-(K31))))*(MAX($D$16,(D118)-(K31))),0.000001)),0.000001)</f>
        <v>-0.27214945999991125</v>
      </c>
      <c r="V118">
        <f>(((((F34)*(MAX($D$16,(E118)-(J34)))^2)/2+(H34)*(MAX($D$16,(E118)-(J34)))^3/3+(ABS(I118)^2)/($I$5*MAX(((F34)+(H34)*(MAX($D$16,(E118)-(J34))))*(MAX($D$16,(E118)-(J34))),0.000001)))*1)-((((F35)*(MAX($D$16,(E118)-(J35)))^2)/2+(H35)*(MAX($D$16,(E118)-(J35)))^3/3+(ABS(J118)^2)/($I$5*MAX(((F35)+(H35)*(MAX($D$16,(E118)-(J35))))*(MAX($D$16,(E118)-(J35))),0.000001)))*0.30600918))/MAX(((G32)*(MAX($D$16,(E118)-(K32)))^2)/2+(I32)*(MAX($D$16,(E118)-(K32)))^3/3+(ABS(G118)^2)/($I$5*MAX(((G32)+(I32)*(MAX($D$16,(E118)-(K32))))*(MAX($D$16,(E118)-(K32))),0.000001)),0.000001)</f>
        <v>0.69398638937190382</v>
      </c>
      <c r="W118">
        <f>IF(N6="None",ABS(P118-D118),MAX(ABS(P118-D118),ABS(Q118-D118)))</f>
        <v>3.4197000786662102E-10</v>
      </c>
      <c r="X118">
        <f>IF(AND(N7="None",N8="None"),0,IF(N8="None",ABS(S118-E118),IF(N7="None",ABS(T118-E118),MAX(ABS(S118-E118),ABS(T118-E118)))))</f>
        <v>51796.641837662828</v>
      </c>
      <c r="AA118">
        <f t="shared" si="33"/>
        <v>52432.141837663155</v>
      </c>
      <c r="AB118">
        <f t="shared" si="34"/>
        <v>41355.303927854024</v>
      </c>
      <c r="AC118">
        <f>IF(N6="None",P118,MAX(P118,Q118))</f>
        <v>52432.141837663381</v>
      </c>
      <c r="AD118">
        <f>IF(AND(N7="None",N8="None"),E118,IF(N8="None",S118,IF(N7="None",T118,MAX(S118,T118))))</f>
        <v>20784.033523923383</v>
      </c>
      <c r="AE118">
        <f t="shared" si="35"/>
        <v>637.65825101089831</v>
      </c>
      <c r="AF118">
        <f t="shared" si="36"/>
        <v>52432.14183766317</v>
      </c>
      <c r="AG118">
        <f>((G31)*(MAX($D$16,(AC118)-(K31)))^2)/2+(I31)*(MAX($D$16,(AC118)-(K31)))^3/3+(ABS(F118)^2)/($I$5*MAX(((G31)+(I31)*(MAX($D$16,(AC118)-(K31))))*(MAX($D$16,(AC118)-(K31))),0.000001))</f>
        <v>8797611517.4121037</v>
      </c>
      <c r="AH118">
        <f>((G31)*(MAX($D$16,(AE118)-(K31)))^2)/2+(I31)*(MAX($D$16,(AE118)-(K31)))^3/3+(ABS(F118)^2)/($I$5*MAX(((G31)+(I31)*(MAX($D$16,(AE118)-(K31))))*(MAX($D$16,(AE118)-(K31))),0.000001))</f>
        <v>49.055863329575246</v>
      </c>
      <c r="AI118">
        <f>((G32)*(MAX($D$16,(AD118)-(K32)))^2)/2+(I32)*(MAX($D$16,(AD118)-(K32)))^3/3+(ABS(G118)^2)/($I$5*MAX(((G32)+(I32)*(MAX($D$16,(AD118)-(K32))))*(MAX($D$16,(AD118)-(K32))),0.000001))</f>
        <v>2072376743.6648321</v>
      </c>
      <c r="AJ118">
        <f>((G32)*(MAX($D$16,(AF118)-(K32)))^2)/2+(I32)*(MAX($D$16,(AF118)-(K32)))^3/3+(ABS(G118)^2)/($I$5*MAX(((G32)+(I32)*(MAX($D$16,(AF118)-(K32))))*(MAX($D$16,(AF118)-(K32))),0.000001))</f>
        <v>13692714789.644705</v>
      </c>
      <c r="AK118" t="str">
        <f t="shared" si="37"/>
        <v>Subcritical</v>
      </c>
      <c r="AL118" t="str">
        <f t="shared" si="38"/>
        <v>Supercritical</v>
      </c>
      <c r="AM118">
        <f t="shared" si="39"/>
        <v>52432.141837663155</v>
      </c>
      <c r="AN118">
        <f t="shared" si="40"/>
        <v>52432.141837662944</v>
      </c>
      <c r="AO118">
        <f t="shared" si="41"/>
        <v>3.4197000786662102E-10</v>
      </c>
      <c r="AP118">
        <f t="shared" si="42"/>
        <v>3.4197000786662102E-10</v>
      </c>
    </row>
    <row r="119" spans="1:42" x14ac:dyDescent="0.35">
      <c r="A119">
        <v>76</v>
      </c>
      <c r="B119">
        <f t="shared" si="43"/>
        <v>0</v>
      </c>
      <c r="C119">
        <f t="shared" si="44"/>
        <v>0</v>
      </c>
      <c r="D119">
        <f t="shared" si="45"/>
        <v>52432.141837663155</v>
      </c>
      <c r="E119">
        <f t="shared" si="46"/>
        <v>52432.141837662944</v>
      </c>
      <c r="F119">
        <f t="shared" si="32"/>
        <v>51</v>
      </c>
      <c r="G119">
        <f>IF(N6="None",F119,MAX(0,F119*B119))</f>
        <v>51</v>
      </c>
      <c r="H119">
        <f>IF(N6="None",0,MAX(0,F119-G119))</f>
        <v>0</v>
      </c>
      <c r="I119">
        <f>IF(AND(N7="None",N8="None"),0,IF(N8="None",G119,IF(N7="None",0,MAX(0,G119*C119))))</f>
        <v>0</v>
      </c>
      <c r="J119">
        <f>IF(AND(N7="None",N8="None"),0,IF(N8="None",0,IF(N7="None",G119,MAX(0,G119-I119))))</f>
        <v>51</v>
      </c>
      <c r="K119">
        <f>P5</f>
        <v>637</v>
      </c>
      <c r="L119">
        <f>P6</f>
        <v>634.3119999999999</v>
      </c>
      <c r="M119">
        <f>P7</f>
        <v>635.5</v>
      </c>
      <c r="N119">
        <f>P8</f>
        <v>631.54999999999995</v>
      </c>
      <c r="O119">
        <f>K119+((ABS(F119)/MAX(((F31)+(H31)*(MAX($D$16,(K119)-(J31))))*(MAX($D$16,(K119)-(J31))),0.000001))^2)/(2*$I$5)-((E31)*((((ABS(F119)*$D$6)/(MAX(((F31)+(H31)*(MAX($D$16,(K119)-(J31))))*(MAX($D$16,(K119)-(J31))),0.000001)*MAX(((((F31)+(H31)*(MAX($D$16,(K119)-(J31))))*(MAX($D$16,(K119)-(J31))))/MAX((F31)+2*(MAX($D$16,(K119)-(J31)))*SQRT(1+(H31)^2),0.000001))^(2/3),0.000001)))^2)+(((ABS(F119)*$D$6)/(MAX(((G31)+(I31)*(MAX($D$16,(D119)-(K31))))*(MAX($D$16,(D119)-(K31))),0.000001)*MAX(((((G31)+(I31)*(MAX($D$16,(D119)-(K31))))*(MAX($D$16,(D119)-(K31))))/MAX((G31)+2*(MAX($D$16,(D119)-(K31)))*SQRT(1+(I31)^2),0.000001))^(2/3),0.000001)))^2))/2)+(IF((ABS(F119)/MAX(((G31)+(I31)*(MAX($D$16,(D119)-(K31))))*(MAX($D$16,(D119)-(K31))),0.000001))&gt;(ABS(F119)/MAX(((F31)+(H31)*(MAX($D$16,(K119)-(J31))))*(MAX($D$16,(K119)-(J31))),0.000001)),$D$9*((((ABS(F119)/MAX(((G31)+(I31)*(MAX($D$16,(D119)-(K31))))*(MAX($D$16,(D119)-(K31))),0.000001))^2)/(2*$I$5))-(((ABS(F119)/MAX(((F31)+(H31)*(MAX($D$16,(K119)-(J31))))*(MAX($D$16,(K119)-(J31))),0.000001))^2)/(2*$I$5))),$D$8*((((ABS(F119)/MAX(((F31)+(H31)*(MAX($D$16,(K119)-(J31))))*(MAX($D$16,(K119)-(J31))),0.000001))^2)/(2*$I$5))-(((ABS(F119)/MAX(((G31)+(I31)*(MAX($D$16,(D119)-(K31))))*(MAX($D$16,(D119)-(K31))),0.000001))^2)/(2*$I$5)))))+($D$10*(ABS((X31)-(W31))/90)*MAX(((ABS(F119)/MAX(((F31)+(H31)*(MAX($D$16,(K119)-(J31))))*(MAX($D$16,(K119)-(J31))),0.000001))^2)/(2*$I$5),((ABS(F119)/MAX(((G31)+(I31)*(MAX($D$16,(D119)-(K31))))*(MAX($D$16,(D119)-(K31))),0.000001))^2)/(2*$I$5)))+(0)-((ABS(F119)/MAX(((G31)+(I31)*(MAX($D$16,(D119)-(K31))))*(MAX($D$16,(D119)-(K31))),0.000001))^2)/(2*$I$5)</f>
        <v>637.65825101089831</v>
      </c>
      <c r="P119">
        <f>E119+((ABS(G119)/MAX(((G32)+(I32)*(MAX($D$16,(E119)-(K32))))*(MAX($D$16,(E119)-(K32))),0.000001))^2)/(2*$I$5)+((E32)*((((ABS(G119)*$D$6)/(MAX(((F32)+(H32)*(MAX($D$16,(D119)-(J32))))*(MAX($D$16,(D119)-(J32))),0.000001)*MAX(((((F32)+(H32)*(MAX($D$16,(D119)-(J32))))*(MAX($D$16,(D119)-(J32))))/MAX((F32)+2*(MAX($D$16,(D119)-(J32)))*SQRT(1+(H32)^2),0.000001))^(2/3),0.000001)))^2)+(((ABS(G119)*$D$6)/(MAX(((G32)+(I32)*(MAX($D$16,(E119)-(K32))))*(MAX($D$16,(E119)-(K32))),0.000001)*MAX(((((G32)+(I32)*(MAX($D$16,(E119)-(K32))))*(MAX($D$16,(E119)-(K32))))/MAX((G32)+2*(MAX($D$16,(E119)-(K32)))*SQRT(1+(I32)^2),0.000001))^(2/3),0.000001)))^2))/2)+(IF((ABS(G119)/MAX(((G32)+(I32)*(MAX($D$16,(E119)-(K32))))*(MAX($D$16,(E119)-(K32))),0.000001))&gt;(ABS(G119)/MAX(((F32)+(H32)*(MAX($D$16,(D119)-(J32))))*(MAX($D$16,(D119)-(J32))),0.000001)),$D$9*((((ABS(G119)/MAX(((G32)+(I32)*(MAX($D$16,(E119)-(K32))))*(MAX($D$16,(E119)-(K32))),0.000001))^2)/(2*$I$5))-(((ABS(G119)/MAX(((F32)+(H32)*(MAX($D$16,(D119)-(J32))))*(MAX($D$16,(D119)-(J32))),0.000001))^2)/(2*$I$5))),$D$8*((((ABS(G119)/MAX(((F32)+(H32)*(MAX($D$16,(D119)-(J32))))*(MAX($D$16,(D119)-(J32))),0.000001))^2)/(2*$I$5))-(((ABS(G119)/MAX(((G32)+(I32)*(MAX($D$16,(E119)-(K32))))*(MAX($D$16,(E119)-(K32))),0.000001))^2)/(2*$I$5)))))+($D$10*(ABS((X32)-(W32))/90)*MAX(((ABS(G119)/MAX(((F32)+(H32)*(MAX($D$16,(D119)-(J32))))*(MAX($D$16,(D119)-(J32))),0.000001))^2)/(2*$I$5),((ABS(G119)/MAX(((G32)+(I32)*(MAX($D$16,(E119)-(K32))))*(MAX($D$16,(E119)-(K32))),0.000001))^2)/(2*$I$5)))+(($D$11*0.13607488*(ABS(H119)/MAX(ABS(F119),0.000001))^2*MAX(((ABS(G119)/MAX(((F32)+(H32)*(MAX($D$16,(D119)-(J32))))*(MAX($D$16,(D119)-(J32))),0.000001))^2)/(2*$I$5),((ABS(G119)/MAX(((G32)+(I32)*(MAX($D$16,(E119)-(K32))))*(MAX($D$16,(E119)-(K32))),0.000001))^2)/(2*$I$5))))-((ABS(G119)/MAX(((F32)+(H32)*(MAX($D$16,(D119)-(J32))))*(MAX($D$16,(D119)-(J32))),0.000001))^2)/(2*$I$5)</f>
        <v>52432.141837663497</v>
      </c>
      <c r="Q119">
        <f>L119+((ABS(H119)/MAX(((G33)+(I33)*(MAX($D$16,(L119)-(K33))))*(MAX($D$16,(L119)-(K33))),0.000001))^2)/(2*$I$5)+((E33)*((((ABS(H119)*$D$6)/(MAX(((F33)+(H33)*(MAX($D$16,(D119)-(J33))))*(MAX($D$16,(D119)-(J33))),0.000001)*MAX(((((F33)+(H33)*(MAX($D$16,(D119)-(J33))))*(MAX($D$16,(D119)-(J33))))/MAX((F33)+2*(MAX($D$16,(D119)-(J33)))*SQRT(1+(H33)^2),0.000001))^(2/3),0.000001)))^2)+(((ABS(H119)*$D$6)/(MAX(((G33)+(I33)*(MAX($D$16,(L119)-(K33))))*(MAX($D$16,(L119)-(K33))),0.000001)*MAX(((((G33)+(I33)*(MAX($D$16,(L119)-(K33))))*(MAX($D$16,(L119)-(K33))))/MAX((G33)+2*(MAX($D$16,(L119)-(K33)))*SQRT(1+(I33)^2),0.000001))^(2/3),0.000001)))^2))/2)+(IF((ABS(H119)/MAX(((G33)+(I33)*(MAX($D$16,(L119)-(K33))))*(MAX($D$16,(L119)-(K33))),0.000001))&gt;(ABS(H119)/MAX(((F33)+(H33)*(MAX($D$16,(D119)-(J33))))*(MAX($D$16,(D119)-(J33))),0.000001)),$D$9*((((ABS(H119)/MAX(((G33)+(I33)*(MAX($D$16,(L119)-(K33))))*(MAX($D$16,(L119)-(K33))),0.000001))^2)/(2*$I$5))-(((ABS(H119)/MAX(((F33)+(H33)*(MAX($D$16,(D119)-(J33))))*(MAX($D$16,(D119)-(J33))),0.000001))^2)/(2*$I$5))),$D$8*((((ABS(H119)/MAX(((F33)+(H33)*(MAX($D$16,(D119)-(J33))))*(MAX($D$16,(D119)-(J33))),0.000001))^2)/(2*$I$5))-(((ABS(H119)/MAX(((G33)+(I33)*(MAX($D$16,(L119)-(K33))))*(MAX($D$16,(L119)-(K33))),0.000001))^2)/(2*$I$5)))))+($D$10*(ABS((X33)-(W33))/90)*MAX(((ABS(H119)/MAX(((F33)+(H33)*(MAX($D$16,(D119)-(J33))))*(MAX($D$16,(D119)-(J33))),0.000001))^2)/(2*$I$5),((ABS(H119)/MAX(((G33)+(I33)*(MAX($D$16,(L119)-(K33))))*(MAX($D$16,(L119)-(K33))),0.000001))^2)/(2*$I$5)))+(($D$11*0.00000015*(ABS(G119)/MAX(ABS(F119),0.000001))^2*MAX(((ABS(H119)/MAX(((F33)+(H33)*(MAX($D$16,(D119)-(J33))))*(MAX($D$16,(D119)-(J33))),0.000001))^2)/(2*$I$5),((ABS(H119)/MAX(((G33)+(I33)*(MAX($D$16,(L119)-(K33))))*(MAX($D$16,(L119)-(K33))),0.000001))^2)/(2*$I$5))))-((ABS(H119)/MAX(((F33)+(H33)*(MAX($D$16,(D119)-(J33))))*(MAX($D$16,(D119)-(J33))),0.000001))^2)/(2*$I$5)</f>
        <v>634.3119999999999</v>
      </c>
      <c r="R119">
        <f>D119+((ABS(G119)/MAX(((F32)+(H32)*(MAX($D$16,(D119)-(J32))))*(MAX($D$16,(D119)-(J32))),0.000001))^2)/(2*$I$5)-((E32)*((((ABS(G119)*$D$6)/(MAX(((F32)+(H32)*(MAX($D$16,(D119)-(J32))))*(MAX($D$16,(D119)-(J32))),0.000001)*MAX(((((F32)+(H32)*(MAX($D$16,(D119)-(J32))))*(MAX($D$16,(D119)-(J32))))/MAX((F32)+2*(MAX($D$16,(D119)-(J32)))*SQRT(1+(H32)^2),0.000001))^(2/3),0.000001)))^2)+(((ABS(G119)*$D$6)/(MAX(((G32)+(I32)*(MAX($D$16,(E119)-(K32))))*(MAX($D$16,(E119)-(K32))),0.000001)*MAX(((((G32)+(I32)*(MAX($D$16,(E119)-(K32))))*(MAX($D$16,(E119)-(K32))))/MAX((G32)+2*(MAX($D$16,(E119)-(K32)))*SQRT(1+(I32)^2),0.000001))^(2/3),0.000001)))^2))/2)+(IF((ABS(G119)/MAX(((G32)+(I32)*(MAX($D$16,(E119)-(K32))))*(MAX($D$16,(E119)-(K32))),0.000001))&gt;(ABS(G119)/MAX(((F32)+(H32)*(MAX($D$16,(D119)-(J32))))*(MAX($D$16,(D119)-(J32))),0.000001)),$D$9*((((ABS(G119)/MAX(((G32)+(I32)*(MAX($D$16,(E119)-(K32))))*(MAX($D$16,(E119)-(K32))),0.000001))^2)/(2*$I$5))-(((ABS(G119)/MAX(((F32)+(H32)*(MAX($D$16,(D119)-(J32))))*(MAX($D$16,(D119)-(J32))),0.000001))^2)/(2*$I$5))),$D$8*((((ABS(G119)/MAX(((F32)+(H32)*(MAX($D$16,(D119)-(J32))))*(MAX($D$16,(D119)-(J32))),0.000001))^2)/(2*$I$5))-(((ABS(G119)/MAX(((G32)+(I32)*(MAX($D$16,(E119)-(K32))))*(MAX($D$16,(E119)-(K32))),0.000001))^2)/(2*$I$5)))))+($D$10*(ABS((X32)-(W32))/90)*MAX(((ABS(G119)/MAX(((F32)+(H32)*(MAX($D$16,(D119)-(J32))))*(MAX($D$16,(D119)-(J32))),0.000001))^2)/(2*$I$5),((ABS(G119)/MAX(((G32)+(I32)*(MAX($D$16,(E119)-(K32))))*(MAX($D$16,(E119)-(K32))),0.000001))^2)/(2*$I$5)))+(($D$11*0.13607488*(ABS(H119)/MAX(ABS(F119),0.000001))^2*MAX(((ABS(G119)/MAX(((F32)+(H32)*(MAX($D$16,(D119)-(J32))))*(MAX($D$16,(D119)-(J32))),0.000001))^2)/(2*$I$5),((ABS(G119)/MAX(((G32)+(I32)*(MAX($D$16,(E119)-(K32))))*(MAX($D$16,(E119)-(K32))),0.000001))^2)/(2*$I$5))))-((ABS(G119)/MAX(((G32)+(I32)*(MAX($D$16,(E119)-(K32))))*(MAX($D$16,(E119)-(K32))),0.000001))^2)/(2*$I$5)</f>
        <v>52432.141837663286</v>
      </c>
      <c r="S119">
        <f>M119+((ABS(I119)/MAX(((G34)+(I34)*(MAX($D$16,(M119)-(K34))))*(MAX($D$16,(M119)-(K34))),0.000001))^2)/(2*$I$5)+((E34)*((((ABS(I119)*$D$6)/(MAX(((F34)+(H34)*(MAX($D$16,(E119)-(J34))))*(MAX($D$16,(E119)-(J34))),0.000001)*MAX(((((F34)+(H34)*(MAX($D$16,(E119)-(J34))))*(MAX($D$16,(E119)-(J34))))/MAX((F34)+2*(MAX($D$16,(E119)-(J34)))*SQRT(1+(H34)^2),0.000001))^(2/3),0.000001)))^2)+(((ABS(I119)*$D$6)/(MAX(((G34)+(I34)*(MAX($D$16,(M119)-(K34))))*(MAX($D$16,(M119)-(K34))),0.000001)*MAX(((((G34)+(I34)*(MAX($D$16,(M119)-(K34))))*(MAX($D$16,(M119)-(K34))))/MAX((G34)+2*(MAX($D$16,(M119)-(K34)))*SQRT(1+(I34)^2),0.000001))^(2/3),0.000001)))^2))/2)+(IF((ABS(I119)/MAX(((G34)+(I34)*(MAX($D$16,(M119)-(K34))))*(MAX($D$16,(M119)-(K34))),0.000001))&gt;(ABS(I119)/MAX(((F34)+(H34)*(MAX($D$16,(E119)-(J34))))*(MAX($D$16,(E119)-(J34))),0.000001)),$D$9*((((ABS(I119)/MAX(((G34)+(I34)*(MAX($D$16,(M119)-(K34))))*(MAX($D$16,(M119)-(K34))),0.000001))^2)/(2*$I$5))-(((ABS(I119)/MAX(((F34)+(H34)*(MAX($D$16,(E119)-(J34))))*(MAX($D$16,(E119)-(J34))),0.000001))^2)/(2*$I$5))),$D$8*((((ABS(I119)/MAX(((F34)+(H34)*(MAX($D$16,(E119)-(J34))))*(MAX($D$16,(E119)-(J34))),0.000001))^2)/(2*$I$5))-(((ABS(I119)/MAX(((G34)+(I34)*(MAX($D$16,(M119)-(K34))))*(MAX($D$16,(M119)-(K34))),0.000001))^2)/(2*$I$5)))))+($D$10*(ABS((X34)-(W34))/90)*MAX(((ABS(I119)/MAX(((F34)+(H34)*(MAX($D$16,(E119)-(J34))))*(MAX($D$16,(E119)-(J34))),0.000001))^2)/(2*$I$5),((ABS(I119)/MAX(((G34)+(I34)*(MAX($D$16,(M119)-(K34))))*(MAX($D$16,(M119)-(K34))),0.000001))^2)/(2*$I$5)))+(0)-((ABS(I119)/MAX(((F34)+(H34)*(MAX($D$16,(E119)-(J34))))*(MAX($D$16,(E119)-(J34))),0.000001))^2)/(2*$I$5)</f>
        <v>635.5</v>
      </c>
      <c r="T119">
        <f>N119+((ABS(J119)/MAX(((G35)+(I35)*(MAX($D$16,(N119)-(K35))))*(MAX($D$16,(N119)-(K35))),0.000001))^2)/(2*$I$5)+((E35)*((((ABS(J119)*$D$6)/(MAX(((F35)+(H35)*(MAX($D$16,(E119)-(J35))))*(MAX($D$16,(E119)-(J35))),0.000001)*MAX(((((F35)+(H35)*(MAX($D$16,(E119)-(J35))))*(MAX($D$16,(E119)-(J35))))/MAX((F35)+2*(MAX($D$16,(E119)-(J35)))*SQRT(1+(H35)^2),0.000001))^(2/3),0.000001)))^2)+(((ABS(J119)*$D$6)/(MAX(((G35)+(I35)*(MAX($D$16,(N119)-(K35))))*(MAX($D$16,(N119)-(K35))),0.000001)*MAX(((((G35)+(I35)*(MAX($D$16,(N119)-(K35))))*(MAX($D$16,(N119)-(K35))))/MAX((G35)+2*(MAX($D$16,(N119)-(K35)))*SQRT(1+(I35)^2),0.000001))^(2/3),0.000001)))^2))/2)+(IF((ABS(J119)/MAX(((G35)+(I35)*(MAX($D$16,(N119)-(K35))))*(MAX($D$16,(N119)-(K35))),0.000001))&gt;(ABS(J119)/MAX(((F35)+(H35)*(MAX($D$16,(E119)-(J35))))*(MAX($D$16,(E119)-(J35))),0.000001)),$D$9*((((ABS(J119)/MAX(((G35)+(I35)*(MAX($D$16,(N119)-(K35))))*(MAX($D$16,(N119)-(K35))),0.000001))^2)/(2*$I$5))-(((ABS(J119)/MAX(((F35)+(H35)*(MAX($D$16,(E119)-(J35))))*(MAX($D$16,(E119)-(J35))),0.000001))^2)/(2*$I$5))),$D$8*((((ABS(J119)/MAX(((F35)+(H35)*(MAX($D$16,(E119)-(J35))))*(MAX($D$16,(E119)-(J35))),0.000001))^2)/(2*$I$5))-(((ABS(J119)/MAX(((G35)+(I35)*(MAX($D$16,(N119)-(K35))))*(MAX($D$16,(N119)-(K35))),0.000001))^2)/(2*$I$5)))))+($D$10*(ABS((X35)-(W35))/90)*MAX(((ABS(J119)/MAX(((F35)+(H35)*(MAX($D$16,(E119)-(J35))))*(MAX($D$16,(E119)-(J35))),0.000001))^2)/(2*$I$5),((ABS(J119)/MAX(((G35)+(I35)*(MAX($D$16,(N119)-(K35))))*(MAX($D$16,(N119)-(K35))),0.000001))^2)/(2*$I$5)))+(($D$11*0.34699541*(ABS(I119)/MAX(ABS(G119),0.000001))^2*MAX(((ABS(J119)/MAX(((F35)+(H35)*(MAX($D$16,(E119)-(J35))))*(MAX($D$16,(E119)-(J35))),0.000001))^2)/(2*$I$5),((ABS(J119)/MAX(((G35)+(I35)*(MAX($D$16,(N119)-(K35))))*(MAX($D$16,(N119)-(K35))),0.000001))^2)/(2*$I$5))))-((ABS(J119)/MAX(((F35)+(H35)*(MAX($D$16,(E119)-(J35))))*(MAX($D$16,(E119)-(J35))),0.000001))^2)/(2*$I$5)</f>
        <v>20784.033523923383</v>
      </c>
      <c r="U119">
        <f>(((((F32)*(MAX($D$16,(D119)-(J32)))^2)/2+(H32)*(MAX($D$16,(D119)-(J32)))^3/3+(ABS(G119)^2)/($I$5*MAX(((F32)+(H32)*(MAX($D$16,(D119)-(J32))))*(MAX($D$16,(D119)-(J32))),0.000001)))*0.72785025)-((((F33)*(MAX($D$16,(D119)-(J33)))^2)/2+(H33)*(MAX($D$16,(D119)-(J33)))^3/3+(ABS(H119)^2)/($I$5*MAX(((F33)+(H33)*(MAX($D$16,(D119)-(J33))))*(MAX($D$16,(D119)-(J33))),0.000001)))*0.99999971))/MAX(((G31)*(MAX($D$16,(D119)-(K31)))^2)/2+(I31)*(MAX($D$16,(D119)-(K31)))^3/3+(ABS(F119)^2)/($I$5*MAX(((G31)+(I31)*(MAX($D$16,(D119)-(K31))))*(MAX($D$16,(D119)-(K31))),0.000001)),0.000001)</f>
        <v>-0.27214945999991119</v>
      </c>
      <c r="V119">
        <f>(((((F34)*(MAX($D$16,(E119)-(J34)))^2)/2+(H34)*(MAX($D$16,(E119)-(J34)))^3/3+(ABS(I119)^2)/($I$5*MAX(((F34)+(H34)*(MAX($D$16,(E119)-(J34))))*(MAX($D$16,(E119)-(J34))),0.000001)))*1)-((((F35)*(MAX($D$16,(E119)-(J35)))^2)/2+(H35)*(MAX($D$16,(E119)-(J35)))^3/3+(ABS(J119)^2)/($I$5*MAX(((F35)+(H35)*(MAX($D$16,(E119)-(J35))))*(MAX($D$16,(E119)-(J35))),0.000001)))*0.30600918))/MAX(((G32)*(MAX($D$16,(E119)-(K32)))^2)/2+(I32)*(MAX($D$16,(E119)-(K32)))^3/3+(ABS(G119)^2)/($I$5*MAX(((G32)+(I32)*(MAX($D$16,(E119)-(K32))))*(MAX($D$16,(E119)-(K32))),0.000001)),0.000001)</f>
        <v>0.69398638937190393</v>
      </c>
      <c r="W119">
        <f>IF(N6="None",ABS(P119-D119),MAX(ABS(P119-D119),ABS(Q119-D119)))</f>
        <v>3.4197000786662102E-10</v>
      </c>
      <c r="X119">
        <f>IF(AND(N7="None",N8="None"),0,IF(N8="None",ABS(S119-E119),IF(N7="None",ABS(T119-E119),MAX(ABS(S119-E119),ABS(T119-E119)))))</f>
        <v>51796.641837662944</v>
      </c>
      <c r="AA119">
        <f t="shared" si="33"/>
        <v>52432.141837663272</v>
      </c>
      <c r="AB119">
        <f t="shared" si="34"/>
        <v>41355.303927854096</v>
      </c>
      <c r="AC119">
        <f>IF(N6="None",P119,MAX(P119,Q119))</f>
        <v>52432.141837663497</v>
      </c>
      <c r="AD119">
        <f>IF(AND(N7="None",N8="None"),E119,IF(N8="None",S119,IF(N7="None",T119,MAX(S119,T119))))</f>
        <v>20784.033523923383</v>
      </c>
      <c r="AE119">
        <f t="shared" si="35"/>
        <v>637.65825101089831</v>
      </c>
      <c r="AF119">
        <f t="shared" si="36"/>
        <v>52432.141837663286</v>
      </c>
      <c r="AG119">
        <f>((G31)*(MAX($D$16,(AC119)-(K31)))^2)/2+(I31)*(MAX($D$16,(AC119)-(K31)))^3/3+(ABS(F119)^2)/($I$5*MAX(((G31)+(I31)*(MAX($D$16,(AC119)-(K31))))*(MAX($D$16,(AC119)-(K31))),0.000001))</f>
        <v>8797611517.4121437</v>
      </c>
      <c r="AH119">
        <f>((G31)*(MAX($D$16,(AE119)-(K31)))^2)/2+(I31)*(MAX($D$16,(AE119)-(K31)))^3/3+(ABS(F119)^2)/($I$5*MAX(((G31)+(I31)*(MAX($D$16,(AE119)-(K31))))*(MAX($D$16,(AE119)-(K31))),0.000001))</f>
        <v>49.055863329575246</v>
      </c>
      <c r="AI119">
        <f>((G32)*(MAX($D$16,(AD119)-(K32)))^2)/2+(I32)*(MAX($D$16,(AD119)-(K32)))^3/3+(ABS(G119)^2)/($I$5*MAX(((G32)+(I32)*(MAX($D$16,(AD119)-(K32))))*(MAX($D$16,(AD119)-(K32))),0.000001))</f>
        <v>2072376743.6648321</v>
      </c>
      <c r="AJ119">
        <f>((G32)*(MAX($D$16,(AF119)-(K32)))^2)/2+(I32)*(MAX($D$16,(AF119)-(K32)))^3/3+(ABS(G119)^2)/($I$5*MAX(((G32)+(I32)*(MAX($D$16,(AF119)-(K32))))*(MAX($D$16,(AF119)-(K32))),0.000001))</f>
        <v>13692714789.644766</v>
      </c>
      <c r="AK119" t="str">
        <f t="shared" si="37"/>
        <v>Subcritical</v>
      </c>
      <c r="AL119" t="str">
        <f t="shared" si="38"/>
        <v>Supercritical</v>
      </c>
      <c r="AM119">
        <f t="shared" si="39"/>
        <v>52432.141837663272</v>
      </c>
      <c r="AN119">
        <f t="shared" si="40"/>
        <v>52432.141837663061</v>
      </c>
      <c r="AO119">
        <f t="shared" si="41"/>
        <v>3.4197000786662102E-10</v>
      </c>
      <c r="AP119">
        <f t="shared" si="42"/>
        <v>3.4197000786662102E-10</v>
      </c>
    </row>
    <row r="120" spans="1:42" x14ac:dyDescent="0.35">
      <c r="A120">
        <v>77</v>
      </c>
      <c r="B120">
        <f t="shared" si="43"/>
        <v>0</v>
      </c>
      <c r="C120">
        <f t="shared" si="44"/>
        <v>0</v>
      </c>
      <c r="D120">
        <f t="shared" si="45"/>
        <v>52432.141837663272</v>
      </c>
      <c r="E120">
        <f t="shared" si="46"/>
        <v>52432.141837663061</v>
      </c>
      <c r="F120">
        <f t="shared" si="32"/>
        <v>51</v>
      </c>
      <c r="G120">
        <f>IF(N6="None",F120,MAX(0,F120*B120))</f>
        <v>51</v>
      </c>
      <c r="H120">
        <f>IF(N6="None",0,MAX(0,F120-G120))</f>
        <v>0</v>
      </c>
      <c r="I120">
        <f>IF(AND(N7="None",N8="None"),0,IF(N8="None",G120,IF(N7="None",0,MAX(0,G120*C120))))</f>
        <v>0</v>
      </c>
      <c r="J120">
        <f>IF(AND(N7="None",N8="None"),0,IF(N8="None",0,IF(N7="None",G120,MAX(0,G120-I120))))</f>
        <v>51</v>
      </c>
      <c r="K120">
        <f>P5</f>
        <v>637</v>
      </c>
      <c r="L120">
        <f>P6</f>
        <v>634.3119999999999</v>
      </c>
      <c r="M120">
        <f>P7</f>
        <v>635.5</v>
      </c>
      <c r="N120">
        <f>P8</f>
        <v>631.54999999999995</v>
      </c>
      <c r="O120">
        <f>K120+((ABS(F120)/MAX(((F31)+(H31)*(MAX($D$16,(K120)-(J31))))*(MAX($D$16,(K120)-(J31))),0.000001))^2)/(2*$I$5)-((E31)*((((ABS(F120)*$D$6)/(MAX(((F31)+(H31)*(MAX($D$16,(K120)-(J31))))*(MAX($D$16,(K120)-(J31))),0.000001)*MAX(((((F31)+(H31)*(MAX($D$16,(K120)-(J31))))*(MAX($D$16,(K120)-(J31))))/MAX((F31)+2*(MAX($D$16,(K120)-(J31)))*SQRT(1+(H31)^2),0.000001))^(2/3),0.000001)))^2)+(((ABS(F120)*$D$6)/(MAX(((G31)+(I31)*(MAX($D$16,(D120)-(K31))))*(MAX($D$16,(D120)-(K31))),0.000001)*MAX(((((G31)+(I31)*(MAX($D$16,(D120)-(K31))))*(MAX($D$16,(D120)-(K31))))/MAX((G31)+2*(MAX($D$16,(D120)-(K31)))*SQRT(1+(I31)^2),0.000001))^(2/3),0.000001)))^2))/2)+(IF((ABS(F120)/MAX(((G31)+(I31)*(MAX($D$16,(D120)-(K31))))*(MAX($D$16,(D120)-(K31))),0.000001))&gt;(ABS(F120)/MAX(((F31)+(H31)*(MAX($D$16,(K120)-(J31))))*(MAX($D$16,(K120)-(J31))),0.000001)),$D$9*((((ABS(F120)/MAX(((G31)+(I31)*(MAX($D$16,(D120)-(K31))))*(MAX($D$16,(D120)-(K31))),0.000001))^2)/(2*$I$5))-(((ABS(F120)/MAX(((F31)+(H31)*(MAX($D$16,(K120)-(J31))))*(MAX($D$16,(K120)-(J31))),0.000001))^2)/(2*$I$5))),$D$8*((((ABS(F120)/MAX(((F31)+(H31)*(MAX($D$16,(K120)-(J31))))*(MAX($D$16,(K120)-(J31))),0.000001))^2)/(2*$I$5))-(((ABS(F120)/MAX(((G31)+(I31)*(MAX($D$16,(D120)-(K31))))*(MAX($D$16,(D120)-(K31))),0.000001))^2)/(2*$I$5)))))+($D$10*(ABS((X31)-(W31))/90)*MAX(((ABS(F120)/MAX(((F31)+(H31)*(MAX($D$16,(K120)-(J31))))*(MAX($D$16,(K120)-(J31))),0.000001))^2)/(2*$I$5),((ABS(F120)/MAX(((G31)+(I31)*(MAX($D$16,(D120)-(K31))))*(MAX($D$16,(D120)-(K31))),0.000001))^2)/(2*$I$5)))+(0)-((ABS(F120)/MAX(((G31)+(I31)*(MAX($D$16,(D120)-(K31))))*(MAX($D$16,(D120)-(K31))),0.000001))^2)/(2*$I$5)</f>
        <v>637.65825101089831</v>
      </c>
      <c r="P120">
        <f>E120+((ABS(G120)/MAX(((G32)+(I32)*(MAX($D$16,(E120)-(K32))))*(MAX($D$16,(E120)-(K32))),0.000001))^2)/(2*$I$5)+((E32)*((((ABS(G120)*$D$6)/(MAX(((F32)+(H32)*(MAX($D$16,(D120)-(J32))))*(MAX($D$16,(D120)-(J32))),0.000001)*MAX(((((F32)+(H32)*(MAX($D$16,(D120)-(J32))))*(MAX($D$16,(D120)-(J32))))/MAX((F32)+2*(MAX($D$16,(D120)-(J32)))*SQRT(1+(H32)^2),0.000001))^(2/3),0.000001)))^2)+(((ABS(G120)*$D$6)/(MAX(((G32)+(I32)*(MAX($D$16,(E120)-(K32))))*(MAX($D$16,(E120)-(K32))),0.000001)*MAX(((((G32)+(I32)*(MAX($D$16,(E120)-(K32))))*(MAX($D$16,(E120)-(K32))))/MAX((G32)+2*(MAX($D$16,(E120)-(K32)))*SQRT(1+(I32)^2),0.000001))^(2/3),0.000001)))^2))/2)+(IF((ABS(G120)/MAX(((G32)+(I32)*(MAX($D$16,(E120)-(K32))))*(MAX($D$16,(E120)-(K32))),0.000001))&gt;(ABS(G120)/MAX(((F32)+(H32)*(MAX($D$16,(D120)-(J32))))*(MAX($D$16,(D120)-(J32))),0.000001)),$D$9*((((ABS(G120)/MAX(((G32)+(I32)*(MAX($D$16,(E120)-(K32))))*(MAX($D$16,(E120)-(K32))),0.000001))^2)/(2*$I$5))-(((ABS(G120)/MAX(((F32)+(H32)*(MAX($D$16,(D120)-(J32))))*(MAX($D$16,(D120)-(J32))),0.000001))^2)/(2*$I$5))),$D$8*((((ABS(G120)/MAX(((F32)+(H32)*(MAX($D$16,(D120)-(J32))))*(MAX($D$16,(D120)-(J32))),0.000001))^2)/(2*$I$5))-(((ABS(G120)/MAX(((G32)+(I32)*(MAX($D$16,(E120)-(K32))))*(MAX($D$16,(E120)-(K32))),0.000001))^2)/(2*$I$5)))))+($D$10*(ABS((X32)-(W32))/90)*MAX(((ABS(G120)/MAX(((F32)+(H32)*(MAX($D$16,(D120)-(J32))))*(MAX($D$16,(D120)-(J32))),0.000001))^2)/(2*$I$5),((ABS(G120)/MAX(((G32)+(I32)*(MAX($D$16,(E120)-(K32))))*(MAX($D$16,(E120)-(K32))),0.000001))^2)/(2*$I$5)))+(($D$11*0.13607488*(ABS(H120)/MAX(ABS(F120),0.000001))^2*MAX(((ABS(G120)/MAX(((F32)+(H32)*(MAX($D$16,(D120)-(J32))))*(MAX($D$16,(D120)-(J32))),0.000001))^2)/(2*$I$5),((ABS(G120)/MAX(((G32)+(I32)*(MAX($D$16,(E120)-(K32))))*(MAX($D$16,(E120)-(K32))),0.000001))^2)/(2*$I$5))))-((ABS(G120)/MAX(((F32)+(H32)*(MAX($D$16,(D120)-(J32))))*(MAX($D$16,(D120)-(J32))),0.000001))^2)/(2*$I$5)</f>
        <v>52432.141837663614</v>
      </c>
      <c r="Q120">
        <f>L120+((ABS(H120)/MAX(((G33)+(I33)*(MAX($D$16,(L120)-(K33))))*(MAX($D$16,(L120)-(K33))),0.000001))^2)/(2*$I$5)+((E33)*((((ABS(H120)*$D$6)/(MAX(((F33)+(H33)*(MAX($D$16,(D120)-(J33))))*(MAX($D$16,(D120)-(J33))),0.000001)*MAX(((((F33)+(H33)*(MAX($D$16,(D120)-(J33))))*(MAX($D$16,(D120)-(J33))))/MAX((F33)+2*(MAX($D$16,(D120)-(J33)))*SQRT(1+(H33)^2),0.000001))^(2/3),0.000001)))^2)+(((ABS(H120)*$D$6)/(MAX(((G33)+(I33)*(MAX($D$16,(L120)-(K33))))*(MAX($D$16,(L120)-(K33))),0.000001)*MAX(((((G33)+(I33)*(MAX($D$16,(L120)-(K33))))*(MAX($D$16,(L120)-(K33))))/MAX((G33)+2*(MAX($D$16,(L120)-(K33)))*SQRT(1+(I33)^2),0.000001))^(2/3),0.000001)))^2))/2)+(IF((ABS(H120)/MAX(((G33)+(I33)*(MAX($D$16,(L120)-(K33))))*(MAX($D$16,(L120)-(K33))),0.000001))&gt;(ABS(H120)/MAX(((F33)+(H33)*(MAX($D$16,(D120)-(J33))))*(MAX($D$16,(D120)-(J33))),0.000001)),$D$9*((((ABS(H120)/MAX(((G33)+(I33)*(MAX($D$16,(L120)-(K33))))*(MAX($D$16,(L120)-(K33))),0.000001))^2)/(2*$I$5))-(((ABS(H120)/MAX(((F33)+(H33)*(MAX($D$16,(D120)-(J33))))*(MAX($D$16,(D120)-(J33))),0.000001))^2)/(2*$I$5))),$D$8*((((ABS(H120)/MAX(((F33)+(H33)*(MAX($D$16,(D120)-(J33))))*(MAX($D$16,(D120)-(J33))),0.000001))^2)/(2*$I$5))-(((ABS(H120)/MAX(((G33)+(I33)*(MAX($D$16,(L120)-(K33))))*(MAX($D$16,(L120)-(K33))),0.000001))^2)/(2*$I$5)))))+($D$10*(ABS((X33)-(W33))/90)*MAX(((ABS(H120)/MAX(((F33)+(H33)*(MAX($D$16,(D120)-(J33))))*(MAX($D$16,(D120)-(J33))),0.000001))^2)/(2*$I$5),((ABS(H120)/MAX(((G33)+(I33)*(MAX($D$16,(L120)-(K33))))*(MAX($D$16,(L120)-(K33))),0.000001))^2)/(2*$I$5)))+(($D$11*0.00000015*(ABS(G120)/MAX(ABS(F120),0.000001))^2*MAX(((ABS(H120)/MAX(((F33)+(H33)*(MAX($D$16,(D120)-(J33))))*(MAX($D$16,(D120)-(J33))),0.000001))^2)/(2*$I$5),((ABS(H120)/MAX(((G33)+(I33)*(MAX($D$16,(L120)-(K33))))*(MAX($D$16,(L120)-(K33))),0.000001))^2)/(2*$I$5))))-((ABS(H120)/MAX(((F33)+(H33)*(MAX($D$16,(D120)-(J33))))*(MAX($D$16,(D120)-(J33))),0.000001))^2)/(2*$I$5)</f>
        <v>634.3119999999999</v>
      </c>
      <c r="R120">
        <f>D120+((ABS(G120)/MAX(((F32)+(H32)*(MAX($D$16,(D120)-(J32))))*(MAX($D$16,(D120)-(J32))),0.000001))^2)/(2*$I$5)-((E32)*((((ABS(G120)*$D$6)/(MAX(((F32)+(H32)*(MAX($D$16,(D120)-(J32))))*(MAX($D$16,(D120)-(J32))),0.000001)*MAX(((((F32)+(H32)*(MAX($D$16,(D120)-(J32))))*(MAX($D$16,(D120)-(J32))))/MAX((F32)+2*(MAX($D$16,(D120)-(J32)))*SQRT(1+(H32)^2),0.000001))^(2/3),0.000001)))^2)+(((ABS(G120)*$D$6)/(MAX(((G32)+(I32)*(MAX($D$16,(E120)-(K32))))*(MAX($D$16,(E120)-(K32))),0.000001)*MAX(((((G32)+(I32)*(MAX($D$16,(E120)-(K32))))*(MAX($D$16,(E120)-(K32))))/MAX((G32)+2*(MAX($D$16,(E120)-(K32)))*SQRT(1+(I32)^2),0.000001))^(2/3),0.000001)))^2))/2)+(IF((ABS(G120)/MAX(((G32)+(I32)*(MAX($D$16,(E120)-(K32))))*(MAX($D$16,(E120)-(K32))),0.000001))&gt;(ABS(G120)/MAX(((F32)+(H32)*(MAX($D$16,(D120)-(J32))))*(MAX($D$16,(D120)-(J32))),0.000001)),$D$9*((((ABS(G120)/MAX(((G32)+(I32)*(MAX($D$16,(E120)-(K32))))*(MAX($D$16,(E120)-(K32))),0.000001))^2)/(2*$I$5))-(((ABS(G120)/MAX(((F32)+(H32)*(MAX($D$16,(D120)-(J32))))*(MAX($D$16,(D120)-(J32))),0.000001))^2)/(2*$I$5))),$D$8*((((ABS(G120)/MAX(((F32)+(H32)*(MAX($D$16,(D120)-(J32))))*(MAX($D$16,(D120)-(J32))),0.000001))^2)/(2*$I$5))-(((ABS(G120)/MAX(((G32)+(I32)*(MAX($D$16,(E120)-(K32))))*(MAX($D$16,(E120)-(K32))),0.000001))^2)/(2*$I$5)))))+($D$10*(ABS((X32)-(W32))/90)*MAX(((ABS(G120)/MAX(((F32)+(H32)*(MAX($D$16,(D120)-(J32))))*(MAX($D$16,(D120)-(J32))),0.000001))^2)/(2*$I$5),((ABS(G120)/MAX(((G32)+(I32)*(MAX($D$16,(E120)-(K32))))*(MAX($D$16,(E120)-(K32))),0.000001))^2)/(2*$I$5)))+(($D$11*0.13607488*(ABS(H120)/MAX(ABS(F120),0.000001))^2*MAX(((ABS(G120)/MAX(((F32)+(H32)*(MAX($D$16,(D120)-(J32))))*(MAX($D$16,(D120)-(J32))),0.000001))^2)/(2*$I$5),((ABS(G120)/MAX(((G32)+(I32)*(MAX($D$16,(E120)-(K32))))*(MAX($D$16,(E120)-(K32))),0.000001))^2)/(2*$I$5))))-((ABS(G120)/MAX(((G32)+(I32)*(MAX($D$16,(E120)-(K32))))*(MAX($D$16,(E120)-(K32))),0.000001))^2)/(2*$I$5)</f>
        <v>52432.141837663403</v>
      </c>
      <c r="S120">
        <f>M120+((ABS(I120)/MAX(((G34)+(I34)*(MAX($D$16,(M120)-(K34))))*(MAX($D$16,(M120)-(K34))),0.000001))^2)/(2*$I$5)+((E34)*((((ABS(I120)*$D$6)/(MAX(((F34)+(H34)*(MAX($D$16,(E120)-(J34))))*(MAX($D$16,(E120)-(J34))),0.000001)*MAX(((((F34)+(H34)*(MAX($D$16,(E120)-(J34))))*(MAX($D$16,(E120)-(J34))))/MAX((F34)+2*(MAX($D$16,(E120)-(J34)))*SQRT(1+(H34)^2),0.000001))^(2/3),0.000001)))^2)+(((ABS(I120)*$D$6)/(MAX(((G34)+(I34)*(MAX($D$16,(M120)-(K34))))*(MAX($D$16,(M120)-(K34))),0.000001)*MAX(((((G34)+(I34)*(MAX($D$16,(M120)-(K34))))*(MAX($D$16,(M120)-(K34))))/MAX((G34)+2*(MAX($D$16,(M120)-(K34)))*SQRT(1+(I34)^2),0.000001))^(2/3),0.000001)))^2))/2)+(IF((ABS(I120)/MAX(((G34)+(I34)*(MAX($D$16,(M120)-(K34))))*(MAX($D$16,(M120)-(K34))),0.000001))&gt;(ABS(I120)/MAX(((F34)+(H34)*(MAX($D$16,(E120)-(J34))))*(MAX($D$16,(E120)-(J34))),0.000001)),$D$9*((((ABS(I120)/MAX(((G34)+(I34)*(MAX($D$16,(M120)-(K34))))*(MAX($D$16,(M120)-(K34))),0.000001))^2)/(2*$I$5))-(((ABS(I120)/MAX(((F34)+(H34)*(MAX($D$16,(E120)-(J34))))*(MAX($D$16,(E120)-(J34))),0.000001))^2)/(2*$I$5))),$D$8*((((ABS(I120)/MAX(((F34)+(H34)*(MAX($D$16,(E120)-(J34))))*(MAX($D$16,(E120)-(J34))),0.000001))^2)/(2*$I$5))-(((ABS(I120)/MAX(((G34)+(I34)*(MAX($D$16,(M120)-(K34))))*(MAX($D$16,(M120)-(K34))),0.000001))^2)/(2*$I$5)))))+($D$10*(ABS((X34)-(W34))/90)*MAX(((ABS(I120)/MAX(((F34)+(H34)*(MAX($D$16,(E120)-(J34))))*(MAX($D$16,(E120)-(J34))),0.000001))^2)/(2*$I$5),((ABS(I120)/MAX(((G34)+(I34)*(MAX($D$16,(M120)-(K34))))*(MAX($D$16,(M120)-(K34))),0.000001))^2)/(2*$I$5)))+(0)-((ABS(I120)/MAX(((F34)+(H34)*(MAX($D$16,(E120)-(J34))))*(MAX($D$16,(E120)-(J34))),0.000001))^2)/(2*$I$5)</f>
        <v>635.5</v>
      </c>
      <c r="T120">
        <f>N120+((ABS(J120)/MAX(((G35)+(I35)*(MAX($D$16,(N120)-(K35))))*(MAX($D$16,(N120)-(K35))),0.000001))^2)/(2*$I$5)+((E35)*((((ABS(J120)*$D$6)/(MAX(((F35)+(H35)*(MAX($D$16,(E120)-(J35))))*(MAX($D$16,(E120)-(J35))),0.000001)*MAX(((((F35)+(H35)*(MAX($D$16,(E120)-(J35))))*(MAX($D$16,(E120)-(J35))))/MAX((F35)+2*(MAX($D$16,(E120)-(J35)))*SQRT(1+(H35)^2),0.000001))^(2/3),0.000001)))^2)+(((ABS(J120)*$D$6)/(MAX(((G35)+(I35)*(MAX($D$16,(N120)-(K35))))*(MAX($D$16,(N120)-(K35))),0.000001)*MAX(((((G35)+(I35)*(MAX($D$16,(N120)-(K35))))*(MAX($D$16,(N120)-(K35))))/MAX((G35)+2*(MAX($D$16,(N120)-(K35)))*SQRT(1+(I35)^2),0.000001))^(2/3),0.000001)))^2))/2)+(IF((ABS(J120)/MAX(((G35)+(I35)*(MAX($D$16,(N120)-(K35))))*(MAX($D$16,(N120)-(K35))),0.000001))&gt;(ABS(J120)/MAX(((F35)+(H35)*(MAX($D$16,(E120)-(J35))))*(MAX($D$16,(E120)-(J35))),0.000001)),$D$9*((((ABS(J120)/MAX(((G35)+(I35)*(MAX($D$16,(N120)-(K35))))*(MAX($D$16,(N120)-(K35))),0.000001))^2)/(2*$I$5))-(((ABS(J120)/MAX(((F35)+(H35)*(MAX($D$16,(E120)-(J35))))*(MAX($D$16,(E120)-(J35))),0.000001))^2)/(2*$I$5))),$D$8*((((ABS(J120)/MAX(((F35)+(H35)*(MAX($D$16,(E120)-(J35))))*(MAX($D$16,(E120)-(J35))),0.000001))^2)/(2*$I$5))-(((ABS(J120)/MAX(((G35)+(I35)*(MAX($D$16,(N120)-(K35))))*(MAX($D$16,(N120)-(K35))),0.000001))^2)/(2*$I$5)))))+($D$10*(ABS((X35)-(W35))/90)*MAX(((ABS(J120)/MAX(((F35)+(H35)*(MAX($D$16,(E120)-(J35))))*(MAX($D$16,(E120)-(J35))),0.000001))^2)/(2*$I$5),((ABS(J120)/MAX(((G35)+(I35)*(MAX($D$16,(N120)-(K35))))*(MAX($D$16,(N120)-(K35))),0.000001))^2)/(2*$I$5)))+(($D$11*0.34699541*(ABS(I120)/MAX(ABS(G120),0.000001))^2*MAX(((ABS(J120)/MAX(((F35)+(H35)*(MAX($D$16,(E120)-(J35))))*(MAX($D$16,(E120)-(J35))),0.000001))^2)/(2*$I$5),((ABS(J120)/MAX(((G35)+(I35)*(MAX($D$16,(N120)-(K35))))*(MAX($D$16,(N120)-(K35))),0.000001))^2)/(2*$I$5))))-((ABS(J120)/MAX(((F35)+(H35)*(MAX($D$16,(E120)-(J35))))*(MAX($D$16,(E120)-(J35))),0.000001))^2)/(2*$I$5)</f>
        <v>20784.033523923383</v>
      </c>
      <c r="U120">
        <f>(((((F32)*(MAX($D$16,(D120)-(J32)))^2)/2+(H32)*(MAX($D$16,(D120)-(J32)))^3/3+(ABS(G120)^2)/($I$5*MAX(((F32)+(H32)*(MAX($D$16,(D120)-(J32))))*(MAX($D$16,(D120)-(J32))),0.000001)))*0.72785025)-((((F33)*(MAX($D$16,(D120)-(J33)))^2)/2+(H33)*(MAX($D$16,(D120)-(J33)))^3/3+(ABS(H120)^2)/($I$5*MAX(((F33)+(H33)*(MAX($D$16,(D120)-(J33))))*(MAX($D$16,(D120)-(J33))),0.000001)))*0.99999971))/MAX(((G31)*(MAX($D$16,(D120)-(K31)))^2)/2+(I31)*(MAX($D$16,(D120)-(K31)))^3/3+(ABS(F120)^2)/($I$5*MAX(((G31)+(I31)*(MAX($D$16,(D120)-(K31))))*(MAX($D$16,(D120)-(K31))),0.000001)),0.000001)</f>
        <v>-0.27214945999991125</v>
      </c>
      <c r="V120">
        <f>(((((F34)*(MAX($D$16,(E120)-(J34)))^2)/2+(H34)*(MAX($D$16,(E120)-(J34)))^3/3+(ABS(I120)^2)/($I$5*MAX(((F34)+(H34)*(MAX($D$16,(E120)-(J34))))*(MAX($D$16,(E120)-(J34))),0.000001)))*1)-((((F35)*(MAX($D$16,(E120)-(J35)))^2)/2+(H35)*(MAX($D$16,(E120)-(J35)))^3/3+(ABS(J120)^2)/($I$5*MAX(((F35)+(H35)*(MAX($D$16,(E120)-(J35))))*(MAX($D$16,(E120)-(J35))),0.000001)))*0.30600918))/MAX(((G32)*(MAX($D$16,(E120)-(K32)))^2)/2+(I32)*(MAX($D$16,(E120)-(K32)))^3/3+(ABS(G120)^2)/($I$5*MAX(((G32)+(I32)*(MAX($D$16,(E120)-(K32))))*(MAX($D$16,(E120)-(K32))),0.000001)),0.000001)</f>
        <v>0.69398638937190393</v>
      </c>
      <c r="W120">
        <f>IF(N6="None",ABS(P120-D120),MAX(ABS(P120-D120),ABS(Q120-D120)))</f>
        <v>3.4197000786662102E-10</v>
      </c>
      <c r="X120">
        <f>IF(AND(N7="None",N8="None"),0,IF(N8="None",ABS(S120-E120),IF(N7="None",ABS(T120-E120),MAX(ABS(S120-E120),ABS(T120-E120)))))</f>
        <v>51796.641837663061</v>
      </c>
      <c r="AA120">
        <f t="shared" si="33"/>
        <v>52432.141837663388</v>
      </c>
      <c r="AB120">
        <f t="shared" si="34"/>
        <v>41355.303927854176</v>
      </c>
      <c r="AC120">
        <f>IF(N6="None",P120,MAX(P120,Q120))</f>
        <v>52432.141837663614</v>
      </c>
      <c r="AD120">
        <f>IF(AND(N7="None",N8="None"),E120,IF(N8="None",S120,IF(N7="None",T120,MAX(S120,T120))))</f>
        <v>20784.033523923383</v>
      </c>
      <c r="AE120">
        <f t="shared" si="35"/>
        <v>637.65825101089831</v>
      </c>
      <c r="AF120">
        <f t="shared" si="36"/>
        <v>52432.141837663403</v>
      </c>
      <c r="AG120">
        <f>((G31)*(MAX($D$16,(AC120)-(K31)))^2)/2+(I31)*(MAX($D$16,(AC120)-(K31)))^3/3+(ABS(F120)^2)/($I$5*MAX(((G31)+(I31)*(MAX($D$16,(AC120)-(K31))))*(MAX($D$16,(AC120)-(K31))),0.000001))</f>
        <v>8797611517.4121838</v>
      </c>
      <c r="AH120">
        <f>((G31)*(MAX($D$16,(AE120)-(K31)))^2)/2+(I31)*(MAX($D$16,(AE120)-(K31)))^3/3+(ABS(F120)^2)/($I$5*MAX(((G31)+(I31)*(MAX($D$16,(AE120)-(K31))))*(MAX($D$16,(AE120)-(K31))),0.000001))</f>
        <v>49.055863329575246</v>
      </c>
      <c r="AI120">
        <f>((G32)*(MAX($D$16,(AD120)-(K32)))^2)/2+(I32)*(MAX($D$16,(AD120)-(K32)))^3/3+(ABS(G120)^2)/($I$5*MAX(((G32)+(I32)*(MAX($D$16,(AD120)-(K32))))*(MAX($D$16,(AD120)-(K32))),0.000001))</f>
        <v>2072376743.6648321</v>
      </c>
      <c r="AJ120">
        <f>((G32)*(MAX($D$16,(AF120)-(K32)))^2)/2+(I32)*(MAX($D$16,(AF120)-(K32)))^3/3+(ABS(G120)^2)/($I$5*MAX(((G32)+(I32)*(MAX($D$16,(AF120)-(K32))))*(MAX($D$16,(AF120)-(K32))),0.000001))</f>
        <v>13692714789.644827</v>
      </c>
      <c r="AK120" t="str">
        <f t="shared" si="37"/>
        <v>Subcritical</v>
      </c>
      <c r="AL120" t="str">
        <f t="shared" si="38"/>
        <v>Supercritical</v>
      </c>
      <c r="AM120">
        <f t="shared" si="39"/>
        <v>52432.141837663388</v>
      </c>
      <c r="AN120">
        <f t="shared" si="40"/>
        <v>52432.141837663177</v>
      </c>
      <c r="AO120">
        <f t="shared" si="41"/>
        <v>3.4197000786662102E-10</v>
      </c>
      <c r="AP120">
        <f t="shared" si="42"/>
        <v>3.4197000786662102E-10</v>
      </c>
    </row>
    <row r="121" spans="1:42" x14ac:dyDescent="0.35">
      <c r="A121">
        <v>78</v>
      </c>
      <c r="B121">
        <f t="shared" si="43"/>
        <v>0</v>
      </c>
      <c r="C121">
        <f t="shared" si="44"/>
        <v>0</v>
      </c>
      <c r="D121">
        <f t="shared" si="45"/>
        <v>52432.141837663388</v>
      </c>
      <c r="E121">
        <f t="shared" si="46"/>
        <v>52432.141837663177</v>
      </c>
      <c r="F121">
        <f t="shared" si="32"/>
        <v>51</v>
      </c>
      <c r="G121">
        <f>IF(N6="None",F121,MAX(0,F121*B121))</f>
        <v>51</v>
      </c>
      <c r="H121">
        <f>IF(N6="None",0,MAX(0,F121-G121))</f>
        <v>0</v>
      </c>
      <c r="I121">
        <f>IF(AND(N7="None",N8="None"),0,IF(N8="None",G121,IF(N7="None",0,MAX(0,G121*C121))))</f>
        <v>0</v>
      </c>
      <c r="J121">
        <f>IF(AND(N7="None",N8="None"),0,IF(N8="None",0,IF(N7="None",G121,MAX(0,G121-I121))))</f>
        <v>51</v>
      </c>
      <c r="K121">
        <f>P5</f>
        <v>637</v>
      </c>
      <c r="L121">
        <f>P6</f>
        <v>634.3119999999999</v>
      </c>
      <c r="M121">
        <f>P7</f>
        <v>635.5</v>
      </c>
      <c r="N121">
        <f>P8</f>
        <v>631.54999999999995</v>
      </c>
      <c r="O121">
        <f>K121+((ABS(F121)/MAX(((F31)+(H31)*(MAX($D$16,(K121)-(J31))))*(MAX($D$16,(K121)-(J31))),0.000001))^2)/(2*$I$5)-((E31)*((((ABS(F121)*$D$6)/(MAX(((F31)+(H31)*(MAX($D$16,(K121)-(J31))))*(MAX($D$16,(K121)-(J31))),0.000001)*MAX(((((F31)+(H31)*(MAX($D$16,(K121)-(J31))))*(MAX($D$16,(K121)-(J31))))/MAX((F31)+2*(MAX($D$16,(K121)-(J31)))*SQRT(1+(H31)^2),0.000001))^(2/3),0.000001)))^2)+(((ABS(F121)*$D$6)/(MAX(((G31)+(I31)*(MAX($D$16,(D121)-(K31))))*(MAX($D$16,(D121)-(K31))),0.000001)*MAX(((((G31)+(I31)*(MAX($D$16,(D121)-(K31))))*(MAX($D$16,(D121)-(K31))))/MAX((G31)+2*(MAX($D$16,(D121)-(K31)))*SQRT(1+(I31)^2),0.000001))^(2/3),0.000001)))^2))/2)+(IF((ABS(F121)/MAX(((G31)+(I31)*(MAX($D$16,(D121)-(K31))))*(MAX($D$16,(D121)-(K31))),0.000001))&gt;(ABS(F121)/MAX(((F31)+(H31)*(MAX($D$16,(K121)-(J31))))*(MAX($D$16,(K121)-(J31))),0.000001)),$D$9*((((ABS(F121)/MAX(((G31)+(I31)*(MAX($D$16,(D121)-(K31))))*(MAX($D$16,(D121)-(K31))),0.000001))^2)/(2*$I$5))-(((ABS(F121)/MAX(((F31)+(H31)*(MAX($D$16,(K121)-(J31))))*(MAX($D$16,(K121)-(J31))),0.000001))^2)/(2*$I$5))),$D$8*((((ABS(F121)/MAX(((F31)+(H31)*(MAX($D$16,(K121)-(J31))))*(MAX($D$16,(K121)-(J31))),0.000001))^2)/(2*$I$5))-(((ABS(F121)/MAX(((G31)+(I31)*(MAX($D$16,(D121)-(K31))))*(MAX($D$16,(D121)-(K31))),0.000001))^2)/(2*$I$5)))))+($D$10*(ABS((X31)-(W31))/90)*MAX(((ABS(F121)/MAX(((F31)+(H31)*(MAX($D$16,(K121)-(J31))))*(MAX($D$16,(K121)-(J31))),0.000001))^2)/(2*$I$5),((ABS(F121)/MAX(((G31)+(I31)*(MAX($D$16,(D121)-(K31))))*(MAX($D$16,(D121)-(K31))),0.000001))^2)/(2*$I$5)))+(0)-((ABS(F121)/MAX(((G31)+(I31)*(MAX($D$16,(D121)-(K31))))*(MAX($D$16,(D121)-(K31))),0.000001))^2)/(2*$I$5)</f>
        <v>637.65825101089831</v>
      </c>
      <c r="P121">
        <f>E121+((ABS(G121)/MAX(((G32)+(I32)*(MAX($D$16,(E121)-(K32))))*(MAX($D$16,(E121)-(K32))),0.000001))^2)/(2*$I$5)+((E32)*((((ABS(G121)*$D$6)/(MAX(((F32)+(H32)*(MAX($D$16,(D121)-(J32))))*(MAX($D$16,(D121)-(J32))),0.000001)*MAX(((((F32)+(H32)*(MAX($D$16,(D121)-(J32))))*(MAX($D$16,(D121)-(J32))))/MAX((F32)+2*(MAX($D$16,(D121)-(J32)))*SQRT(1+(H32)^2),0.000001))^(2/3),0.000001)))^2)+(((ABS(G121)*$D$6)/(MAX(((G32)+(I32)*(MAX($D$16,(E121)-(K32))))*(MAX($D$16,(E121)-(K32))),0.000001)*MAX(((((G32)+(I32)*(MAX($D$16,(E121)-(K32))))*(MAX($D$16,(E121)-(K32))))/MAX((G32)+2*(MAX($D$16,(E121)-(K32)))*SQRT(1+(I32)^2),0.000001))^(2/3),0.000001)))^2))/2)+(IF((ABS(G121)/MAX(((G32)+(I32)*(MAX($D$16,(E121)-(K32))))*(MAX($D$16,(E121)-(K32))),0.000001))&gt;(ABS(G121)/MAX(((F32)+(H32)*(MAX($D$16,(D121)-(J32))))*(MAX($D$16,(D121)-(J32))),0.000001)),$D$9*((((ABS(G121)/MAX(((G32)+(I32)*(MAX($D$16,(E121)-(K32))))*(MAX($D$16,(E121)-(K32))),0.000001))^2)/(2*$I$5))-(((ABS(G121)/MAX(((F32)+(H32)*(MAX($D$16,(D121)-(J32))))*(MAX($D$16,(D121)-(J32))),0.000001))^2)/(2*$I$5))),$D$8*((((ABS(G121)/MAX(((F32)+(H32)*(MAX($D$16,(D121)-(J32))))*(MAX($D$16,(D121)-(J32))),0.000001))^2)/(2*$I$5))-(((ABS(G121)/MAX(((G32)+(I32)*(MAX($D$16,(E121)-(K32))))*(MAX($D$16,(E121)-(K32))),0.000001))^2)/(2*$I$5)))))+($D$10*(ABS((X32)-(W32))/90)*MAX(((ABS(G121)/MAX(((F32)+(H32)*(MAX($D$16,(D121)-(J32))))*(MAX($D$16,(D121)-(J32))),0.000001))^2)/(2*$I$5),((ABS(G121)/MAX(((G32)+(I32)*(MAX($D$16,(E121)-(K32))))*(MAX($D$16,(E121)-(K32))),0.000001))^2)/(2*$I$5)))+(($D$11*0.13607488*(ABS(H121)/MAX(ABS(F121),0.000001))^2*MAX(((ABS(G121)/MAX(((F32)+(H32)*(MAX($D$16,(D121)-(J32))))*(MAX($D$16,(D121)-(J32))),0.000001))^2)/(2*$I$5),((ABS(G121)/MAX(((G32)+(I32)*(MAX($D$16,(E121)-(K32))))*(MAX($D$16,(E121)-(K32))),0.000001))^2)/(2*$I$5))))-((ABS(G121)/MAX(((F32)+(H32)*(MAX($D$16,(D121)-(J32))))*(MAX($D$16,(D121)-(J32))),0.000001))^2)/(2*$I$5)</f>
        <v>52432.14183766373</v>
      </c>
      <c r="Q121">
        <f>L121+((ABS(H121)/MAX(((G33)+(I33)*(MAX($D$16,(L121)-(K33))))*(MAX($D$16,(L121)-(K33))),0.000001))^2)/(2*$I$5)+((E33)*((((ABS(H121)*$D$6)/(MAX(((F33)+(H33)*(MAX($D$16,(D121)-(J33))))*(MAX($D$16,(D121)-(J33))),0.000001)*MAX(((((F33)+(H33)*(MAX($D$16,(D121)-(J33))))*(MAX($D$16,(D121)-(J33))))/MAX((F33)+2*(MAX($D$16,(D121)-(J33)))*SQRT(1+(H33)^2),0.000001))^(2/3),0.000001)))^2)+(((ABS(H121)*$D$6)/(MAX(((G33)+(I33)*(MAX($D$16,(L121)-(K33))))*(MAX($D$16,(L121)-(K33))),0.000001)*MAX(((((G33)+(I33)*(MAX($D$16,(L121)-(K33))))*(MAX($D$16,(L121)-(K33))))/MAX((G33)+2*(MAX($D$16,(L121)-(K33)))*SQRT(1+(I33)^2),0.000001))^(2/3),0.000001)))^2))/2)+(IF((ABS(H121)/MAX(((G33)+(I33)*(MAX($D$16,(L121)-(K33))))*(MAX($D$16,(L121)-(K33))),0.000001))&gt;(ABS(H121)/MAX(((F33)+(H33)*(MAX($D$16,(D121)-(J33))))*(MAX($D$16,(D121)-(J33))),0.000001)),$D$9*((((ABS(H121)/MAX(((G33)+(I33)*(MAX($D$16,(L121)-(K33))))*(MAX($D$16,(L121)-(K33))),0.000001))^2)/(2*$I$5))-(((ABS(H121)/MAX(((F33)+(H33)*(MAX($D$16,(D121)-(J33))))*(MAX($D$16,(D121)-(J33))),0.000001))^2)/(2*$I$5))),$D$8*((((ABS(H121)/MAX(((F33)+(H33)*(MAX($D$16,(D121)-(J33))))*(MAX($D$16,(D121)-(J33))),0.000001))^2)/(2*$I$5))-(((ABS(H121)/MAX(((G33)+(I33)*(MAX($D$16,(L121)-(K33))))*(MAX($D$16,(L121)-(K33))),0.000001))^2)/(2*$I$5)))))+($D$10*(ABS((X33)-(W33))/90)*MAX(((ABS(H121)/MAX(((F33)+(H33)*(MAX($D$16,(D121)-(J33))))*(MAX($D$16,(D121)-(J33))),0.000001))^2)/(2*$I$5),((ABS(H121)/MAX(((G33)+(I33)*(MAX($D$16,(L121)-(K33))))*(MAX($D$16,(L121)-(K33))),0.000001))^2)/(2*$I$5)))+(($D$11*0.00000015*(ABS(G121)/MAX(ABS(F121),0.000001))^2*MAX(((ABS(H121)/MAX(((F33)+(H33)*(MAX($D$16,(D121)-(J33))))*(MAX($D$16,(D121)-(J33))),0.000001))^2)/(2*$I$5),((ABS(H121)/MAX(((G33)+(I33)*(MAX($D$16,(L121)-(K33))))*(MAX($D$16,(L121)-(K33))),0.000001))^2)/(2*$I$5))))-((ABS(H121)/MAX(((F33)+(H33)*(MAX($D$16,(D121)-(J33))))*(MAX($D$16,(D121)-(J33))),0.000001))^2)/(2*$I$5)</f>
        <v>634.3119999999999</v>
      </c>
      <c r="R121">
        <f>D121+((ABS(G121)/MAX(((F32)+(H32)*(MAX($D$16,(D121)-(J32))))*(MAX($D$16,(D121)-(J32))),0.000001))^2)/(2*$I$5)-((E32)*((((ABS(G121)*$D$6)/(MAX(((F32)+(H32)*(MAX($D$16,(D121)-(J32))))*(MAX($D$16,(D121)-(J32))),0.000001)*MAX(((((F32)+(H32)*(MAX($D$16,(D121)-(J32))))*(MAX($D$16,(D121)-(J32))))/MAX((F32)+2*(MAX($D$16,(D121)-(J32)))*SQRT(1+(H32)^2),0.000001))^(2/3),0.000001)))^2)+(((ABS(G121)*$D$6)/(MAX(((G32)+(I32)*(MAX($D$16,(E121)-(K32))))*(MAX($D$16,(E121)-(K32))),0.000001)*MAX(((((G32)+(I32)*(MAX($D$16,(E121)-(K32))))*(MAX($D$16,(E121)-(K32))))/MAX((G32)+2*(MAX($D$16,(E121)-(K32)))*SQRT(1+(I32)^2),0.000001))^(2/3),0.000001)))^2))/2)+(IF((ABS(G121)/MAX(((G32)+(I32)*(MAX($D$16,(E121)-(K32))))*(MAX($D$16,(E121)-(K32))),0.000001))&gt;(ABS(G121)/MAX(((F32)+(H32)*(MAX($D$16,(D121)-(J32))))*(MAX($D$16,(D121)-(J32))),0.000001)),$D$9*((((ABS(G121)/MAX(((G32)+(I32)*(MAX($D$16,(E121)-(K32))))*(MAX($D$16,(E121)-(K32))),0.000001))^2)/(2*$I$5))-(((ABS(G121)/MAX(((F32)+(H32)*(MAX($D$16,(D121)-(J32))))*(MAX($D$16,(D121)-(J32))),0.000001))^2)/(2*$I$5))),$D$8*((((ABS(G121)/MAX(((F32)+(H32)*(MAX($D$16,(D121)-(J32))))*(MAX($D$16,(D121)-(J32))),0.000001))^2)/(2*$I$5))-(((ABS(G121)/MAX(((G32)+(I32)*(MAX($D$16,(E121)-(K32))))*(MAX($D$16,(E121)-(K32))),0.000001))^2)/(2*$I$5)))))+($D$10*(ABS((X32)-(W32))/90)*MAX(((ABS(G121)/MAX(((F32)+(H32)*(MAX($D$16,(D121)-(J32))))*(MAX($D$16,(D121)-(J32))),0.000001))^2)/(2*$I$5),((ABS(G121)/MAX(((G32)+(I32)*(MAX($D$16,(E121)-(K32))))*(MAX($D$16,(E121)-(K32))),0.000001))^2)/(2*$I$5)))+(($D$11*0.13607488*(ABS(H121)/MAX(ABS(F121),0.000001))^2*MAX(((ABS(G121)/MAX(((F32)+(H32)*(MAX($D$16,(D121)-(J32))))*(MAX($D$16,(D121)-(J32))),0.000001))^2)/(2*$I$5),((ABS(G121)/MAX(((G32)+(I32)*(MAX($D$16,(E121)-(K32))))*(MAX($D$16,(E121)-(K32))),0.000001))^2)/(2*$I$5))))-((ABS(G121)/MAX(((G32)+(I32)*(MAX($D$16,(E121)-(K32))))*(MAX($D$16,(E121)-(K32))),0.000001))^2)/(2*$I$5)</f>
        <v>52432.141837663519</v>
      </c>
      <c r="S121">
        <f>M121+((ABS(I121)/MAX(((G34)+(I34)*(MAX($D$16,(M121)-(K34))))*(MAX($D$16,(M121)-(K34))),0.000001))^2)/(2*$I$5)+((E34)*((((ABS(I121)*$D$6)/(MAX(((F34)+(H34)*(MAX($D$16,(E121)-(J34))))*(MAX($D$16,(E121)-(J34))),0.000001)*MAX(((((F34)+(H34)*(MAX($D$16,(E121)-(J34))))*(MAX($D$16,(E121)-(J34))))/MAX((F34)+2*(MAX($D$16,(E121)-(J34)))*SQRT(1+(H34)^2),0.000001))^(2/3),0.000001)))^2)+(((ABS(I121)*$D$6)/(MAX(((G34)+(I34)*(MAX($D$16,(M121)-(K34))))*(MAX($D$16,(M121)-(K34))),0.000001)*MAX(((((G34)+(I34)*(MAX($D$16,(M121)-(K34))))*(MAX($D$16,(M121)-(K34))))/MAX((G34)+2*(MAX($D$16,(M121)-(K34)))*SQRT(1+(I34)^2),0.000001))^(2/3),0.000001)))^2))/2)+(IF((ABS(I121)/MAX(((G34)+(I34)*(MAX($D$16,(M121)-(K34))))*(MAX($D$16,(M121)-(K34))),0.000001))&gt;(ABS(I121)/MAX(((F34)+(H34)*(MAX($D$16,(E121)-(J34))))*(MAX($D$16,(E121)-(J34))),0.000001)),$D$9*((((ABS(I121)/MAX(((G34)+(I34)*(MAX($D$16,(M121)-(K34))))*(MAX($D$16,(M121)-(K34))),0.000001))^2)/(2*$I$5))-(((ABS(I121)/MAX(((F34)+(H34)*(MAX($D$16,(E121)-(J34))))*(MAX($D$16,(E121)-(J34))),0.000001))^2)/(2*$I$5))),$D$8*((((ABS(I121)/MAX(((F34)+(H34)*(MAX($D$16,(E121)-(J34))))*(MAX($D$16,(E121)-(J34))),0.000001))^2)/(2*$I$5))-(((ABS(I121)/MAX(((G34)+(I34)*(MAX($D$16,(M121)-(K34))))*(MAX($D$16,(M121)-(K34))),0.000001))^2)/(2*$I$5)))))+($D$10*(ABS((X34)-(W34))/90)*MAX(((ABS(I121)/MAX(((F34)+(H34)*(MAX($D$16,(E121)-(J34))))*(MAX($D$16,(E121)-(J34))),0.000001))^2)/(2*$I$5),((ABS(I121)/MAX(((G34)+(I34)*(MAX($D$16,(M121)-(K34))))*(MAX($D$16,(M121)-(K34))),0.000001))^2)/(2*$I$5)))+(0)-((ABS(I121)/MAX(((F34)+(H34)*(MAX($D$16,(E121)-(J34))))*(MAX($D$16,(E121)-(J34))),0.000001))^2)/(2*$I$5)</f>
        <v>635.5</v>
      </c>
      <c r="T121">
        <f>N121+((ABS(J121)/MAX(((G35)+(I35)*(MAX($D$16,(N121)-(K35))))*(MAX($D$16,(N121)-(K35))),0.000001))^2)/(2*$I$5)+((E35)*((((ABS(J121)*$D$6)/(MAX(((F35)+(H35)*(MAX($D$16,(E121)-(J35))))*(MAX($D$16,(E121)-(J35))),0.000001)*MAX(((((F35)+(H35)*(MAX($D$16,(E121)-(J35))))*(MAX($D$16,(E121)-(J35))))/MAX((F35)+2*(MAX($D$16,(E121)-(J35)))*SQRT(1+(H35)^2),0.000001))^(2/3),0.000001)))^2)+(((ABS(J121)*$D$6)/(MAX(((G35)+(I35)*(MAX($D$16,(N121)-(K35))))*(MAX($D$16,(N121)-(K35))),0.000001)*MAX(((((G35)+(I35)*(MAX($D$16,(N121)-(K35))))*(MAX($D$16,(N121)-(K35))))/MAX((G35)+2*(MAX($D$16,(N121)-(K35)))*SQRT(1+(I35)^2),0.000001))^(2/3),0.000001)))^2))/2)+(IF((ABS(J121)/MAX(((G35)+(I35)*(MAX($D$16,(N121)-(K35))))*(MAX($D$16,(N121)-(K35))),0.000001))&gt;(ABS(J121)/MAX(((F35)+(H35)*(MAX($D$16,(E121)-(J35))))*(MAX($D$16,(E121)-(J35))),0.000001)),$D$9*((((ABS(J121)/MAX(((G35)+(I35)*(MAX($D$16,(N121)-(K35))))*(MAX($D$16,(N121)-(K35))),0.000001))^2)/(2*$I$5))-(((ABS(J121)/MAX(((F35)+(H35)*(MAX($D$16,(E121)-(J35))))*(MAX($D$16,(E121)-(J35))),0.000001))^2)/(2*$I$5))),$D$8*((((ABS(J121)/MAX(((F35)+(H35)*(MAX($D$16,(E121)-(J35))))*(MAX($D$16,(E121)-(J35))),0.000001))^2)/(2*$I$5))-(((ABS(J121)/MAX(((G35)+(I35)*(MAX($D$16,(N121)-(K35))))*(MAX($D$16,(N121)-(K35))),0.000001))^2)/(2*$I$5)))))+($D$10*(ABS((X35)-(W35))/90)*MAX(((ABS(J121)/MAX(((F35)+(H35)*(MAX($D$16,(E121)-(J35))))*(MAX($D$16,(E121)-(J35))),0.000001))^2)/(2*$I$5),((ABS(J121)/MAX(((G35)+(I35)*(MAX($D$16,(N121)-(K35))))*(MAX($D$16,(N121)-(K35))),0.000001))^2)/(2*$I$5)))+(($D$11*0.34699541*(ABS(I121)/MAX(ABS(G121),0.000001))^2*MAX(((ABS(J121)/MAX(((F35)+(H35)*(MAX($D$16,(E121)-(J35))))*(MAX($D$16,(E121)-(J35))),0.000001))^2)/(2*$I$5),((ABS(J121)/MAX(((G35)+(I35)*(MAX($D$16,(N121)-(K35))))*(MAX($D$16,(N121)-(K35))),0.000001))^2)/(2*$I$5))))-((ABS(J121)/MAX(((F35)+(H35)*(MAX($D$16,(E121)-(J35))))*(MAX($D$16,(E121)-(J35))),0.000001))^2)/(2*$I$5)</f>
        <v>20784.033523923383</v>
      </c>
      <c r="U121">
        <f>(((((F32)*(MAX($D$16,(D121)-(J32)))^2)/2+(H32)*(MAX($D$16,(D121)-(J32)))^3/3+(ABS(G121)^2)/($I$5*MAX(((F32)+(H32)*(MAX($D$16,(D121)-(J32))))*(MAX($D$16,(D121)-(J32))),0.000001)))*0.72785025)-((((F33)*(MAX($D$16,(D121)-(J33)))^2)/2+(H33)*(MAX($D$16,(D121)-(J33)))^3/3+(ABS(H121)^2)/($I$5*MAX(((F33)+(H33)*(MAX($D$16,(D121)-(J33))))*(MAX($D$16,(D121)-(J33))),0.000001)))*0.99999971))/MAX(((G31)*(MAX($D$16,(D121)-(K31)))^2)/2+(I31)*(MAX($D$16,(D121)-(K31)))^3/3+(ABS(F121)^2)/($I$5*MAX(((G31)+(I31)*(MAX($D$16,(D121)-(K31))))*(MAX($D$16,(D121)-(K31))),0.000001)),0.000001)</f>
        <v>-0.27214945999991125</v>
      </c>
      <c r="V121">
        <f>(((((F34)*(MAX($D$16,(E121)-(J34)))^2)/2+(H34)*(MAX($D$16,(E121)-(J34)))^3/3+(ABS(I121)^2)/($I$5*MAX(((F34)+(H34)*(MAX($D$16,(E121)-(J34))))*(MAX($D$16,(E121)-(J34))),0.000001)))*1)-((((F35)*(MAX($D$16,(E121)-(J35)))^2)/2+(H35)*(MAX($D$16,(E121)-(J35)))^3/3+(ABS(J121)^2)/($I$5*MAX(((F35)+(H35)*(MAX($D$16,(E121)-(J35))))*(MAX($D$16,(E121)-(J35))),0.000001)))*0.30600918))/MAX(((G32)*(MAX($D$16,(E121)-(K32)))^2)/2+(I32)*(MAX($D$16,(E121)-(K32)))^3/3+(ABS(G121)^2)/($I$5*MAX(((G32)+(I32)*(MAX($D$16,(E121)-(K32))))*(MAX($D$16,(E121)-(K32))),0.000001)),0.000001)</f>
        <v>0.69398638937190393</v>
      </c>
      <c r="W121">
        <f>IF(N6="None",ABS(P121-D121),MAX(ABS(P121-D121),ABS(Q121-D121)))</f>
        <v>3.4197000786662102E-10</v>
      </c>
      <c r="X121">
        <f>IF(AND(N7="None",N8="None"),0,IF(N8="None",ABS(S121-E121),IF(N7="None",ABS(T121-E121),MAX(ABS(S121-E121),ABS(T121-E121)))))</f>
        <v>51796.641837663177</v>
      </c>
      <c r="AA121">
        <f t="shared" si="33"/>
        <v>52432.141837663505</v>
      </c>
      <c r="AB121">
        <f t="shared" si="34"/>
        <v>41355.303927854249</v>
      </c>
      <c r="AC121">
        <f>IF(N6="None",P121,MAX(P121,Q121))</f>
        <v>52432.14183766373</v>
      </c>
      <c r="AD121">
        <f>IF(AND(N7="None",N8="None"),E121,IF(N8="None",S121,IF(N7="None",T121,MAX(S121,T121))))</f>
        <v>20784.033523923383</v>
      </c>
      <c r="AE121">
        <f t="shared" si="35"/>
        <v>637.65825101089831</v>
      </c>
      <c r="AF121">
        <f t="shared" si="36"/>
        <v>52432.141837663519</v>
      </c>
      <c r="AG121">
        <f>((G31)*(MAX($D$16,(AC121)-(K31)))^2)/2+(I31)*(MAX($D$16,(AC121)-(K31)))^3/3+(ABS(F121)^2)/($I$5*MAX(((G31)+(I31)*(MAX($D$16,(AC121)-(K31))))*(MAX($D$16,(AC121)-(K31))),0.000001))</f>
        <v>8797611517.4122219</v>
      </c>
      <c r="AH121">
        <f>((G31)*(MAX($D$16,(AE121)-(K31)))^2)/2+(I31)*(MAX($D$16,(AE121)-(K31)))^3/3+(ABS(F121)^2)/($I$5*MAX(((G31)+(I31)*(MAX($D$16,(AE121)-(K31))))*(MAX($D$16,(AE121)-(K31))),0.000001))</f>
        <v>49.055863329575246</v>
      </c>
      <c r="AI121">
        <f>((G32)*(MAX($D$16,(AD121)-(K32)))^2)/2+(I32)*(MAX($D$16,(AD121)-(K32)))^3/3+(ABS(G121)^2)/($I$5*MAX(((G32)+(I32)*(MAX($D$16,(AD121)-(K32))))*(MAX($D$16,(AD121)-(K32))),0.000001))</f>
        <v>2072376743.6648321</v>
      </c>
      <c r="AJ121">
        <f>((G32)*(MAX($D$16,(AF121)-(K32)))^2)/2+(I32)*(MAX($D$16,(AF121)-(K32)))^3/3+(ABS(G121)^2)/($I$5*MAX(((G32)+(I32)*(MAX($D$16,(AF121)-(K32))))*(MAX($D$16,(AF121)-(K32))),0.000001))</f>
        <v>13692714789.64489</v>
      </c>
      <c r="AK121" t="str">
        <f t="shared" si="37"/>
        <v>Subcritical</v>
      </c>
      <c r="AL121" t="str">
        <f t="shared" si="38"/>
        <v>Supercritical</v>
      </c>
      <c r="AM121">
        <f t="shared" si="39"/>
        <v>52432.141837663505</v>
      </c>
      <c r="AN121">
        <f t="shared" si="40"/>
        <v>52432.141837663294</v>
      </c>
      <c r="AO121">
        <f t="shared" si="41"/>
        <v>3.4197000786662102E-10</v>
      </c>
      <c r="AP121">
        <f t="shared" si="42"/>
        <v>3.4197000786662102E-10</v>
      </c>
    </row>
    <row r="122" spans="1:42" x14ac:dyDescent="0.35">
      <c r="A122">
        <v>79</v>
      </c>
      <c r="B122">
        <f t="shared" si="43"/>
        <v>0</v>
      </c>
      <c r="C122">
        <f t="shared" si="44"/>
        <v>0</v>
      </c>
      <c r="D122">
        <f t="shared" si="45"/>
        <v>52432.141837663505</v>
      </c>
      <c r="E122">
        <f t="shared" si="46"/>
        <v>52432.141837663294</v>
      </c>
      <c r="F122">
        <f t="shared" si="32"/>
        <v>51</v>
      </c>
      <c r="G122">
        <f>IF(N6="None",F122,MAX(0,F122*B122))</f>
        <v>51</v>
      </c>
      <c r="H122">
        <f>IF(N6="None",0,MAX(0,F122-G122))</f>
        <v>0</v>
      </c>
      <c r="I122">
        <f>IF(AND(N7="None",N8="None"),0,IF(N8="None",G122,IF(N7="None",0,MAX(0,G122*C122))))</f>
        <v>0</v>
      </c>
      <c r="J122">
        <f>IF(AND(N7="None",N8="None"),0,IF(N8="None",0,IF(N7="None",G122,MAX(0,G122-I122))))</f>
        <v>51</v>
      </c>
      <c r="K122">
        <f>P5</f>
        <v>637</v>
      </c>
      <c r="L122">
        <f>P6</f>
        <v>634.3119999999999</v>
      </c>
      <c r="M122">
        <f>P7</f>
        <v>635.5</v>
      </c>
      <c r="N122">
        <f>P8</f>
        <v>631.54999999999995</v>
      </c>
      <c r="O122">
        <f>K122+((ABS(F122)/MAX(((F31)+(H31)*(MAX($D$16,(K122)-(J31))))*(MAX($D$16,(K122)-(J31))),0.000001))^2)/(2*$I$5)-((E31)*((((ABS(F122)*$D$6)/(MAX(((F31)+(H31)*(MAX($D$16,(K122)-(J31))))*(MAX($D$16,(K122)-(J31))),0.000001)*MAX(((((F31)+(H31)*(MAX($D$16,(K122)-(J31))))*(MAX($D$16,(K122)-(J31))))/MAX((F31)+2*(MAX($D$16,(K122)-(J31)))*SQRT(1+(H31)^2),0.000001))^(2/3),0.000001)))^2)+(((ABS(F122)*$D$6)/(MAX(((G31)+(I31)*(MAX($D$16,(D122)-(K31))))*(MAX($D$16,(D122)-(K31))),0.000001)*MAX(((((G31)+(I31)*(MAX($D$16,(D122)-(K31))))*(MAX($D$16,(D122)-(K31))))/MAX((G31)+2*(MAX($D$16,(D122)-(K31)))*SQRT(1+(I31)^2),0.000001))^(2/3),0.000001)))^2))/2)+(IF((ABS(F122)/MAX(((G31)+(I31)*(MAX($D$16,(D122)-(K31))))*(MAX($D$16,(D122)-(K31))),0.000001))&gt;(ABS(F122)/MAX(((F31)+(H31)*(MAX($D$16,(K122)-(J31))))*(MAX($D$16,(K122)-(J31))),0.000001)),$D$9*((((ABS(F122)/MAX(((G31)+(I31)*(MAX($D$16,(D122)-(K31))))*(MAX($D$16,(D122)-(K31))),0.000001))^2)/(2*$I$5))-(((ABS(F122)/MAX(((F31)+(H31)*(MAX($D$16,(K122)-(J31))))*(MAX($D$16,(K122)-(J31))),0.000001))^2)/(2*$I$5))),$D$8*((((ABS(F122)/MAX(((F31)+(H31)*(MAX($D$16,(K122)-(J31))))*(MAX($D$16,(K122)-(J31))),0.000001))^2)/(2*$I$5))-(((ABS(F122)/MAX(((G31)+(I31)*(MAX($D$16,(D122)-(K31))))*(MAX($D$16,(D122)-(K31))),0.000001))^2)/(2*$I$5)))))+($D$10*(ABS((X31)-(W31))/90)*MAX(((ABS(F122)/MAX(((F31)+(H31)*(MAX($D$16,(K122)-(J31))))*(MAX($D$16,(K122)-(J31))),0.000001))^2)/(2*$I$5),((ABS(F122)/MAX(((G31)+(I31)*(MAX($D$16,(D122)-(K31))))*(MAX($D$16,(D122)-(K31))),0.000001))^2)/(2*$I$5)))+(0)-((ABS(F122)/MAX(((G31)+(I31)*(MAX($D$16,(D122)-(K31))))*(MAX($D$16,(D122)-(K31))),0.000001))^2)/(2*$I$5)</f>
        <v>637.65825101089831</v>
      </c>
      <c r="P122">
        <f>E122+((ABS(G122)/MAX(((G32)+(I32)*(MAX($D$16,(E122)-(K32))))*(MAX($D$16,(E122)-(K32))),0.000001))^2)/(2*$I$5)+((E32)*((((ABS(G122)*$D$6)/(MAX(((F32)+(H32)*(MAX($D$16,(D122)-(J32))))*(MAX($D$16,(D122)-(J32))),0.000001)*MAX(((((F32)+(H32)*(MAX($D$16,(D122)-(J32))))*(MAX($D$16,(D122)-(J32))))/MAX((F32)+2*(MAX($D$16,(D122)-(J32)))*SQRT(1+(H32)^2),0.000001))^(2/3),0.000001)))^2)+(((ABS(G122)*$D$6)/(MAX(((G32)+(I32)*(MAX($D$16,(E122)-(K32))))*(MAX($D$16,(E122)-(K32))),0.000001)*MAX(((((G32)+(I32)*(MAX($D$16,(E122)-(K32))))*(MAX($D$16,(E122)-(K32))))/MAX((G32)+2*(MAX($D$16,(E122)-(K32)))*SQRT(1+(I32)^2),0.000001))^(2/3),0.000001)))^2))/2)+(IF((ABS(G122)/MAX(((G32)+(I32)*(MAX($D$16,(E122)-(K32))))*(MAX($D$16,(E122)-(K32))),0.000001))&gt;(ABS(G122)/MAX(((F32)+(H32)*(MAX($D$16,(D122)-(J32))))*(MAX($D$16,(D122)-(J32))),0.000001)),$D$9*((((ABS(G122)/MAX(((G32)+(I32)*(MAX($D$16,(E122)-(K32))))*(MAX($D$16,(E122)-(K32))),0.000001))^2)/(2*$I$5))-(((ABS(G122)/MAX(((F32)+(H32)*(MAX($D$16,(D122)-(J32))))*(MAX($D$16,(D122)-(J32))),0.000001))^2)/(2*$I$5))),$D$8*((((ABS(G122)/MAX(((F32)+(H32)*(MAX($D$16,(D122)-(J32))))*(MAX($D$16,(D122)-(J32))),0.000001))^2)/(2*$I$5))-(((ABS(G122)/MAX(((G32)+(I32)*(MAX($D$16,(E122)-(K32))))*(MAX($D$16,(E122)-(K32))),0.000001))^2)/(2*$I$5)))))+($D$10*(ABS((X32)-(W32))/90)*MAX(((ABS(G122)/MAX(((F32)+(H32)*(MAX($D$16,(D122)-(J32))))*(MAX($D$16,(D122)-(J32))),0.000001))^2)/(2*$I$5),((ABS(G122)/MAX(((G32)+(I32)*(MAX($D$16,(E122)-(K32))))*(MAX($D$16,(E122)-(K32))),0.000001))^2)/(2*$I$5)))+(($D$11*0.13607488*(ABS(H122)/MAX(ABS(F122),0.000001))^2*MAX(((ABS(G122)/MAX(((F32)+(H32)*(MAX($D$16,(D122)-(J32))))*(MAX($D$16,(D122)-(J32))),0.000001))^2)/(2*$I$5),((ABS(G122)/MAX(((G32)+(I32)*(MAX($D$16,(E122)-(K32))))*(MAX($D$16,(E122)-(K32))),0.000001))^2)/(2*$I$5))))-((ABS(G122)/MAX(((F32)+(H32)*(MAX($D$16,(D122)-(J32))))*(MAX($D$16,(D122)-(J32))),0.000001))^2)/(2*$I$5)</f>
        <v>52432.141837663847</v>
      </c>
      <c r="Q122">
        <f>L122+((ABS(H122)/MAX(((G33)+(I33)*(MAX($D$16,(L122)-(K33))))*(MAX($D$16,(L122)-(K33))),0.000001))^2)/(2*$I$5)+((E33)*((((ABS(H122)*$D$6)/(MAX(((F33)+(H33)*(MAX($D$16,(D122)-(J33))))*(MAX($D$16,(D122)-(J33))),0.000001)*MAX(((((F33)+(H33)*(MAX($D$16,(D122)-(J33))))*(MAX($D$16,(D122)-(J33))))/MAX((F33)+2*(MAX($D$16,(D122)-(J33)))*SQRT(1+(H33)^2),0.000001))^(2/3),0.000001)))^2)+(((ABS(H122)*$D$6)/(MAX(((G33)+(I33)*(MAX($D$16,(L122)-(K33))))*(MAX($D$16,(L122)-(K33))),0.000001)*MAX(((((G33)+(I33)*(MAX($D$16,(L122)-(K33))))*(MAX($D$16,(L122)-(K33))))/MAX((G33)+2*(MAX($D$16,(L122)-(K33)))*SQRT(1+(I33)^2),0.000001))^(2/3),0.000001)))^2))/2)+(IF((ABS(H122)/MAX(((G33)+(I33)*(MAX($D$16,(L122)-(K33))))*(MAX($D$16,(L122)-(K33))),0.000001))&gt;(ABS(H122)/MAX(((F33)+(H33)*(MAX($D$16,(D122)-(J33))))*(MAX($D$16,(D122)-(J33))),0.000001)),$D$9*((((ABS(H122)/MAX(((G33)+(I33)*(MAX($D$16,(L122)-(K33))))*(MAX($D$16,(L122)-(K33))),0.000001))^2)/(2*$I$5))-(((ABS(H122)/MAX(((F33)+(H33)*(MAX($D$16,(D122)-(J33))))*(MAX($D$16,(D122)-(J33))),0.000001))^2)/(2*$I$5))),$D$8*((((ABS(H122)/MAX(((F33)+(H33)*(MAX($D$16,(D122)-(J33))))*(MAX($D$16,(D122)-(J33))),0.000001))^2)/(2*$I$5))-(((ABS(H122)/MAX(((G33)+(I33)*(MAX($D$16,(L122)-(K33))))*(MAX($D$16,(L122)-(K33))),0.000001))^2)/(2*$I$5)))))+($D$10*(ABS((X33)-(W33))/90)*MAX(((ABS(H122)/MAX(((F33)+(H33)*(MAX($D$16,(D122)-(J33))))*(MAX($D$16,(D122)-(J33))),0.000001))^2)/(2*$I$5),((ABS(H122)/MAX(((G33)+(I33)*(MAX($D$16,(L122)-(K33))))*(MAX($D$16,(L122)-(K33))),0.000001))^2)/(2*$I$5)))+(($D$11*0.00000015*(ABS(G122)/MAX(ABS(F122),0.000001))^2*MAX(((ABS(H122)/MAX(((F33)+(H33)*(MAX($D$16,(D122)-(J33))))*(MAX($D$16,(D122)-(J33))),0.000001))^2)/(2*$I$5),((ABS(H122)/MAX(((G33)+(I33)*(MAX($D$16,(L122)-(K33))))*(MAX($D$16,(L122)-(K33))),0.000001))^2)/(2*$I$5))))-((ABS(H122)/MAX(((F33)+(H33)*(MAX($D$16,(D122)-(J33))))*(MAX($D$16,(D122)-(J33))),0.000001))^2)/(2*$I$5)</f>
        <v>634.3119999999999</v>
      </c>
      <c r="R122">
        <f>D122+((ABS(G122)/MAX(((F32)+(H32)*(MAX($D$16,(D122)-(J32))))*(MAX($D$16,(D122)-(J32))),0.000001))^2)/(2*$I$5)-((E32)*((((ABS(G122)*$D$6)/(MAX(((F32)+(H32)*(MAX($D$16,(D122)-(J32))))*(MAX($D$16,(D122)-(J32))),0.000001)*MAX(((((F32)+(H32)*(MAX($D$16,(D122)-(J32))))*(MAX($D$16,(D122)-(J32))))/MAX((F32)+2*(MAX($D$16,(D122)-(J32)))*SQRT(1+(H32)^2),0.000001))^(2/3),0.000001)))^2)+(((ABS(G122)*$D$6)/(MAX(((G32)+(I32)*(MAX($D$16,(E122)-(K32))))*(MAX($D$16,(E122)-(K32))),0.000001)*MAX(((((G32)+(I32)*(MAX($D$16,(E122)-(K32))))*(MAX($D$16,(E122)-(K32))))/MAX((G32)+2*(MAX($D$16,(E122)-(K32)))*SQRT(1+(I32)^2),0.000001))^(2/3),0.000001)))^2))/2)+(IF((ABS(G122)/MAX(((G32)+(I32)*(MAX($D$16,(E122)-(K32))))*(MAX($D$16,(E122)-(K32))),0.000001))&gt;(ABS(G122)/MAX(((F32)+(H32)*(MAX($D$16,(D122)-(J32))))*(MAX($D$16,(D122)-(J32))),0.000001)),$D$9*((((ABS(G122)/MAX(((G32)+(I32)*(MAX($D$16,(E122)-(K32))))*(MAX($D$16,(E122)-(K32))),0.000001))^2)/(2*$I$5))-(((ABS(G122)/MAX(((F32)+(H32)*(MAX($D$16,(D122)-(J32))))*(MAX($D$16,(D122)-(J32))),0.000001))^2)/(2*$I$5))),$D$8*((((ABS(G122)/MAX(((F32)+(H32)*(MAX($D$16,(D122)-(J32))))*(MAX($D$16,(D122)-(J32))),0.000001))^2)/(2*$I$5))-(((ABS(G122)/MAX(((G32)+(I32)*(MAX($D$16,(E122)-(K32))))*(MAX($D$16,(E122)-(K32))),0.000001))^2)/(2*$I$5)))))+($D$10*(ABS((X32)-(W32))/90)*MAX(((ABS(G122)/MAX(((F32)+(H32)*(MAX($D$16,(D122)-(J32))))*(MAX($D$16,(D122)-(J32))),0.000001))^2)/(2*$I$5),((ABS(G122)/MAX(((G32)+(I32)*(MAX($D$16,(E122)-(K32))))*(MAX($D$16,(E122)-(K32))),0.000001))^2)/(2*$I$5)))+(($D$11*0.13607488*(ABS(H122)/MAX(ABS(F122),0.000001))^2*MAX(((ABS(G122)/MAX(((F32)+(H32)*(MAX($D$16,(D122)-(J32))))*(MAX($D$16,(D122)-(J32))),0.000001))^2)/(2*$I$5),((ABS(G122)/MAX(((G32)+(I32)*(MAX($D$16,(E122)-(K32))))*(MAX($D$16,(E122)-(K32))),0.000001))^2)/(2*$I$5))))-((ABS(G122)/MAX(((G32)+(I32)*(MAX($D$16,(E122)-(K32))))*(MAX($D$16,(E122)-(K32))),0.000001))^2)/(2*$I$5)</f>
        <v>52432.141837663636</v>
      </c>
      <c r="S122">
        <f>M122+((ABS(I122)/MAX(((G34)+(I34)*(MAX($D$16,(M122)-(K34))))*(MAX($D$16,(M122)-(K34))),0.000001))^2)/(2*$I$5)+((E34)*((((ABS(I122)*$D$6)/(MAX(((F34)+(H34)*(MAX($D$16,(E122)-(J34))))*(MAX($D$16,(E122)-(J34))),0.000001)*MAX(((((F34)+(H34)*(MAX($D$16,(E122)-(J34))))*(MAX($D$16,(E122)-(J34))))/MAX((F34)+2*(MAX($D$16,(E122)-(J34)))*SQRT(1+(H34)^2),0.000001))^(2/3),0.000001)))^2)+(((ABS(I122)*$D$6)/(MAX(((G34)+(I34)*(MAX($D$16,(M122)-(K34))))*(MAX($D$16,(M122)-(K34))),0.000001)*MAX(((((G34)+(I34)*(MAX($D$16,(M122)-(K34))))*(MAX($D$16,(M122)-(K34))))/MAX((G34)+2*(MAX($D$16,(M122)-(K34)))*SQRT(1+(I34)^2),0.000001))^(2/3),0.000001)))^2))/2)+(IF((ABS(I122)/MAX(((G34)+(I34)*(MAX($D$16,(M122)-(K34))))*(MAX($D$16,(M122)-(K34))),0.000001))&gt;(ABS(I122)/MAX(((F34)+(H34)*(MAX($D$16,(E122)-(J34))))*(MAX($D$16,(E122)-(J34))),0.000001)),$D$9*((((ABS(I122)/MAX(((G34)+(I34)*(MAX($D$16,(M122)-(K34))))*(MAX($D$16,(M122)-(K34))),0.000001))^2)/(2*$I$5))-(((ABS(I122)/MAX(((F34)+(H34)*(MAX($D$16,(E122)-(J34))))*(MAX($D$16,(E122)-(J34))),0.000001))^2)/(2*$I$5))),$D$8*((((ABS(I122)/MAX(((F34)+(H34)*(MAX($D$16,(E122)-(J34))))*(MAX($D$16,(E122)-(J34))),0.000001))^2)/(2*$I$5))-(((ABS(I122)/MAX(((G34)+(I34)*(MAX($D$16,(M122)-(K34))))*(MAX($D$16,(M122)-(K34))),0.000001))^2)/(2*$I$5)))))+($D$10*(ABS((X34)-(W34))/90)*MAX(((ABS(I122)/MAX(((F34)+(H34)*(MAX($D$16,(E122)-(J34))))*(MAX($D$16,(E122)-(J34))),0.000001))^2)/(2*$I$5),((ABS(I122)/MAX(((G34)+(I34)*(MAX($D$16,(M122)-(K34))))*(MAX($D$16,(M122)-(K34))),0.000001))^2)/(2*$I$5)))+(0)-((ABS(I122)/MAX(((F34)+(H34)*(MAX($D$16,(E122)-(J34))))*(MAX($D$16,(E122)-(J34))),0.000001))^2)/(2*$I$5)</f>
        <v>635.5</v>
      </c>
      <c r="T122">
        <f>N122+((ABS(J122)/MAX(((G35)+(I35)*(MAX($D$16,(N122)-(K35))))*(MAX($D$16,(N122)-(K35))),0.000001))^2)/(2*$I$5)+((E35)*((((ABS(J122)*$D$6)/(MAX(((F35)+(H35)*(MAX($D$16,(E122)-(J35))))*(MAX($D$16,(E122)-(J35))),0.000001)*MAX(((((F35)+(H35)*(MAX($D$16,(E122)-(J35))))*(MAX($D$16,(E122)-(J35))))/MAX((F35)+2*(MAX($D$16,(E122)-(J35)))*SQRT(1+(H35)^2),0.000001))^(2/3),0.000001)))^2)+(((ABS(J122)*$D$6)/(MAX(((G35)+(I35)*(MAX($D$16,(N122)-(K35))))*(MAX($D$16,(N122)-(K35))),0.000001)*MAX(((((G35)+(I35)*(MAX($D$16,(N122)-(K35))))*(MAX($D$16,(N122)-(K35))))/MAX((G35)+2*(MAX($D$16,(N122)-(K35)))*SQRT(1+(I35)^2),0.000001))^(2/3),0.000001)))^2))/2)+(IF((ABS(J122)/MAX(((G35)+(I35)*(MAX($D$16,(N122)-(K35))))*(MAX($D$16,(N122)-(K35))),0.000001))&gt;(ABS(J122)/MAX(((F35)+(H35)*(MAX($D$16,(E122)-(J35))))*(MAX($D$16,(E122)-(J35))),0.000001)),$D$9*((((ABS(J122)/MAX(((G35)+(I35)*(MAX($D$16,(N122)-(K35))))*(MAX($D$16,(N122)-(K35))),0.000001))^2)/(2*$I$5))-(((ABS(J122)/MAX(((F35)+(H35)*(MAX($D$16,(E122)-(J35))))*(MAX($D$16,(E122)-(J35))),0.000001))^2)/(2*$I$5))),$D$8*((((ABS(J122)/MAX(((F35)+(H35)*(MAX($D$16,(E122)-(J35))))*(MAX($D$16,(E122)-(J35))),0.000001))^2)/(2*$I$5))-(((ABS(J122)/MAX(((G35)+(I35)*(MAX($D$16,(N122)-(K35))))*(MAX($D$16,(N122)-(K35))),0.000001))^2)/(2*$I$5)))))+($D$10*(ABS((X35)-(W35))/90)*MAX(((ABS(J122)/MAX(((F35)+(H35)*(MAX($D$16,(E122)-(J35))))*(MAX($D$16,(E122)-(J35))),0.000001))^2)/(2*$I$5),((ABS(J122)/MAX(((G35)+(I35)*(MAX($D$16,(N122)-(K35))))*(MAX($D$16,(N122)-(K35))),0.000001))^2)/(2*$I$5)))+(($D$11*0.34699541*(ABS(I122)/MAX(ABS(G122),0.000001))^2*MAX(((ABS(J122)/MAX(((F35)+(H35)*(MAX($D$16,(E122)-(J35))))*(MAX($D$16,(E122)-(J35))),0.000001))^2)/(2*$I$5),((ABS(J122)/MAX(((G35)+(I35)*(MAX($D$16,(N122)-(K35))))*(MAX($D$16,(N122)-(K35))),0.000001))^2)/(2*$I$5))))-((ABS(J122)/MAX(((F35)+(H35)*(MAX($D$16,(E122)-(J35))))*(MAX($D$16,(E122)-(J35))),0.000001))^2)/(2*$I$5)</f>
        <v>20784.033523923383</v>
      </c>
      <c r="U122">
        <f>(((((F32)*(MAX($D$16,(D122)-(J32)))^2)/2+(H32)*(MAX($D$16,(D122)-(J32)))^3/3+(ABS(G122)^2)/($I$5*MAX(((F32)+(H32)*(MAX($D$16,(D122)-(J32))))*(MAX($D$16,(D122)-(J32))),0.000001)))*0.72785025)-((((F33)*(MAX($D$16,(D122)-(J33)))^2)/2+(H33)*(MAX($D$16,(D122)-(J33)))^3/3+(ABS(H122)^2)/($I$5*MAX(((F33)+(H33)*(MAX($D$16,(D122)-(J33))))*(MAX($D$16,(D122)-(J33))),0.000001)))*0.99999971))/MAX(((G31)*(MAX($D$16,(D122)-(K31)))^2)/2+(I31)*(MAX($D$16,(D122)-(K31)))^3/3+(ABS(F122)^2)/($I$5*MAX(((G31)+(I31)*(MAX($D$16,(D122)-(K31))))*(MAX($D$16,(D122)-(K31))),0.000001)),0.000001)</f>
        <v>-0.27214945999991125</v>
      </c>
      <c r="V122">
        <f>(((((F34)*(MAX($D$16,(E122)-(J34)))^2)/2+(H34)*(MAX($D$16,(E122)-(J34)))^3/3+(ABS(I122)^2)/($I$5*MAX(((F34)+(H34)*(MAX($D$16,(E122)-(J34))))*(MAX($D$16,(E122)-(J34))),0.000001)))*1)-((((F35)*(MAX($D$16,(E122)-(J35)))^2)/2+(H35)*(MAX($D$16,(E122)-(J35)))^3/3+(ABS(J122)^2)/($I$5*MAX(((F35)+(H35)*(MAX($D$16,(E122)-(J35))))*(MAX($D$16,(E122)-(J35))),0.000001)))*0.30600918))/MAX(((G32)*(MAX($D$16,(E122)-(K32)))^2)/2+(I32)*(MAX($D$16,(E122)-(K32)))^3/3+(ABS(G122)^2)/($I$5*MAX(((G32)+(I32)*(MAX($D$16,(E122)-(K32))))*(MAX($D$16,(E122)-(K32))),0.000001)),0.000001)</f>
        <v>0.69398638937190393</v>
      </c>
      <c r="W122">
        <f>IF(N6="None",ABS(P122-D122),MAX(ABS(P122-D122),ABS(Q122-D122)))</f>
        <v>3.4197000786662102E-10</v>
      </c>
      <c r="X122">
        <f>IF(AND(N7="None",N8="None"),0,IF(N8="None",ABS(S122-E122),IF(N7="None",ABS(T122-E122),MAX(ABS(S122-E122),ABS(T122-E122)))))</f>
        <v>51796.641837663294</v>
      </c>
      <c r="AA122">
        <f t="shared" si="33"/>
        <v>52432.141837663621</v>
      </c>
      <c r="AB122">
        <f t="shared" si="34"/>
        <v>41355.303927854329</v>
      </c>
      <c r="AC122">
        <f>IF(N6="None",P122,MAX(P122,Q122))</f>
        <v>52432.141837663847</v>
      </c>
      <c r="AD122">
        <f>IF(AND(N7="None",N8="None"),E122,IF(N8="None",S122,IF(N7="None",T122,MAX(S122,T122))))</f>
        <v>20784.033523923383</v>
      </c>
      <c r="AE122">
        <f t="shared" si="35"/>
        <v>637.65825101089831</v>
      </c>
      <c r="AF122">
        <f t="shared" si="36"/>
        <v>52432.141837663636</v>
      </c>
      <c r="AG122">
        <f>((G31)*(MAX($D$16,(AC122)-(K31)))^2)/2+(I31)*(MAX($D$16,(AC122)-(K31)))^3/3+(ABS(F122)^2)/($I$5*MAX(((G31)+(I31)*(MAX($D$16,(AC122)-(K31))))*(MAX($D$16,(AC122)-(K31))),0.000001))</f>
        <v>8797611517.4122639</v>
      </c>
      <c r="AH122">
        <f>((G31)*(MAX($D$16,(AE122)-(K31)))^2)/2+(I31)*(MAX($D$16,(AE122)-(K31)))^3/3+(ABS(F122)^2)/($I$5*MAX(((G31)+(I31)*(MAX($D$16,(AE122)-(K31))))*(MAX($D$16,(AE122)-(K31))),0.000001))</f>
        <v>49.055863329575246</v>
      </c>
      <c r="AI122">
        <f>((G32)*(MAX($D$16,(AD122)-(K32)))^2)/2+(I32)*(MAX($D$16,(AD122)-(K32)))^3/3+(ABS(G122)^2)/($I$5*MAX(((G32)+(I32)*(MAX($D$16,(AD122)-(K32))))*(MAX($D$16,(AD122)-(K32))),0.000001))</f>
        <v>2072376743.6648321</v>
      </c>
      <c r="AJ122">
        <f>((G32)*(MAX($D$16,(AF122)-(K32)))^2)/2+(I32)*(MAX($D$16,(AF122)-(K32)))^3/3+(ABS(G122)^2)/($I$5*MAX(((G32)+(I32)*(MAX($D$16,(AF122)-(K32))))*(MAX($D$16,(AF122)-(K32))),0.000001))</f>
        <v>13692714789.644951</v>
      </c>
      <c r="AK122" t="str">
        <f t="shared" si="37"/>
        <v>Subcritical</v>
      </c>
      <c r="AL122" t="str">
        <f t="shared" si="38"/>
        <v>Supercritical</v>
      </c>
      <c r="AM122">
        <f t="shared" si="39"/>
        <v>52432.141837663621</v>
      </c>
      <c r="AN122">
        <f t="shared" si="40"/>
        <v>52432.14183766341</v>
      </c>
      <c r="AO122">
        <f t="shared" si="41"/>
        <v>3.4197000786662102E-10</v>
      </c>
      <c r="AP122">
        <f t="shared" si="42"/>
        <v>3.4197000786662102E-10</v>
      </c>
    </row>
    <row r="130" spans="1:41" x14ac:dyDescent="0.35">
      <c r="A130" t="s">
        <v>140</v>
      </c>
      <c r="E130">
        <f>E31</f>
        <v>10.742000000000001</v>
      </c>
      <c r="F130" t="s">
        <v>141</v>
      </c>
      <c r="H130">
        <f>N31</f>
        <v>51</v>
      </c>
      <c r="I130" t="s">
        <v>13</v>
      </c>
      <c r="K130" t="str">
        <f>V31</f>
        <v>Mixed</v>
      </c>
      <c r="L130" t="s">
        <v>142</v>
      </c>
    </row>
    <row r="131" spans="1:41" x14ac:dyDescent="0.35">
      <c r="A131" t="s">
        <v>143</v>
      </c>
      <c r="B131" t="s">
        <v>144</v>
      </c>
      <c r="C131" t="s">
        <v>145</v>
      </c>
      <c r="D131" t="s">
        <v>146</v>
      </c>
      <c r="E131" t="s">
        <v>147</v>
      </c>
      <c r="F131" t="s">
        <v>148</v>
      </c>
      <c r="G131" t="s">
        <v>149</v>
      </c>
      <c r="H131" t="s">
        <v>9</v>
      </c>
      <c r="I131" t="s">
        <v>150</v>
      </c>
      <c r="J131" t="s">
        <v>151</v>
      </c>
      <c r="K131" t="s">
        <v>152</v>
      </c>
      <c r="L131" t="s">
        <v>153</v>
      </c>
      <c r="M131" t="s">
        <v>154</v>
      </c>
      <c r="N131" t="s">
        <v>155</v>
      </c>
      <c r="O131" t="s">
        <v>156</v>
      </c>
      <c r="P131" t="s">
        <v>157</v>
      </c>
      <c r="Q131" t="s">
        <v>158</v>
      </c>
      <c r="R131" t="s">
        <v>159</v>
      </c>
      <c r="S131" t="s">
        <v>160</v>
      </c>
      <c r="T131" t="s">
        <v>161</v>
      </c>
      <c r="U131" t="s">
        <v>162</v>
      </c>
      <c r="V131" t="s">
        <v>163</v>
      </c>
      <c r="W131" t="s">
        <v>164</v>
      </c>
      <c r="X131" t="s">
        <v>165</v>
      </c>
      <c r="Y131" t="s">
        <v>166</v>
      </c>
      <c r="Z131" t="s">
        <v>167</v>
      </c>
      <c r="AA131" t="s">
        <v>168</v>
      </c>
      <c r="AB131" t="s">
        <v>169</v>
      </c>
      <c r="AC131" t="s">
        <v>170</v>
      </c>
      <c r="AD131" t="s">
        <v>171</v>
      </c>
      <c r="AE131" t="s">
        <v>172</v>
      </c>
      <c r="AF131" t="s">
        <v>173</v>
      </c>
      <c r="AG131" t="s">
        <v>174</v>
      </c>
      <c r="AH131" t="s">
        <v>175</v>
      </c>
      <c r="AI131" t="s">
        <v>176</v>
      </c>
      <c r="AJ131" t="s">
        <v>177</v>
      </c>
      <c r="AK131" t="s">
        <v>178</v>
      </c>
      <c r="AL131" t="s">
        <v>179</v>
      </c>
      <c r="AM131" t="s">
        <v>180</v>
      </c>
      <c r="AN131" t="s">
        <v>181</v>
      </c>
      <c r="AO131" t="s">
        <v>182</v>
      </c>
    </row>
    <row r="132" spans="1:41" x14ac:dyDescent="0.35">
      <c r="A132" t="s">
        <v>22</v>
      </c>
      <c r="B132" t="s">
        <v>52</v>
      </c>
      <c r="C132" t="s">
        <v>52</v>
      </c>
      <c r="D132" t="s">
        <v>52</v>
      </c>
      <c r="E132" t="s">
        <v>52</v>
      </c>
      <c r="F132" t="s">
        <v>52</v>
      </c>
      <c r="G132" t="s">
        <v>22</v>
      </c>
      <c r="H132" t="s">
        <v>22</v>
      </c>
      <c r="I132" t="s">
        <v>183</v>
      </c>
      <c r="J132" t="s">
        <v>52</v>
      </c>
      <c r="K132" t="s">
        <v>13</v>
      </c>
      <c r="L132" t="s">
        <v>52</v>
      </c>
      <c r="M132" t="s">
        <v>184</v>
      </c>
      <c r="N132" t="s">
        <v>52</v>
      </c>
      <c r="O132" t="s">
        <v>185</v>
      </c>
      <c r="P132" t="s">
        <v>52</v>
      </c>
      <c r="Q132" t="s">
        <v>52</v>
      </c>
      <c r="R132" t="s">
        <v>22</v>
      </c>
      <c r="S132" t="s">
        <v>52</v>
      </c>
      <c r="T132" t="s">
        <v>22</v>
      </c>
      <c r="U132" t="s">
        <v>52</v>
      </c>
      <c r="V132" t="s">
        <v>184</v>
      </c>
      <c r="W132" t="s">
        <v>52</v>
      </c>
      <c r="X132" t="s">
        <v>185</v>
      </c>
      <c r="Y132" t="s">
        <v>52</v>
      </c>
      <c r="Z132" t="s">
        <v>52</v>
      </c>
      <c r="AA132" t="s">
        <v>22</v>
      </c>
      <c r="AB132" t="s">
        <v>52</v>
      </c>
      <c r="AC132" t="s">
        <v>22</v>
      </c>
      <c r="AD132" t="s">
        <v>52</v>
      </c>
      <c r="AE132" t="s">
        <v>52</v>
      </c>
      <c r="AF132" t="s">
        <v>52</v>
      </c>
      <c r="AG132" t="s">
        <v>52</v>
      </c>
      <c r="AH132" t="s">
        <v>52</v>
      </c>
      <c r="AI132" t="s">
        <v>13</v>
      </c>
      <c r="AJ132" t="s">
        <v>13</v>
      </c>
      <c r="AK132" t="s">
        <v>13</v>
      </c>
      <c r="AL132" t="s">
        <v>13</v>
      </c>
      <c r="AM132" t="s">
        <v>22</v>
      </c>
      <c r="AN132" t="s">
        <v>22</v>
      </c>
      <c r="AO132" t="s">
        <v>22</v>
      </c>
    </row>
    <row r="133" spans="1:41" x14ac:dyDescent="0.35">
      <c r="A133">
        <v>1</v>
      </c>
      <c r="B133">
        <v>0</v>
      </c>
      <c r="C133">
        <v>616561.06099999999</v>
      </c>
      <c r="D133">
        <v>3097769.93</v>
      </c>
      <c r="E133">
        <v>634.32000000000005</v>
      </c>
      <c r="F133">
        <v>6.0030000000000001</v>
      </c>
      <c r="G133">
        <v>0</v>
      </c>
      <c r="H133" t="s">
        <v>186</v>
      </c>
      <c r="I133">
        <v>0</v>
      </c>
      <c r="J133">
        <v>0</v>
      </c>
      <c r="K133">
        <f>N31</f>
        <v>51</v>
      </c>
      <c r="L133">
        <f>MAX($D$16,(P5)-E133)</f>
        <v>2.67999999999995</v>
      </c>
      <c r="M133">
        <f t="shared" ref="M133:M144" si="47">((F133)+(G133)*(L133))*(L133)</f>
        <v>16.088039999999701</v>
      </c>
      <c r="N133">
        <f t="shared" ref="N133:N144" si="48">(((F133)+(G133)*(L133))*(L133))/MAX((F133)+2*(L133)*SQRT(1+(G133)^2),0.000001)</f>
        <v>1.415826806301139</v>
      </c>
      <c r="O133">
        <f t="shared" ref="O133:O144" si="49">ABS(K133)/MAX(((F133)+(G133)*(L133))*(L133),0.000001)</f>
        <v>3.1700567626635032</v>
      </c>
      <c r="P133">
        <f t="shared" ref="P133:P144" si="50">E133+L133</f>
        <v>637</v>
      </c>
      <c r="Q133">
        <f t="shared" ref="Q133:Q144" si="51">P133+((ABS(K133)/MAX(((F133)+(G133)*(L133))*(L133),0.000001))^2)/(2*$I$5)</f>
        <v>637.51219469309422</v>
      </c>
      <c r="R133">
        <f t="shared" ref="R133:R144" si="52">((ABS(K133)*$D$6)/(MAX(((F133)+(G133)*(L133))*(L133),0.000001)*MAX(((((F133)+(G133)*(L133))*(L133))/MAX((F133)+2*(L133)*SQRT(1+(G133)^2),0.000001))^(2/3),0.000001)))^2</f>
        <v>1.4222297358722554E-3</v>
      </c>
      <c r="S133">
        <v>0</v>
      </c>
      <c r="T133">
        <v>1</v>
      </c>
      <c r="U133">
        <f t="shared" ref="U133:U143" ca="1" si="53">IF($D$20=0,U134,IF(AC134=0,U134,IF(U133=0,U134,IF(ABS(AB133)&gt;$D$19,MAX($D$16,U133+((AB133)*$D$18*IF((ABS(ABS(K133)/MAX(((F133)+(G133)*(U133))*(U133),0.000001))/SQRT($I$5*MAX((((F133)+(G133)*(U133))*(U133))/MAX((F133)+2*(G133)*(U133),0.000001),0.000001)))&lt;1,1,-1))),U133))))</f>
        <v>51797.832490461107</v>
      </c>
      <c r="V133">
        <f t="shared" ref="V133:V144" ca="1" si="54">((F133)+(G133)*(U133))*(U133)</f>
        <v>310942.38844023802</v>
      </c>
      <c r="W133">
        <f t="shared" ref="W133:W144" ca="1" si="55">(((F133)+(G133)*(U133))*(U133))/MAX((F133)+2*(U133)*SQRT(1+(G133)^2),0.000001)</f>
        <v>3.0013260838377303</v>
      </c>
      <c r="X133">
        <f t="shared" ref="X133:X144" ca="1" si="56">ABS(K133)/MAX(((F133)+(G133)*(U133))*(U133),0.000001)</f>
        <v>1.6401752188187753E-4</v>
      </c>
      <c r="Y133">
        <f t="shared" ref="Y133:Y144" ca="1" si="57">E133+U133</f>
        <v>52432.152490461107</v>
      </c>
      <c r="Z133">
        <f t="shared" ref="Z133:Z144" ca="1" si="58">Y133+((ABS(K133)/MAX(((F133)+(G133)*(U133))*(U133),0.000001))^2)/(2*$I$5)</f>
        <v>52432.152490462475</v>
      </c>
      <c r="AA133">
        <f t="shared" ref="AA133:AA144" ca="1" si="59">((ABS(K133)*$D$6)/(MAX(((F133)+(G133)*(U133))*(U133),0.000001)*MAX(((((F133)+(G133)*(U133))*(U133))/MAX((F133)+2*(U133)*SQRT(1+(G133)^2),0.000001))^(2/3),0.000001)))^2</f>
        <v>1.3981231704621765E-12</v>
      </c>
      <c r="AB133">
        <f t="shared" ref="AB133:AB143" ca="1" si="60">Z134+(((AA133+AA134)/2)*J134)+(IF(X133&gt;X134,$D$8*((X133^2-X134^2)/(2*$I$5)),$D$9*((X134^2-X133^2)/(2*$I$5)))+($D$10*(ABS(I134)/90)*(MAX(X133^2,X134^2)/(2*$I$5))))-Z133</f>
        <v>-9.7745230596046895E-4</v>
      </c>
      <c r="AC133">
        <f t="shared" ref="AC133:AC143" ca="1" si="61">IF(ABS(AB133)&lt;$D$19,1,0)</f>
        <v>1</v>
      </c>
      <c r="AD133">
        <f ca="1">IF(V31="Supercritical",L133,IF(V31="Subcritical",U133,IF(AND(T133=1,AC133=1),IF((((F133)*(L133)^2)/2+(G133)*(L133)^3/3+(ABS(K133)^2)/($I$5*MAX(((F133)+(G133)*(L133))*(L133),0.000001)))&gt;=(((F133)*(U133)^2)/2+(G133)*(U133)^3/3+(ABS(K133)^2)/($I$5*MAX(((F133)+(G133)*(U133))*(U133),0.000001))),L133,U133),IF(T133=1,L133,IF(AC133=1,U133,MAX($D$16,POWER((ABS(K133)^2)/($I$5*MAX(F133,0.1)^2),1/3)))))))</f>
        <v>51797.832490461107</v>
      </c>
      <c r="AE133">
        <f t="shared" ref="AE133:AE144" ca="1" si="62">E133+AD133</f>
        <v>52432.152490461107</v>
      </c>
      <c r="AF133">
        <f t="shared" ref="AF133:AF144" ca="1" si="63">AE133+((ABS(K133)/MAX(((F133)+(G133)*(AD133))*(AD133),0.000001))^2)/(2*$I$5)</f>
        <v>52432.152490462475</v>
      </c>
      <c r="AI133">
        <v>0</v>
      </c>
      <c r="AJ133">
        <v>0</v>
      </c>
      <c r="AK133">
        <f t="shared" ref="AK133:AK144" si="64">AI133+AJ133</f>
        <v>0</v>
      </c>
      <c r="AL133">
        <f>AK133</f>
        <v>0</v>
      </c>
      <c r="AM133">
        <f t="shared" ref="AM133:AM144" ca="1" si="65">ABS(ABS(K133)/MAX(((F133)+(G133)*(AD133))*(AD133),0.000001))/SQRT($I$5*MAX((((F133)+(G133)*(AD133))*(AD133))/MAX((F133)+2*(G133)*(AD133),0.000001),0.000001))</f>
        <v>2.3009116806475421E-7</v>
      </c>
      <c r="AN133" t="str">
        <f t="shared" ref="AN133:AN144" ca="1" si="66">IF(AM133&lt;1,"Subcritical","Supercritical")</f>
        <v>Subcritical</v>
      </c>
      <c r="AO133">
        <f t="shared" ref="AO133:AO144" ca="1" si="67">((ABS(K133)*$D$6)/(MAX(((F133)+(G133)*(AD133))*(AD133),0.000001)*MAX(((((F133)+(G133)*(AD133))*(AD133))/MAX((F133)+2*(AD133)*SQRT(1+(G133)^2),0.000001))^(2/3),0.000001)))^2</f>
        <v>1.3981231704621765E-12</v>
      </c>
    </row>
    <row r="134" spans="1:41" x14ac:dyDescent="0.35">
      <c r="A134">
        <v>2</v>
      </c>
      <c r="B134">
        <v>1</v>
      </c>
      <c r="C134">
        <v>616560.59100000001</v>
      </c>
      <c r="D134">
        <v>3097769.0469999998</v>
      </c>
      <c r="E134">
        <v>634.31799999999998</v>
      </c>
      <c r="F134">
        <v>6.0030000000000001</v>
      </c>
      <c r="G134">
        <v>0</v>
      </c>
      <c r="H134" t="s">
        <v>186</v>
      </c>
      <c r="I134">
        <v>0</v>
      </c>
      <c r="J134">
        <f t="shared" ref="J134:J144" si="68">B134-B133</f>
        <v>1</v>
      </c>
      <c r="K134">
        <f t="shared" ref="K134:K144" si="69">MAX(0,K133-AK133)</f>
        <v>51</v>
      </c>
      <c r="L134">
        <f t="shared" ref="L134:L144" ca="1" si="70">IF($D$20=0,L133,IF(T133=0,L133,IF(L134=0,L133,IF(ABS(S134)&gt;$D$19,MAX($D$16,L134+((S134)*$D$18*IF((ABS(ABS(K134)/MAX(((F134)+(G134)*(L134))*(L134),0.000001))/SQRT($I$5*MAX((((F134)+(G134)*(L134))*(L134))/MAX((F134)+2*(G134)*(L134),0.000001),0.000001)))&lt;1,1,-1))),L134))))</f>
        <v>2.67999999999995</v>
      </c>
      <c r="M134">
        <f t="shared" ca="1" si="47"/>
        <v>16.088039999999701</v>
      </c>
      <c r="N134">
        <f t="shared" ca="1" si="48"/>
        <v>1.415826806301139</v>
      </c>
      <c r="O134">
        <f t="shared" ca="1" si="49"/>
        <v>3.1700567626635032</v>
      </c>
      <c r="P134">
        <f t="shared" ca="1" si="50"/>
        <v>636.99799999999993</v>
      </c>
      <c r="Q134">
        <f t="shared" ca="1" si="51"/>
        <v>637.51019469309415</v>
      </c>
      <c r="R134">
        <f t="shared" ca="1" si="52"/>
        <v>1.4222297358722554E-3</v>
      </c>
      <c r="S134">
        <f t="shared" ref="S134:S144" ca="1" si="71">Q133-(((R133+R134)/2)*J134)-(IF(O133&gt;O134,$D$8*((O133^2-O134^2)/(2*$I$5)),$D$9*((O134^2-O133^2)/(2*$I$5)))+($D$10*(ABS(I134)/90)*(MAX(O133^2,O134^2)/(2*$I$5))))-Q134</f>
        <v>5.7777026415806176E-4</v>
      </c>
      <c r="T134">
        <f t="shared" ref="T134:T144" ca="1" si="72">IF(ABS(S134)&lt;$D$19,1,0)</f>
        <v>1</v>
      </c>
      <c r="U134">
        <f t="shared" ca="1" si="53"/>
        <v>51797.833513008802</v>
      </c>
      <c r="V134">
        <f t="shared" ca="1" si="54"/>
        <v>310942.39457859186</v>
      </c>
      <c r="W134">
        <f t="shared" ca="1" si="55"/>
        <v>3.0013260838411635</v>
      </c>
      <c r="X134">
        <f t="shared" ca="1" si="56"/>
        <v>1.6401751864398651E-4</v>
      </c>
      <c r="Y134">
        <f t="shared" ca="1" si="57"/>
        <v>52432.151513008801</v>
      </c>
      <c r="Z134">
        <f t="shared" ca="1" si="58"/>
        <v>52432.151513010169</v>
      </c>
      <c r="AA134">
        <f t="shared" ca="1" si="59"/>
        <v>1.3981231152589857E-12</v>
      </c>
      <c r="AB134">
        <f t="shared" ca="1" si="60"/>
        <v>-9.7745230596046895E-4</v>
      </c>
      <c r="AC134">
        <f t="shared" ca="1" si="61"/>
        <v>1</v>
      </c>
      <c r="AD134">
        <f ca="1">IF(V31="Supercritical",L134,IF(V31="Subcritical",U134,IF(AND(T134=1,AC134=1),IF((((F134)*(L134)^2)/2+(G134)*(L134)^3/3+(ABS(K134)^2)/($I$5*MAX(((F134)+(G134)*(L134))*(L134),0.000001)))&gt;=(((F134)*(U134)^2)/2+(G134)*(U134)^3/3+(ABS(K134)^2)/($I$5*MAX(((F134)+(G134)*(U134))*(U134),0.000001))),L134,U134),IF(T134=1,L134,IF(AC134=1,U134,MAX($D$16,POWER((ABS(K134)^2)/($I$5*MAX(F134,0.1)^2),1/3)))))))</f>
        <v>51797.833513008802</v>
      </c>
      <c r="AE134">
        <f t="shared" ca="1" si="62"/>
        <v>52432.151513008801</v>
      </c>
      <c r="AF134">
        <f t="shared" ca="1" si="63"/>
        <v>52432.151513010169</v>
      </c>
      <c r="AI134">
        <v>0</v>
      </c>
      <c r="AJ134">
        <v>0</v>
      </c>
      <c r="AK134">
        <f t="shared" si="64"/>
        <v>0</v>
      </c>
      <c r="AL134">
        <f t="shared" ref="AL134:AL144" si="73">AL133+AK134</f>
        <v>0</v>
      </c>
      <c r="AM134">
        <f t="shared" ca="1" si="65"/>
        <v>2.3009116125136515E-7</v>
      </c>
      <c r="AN134" t="str">
        <f t="shared" ca="1" si="66"/>
        <v>Subcritical</v>
      </c>
      <c r="AO134">
        <f t="shared" ca="1" si="67"/>
        <v>1.3981231152589857E-12</v>
      </c>
    </row>
    <row r="135" spans="1:41" x14ac:dyDescent="0.35">
      <c r="A135">
        <v>3</v>
      </c>
      <c r="B135">
        <v>2.0009999999999999</v>
      </c>
      <c r="C135">
        <v>616560.12100000004</v>
      </c>
      <c r="D135">
        <v>3097768.1639999999</v>
      </c>
      <c r="E135">
        <v>634.31600000000003</v>
      </c>
      <c r="F135">
        <v>6.0039999999999996</v>
      </c>
      <c r="G135">
        <v>0</v>
      </c>
      <c r="H135" t="s">
        <v>186</v>
      </c>
      <c r="I135">
        <v>2.7E-2</v>
      </c>
      <c r="J135">
        <f t="shared" si="68"/>
        <v>1.0009999999999999</v>
      </c>
      <c r="K135">
        <f t="shared" si="69"/>
        <v>51</v>
      </c>
      <c r="L135">
        <f t="shared" ca="1" si="70"/>
        <v>2.67999999999995</v>
      </c>
      <c r="M135">
        <f t="shared" ca="1" si="47"/>
        <v>16.090719999999699</v>
      </c>
      <c r="N135">
        <f t="shared" ca="1" si="48"/>
        <v>1.4159380499823866</v>
      </c>
      <c r="O135">
        <f t="shared" ca="1" si="49"/>
        <v>3.1695287718635932</v>
      </c>
      <c r="P135">
        <f t="shared" ca="1" si="50"/>
        <v>636.99599999999998</v>
      </c>
      <c r="Q135">
        <f t="shared" ca="1" si="51"/>
        <v>637.50802408948368</v>
      </c>
      <c r="R135">
        <f t="shared" ca="1" si="52"/>
        <v>1.4216070821757964E-3</v>
      </c>
      <c r="S135">
        <f t="shared" ca="1" si="71"/>
        <v>6.7303343871571997E-4</v>
      </c>
      <c r="T135">
        <f t="shared" ca="1" si="72"/>
        <v>1</v>
      </c>
      <c r="U135">
        <f t="shared" ca="1" si="53"/>
        <v>51797.834535556496</v>
      </c>
      <c r="V135">
        <f t="shared" ca="1" si="54"/>
        <v>310994.19855148118</v>
      </c>
      <c r="W135">
        <f t="shared" ca="1" si="55"/>
        <v>3.0018260258983691</v>
      </c>
      <c r="X135">
        <f t="shared" ca="1" si="56"/>
        <v>1.63990197365555E-4</v>
      </c>
      <c r="Y135">
        <f t="shared" ca="1" si="57"/>
        <v>52432.150535556495</v>
      </c>
      <c r="Z135">
        <f t="shared" ca="1" si="58"/>
        <v>52432.150535557863</v>
      </c>
      <c r="AA135">
        <f t="shared" ca="1" si="59"/>
        <v>1.3973470113038601E-12</v>
      </c>
      <c r="AB135">
        <f t="shared" ca="1" si="60"/>
        <v>-9.7745230596046895E-4</v>
      </c>
      <c r="AC135">
        <f t="shared" ca="1" si="61"/>
        <v>1</v>
      </c>
      <c r="AD135">
        <f ca="1">IF(V31="Supercritical",L135,IF(V31="Subcritical",U135,IF(AND(T135=1,AC135=1),IF((((F135)*(L135)^2)/2+(G135)*(L135)^3/3+(ABS(K135)^2)/($I$5*MAX(((F135)+(G135)*(L135))*(L135),0.000001)))&gt;=(((F135)*(U135)^2)/2+(G135)*(U135)^3/3+(ABS(K135)^2)/($I$5*MAX(((F135)+(G135)*(U135))*(U135),0.000001))),L135,U135),IF(T135=1,L135,IF(AC135=1,U135,MAX($D$16,POWER((ABS(K135)^2)/($I$5*MAX(F135,0.1)^2),1/3)))))))</f>
        <v>51797.834535556496</v>
      </c>
      <c r="AE135">
        <f t="shared" ca="1" si="62"/>
        <v>52432.150535556495</v>
      </c>
      <c r="AF135">
        <f t="shared" ca="1" si="63"/>
        <v>52432.150535557863</v>
      </c>
      <c r="AI135">
        <v>0</v>
      </c>
      <c r="AJ135">
        <v>0</v>
      </c>
      <c r="AK135">
        <f t="shared" si="64"/>
        <v>0</v>
      </c>
      <c r="AL135">
        <f t="shared" si="73"/>
        <v>0</v>
      </c>
      <c r="AM135">
        <f t="shared" ca="1" si="65"/>
        <v>2.3005283146088831E-7</v>
      </c>
      <c r="AN135" t="str">
        <f t="shared" ca="1" si="66"/>
        <v>Subcritical</v>
      </c>
      <c r="AO135">
        <f t="shared" ca="1" si="67"/>
        <v>1.3973470113038601E-12</v>
      </c>
    </row>
    <row r="136" spans="1:41" x14ac:dyDescent="0.35">
      <c r="A136">
        <v>4</v>
      </c>
      <c r="B136">
        <v>3</v>
      </c>
      <c r="C136">
        <v>616559.65099999995</v>
      </c>
      <c r="D136">
        <v>3097767.2820000001</v>
      </c>
      <c r="E136">
        <v>634.31399999999996</v>
      </c>
      <c r="F136">
        <v>6.0039999999999996</v>
      </c>
      <c r="G136">
        <v>0</v>
      </c>
      <c r="H136" t="s">
        <v>186</v>
      </c>
      <c r="I136">
        <v>2.7E-2</v>
      </c>
      <c r="J136">
        <f t="shared" si="68"/>
        <v>0.99900000000000011</v>
      </c>
      <c r="K136">
        <f t="shared" si="69"/>
        <v>51</v>
      </c>
      <c r="L136">
        <f t="shared" ca="1" si="70"/>
        <v>2.67999999999995</v>
      </c>
      <c r="M136">
        <f t="shared" ca="1" si="47"/>
        <v>16.090719999999699</v>
      </c>
      <c r="N136">
        <f t="shared" ca="1" si="48"/>
        <v>1.4159380499823866</v>
      </c>
      <c r="O136">
        <f t="shared" ca="1" si="49"/>
        <v>3.1695287718635932</v>
      </c>
      <c r="P136">
        <f t="shared" ca="1" si="50"/>
        <v>636.99399999999991</v>
      </c>
      <c r="Q136">
        <f t="shared" ca="1" si="51"/>
        <v>637.50602408948362</v>
      </c>
      <c r="R136">
        <f t="shared" ca="1" si="52"/>
        <v>1.4216070821757964E-3</v>
      </c>
      <c r="S136">
        <f t="shared" ca="1" si="71"/>
        <v>5.5677344096238812E-4</v>
      </c>
      <c r="T136">
        <f t="shared" ca="1" si="72"/>
        <v>1</v>
      </c>
      <c r="U136">
        <f t="shared" ca="1" si="53"/>
        <v>51797.835558104191</v>
      </c>
      <c r="V136">
        <f t="shared" ca="1" si="54"/>
        <v>310994.20469085756</v>
      </c>
      <c r="W136">
        <f t="shared" ca="1" si="55"/>
        <v>3.0018260259018033</v>
      </c>
      <c r="X136">
        <f t="shared" ca="1" si="56"/>
        <v>1.6399019412820354E-4</v>
      </c>
      <c r="Y136">
        <f t="shared" ca="1" si="57"/>
        <v>52432.149558104189</v>
      </c>
      <c r="Z136">
        <f t="shared" ca="1" si="58"/>
        <v>52432.149558105557</v>
      </c>
      <c r="AA136">
        <f t="shared" ca="1" si="59"/>
        <v>1.3973469561313173E-12</v>
      </c>
      <c r="AB136">
        <f t="shared" ca="1" si="60"/>
        <v>-9.7745230596046895E-4</v>
      </c>
      <c r="AC136">
        <f t="shared" ca="1" si="61"/>
        <v>1</v>
      </c>
      <c r="AD136">
        <f ca="1">IF(V31="Supercritical",L136,IF(V31="Subcritical",U136,IF(AND(T136=1,AC136=1),IF((((F136)*(L136)^2)/2+(G136)*(L136)^3/3+(ABS(K136)^2)/($I$5*MAX(((F136)+(G136)*(L136))*(L136),0.000001)))&gt;=(((F136)*(U136)^2)/2+(G136)*(U136)^3/3+(ABS(K136)^2)/($I$5*MAX(((F136)+(G136)*(U136))*(U136),0.000001))),L136,U136),IF(T136=1,L136,IF(AC136=1,U136,MAX($D$16,POWER((ABS(K136)^2)/($I$5*MAX(F136,0.1)^2),1/3)))))))</f>
        <v>51797.835558104191</v>
      </c>
      <c r="AE136">
        <f t="shared" ca="1" si="62"/>
        <v>52432.149558104189</v>
      </c>
      <c r="AF136">
        <f t="shared" ca="1" si="63"/>
        <v>52432.149558105557</v>
      </c>
      <c r="AI136">
        <v>0</v>
      </c>
      <c r="AJ136">
        <v>0</v>
      </c>
      <c r="AK136">
        <f t="shared" si="64"/>
        <v>0</v>
      </c>
      <c r="AL136">
        <f t="shared" si="73"/>
        <v>0</v>
      </c>
      <c r="AM136">
        <f t="shared" ca="1" si="65"/>
        <v>2.3005282464863475E-7</v>
      </c>
      <c r="AN136" t="str">
        <f t="shared" ca="1" si="66"/>
        <v>Subcritical</v>
      </c>
      <c r="AO136">
        <f t="shared" ca="1" si="67"/>
        <v>1.3973469561313173E-12</v>
      </c>
    </row>
    <row r="137" spans="1:41" x14ac:dyDescent="0.35">
      <c r="A137">
        <v>5</v>
      </c>
      <c r="B137">
        <v>4</v>
      </c>
      <c r="C137">
        <v>616559.18099999998</v>
      </c>
      <c r="D137">
        <v>3097766.3990000002</v>
      </c>
      <c r="E137">
        <v>634.31200000000001</v>
      </c>
      <c r="F137">
        <v>6.0049999999999999</v>
      </c>
      <c r="G137">
        <v>0</v>
      </c>
      <c r="H137" t="s">
        <v>186</v>
      </c>
      <c r="I137">
        <v>0</v>
      </c>
      <c r="J137">
        <f t="shared" si="68"/>
        <v>1</v>
      </c>
      <c r="K137">
        <f t="shared" si="69"/>
        <v>51</v>
      </c>
      <c r="L137">
        <f t="shared" ca="1" si="70"/>
        <v>2.67999999999995</v>
      </c>
      <c r="M137">
        <f t="shared" ca="1" si="47"/>
        <v>16.093399999999701</v>
      </c>
      <c r="N137">
        <f t="shared" ca="1" si="48"/>
        <v>1.4160492740870958</v>
      </c>
      <c r="O137">
        <f t="shared" ca="1" si="49"/>
        <v>3.1690009569140734</v>
      </c>
      <c r="P137">
        <f t="shared" ca="1" si="50"/>
        <v>636.99199999999996</v>
      </c>
      <c r="Q137">
        <f t="shared" ca="1" si="51"/>
        <v>637.5038535710969</v>
      </c>
      <c r="R137">
        <f t="shared" ca="1" si="52"/>
        <v>1.4209848178039965E-3</v>
      </c>
      <c r="S137">
        <f t="shared" ca="1" si="71"/>
        <v>6.9806692067686527E-4</v>
      </c>
      <c r="T137">
        <f t="shared" ca="1" si="72"/>
        <v>1</v>
      </c>
      <c r="U137">
        <f t="shared" ca="1" si="53"/>
        <v>51797.836580651885</v>
      </c>
      <c r="V137">
        <f t="shared" ca="1" si="54"/>
        <v>311046.00866681454</v>
      </c>
      <c r="W137">
        <f t="shared" ca="1" si="55"/>
        <v>3.002325967949361</v>
      </c>
      <c r="X137">
        <f t="shared" ca="1" si="56"/>
        <v>1.6396288194982128E-4</v>
      </c>
      <c r="Y137">
        <f t="shared" ca="1" si="57"/>
        <v>52432.148580651883</v>
      </c>
      <c r="Z137">
        <f t="shared" ca="1" si="58"/>
        <v>52432.148580653251</v>
      </c>
      <c r="AA137">
        <f t="shared" ca="1" si="59"/>
        <v>1.3965714121652725E-12</v>
      </c>
      <c r="AB137">
        <f t="shared" ca="1" si="60"/>
        <v>-9.7745225502876565E-4</v>
      </c>
      <c r="AC137">
        <f t="shared" ca="1" si="61"/>
        <v>1</v>
      </c>
      <c r="AD137">
        <f ca="1">IF(V31="Supercritical",L137,IF(V31="Subcritical",U137,IF(AND(T137=1,AC137=1),IF((((F137)*(L137)^2)/2+(G137)*(L137)^3/3+(ABS(K137)^2)/($I$5*MAX(((F137)+(G137)*(L137))*(L137),0.000001)))&gt;=(((F137)*(U137)^2)/2+(G137)*(U137)^3/3+(ABS(K137)^2)/($I$5*MAX(((F137)+(G137)*(U137))*(U137),0.000001))),L137,U137),IF(T137=1,L137,IF(AC137=1,U137,MAX($D$16,POWER((ABS(K137)^2)/($I$5*MAX(F137,0.1)^2),1/3)))))))</f>
        <v>51797.836580651885</v>
      </c>
      <c r="AE137">
        <f t="shared" ca="1" si="62"/>
        <v>52432.148580651883</v>
      </c>
      <c r="AF137">
        <f t="shared" ca="1" si="63"/>
        <v>52432.148580653251</v>
      </c>
      <c r="AI137">
        <v>0</v>
      </c>
      <c r="AJ137">
        <v>0</v>
      </c>
      <c r="AK137">
        <f t="shared" si="64"/>
        <v>0</v>
      </c>
      <c r="AL137">
        <f t="shared" si="73"/>
        <v>0</v>
      </c>
      <c r="AM137">
        <f t="shared" ca="1" si="65"/>
        <v>2.300145076252515E-7</v>
      </c>
      <c r="AN137" t="str">
        <f t="shared" ca="1" si="66"/>
        <v>Subcritical</v>
      </c>
      <c r="AO137">
        <f t="shared" ca="1" si="67"/>
        <v>1.3965714121652725E-12</v>
      </c>
    </row>
    <row r="138" spans="1:41" x14ac:dyDescent="0.35">
      <c r="A138">
        <v>6</v>
      </c>
      <c r="B138">
        <v>5.0010000000000003</v>
      </c>
      <c r="C138">
        <v>616558.71100000001</v>
      </c>
      <c r="D138">
        <v>3097765.5159999998</v>
      </c>
      <c r="E138">
        <v>634.30999999999995</v>
      </c>
      <c r="F138">
        <v>6.0049999999999999</v>
      </c>
      <c r="G138">
        <v>0</v>
      </c>
      <c r="H138" t="s">
        <v>186</v>
      </c>
      <c r="I138">
        <v>0</v>
      </c>
      <c r="J138">
        <f t="shared" si="68"/>
        <v>1.0010000000000003</v>
      </c>
      <c r="K138">
        <f t="shared" si="69"/>
        <v>51</v>
      </c>
      <c r="L138">
        <f t="shared" ca="1" si="70"/>
        <v>2.67999999999995</v>
      </c>
      <c r="M138">
        <f t="shared" ca="1" si="47"/>
        <v>16.093399999999701</v>
      </c>
      <c r="N138">
        <f t="shared" ca="1" si="48"/>
        <v>1.4160492740870958</v>
      </c>
      <c r="O138">
        <f t="shared" ca="1" si="49"/>
        <v>3.1690009569140734</v>
      </c>
      <c r="P138">
        <f t="shared" ca="1" si="50"/>
        <v>636.9899999999999</v>
      </c>
      <c r="Q138">
        <f t="shared" ca="1" si="51"/>
        <v>637.50185357109683</v>
      </c>
      <c r="R138">
        <f t="shared" ca="1" si="52"/>
        <v>1.4209848178039965E-3</v>
      </c>
      <c r="S138">
        <f t="shared" ca="1" si="71"/>
        <v>5.7759419746616913E-4</v>
      </c>
      <c r="T138">
        <f t="shared" ca="1" si="72"/>
        <v>1</v>
      </c>
      <c r="U138">
        <f t="shared" ca="1" si="53"/>
        <v>51797.83760319963</v>
      </c>
      <c r="V138">
        <f t="shared" ca="1" si="54"/>
        <v>311046.0148072138</v>
      </c>
      <c r="W138">
        <f t="shared" ca="1" si="55"/>
        <v>3.0023259679527969</v>
      </c>
      <c r="X138">
        <f t="shared" ca="1" si="56"/>
        <v>1.6396287871300901E-4</v>
      </c>
      <c r="Y138">
        <f t="shared" ca="1" si="57"/>
        <v>52432.147603199628</v>
      </c>
      <c r="Z138">
        <f t="shared" ca="1" si="58"/>
        <v>52432.147603200996</v>
      </c>
      <c r="AA138">
        <f t="shared" ca="1" si="59"/>
        <v>1.3965713570233518E-12</v>
      </c>
      <c r="AB138">
        <f t="shared" ca="1" si="60"/>
        <v>-9.774517166079022E-4</v>
      </c>
      <c r="AC138">
        <f t="shared" ca="1" si="61"/>
        <v>1</v>
      </c>
      <c r="AD138">
        <f ca="1">IF(V31="Supercritical",L138,IF(V31="Subcritical",U138,IF(AND(T138=1,AC138=1),IF((((F138)*(L138)^2)/2+(G138)*(L138)^3/3+(ABS(K138)^2)/($I$5*MAX(((F138)+(G138)*(L138))*(L138),0.000001)))&gt;=(((F138)*(U138)^2)/2+(G138)*(U138)^3/3+(ABS(K138)^2)/($I$5*MAX(((F138)+(G138)*(U138))*(U138),0.000001))),L138,U138),IF(T138=1,L138,IF(AC138=1,U138,MAX($D$16,POWER((ABS(K138)^2)/($I$5*MAX(F138,0.1)^2),1/3)))))))</f>
        <v>51797.83760319963</v>
      </c>
      <c r="AE138">
        <f t="shared" ca="1" si="62"/>
        <v>52432.147603199628</v>
      </c>
      <c r="AF138">
        <f t="shared" ca="1" si="63"/>
        <v>52432.147603200996</v>
      </c>
      <c r="AI138">
        <v>0</v>
      </c>
      <c r="AJ138">
        <v>0</v>
      </c>
      <c r="AK138">
        <f t="shared" si="64"/>
        <v>0</v>
      </c>
      <c r="AL138">
        <f t="shared" si="73"/>
        <v>0</v>
      </c>
      <c r="AM138">
        <f t="shared" ca="1" si="65"/>
        <v>2.3001450081413273E-7</v>
      </c>
      <c r="AN138" t="str">
        <f t="shared" ca="1" si="66"/>
        <v>Subcritical</v>
      </c>
      <c r="AO138">
        <f t="shared" ca="1" si="67"/>
        <v>1.3965713570233518E-12</v>
      </c>
    </row>
    <row r="139" spans="1:41" x14ac:dyDescent="0.35">
      <c r="A139">
        <v>7</v>
      </c>
      <c r="B139">
        <v>6.0010000000000003</v>
      </c>
      <c r="C139">
        <v>616558.24100000004</v>
      </c>
      <c r="D139">
        <v>3097764.6329999999</v>
      </c>
      <c r="E139">
        <v>634.30799999999999</v>
      </c>
      <c r="F139">
        <v>6.0060000000000002</v>
      </c>
      <c r="G139">
        <v>0</v>
      </c>
      <c r="H139" t="s">
        <v>186</v>
      </c>
      <c r="I139">
        <v>2.7E-2</v>
      </c>
      <c r="J139">
        <f t="shared" si="68"/>
        <v>1</v>
      </c>
      <c r="K139">
        <f t="shared" si="69"/>
        <v>51</v>
      </c>
      <c r="L139">
        <f t="shared" ca="1" si="70"/>
        <v>2.67999999999995</v>
      </c>
      <c r="M139">
        <f t="shared" ca="1" si="47"/>
        <v>16.096079999999699</v>
      </c>
      <c r="N139">
        <f t="shared" ca="1" si="48"/>
        <v>1.4161604786204329</v>
      </c>
      <c r="O139">
        <f t="shared" ca="1" si="49"/>
        <v>3.1684733177271083</v>
      </c>
      <c r="P139">
        <f t="shared" ca="1" si="50"/>
        <v>636.98799999999994</v>
      </c>
      <c r="Q139">
        <f t="shared" ca="1" si="51"/>
        <v>637.49968313787701</v>
      </c>
      <c r="R139">
        <f t="shared" ca="1" si="52"/>
        <v>1.4203629424430749E-3</v>
      </c>
      <c r="S139">
        <f t="shared" ca="1" si="71"/>
        <v>6.7559596300270641E-4</v>
      </c>
      <c r="T139">
        <f t="shared" ca="1" si="72"/>
        <v>1</v>
      </c>
      <c r="U139">
        <f t="shared" ca="1" si="53"/>
        <v>51797.838625747914</v>
      </c>
      <c r="V139">
        <f t="shared" ca="1" si="54"/>
        <v>311097.81878624199</v>
      </c>
      <c r="W139">
        <f t="shared" ca="1" si="55"/>
        <v>3.0028259099907078</v>
      </c>
      <c r="X139">
        <f t="shared" ca="1" si="56"/>
        <v>1.6393557563012856E-4</v>
      </c>
      <c r="Y139">
        <f t="shared" ca="1" si="57"/>
        <v>52432.146625747911</v>
      </c>
      <c r="Z139">
        <f t="shared" ca="1" si="58"/>
        <v>52432.146625749279</v>
      </c>
      <c r="AA139">
        <f t="shared" ca="1" si="59"/>
        <v>1.3957963725491542E-12</v>
      </c>
      <c r="AB139">
        <f t="shared" ca="1" si="60"/>
        <v>-9.7744582308223471E-4</v>
      </c>
      <c r="AC139">
        <f t="shared" ca="1" si="61"/>
        <v>1</v>
      </c>
      <c r="AD139">
        <f ca="1">IF(V31="Supercritical",L139,IF(V31="Subcritical",U139,IF(AND(T139=1,AC139=1),IF((((F139)*(L139)^2)/2+(G139)*(L139)^3/3+(ABS(K139)^2)/($I$5*MAX(((F139)+(G139)*(L139))*(L139),0.000001)))&gt;=(((F139)*(U139)^2)/2+(G139)*(U139)^3/3+(ABS(K139)^2)/($I$5*MAX(((F139)+(G139)*(U139))*(U139),0.000001))),L139,U139),IF(T139=1,L139,IF(AC139=1,U139,MAX($D$16,POWER((ABS(K139)^2)/($I$5*MAX(F139,0.1)^2),1/3)))))))</f>
        <v>51797.838625747914</v>
      </c>
      <c r="AE139">
        <f t="shared" ca="1" si="62"/>
        <v>52432.146625747911</v>
      </c>
      <c r="AF139">
        <f t="shared" ca="1" si="63"/>
        <v>52432.146625749279</v>
      </c>
      <c r="AI139">
        <v>0</v>
      </c>
      <c r="AJ139">
        <v>0</v>
      </c>
      <c r="AK139">
        <f t="shared" si="64"/>
        <v>0</v>
      </c>
      <c r="AL139">
        <f t="shared" si="73"/>
        <v>0</v>
      </c>
      <c r="AM139">
        <f t="shared" ca="1" si="65"/>
        <v>2.2997619655146177E-7</v>
      </c>
      <c r="AN139" t="str">
        <f t="shared" ca="1" si="66"/>
        <v>Subcritical</v>
      </c>
      <c r="AO139">
        <f t="shared" ca="1" si="67"/>
        <v>1.3957963725491542E-12</v>
      </c>
    </row>
    <row r="140" spans="1:41" x14ac:dyDescent="0.35">
      <c r="A140">
        <v>8</v>
      </c>
      <c r="B140">
        <v>7</v>
      </c>
      <c r="C140">
        <v>616557.77099999995</v>
      </c>
      <c r="D140">
        <v>3097763.7510000002</v>
      </c>
      <c r="E140">
        <v>634.30600000000004</v>
      </c>
      <c r="F140">
        <v>6.0060000000000002</v>
      </c>
      <c r="G140">
        <v>0</v>
      </c>
      <c r="H140" t="s">
        <v>186</v>
      </c>
      <c r="I140">
        <v>2.7E-2</v>
      </c>
      <c r="J140">
        <f t="shared" si="68"/>
        <v>0.99899999999999967</v>
      </c>
      <c r="K140">
        <f t="shared" si="69"/>
        <v>51</v>
      </c>
      <c r="L140">
        <f t="shared" ca="1" si="70"/>
        <v>2.67999999999995</v>
      </c>
      <c r="M140">
        <f t="shared" ca="1" si="47"/>
        <v>16.096079999999699</v>
      </c>
      <c r="N140">
        <f t="shared" ca="1" si="48"/>
        <v>1.4161604786204329</v>
      </c>
      <c r="O140">
        <f t="shared" ca="1" si="49"/>
        <v>3.1684733177271083</v>
      </c>
      <c r="P140">
        <f t="shared" ca="1" si="50"/>
        <v>636.98599999999999</v>
      </c>
      <c r="Q140">
        <f t="shared" ca="1" si="51"/>
        <v>637.49768313787706</v>
      </c>
      <c r="R140">
        <f t="shared" ca="1" si="52"/>
        <v>1.4203629424430749E-3</v>
      </c>
      <c r="S140">
        <f t="shared" ca="1" si="71"/>
        <v>5.5803167924750596E-4</v>
      </c>
      <c r="T140">
        <f t="shared" ca="1" si="72"/>
        <v>1</v>
      </c>
      <c r="U140">
        <f t="shared" ca="1" si="53"/>
        <v>51797.839648302092</v>
      </c>
      <c r="V140">
        <f t="shared" ca="1" si="54"/>
        <v>311097.82492770237</v>
      </c>
      <c r="W140">
        <f t="shared" ca="1" si="55"/>
        <v>3.0028259099941441</v>
      </c>
      <c r="X140">
        <f t="shared" ca="1" si="56"/>
        <v>1.6393557239383514E-4</v>
      </c>
      <c r="Y140">
        <f t="shared" ca="1" si="57"/>
        <v>52432.145648302088</v>
      </c>
      <c r="Z140">
        <f t="shared" ca="1" si="58"/>
        <v>52432.145648303456</v>
      </c>
      <c r="AA140">
        <f t="shared" ca="1" si="59"/>
        <v>1.3957963174374904E-12</v>
      </c>
      <c r="AB140">
        <f t="shared" ca="1" si="60"/>
        <v>-9.7738191834650934E-4</v>
      </c>
      <c r="AC140">
        <f t="shared" ca="1" si="61"/>
        <v>1</v>
      </c>
      <c r="AD140">
        <f ca="1">IF(V31="Supercritical",L140,IF(V31="Subcritical",U140,IF(AND(T140=1,AC140=1),IF((((F140)*(L140)^2)/2+(G140)*(L140)^3/3+(ABS(K140)^2)/($I$5*MAX(((F140)+(G140)*(L140))*(L140),0.000001)))&gt;=(((F140)*(U140)^2)/2+(G140)*(U140)^3/3+(ABS(K140)^2)/($I$5*MAX(((F140)+(G140)*(U140))*(U140),0.000001))),L140,U140),IF(T140=1,L140,IF(AC140=1,U140,MAX($D$16,POWER((ABS(K140)^2)/($I$5*MAX(F140,0.1)^2),1/3)))))))</f>
        <v>51797.839648302092</v>
      </c>
      <c r="AE140">
        <f t="shared" ca="1" si="62"/>
        <v>52432.145648302088</v>
      </c>
      <c r="AF140">
        <f t="shared" ca="1" si="63"/>
        <v>52432.145648303456</v>
      </c>
      <c r="AI140">
        <v>0</v>
      </c>
      <c r="AJ140">
        <v>0</v>
      </c>
      <c r="AK140">
        <f t="shared" si="64"/>
        <v>0</v>
      </c>
      <c r="AL140">
        <f t="shared" si="73"/>
        <v>0</v>
      </c>
      <c r="AM140">
        <f t="shared" ca="1" si="65"/>
        <v>2.2997618974143493E-7</v>
      </c>
      <c r="AN140" t="str">
        <f t="shared" ca="1" si="66"/>
        <v>Subcritical</v>
      </c>
      <c r="AO140">
        <f t="shared" ca="1" si="67"/>
        <v>1.3957963174374904E-12</v>
      </c>
    </row>
    <row r="141" spans="1:41" x14ac:dyDescent="0.35">
      <c r="A141">
        <v>9</v>
      </c>
      <c r="B141">
        <v>8.0009999999999994</v>
      </c>
      <c r="C141">
        <v>616557.30099999998</v>
      </c>
      <c r="D141">
        <v>3097762.8679999998</v>
      </c>
      <c r="E141">
        <v>634.30399999999997</v>
      </c>
      <c r="F141">
        <v>6.0069999999999997</v>
      </c>
      <c r="G141">
        <v>0</v>
      </c>
      <c r="H141" t="s">
        <v>186</v>
      </c>
      <c r="I141">
        <v>0</v>
      </c>
      <c r="J141">
        <f t="shared" si="68"/>
        <v>1.0009999999999994</v>
      </c>
      <c r="K141">
        <f t="shared" si="69"/>
        <v>51</v>
      </c>
      <c r="L141">
        <f t="shared" ca="1" si="70"/>
        <v>2.67999999999995</v>
      </c>
      <c r="M141">
        <f t="shared" ca="1" si="47"/>
        <v>16.0987599999997</v>
      </c>
      <c r="N141">
        <f t="shared" ca="1" si="48"/>
        <v>1.4162716635875643</v>
      </c>
      <c r="O141">
        <f t="shared" ca="1" si="49"/>
        <v>3.1679458542149179</v>
      </c>
      <c r="P141">
        <f t="shared" ca="1" si="50"/>
        <v>636.98399999999992</v>
      </c>
      <c r="Q141">
        <f t="shared" ca="1" si="51"/>
        <v>637.49551278976742</v>
      </c>
      <c r="R141">
        <f t="shared" ca="1" si="52"/>
        <v>1.4197414557795549E-3</v>
      </c>
      <c r="S141">
        <f t="shared" ca="1" si="71"/>
        <v>6.9777142539351189E-4</v>
      </c>
      <c r="T141">
        <f t="shared" ca="1" si="72"/>
        <v>1</v>
      </c>
      <c r="U141">
        <f t="shared" ca="1" si="53"/>
        <v>51797.840670920174</v>
      </c>
      <c r="V141">
        <f t="shared" ca="1" si="54"/>
        <v>311149.62891021749</v>
      </c>
      <c r="W141">
        <f t="shared" ca="1" si="55"/>
        <v>3.0033258520224067</v>
      </c>
      <c r="X141">
        <f t="shared" ca="1" si="56"/>
        <v>1.6390827840169494E-4</v>
      </c>
      <c r="Y141">
        <f t="shared" ca="1" si="57"/>
        <v>52432.14467092017</v>
      </c>
      <c r="Z141">
        <f t="shared" ca="1" si="58"/>
        <v>52432.144670921538</v>
      </c>
      <c r="AA141">
        <f t="shared" ca="1" si="59"/>
        <v>1.3950218919547403E-12</v>
      </c>
      <c r="AB141">
        <f t="shared" ca="1" si="60"/>
        <v>-9.7668822854757309E-4</v>
      </c>
      <c r="AC141">
        <f t="shared" ca="1" si="61"/>
        <v>1</v>
      </c>
      <c r="AD141">
        <f ca="1">IF(V31="Supercritical",L141,IF(V31="Subcritical",U141,IF(AND(T141=1,AC141=1),IF((((F141)*(L141)^2)/2+(G141)*(L141)^3/3+(ABS(K141)^2)/($I$5*MAX(((F141)+(G141)*(L141))*(L141),0.000001)))&gt;=(((F141)*(U141)^2)/2+(G141)*(U141)^3/3+(ABS(K141)^2)/($I$5*MAX(((F141)+(G141)*(U141))*(U141),0.000001))),L141,U141),IF(T141=1,L141,IF(AC141=1,U141,MAX($D$16,POWER((ABS(K141)^2)/($I$5*MAX(F141,0.1)^2),1/3)))))))</f>
        <v>51797.840670920174</v>
      </c>
      <c r="AE141">
        <f t="shared" ca="1" si="62"/>
        <v>52432.14467092017</v>
      </c>
      <c r="AF141">
        <f t="shared" ca="1" si="63"/>
        <v>52432.144670921538</v>
      </c>
      <c r="AI141">
        <v>0</v>
      </c>
      <c r="AJ141">
        <v>0</v>
      </c>
      <c r="AK141">
        <f t="shared" si="64"/>
        <v>0</v>
      </c>
      <c r="AL141">
        <f t="shared" si="73"/>
        <v>0</v>
      </c>
      <c r="AM141">
        <f t="shared" ca="1" si="65"/>
        <v>2.2993789823264234E-7</v>
      </c>
      <c r="AN141" t="str">
        <f t="shared" ca="1" si="66"/>
        <v>Subcritical</v>
      </c>
      <c r="AO141">
        <f t="shared" ca="1" si="67"/>
        <v>1.3950218919547403E-12</v>
      </c>
    </row>
    <row r="142" spans="1:41" x14ac:dyDescent="0.35">
      <c r="A142">
        <v>10</v>
      </c>
      <c r="B142">
        <v>9.0009999999999994</v>
      </c>
      <c r="C142">
        <v>616556.83100000001</v>
      </c>
      <c r="D142">
        <v>3097761.9849999999</v>
      </c>
      <c r="E142">
        <v>634.30200000000002</v>
      </c>
      <c r="F142">
        <v>6.0069999999999997</v>
      </c>
      <c r="G142">
        <v>0</v>
      </c>
      <c r="H142" t="s">
        <v>186</v>
      </c>
      <c r="I142">
        <v>2.7E-2</v>
      </c>
      <c r="J142">
        <f t="shared" si="68"/>
        <v>1</v>
      </c>
      <c r="K142">
        <f t="shared" si="69"/>
        <v>51</v>
      </c>
      <c r="L142">
        <f t="shared" ca="1" si="70"/>
        <v>2.67999999999995</v>
      </c>
      <c r="M142">
        <f t="shared" ca="1" si="47"/>
        <v>16.0987599999997</v>
      </c>
      <c r="N142">
        <f t="shared" ca="1" si="48"/>
        <v>1.4162716635875643</v>
      </c>
      <c r="O142">
        <f t="shared" ca="1" si="49"/>
        <v>3.1679458542149179</v>
      </c>
      <c r="P142">
        <f t="shared" ca="1" si="50"/>
        <v>636.98199999999997</v>
      </c>
      <c r="Q142">
        <f t="shared" ca="1" si="51"/>
        <v>637.49351278976746</v>
      </c>
      <c r="R142">
        <f t="shared" ca="1" si="52"/>
        <v>1.4197414557795549E-3</v>
      </c>
      <c r="S142">
        <f t="shared" ca="1" si="71"/>
        <v>5.572404685381116E-4</v>
      </c>
      <c r="T142">
        <f t="shared" ca="1" si="72"/>
        <v>1</v>
      </c>
      <c r="U142">
        <f t="shared" ca="1" si="53"/>
        <v>51797.841694231938</v>
      </c>
      <c r="V142">
        <f t="shared" ca="1" si="54"/>
        <v>311149.63505725126</v>
      </c>
      <c r="W142">
        <f t="shared" ca="1" si="55"/>
        <v>3.003325852025847</v>
      </c>
      <c r="X142">
        <f t="shared" ca="1" si="56"/>
        <v>1.6390827516354325E-4</v>
      </c>
      <c r="Y142">
        <f t="shared" ca="1" si="57"/>
        <v>52432.143694231941</v>
      </c>
      <c r="Z142">
        <f t="shared" ca="1" si="58"/>
        <v>52432.143694233309</v>
      </c>
      <c r="AA142">
        <f t="shared" ca="1" si="59"/>
        <v>1.3950218368328503E-12</v>
      </c>
      <c r="AB142">
        <f t="shared" ca="1" si="60"/>
        <v>-9.6915783797157928E-4</v>
      </c>
      <c r="AC142">
        <f t="shared" ca="1" si="61"/>
        <v>1</v>
      </c>
      <c r="AD142">
        <f ca="1">IF(V31="Supercritical",L142,IF(V31="Subcritical",U142,IF(AND(T142=1,AC142=1),IF((((F142)*(L142)^2)/2+(G142)*(L142)^3/3+(ABS(K142)^2)/($I$5*MAX(((F142)+(G142)*(L142))*(L142),0.000001)))&gt;=(((F142)*(U142)^2)/2+(G142)*(U142)^3/3+(ABS(K142)^2)/($I$5*MAX(((F142)+(G142)*(U142))*(U142),0.000001))),L142,U142),IF(T142=1,L142,IF(AC142=1,U142,MAX($D$16,POWER((ABS(K142)^2)/($I$5*MAX(F142,0.1)^2),1/3)))))))</f>
        <v>51797.841694231938</v>
      </c>
      <c r="AE142">
        <f t="shared" ca="1" si="62"/>
        <v>52432.143694231941</v>
      </c>
      <c r="AF142">
        <f t="shared" ca="1" si="63"/>
        <v>52432.143694233309</v>
      </c>
      <c r="AI142">
        <v>0</v>
      </c>
      <c r="AJ142">
        <v>0</v>
      </c>
      <c r="AK142">
        <f t="shared" si="64"/>
        <v>0</v>
      </c>
      <c r="AL142">
        <f t="shared" si="73"/>
        <v>0</v>
      </c>
      <c r="AM142">
        <f t="shared" ca="1" si="65"/>
        <v>2.2993789141870533E-7</v>
      </c>
      <c r="AN142" t="str">
        <f t="shared" ca="1" si="66"/>
        <v>Subcritical</v>
      </c>
      <c r="AO142">
        <f t="shared" ca="1" si="67"/>
        <v>1.3950218368328503E-12</v>
      </c>
    </row>
    <row r="143" spans="1:41" x14ac:dyDescent="0.35">
      <c r="A143">
        <v>11</v>
      </c>
      <c r="B143">
        <v>10</v>
      </c>
      <c r="C143">
        <v>616556.36100000003</v>
      </c>
      <c r="D143">
        <v>3097761.1030000001</v>
      </c>
      <c r="E143">
        <v>634.29999999999995</v>
      </c>
      <c r="F143">
        <v>6.42</v>
      </c>
      <c r="G143">
        <v>0</v>
      </c>
      <c r="H143" t="s">
        <v>186</v>
      </c>
      <c r="I143">
        <v>7.0999999999999994E-2</v>
      </c>
      <c r="J143">
        <f t="shared" si="68"/>
        <v>0.99900000000000055</v>
      </c>
      <c r="K143">
        <f t="shared" si="69"/>
        <v>51</v>
      </c>
      <c r="L143">
        <f t="shared" ca="1" si="70"/>
        <v>2.7372583801714709</v>
      </c>
      <c r="M143">
        <f t="shared" ca="1" si="47"/>
        <v>17.573198800700844</v>
      </c>
      <c r="N143">
        <f t="shared" ca="1" si="48"/>
        <v>1.4774201554190904</v>
      </c>
      <c r="O143">
        <f t="shared" ca="1" si="49"/>
        <v>2.9021466483362182</v>
      </c>
      <c r="P143">
        <f t="shared" ca="1" si="50"/>
        <v>637.03725838017147</v>
      </c>
      <c r="Q143">
        <f t="shared" ca="1" si="51"/>
        <v>637.46653744074479</v>
      </c>
      <c r="R143">
        <f t="shared" ca="1" si="52"/>
        <v>1.1262008913726091E-3</v>
      </c>
      <c r="S143">
        <f t="shared" ca="1" si="71"/>
        <v>9.7300304855707509E-4</v>
      </c>
      <c r="T143">
        <f t="shared" ca="1" si="72"/>
        <v>1</v>
      </c>
      <c r="U143">
        <f t="shared" ca="1" si="53"/>
        <v>51797.842725074217</v>
      </c>
      <c r="V143">
        <f t="shared" ca="1" si="54"/>
        <v>332542.15029497648</v>
      </c>
      <c r="W143">
        <f t="shared" ca="1" si="55"/>
        <v>3.2098010831931414</v>
      </c>
      <c r="X143">
        <f t="shared" ca="1" si="56"/>
        <v>1.5336401702689787E-4</v>
      </c>
      <c r="Y143">
        <f t="shared" ca="1" si="57"/>
        <v>52432.14272507422</v>
      </c>
      <c r="Z143">
        <f t="shared" ca="1" si="58"/>
        <v>52432.14272507542</v>
      </c>
      <c r="AA143">
        <f t="shared" ca="1" si="59"/>
        <v>1.1177001516562715E-12</v>
      </c>
      <c r="AB143">
        <f t="shared" ca="1" si="60"/>
        <v>-8.8741063518682495E-4</v>
      </c>
      <c r="AC143">
        <f t="shared" ca="1" si="61"/>
        <v>1</v>
      </c>
      <c r="AD143">
        <f ca="1">IF(V31="Supercritical",L143,IF(V31="Subcritical",U143,IF(AND(T143=1,AC143=1),IF((((F143)*(L143)^2)/2+(G143)*(L143)^3/3+(ABS(K143)^2)/($I$5*MAX(((F143)+(G143)*(L143))*(L143),0.000001)))&gt;=(((F143)*(U143)^2)/2+(G143)*(U143)^3/3+(ABS(K143)^2)/($I$5*MAX(((F143)+(G143)*(U143))*(U143),0.000001))),L143,U143),IF(T143=1,L143,IF(AC143=1,U143,MAX($D$16,POWER((ABS(K143)^2)/($I$5*MAX(F143,0.1)^2),1/3)))))))</f>
        <v>51797.842725074217</v>
      </c>
      <c r="AE143">
        <f t="shared" ca="1" si="62"/>
        <v>52432.14272507422</v>
      </c>
      <c r="AF143">
        <f t="shared" ca="1" si="63"/>
        <v>52432.14272507542</v>
      </c>
      <c r="AI143">
        <v>0</v>
      </c>
      <c r="AJ143">
        <v>0</v>
      </c>
      <c r="AK143">
        <f t="shared" si="64"/>
        <v>0</v>
      </c>
      <c r="AL143">
        <f t="shared" si="73"/>
        <v>0</v>
      </c>
      <c r="AM143">
        <f t="shared" ca="1" si="65"/>
        <v>2.1514593029900827E-7</v>
      </c>
      <c r="AN143" t="str">
        <f t="shared" ca="1" si="66"/>
        <v>Subcritical</v>
      </c>
      <c r="AO143">
        <f t="shared" ca="1" si="67"/>
        <v>1.1177001516562715E-12</v>
      </c>
    </row>
    <row r="144" spans="1:41" x14ac:dyDescent="0.35">
      <c r="A144">
        <v>12</v>
      </c>
      <c r="B144">
        <v>10.742000000000001</v>
      </c>
      <c r="C144">
        <v>616556.01300000004</v>
      </c>
      <c r="D144">
        <v>3097760.4479999999</v>
      </c>
      <c r="E144">
        <v>634.298</v>
      </c>
      <c r="F144">
        <v>6.5579999999999998</v>
      </c>
      <c r="G144">
        <v>0</v>
      </c>
      <c r="H144" t="s">
        <v>187</v>
      </c>
      <c r="I144">
        <v>0</v>
      </c>
      <c r="J144">
        <f t="shared" si="68"/>
        <v>0.74200000000000088</v>
      </c>
      <c r="K144">
        <f t="shared" si="69"/>
        <v>51</v>
      </c>
      <c r="L144">
        <f t="shared" ca="1" si="70"/>
        <v>2.7533473995915236</v>
      </c>
      <c r="M144">
        <f t="shared" ca="1" si="47"/>
        <v>18.056452246521211</v>
      </c>
      <c r="N144">
        <f t="shared" ca="1" si="48"/>
        <v>1.4966356420175577</v>
      </c>
      <c r="O144">
        <f t="shared" ca="1" si="49"/>
        <v>2.8244751130347741</v>
      </c>
      <c r="P144">
        <f t="shared" ca="1" si="50"/>
        <v>637.05134739959158</v>
      </c>
      <c r="Q144">
        <f t="shared" ca="1" si="51"/>
        <v>637.45795594516517</v>
      </c>
      <c r="R144">
        <f t="shared" ca="1" si="52"/>
        <v>1.0485035651148394E-3</v>
      </c>
      <c r="S144">
        <f t="shared" ca="1" si="71"/>
        <v>9.7352572629461065E-4</v>
      </c>
      <c r="T144">
        <f t="shared" ca="1" si="72"/>
        <v>1</v>
      </c>
      <c r="U144">
        <f>MAX($D$16,($I$13)-E144)</f>
        <v>51797.843837663619</v>
      </c>
      <c r="V144">
        <f t="shared" si="54"/>
        <v>339690.25988739799</v>
      </c>
      <c r="W144">
        <f t="shared" si="55"/>
        <v>3.2787924400010842</v>
      </c>
      <c r="X144">
        <f t="shared" si="56"/>
        <v>1.5013677465143012E-4</v>
      </c>
      <c r="Y144">
        <f t="shared" si="57"/>
        <v>52432.141837663621</v>
      </c>
      <c r="Z144">
        <f t="shared" si="58"/>
        <v>52432.141837664771</v>
      </c>
      <c r="AA144">
        <f t="shared" si="59"/>
        <v>1.0412094832431511E-12</v>
      </c>
      <c r="AB144">
        <v>0</v>
      </c>
      <c r="AC144">
        <v>1</v>
      </c>
      <c r="AD144">
        <f ca="1">IF(V31="Supercritical",L144,IF(V31="Subcritical",U144,IF(AND(T144=1,AC144=1),IF((((F144)*(L144)^2)/2+(G144)*(L144)^3/3+(ABS(K144)^2)/($I$5*MAX(((F144)+(G144)*(L144))*(L144),0.000001)))&gt;=(((F144)*(U144)^2)/2+(G144)*(U144)^3/3+(ABS(K144)^2)/($I$5*MAX(((F144)+(G144)*(U144))*(U144),0.000001))),L144,U144),IF(T144=1,L144,IF(AC144=1,U144,MAX($D$16,POWER((ABS(K144)^2)/($I$5*MAX(F144,0.1)^2),1/3)))))))</f>
        <v>51797.843837663619</v>
      </c>
      <c r="AE144">
        <f t="shared" ca="1" si="62"/>
        <v>52432.141837663621</v>
      </c>
      <c r="AF144">
        <f t="shared" ca="1" si="63"/>
        <v>52432.141837664771</v>
      </c>
      <c r="AI144">
        <v>0</v>
      </c>
      <c r="AJ144">
        <v>0</v>
      </c>
      <c r="AK144">
        <f t="shared" si="64"/>
        <v>0</v>
      </c>
      <c r="AL144">
        <f t="shared" si="73"/>
        <v>0</v>
      </c>
      <c r="AM144">
        <f t="shared" ca="1" si="65"/>
        <v>2.1061860750492724E-7</v>
      </c>
      <c r="AN144" t="str">
        <f t="shared" ca="1" si="66"/>
        <v>Subcritical</v>
      </c>
      <c r="AO144">
        <f t="shared" ca="1" si="67"/>
        <v>1.0412094832431511E-12</v>
      </c>
    </row>
    <row r="147" spans="1:41" x14ac:dyDescent="0.35">
      <c r="A147" t="s">
        <v>188</v>
      </c>
      <c r="E147">
        <f>E32</f>
        <v>1382.3979999999999</v>
      </c>
      <c r="F147" t="s">
        <v>141</v>
      </c>
      <c r="H147">
        <f>N32</f>
        <v>51</v>
      </c>
      <c r="I147" t="s">
        <v>13</v>
      </c>
      <c r="K147" t="str">
        <f>V32</f>
        <v>Mixed</v>
      </c>
      <c r="L147" t="s">
        <v>142</v>
      </c>
    </row>
    <row r="148" spans="1:41" x14ac:dyDescent="0.35">
      <c r="A148" t="s">
        <v>143</v>
      </c>
      <c r="B148" t="s">
        <v>144</v>
      </c>
      <c r="C148" t="s">
        <v>145</v>
      </c>
      <c r="D148" t="s">
        <v>146</v>
      </c>
      <c r="E148" t="s">
        <v>147</v>
      </c>
      <c r="F148" t="s">
        <v>148</v>
      </c>
      <c r="G148" t="s">
        <v>149</v>
      </c>
      <c r="H148" t="s">
        <v>9</v>
      </c>
      <c r="I148" t="s">
        <v>150</v>
      </c>
      <c r="J148" t="s">
        <v>151</v>
      </c>
      <c r="K148" t="s">
        <v>152</v>
      </c>
      <c r="L148" t="s">
        <v>153</v>
      </c>
      <c r="M148" t="s">
        <v>154</v>
      </c>
      <c r="N148" t="s">
        <v>155</v>
      </c>
      <c r="O148" t="s">
        <v>156</v>
      </c>
      <c r="P148" t="s">
        <v>157</v>
      </c>
      <c r="Q148" t="s">
        <v>158</v>
      </c>
      <c r="R148" t="s">
        <v>159</v>
      </c>
      <c r="S148" t="s">
        <v>160</v>
      </c>
      <c r="T148" t="s">
        <v>161</v>
      </c>
      <c r="U148" t="s">
        <v>162</v>
      </c>
      <c r="V148" t="s">
        <v>163</v>
      </c>
      <c r="W148" t="s">
        <v>164</v>
      </c>
      <c r="X148" t="s">
        <v>165</v>
      </c>
      <c r="Y148" t="s">
        <v>166</v>
      </c>
      <c r="Z148" t="s">
        <v>167</v>
      </c>
      <c r="AA148" t="s">
        <v>168</v>
      </c>
      <c r="AB148" t="s">
        <v>169</v>
      </c>
      <c r="AC148" t="s">
        <v>170</v>
      </c>
      <c r="AD148" t="s">
        <v>171</v>
      </c>
      <c r="AE148" t="s">
        <v>172</v>
      </c>
      <c r="AF148" t="s">
        <v>173</v>
      </c>
      <c r="AG148" t="s">
        <v>174</v>
      </c>
      <c r="AH148" t="s">
        <v>175</v>
      </c>
      <c r="AI148" t="s">
        <v>176</v>
      </c>
      <c r="AJ148" t="s">
        <v>177</v>
      </c>
      <c r="AK148" t="s">
        <v>178</v>
      </c>
      <c r="AL148" t="s">
        <v>179</v>
      </c>
      <c r="AM148" t="s">
        <v>180</v>
      </c>
      <c r="AN148" t="s">
        <v>181</v>
      </c>
      <c r="AO148" t="s">
        <v>182</v>
      </c>
    </row>
    <row r="149" spans="1:41" x14ac:dyDescent="0.35">
      <c r="A149" t="s">
        <v>22</v>
      </c>
      <c r="B149" t="s">
        <v>52</v>
      </c>
      <c r="C149" t="s">
        <v>52</v>
      </c>
      <c r="D149" t="s">
        <v>52</v>
      </c>
      <c r="E149" t="s">
        <v>52</v>
      </c>
      <c r="F149" t="s">
        <v>52</v>
      </c>
      <c r="G149" t="s">
        <v>22</v>
      </c>
      <c r="H149" t="s">
        <v>22</v>
      </c>
      <c r="I149" t="s">
        <v>183</v>
      </c>
      <c r="J149" t="s">
        <v>52</v>
      </c>
      <c r="K149" t="s">
        <v>13</v>
      </c>
      <c r="L149" t="s">
        <v>52</v>
      </c>
      <c r="M149" t="s">
        <v>184</v>
      </c>
      <c r="N149" t="s">
        <v>52</v>
      </c>
      <c r="O149" t="s">
        <v>185</v>
      </c>
      <c r="P149" t="s">
        <v>52</v>
      </c>
      <c r="Q149" t="s">
        <v>52</v>
      </c>
      <c r="R149" t="s">
        <v>22</v>
      </c>
      <c r="S149" t="s">
        <v>52</v>
      </c>
      <c r="T149" t="s">
        <v>22</v>
      </c>
      <c r="U149" t="s">
        <v>52</v>
      </c>
      <c r="V149" t="s">
        <v>184</v>
      </c>
      <c r="W149" t="s">
        <v>52</v>
      </c>
      <c r="X149" t="s">
        <v>185</v>
      </c>
      <c r="Y149" t="s">
        <v>52</v>
      </c>
      <c r="Z149" t="s">
        <v>52</v>
      </c>
      <c r="AA149" t="s">
        <v>22</v>
      </c>
      <c r="AB149" t="s">
        <v>52</v>
      </c>
      <c r="AC149" t="s">
        <v>22</v>
      </c>
      <c r="AD149" t="s">
        <v>52</v>
      </c>
      <c r="AE149" t="s">
        <v>52</v>
      </c>
      <c r="AF149" t="s">
        <v>52</v>
      </c>
      <c r="AG149" t="s">
        <v>52</v>
      </c>
      <c r="AH149" t="s">
        <v>52</v>
      </c>
      <c r="AI149" t="s">
        <v>13</v>
      </c>
      <c r="AJ149" t="s">
        <v>13</v>
      </c>
      <c r="AK149" t="s">
        <v>13</v>
      </c>
      <c r="AL149" t="s">
        <v>13</v>
      </c>
      <c r="AM149" t="s">
        <v>22</v>
      </c>
      <c r="AN149" t="s">
        <v>22</v>
      </c>
      <c r="AO149" t="s">
        <v>22</v>
      </c>
    </row>
    <row r="150" spans="1:41" x14ac:dyDescent="0.35">
      <c r="A150">
        <v>1</v>
      </c>
      <c r="B150">
        <v>0</v>
      </c>
      <c r="C150">
        <v>616556.01300000004</v>
      </c>
      <c r="D150">
        <v>3097760.4479999999</v>
      </c>
      <c r="E150">
        <v>634.298</v>
      </c>
      <c r="F150">
        <v>6.5579999999999998</v>
      </c>
      <c r="G150">
        <v>0</v>
      </c>
      <c r="H150" t="s">
        <v>187</v>
      </c>
      <c r="I150">
        <v>0</v>
      </c>
      <c r="J150">
        <v>0</v>
      </c>
      <c r="K150">
        <f>N32</f>
        <v>51</v>
      </c>
      <c r="L150">
        <f>MAX($D$16,($I$13)-E150)</f>
        <v>51797.843837663619</v>
      </c>
      <c r="M150">
        <f t="shared" ref="M150:M213" si="74">((F150)+(G150)*(L150))*(L150)</f>
        <v>339690.25988739799</v>
      </c>
      <c r="N150">
        <f t="shared" ref="N150:N213" si="75">(((F150)+(G150)*(L150))*(L150))/MAX((F150)+2*(L150)*SQRT(1+(G150)^2),0.000001)</f>
        <v>3.2787924400010842</v>
      </c>
      <c r="O150">
        <f t="shared" ref="O150:O213" si="76">ABS(K150)/MAX(((F150)+(G150)*(L150))*(L150),0.000001)</f>
        <v>1.5013677465143012E-4</v>
      </c>
      <c r="P150">
        <f t="shared" ref="P150:P213" si="77">E150+L150</f>
        <v>52432.141837663621</v>
      </c>
      <c r="Q150">
        <f t="shared" ref="Q150:Q213" si="78">P150+((ABS(K150)/MAX(((F150)+(G150)*(L150))*(L150),0.000001))^2)/(2*$I$5)</f>
        <v>52432.141837664771</v>
      </c>
      <c r="R150">
        <f t="shared" ref="R150:R213" si="79">((ABS(K150)*$D$6)/(MAX(((F150)+(G150)*(L150))*(L150),0.000001)*MAX(((((F150)+(G150)*(L150))*(L150))/MAX((F150)+2*(L150)*SQRT(1+(G150)^2),0.000001))^(2/3),0.000001)))^2</f>
        <v>1.0412094832431511E-12</v>
      </c>
      <c r="S150">
        <v>0</v>
      </c>
      <c r="T150">
        <v>1</v>
      </c>
      <c r="U150">
        <f t="shared" ref="U150:U213" ca="1" si="80">IF($D$20=0,U151,IF(AC151=0,U151,IF(U150=0,U151,IF(ABS(AB150)&gt;$D$19,MAX($D$16,U150+((AB150)*$D$18*IF((ABS(ABS(K150)/MAX(((F150)+(G150)*(U150))*(U150),0.000001))/SQRT($I$5*MAX((((F150)+(G150)*(U150))*(U150))/MAX((F150)+2*(G150)*(U150),0.000001),0.000001)))&lt;1,1,-1))),U150))))</f>
        <v>51799.697125552659</v>
      </c>
      <c r="V150">
        <f t="shared" ref="V150:V213" ca="1" si="81">((F150)+(G150)*(U150))*(U150)</f>
        <v>339702.41374937433</v>
      </c>
      <c r="W150">
        <f t="shared" ref="W150:W213" ca="1" si="82">(((F150)+(G150)*(U150))*(U150))/MAX((F150)+2*(U150)*SQRT(1+(G150)^2),0.000001)</f>
        <v>3.2787924474266892</v>
      </c>
      <c r="X150">
        <f t="shared" ref="X150:X213" ca="1" si="83">ABS(K150)/MAX(((F150)+(G150)*(U150))*(U150),0.000001)</f>
        <v>1.5013140306276065E-4</v>
      </c>
      <c r="Y150">
        <f t="shared" ref="Y150:Y213" ca="1" si="84">E150+U150</f>
        <v>52433.995125552661</v>
      </c>
      <c r="Z150">
        <f t="shared" ref="Z150:Z213" ca="1" si="85">Y150+((ABS(K150)/MAX(((F150)+(G150)*(U150))*(U150),0.000001))^2)/(2*$I$5)</f>
        <v>52433.995125553811</v>
      </c>
      <c r="AA150">
        <f t="shared" ref="AA150:AA213" ca="1" si="86">((ABS(K150)*$D$6)/(MAX(((F150)+(G150)*(U150))*(U150),0.000001)*MAX(((((F150)+(G150)*(U150))*(U150))/MAX((F150)+2*(U150)*SQRT(1+(G150)^2),0.000001))^(2/3),0.000001)))^2</f>
        <v>1.0411349767136445E-12</v>
      </c>
      <c r="AB150">
        <f t="shared" ref="AB150:AB213" ca="1" si="87">Z151+(((AA150+AA151)/2)*J151)+(IF(X150&gt;X151,$D$8*((X150^2-X151^2)/(2*$I$5)),$D$9*((X151^2-X150^2)/(2*$I$5)))+($D$10*(ABS(I151)/90)*(MAX(X150^2,X151^2)/(2*$I$5))))-Z150</f>
        <v>-2.0000001386506483E-3</v>
      </c>
      <c r="AC150">
        <f t="shared" ref="AC150:AC213" ca="1" si="88">IF(ABS(AB150)&lt;$D$19,1,0)</f>
        <v>0</v>
      </c>
      <c r="AD150">
        <f ca="1">IF(V32="Supercritical",L150,IF(V32="Subcritical",U150,IF(AND(T150=1,AC150=1),IF((((F150)*(L150)^2)/2+(G150)*(L150)^3/3+(ABS(K150)^2)/($I$5*MAX(((F150)+(G150)*(L150))*(L150),0.000001)))&gt;=(((F150)*(U150)^2)/2+(G150)*(U150)^3/3+(ABS(K150)^2)/($I$5*MAX(((F150)+(G150)*(U150))*(U150),0.000001))),L150,U150),IF(T150=1,L150,IF(AC150=1,U150,MAX($D$16,POWER((ABS(K150)^2)/($I$5*MAX(F150,0.1)^2),1/3)))))))</f>
        <v>51797.843837663619</v>
      </c>
      <c r="AE150">
        <f t="shared" ref="AE150:AE213" ca="1" si="89">E150+AD150</f>
        <v>52432.141837663621</v>
      </c>
      <c r="AF150">
        <f t="shared" ref="AF150:AF213" ca="1" si="90">AE150+((ABS(K150)/MAX(((F150)+(G150)*(AD150))*(AD150),0.000001))^2)/(2*$I$5)</f>
        <v>52432.141837664771</v>
      </c>
      <c r="AI150">
        <v>0</v>
      </c>
      <c r="AJ150">
        <v>0</v>
      </c>
      <c r="AK150">
        <f t="shared" ref="AK150:AK213" si="91">AI150+AJ150</f>
        <v>0</v>
      </c>
      <c r="AL150">
        <f>AK150</f>
        <v>0</v>
      </c>
      <c r="AM150">
        <f t="shared" ref="AM150:AM213" ca="1" si="92">ABS(ABS(K150)/MAX(((F150)+(G150)*(AD150))*(AD150),0.000001))/SQRT($I$5*MAX((((F150)+(G150)*(AD150))*(AD150))/MAX((F150)+2*(G150)*(AD150),0.000001),0.000001))</f>
        <v>2.1061860750492724E-7</v>
      </c>
      <c r="AN150" t="str">
        <f t="shared" ref="AN150:AN213" ca="1" si="93">IF(AM150&lt;1,"Subcritical","Supercritical")</f>
        <v>Subcritical</v>
      </c>
      <c r="AO150">
        <f t="shared" ref="AO150:AO213" ca="1" si="94">((ABS(K150)*$D$6)/(MAX(((F150)+(G150)*(AD150))*(AD150),0.000001)*MAX(((((F150)+(G150)*(AD150))*(AD150))/MAX((F150)+2*(AD150)*SQRT(1+(G150)^2),0.000001))^(2/3),0.000001)))^2</f>
        <v>1.0412094832431511E-12</v>
      </c>
    </row>
    <row r="151" spans="1:41" x14ac:dyDescent="0.35">
      <c r="A151">
        <v>2</v>
      </c>
      <c r="B151">
        <v>1</v>
      </c>
      <c r="C151">
        <v>616555.06599999999</v>
      </c>
      <c r="D151">
        <v>3097760.1269999999</v>
      </c>
      <c r="E151">
        <v>634.29600000000005</v>
      </c>
      <c r="F151">
        <v>7.1909999999999998</v>
      </c>
      <c r="G151">
        <v>0</v>
      </c>
      <c r="H151" t="s">
        <v>187</v>
      </c>
      <c r="I151">
        <v>5.3999999999999999E-2</v>
      </c>
      <c r="J151">
        <f t="shared" ref="J151:J214" si="95">B151-B150</f>
        <v>1</v>
      </c>
      <c r="K151">
        <f t="shared" ref="K151:K214" si="96">MAX(0,K150-AK150)</f>
        <v>51</v>
      </c>
      <c r="L151">
        <f t="shared" ref="L151:L214" ca="1" si="97">IF($D$20=0,L150,IF(T150=0,L150,IF(L151=0,L150,IF(ABS(S151)&gt;$D$19,MAX($D$16,L151+((S151)*$D$18*IF((ABS(ABS(K151)/MAX(((F151)+(G151)*(L151))*(L151),0.000001))/SQRT($I$5*MAX((((F151)+(G151)*(L151))*(L151))/MAX((F151)+2*(G151)*(L151),0.000001),0.000001)))&lt;1,1,-1))),L151))))</f>
        <v>51797.844950253071</v>
      </c>
      <c r="M151">
        <f t="shared" ca="1" si="74"/>
        <v>372478.3030372698</v>
      </c>
      <c r="N151">
        <f t="shared" ca="1" si="75"/>
        <v>3.5952504389812781</v>
      </c>
      <c r="O151">
        <f t="shared" ca="1" si="76"/>
        <v>1.3692072688297496E-4</v>
      </c>
      <c r="P151">
        <f t="shared" ca="1" si="77"/>
        <v>52432.140950253073</v>
      </c>
      <c r="Q151">
        <f t="shared" ca="1" si="78"/>
        <v>52432.140950254026</v>
      </c>
      <c r="R151">
        <f t="shared" ca="1" si="79"/>
        <v>7.6585881053582818E-13</v>
      </c>
      <c r="S151">
        <f t="shared" ref="S151:S214" ca="1" si="98">Q150-(((R150+R151)/2)*J151)-(IF(O150&gt;O151,$D$8*((O150^2-O151^2)/(2*$I$5)),$D$9*((O151^2-O150^2)/(2*$I$5)))+($D$10*(ABS(I151)/90)*(MAX(O150^2,O151^2)/(2*$I$5))))-Q151</f>
        <v>8.8741068611852825E-4</v>
      </c>
      <c r="T151">
        <f t="shared" ref="T151:T214" ca="1" si="99">IF(ABS(S151)&lt;$D$19,1,0)</f>
        <v>1</v>
      </c>
      <c r="U151">
        <f t="shared" ca="1" si="80"/>
        <v>51799.696598824339</v>
      </c>
      <c r="V151">
        <f t="shared" ca="1" si="81"/>
        <v>372491.61824214581</v>
      </c>
      <c r="W151">
        <f t="shared" ca="1" si="82"/>
        <v>3.5952504479015475</v>
      </c>
      <c r="X151">
        <f t="shared" ca="1" si="83"/>
        <v>1.3691583247074947E-4</v>
      </c>
      <c r="Y151">
        <f t="shared" ca="1" si="84"/>
        <v>52433.992598824341</v>
      </c>
      <c r="Z151">
        <f t="shared" ca="1" si="85"/>
        <v>52433.992598825294</v>
      </c>
      <c r="AA151">
        <f t="shared" ca="1" si="86"/>
        <v>7.6580405571159635E-13</v>
      </c>
      <c r="AB151">
        <f t="shared" ca="1" si="87"/>
        <v>-2.0000001168227755E-3</v>
      </c>
      <c r="AC151">
        <f t="shared" ca="1" si="88"/>
        <v>0</v>
      </c>
      <c r="AD151">
        <f ca="1">IF(V32="Supercritical",L151,IF(V32="Subcritical",U151,IF(AND(T151=1,AC151=1),IF((((F151)*(L151)^2)/2+(G151)*(L151)^3/3+(ABS(K151)^2)/($I$5*MAX(((F151)+(G151)*(L151))*(L151),0.000001)))&gt;=(((F151)*(U151)^2)/2+(G151)*(U151)^3/3+(ABS(K151)^2)/($I$5*MAX(((F151)+(G151)*(U151))*(U151),0.000001))),L151,U151),IF(T151=1,L151,IF(AC151=1,U151,MAX($D$16,POWER((ABS(K151)^2)/($I$5*MAX(F151,0.1)^2),1/3)))))))</f>
        <v>51797.844950253071</v>
      </c>
      <c r="AE151">
        <f t="shared" ca="1" si="89"/>
        <v>52432.140950253073</v>
      </c>
      <c r="AF151">
        <f t="shared" ca="1" si="90"/>
        <v>52432.140950254026</v>
      </c>
      <c r="AI151">
        <v>0</v>
      </c>
      <c r="AJ151">
        <v>0</v>
      </c>
      <c r="AK151">
        <f t="shared" si="91"/>
        <v>0</v>
      </c>
      <c r="AL151">
        <f t="shared" ref="AL151:AL214" si="100">AL150+AK151</f>
        <v>0</v>
      </c>
      <c r="AM151">
        <f t="shared" ca="1" si="92"/>
        <v>1.9207854033027295E-7</v>
      </c>
      <c r="AN151" t="str">
        <f t="shared" ca="1" si="93"/>
        <v>Subcritical</v>
      </c>
      <c r="AO151">
        <f t="shared" ca="1" si="94"/>
        <v>7.6585881053582818E-13</v>
      </c>
    </row>
    <row r="152" spans="1:41" x14ac:dyDescent="0.35">
      <c r="A152">
        <v>3</v>
      </c>
      <c r="B152">
        <v>2</v>
      </c>
      <c r="C152">
        <v>616554.11899999995</v>
      </c>
      <c r="D152">
        <v>3097759.8050000002</v>
      </c>
      <c r="E152">
        <v>634.29399999999998</v>
      </c>
      <c r="F152">
        <v>7.9269999999999996</v>
      </c>
      <c r="G152">
        <v>0</v>
      </c>
      <c r="H152" t="s">
        <v>187</v>
      </c>
      <c r="I152">
        <v>5.3999999999999999E-2</v>
      </c>
      <c r="J152">
        <f t="shared" si="95"/>
        <v>1</v>
      </c>
      <c r="K152">
        <f t="shared" si="96"/>
        <v>51</v>
      </c>
      <c r="L152">
        <f t="shared" ca="1" si="97"/>
        <v>51797.845981095343</v>
      </c>
      <c r="M152">
        <f t="shared" ca="1" si="74"/>
        <v>410601.52509214275</v>
      </c>
      <c r="N152">
        <f t="shared" ca="1" si="75"/>
        <v>3.9631967416310863</v>
      </c>
      <c r="O152">
        <f t="shared" ca="1" si="76"/>
        <v>1.2420801405585411E-4</v>
      </c>
      <c r="P152">
        <f t="shared" ca="1" si="77"/>
        <v>52432.139981095344</v>
      </c>
      <c r="Q152">
        <f t="shared" ca="1" si="78"/>
        <v>52432.13998109613</v>
      </c>
      <c r="R152">
        <f t="shared" ca="1" si="79"/>
        <v>5.5346170646735496E-13</v>
      </c>
      <c r="S152">
        <f t="shared" ca="1" si="98"/>
        <v>9.691578452475369E-4</v>
      </c>
      <c r="T152">
        <f t="shared" ca="1" si="99"/>
        <v>1</v>
      </c>
      <c r="U152">
        <f t="shared" ca="1" si="80"/>
        <v>51799.696151105265</v>
      </c>
      <c r="V152">
        <f t="shared" ca="1" si="81"/>
        <v>410616.1913898114</v>
      </c>
      <c r="W152">
        <f t="shared" ca="1" si="82"/>
        <v>3.9631967524619727</v>
      </c>
      <c r="X152">
        <f t="shared" ca="1" si="83"/>
        <v>1.2420357762167258E-4</v>
      </c>
      <c r="Y152">
        <f t="shared" ca="1" si="84"/>
        <v>52433.990151105267</v>
      </c>
      <c r="Z152">
        <f t="shared" ca="1" si="85"/>
        <v>52433.990151106053</v>
      </c>
      <c r="AA152">
        <f t="shared" ca="1" si="86"/>
        <v>5.5342216831294634E-13</v>
      </c>
      <c r="AB152">
        <f t="shared" ca="1" si="87"/>
        <v>-2.0000000949949026E-3</v>
      </c>
      <c r="AC152">
        <f t="shared" ca="1" si="88"/>
        <v>0</v>
      </c>
      <c r="AD152">
        <f ca="1">IF(V32="Supercritical",L152,IF(V32="Subcritical",U152,IF(AND(T152=1,AC152=1),IF((((F152)*(L152)^2)/2+(G152)*(L152)^3/3+(ABS(K152)^2)/($I$5*MAX(((F152)+(G152)*(L152))*(L152),0.000001)))&gt;=(((F152)*(U152)^2)/2+(G152)*(U152)^3/3+(ABS(K152)^2)/($I$5*MAX(((F152)+(G152)*(U152))*(U152),0.000001))),L152,U152),IF(T152=1,L152,IF(AC152=1,U152,MAX($D$16,POWER((ABS(K152)^2)/($I$5*MAX(F152,0.1)^2),1/3)))))))</f>
        <v>51797.845981095343</v>
      </c>
      <c r="AE152">
        <f t="shared" ca="1" si="89"/>
        <v>52432.139981095344</v>
      </c>
      <c r="AF152">
        <f t="shared" ca="1" si="90"/>
        <v>52432.13998109613</v>
      </c>
      <c r="AI152">
        <v>0</v>
      </c>
      <c r="AJ152">
        <v>0</v>
      </c>
      <c r="AK152">
        <f t="shared" si="91"/>
        <v>0</v>
      </c>
      <c r="AL152">
        <f t="shared" si="100"/>
        <v>0</v>
      </c>
      <c r="AM152">
        <f t="shared" ca="1" si="92"/>
        <v>1.7424457452787554E-7</v>
      </c>
      <c r="AN152" t="str">
        <f t="shared" ca="1" si="93"/>
        <v>Subcritical</v>
      </c>
      <c r="AO152">
        <f t="shared" ca="1" si="94"/>
        <v>5.5346170646735496E-13</v>
      </c>
    </row>
    <row r="153" spans="1:41" x14ac:dyDescent="0.35">
      <c r="A153">
        <v>4</v>
      </c>
      <c r="B153">
        <v>3</v>
      </c>
      <c r="C153">
        <v>616553.17200000002</v>
      </c>
      <c r="D153">
        <v>3097759.4840000002</v>
      </c>
      <c r="E153">
        <v>634.29200000000003</v>
      </c>
      <c r="F153">
        <v>8.6639999999999997</v>
      </c>
      <c r="G153">
        <v>0</v>
      </c>
      <c r="H153" t="s">
        <v>187</v>
      </c>
      <c r="I153">
        <v>0</v>
      </c>
      <c r="J153">
        <f t="shared" si="95"/>
        <v>1</v>
      </c>
      <c r="K153">
        <f t="shared" si="96"/>
        <v>51</v>
      </c>
      <c r="L153">
        <f t="shared" ca="1" si="97"/>
        <v>51797.847004407158</v>
      </c>
      <c r="M153">
        <f t="shared" ca="1" si="74"/>
        <v>448776.54644618358</v>
      </c>
      <c r="N153">
        <f t="shared" ca="1" si="75"/>
        <v>4.3316377329224229</v>
      </c>
      <c r="O153">
        <f t="shared" ca="1" si="76"/>
        <v>1.1364230239718159E-4</v>
      </c>
      <c r="P153">
        <f t="shared" ca="1" si="77"/>
        <v>52432.13900440716</v>
      </c>
      <c r="Q153">
        <f t="shared" ca="1" si="78"/>
        <v>52432.139004407814</v>
      </c>
      <c r="R153">
        <f t="shared" ca="1" si="79"/>
        <v>4.1152200396196753E-13</v>
      </c>
      <c r="S153">
        <f t="shared" ca="1" si="98"/>
        <v>9.7668827947927639E-4</v>
      </c>
      <c r="T153">
        <f t="shared" ca="1" si="99"/>
        <v>1</v>
      </c>
      <c r="U153">
        <f t="shared" ca="1" si="80"/>
        <v>51799.695770544051</v>
      </c>
      <c r="V153">
        <f t="shared" ca="1" si="81"/>
        <v>448792.56415599363</v>
      </c>
      <c r="W153">
        <f t="shared" ca="1" si="82"/>
        <v>4.331637745850899</v>
      </c>
      <c r="X153">
        <f t="shared" ca="1" si="83"/>
        <v>1.1363824642663455E-4</v>
      </c>
      <c r="Y153">
        <f t="shared" ca="1" si="84"/>
        <v>52433.987770544052</v>
      </c>
      <c r="Z153">
        <f t="shared" ca="1" si="85"/>
        <v>52433.987770544707</v>
      </c>
      <c r="AA153">
        <f t="shared" ca="1" si="86"/>
        <v>4.1149262785194386E-13</v>
      </c>
      <c r="AB153">
        <f t="shared" ca="1" si="87"/>
        <v>-2.0000000658910722E-3</v>
      </c>
      <c r="AC153">
        <f t="shared" ca="1" si="88"/>
        <v>0</v>
      </c>
      <c r="AD153">
        <f ca="1">IF(V32="Supercritical",L153,IF(V32="Subcritical",U153,IF(AND(T153=1,AC153=1),IF((((F153)*(L153)^2)/2+(G153)*(L153)^3/3+(ABS(K153)^2)/($I$5*MAX(((F153)+(G153)*(L153))*(L153),0.000001)))&gt;=(((F153)*(U153)^2)/2+(G153)*(U153)^3/3+(ABS(K153)^2)/($I$5*MAX(((F153)+(G153)*(U153))*(U153),0.000001))),L153,U153),IF(T153=1,L153,IF(AC153=1,U153,MAX($D$16,POWER((ABS(K153)^2)/($I$5*MAX(F153,0.1)^2),1/3)))))))</f>
        <v>51797.847004407158</v>
      </c>
      <c r="AE153">
        <f t="shared" ca="1" si="89"/>
        <v>52432.13900440716</v>
      </c>
      <c r="AF153">
        <f t="shared" ca="1" si="90"/>
        <v>52432.139004407814</v>
      </c>
      <c r="AI153">
        <v>0</v>
      </c>
      <c r="AJ153">
        <v>0</v>
      </c>
      <c r="AK153">
        <f t="shared" si="91"/>
        <v>0</v>
      </c>
      <c r="AL153">
        <f t="shared" si="100"/>
        <v>0</v>
      </c>
      <c r="AM153">
        <f t="shared" ca="1" si="92"/>
        <v>1.5942251862317152E-7</v>
      </c>
      <c r="AN153" t="str">
        <f t="shared" ca="1" si="93"/>
        <v>Subcritical</v>
      </c>
      <c r="AO153">
        <f t="shared" ca="1" si="94"/>
        <v>4.1152200396196753E-13</v>
      </c>
    </row>
    <row r="154" spans="1:41" x14ac:dyDescent="0.35">
      <c r="A154">
        <v>5</v>
      </c>
      <c r="B154">
        <v>4</v>
      </c>
      <c r="C154">
        <v>616552.22499999998</v>
      </c>
      <c r="D154">
        <v>3097759.1630000002</v>
      </c>
      <c r="E154">
        <v>634.29</v>
      </c>
      <c r="F154">
        <v>9.4009999999999998</v>
      </c>
      <c r="G154">
        <v>0</v>
      </c>
      <c r="H154" t="s">
        <v>187</v>
      </c>
      <c r="I154">
        <v>0</v>
      </c>
      <c r="J154">
        <f t="shared" si="95"/>
        <v>1</v>
      </c>
      <c r="K154">
        <f t="shared" si="96"/>
        <v>51</v>
      </c>
      <c r="L154">
        <f t="shared" ca="1" si="97"/>
        <v>51797.848027025262</v>
      </c>
      <c r="M154">
        <f t="shared" ca="1" si="74"/>
        <v>486951.56930206448</v>
      </c>
      <c r="N154">
        <f t="shared" ca="1" si="75"/>
        <v>4.7000734823695307</v>
      </c>
      <c r="O154">
        <f t="shared" ca="1" si="76"/>
        <v>1.047332080130618E-4</v>
      </c>
      <c r="P154">
        <f t="shared" ca="1" si="77"/>
        <v>52432.138027025263</v>
      </c>
      <c r="Q154">
        <f t="shared" ca="1" si="78"/>
        <v>52432.138027025823</v>
      </c>
      <c r="R154">
        <f t="shared" ca="1" si="79"/>
        <v>3.1348141631370445E-13</v>
      </c>
      <c r="S154">
        <f t="shared" ca="1" si="98"/>
        <v>9.7738196200225502E-4</v>
      </c>
      <c r="T154">
        <f t="shared" ca="1" si="99"/>
        <v>1</v>
      </c>
      <c r="U154">
        <f t="shared" ca="1" si="80"/>
        <v>51799.695447067017</v>
      </c>
      <c r="V154">
        <f t="shared" ca="1" si="81"/>
        <v>486968.93689787702</v>
      </c>
      <c r="W154">
        <f t="shared" ca="1" si="82"/>
        <v>4.70007349757977</v>
      </c>
      <c r="X154">
        <f t="shared" ca="1" si="83"/>
        <v>1.0472947273574307E-4</v>
      </c>
      <c r="Y154">
        <f t="shared" ca="1" si="84"/>
        <v>52433.985447067018</v>
      </c>
      <c r="Z154">
        <f t="shared" ca="1" si="85"/>
        <v>52433.985447067578</v>
      </c>
      <c r="AA154">
        <f t="shared" ca="1" si="86"/>
        <v>3.1345905492529905E-13</v>
      </c>
      <c r="AB154">
        <f t="shared" ca="1" si="87"/>
        <v>-2.0000000586151145E-3</v>
      </c>
      <c r="AC154">
        <f t="shared" ca="1" si="88"/>
        <v>0</v>
      </c>
      <c r="AD154">
        <f ca="1">IF(V32="Supercritical",L154,IF(V32="Subcritical",U154,IF(AND(T154=1,AC154=1),IF((((F154)*(L154)^2)/2+(G154)*(L154)^3/3+(ABS(K154)^2)/($I$5*MAX(((F154)+(G154)*(L154))*(L154),0.000001)))&gt;=(((F154)*(U154)^2)/2+(G154)*(U154)^3/3+(ABS(K154)^2)/($I$5*MAX(((F154)+(G154)*(U154))*(U154),0.000001))),L154,U154),IF(T154=1,L154,IF(AC154=1,U154,MAX($D$16,POWER((ABS(K154)^2)/($I$5*MAX(F154,0.1)^2),1/3)))))))</f>
        <v>51797.848027025262</v>
      </c>
      <c r="AE154">
        <f t="shared" ca="1" si="89"/>
        <v>52432.138027025263</v>
      </c>
      <c r="AF154">
        <f t="shared" ca="1" si="90"/>
        <v>52432.138027025823</v>
      </c>
      <c r="AI154">
        <v>0</v>
      </c>
      <c r="AJ154">
        <v>0</v>
      </c>
      <c r="AK154">
        <f t="shared" si="91"/>
        <v>0</v>
      </c>
      <c r="AL154">
        <f t="shared" si="100"/>
        <v>0</v>
      </c>
      <c r="AM154">
        <f t="shared" ca="1" si="92"/>
        <v>1.46924440000808E-7</v>
      </c>
      <c r="AN154" t="str">
        <f t="shared" ca="1" si="93"/>
        <v>Subcritical</v>
      </c>
      <c r="AO154">
        <f t="shared" ca="1" si="94"/>
        <v>3.1348141631370445E-13</v>
      </c>
    </row>
    <row r="155" spans="1:41" x14ac:dyDescent="0.35">
      <c r="A155">
        <v>6</v>
      </c>
      <c r="B155">
        <v>5</v>
      </c>
      <c r="C155">
        <v>616551.27800000005</v>
      </c>
      <c r="D155">
        <v>3097758.8420000002</v>
      </c>
      <c r="E155">
        <v>634.28800000000001</v>
      </c>
      <c r="F155">
        <v>10.138</v>
      </c>
      <c r="G155">
        <v>0</v>
      </c>
      <c r="H155" t="s">
        <v>187</v>
      </c>
      <c r="I155">
        <v>0</v>
      </c>
      <c r="J155">
        <f t="shared" si="95"/>
        <v>1</v>
      </c>
      <c r="K155">
        <f t="shared" si="96"/>
        <v>51</v>
      </c>
      <c r="L155">
        <f t="shared" ca="1" si="97"/>
        <v>51797.849049579469</v>
      </c>
      <c r="M155">
        <f t="shared" ca="1" si="74"/>
        <v>525126.5936646366</v>
      </c>
      <c r="N155">
        <f t="shared" ca="1" si="75"/>
        <v>5.0685039900845847</v>
      </c>
      <c r="O155">
        <f t="shared" ca="1" si="76"/>
        <v>9.711943865591067E-5</v>
      </c>
      <c r="P155">
        <f t="shared" ca="1" si="77"/>
        <v>52432.137049579469</v>
      </c>
      <c r="Q155">
        <f t="shared" ca="1" si="78"/>
        <v>52432.137049579949</v>
      </c>
      <c r="R155">
        <f t="shared" ca="1" si="79"/>
        <v>2.4375589167933213E-13</v>
      </c>
      <c r="S155">
        <f t="shared" ca="1" si="98"/>
        <v>9.7744585218606517E-4</v>
      </c>
      <c r="T155">
        <f t="shared" ca="1" si="99"/>
        <v>1</v>
      </c>
      <c r="U155">
        <f t="shared" ca="1" si="80"/>
        <v>51799.69517211154</v>
      </c>
      <c r="V155">
        <f t="shared" ca="1" si="81"/>
        <v>525145.30965486681</v>
      </c>
      <c r="W155">
        <f t="shared" ca="1" si="82"/>
        <v>5.0685040077604704</v>
      </c>
      <c r="X155">
        <f t="shared" ca="1" si="83"/>
        <v>9.711597735399741E-5</v>
      </c>
      <c r="Y155">
        <f t="shared" ca="1" si="84"/>
        <v>52433.983172111541</v>
      </c>
      <c r="Z155">
        <f t="shared" ca="1" si="85"/>
        <v>52433.983172112021</v>
      </c>
      <c r="AA155">
        <f t="shared" ca="1" si="86"/>
        <v>2.4373851611072736E-13</v>
      </c>
      <c r="AB155">
        <f t="shared" ca="1" si="87"/>
        <v>-2.0000000440631993E-3</v>
      </c>
      <c r="AC155">
        <f t="shared" ca="1" si="88"/>
        <v>0</v>
      </c>
      <c r="AD155">
        <f ca="1">IF(V32="Supercritical",L155,IF(V32="Subcritical",U155,IF(AND(T155=1,AC155=1),IF((((F155)*(L155)^2)/2+(G155)*(L155)^3/3+(ABS(K155)^2)/($I$5*MAX(((F155)+(G155)*(L155))*(L155),0.000001)))&gt;=(((F155)*(U155)^2)/2+(G155)*(U155)^3/3+(ABS(K155)^2)/($I$5*MAX(((F155)+(G155)*(U155))*(U155),0.000001))),L155,U155),IF(T155=1,L155,IF(AC155=1,U155,MAX($D$16,POWER((ABS(K155)^2)/($I$5*MAX(F155,0.1)^2),1/3)))))))</f>
        <v>51797.849049579469</v>
      </c>
      <c r="AE155">
        <f t="shared" ca="1" si="89"/>
        <v>52432.137049579469</v>
      </c>
      <c r="AF155">
        <f t="shared" ca="1" si="90"/>
        <v>52432.137049579949</v>
      </c>
      <c r="AI155">
        <v>0</v>
      </c>
      <c r="AJ155">
        <v>0</v>
      </c>
      <c r="AK155">
        <f t="shared" si="91"/>
        <v>0</v>
      </c>
      <c r="AL155">
        <f t="shared" si="100"/>
        <v>0</v>
      </c>
      <c r="AM155">
        <f t="shared" ca="1" si="92"/>
        <v>1.3624350163213577E-7</v>
      </c>
      <c r="AN155" t="str">
        <f t="shared" ca="1" si="93"/>
        <v>Subcritical</v>
      </c>
      <c r="AO155">
        <f t="shared" ca="1" si="94"/>
        <v>2.4375589167933213E-13</v>
      </c>
    </row>
    <row r="156" spans="1:41" x14ac:dyDescent="0.35">
      <c r="A156">
        <v>7</v>
      </c>
      <c r="B156">
        <v>6</v>
      </c>
      <c r="C156">
        <v>616550.33100000001</v>
      </c>
      <c r="D156">
        <v>3097758.5210000002</v>
      </c>
      <c r="E156">
        <v>634.28599999999994</v>
      </c>
      <c r="F156">
        <v>10.874000000000001</v>
      </c>
      <c r="G156">
        <v>0</v>
      </c>
      <c r="H156" t="s">
        <v>187</v>
      </c>
      <c r="I156">
        <v>5.3999999999999999E-2</v>
      </c>
      <c r="J156">
        <f t="shared" si="95"/>
        <v>1</v>
      </c>
      <c r="K156">
        <f t="shared" si="96"/>
        <v>51</v>
      </c>
      <c r="L156">
        <f t="shared" ca="1" si="97"/>
        <v>51797.850072127781</v>
      </c>
      <c r="M156">
        <f t="shared" ca="1" si="74"/>
        <v>563249.82168431755</v>
      </c>
      <c r="N156">
        <f t="shared" ca="1" si="75"/>
        <v>5.4364293611338059</v>
      </c>
      <c r="O156">
        <f t="shared" ca="1" si="76"/>
        <v>9.0545967413699016E-5</v>
      </c>
      <c r="P156">
        <f t="shared" ca="1" si="77"/>
        <v>52432.136072127782</v>
      </c>
      <c r="Q156">
        <f t="shared" ca="1" si="78"/>
        <v>52432.136072128196</v>
      </c>
      <c r="R156">
        <f t="shared" ca="1" si="79"/>
        <v>1.9297560538424542E-13</v>
      </c>
      <c r="S156">
        <f t="shared" ca="1" si="98"/>
        <v>9.7745173115981743E-4</v>
      </c>
      <c r="T156">
        <f t="shared" ca="1" si="99"/>
        <v>1</v>
      </c>
      <c r="U156">
        <f t="shared" ca="1" si="80"/>
        <v>51799.694938399385</v>
      </c>
      <c r="V156">
        <f t="shared" ca="1" si="81"/>
        <v>563269.8827601549</v>
      </c>
      <c r="W156">
        <f t="shared" ca="1" si="82"/>
        <v>5.4364293814551976</v>
      </c>
      <c r="X156">
        <f t="shared" ca="1" si="83"/>
        <v>9.0542742583871172E-5</v>
      </c>
      <c r="Y156">
        <f t="shared" ca="1" si="84"/>
        <v>52433.980938399385</v>
      </c>
      <c r="Z156">
        <f t="shared" ca="1" si="85"/>
        <v>52433.9809383998</v>
      </c>
      <c r="AA156">
        <f t="shared" ca="1" si="86"/>
        <v>1.929618588648993E-13</v>
      </c>
      <c r="AB156">
        <f t="shared" ca="1" si="87"/>
        <v>-2.0000000367872417E-3</v>
      </c>
      <c r="AC156">
        <f t="shared" ca="1" si="88"/>
        <v>0</v>
      </c>
      <c r="AD156">
        <f ca="1">IF(V32="Supercritical",L156,IF(V32="Subcritical",U156,IF(AND(T156=1,AC156=1),IF((((F156)*(L156)^2)/2+(G156)*(L156)^3/3+(ABS(K156)^2)/($I$5*MAX(((F156)+(G156)*(L156))*(L156),0.000001)))&gt;=(((F156)*(U156)^2)/2+(G156)*(U156)^3/3+(ABS(K156)^2)/($I$5*MAX(((F156)+(G156)*(U156))*(U156),0.000001))),L156,U156),IF(T156=1,L156,IF(AC156=1,U156,MAX($D$16,POWER((ABS(K156)^2)/($I$5*MAX(F156,0.1)^2),1/3)))))))</f>
        <v>51797.850072127781</v>
      </c>
      <c r="AE156">
        <f t="shared" ca="1" si="89"/>
        <v>52432.136072127782</v>
      </c>
      <c r="AF156">
        <f t="shared" ca="1" si="90"/>
        <v>52432.136072128196</v>
      </c>
      <c r="AI156">
        <v>0</v>
      </c>
      <c r="AJ156">
        <v>0</v>
      </c>
      <c r="AK156">
        <f t="shared" si="91"/>
        <v>0</v>
      </c>
      <c r="AL156">
        <f t="shared" si="100"/>
        <v>0</v>
      </c>
      <c r="AM156">
        <f t="shared" ca="1" si="92"/>
        <v>1.2702194028378021E-7</v>
      </c>
      <c r="AN156" t="str">
        <f t="shared" ca="1" si="93"/>
        <v>Subcritical</v>
      </c>
      <c r="AO156">
        <f t="shared" ca="1" si="94"/>
        <v>1.9297560538424542E-13</v>
      </c>
    </row>
    <row r="157" spans="1:41" x14ac:dyDescent="0.35">
      <c r="A157">
        <v>8</v>
      </c>
      <c r="B157">
        <v>7</v>
      </c>
      <c r="C157">
        <v>616549.38399999996</v>
      </c>
      <c r="D157">
        <v>3097758.199</v>
      </c>
      <c r="E157">
        <v>634.28399999999999</v>
      </c>
      <c r="F157">
        <v>11.611000000000001</v>
      </c>
      <c r="G157">
        <v>0</v>
      </c>
      <c r="H157" t="s">
        <v>187</v>
      </c>
      <c r="I157">
        <v>5.3999999999999999E-2</v>
      </c>
      <c r="J157">
        <f t="shared" si="95"/>
        <v>1</v>
      </c>
      <c r="K157">
        <f t="shared" si="96"/>
        <v>51</v>
      </c>
      <c r="L157">
        <f t="shared" ca="1" si="97"/>
        <v>51797.851094675541</v>
      </c>
      <c r="M157">
        <f t="shared" ca="1" si="74"/>
        <v>601424.84906027769</v>
      </c>
      <c r="N157">
        <f t="shared" ca="1" si="75"/>
        <v>5.8048493928331402</v>
      </c>
      <c r="O157">
        <f t="shared" ca="1" si="76"/>
        <v>8.4798624599045347E-5</v>
      </c>
      <c r="P157">
        <f t="shared" ca="1" si="77"/>
        <v>52432.135094675541</v>
      </c>
      <c r="Q157">
        <f t="shared" ca="1" si="78"/>
        <v>52432.135094675905</v>
      </c>
      <c r="R157">
        <f t="shared" ca="1" si="79"/>
        <v>1.5508585641969189E-13</v>
      </c>
      <c r="S157">
        <f t="shared" ca="1" si="98"/>
        <v>9.7745227685663849E-4</v>
      </c>
      <c r="T157">
        <f t="shared" ca="1" si="99"/>
        <v>1</v>
      </c>
      <c r="U157">
        <f t="shared" ca="1" si="80"/>
        <v>51799.694739744053</v>
      </c>
      <c r="V157">
        <f t="shared" ca="1" si="81"/>
        <v>601446.2556231682</v>
      </c>
      <c r="W157">
        <f t="shared" ca="1" si="82"/>
        <v>5.8048494159868342</v>
      </c>
      <c r="X157">
        <f t="shared" ca="1" si="83"/>
        <v>8.4795606462223421E-5</v>
      </c>
      <c r="Y157">
        <f t="shared" ca="1" si="84"/>
        <v>52433.978739744052</v>
      </c>
      <c r="Z157">
        <f t="shared" ca="1" si="85"/>
        <v>52433.978739744416</v>
      </c>
      <c r="AA157">
        <f t="shared" ca="1" si="86"/>
        <v>1.5507481621770552E-13</v>
      </c>
      <c r="AB157">
        <f t="shared" ca="1" si="87"/>
        <v>-2.0000000222353265E-3</v>
      </c>
      <c r="AC157">
        <f t="shared" ca="1" si="88"/>
        <v>0</v>
      </c>
      <c r="AD157">
        <f ca="1">IF(V32="Supercritical",L157,IF(V32="Subcritical",U157,IF(AND(T157=1,AC157=1),IF((((F157)*(L157)^2)/2+(G157)*(L157)^3/3+(ABS(K157)^2)/($I$5*MAX(((F157)+(G157)*(L157))*(L157),0.000001)))&gt;=(((F157)*(U157)^2)/2+(G157)*(U157)^3/3+(ABS(K157)^2)/($I$5*MAX(((F157)+(G157)*(U157))*(U157),0.000001))),L157,U157),IF(T157=1,L157,IF(AC157=1,U157,MAX($D$16,POWER((ABS(K157)^2)/($I$5*MAX(F157,0.1)^2),1/3)))))))</f>
        <v>51797.851094675541</v>
      </c>
      <c r="AE157">
        <f t="shared" ca="1" si="89"/>
        <v>52432.135094675541</v>
      </c>
      <c r="AF157">
        <f t="shared" ca="1" si="90"/>
        <v>52432.135094675905</v>
      </c>
      <c r="AI157">
        <v>0</v>
      </c>
      <c r="AJ157">
        <v>0</v>
      </c>
      <c r="AK157">
        <f t="shared" si="91"/>
        <v>0</v>
      </c>
      <c r="AL157">
        <f t="shared" si="100"/>
        <v>0</v>
      </c>
      <c r="AM157">
        <f t="shared" ca="1" si="92"/>
        <v>1.1895930908148172E-7</v>
      </c>
      <c r="AN157" t="str">
        <f t="shared" ca="1" si="93"/>
        <v>Subcritical</v>
      </c>
      <c r="AO157">
        <f t="shared" ca="1" si="94"/>
        <v>1.5508585641969189E-13</v>
      </c>
    </row>
    <row r="158" spans="1:41" x14ac:dyDescent="0.35">
      <c r="A158">
        <v>9</v>
      </c>
      <c r="B158">
        <v>8</v>
      </c>
      <c r="C158">
        <v>616548.43700000003</v>
      </c>
      <c r="D158">
        <v>3097757.878</v>
      </c>
      <c r="E158">
        <v>634.28200000000004</v>
      </c>
      <c r="F158">
        <v>12.348000000000001</v>
      </c>
      <c r="G158">
        <v>0</v>
      </c>
      <c r="H158" t="s">
        <v>187</v>
      </c>
      <c r="I158">
        <v>0</v>
      </c>
      <c r="J158">
        <f t="shared" si="95"/>
        <v>1</v>
      </c>
      <c r="K158">
        <f t="shared" si="96"/>
        <v>51</v>
      </c>
      <c r="L158">
        <f t="shared" ca="1" si="97"/>
        <v>51797.852117223243</v>
      </c>
      <c r="M158">
        <f t="shared" ca="1" si="74"/>
        <v>639599.87794347259</v>
      </c>
      <c r="N158">
        <f t="shared" ca="1" si="75"/>
        <v>6.1732641831367747</v>
      </c>
      <c r="O158">
        <f t="shared" ca="1" si="76"/>
        <v>7.973735105138238E-5</v>
      </c>
      <c r="P158">
        <f t="shared" ca="1" si="77"/>
        <v>52432.134117223242</v>
      </c>
      <c r="Q158">
        <f t="shared" ca="1" si="78"/>
        <v>52432.13411722357</v>
      </c>
      <c r="R158">
        <f t="shared" ca="1" si="79"/>
        <v>1.2632412791427786E-13</v>
      </c>
      <c r="S158">
        <f t="shared" ca="1" si="98"/>
        <v>9.7745232051238418E-4</v>
      </c>
      <c r="T158">
        <f t="shared" ca="1" si="99"/>
        <v>1</v>
      </c>
      <c r="U158">
        <f t="shared" ca="1" si="80"/>
        <v>51799.688739744059</v>
      </c>
      <c r="V158">
        <f t="shared" ca="1" si="81"/>
        <v>639622.55655835965</v>
      </c>
      <c r="W158">
        <f t="shared" ca="1" si="82"/>
        <v>6.1732642092229701</v>
      </c>
      <c r="X158">
        <f t="shared" ca="1" si="83"/>
        <v>7.9734523864226351E-5</v>
      </c>
      <c r="Y158">
        <f t="shared" ca="1" si="84"/>
        <v>52433.970739744058</v>
      </c>
      <c r="Z158">
        <f t="shared" ca="1" si="85"/>
        <v>52433.970739744385</v>
      </c>
      <c r="AA158">
        <f t="shared" ca="1" si="86"/>
        <v>1.2631516940261776E-13</v>
      </c>
      <c r="AB158">
        <f t="shared" ca="1" si="87"/>
        <v>-1.9999989599455148E-3</v>
      </c>
      <c r="AC158">
        <f t="shared" ca="1" si="88"/>
        <v>0</v>
      </c>
      <c r="AD158">
        <f ca="1">IF(V32="Supercritical",L158,IF(V32="Subcritical",U158,IF(AND(T158=1,AC158=1),IF((((F158)*(L158)^2)/2+(G158)*(L158)^3/3+(ABS(K158)^2)/($I$5*MAX(((F158)+(G158)*(L158))*(L158),0.000001)))&gt;=(((F158)*(U158)^2)/2+(G158)*(U158)^3/3+(ABS(K158)^2)/($I$5*MAX(((F158)+(G158)*(U158))*(U158),0.000001))),L158,U158),IF(T158=1,L158,IF(AC158=1,U158,MAX($D$16,POWER((ABS(K158)^2)/($I$5*MAX(F158,0.1)^2),1/3)))))))</f>
        <v>51797.852117223243</v>
      </c>
      <c r="AE158">
        <f t="shared" ca="1" si="89"/>
        <v>52432.134117223242</v>
      </c>
      <c r="AF158">
        <f t="shared" ca="1" si="90"/>
        <v>52432.13411722357</v>
      </c>
      <c r="AI158">
        <v>0</v>
      </c>
      <c r="AJ158">
        <v>0</v>
      </c>
      <c r="AK158">
        <f t="shared" si="91"/>
        <v>0</v>
      </c>
      <c r="AL158">
        <f t="shared" si="100"/>
        <v>0</v>
      </c>
      <c r="AM158">
        <f t="shared" ca="1" si="92"/>
        <v>1.1185912672856709E-7</v>
      </c>
      <c r="AN158" t="str">
        <f t="shared" ca="1" si="93"/>
        <v>Subcritical</v>
      </c>
      <c r="AO158">
        <f t="shared" ca="1" si="94"/>
        <v>1.2632412791427786E-13</v>
      </c>
    </row>
    <row r="159" spans="1:41" x14ac:dyDescent="0.35">
      <c r="A159">
        <v>10</v>
      </c>
      <c r="B159">
        <v>9</v>
      </c>
      <c r="C159">
        <v>616547.49</v>
      </c>
      <c r="D159">
        <v>3097757.557</v>
      </c>
      <c r="E159">
        <v>634.28</v>
      </c>
      <c r="F159">
        <v>6.2240000000000002</v>
      </c>
      <c r="G159">
        <v>0</v>
      </c>
      <c r="H159" t="s">
        <v>186</v>
      </c>
      <c r="I159">
        <v>0</v>
      </c>
      <c r="J159">
        <f t="shared" si="95"/>
        <v>1</v>
      </c>
      <c r="K159">
        <f t="shared" si="96"/>
        <v>51</v>
      </c>
      <c r="L159">
        <f t="shared" ca="1" si="97"/>
        <v>51797.853139770355</v>
      </c>
      <c r="M159">
        <f t="shared" ca="1" si="74"/>
        <v>322389.83794193069</v>
      </c>
      <c r="N159">
        <f t="shared" ca="1" si="75"/>
        <v>3.1118130431745068</v>
      </c>
      <c r="O159">
        <f t="shared" ca="1" si="76"/>
        <v>1.5819357187426669E-4</v>
      </c>
      <c r="P159">
        <f t="shared" ca="1" si="77"/>
        <v>52432.133139770354</v>
      </c>
      <c r="Q159">
        <f t="shared" ca="1" si="78"/>
        <v>52432.133139771628</v>
      </c>
      <c r="R159">
        <f t="shared" ca="1" si="79"/>
        <v>1.2393924702760952E-12</v>
      </c>
      <c r="S159">
        <f t="shared" ca="1" si="98"/>
        <v>9.7745184757513925E-4</v>
      </c>
      <c r="T159">
        <f t="shared" ca="1" si="99"/>
        <v>1</v>
      </c>
      <c r="U159">
        <f t="shared" ca="1" si="80"/>
        <v>51799.68361441551</v>
      </c>
      <c r="V159">
        <f t="shared" ca="1" si="81"/>
        <v>322401.23081612214</v>
      </c>
      <c r="W159">
        <f t="shared" ca="1" si="82"/>
        <v>3.1118130497807091</v>
      </c>
      <c r="X159">
        <f t="shared" ca="1" si="83"/>
        <v>1.5818798169876488E-4</v>
      </c>
      <c r="Y159">
        <f t="shared" ca="1" si="84"/>
        <v>52433.963614415508</v>
      </c>
      <c r="Z159">
        <f t="shared" ca="1" si="85"/>
        <v>52433.963614416782</v>
      </c>
      <c r="AA159">
        <f t="shared" ca="1" si="86"/>
        <v>1.239304874093843E-12</v>
      </c>
      <c r="AB159">
        <f t="shared" ca="1" si="87"/>
        <v>-2.0000000004074536E-3</v>
      </c>
      <c r="AC159">
        <f t="shared" ca="1" si="88"/>
        <v>0</v>
      </c>
      <c r="AD159">
        <f ca="1">IF(V32="Supercritical",L159,IF(V32="Subcritical",U159,IF(AND(T159=1,AC159=1),IF((((F159)*(L159)^2)/2+(G159)*(L159)^3/3+(ABS(K159)^2)/($I$5*MAX(((F159)+(G159)*(L159))*(L159),0.000001)))&gt;=(((F159)*(U159)^2)/2+(G159)*(U159)^3/3+(ABS(K159)^2)/($I$5*MAX(((F159)+(G159)*(U159))*(U159),0.000001))),L159,U159),IF(T159=1,L159,IF(AC159=1,U159,MAX($D$16,POWER((ABS(K159)^2)/($I$5*MAX(F159,0.1)^2),1/3)))))))</f>
        <v>51797.853139770355</v>
      </c>
      <c r="AE159">
        <f t="shared" ca="1" si="89"/>
        <v>52432.133139770354</v>
      </c>
      <c r="AF159">
        <f t="shared" ca="1" si="90"/>
        <v>52432.133139771628</v>
      </c>
      <c r="AI159">
        <v>0</v>
      </c>
      <c r="AJ159">
        <v>0</v>
      </c>
      <c r="AK159">
        <f t="shared" si="91"/>
        <v>0</v>
      </c>
      <c r="AL159">
        <f t="shared" si="100"/>
        <v>0</v>
      </c>
      <c r="AM159">
        <f t="shared" ca="1" si="92"/>
        <v>2.2192102441253766E-7</v>
      </c>
      <c r="AN159" t="str">
        <f t="shared" ca="1" si="93"/>
        <v>Subcritical</v>
      </c>
      <c r="AO159">
        <f t="shared" ca="1" si="94"/>
        <v>1.2393924702760952E-12</v>
      </c>
    </row>
    <row r="160" spans="1:41" x14ac:dyDescent="0.35">
      <c r="A160">
        <v>11</v>
      </c>
      <c r="B160">
        <v>10</v>
      </c>
      <c r="C160">
        <v>616546.54299999995</v>
      </c>
      <c r="D160">
        <v>3097757.236</v>
      </c>
      <c r="E160">
        <v>634.27800000000002</v>
      </c>
      <c r="F160">
        <v>6.2240000000000002</v>
      </c>
      <c r="G160">
        <v>0</v>
      </c>
      <c r="H160" t="s">
        <v>186</v>
      </c>
      <c r="I160">
        <v>5.3999999999999999E-2</v>
      </c>
      <c r="J160">
        <f t="shared" si="95"/>
        <v>1</v>
      </c>
      <c r="K160">
        <f t="shared" si="96"/>
        <v>51</v>
      </c>
      <c r="L160">
        <f t="shared" ca="1" si="97"/>
        <v>51797.854162318086</v>
      </c>
      <c r="M160">
        <f t="shared" ca="1" si="74"/>
        <v>322389.8443062678</v>
      </c>
      <c r="N160">
        <f t="shared" ca="1" si="75"/>
        <v>3.1118130431781976</v>
      </c>
      <c r="O160">
        <f t="shared" ca="1" si="76"/>
        <v>1.5819356875134815E-4</v>
      </c>
      <c r="P160">
        <f t="shared" ca="1" si="77"/>
        <v>52432.132162318085</v>
      </c>
      <c r="Q160">
        <f t="shared" ca="1" si="78"/>
        <v>52432.132162319358</v>
      </c>
      <c r="R160">
        <f t="shared" ca="1" si="79"/>
        <v>1.2393924213401408E-12</v>
      </c>
      <c r="S160">
        <f t="shared" ca="1" si="98"/>
        <v>9.7745226958068088E-4</v>
      </c>
      <c r="T160">
        <f t="shared" ca="1" si="99"/>
        <v>1</v>
      </c>
      <c r="U160">
        <f t="shared" ca="1" si="80"/>
        <v>51799.679257886237</v>
      </c>
      <c r="V160">
        <f t="shared" ca="1" si="81"/>
        <v>322401.20370108396</v>
      </c>
      <c r="W160">
        <f t="shared" ca="1" si="82"/>
        <v>3.111813049764987</v>
      </c>
      <c r="X160">
        <f t="shared" ca="1" si="83"/>
        <v>1.5818799500291237E-4</v>
      </c>
      <c r="Y160">
        <f t="shared" ca="1" si="84"/>
        <v>52433.957257886235</v>
      </c>
      <c r="Z160">
        <f t="shared" ca="1" si="85"/>
        <v>52433.957257887509</v>
      </c>
      <c r="AA160">
        <f t="shared" ca="1" si="86"/>
        <v>1.2393050825617133E-12</v>
      </c>
      <c r="AB160">
        <f t="shared" ca="1" si="87"/>
        <v>-1.9999998912680894E-3</v>
      </c>
      <c r="AC160">
        <f t="shared" ca="1" si="88"/>
        <v>0</v>
      </c>
      <c r="AD160">
        <f ca="1">IF(V32="Supercritical",L160,IF(V32="Subcritical",U160,IF(AND(T160=1,AC160=1),IF((((F160)*(L160)^2)/2+(G160)*(L160)^3/3+(ABS(K160)^2)/($I$5*MAX(((F160)+(G160)*(L160))*(L160),0.000001)))&gt;=(((F160)*(U160)^2)/2+(G160)*(U160)^3/3+(ABS(K160)^2)/($I$5*MAX(((F160)+(G160)*(U160))*(U160),0.000001))),L160,U160),IF(T160=1,L160,IF(AC160=1,U160,MAX($D$16,POWER((ABS(K160)^2)/($I$5*MAX(F160,0.1)^2),1/3)))))))</f>
        <v>51797.854162318086</v>
      </c>
      <c r="AE160">
        <f t="shared" ca="1" si="89"/>
        <v>52432.132162318085</v>
      </c>
      <c r="AF160">
        <f t="shared" ca="1" si="90"/>
        <v>52432.132162319358</v>
      </c>
      <c r="AI160">
        <v>0</v>
      </c>
      <c r="AJ160">
        <v>0</v>
      </c>
      <c r="AK160">
        <f t="shared" si="91"/>
        <v>0</v>
      </c>
      <c r="AL160">
        <f t="shared" si="100"/>
        <v>0</v>
      </c>
      <c r="AM160">
        <f t="shared" ca="1" si="92"/>
        <v>2.2192101784108283E-7</v>
      </c>
      <c r="AN160" t="str">
        <f t="shared" ca="1" si="93"/>
        <v>Subcritical</v>
      </c>
      <c r="AO160">
        <f t="shared" ca="1" si="94"/>
        <v>1.2393924213401408E-12</v>
      </c>
    </row>
    <row r="161" spans="1:41" x14ac:dyDescent="0.35">
      <c r="A161">
        <v>12</v>
      </c>
      <c r="B161">
        <v>11</v>
      </c>
      <c r="C161">
        <v>616545.59600000002</v>
      </c>
      <c r="D161">
        <v>3097756.9139999999</v>
      </c>
      <c r="E161">
        <v>634.27599999999995</v>
      </c>
      <c r="F161">
        <v>6</v>
      </c>
      <c r="G161">
        <v>0</v>
      </c>
      <c r="H161" t="s">
        <v>186</v>
      </c>
      <c r="I161">
        <v>5.3999999999999999E-2</v>
      </c>
      <c r="J161">
        <f t="shared" si="95"/>
        <v>1</v>
      </c>
      <c r="K161">
        <f t="shared" si="96"/>
        <v>51</v>
      </c>
      <c r="L161">
        <f t="shared" ca="1" si="97"/>
        <v>51797.855184865723</v>
      </c>
      <c r="M161">
        <f t="shared" ca="1" si="74"/>
        <v>310787.13110919436</v>
      </c>
      <c r="N161">
        <f t="shared" ca="1" si="75"/>
        <v>2.9998262576946293</v>
      </c>
      <c r="O161">
        <f t="shared" ca="1" si="76"/>
        <v>1.6409945874522477E-4</v>
      </c>
      <c r="P161">
        <f t="shared" ca="1" si="77"/>
        <v>52432.131184865721</v>
      </c>
      <c r="Q161">
        <f t="shared" ca="1" si="78"/>
        <v>52432.131184867096</v>
      </c>
      <c r="R161">
        <f t="shared" ca="1" si="79"/>
        <v>1.4004534540431273E-12</v>
      </c>
      <c r="S161">
        <f t="shared" ca="1" si="98"/>
        <v>9.7745225502876565E-4</v>
      </c>
      <c r="T161">
        <f t="shared" ca="1" si="99"/>
        <v>1</v>
      </c>
      <c r="U161">
        <f t="shared" ca="1" si="80"/>
        <v>51799.675554836358</v>
      </c>
      <c r="V161">
        <f t="shared" ca="1" si="81"/>
        <v>310798.05332901818</v>
      </c>
      <c r="W161">
        <f t="shared" ca="1" si="82"/>
        <v>2.9998262638000144</v>
      </c>
      <c r="X161">
        <f t="shared" ca="1" si="83"/>
        <v>1.6409369188039987E-4</v>
      </c>
      <c r="Y161">
        <f t="shared" ca="1" si="84"/>
        <v>52433.951554836356</v>
      </c>
      <c r="Z161">
        <f t="shared" ca="1" si="85"/>
        <v>52433.951554837731</v>
      </c>
      <c r="AA161">
        <f t="shared" ca="1" si="86"/>
        <v>1.4003550211084709E-12</v>
      </c>
      <c r="AB161">
        <f t="shared" ca="1" si="87"/>
        <v>-2.0000000004074536E-3</v>
      </c>
      <c r="AC161">
        <f t="shared" ca="1" si="88"/>
        <v>0</v>
      </c>
      <c r="AD161">
        <f ca="1">IF(V32="Supercritical",L161,IF(V32="Subcritical",U161,IF(AND(T161=1,AC161=1),IF((((F161)*(L161)^2)/2+(G161)*(L161)^3/3+(ABS(K161)^2)/($I$5*MAX(((F161)+(G161)*(L161))*(L161),0.000001)))&gt;=(((F161)*(U161)^2)/2+(G161)*(U161)^3/3+(ABS(K161)^2)/($I$5*MAX(((F161)+(G161)*(U161))*(U161),0.000001))),L161,U161),IF(T161=1,L161,IF(AC161=1,U161,MAX($D$16,POWER((ABS(K161)^2)/($I$5*MAX(F161,0.1)^2),1/3)))))))</f>
        <v>51797.855184865723</v>
      </c>
      <c r="AE161">
        <f t="shared" ca="1" si="89"/>
        <v>52432.131184865721</v>
      </c>
      <c r="AF161">
        <f t="shared" ca="1" si="90"/>
        <v>52432.131184867096</v>
      </c>
      <c r="AI161">
        <v>0</v>
      </c>
      <c r="AJ161">
        <v>0</v>
      </c>
      <c r="AK161">
        <f t="shared" si="91"/>
        <v>0</v>
      </c>
      <c r="AL161">
        <f t="shared" si="100"/>
        <v>0</v>
      </c>
      <c r="AM161">
        <f t="shared" ca="1" si="92"/>
        <v>2.3020606235702839E-7</v>
      </c>
      <c r="AN161" t="str">
        <f t="shared" ca="1" si="93"/>
        <v>Subcritical</v>
      </c>
      <c r="AO161">
        <f t="shared" ca="1" si="94"/>
        <v>1.4004534540431273E-12</v>
      </c>
    </row>
    <row r="162" spans="1:41" x14ac:dyDescent="0.35">
      <c r="A162">
        <v>13</v>
      </c>
      <c r="B162">
        <v>12</v>
      </c>
      <c r="C162">
        <v>616544.64899999998</v>
      </c>
      <c r="D162">
        <v>3097756.5929999999</v>
      </c>
      <c r="E162">
        <v>634.274</v>
      </c>
      <c r="F162">
        <v>6</v>
      </c>
      <c r="G162">
        <v>0</v>
      </c>
      <c r="H162" t="s">
        <v>186</v>
      </c>
      <c r="I162">
        <v>0</v>
      </c>
      <c r="J162">
        <f t="shared" si="95"/>
        <v>1</v>
      </c>
      <c r="K162">
        <f t="shared" si="96"/>
        <v>51</v>
      </c>
      <c r="L162">
        <f t="shared" ca="1" si="97"/>
        <v>51797.856207413417</v>
      </c>
      <c r="M162">
        <f t="shared" ca="1" si="74"/>
        <v>310787.13724448049</v>
      </c>
      <c r="N162">
        <f t="shared" ca="1" si="75"/>
        <v>2.9998262576980586</v>
      </c>
      <c r="O162">
        <f t="shared" ca="1" si="76"/>
        <v>1.6409945550571769E-4</v>
      </c>
      <c r="P162">
        <f t="shared" ca="1" si="77"/>
        <v>52432.130207413415</v>
      </c>
      <c r="Q162">
        <f t="shared" ca="1" si="78"/>
        <v>52432.13020741479</v>
      </c>
      <c r="R162">
        <f t="shared" ca="1" si="79"/>
        <v>1.400453398747955E-12</v>
      </c>
      <c r="S162">
        <f t="shared" ca="1" si="98"/>
        <v>9.7745230596046895E-4</v>
      </c>
      <c r="T162">
        <f t="shared" ca="1" si="99"/>
        <v>1</v>
      </c>
      <c r="U162">
        <f t="shared" ca="1" si="80"/>
        <v>51799.672407243961</v>
      </c>
      <c r="V162">
        <f t="shared" ca="1" si="81"/>
        <v>310798.03444346378</v>
      </c>
      <c r="W162">
        <f t="shared" ca="1" si="82"/>
        <v>2.9998262637894579</v>
      </c>
      <c r="X162">
        <f t="shared" ca="1" si="83"/>
        <v>1.6409370185150652E-4</v>
      </c>
      <c r="Y162">
        <f t="shared" ca="1" si="84"/>
        <v>52433.946407243959</v>
      </c>
      <c r="Z162">
        <f t="shared" ca="1" si="85"/>
        <v>52433.946407245334</v>
      </c>
      <c r="AA162">
        <f t="shared" ca="1" si="86"/>
        <v>1.4003551912993978E-12</v>
      </c>
      <c r="AB162">
        <f t="shared" ca="1" si="87"/>
        <v>-2.0000000004074536E-3</v>
      </c>
      <c r="AC162">
        <f t="shared" ca="1" si="88"/>
        <v>0</v>
      </c>
      <c r="AD162">
        <f ca="1">IF(V32="Supercritical",L162,IF(V32="Subcritical",U162,IF(AND(T162=1,AC162=1),IF((((F162)*(L162)^2)/2+(G162)*(L162)^3/3+(ABS(K162)^2)/($I$5*MAX(((F162)+(G162)*(L162))*(L162),0.000001)))&gt;=(((F162)*(U162)^2)/2+(G162)*(U162)^3/3+(ABS(K162)^2)/($I$5*MAX(((F162)+(G162)*(U162))*(U162),0.000001))),L162,U162),IF(T162=1,L162,IF(AC162=1,U162,MAX($D$16,POWER((ABS(K162)^2)/($I$5*MAX(F162,0.1)^2),1/3)))))))</f>
        <v>51797.856207413417</v>
      </c>
      <c r="AE162">
        <f t="shared" ca="1" si="89"/>
        <v>52432.130207413415</v>
      </c>
      <c r="AF162">
        <f t="shared" ca="1" si="90"/>
        <v>52432.13020741479</v>
      </c>
      <c r="AI162">
        <v>0</v>
      </c>
      <c r="AJ162">
        <v>0</v>
      </c>
      <c r="AK162">
        <f t="shared" si="91"/>
        <v>0</v>
      </c>
      <c r="AL162">
        <f t="shared" si="100"/>
        <v>0</v>
      </c>
      <c r="AM162">
        <f t="shared" ca="1" si="92"/>
        <v>2.3020605554024027E-7</v>
      </c>
      <c r="AN162" t="str">
        <f t="shared" ca="1" si="93"/>
        <v>Subcritical</v>
      </c>
      <c r="AO162">
        <f t="shared" ca="1" si="94"/>
        <v>1.400453398747955E-12</v>
      </c>
    </row>
    <row r="163" spans="1:41" x14ac:dyDescent="0.35">
      <c r="A163">
        <v>14</v>
      </c>
      <c r="B163">
        <v>13</v>
      </c>
      <c r="C163">
        <v>616543.70200000005</v>
      </c>
      <c r="D163">
        <v>3097756.2719999999</v>
      </c>
      <c r="E163">
        <v>634.27200000000005</v>
      </c>
      <c r="F163">
        <v>6</v>
      </c>
      <c r="G163">
        <v>0</v>
      </c>
      <c r="H163" t="s">
        <v>186</v>
      </c>
      <c r="I163">
        <v>0</v>
      </c>
      <c r="J163">
        <f t="shared" si="95"/>
        <v>1</v>
      </c>
      <c r="K163">
        <f t="shared" si="96"/>
        <v>51</v>
      </c>
      <c r="L163">
        <f t="shared" ca="1" si="97"/>
        <v>51797.857229961111</v>
      </c>
      <c r="M163">
        <f t="shared" ca="1" si="74"/>
        <v>310787.14337976667</v>
      </c>
      <c r="N163">
        <f t="shared" ca="1" si="75"/>
        <v>2.9998262577014887</v>
      </c>
      <c r="O163">
        <f t="shared" ca="1" si="76"/>
        <v>1.6409945226621069E-4</v>
      </c>
      <c r="P163">
        <f t="shared" ca="1" si="77"/>
        <v>52432.129229961109</v>
      </c>
      <c r="Q163">
        <f t="shared" ca="1" si="78"/>
        <v>52432.129229962484</v>
      </c>
      <c r="R163">
        <f t="shared" ca="1" si="79"/>
        <v>1.4004533434527839E-12</v>
      </c>
      <c r="S163">
        <f t="shared" ca="1" si="98"/>
        <v>9.7745230596046895E-4</v>
      </c>
      <c r="T163">
        <f t="shared" ca="1" si="99"/>
        <v>1</v>
      </c>
      <c r="U163">
        <f t="shared" ca="1" si="80"/>
        <v>51799.669731790425</v>
      </c>
      <c r="V163">
        <f t="shared" ca="1" si="81"/>
        <v>310798.01839074254</v>
      </c>
      <c r="W163">
        <f t="shared" ca="1" si="82"/>
        <v>2.9998262637804847</v>
      </c>
      <c r="X163">
        <f t="shared" ca="1" si="83"/>
        <v>1.6409371032694812E-4</v>
      </c>
      <c r="Y163">
        <f t="shared" ca="1" si="84"/>
        <v>52433.941731790423</v>
      </c>
      <c r="Z163">
        <f t="shared" ca="1" si="85"/>
        <v>52433.941731791798</v>
      </c>
      <c r="AA163">
        <f t="shared" ca="1" si="86"/>
        <v>1.4003553359617097E-12</v>
      </c>
      <c r="AB163">
        <f t="shared" ca="1" si="87"/>
        <v>-2.0000000004074536E-3</v>
      </c>
      <c r="AC163">
        <f t="shared" ca="1" si="88"/>
        <v>0</v>
      </c>
      <c r="AD163">
        <f ca="1">IF(V32="Supercritical",L163,IF(V32="Subcritical",U163,IF(AND(T163=1,AC163=1),IF((((F163)*(L163)^2)/2+(G163)*(L163)^3/3+(ABS(K163)^2)/($I$5*MAX(((F163)+(G163)*(L163))*(L163),0.000001)))&gt;=(((F163)*(U163)^2)/2+(G163)*(U163)^3/3+(ABS(K163)^2)/($I$5*MAX(((F163)+(G163)*(U163))*(U163),0.000001))),L163,U163),IF(T163=1,L163,IF(AC163=1,U163,MAX($D$16,POWER((ABS(K163)^2)/($I$5*MAX(F163,0.1)^2),1/3)))))))</f>
        <v>51797.857229961111</v>
      </c>
      <c r="AE163">
        <f t="shared" ca="1" si="89"/>
        <v>52432.129229961109</v>
      </c>
      <c r="AF163">
        <f t="shared" ca="1" si="90"/>
        <v>52432.129229962484</v>
      </c>
      <c r="AI163">
        <v>0</v>
      </c>
      <c r="AJ163">
        <v>0</v>
      </c>
      <c r="AK163">
        <f t="shared" si="91"/>
        <v>0</v>
      </c>
      <c r="AL163">
        <f t="shared" si="100"/>
        <v>0</v>
      </c>
      <c r="AM163">
        <f t="shared" ca="1" si="92"/>
        <v>2.3020604872345233E-7</v>
      </c>
      <c r="AN163" t="str">
        <f t="shared" ca="1" si="93"/>
        <v>Subcritical</v>
      </c>
      <c r="AO163">
        <f t="shared" ca="1" si="94"/>
        <v>1.4004533434527839E-12</v>
      </c>
    </row>
    <row r="164" spans="1:41" x14ac:dyDescent="0.35">
      <c r="A164">
        <v>15</v>
      </c>
      <c r="B164">
        <v>14</v>
      </c>
      <c r="C164">
        <v>616542.755</v>
      </c>
      <c r="D164">
        <v>3097755.9509999999</v>
      </c>
      <c r="E164">
        <v>634.27</v>
      </c>
      <c r="F164">
        <v>6</v>
      </c>
      <c r="G164">
        <v>0</v>
      </c>
      <c r="H164" t="s">
        <v>186</v>
      </c>
      <c r="I164">
        <v>0</v>
      </c>
      <c r="J164">
        <f t="shared" si="95"/>
        <v>1</v>
      </c>
      <c r="K164">
        <f t="shared" si="96"/>
        <v>51</v>
      </c>
      <c r="L164">
        <f t="shared" ca="1" si="97"/>
        <v>51797.858252508806</v>
      </c>
      <c r="M164">
        <f t="shared" ca="1" si="74"/>
        <v>310787.14951505285</v>
      </c>
      <c r="N164">
        <f t="shared" ca="1" si="75"/>
        <v>2.9998262577049184</v>
      </c>
      <c r="O164">
        <f t="shared" ca="1" si="76"/>
        <v>1.6409944902670383E-4</v>
      </c>
      <c r="P164">
        <f t="shared" ca="1" si="77"/>
        <v>52432.128252508803</v>
      </c>
      <c r="Q164">
        <f t="shared" ca="1" si="78"/>
        <v>52432.128252510178</v>
      </c>
      <c r="R164">
        <f t="shared" ca="1" si="79"/>
        <v>1.4004532881576167E-12</v>
      </c>
      <c r="S164">
        <f t="shared" ca="1" si="98"/>
        <v>9.7745230596046895E-4</v>
      </c>
      <c r="T164">
        <f t="shared" ca="1" si="99"/>
        <v>1</v>
      </c>
      <c r="U164">
        <f t="shared" ca="1" si="80"/>
        <v>51799.667457654919</v>
      </c>
      <c r="V164">
        <f t="shared" ca="1" si="81"/>
        <v>310798.0047459295</v>
      </c>
      <c r="W164">
        <f t="shared" ca="1" si="82"/>
        <v>2.9998262637728574</v>
      </c>
      <c r="X164">
        <f t="shared" ca="1" si="83"/>
        <v>1.6409371753107416E-4</v>
      </c>
      <c r="Y164">
        <f t="shared" ca="1" si="84"/>
        <v>52433.937457654916</v>
      </c>
      <c r="Z164">
        <f t="shared" ca="1" si="85"/>
        <v>52433.937457656291</v>
      </c>
      <c r="AA164">
        <f t="shared" ca="1" si="86"/>
        <v>1.4003554589246931E-12</v>
      </c>
      <c r="AB164">
        <f t="shared" ca="1" si="87"/>
        <v>-1.999999993131496E-3</v>
      </c>
      <c r="AC164">
        <f t="shared" ca="1" si="88"/>
        <v>0</v>
      </c>
      <c r="AD164">
        <f ca="1">IF(V32="Supercritical",L164,IF(V32="Subcritical",U164,IF(AND(T164=1,AC164=1),IF((((F164)*(L164)^2)/2+(G164)*(L164)^3/3+(ABS(K164)^2)/($I$5*MAX(((F164)+(G164)*(L164))*(L164),0.000001)))&gt;=(((F164)*(U164)^2)/2+(G164)*(U164)^3/3+(ABS(K164)^2)/($I$5*MAX(((F164)+(G164)*(U164))*(U164),0.000001))),L164,U164),IF(T164=1,L164,IF(AC164=1,U164,MAX($D$16,POWER((ABS(K164)^2)/($I$5*MAX(F164,0.1)^2),1/3)))))))</f>
        <v>51797.858252508806</v>
      </c>
      <c r="AE164">
        <f t="shared" ca="1" si="89"/>
        <v>52432.128252508803</v>
      </c>
      <c r="AF164">
        <f t="shared" ca="1" si="90"/>
        <v>52432.128252510178</v>
      </c>
      <c r="AI164">
        <v>0</v>
      </c>
      <c r="AJ164">
        <v>0</v>
      </c>
      <c r="AK164">
        <f t="shared" si="91"/>
        <v>0</v>
      </c>
      <c r="AL164">
        <f t="shared" si="100"/>
        <v>0</v>
      </c>
      <c r="AM164">
        <f t="shared" ca="1" si="92"/>
        <v>2.3020604190666479E-7</v>
      </c>
      <c r="AN164" t="str">
        <f t="shared" ca="1" si="93"/>
        <v>Subcritical</v>
      </c>
      <c r="AO164">
        <f t="shared" ca="1" si="94"/>
        <v>1.4004532881576167E-12</v>
      </c>
    </row>
    <row r="165" spans="1:41" x14ac:dyDescent="0.35">
      <c r="A165">
        <v>16</v>
      </c>
      <c r="B165">
        <v>15</v>
      </c>
      <c r="C165">
        <v>616541.80799999996</v>
      </c>
      <c r="D165">
        <v>3097755.63</v>
      </c>
      <c r="E165">
        <v>634.26800000000003</v>
      </c>
      <c r="F165">
        <v>6</v>
      </c>
      <c r="G165">
        <v>0</v>
      </c>
      <c r="H165" t="s">
        <v>186</v>
      </c>
      <c r="I165">
        <v>5.3999999999999999E-2</v>
      </c>
      <c r="J165">
        <f t="shared" si="95"/>
        <v>1</v>
      </c>
      <c r="K165">
        <f t="shared" si="96"/>
        <v>51</v>
      </c>
      <c r="L165">
        <f t="shared" ca="1" si="97"/>
        <v>51797.859275056493</v>
      </c>
      <c r="M165">
        <f t="shared" ca="1" si="74"/>
        <v>310787.15565033897</v>
      </c>
      <c r="N165">
        <f t="shared" ca="1" si="75"/>
        <v>2.9998262577083481</v>
      </c>
      <c r="O165">
        <f t="shared" ca="1" si="76"/>
        <v>1.6409944578719713E-4</v>
      </c>
      <c r="P165">
        <f t="shared" ca="1" si="77"/>
        <v>52432.127275056497</v>
      </c>
      <c r="Q165">
        <f t="shared" ca="1" si="78"/>
        <v>52432.127275057872</v>
      </c>
      <c r="R165">
        <f t="shared" ca="1" si="79"/>
        <v>1.4004532328624531E-12</v>
      </c>
      <c r="S165">
        <f t="shared" ca="1" si="98"/>
        <v>9.7745230596046895E-4</v>
      </c>
      <c r="T165">
        <f t="shared" ca="1" si="99"/>
        <v>1</v>
      </c>
      <c r="U165">
        <f t="shared" ca="1" si="80"/>
        <v>51799.665524639735</v>
      </c>
      <c r="V165">
        <f t="shared" ca="1" si="81"/>
        <v>310797.9931478384</v>
      </c>
      <c r="W165">
        <f t="shared" ca="1" si="82"/>
        <v>2.9998262637663746</v>
      </c>
      <c r="X165">
        <f t="shared" ca="1" si="83"/>
        <v>1.6409372365458179E-4</v>
      </c>
      <c r="Y165">
        <f t="shared" ca="1" si="84"/>
        <v>52433.933524639739</v>
      </c>
      <c r="Z165">
        <f t="shared" ca="1" si="85"/>
        <v>52433.933524641114</v>
      </c>
      <c r="AA165">
        <f t="shared" ca="1" si="86"/>
        <v>1.4003555634432415E-12</v>
      </c>
      <c r="AB165">
        <f t="shared" ca="1" si="87"/>
        <v>-2.0000000004074536E-3</v>
      </c>
      <c r="AC165">
        <f t="shared" ca="1" si="88"/>
        <v>0</v>
      </c>
      <c r="AD165">
        <f ca="1">IF(V32="Supercritical",L165,IF(V32="Subcritical",U165,IF(AND(T165=1,AC165=1),IF((((F165)*(L165)^2)/2+(G165)*(L165)^3/3+(ABS(K165)^2)/($I$5*MAX(((F165)+(G165)*(L165))*(L165),0.000001)))&gt;=(((F165)*(U165)^2)/2+(G165)*(U165)^3/3+(ABS(K165)^2)/($I$5*MAX(((F165)+(G165)*(U165))*(U165),0.000001))),L165,U165),IF(T165=1,L165,IF(AC165=1,U165,MAX($D$16,POWER((ABS(K165)^2)/($I$5*MAX(F165,0.1)^2),1/3)))))))</f>
        <v>51797.859275056493</v>
      </c>
      <c r="AE165">
        <f t="shared" ca="1" si="89"/>
        <v>52432.127275056497</v>
      </c>
      <c r="AF165">
        <f t="shared" ca="1" si="90"/>
        <v>52432.127275057872</v>
      </c>
      <c r="AI165">
        <v>0</v>
      </c>
      <c r="AJ165">
        <v>0</v>
      </c>
      <c r="AK165">
        <f t="shared" si="91"/>
        <v>0</v>
      </c>
      <c r="AL165">
        <f t="shared" si="100"/>
        <v>0</v>
      </c>
      <c r="AM165">
        <f t="shared" ca="1" si="92"/>
        <v>2.3020603508987762E-7</v>
      </c>
      <c r="AN165" t="str">
        <f t="shared" ca="1" si="93"/>
        <v>Subcritical</v>
      </c>
      <c r="AO165">
        <f t="shared" ca="1" si="94"/>
        <v>1.4004532328624531E-12</v>
      </c>
    </row>
    <row r="166" spans="1:41" x14ac:dyDescent="0.35">
      <c r="A166">
        <v>17</v>
      </c>
      <c r="B166">
        <v>16</v>
      </c>
      <c r="C166">
        <v>616540.86100000003</v>
      </c>
      <c r="D166">
        <v>3097755.3080000002</v>
      </c>
      <c r="E166">
        <v>634.26599999999996</v>
      </c>
      <c r="F166">
        <v>6</v>
      </c>
      <c r="G166">
        <v>0</v>
      </c>
      <c r="H166" t="s">
        <v>186</v>
      </c>
      <c r="I166">
        <v>5.3999999999999999E-2</v>
      </c>
      <c r="J166">
        <f t="shared" si="95"/>
        <v>1</v>
      </c>
      <c r="K166">
        <f t="shared" si="96"/>
        <v>51</v>
      </c>
      <c r="L166">
        <f t="shared" ca="1" si="97"/>
        <v>51797.860297604188</v>
      </c>
      <c r="M166">
        <f t="shared" ca="1" si="74"/>
        <v>310787.16178562515</v>
      </c>
      <c r="N166">
        <f t="shared" ca="1" si="75"/>
        <v>2.9998262577117778</v>
      </c>
      <c r="O166">
        <f t="shared" ca="1" si="76"/>
        <v>1.6409944254769054E-4</v>
      </c>
      <c r="P166">
        <f t="shared" ca="1" si="77"/>
        <v>52432.126297604191</v>
      </c>
      <c r="Q166">
        <f t="shared" ca="1" si="78"/>
        <v>52432.126297605566</v>
      </c>
      <c r="R166">
        <f t="shared" ca="1" si="79"/>
        <v>1.4004531775672923E-12</v>
      </c>
      <c r="S166">
        <f t="shared" ca="1" si="98"/>
        <v>9.7745230596046895E-4</v>
      </c>
      <c r="T166">
        <f t="shared" ca="1" si="99"/>
        <v>1</v>
      </c>
      <c r="U166">
        <f t="shared" ca="1" si="80"/>
        <v>51799.663881576831</v>
      </c>
      <c r="V166">
        <f t="shared" ca="1" si="81"/>
        <v>310797.983289461</v>
      </c>
      <c r="W166">
        <f t="shared" ca="1" si="82"/>
        <v>2.9998262637608644</v>
      </c>
      <c r="X166">
        <f t="shared" ca="1" si="83"/>
        <v>1.6409372885956363E-4</v>
      </c>
      <c r="Y166">
        <f t="shared" ca="1" si="84"/>
        <v>52433.929881576834</v>
      </c>
      <c r="Z166">
        <f t="shared" ca="1" si="85"/>
        <v>52433.929881578209</v>
      </c>
      <c r="AA166">
        <f t="shared" ca="1" si="86"/>
        <v>1.4003556522840165E-12</v>
      </c>
      <c r="AB166">
        <f t="shared" ca="1" si="87"/>
        <v>-2.0000000004074536E-3</v>
      </c>
      <c r="AC166">
        <f t="shared" ca="1" si="88"/>
        <v>0</v>
      </c>
      <c r="AD166">
        <f ca="1">IF(V32="Supercritical",L166,IF(V32="Subcritical",U166,IF(AND(T166=1,AC166=1),IF((((F166)*(L166)^2)/2+(G166)*(L166)^3/3+(ABS(K166)^2)/($I$5*MAX(((F166)+(G166)*(L166))*(L166),0.000001)))&gt;=(((F166)*(U166)^2)/2+(G166)*(U166)^3/3+(ABS(K166)^2)/($I$5*MAX(((F166)+(G166)*(U166))*(U166),0.000001))),L166,U166),IF(T166=1,L166,IF(AC166=1,U166,MAX($D$16,POWER((ABS(K166)^2)/($I$5*MAX(F166,0.1)^2),1/3)))))))</f>
        <v>51797.860297604188</v>
      </c>
      <c r="AE166">
        <f t="shared" ca="1" si="89"/>
        <v>52432.126297604191</v>
      </c>
      <c r="AF166">
        <f t="shared" ca="1" si="90"/>
        <v>52432.126297605566</v>
      </c>
      <c r="AI166">
        <v>0</v>
      </c>
      <c r="AJ166">
        <v>0</v>
      </c>
      <c r="AK166">
        <f t="shared" si="91"/>
        <v>0</v>
      </c>
      <c r="AL166">
        <f t="shared" si="100"/>
        <v>0</v>
      </c>
      <c r="AM166">
        <f t="shared" ca="1" si="92"/>
        <v>2.3020602827309074E-7</v>
      </c>
      <c r="AN166" t="str">
        <f t="shared" ca="1" si="93"/>
        <v>Subcritical</v>
      </c>
      <c r="AO166">
        <f t="shared" ca="1" si="94"/>
        <v>1.4004531775672923E-12</v>
      </c>
    </row>
    <row r="167" spans="1:41" x14ac:dyDescent="0.35">
      <c r="A167">
        <v>18</v>
      </c>
      <c r="B167">
        <v>17</v>
      </c>
      <c r="C167">
        <v>616539.91399999999</v>
      </c>
      <c r="D167">
        <v>3097754.9870000002</v>
      </c>
      <c r="E167">
        <v>634.26400000000001</v>
      </c>
      <c r="F167">
        <v>6</v>
      </c>
      <c r="G167">
        <v>0</v>
      </c>
      <c r="H167" t="s">
        <v>186</v>
      </c>
      <c r="I167">
        <v>0</v>
      </c>
      <c r="J167">
        <f t="shared" si="95"/>
        <v>1</v>
      </c>
      <c r="K167">
        <f t="shared" si="96"/>
        <v>51</v>
      </c>
      <c r="L167">
        <f t="shared" ca="1" si="97"/>
        <v>51797.861320151882</v>
      </c>
      <c r="M167">
        <f t="shared" ca="1" si="74"/>
        <v>310787.16792091128</v>
      </c>
      <c r="N167">
        <f t="shared" ca="1" si="75"/>
        <v>2.9998262577152071</v>
      </c>
      <c r="O167">
        <f t="shared" ca="1" si="76"/>
        <v>1.6409943930818411E-4</v>
      </c>
      <c r="P167">
        <f t="shared" ca="1" si="77"/>
        <v>52432.125320151885</v>
      </c>
      <c r="Q167">
        <f t="shared" ca="1" si="78"/>
        <v>52432.12532015326</v>
      </c>
      <c r="R167">
        <f t="shared" ca="1" si="79"/>
        <v>1.400453122272136E-12</v>
      </c>
      <c r="S167">
        <f t="shared" ca="1" si="98"/>
        <v>9.7745230596046895E-4</v>
      </c>
      <c r="T167">
        <f t="shared" ca="1" si="99"/>
        <v>1</v>
      </c>
      <c r="U167">
        <f t="shared" ca="1" si="80"/>
        <v>51799.662484973363</v>
      </c>
      <c r="V167">
        <f t="shared" ca="1" si="81"/>
        <v>310797.97490984015</v>
      </c>
      <c r="W167">
        <f t="shared" ca="1" si="82"/>
        <v>2.9998262637561801</v>
      </c>
      <c r="X167">
        <f t="shared" ca="1" si="83"/>
        <v>1.6409373328379848E-4</v>
      </c>
      <c r="Y167">
        <f t="shared" ca="1" si="84"/>
        <v>52433.926484973366</v>
      </c>
      <c r="Z167">
        <f t="shared" ca="1" si="85"/>
        <v>52433.926484974741</v>
      </c>
      <c r="AA167">
        <f t="shared" ca="1" si="86"/>
        <v>1.4003557277986819E-12</v>
      </c>
      <c r="AB167">
        <f t="shared" ca="1" si="87"/>
        <v>-1.9999999713036232E-3</v>
      </c>
      <c r="AC167">
        <f t="shared" ca="1" si="88"/>
        <v>0</v>
      </c>
      <c r="AD167">
        <f ca="1">IF(V32="Supercritical",L167,IF(V32="Subcritical",U167,IF(AND(T167=1,AC167=1),IF((((F167)*(L167)^2)/2+(G167)*(L167)^3/3+(ABS(K167)^2)/($I$5*MAX(((F167)+(G167)*(L167))*(L167),0.000001)))&gt;=(((F167)*(U167)^2)/2+(G167)*(U167)^3/3+(ABS(K167)^2)/($I$5*MAX(((F167)+(G167)*(U167))*(U167),0.000001))),L167,U167),IF(T167=1,L167,IF(AC167=1,U167,MAX($D$16,POWER((ABS(K167)^2)/($I$5*MAX(F167,0.1)^2),1/3)))))))</f>
        <v>51797.861320151882</v>
      </c>
      <c r="AE167">
        <f t="shared" ca="1" si="89"/>
        <v>52432.125320151885</v>
      </c>
      <c r="AF167">
        <f t="shared" ca="1" si="90"/>
        <v>52432.12532015326</v>
      </c>
      <c r="AI167">
        <v>0</v>
      </c>
      <c r="AJ167">
        <v>0</v>
      </c>
      <c r="AK167">
        <f t="shared" si="91"/>
        <v>0</v>
      </c>
      <c r="AL167">
        <f t="shared" si="100"/>
        <v>0</v>
      </c>
      <c r="AM167">
        <f t="shared" ca="1" si="92"/>
        <v>2.3020602145630429E-7</v>
      </c>
      <c r="AN167" t="str">
        <f t="shared" ca="1" si="93"/>
        <v>Subcritical</v>
      </c>
      <c r="AO167">
        <f t="shared" ca="1" si="94"/>
        <v>1.400453122272136E-12</v>
      </c>
    </row>
    <row r="168" spans="1:41" x14ac:dyDescent="0.35">
      <c r="A168">
        <v>19</v>
      </c>
      <c r="B168">
        <v>18</v>
      </c>
      <c r="C168">
        <v>616538.96699999995</v>
      </c>
      <c r="D168">
        <v>3097754.6660000002</v>
      </c>
      <c r="E168">
        <v>634.26199999999994</v>
      </c>
      <c r="F168">
        <v>6</v>
      </c>
      <c r="G168">
        <v>0</v>
      </c>
      <c r="H168" t="s">
        <v>186</v>
      </c>
      <c r="I168">
        <v>11.315</v>
      </c>
      <c r="J168">
        <f t="shared" si="95"/>
        <v>1</v>
      </c>
      <c r="K168">
        <f t="shared" si="96"/>
        <v>51</v>
      </c>
      <c r="L168">
        <f t="shared" ca="1" si="97"/>
        <v>51797.862342699555</v>
      </c>
      <c r="M168">
        <f t="shared" ca="1" si="74"/>
        <v>310787.17405619734</v>
      </c>
      <c r="N168">
        <f t="shared" ca="1" si="75"/>
        <v>2.9998262577186368</v>
      </c>
      <c r="O168">
        <f t="shared" ca="1" si="76"/>
        <v>1.6409943606867782E-4</v>
      </c>
      <c r="P168">
        <f t="shared" ca="1" si="77"/>
        <v>52432.124342699557</v>
      </c>
      <c r="Q168">
        <f t="shared" ca="1" si="78"/>
        <v>52432.124342700932</v>
      </c>
      <c r="R168">
        <f t="shared" ca="1" si="79"/>
        <v>1.4004530669769831E-12</v>
      </c>
      <c r="S168">
        <f t="shared" ca="1" si="98"/>
        <v>9.7745229868451133E-4</v>
      </c>
      <c r="T168">
        <f t="shared" ca="1" si="99"/>
        <v>1</v>
      </c>
      <c r="U168">
        <f t="shared" ca="1" si="80"/>
        <v>51799.661297860417</v>
      </c>
      <c r="V168">
        <f t="shared" ca="1" si="81"/>
        <v>310797.96778716252</v>
      </c>
      <c r="W168">
        <f t="shared" ca="1" si="82"/>
        <v>2.9998262637521989</v>
      </c>
      <c r="X168">
        <f t="shared" ca="1" si="83"/>
        <v>1.6409373704439823E-4</v>
      </c>
      <c r="Y168">
        <f t="shared" ca="1" si="84"/>
        <v>52433.92329786042</v>
      </c>
      <c r="Z168">
        <f t="shared" ca="1" si="85"/>
        <v>52433.923297861795</v>
      </c>
      <c r="AA168">
        <f t="shared" ca="1" si="86"/>
        <v>1.4003557919861524E-12</v>
      </c>
      <c r="AB168">
        <f t="shared" ca="1" si="87"/>
        <v>-2.0000000586151145E-3</v>
      </c>
      <c r="AC168">
        <f t="shared" ca="1" si="88"/>
        <v>0</v>
      </c>
      <c r="AD168">
        <f ca="1">IF(V32="Supercritical",L168,IF(V32="Subcritical",U168,IF(AND(T168=1,AC168=1),IF((((F168)*(L168)^2)/2+(G168)*(L168)^3/3+(ABS(K168)^2)/($I$5*MAX(((F168)+(G168)*(L168))*(L168),0.000001)))&gt;=(((F168)*(U168)^2)/2+(G168)*(U168)^3/3+(ABS(K168)^2)/($I$5*MAX(((F168)+(G168)*(U168))*(U168),0.000001))),L168,U168),IF(T168=1,L168,IF(AC168=1,U168,MAX($D$16,POWER((ABS(K168)^2)/($I$5*MAX(F168,0.1)^2),1/3)))))))</f>
        <v>51797.862342699555</v>
      </c>
      <c r="AE168">
        <f t="shared" ca="1" si="89"/>
        <v>52432.124342699557</v>
      </c>
      <c r="AF168">
        <f t="shared" ca="1" si="90"/>
        <v>52432.124342700932</v>
      </c>
      <c r="AI168">
        <v>0</v>
      </c>
      <c r="AJ168">
        <v>0</v>
      </c>
      <c r="AK168">
        <f t="shared" si="91"/>
        <v>0</v>
      </c>
      <c r="AL168">
        <f t="shared" si="100"/>
        <v>0</v>
      </c>
      <c r="AM168">
        <f t="shared" ca="1" si="92"/>
        <v>2.302060146395182E-7</v>
      </c>
      <c r="AN168" t="str">
        <f t="shared" ca="1" si="93"/>
        <v>Subcritical</v>
      </c>
      <c r="AO168">
        <f t="shared" ca="1" si="94"/>
        <v>1.4004530669769831E-12</v>
      </c>
    </row>
    <row r="169" spans="1:41" x14ac:dyDescent="0.35">
      <c r="A169">
        <v>20</v>
      </c>
      <c r="B169">
        <v>18.989000000000001</v>
      </c>
      <c r="C169">
        <v>616538.11100000003</v>
      </c>
      <c r="D169">
        <v>3097754.1710000001</v>
      </c>
      <c r="E169">
        <v>634.26</v>
      </c>
      <c r="F169">
        <v>6.25</v>
      </c>
      <c r="G169">
        <v>0</v>
      </c>
      <c r="H169" t="s">
        <v>186</v>
      </c>
      <c r="I169">
        <v>6.7839999999999998</v>
      </c>
      <c r="J169">
        <f t="shared" si="95"/>
        <v>0.98900000000000077</v>
      </c>
      <c r="K169">
        <f t="shared" si="96"/>
        <v>51</v>
      </c>
      <c r="L169">
        <f t="shared" ca="1" si="97"/>
        <v>51797.863365247278</v>
      </c>
      <c r="M169">
        <f t="shared" ca="1" si="74"/>
        <v>323736.64603279548</v>
      </c>
      <c r="N169">
        <f t="shared" ca="1" si="75"/>
        <v>3.1248114780179259</v>
      </c>
      <c r="O169">
        <f t="shared" ca="1" si="76"/>
        <v>1.5753545551600465E-4</v>
      </c>
      <c r="P169">
        <f t="shared" ca="1" si="77"/>
        <v>52432.12336524728</v>
      </c>
      <c r="Q169">
        <f t="shared" ca="1" si="78"/>
        <v>52432.123365248546</v>
      </c>
      <c r="R169">
        <f t="shared" ca="1" si="79"/>
        <v>1.2222894108092282E-12</v>
      </c>
      <c r="S169">
        <f t="shared" ca="1" si="98"/>
        <v>9.774523350642994E-4</v>
      </c>
      <c r="T169">
        <f t="shared" ca="1" si="99"/>
        <v>1</v>
      </c>
      <c r="U169">
        <f t="shared" ca="1" si="80"/>
        <v>51799.660288814412</v>
      </c>
      <c r="V169">
        <f t="shared" ca="1" si="81"/>
        <v>323747.87680509005</v>
      </c>
      <c r="W169">
        <f t="shared" ca="1" si="82"/>
        <v>3.1248114845573349</v>
      </c>
      <c r="X169">
        <f t="shared" ca="1" si="83"/>
        <v>1.5752999063127189E-4</v>
      </c>
      <c r="Y169">
        <f t="shared" ca="1" si="84"/>
        <v>52433.920288814414</v>
      </c>
      <c r="Z169">
        <f t="shared" ca="1" si="85"/>
        <v>52433.92028881568</v>
      </c>
      <c r="AA169">
        <f t="shared" ca="1" si="86"/>
        <v>1.2222046067442089E-12</v>
      </c>
      <c r="AB169">
        <f t="shared" ca="1" si="87"/>
        <v>-1.9999999713036232E-3</v>
      </c>
      <c r="AC169">
        <f t="shared" ca="1" si="88"/>
        <v>0</v>
      </c>
      <c r="AD169">
        <f ca="1">IF(V32="Supercritical",L169,IF(V32="Subcritical",U169,IF(AND(T169=1,AC169=1),IF((((F169)*(L169)^2)/2+(G169)*(L169)^3/3+(ABS(K169)^2)/($I$5*MAX(((F169)+(G169)*(L169))*(L169),0.000001)))&gt;=(((F169)*(U169)^2)/2+(G169)*(U169)^3/3+(ABS(K169)^2)/($I$5*MAX(((F169)+(G169)*(U169))*(U169),0.000001))),L169,U169),IF(T169=1,L169,IF(AC169=1,U169,MAX($D$16,POWER((ABS(K169)^2)/($I$5*MAX(F169,0.1)^2),1/3)))))))</f>
        <v>51797.863365247278</v>
      </c>
      <c r="AE169">
        <f t="shared" ca="1" si="89"/>
        <v>52432.12336524728</v>
      </c>
      <c r="AF169">
        <f t="shared" ca="1" si="90"/>
        <v>52432.123365248546</v>
      </c>
      <c r="AI169">
        <v>0</v>
      </c>
      <c r="AJ169">
        <v>0</v>
      </c>
      <c r="AK169">
        <f t="shared" si="91"/>
        <v>0</v>
      </c>
      <c r="AL169">
        <f t="shared" si="100"/>
        <v>0</v>
      </c>
      <c r="AM169">
        <f t="shared" ca="1" si="92"/>
        <v>2.2099776750982284E-7</v>
      </c>
      <c r="AN169" t="str">
        <f t="shared" ca="1" si="93"/>
        <v>Subcritical</v>
      </c>
      <c r="AO169">
        <f t="shared" ca="1" si="94"/>
        <v>1.2222894108092282E-12</v>
      </c>
    </row>
    <row r="170" spans="1:41" x14ac:dyDescent="0.35">
      <c r="A170">
        <v>21</v>
      </c>
      <c r="B170">
        <v>19.988</v>
      </c>
      <c r="C170">
        <v>616537.31099999999</v>
      </c>
      <c r="D170">
        <v>3097753.5720000002</v>
      </c>
      <c r="E170">
        <v>634.25800000000004</v>
      </c>
      <c r="F170">
        <v>6.17</v>
      </c>
      <c r="G170">
        <v>0</v>
      </c>
      <c r="H170" t="s">
        <v>186</v>
      </c>
      <c r="I170">
        <v>1.2E-2</v>
      </c>
      <c r="J170">
        <f t="shared" si="95"/>
        <v>0.99899999999999878</v>
      </c>
      <c r="K170">
        <f t="shared" si="96"/>
        <v>51</v>
      </c>
      <c r="L170">
        <f t="shared" ca="1" si="97"/>
        <v>51797.864387794951</v>
      </c>
      <c r="M170">
        <f t="shared" ca="1" si="74"/>
        <v>319592.82327269483</v>
      </c>
      <c r="N170">
        <f t="shared" ca="1" si="75"/>
        <v>3.0848162731549813</v>
      </c>
      <c r="O170">
        <f t="shared" ca="1" si="76"/>
        <v>1.5957805146482869E-4</v>
      </c>
      <c r="P170">
        <f t="shared" ca="1" si="77"/>
        <v>52432.122387794952</v>
      </c>
      <c r="Q170">
        <f t="shared" ca="1" si="78"/>
        <v>52432.122387796247</v>
      </c>
      <c r="R170">
        <f t="shared" ca="1" si="79"/>
        <v>1.2759189747182221E-12</v>
      </c>
      <c r="S170">
        <f t="shared" ca="1" si="98"/>
        <v>9.7745229868451133E-4</v>
      </c>
      <c r="T170">
        <f t="shared" ca="1" si="99"/>
        <v>1</v>
      </c>
      <c r="U170">
        <f t="shared" ca="1" si="80"/>
        <v>51799.659431125307</v>
      </c>
      <c r="V170">
        <f t="shared" ca="1" si="81"/>
        <v>319603.89869004313</v>
      </c>
      <c r="W170">
        <f t="shared" ca="1" si="82"/>
        <v>3.0848162795213936</v>
      </c>
      <c r="X170">
        <f t="shared" ca="1" si="83"/>
        <v>1.5957252151501631E-4</v>
      </c>
      <c r="Y170">
        <f t="shared" ca="1" si="84"/>
        <v>52433.917431125308</v>
      </c>
      <c r="Z170">
        <f t="shared" ca="1" si="85"/>
        <v>52433.917431126603</v>
      </c>
      <c r="AA170">
        <f t="shared" ca="1" si="86"/>
        <v>1.2758305424345346E-12</v>
      </c>
      <c r="AB170">
        <f t="shared" ca="1" si="87"/>
        <v>-1.9999999713036232E-3</v>
      </c>
      <c r="AC170">
        <f t="shared" ca="1" si="88"/>
        <v>0</v>
      </c>
      <c r="AD170">
        <f ca="1">IF(V32="Supercritical",L170,IF(V32="Subcritical",U170,IF(AND(T170=1,AC170=1),IF((((F170)*(L170)^2)/2+(G170)*(L170)^3/3+(ABS(K170)^2)/($I$5*MAX(((F170)+(G170)*(L170))*(L170),0.000001)))&gt;=(((F170)*(U170)^2)/2+(G170)*(U170)^3/3+(ABS(K170)^2)/($I$5*MAX(((F170)+(G170)*(U170))*(U170),0.000001))),L170,U170),IF(T170=1,L170,IF(AC170=1,U170,MAX($D$16,POWER((ABS(K170)^2)/($I$5*MAX(F170,0.1)^2),1/3)))))))</f>
        <v>51797.864387794951</v>
      </c>
      <c r="AE170">
        <f t="shared" ca="1" si="89"/>
        <v>52432.122387794952</v>
      </c>
      <c r="AF170">
        <f t="shared" ca="1" si="90"/>
        <v>52432.122387796247</v>
      </c>
      <c r="AI170">
        <v>0</v>
      </c>
      <c r="AJ170">
        <v>0</v>
      </c>
      <c r="AK170">
        <f t="shared" si="91"/>
        <v>0</v>
      </c>
      <c r="AL170">
        <f t="shared" si="100"/>
        <v>0</v>
      </c>
      <c r="AM170">
        <f t="shared" ca="1" si="92"/>
        <v>2.2386321005440529E-7</v>
      </c>
      <c r="AN170" t="str">
        <f t="shared" ca="1" si="93"/>
        <v>Subcritical</v>
      </c>
      <c r="AO170">
        <f t="shared" ca="1" si="94"/>
        <v>1.2759189747182221E-12</v>
      </c>
    </row>
    <row r="171" spans="1:41" x14ac:dyDescent="0.35">
      <c r="A171">
        <v>22</v>
      </c>
      <c r="B171">
        <v>20.989000000000001</v>
      </c>
      <c r="C171">
        <v>616536.51</v>
      </c>
      <c r="D171">
        <v>3097752.9720000001</v>
      </c>
      <c r="E171">
        <v>634.25599999999997</v>
      </c>
      <c r="F171">
        <v>6.1020000000000003</v>
      </c>
      <c r="G171">
        <v>0</v>
      </c>
      <c r="H171" t="s">
        <v>186</v>
      </c>
      <c r="I171">
        <v>3.4000000000000002E-2</v>
      </c>
      <c r="J171">
        <f t="shared" si="95"/>
        <v>1.0010000000000012</v>
      </c>
      <c r="K171">
        <f t="shared" si="96"/>
        <v>51</v>
      </c>
      <c r="L171">
        <f t="shared" ca="1" si="97"/>
        <v>51797.865410342623</v>
      </c>
      <c r="M171">
        <f t="shared" ca="1" si="74"/>
        <v>316070.57473391073</v>
      </c>
      <c r="N171">
        <f t="shared" ca="1" si="75"/>
        <v>3.0508203004571146</v>
      </c>
      <c r="O171">
        <f t="shared" ca="1" si="76"/>
        <v>1.6135636809258563E-4</v>
      </c>
      <c r="P171">
        <f t="shared" ca="1" si="77"/>
        <v>52432.121410342625</v>
      </c>
      <c r="Q171">
        <f t="shared" ca="1" si="78"/>
        <v>52432.121410343949</v>
      </c>
      <c r="R171">
        <f t="shared" ca="1" si="79"/>
        <v>1.3239326764021428E-12</v>
      </c>
      <c r="S171">
        <f t="shared" ca="1" si="98"/>
        <v>9.7745229868451133E-4</v>
      </c>
      <c r="T171">
        <f t="shared" ca="1" si="99"/>
        <v>1</v>
      </c>
      <c r="U171">
        <f t="shared" ca="1" si="80"/>
        <v>51799.658702089568</v>
      </c>
      <c r="V171">
        <f t="shared" ca="1" si="81"/>
        <v>316081.51740015054</v>
      </c>
      <c r="W171">
        <f t="shared" ca="1" si="82"/>
        <v>3.0508203066779029</v>
      </c>
      <c r="X171">
        <f t="shared" ca="1" si="83"/>
        <v>1.6135078197386467E-4</v>
      </c>
      <c r="Y171">
        <f t="shared" ca="1" si="84"/>
        <v>52433.914702089569</v>
      </c>
      <c r="Z171">
        <f t="shared" ca="1" si="85"/>
        <v>52433.914702090893</v>
      </c>
      <c r="AA171">
        <f t="shared" ca="1" si="86"/>
        <v>1.3238410059269849E-12</v>
      </c>
      <c r="AB171">
        <f t="shared" ca="1" si="87"/>
        <v>-1.9999999785795808E-3</v>
      </c>
      <c r="AC171">
        <f t="shared" ca="1" si="88"/>
        <v>0</v>
      </c>
      <c r="AD171">
        <f ca="1">IF(V32="Supercritical",L171,IF(V32="Subcritical",U171,IF(AND(T171=1,AC171=1),IF((((F171)*(L171)^2)/2+(G171)*(L171)^3/3+(ABS(K171)^2)/($I$5*MAX(((F171)+(G171)*(L171))*(L171),0.000001)))&gt;=(((F171)*(U171)^2)/2+(G171)*(U171)^3/3+(ABS(K171)^2)/($I$5*MAX(((F171)+(G171)*(U171))*(U171),0.000001))),L171,U171),IF(T171=1,L171,IF(AC171=1,U171,MAX($D$16,POWER((ABS(K171)^2)/($I$5*MAX(F171,0.1)^2),1/3)))))))</f>
        <v>51797.865410342623</v>
      </c>
      <c r="AE171">
        <f t="shared" ca="1" si="89"/>
        <v>52432.121410342625</v>
      </c>
      <c r="AF171">
        <f t="shared" ca="1" si="90"/>
        <v>52432.121410343949</v>
      </c>
      <c r="AI171">
        <v>0</v>
      </c>
      <c r="AJ171">
        <v>0</v>
      </c>
      <c r="AK171">
        <f t="shared" si="91"/>
        <v>0</v>
      </c>
      <c r="AL171">
        <f t="shared" si="100"/>
        <v>0</v>
      </c>
      <c r="AM171">
        <f t="shared" ca="1" si="92"/>
        <v>2.263579097238561E-7</v>
      </c>
      <c r="AN171" t="str">
        <f t="shared" ca="1" si="93"/>
        <v>Subcritical</v>
      </c>
      <c r="AO171">
        <f t="shared" ca="1" si="94"/>
        <v>1.3239326764021428E-12</v>
      </c>
    </row>
    <row r="172" spans="1:41" x14ac:dyDescent="0.35">
      <c r="A172">
        <v>23</v>
      </c>
      <c r="B172">
        <v>21.989000000000001</v>
      </c>
      <c r="C172">
        <v>616535.71</v>
      </c>
      <c r="D172">
        <v>3097752.372</v>
      </c>
      <c r="E172">
        <v>634.25400000000002</v>
      </c>
      <c r="F172">
        <v>6.0519999999999996</v>
      </c>
      <c r="G172">
        <v>0</v>
      </c>
      <c r="H172" t="s">
        <v>186</v>
      </c>
      <c r="I172">
        <v>4.5999999999999999E-2</v>
      </c>
      <c r="J172">
        <f t="shared" si="95"/>
        <v>1</v>
      </c>
      <c r="K172">
        <f t="shared" si="96"/>
        <v>51</v>
      </c>
      <c r="L172">
        <f t="shared" ca="1" si="97"/>
        <v>51797.866432890303</v>
      </c>
      <c r="M172">
        <f t="shared" ca="1" si="74"/>
        <v>313480.68765185209</v>
      </c>
      <c r="N172">
        <f t="shared" ca="1" si="75"/>
        <v>3.0258232332384645</v>
      </c>
      <c r="O172">
        <f t="shared" ca="1" si="76"/>
        <v>1.6268944789555901E-4</v>
      </c>
      <c r="P172">
        <f t="shared" ca="1" si="77"/>
        <v>52432.120432890304</v>
      </c>
      <c r="Q172">
        <f t="shared" ca="1" si="78"/>
        <v>52432.12043289165</v>
      </c>
      <c r="R172">
        <f t="shared" ca="1" si="79"/>
        <v>1.3607443857915675E-12</v>
      </c>
      <c r="S172">
        <f t="shared" ca="1" si="98"/>
        <v>9.7745229868451133E-4</v>
      </c>
      <c r="T172">
        <f t="shared" ca="1" si="99"/>
        <v>1</v>
      </c>
      <c r="U172">
        <f t="shared" ca="1" si="80"/>
        <v>51799.658082409187</v>
      </c>
      <c r="V172">
        <f t="shared" ca="1" si="81"/>
        <v>313491.53071474039</v>
      </c>
      <c r="W172">
        <f t="shared" ca="1" si="82"/>
        <v>3.0258232393521265</v>
      </c>
      <c r="X172">
        <f t="shared" ca="1" si="83"/>
        <v>1.626838207836853E-4</v>
      </c>
      <c r="Y172">
        <f t="shared" ca="1" si="84"/>
        <v>52433.912082409188</v>
      </c>
      <c r="Z172">
        <f t="shared" ca="1" si="85"/>
        <v>52433.912082410534</v>
      </c>
      <c r="AA172">
        <f t="shared" ca="1" si="86"/>
        <v>1.3606502527455235E-12</v>
      </c>
      <c r="AB172">
        <f t="shared" ca="1" si="87"/>
        <v>-1.9999999858555384E-3</v>
      </c>
      <c r="AC172">
        <f t="shared" ca="1" si="88"/>
        <v>0</v>
      </c>
      <c r="AD172">
        <f ca="1">IF(V32="Supercritical",L172,IF(V32="Subcritical",U172,IF(AND(T172=1,AC172=1),IF((((F172)*(L172)^2)/2+(G172)*(L172)^3/3+(ABS(K172)^2)/($I$5*MAX(((F172)+(G172)*(L172))*(L172),0.000001)))&gt;=(((F172)*(U172)^2)/2+(G172)*(U172)^3/3+(ABS(K172)^2)/($I$5*MAX(((F172)+(G172)*(U172))*(U172),0.000001))),L172,U172),IF(T172=1,L172,IF(AC172=1,U172,MAX($D$16,POWER((ABS(K172)^2)/($I$5*MAX(F172,0.1)^2),1/3)))))))</f>
        <v>51797.866432890303</v>
      </c>
      <c r="AE172">
        <f t="shared" ca="1" si="89"/>
        <v>52432.120432890304</v>
      </c>
      <c r="AF172">
        <f t="shared" ca="1" si="90"/>
        <v>52432.12043289165</v>
      </c>
      <c r="AI172">
        <v>0</v>
      </c>
      <c r="AJ172">
        <v>0</v>
      </c>
      <c r="AK172">
        <f t="shared" si="91"/>
        <v>0</v>
      </c>
      <c r="AL172">
        <f t="shared" si="100"/>
        <v>0</v>
      </c>
      <c r="AM172">
        <f t="shared" ca="1" si="92"/>
        <v>2.2822801127466323E-7</v>
      </c>
      <c r="AN172" t="str">
        <f t="shared" ca="1" si="93"/>
        <v>Subcritical</v>
      </c>
      <c r="AO172">
        <f t="shared" ca="1" si="94"/>
        <v>1.3607443857915675E-12</v>
      </c>
    </row>
    <row r="173" spans="1:41" x14ac:dyDescent="0.35">
      <c r="A173">
        <v>24</v>
      </c>
      <c r="B173">
        <v>22.988</v>
      </c>
      <c r="C173">
        <v>616534.91</v>
      </c>
      <c r="D173">
        <v>3097751.773</v>
      </c>
      <c r="E173">
        <v>634.25199999999995</v>
      </c>
      <c r="F173">
        <v>6.02</v>
      </c>
      <c r="G173">
        <v>0</v>
      </c>
      <c r="H173" t="s">
        <v>186</v>
      </c>
      <c r="I173">
        <v>1.2E-2</v>
      </c>
      <c r="J173">
        <f t="shared" si="95"/>
        <v>0.99899999999999878</v>
      </c>
      <c r="K173">
        <f t="shared" si="96"/>
        <v>51</v>
      </c>
      <c r="L173">
        <f t="shared" ca="1" si="97"/>
        <v>51797.86745543799</v>
      </c>
      <c r="M173">
        <f t="shared" ca="1" si="74"/>
        <v>311823.16208173666</v>
      </c>
      <c r="N173">
        <f t="shared" ca="1" si="75"/>
        <v>3.009825097557318</v>
      </c>
      <c r="O173">
        <f t="shared" ca="1" si="76"/>
        <v>1.6355423907423407E-4</v>
      </c>
      <c r="P173">
        <f t="shared" ca="1" si="77"/>
        <v>52432.119455437991</v>
      </c>
      <c r="Q173">
        <f t="shared" ca="1" si="78"/>
        <v>52432.119455439351</v>
      </c>
      <c r="R173">
        <f t="shared" ca="1" si="79"/>
        <v>1.3850042799788337E-12</v>
      </c>
      <c r="S173">
        <f t="shared" ca="1" si="98"/>
        <v>9.7745229868451133E-4</v>
      </c>
      <c r="T173">
        <f t="shared" ca="1" si="99"/>
        <v>1</v>
      </c>
      <c r="U173">
        <f t="shared" ca="1" si="80"/>
        <v>51799.657555680868</v>
      </c>
      <c r="V173">
        <f t="shared" ca="1" si="81"/>
        <v>311833.93848519883</v>
      </c>
      <c r="W173">
        <f t="shared" ca="1" si="82"/>
        <v>3.0098251036012718</v>
      </c>
      <c r="X173">
        <f t="shared" ca="1" si="83"/>
        <v>1.6354858694260025E-4</v>
      </c>
      <c r="Y173">
        <f t="shared" ca="1" si="84"/>
        <v>52433.909555680868</v>
      </c>
      <c r="Z173">
        <f t="shared" ca="1" si="85"/>
        <v>52433.909555682229</v>
      </c>
      <c r="AA173">
        <f t="shared" ca="1" si="86"/>
        <v>1.384908551558547E-12</v>
      </c>
      <c r="AB173">
        <f t="shared" ca="1" si="87"/>
        <v>-1.999999993131496E-3</v>
      </c>
      <c r="AC173">
        <f t="shared" ca="1" si="88"/>
        <v>0</v>
      </c>
      <c r="AD173">
        <f ca="1">IF(V32="Supercritical",L173,IF(V32="Subcritical",U173,IF(AND(T173=1,AC173=1),IF((((F173)*(L173)^2)/2+(G173)*(L173)^3/3+(ABS(K173)^2)/($I$5*MAX(((F173)+(G173)*(L173))*(L173),0.000001)))&gt;=(((F173)*(U173)^2)/2+(G173)*(U173)^3/3+(ABS(K173)^2)/($I$5*MAX(((F173)+(G173)*(U173))*(U173),0.000001))),L173,U173),IF(T173=1,L173,IF(AC173=1,U173,MAX($D$16,POWER((ABS(K173)^2)/($I$5*MAX(F173,0.1)^2),1/3)))))))</f>
        <v>51797.86745543799</v>
      </c>
      <c r="AE173">
        <f t="shared" ca="1" si="89"/>
        <v>52432.119455437991</v>
      </c>
      <c r="AF173">
        <f t="shared" ca="1" si="90"/>
        <v>52432.119455439351</v>
      </c>
      <c r="AI173">
        <v>0</v>
      </c>
      <c r="AJ173">
        <v>0</v>
      </c>
      <c r="AK173">
        <f t="shared" si="91"/>
        <v>0</v>
      </c>
      <c r="AL173">
        <f t="shared" si="100"/>
        <v>0</v>
      </c>
      <c r="AM173">
        <f t="shared" ca="1" si="92"/>
        <v>2.2944117663348091E-7</v>
      </c>
      <c r="AN173" t="str">
        <f t="shared" ca="1" si="93"/>
        <v>Subcritical</v>
      </c>
      <c r="AO173">
        <f t="shared" ca="1" si="94"/>
        <v>1.3850042799788337E-12</v>
      </c>
    </row>
    <row r="174" spans="1:41" x14ac:dyDescent="0.35">
      <c r="A174">
        <v>25</v>
      </c>
      <c r="B174">
        <v>23.989000000000001</v>
      </c>
      <c r="C174">
        <v>616534.10900000005</v>
      </c>
      <c r="D174">
        <v>3097751.173</v>
      </c>
      <c r="E174">
        <v>634.25</v>
      </c>
      <c r="F174">
        <v>6.0019999999999998</v>
      </c>
      <c r="G174">
        <v>0</v>
      </c>
      <c r="H174" t="s">
        <v>186</v>
      </c>
      <c r="I174">
        <v>1.2E-2</v>
      </c>
      <c r="J174">
        <f t="shared" si="95"/>
        <v>1.0010000000000012</v>
      </c>
      <c r="K174">
        <f t="shared" si="96"/>
        <v>51</v>
      </c>
      <c r="L174">
        <f t="shared" ca="1" si="97"/>
        <v>51797.868477985678</v>
      </c>
      <c r="M174">
        <f t="shared" ca="1" si="74"/>
        <v>310890.80660487001</v>
      </c>
      <c r="N174">
        <f t="shared" ca="1" si="75"/>
        <v>3.0008261418950926</v>
      </c>
      <c r="O174">
        <f t="shared" ca="1" si="76"/>
        <v>1.6404473505329153E-4</v>
      </c>
      <c r="P174">
        <f t="shared" ca="1" si="77"/>
        <v>52432.118477985678</v>
      </c>
      <c r="Q174">
        <f t="shared" ca="1" si="78"/>
        <v>52432.118477987053</v>
      </c>
      <c r="R174">
        <f t="shared" ca="1" si="79"/>
        <v>1.3988978357729989E-12</v>
      </c>
      <c r="S174">
        <f t="shared" ca="1" si="98"/>
        <v>9.7745229868451133E-4</v>
      </c>
      <c r="T174">
        <f t="shared" ca="1" si="99"/>
        <v>1</v>
      </c>
      <c r="U174">
        <f t="shared" ca="1" si="80"/>
        <v>51799.657107961793</v>
      </c>
      <c r="V174">
        <f t="shared" ca="1" si="81"/>
        <v>310901.54196198669</v>
      </c>
      <c r="W174">
        <f t="shared" ca="1" si="82"/>
        <v>3.0008261478980245</v>
      </c>
      <c r="X174">
        <f t="shared" ca="1" si="83"/>
        <v>1.6403907062717516E-4</v>
      </c>
      <c r="Y174">
        <f t="shared" ca="1" si="84"/>
        <v>52433.907107961793</v>
      </c>
      <c r="Z174">
        <f t="shared" ca="1" si="85"/>
        <v>52433.907107963161</v>
      </c>
      <c r="AA174">
        <f t="shared" ca="1" si="86"/>
        <v>1.398801226483511E-12</v>
      </c>
      <c r="AB174">
        <f t="shared" ca="1" si="87"/>
        <v>-2.0000000004074536E-3</v>
      </c>
      <c r="AC174">
        <f t="shared" ca="1" si="88"/>
        <v>0</v>
      </c>
      <c r="AD174">
        <f ca="1">IF(V32="Supercritical",L174,IF(V32="Subcritical",U174,IF(AND(T174=1,AC174=1),IF((((F174)*(L174)^2)/2+(G174)*(L174)^3/3+(ABS(K174)^2)/($I$5*MAX(((F174)+(G174)*(L174))*(L174),0.000001)))&gt;=(((F174)*(U174)^2)/2+(G174)*(U174)^3/3+(ABS(K174)^2)/($I$5*MAX(((F174)+(G174)*(U174))*(U174),0.000001))),L174,U174),IF(T174=1,L174,IF(AC174=1,U174,MAX($D$16,POWER((ABS(K174)^2)/($I$5*MAX(F174,0.1)^2),1/3)))))))</f>
        <v>51797.868477985678</v>
      </c>
      <c r="AE174">
        <f t="shared" ca="1" si="89"/>
        <v>52432.118477985678</v>
      </c>
      <c r="AF174">
        <f t="shared" ca="1" si="90"/>
        <v>52432.118477987053</v>
      </c>
      <c r="AI174">
        <v>0</v>
      </c>
      <c r="AJ174">
        <v>0</v>
      </c>
      <c r="AK174">
        <f t="shared" si="91"/>
        <v>0</v>
      </c>
      <c r="AL174">
        <f t="shared" si="100"/>
        <v>0</v>
      </c>
      <c r="AM174">
        <f t="shared" ca="1" si="92"/>
        <v>2.30129263984147E-7</v>
      </c>
      <c r="AN174" t="str">
        <f t="shared" ca="1" si="93"/>
        <v>Subcritical</v>
      </c>
      <c r="AO174">
        <f t="shared" ca="1" si="94"/>
        <v>1.3988978357729989E-12</v>
      </c>
    </row>
    <row r="175" spans="1:41" x14ac:dyDescent="0.35">
      <c r="A175">
        <v>26</v>
      </c>
      <c r="B175">
        <v>24.989000000000001</v>
      </c>
      <c r="C175">
        <v>616533.30900000001</v>
      </c>
      <c r="D175">
        <v>3097750.574</v>
      </c>
      <c r="E175">
        <v>634.24800000000005</v>
      </c>
      <c r="F175">
        <v>6.0019999999999998</v>
      </c>
      <c r="G175">
        <v>0</v>
      </c>
      <c r="H175" t="s">
        <v>186</v>
      </c>
      <c r="I175">
        <v>4.5999999999999999E-2</v>
      </c>
      <c r="J175">
        <f t="shared" si="95"/>
        <v>1</v>
      </c>
      <c r="K175">
        <f t="shared" si="96"/>
        <v>51</v>
      </c>
      <c r="L175">
        <f t="shared" ca="1" si="97"/>
        <v>51797.869500533372</v>
      </c>
      <c r="M175">
        <f t="shared" ca="1" si="74"/>
        <v>310890.81274220126</v>
      </c>
      <c r="N175">
        <f t="shared" ca="1" si="75"/>
        <v>3.0008261418985245</v>
      </c>
      <c r="O175">
        <f t="shared" ca="1" si="76"/>
        <v>1.6404473181486559E-4</v>
      </c>
      <c r="P175">
        <f t="shared" ca="1" si="77"/>
        <v>52432.117500533372</v>
      </c>
      <c r="Q175">
        <f t="shared" ca="1" si="78"/>
        <v>52432.117500534747</v>
      </c>
      <c r="R175">
        <f t="shared" ca="1" si="79"/>
        <v>1.3988977805392606E-12</v>
      </c>
      <c r="S175">
        <f t="shared" ca="1" si="98"/>
        <v>9.7745230596046895E-4</v>
      </c>
      <c r="T175">
        <f t="shared" ca="1" si="99"/>
        <v>1</v>
      </c>
      <c r="U175">
        <f t="shared" ca="1" si="80"/>
        <v>51799.656727400579</v>
      </c>
      <c r="V175">
        <f t="shared" ca="1" si="81"/>
        <v>310901.53967785824</v>
      </c>
      <c r="W175">
        <f t="shared" ca="1" si="82"/>
        <v>3.0008261478967468</v>
      </c>
      <c r="X175">
        <f t="shared" ca="1" si="83"/>
        <v>1.6403907183233583E-4</v>
      </c>
      <c r="Y175">
        <f t="shared" ca="1" si="84"/>
        <v>52433.904727400579</v>
      </c>
      <c r="Z175">
        <f t="shared" ca="1" si="85"/>
        <v>52433.904727401947</v>
      </c>
      <c r="AA175">
        <f t="shared" ca="1" si="86"/>
        <v>1.3988012470377046E-12</v>
      </c>
      <c r="AB175">
        <f t="shared" ca="1" si="87"/>
        <v>-2.0000000004074536E-3</v>
      </c>
      <c r="AC175">
        <f t="shared" ca="1" si="88"/>
        <v>0</v>
      </c>
      <c r="AD175">
        <f ca="1">IF(V32="Supercritical",L175,IF(V32="Subcritical",U175,IF(AND(T175=1,AC175=1),IF((((F175)*(L175)^2)/2+(G175)*(L175)^3/3+(ABS(K175)^2)/($I$5*MAX(((F175)+(G175)*(L175))*(L175),0.000001)))&gt;=(((F175)*(U175)^2)/2+(G175)*(U175)^3/3+(ABS(K175)^2)/($I$5*MAX(((F175)+(G175)*(U175))*(U175),0.000001))),L175,U175),IF(T175=1,L175,IF(AC175=1,U175,MAX($D$16,POWER((ABS(K175)^2)/($I$5*MAX(F175,0.1)^2),1/3)))))))</f>
        <v>51797.869500533372</v>
      </c>
      <c r="AE175">
        <f t="shared" ca="1" si="89"/>
        <v>52432.117500533372</v>
      </c>
      <c r="AF175">
        <f t="shared" ca="1" si="90"/>
        <v>52432.117500534747</v>
      </c>
      <c r="AI175">
        <v>0</v>
      </c>
      <c r="AJ175">
        <v>0</v>
      </c>
      <c r="AK175">
        <f t="shared" si="91"/>
        <v>0</v>
      </c>
      <c r="AL175">
        <f t="shared" si="100"/>
        <v>0</v>
      </c>
      <c r="AM175">
        <f t="shared" ca="1" si="92"/>
        <v>2.3012925716963469E-7</v>
      </c>
      <c r="AN175" t="str">
        <f t="shared" ca="1" si="93"/>
        <v>Subcritical</v>
      </c>
      <c r="AO175">
        <f t="shared" ca="1" si="94"/>
        <v>1.3988977805392606E-12</v>
      </c>
    </row>
    <row r="176" spans="1:41" x14ac:dyDescent="0.35">
      <c r="A176">
        <v>27</v>
      </c>
      <c r="B176">
        <v>25.989000000000001</v>
      </c>
      <c r="C176">
        <v>616532.50899999996</v>
      </c>
      <c r="D176">
        <v>3097749.9739999999</v>
      </c>
      <c r="E176">
        <v>634.24599999999998</v>
      </c>
      <c r="F176">
        <v>6.016</v>
      </c>
      <c r="G176">
        <v>0</v>
      </c>
      <c r="H176" t="s">
        <v>186</v>
      </c>
      <c r="I176">
        <v>0.08</v>
      </c>
      <c r="J176">
        <f t="shared" si="95"/>
        <v>1</v>
      </c>
      <c r="K176">
        <f t="shared" si="96"/>
        <v>51</v>
      </c>
      <c r="L176">
        <f t="shared" ca="1" si="97"/>
        <v>51797.870523081066</v>
      </c>
      <c r="M176">
        <f t="shared" ca="1" si="74"/>
        <v>311615.98906685569</v>
      </c>
      <c r="N176">
        <f t="shared" ca="1" si="75"/>
        <v>3.0078253299121949</v>
      </c>
      <c r="O176">
        <f t="shared" ca="1" si="76"/>
        <v>1.6366297555116212E-4</v>
      </c>
      <c r="P176">
        <f t="shared" ca="1" si="77"/>
        <v>52432.116523081066</v>
      </c>
      <c r="Q176">
        <f t="shared" ca="1" si="78"/>
        <v>52432.116523082434</v>
      </c>
      <c r="R176">
        <f t="shared" ca="1" si="79"/>
        <v>1.3880760276087778E-12</v>
      </c>
      <c r="S176">
        <f t="shared" ca="1" si="98"/>
        <v>9.7745231323642656E-4</v>
      </c>
      <c r="T176">
        <f t="shared" ca="1" si="99"/>
        <v>1</v>
      </c>
      <c r="U176">
        <f t="shared" ca="1" si="80"/>
        <v>51799.656403923545</v>
      </c>
      <c r="V176">
        <f t="shared" ca="1" si="81"/>
        <v>311626.73292600404</v>
      </c>
      <c r="W176">
        <f t="shared" ca="1" si="82"/>
        <v>3.0078253359338922</v>
      </c>
      <c r="X176">
        <f t="shared" ca="1" si="83"/>
        <v>1.6365733299302657E-4</v>
      </c>
      <c r="Y176">
        <f t="shared" ca="1" si="84"/>
        <v>52433.902403923545</v>
      </c>
      <c r="Z176">
        <f t="shared" ca="1" si="85"/>
        <v>52433.902403924913</v>
      </c>
      <c r="AA176">
        <f t="shared" ca="1" si="86"/>
        <v>1.3879803130120483E-12</v>
      </c>
      <c r="AB176">
        <f t="shared" ca="1" si="87"/>
        <v>-6.2500000007275958E-2</v>
      </c>
      <c r="AC176">
        <f t="shared" ca="1" si="88"/>
        <v>0</v>
      </c>
      <c r="AD176">
        <f ca="1">IF(V32="Supercritical",L176,IF(V32="Subcritical",U176,IF(AND(T176=1,AC176=1),IF((((F176)*(L176)^2)/2+(G176)*(L176)^3/3+(ABS(K176)^2)/($I$5*MAX(((F176)+(G176)*(L176))*(L176),0.000001)))&gt;=(((F176)*(U176)^2)/2+(G176)*(U176)^3/3+(ABS(K176)^2)/($I$5*MAX(((F176)+(G176)*(U176))*(U176),0.000001))),L176,U176),IF(T176=1,L176,IF(AC176=1,U176,MAX($D$16,POWER((ABS(K176)^2)/($I$5*MAX(F176,0.1)^2),1/3)))))))</f>
        <v>51797.870523081066</v>
      </c>
      <c r="AE176">
        <f t="shared" ca="1" si="89"/>
        <v>52432.116523081066</v>
      </c>
      <c r="AF176">
        <f t="shared" ca="1" si="90"/>
        <v>52432.116523082434</v>
      </c>
      <c r="AI176">
        <v>0</v>
      </c>
      <c r="AJ176">
        <v>0</v>
      </c>
      <c r="AK176">
        <f t="shared" si="91"/>
        <v>0</v>
      </c>
      <c r="AL176">
        <f t="shared" si="100"/>
        <v>0</v>
      </c>
      <c r="AM176">
        <f t="shared" ca="1" si="92"/>
        <v>2.2959371021134411E-7</v>
      </c>
      <c r="AN176" t="str">
        <f t="shared" ca="1" si="93"/>
        <v>Subcritical</v>
      </c>
      <c r="AO176">
        <f t="shared" ca="1" si="94"/>
        <v>1.3880760276087778E-12</v>
      </c>
    </row>
    <row r="177" spans="1:41" x14ac:dyDescent="0.35">
      <c r="A177">
        <v>28</v>
      </c>
      <c r="B177">
        <v>26.989000000000001</v>
      </c>
      <c r="C177">
        <v>616531.70799999998</v>
      </c>
      <c r="D177">
        <v>3097749.375</v>
      </c>
      <c r="E177">
        <v>634.18349999999998</v>
      </c>
      <c r="F177">
        <v>6.0439999999999996</v>
      </c>
      <c r="G177">
        <v>0</v>
      </c>
      <c r="H177" t="s">
        <v>186</v>
      </c>
      <c r="I177">
        <v>0.08</v>
      </c>
      <c r="J177">
        <f t="shared" si="95"/>
        <v>1</v>
      </c>
      <c r="K177">
        <f t="shared" si="96"/>
        <v>51</v>
      </c>
      <c r="L177">
        <f t="shared" ca="1" si="97"/>
        <v>51797.932106480948</v>
      </c>
      <c r="M177">
        <f t="shared" ca="1" si="74"/>
        <v>313066.70165157085</v>
      </c>
      <c r="N177">
        <f t="shared" ca="1" si="75"/>
        <v>3.0218237004673463</v>
      </c>
      <c r="O177">
        <f t="shared" ca="1" si="76"/>
        <v>1.6290458145485145E-4</v>
      </c>
      <c r="P177">
        <f t="shared" ca="1" si="77"/>
        <v>52432.115606480947</v>
      </c>
      <c r="Q177">
        <f t="shared" ca="1" si="78"/>
        <v>52432.115606482301</v>
      </c>
      <c r="R177">
        <f t="shared" ca="1" si="79"/>
        <v>1.3667537812702409E-12</v>
      </c>
      <c r="S177">
        <f t="shared" ca="1" si="98"/>
        <v>9.1660012549255043E-4</v>
      </c>
      <c r="T177">
        <f t="shared" ca="1" si="99"/>
        <v>1</v>
      </c>
      <c r="U177">
        <f t="shared" ca="1" si="80"/>
        <v>51799.656128968069</v>
      </c>
      <c r="V177">
        <f t="shared" ca="1" si="81"/>
        <v>313077.121643483</v>
      </c>
      <c r="W177">
        <f t="shared" ca="1" si="82"/>
        <v>3.0218237063346947</v>
      </c>
      <c r="X177">
        <f t="shared" ca="1" si="83"/>
        <v>1.6289915958176055E-4</v>
      </c>
      <c r="Y177">
        <f t="shared" ca="1" si="84"/>
        <v>52433.839628968068</v>
      </c>
      <c r="Z177">
        <f t="shared" ca="1" si="85"/>
        <v>52433.839628969421</v>
      </c>
      <c r="AA177">
        <f t="shared" ca="1" si="86"/>
        <v>1.3666628012578587E-12</v>
      </c>
      <c r="AB177">
        <f t="shared" ca="1" si="87"/>
        <v>-6.2500000014551915E-2</v>
      </c>
      <c r="AC177">
        <f t="shared" ca="1" si="88"/>
        <v>0</v>
      </c>
      <c r="AD177">
        <f ca="1">IF(V32="Supercritical",L177,IF(V32="Subcritical",U177,IF(AND(T177=1,AC177=1),IF((((F177)*(L177)^2)/2+(G177)*(L177)^3/3+(ABS(K177)^2)/($I$5*MAX(((F177)+(G177)*(L177))*(L177),0.000001)))&gt;=(((F177)*(U177)^2)/2+(G177)*(U177)^3/3+(ABS(K177)^2)/($I$5*MAX(((F177)+(G177)*(U177))*(U177),0.000001))),L177,U177),IF(T177=1,L177,IF(AC177=1,U177,MAX($D$16,POWER((ABS(K177)^2)/($I$5*MAX(F177,0.1)^2),1/3)))))))</f>
        <v>51797.932106480948</v>
      </c>
      <c r="AE177">
        <f t="shared" ca="1" si="89"/>
        <v>52432.115606480947</v>
      </c>
      <c r="AF177">
        <f t="shared" ca="1" si="90"/>
        <v>52432.115606482301</v>
      </c>
      <c r="AI177">
        <v>0</v>
      </c>
      <c r="AJ177">
        <v>0</v>
      </c>
      <c r="AK177">
        <f t="shared" si="91"/>
        <v>0</v>
      </c>
      <c r="AL177">
        <f t="shared" si="100"/>
        <v>0</v>
      </c>
      <c r="AM177">
        <f t="shared" ca="1" si="92"/>
        <v>2.2852966534941255E-7</v>
      </c>
      <c r="AN177" t="str">
        <f t="shared" ca="1" si="93"/>
        <v>Subcritical</v>
      </c>
      <c r="AO177">
        <f t="shared" ca="1" si="94"/>
        <v>1.3667537812702409E-12</v>
      </c>
    </row>
    <row r="178" spans="1:41" x14ac:dyDescent="0.35">
      <c r="A178">
        <v>29</v>
      </c>
      <c r="B178">
        <v>27.989000000000001</v>
      </c>
      <c r="C178">
        <v>616530.90800000005</v>
      </c>
      <c r="D178">
        <v>3097748.7749999999</v>
      </c>
      <c r="E178">
        <v>634.12099999999998</v>
      </c>
      <c r="F178">
        <v>6.0910000000000002</v>
      </c>
      <c r="G178">
        <v>0</v>
      </c>
      <c r="H178" t="s">
        <v>186</v>
      </c>
      <c r="I178">
        <v>4.5999999999999999E-2</v>
      </c>
      <c r="J178">
        <f t="shared" si="95"/>
        <v>1</v>
      </c>
      <c r="K178">
        <f t="shared" si="96"/>
        <v>51</v>
      </c>
      <c r="L178">
        <f t="shared" ca="1" si="97"/>
        <v>51797.993690065516</v>
      </c>
      <c r="M178">
        <f t="shared" ca="1" si="74"/>
        <v>315501.57956618909</v>
      </c>
      <c r="N178">
        <f t="shared" ca="1" si="75"/>
        <v>3.045320948181832</v>
      </c>
      <c r="O178">
        <f t="shared" ca="1" si="76"/>
        <v>1.6164736820057886E-4</v>
      </c>
      <c r="P178">
        <f t="shared" ca="1" si="77"/>
        <v>52432.114690065515</v>
      </c>
      <c r="Q178">
        <f t="shared" ca="1" si="78"/>
        <v>52432.114690066846</v>
      </c>
      <c r="R178">
        <f t="shared" ca="1" si="79"/>
        <v>1.3319125198929509E-12</v>
      </c>
      <c r="S178">
        <f t="shared" ca="1" si="98"/>
        <v>9.1641544713638723E-4</v>
      </c>
      <c r="T178">
        <f t="shared" ca="1" si="99"/>
        <v>1</v>
      </c>
      <c r="U178">
        <f t="shared" ca="1" si="80"/>
        <v>51799.655895255913</v>
      </c>
      <c r="V178">
        <f t="shared" ca="1" si="81"/>
        <v>315511.70405800379</v>
      </c>
      <c r="W178">
        <f t="shared" ca="1" si="82"/>
        <v>3.0453209539271087</v>
      </c>
      <c r="X178">
        <f t="shared" ca="1" si="83"/>
        <v>1.6164218107935592E-4</v>
      </c>
      <c r="Y178">
        <f t="shared" ca="1" si="84"/>
        <v>52433.776895255913</v>
      </c>
      <c r="Z178">
        <f t="shared" ca="1" si="85"/>
        <v>52433.776895257244</v>
      </c>
      <c r="AA178">
        <f t="shared" ca="1" si="86"/>
        <v>1.3318270381223655E-12</v>
      </c>
      <c r="AB178">
        <f t="shared" ca="1" si="87"/>
        <v>-6.2500000021827873E-2</v>
      </c>
      <c r="AC178">
        <f t="shared" ca="1" si="88"/>
        <v>0</v>
      </c>
      <c r="AD178">
        <f ca="1">IF(V32="Supercritical",L178,IF(V32="Subcritical",U178,IF(AND(T178=1,AC178=1),IF((((F178)*(L178)^2)/2+(G178)*(L178)^3/3+(ABS(K178)^2)/($I$5*MAX(((F178)+(G178)*(L178))*(L178),0.000001)))&gt;=(((F178)*(U178)^2)/2+(G178)*(U178)^3/3+(ABS(K178)^2)/($I$5*MAX(((F178)+(G178)*(U178))*(U178),0.000001))),L178,U178),IF(T178=1,L178,IF(AC178=1,U178,MAX($D$16,POWER((ABS(K178)^2)/($I$5*MAX(F178,0.1)^2),1/3)))))))</f>
        <v>51797.993690065516</v>
      </c>
      <c r="AE178">
        <f t="shared" ca="1" si="89"/>
        <v>52432.114690065515</v>
      </c>
      <c r="AF178">
        <f t="shared" ca="1" si="90"/>
        <v>52432.114690066846</v>
      </c>
      <c r="AI178">
        <v>0</v>
      </c>
      <c r="AJ178">
        <v>0</v>
      </c>
      <c r="AK178">
        <f t="shared" si="91"/>
        <v>0</v>
      </c>
      <c r="AL178">
        <f t="shared" si="100"/>
        <v>0</v>
      </c>
      <c r="AM178">
        <f t="shared" ca="1" si="92"/>
        <v>2.2676585685637613E-7</v>
      </c>
      <c r="AN178" t="str">
        <f t="shared" ca="1" si="93"/>
        <v>Subcritical</v>
      </c>
      <c r="AO178">
        <f t="shared" ca="1" si="94"/>
        <v>1.3319125198929509E-12</v>
      </c>
    </row>
    <row r="179" spans="1:41" x14ac:dyDescent="0.35">
      <c r="A179">
        <v>30</v>
      </c>
      <c r="B179">
        <v>28.988</v>
      </c>
      <c r="C179">
        <v>616530.10800000001</v>
      </c>
      <c r="D179">
        <v>3097748.176</v>
      </c>
      <c r="E179">
        <v>634.05849999999998</v>
      </c>
      <c r="F179">
        <v>6.1550000000000002</v>
      </c>
      <c r="G179">
        <v>0</v>
      </c>
      <c r="H179" t="s">
        <v>186</v>
      </c>
      <c r="I179">
        <v>1.2E-2</v>
      </c>
      <c r="J179">
        <f t="shared" si="95"/>
        <v>0.99899999999999878</v>
      </c>
      <c r="K179">
        <f t="shared" si="96"/>
        <v>51</v>
      </c>
      <c r="L179">
        <f t="shared" ca="1" si="97"/>
        <v>51798.055273650651</v>
      </c>
      <c r="M179">
        <f t="shared" ca="1" si="74"/>
        <v>318817.03020931978</v>
      </c>
      <c r="N179">
        <f t="shared" ca="1" si="75"/>
        <v>3.0773171660397587</v>
      </c>
      <c r="O179">
        <f t="shared" ca="1" si="76"/>
        <v>1.5996636053762836E-4</v>
      </c>
      <c r="P179">
        <f t="shared" ca="1" si="77"/>
        <v>52432.11377365065</v>
      </c>
      <c r="Q179">
        <f t="shared" ca="1" si="78"/>
        <v>52432.113773651952</v>
      </c>
      <c r="R179">
        <f t="shared" ca="1" si="79"/>
        <v>1.2863036452471684E-12</v>
      </c>
      <c r="S179">
        <f t="shared" ca="1" si="98"/>
        <v>9.1641488688765094E-4</v>
      </c>
      <c r="T179">
        <f t="shared" ca="1" si="99"/>
        <v>1</v>
      </c>
      <c r="U179">
        <f t="shared" ca="1" si="80"/>
        <v>51799.655696600581</v>
      </c>
      <c r="V179">
        <f t="shared" ca="1" si="81"/>
        <v>318826.88081257656</v>
      </c>
      <c r="W179">
        <f t="shared" ca="1" si="82"/>
        <v>3.0773171716883341</v>
      </c>
      <c r="X179">
        <f t="shared" ca="1" si="83"/>
        <v>1.5996141815275769E-4</v>
      </c>
      <c r="Y179">
        <f t="shared" ca="1" si="84"/>
        <v>52433.71419660058</v>
      </c>
      <c r="Z179">
        <f t="shared" ca="1" si="85"/>
        <v>52433.714196601883</v>
      </c>
      <c r="AA179">
        <f t="shared" ca="1" si="86"/>
        <v>1.2862241590198996E-12</v>
      </c>
      <c r="AB179">
        <f t="shared" ca="1" si="87"/>
        <v>-6.2500000014551915E-2</v>
      </c>
      <c r="AC179">
        <f t="shared" ca="1" si="88"/>
        <v>0</v>
      </c>
      <c r="AD179">
        <f ca="1">IF(V32="Supercritical",L179,IF(V32="Subcritical",U179,IF(AND(T179=1,AC179=1),IF((((F179)*(L179)^2)/2+(G179)*(L179)^3/3+(ABS(K179)^2)/($I$5*MAX(((F179)+(G179)*(L179))*(L179),0.000001)))&gt;=(((F179)*(U179)^2)/2+(G179)*(U179)^3/3+(ABS(K179)^2)/($I$5*MAX(((F179)+(G179)*(U179))*(U179),0.000001))),L179,U179),IF(T179=1,L179,IF(AC179=1,U179,MAX($D$16,POWER((ABS(K179)^2)/($I$5*MAX(F179,0.1)^2),1/3)))))))</f>
        <v>51798.055273650651</v>
      </c>
      <c r="AE179">
        <f t="shared" ca="1" si="89"/>
        <v>52432.11377365065</v>
      </c>
      <c r="AF179">
        <f t="shared" ca="1" si="90"/>
        <v>52432.113773651952</v>
      </c>
      <c r="AI179">
        <v>0</v>
      </c>
      <c r="AJ179">
        <v>0</v>
      </c>
      <c r="AK179">
        <f t="shared" si="91"/>
        <v>0</v>
      </c>
      <c r="AL179">
        <f t="shared" si="100"/>
        <v>0</v>
      </c>
      <c r="AM179">
        <f t="shared" ca="1" si="92"/>
        <v>2.244075338521241E-7</v>
      </c>
      <c r="AN179" t="str">
        <f t="shared" ca="1" si="93"/>
        <v>Subcritical</v>
      </c>
      <c r="AO179">
        <f t="shared" ca="1" si="94"/>
        <v>1.2863036452471684E-12</v>
      </c>
    </row>
    <row r="180" spans="1:41" x14ac:dyDescent="0.35">
      <c r="A180">
        <v>31</v>
      </c>
      <c r="B180">
        <v>29.989000000000001</v>
      </c>
      <c r="C180">
        <v>616529.30700000003</v>
      </c>
      <c r="D180">
        <v>3097747.5759999999</v>
      </c>
      <c r="E180">
        <v>633.99599999999998</v>
      </c>
      <c r="F180">
        <v>6.2380000000000004</v>
      </c>
      <c r="G180">
        <v>0</v>
      </c>
      <c r="H180" t="s">
        <v>186</v>
      </c>
      <c r="I180">
        <v>3.5030000000000001</v>
      </c>
      <c r="J180">
        <f t="shared" si="95"/>
        <v>1.0010000000000012</v>
      </c>
      <c r="K180">
        <f t="shared" si="96"/>
        <v>51</v>
      </c>
      <c r="L180">
        <f t="shared" ca="1" si="97"/>
        <v>51798.116857235778</v>
      </c>
      <c r="M180">
        <f t="shared" ca="1" si="74"/>
        <v>323116.65295543679</v>
      </c>
      <c r="N180">
        <f t="shared" ca="1" si="75"/>
        <v>3.1188122021446207</v>
      </c>
      <c r="O180">
        <f t="shared" ca="1" si="76"/>
        <v>1.5783773300917967E-4</v>
      </c>
      <c r="P180">
        <f t="shared" ca="1" si="77"/>
        <v>52432.112857235777</v>
      </c>
      <c r="Q180">
        <f t="shared" ca="1" si="78"/>
        <v>52432.112857237051</v>
      </c>
      <c r="R180">
        <f t="shared" ca="1" si="79"/>
        <v>1.2301324859789828E-12</v>
      </c>
      <c r="S180">
        <f t="shared" ca="1" si="98"/>
        <v>9.1641488688765094E-4</v>
      </c>
      <c r="T180">
        <f t="shared" ca="1" si="99"/>
        <v>1</v>
      </c>
      <c r="U180">
        <f t="shared" ca="1" si="80"/>
        <v>51799.64969660058</v>
      </c>
      <c r="V180">
        <f t="shared" ca="1" si="81"/>
        <v>323126.21480739443</v>
      </c>
      <c r="W180">
        <f t="shared" ca="1" si="82"/>
        <v>3.1188122077015428</v>
      </c>
      <c r="X180">
        <f t="shared" ca="1" si="83"/>
        <v>1.5783306232333865E-4</v>
      </c>
      <c r="Y180">
        <f t="shared" ca="1" si="84"/>
        <v>52433.645696600579</v>
      </c>
      <c r="Z180">
        <f t="shared" ca="1" si="85"/>
        <v>52433.645696601852</v>
      </c>
      <c r="AA180">
        <f t="shared" ca="1" si="86"/>
        <v>1.2300596807266319E-12</v>
      </c>
      <c r="AB180">
        <f t="shared" ca="1" si="87"/>
        <v>-1.9999998548883013E-3</v>
      </c>
      <c r="AC180">
        <f t="shared" ca="1" si="88"/>
        <v>0</v>
      </c>
      <c r="AD180">
        <f ca="1">IF(V32="Supercritical",L180,IF(V32="Subcritical",U180,IF(AND(T180=1,AC180=1),IF((((F180)*(L180)^2)/2+(G180)*(L180)^3/3+(ABS(K180)^2)/($I$5*MAX(((F180)+(G180)*(L180))*(L180),0.000001)))&gt;=(((F180)*(U180)^2)/2+(G180)*(U180)^3/3+(ABS(K180)^2)/($I$5*MAX(((F180)+(G180)*(U180))*(U180),0.000001))),L180,U180),IF(T180=1,L180,IF(AC180=1,U180,MAX($D$16,POWER((ABS(K180)^2)/($I$5*MAX(F180,0.1)^2),1/3)))))))</f>
        <v>51798.116857235778</v>
      </c>
      <c r="AE180">
        <f t="shared" ca="1" si="89"/>
        <v>52432.112857235777</v>
      </c>
      <c r="AF180">
        <f t="shared" ca="1" si="90"/>
        <v>52432.112857237051</v>
      </c>
      <c r="AI180">
        <v>0</v>
      </c>
      <c r="AJ180">
        <v>0</v>
      </c>
      <c r="AK180">
        <f t="shared" si="91"/>
        <v>0</v>
      </c>
      <c r="AL180">
        <f t="shared" si="100"/>
        <v>0</v>
      </c>
      <c r="AM180">
        <f t="shared" ca="1" si="92"/>
        <v>2.2142127406456916E-7</v>
      </c>
      <c r="AN180" t="str">
        <f t="shared" ca="1" si="93"/>
        <v>Subcritical</v>
      </c>
      <c r="AO180">
        <f t="shared" ca="1" si="94"/>
        <v>1.2301324859789828E-12</v>
      </c>
    </row>
    <row r="181" spans="1:41" x14ac:dyDescent="0.35">
      <c r="A181">
        <v>32</v>
      </c>
      <c r="B181">
        <v>30.981000000000002</v>
      </c>
      <c r="C181">
        <v>616528.55099999998</v>
      </c>
      <c r="D181">
        <v>3097746.9339999999</v>
      </c>
      <c r="E181">
        <v>633.99400000000003</v>
      </c>
      <c r="F181">
        <v>6</v>
      </c>
      <c r="G181">
        <v>0</v>
      </c>
      <c r="H181" t="s">
        <v>186</v>
      </c>
      <c r="I181">
        <v>14.637</v>
      </c>
      <c r="J181">
        <f t="shared" si="95"/>
        <v>0.99200000000000088</v>
      </c>
      <c r="K181">
        <f t="shared" si="96"/>
        <v>51</v>
      </c>
      <c r="L181">
        <f t="shared" ca="1" si="97"/>
        <v>51798.117885406078</v>
      </c>
      <c r="M181">
        <f t="shared" ca="1" si="74"/>
        <v>310788.70731243648</v>
      </c>
      <c r="N181">
        <f t="shared" ca="1" si="75"/>
        <v>2.9998262585757338</v>
      </c>
      <c r="O181">
        <f t="shared" ca="1" si="76"/>
        <v>1.6409862649459012E-4</v>
      </c>
      <c r="P181">
        <f t="shared" ca="1" si="77"/>
        <v>52432.111885406077</v>
      </c>
      <c r="Q181">
        <f t="shared" ca="1" si="78"/>
        <v>52432.111885407452</v>
      </c>
      <c r="R181">
        <f t="shared" ca="1" si="79"/>
        <v>1.4004392483860315E-12</v>
      </c>
      <c r="S181">
        <f t="shared" ca="1" si="98"/>
        <v>9.7182955505559221E-4</v>
      </c>
      <c r="T181">
        <f t="shared" ca="1" si="99"/>
        <v>1</v>
      </c>
      <c r="U181">
        <f t="shared" ca="1" si="80"/>
        <v>51799.644571272031</v>
      </c>
      <c r="V181">
        <f t="shared" ca="1" si="81"/>
        <v>310797.86742763221</v>
      </c>
      <c r="W181">
        <f t="shared" ca="1" si="82"/>
        <v>2.9998262636961015</v>
      </c>
      <c r="X181">
        <f t="shared" ca="1" si="83"/>
        <v>1.640937900317965E-4</v>
      </c>
      <c r="Y181">
        <f t="shared" ca="1" si="84"/>
        <v>52433.638571272029</v>
      </c>
      <c r="Z181">
        <f t="shared" ca="1" si="85"/>
        <v>52433.638571273405</v>
      </c>
      <c r="AA181">
        <f t="shared" ca="1" si="86"/>
        <v>1.4003566963971078E-12</v>
      </c>
      <c r="AB181">
        <f t="shared" ca="1" si="87"/>
        <v>-2.0000000004074536E-3</v>
      </c>
      <c r="AC181">
        <f t="shared" ca="1" si="88"/>
        <v>0</v>
      </c>
      <c r="AD181">
        <f ca="1">IF(V32="Supercritical",L181,IF(V32="Subcritical",U181,IF(AND(T181=1,AC181=1),IF((((F181)*(L181)^2)/2+(G181)*(L181)^3/3+(ABS(K181)^2)/($I$5*MAX(((F181)+(G181)*(L181))*(L181),0.000001)))&gt;=(((F181)*(U181)^2)/2+(G181)*(U181)^3/3+(ABS(K181)^2)/($I$5*MAX(((F181)+(G181)*(U181))*(U181),0.000001))),L181,U181),IF(T181=1,L181,IF(AC181=1,U181,MAX($D$16,POWER((ABS(K181)^2)/($I$5*MAX(F181,0.1)^2),1/3)))))))</f>
        <v>51798.117885406078</v>
      </c>
      <c r="AE181">
        <f t="shared" ca="1" si="89"/>
        <v>52432.111885406077</v>
      </c>
      <c r="AF181">
        <f t="shared" ca="1" si="90"/>
        <v>52432.111885407452</v>
      </c>
      <c r="AI181">
        <v>0</v>
      </c>
      <c r="AJ181">
        <v>0</v>
      </c>
      <c r="AK181">
        <f t="shared" si="91"/>
        <v>0</v>
      </c>
      <c r="AL181">
        <f t="shared" si="100"/>
        <v>0</v>
      </c>
      <c r="AM181">
        <f t="shared" ca="1" si="92"/>
        <v>2.3020431108161248E-7</v>
      </c>
      <c r="AN181" t="str">
        <f t="shared" ca="1" si="93"/>
        <v>Subcritical</v>
      </c>
      <c r="AO181">
        <f t="shared" ca="1" si="94"/>
        <v>1.4004392483860315E-12</v>
      </c>
    </row>
    <row r="182" spans="1:41" x14ac:dyDescent="0.35">
      <c r="A182">
        <v>33</v>
      </c>
      <c r="B182">
        <v>31.981000000000002</v>
      </c>
      <c r="C182">
        <v>616527.97699999996</v>
      </c>
      <c r="D182">
        <v>3097746.1150000002</v>
      </c>
      <c r="E182">
        <v>633.99199999999996</v>
      </c>
      <c r="F182">
        <v>6</v>
      </c>
      <c r="G182">
        <v>0</v>
      </c>
      <c r="H182" t="s">
        <v>186</v>
      </c>
      <c r="I182">
        <v>0.08</v>
      </c>
      <c r="J182">
        <f t="shared" si="95"/>
        <v>1</v>
      </c>
      <c r="K182">
        <f t="shared" si="96"/>
        <v>51</v>
      </c>
      <c r="L182">
        <f t="shared" ca="1" si="97"/>
        <v>51798.118908471726</v>
      </c>
      <c r="M182">
        <f t="shared" ca="1" si="74"/>
        <v>310788.71345083037</v>
      </c>
      <c r="N182">
        <f t="shared" ca="1" si="75"/>
        <v>2.9998262585791653</v>
      </c>
      <c r="O182">
        <f t="shared" ca="1" si="76"/>
        <v>1.6409862325347495E-4</v>
      </c>
      <c r="P182">
        <f t="shared" ca="1" si="77"/>
        <v>52432.110908471725</v>
      </c>
      <c r="Q182">
        <f t="shared" ca="1" si="78"/>
        <v>52432.1109084731</v>
      </c>
      <c r="R182">
        <f t="shared" ca="1" si="79"/>
        <v>1.4004391930636915E-12</v>
      </c>
      <c r="S182">
        <f t="shared" ca="1" si="98"/>
        <v>9.7693435236578807E-4</v>
      </c>
      <c r="T182">
        <f t="shared" ca="1" si="99"/>
        <v>1</v>
      </c>
      <c r="U182">
        <f t="shared" ca="1" si="80"/>
        <v>51799.640214742758</v>
      </c>
      <c r="V182">
        <f t="shared" ca="1" si="81"/>
        <v>310797.84128845658</v>
      </c>
      <c r="W182">
        <f t="shared" ca="1" si="82"/>
        <v>2.9998262636814905</v>
      </c>
      <c r="X182">
        <f t="shared" ca="1" si="83"/>
        <v>1.6409380383265295E-4</v>
      </c>
      <c r="Y182">
        <f t="shared" ca="1" si="84"/>
        <v>52433.632214742756</v>
      </c>
      <c r="Z182">
        <f t="shared" ca="1" si="85"/>
        <v>52433.632214744131</v>
      </c>
      <c r="AA182">
        <f t="shared" ca="1" si="86"/>
        <v>1.4003569319559146E-12</v>
      </c>
      <c r="AB182">
        <f t="shared" ca="1" si="87"/>
        <v>-2.0000000004074536E-3</v>
      </c>
      <c r="AC182">
        <f t="shared" ca="1" si="88"/>
        <v>0</v>
      </c>
      <c r="AD182">
        <f ca="1">IF(V32="Supercritical",L182,IF(V32="Subcritical",U182,IF(AND(T182=1,AC182=1),IF((((F182)*(L182)^2)/2+(G182)*(L182)^3/3+(ABS(K182)^2)/($I$5*MAX(((F182)+(G182)*(L182))*(L182),0.000001)))&gt;=(((F182)*(U182)^2)/2+(G182)*(U182)^3/3+(ABS(K182)^2)/($I$5*MAX(((F182)+(G182)*(U182))*(U182),0.000001))),L182,U182),IF(T182=1,L182,IF(AC182=1,U182,MAX($D$16,POWER((ABS(K182)^2)/($I$5*MAX(F182,0.1)^2),1/3)))))))</f>
        <v>51798.118908471726</v>
      </c>
      <c r="AE182">
        <f t="shared" ca="1" si="89"/>
        <v>52432.110908471725</v>
      </c>
      <c r="AF182">
        <f t="shared" ca="1" si="90"/>
        <v>52432.1109084731</v>
      </c>
      <c r="AI182">
        <v>0</v>
      </c>
      <c r="AJ182">
        <v>0</v>
      </c>
      <c r="AK182">
        <f t="shared" si="91"/>
        <v>0</v>
      </c>
      <c r="AL182">
        <f t="shared" si="100"/>
        <v>0</v>
      </c>
      <c r="AM182">
        <f t="shared" ca="1" si="92"/>
        <v>2.3020430426145777E-7</v>
      </c>
      <c r="AN182" t="str">
        <f t="shared" ca="1" si="93"/>
        <v>Subcritical</v>
      </c>
      <c r="AO182">
        <f t="shared" ca="1" si="94"/>
        <v>1.4004391930636915E-12</v>
      </c>
    </row>
    <row r="183" spans="1:41" x14ac:dyDescent="0.35">
      <c r="A183">
        <v>34</v>
      </c>
      <c r="B183">
        <v>32.981000000000002</v>
      </c>
      <c r="C183">
        <v>616527.402</v>
      </c>
      <c r="D183">
        <v>3097745.2969999998</v>
      </c>
      <c r="E183">
        <v>633.99</v>
      </c>
      <c r="F183">
        <v>6</v>
      </c>
      <c r="G183">
        <v>0</v>
      </c>
      <c r="H183" t="s">
        <v>186</v>
      </c>
      <c r="I183">
        <v>0.08</v>
      </c>
      <c r="J183">
        <f t="shared" si="95"/>
        <v>1</v>
      </c>
      <c r="K183">
        <f t="shared" si="96"/>
        <v>51</v>
      </c>
      <c r="L183">
        <f t="shared" ca="1" si="97"/>
        <v>51798.119931067136</v>
      </c>
      <c r="M183">
        <f t="shared" ca="1" si="74"/>
        <v>310788.71958640282</v>
      </c>
      <c r="N183">
        <f t="shared" ca="1" si="75"/>
        <v>2.999826258582595</v>
      </c>
      <c r="O183">
        <f t="shared" ca="1" si="76"/>
        <v>1.640986200138497E-4</v>
      </c>
      <c r="P183">
        <f t="shared" ca="1" si="77"/>
        <v>52432.109931067134</v>
      </c>
      <c r="Q183">
        <f t="shared" ca="1" si="78"/>
        <v>52432.109931068509</v>
      </c>
      <c r="R183">
        <f t="shared" ca="1" si="79"/>
        <v>1.4004391377667825E-12</v>
      </c>
      <c r="S183">
        <f t="shared" ca="1" si="98"/>
        <v>9.7740459023043513E-4</v>
      </c>
      <c r="T183">
        <f t="shared" ca="1" si="99"/>
        <v>1</v>
      </c>
      <c r="U183">
        <f t="shared" ca="1" si="80"/>
        <v>51799.636511692879</v>
      </c>
      <c r="V183">
        <f t="shared" ca="1" si="81"/>
        <v>310797.81907015725</v>
      </c>
      <c r="W183">
        <f t="shared" ca="1" si="82"/>
        <v>2.9998262636690707</v>
      </c>
      <c r="X183">
        <f t="shared" ca="1" si="83"/>
        <v>1.6409381556338281E-4</v>
      </c>
      <c r="Y183">
        <f t="shared" ca="1" si="84"/>
        <v>52433.626511692877</v>
      </c>
      <c r="Z183">
        <f t="shared" ca="1" si="85"/>
        <v>52433.626511694252</v>
      </c>
      <c r="AA183">
        <f t="shared" ca="1" si="86"/>
        <v>1.400357132180949E-12</v>
      </c>
      <c r="AB183">
        <f t="shared" ca="1" si="87"/>
        <v>-2.0000000004074536E-3</v>
      </c>
      <c r="AC183">
        <f t="shared" ca="1" si="88"/>
        <v>0</v>
      </c>
      <c r="AD183">
        <f ca="1">IF(V32="Supercritical",L183,IF(V32="Subcritical",U183,IF(AND(T183=1,AC183=1),IF((((F183)*(L183)^2)/2+(G183)*(L183)^3/3+(ABS(K183)^2)/($I$5*MAX(((F183)+(G183)*(L183))*(L183),0.000001)))&gt;=(((F183)*(U183)^2)/2+(G183)*(U183)^3/3+(ABS(K183)^2)/($I$5*MAX(((F183)+(G183)*(U183))*(U183),0.000001))),L183,U183),IF(T183=1,L183,IF(AC183=1,U183,MAX($D$16,POWER((ABS(K183)^2)/($I$5*MAX(F183,0.1)^2),1/3)))))))</f>
        <v>51798.119931067136</v>
      </c>
      <c r="AE183">
        <f t="shared" ca="1" si="89"/>
        <v>52432.109931067134</v>
      </c>
      <c r="AF183">
        <f t="shared" ca="1" si="90"/>
        <v>52432.109931068509</v>
      </c>
      <c r="AI183">
        <v>0</v>
      </c>
      <c r="AJ183">
        <v>0</v>
      </c>
      <c r="AK183">
        <f t="shared" si="91"/>
        <v>0</v>
      </c>
      <c r="AL183">
        <f t="shared" si="100"/>
        <v>0</v>
      </c>
      <c r="AM183">
        <f t="shared" ca="1" si="92"/>
        <v>2.3020429744443825E-7</v>
      </c>
      <c r="AN183" t="str">
        <f t="shared" ca="1" si="93"/>
        <v>Subcritical</v>
      </c>
      <c r="AO183">
        <f t="shared" ca="1" si="94"/>
        <v>1.4004391377667825E-12</v>
      </c>
    </row>
    <row r="184" spans="1:41" x14ac:dyDescent="0.35">
      <c r="A184">
        <v>35</v>
      </c>
      <c r="B184">
        <v>33.981000000000002</v>
      </c>
      <c r="C184">
        <v>616526.82799999998</v>
      </c>
      <c r="D184">
        <v>3097744.4780000001</v>
      </c>
      <c r="E184">
        <v>633.98800000000006</v>
      </c>
      <c r="F184">
        <v>6</v>
      </c>
      <c r="G184">
        <v>0</v>
      </c>
      <c r="H184" t="s">
        <v>186</v>
      </c>
      <c r="I184">
        <v>4.7E-2</v>
      </c>
      <c r="J184">
        <f t="shared" si="95"/>
        <v>1</v>
      </c>
      <c r="K184">
        <f t="shared" si="96"/>
        <v>51</v>
      </c>
      <c r="L184">
        <f t="shared" ca="1" si="97"/>
        <v>51798.120953619218</v>
      </c>
      <c r="M184">
        <f t="shared" ca="1" si="74"/>
        <v>310788.72572171531</v>
      </c>
      <c r="N184">
        <f t="shared" ca="1" si="75"/>
        <v>2.9998262585860243</v>
      </c>
      <c r="O184">
        <f t="shared" ca="1" si="76"/>
        <v>1.6409861677436181E-4</v>
      </c>
      <c r="P184">
        <f t="shared" ca="1" si="77"/>
        <v>52432.108953619216</v>
      </c>
      <c r="Q184">
        <f t="shared" ca="1" si="78"/>
        <v>52432.108953620591</v>
      </c>
      <c r="R184">
        <f t="shared" ca="1" si="79"/>
        <v>1.4004390824722194E-12</v>
      </c>
      <c r="S184">
        <f t="shared" ca="1" si="98"/>
        <v>9.774479185580276E-4</v>
      </c>
      <c r="T184">
        <f t="shared" ca="1" si="99"/>
        <v>1</v>
      </c>
      <c r="U184">
        <f t="shared" ca="1" si="80"/>
        <v>51799.633364100482</v>
      </c>
      <c r="V184">
        <f t="shared" ca="1" si="81"/>
        <v>310797.80018460291</v>
      </c>
      <c r="W184">
        <f t="shared" ca="1" si="82"/>
        <v>2.9998262636585147</v>
      </c>
      <c r="X184">
        <f t="shared" ca="1" si="83"/>
        <v>1.6409382553450445E-4</v>
      </c>
      <c r="Y184">
        <f t="shared" ca="1" si="84"/>
        <v>52433.62136410048</v>
      </c>
      <c r="Z184">
        <f t="shared" ca="1" si="85"/>
        <v>52433.621364101855</v>
      </c>
      <c r="AA184">
        <f t="shared" ca="1" si="86"/>
        <v>1.4003573023722596E-12</v>
      </c>
      <c r="AB184">
        <f t="shared" ca="1" si="87"/>
        <v>-2.0000000004074536E-3</v>
      </c>
      <c r="AC184">
        <f t="shared" ca="1" si="88"/>
        <v>0</v>
      </c>
      <c r="AD184">
        <f ca="1">IF(V32="Supercritical",L184,IF(V32="Subcritical",U184,IF(AND(T184=1,AC184=1),IF((((F184)*(L184)^2)/2+(G184)*(L184)^3/3+(ABS(K184)^2)/($I$5*MAX(((F184)+(G184)*(L184))*(L184),0.000001)))&gt;=(((F184)*(U184)^2)/2+(G184)*(U184)^3/3+(ABS(K184)^2)/($I$5*MAX(((F184)+(G184)*(U184))*(U184),0.000001))),L184,U184),IF(T184=1,L184,IF(AC184=1,U184,MAX($D$16,POWER((ABS(K184)^2)/($I$5*MAX(F184,0.1)^2),1/3)))))))</f>
        <v>51798.120953619218</v>
      </c>
      <c r="AE184">
        <f t="shared" ca="1" si="89"/>
        <v>52432.108953619216</v>
      </c>
      <c r="AF184">
        <f t="shared" ca="1" si="90"/>
        <v>52432.108953620591</v>
      </c>
      <c r="AI184">
        <v>0</v>
      </c>
      <c r="AJ184">
        <v>0</v>
      </c>
      <c r="AK184">
        <f t="shared" si="91"/>
        <v>0</v>
      </c>
      <c r="AL184">
        <f t="shared" si="100"/>
        <v>0</v>
      </c>
      <c r="AM184">
        <f t="shared" ca="1" si="92"/>
        <v>2.3020429062770791E-7</v>
      </c>
      <c r="AN184" t="str">
        <f t="shared" ca="1" si="93"/>
        <v>Subcritical</v>
      </c>
      <c r="AO184">
        <f t="shared" ca="1" si="94"/>
        <v>1.4004390824722194E-12</v>
      </c>
    </row>
    <row r="185" spans="1:41" x14ac:dyDescent="0.35">
      <c r="A185">
        <v>36</v>
      </c>
      <c r="B185">
        <v>34.981999999999999</v>
      </c>
      <c r="C185">
        <v>616526.25300000003</v>
      </c>
      <c r="D185">
        <v>3097743.659</v>
      </c>
      <c r="E185">
        <v>633.98599999999999</v>
      </c>
      <c r="F185">
        <v>6</v>
      </c>
      <c r="G185">
        <v>0</v>
      </c>
      <c r="H185" t="s">
        <v>186</v>
      </c>
      <c r="I185">
        <v>1.4E-2</v>
      </c>
      <c r="J185">
        <f t="shared" si="95"/>
        <v>1.0009999999999977</v>
      </c>
      <c r="K185">
        <f t="shared" si="96"/>
        <v>51</v>
      </c>
      <c r="L185">
        <f t="shared" ca="1" si="97"/>
        <v>51798.12197616732</v>
      </c>
      <c r="M185">
        <f t="shared" ca="1" si="74"/>
        <v>310788.73185700394</v>
      </c>
      <c r="N185">
        <f t="shared" ca="1" si="75"/>
        <v>2.9998262585894544</v>
      </c>
      <c r="O185">
        <f t="shared" ca="1" si="76"/>
        <v>1.6409861353488663E-4</v>
      </c>
      <c r="P185">
        <f t="shared" ca="1" si="77"/>
        <v>52432.107976167317</v>
      </c>
      <c r="Q185">
        <f t="shared" ca="1" si="78"/>
        <v>52432.107976168692</v>
      </c>
      <c r="R185">
        <f t="shared" ca="1" si="79"/>
        <v>1.4004390271778747E-12</v>
      </c>
      <c r="S185">
        <f t="shared" ca="1" si="98"/>
        <v>9.7745189850684255E-4</v>
      </c>
      <c r="T185">
        <f t="shared" ca="1" si="99"/>
        <v>1</v>
      </c>
      <c r="U185">
        <f t="shared" ca="1" si="80"/>
        <v>51799.630688646947</v>
      </c>
      <c r="V185">
        <f t="shared" ca="1" si="81"/>
        <v>310797.78413188166</v>
      </c>
      <c r="W185">
        <f t="shared" ca="1" si="82"/>
        <v>2.9998262636495414</v>
      </c>
      <c r="X185">
        <f t="shared" ca="1" si="83"/>
        <v>1.6409383400995881E-4</v>
      </c>
      <c r="Y185">
        <f t="shared" ca="1" si="84"/>
        <v>52433.616688646944</v>
      </c>
      <c r="Z185">
        <f t="shared" ca="1" si="85"/>
        <v>52433.616688648319</v>
      </c>
      <c r="AA185">
        <f t="shared" ca="1" si="86"/>
        <v>1.4003574470348988E-12</v>
      </c>
      <c r="AB185">
        <f t="shared" ca="1" si="87"/>
        <v>-6.25E-2</v>
      </c>
      <c r="AC185">
        <f t="shared" ca="1" si="88"/>
        <v>0</v>
      </c>
      <c r="AD185">
        <f ca="1">IF(V32="Supercritical",L185,IF(V32="Subcritical",U185,IF(AND(T185=1,AC185=1),IF((((F185)*(L185)^2)/2+(G185)*(L185)^3/3+(ABS(K185)^2)/($I$5*MAX(((F185)+(G185)*(L185))*(L185),0.000001)))&gt;=(((F185)*(U185)^2)/2+(G185)*(U185)^3/3+(ABS(K185)^2)/($I$5*MAX(((F185)+(G185)*(U185))*(U185),0.000001))),L185,U185),IF(T185=1,L185,IF(AC185=1,U185,MAX($D$16,POWER((ABS(K185)^2)/($I$5*MAX(F185,0.1)^2),1/3)))))))</f>
        <v>51798.12197616732</v>
      </c>
      <c r="AE185">
        <f t="shared" ca="1" si="89"/>
        <v>52432.107976167317</v>
      </c>
      <c r="AF185">
        <f t="shared" ca="1" si="90"/>
        <v>52432.107976168692</v>
      </c>
      <c r="AI185">
        <v>0</v>
      </c>
      <c r="AJ185">
        <v>0</v>
      </c>
      <c r="AK185">
        <f t="shared" si="91"/>
        <v>0</v>
      </c>
      <c r="AL185">
        <f t="shared" si="100"/>
        <v>0</v>
      </c>
      <c r="AM185">
        <f t="shared" ca="1" si="92"/>
        <v>2.3020428381100438E-7</v>
      </c>
      <c r="AN185" t="str">
        <f t="shared" ca="1" si="93"/>
        <v>Subcritical</v>
      </c>
      <c r="AO185">
        <f t="shared" ca="1" si="94"/>
        <v>1.4004390271778747E-12</v>
      </c>
    </row>
    <row r="186" spans="1:41" x14ac:dyDescent="0.35">
      <c r="A186">
        <v>37</v>
      </c>
      <c r="B186">
        <v>35.981000000000002</v>
      </c>
      <c r="C186">
        <v>616525.679</v>
      </c>
      <c r="D186">
        <v>3097742.841</v>
      </c>
      <c r="E186">
        <v>633.92349999999999</v>
      </c>
      <c r="F186">
        <v>6</v>
      </c>
      <c r="G186">
        <v>0</v>
      </c>
      <c r="H186" t="s">
        <v>186</v>
      </c>
      <c r="I186">
        <v>3.3000000000000002E-2</v>
      </c>
      <c r="J186">
        <f t="shared" si="95"/>
        <v>0.99900000000000233</v>
      </c>
      <c r="K186">
        <f t="shared" si="96"/>
        <v>51</v>
      </c>
      <c r="L186">
        <f t="shared" ca="1" si="97"/>
        <v>51798.183559567195</v>
      </c>
      <c r="M186">
        <f t="shared" ca="1" si="74"/>
        <v>310789.10135740315</v>
      </c>
      <c r="N186">
        <f t="shared" ca="1" si="75"/>
        <v>2.9998262587960052</v>
      </c>
      <c r="O186">
        <f t="shared" ca="1" si="76"/>
        <v>1.6409841843633606E-4</v>
      </c>
      <c r="P186">
        <f t="shared" ca="1" si="77"/>
        <v>52432.107059567192</v>
      </c>
      <c r="Q186">
        <f t="shared" ca="1" si="78"/>
        <v>52432.107059568567</v>
      </c>
      <c r="R186">
        <f t="shared" ca="1" si="79"/>
        <v>1.4004356970581988E-12</v>
      </c>
      <c r="S186">
        <f t="shared" ca="1" si="98"/>
        <v>9.1660012549255043E-4</v>
      </c>
      <c r="T186">
        <f t="shared" ca="1" si="99"/>
        <v>1</v>
      </c>
      <c r="U186">
        <f t="shared" ca="1" si="80"/>
        <v>51799.62841451144</v>
      </c>
      <c r="V186">
        <f t="shared" ca="1" si="81"/>
        <v>310797.77048706863</v>
      </c>
      <c r="W186">
        <f t="shared" ca="1" si="82"/>
        <v>2.9998262636419142</v>
      </c>
      <c r="X186">
        <f t="shared" ca="1" si="83"/>
        <v>1.640938412140957E-4</v>
      </c>
      <c r="Y186">
        <f t="shared" ca="1" si="84"/>
        <v>52433.551914511438</v>
      </c>
      <c r="Z186">
        <f t="shared" ca="1" si="85"/>
        <v>52433.551914512813</v>
      </c>
      <c r="AA186">
        <f t="shared" ca="1" si="86"/>
        <v>1.4003575699981603E-12</v>
      </c>
      <c r="AB186">
        <f t="shared" ca="1" si="87"/>
        <v>-6.25E-2</v>
      </c>
      <c r="AC186">
        <f t="shared" ca="1" si="88"/>
        <v>0</v>
      </c>
      <c r="AD186">
        <f ca="1">IF(V32="Supercritical",L186,IF(V32="Subcritical",U186,IF(AND(T186=1,AC186=1),IF((((F186)*(L186)^2)/2+(G186)*(L186)^3/3+(ABS(K186)^2)/($I$5*MAX(((F186)+(G186)*(L186))*(L186),0.000001)))&gt;=(((F186)*(U186)^2)/2+(G186)*(U186)^3/3+(ABS(K186)^2)/($I$5*MAX(((F186)+(G186)*(U186))*(U186),0.000001))),L186,U186),IF(T186=1,L186,IF(AC186=1,U186,MAX($D$16,POWER((ABS(K186)^2)/($I$5*MAX(F186,0.1)^2),1/3)))))))</f>
        <v>51798.183559567195</v>
      </c>
      <c r="AE186">
        <f t="shared" ca="1" si="89"/>
        <v>52432.107059567192</v>
      </c>
      <c r="AF186">
        <f t="shared" ca="1" si="90"/>
        <v>52432.107059568567</v>
      </c>
      <c r="AI186">
        <v>0</v>
      </c>
      <c r="AJ186">
        <v>0</v>
      </c>
      <c r="AK186">
        <f t="shared" si="91"/>
        <v>0</v>
      </c>
      <c r="AL186">
        <f t="shared" si="100"/>
        <v>0</v>
      </c>
      <c r="AM186">
        <f t="shared" ca="1" si="92"/>
        <v>2.3020387327272079E-7</v>
      </c>
      <c r="AN186" t="str">
        <f t="shared" ca="1" si="93"/>
        <v>Subcritical</v>
      </c>
      <c r="AO186">
        <f t="shared" ca="1" si="94"/>
        <v>1.4004356970581988E-12</v>
      </c>
    </row>
    <row r="187" spans="1:41" x14ac:dyDescent="0.35">
      <c r="A187">
        <v>38</v>
      </c>
      <c r="B187">
        <v>36.981000000000002</v>
      </c>
      <c r="C187">
        <v>616525.10499999998</v>
      </c>
      <c r="D187">
        <v>3097742.0219999999</v>
      </c>
      <c r="E187">
        <v>633.86099999999999</v>
      </c>
      <c r="F187">
        <v>6</v>
      </c>
      <c r="G187">
        <v>0</v>
      </c>
      <c r="H187" t="s">
        <v>186</v>
      </c>
      <c r="I187">
        <v>0.08</v>
      </c>
      <c r="J187">
        <f t="shared" si="95"/>
        <v>1</v>
      </c>
      <c r="K187">
        <f t="shared" si="96"/>
        <v>51</v>
      </c>
      <c r="L187">
        <f t="shared" ca="1" si="97"/>
        <v>51798.245143151755</v>
      </c>
      <c r="M187">
        <f t="shared" ca="1" si="74"/>
        <v>310789.47085891053</v>
      </c>
      <c r="N187">
        <f t="shared" ca="1" si="75"/>
        <v>2.9998262590025564</v>
      </c>
      <c r="O187">
        <f t="shared" ca="1" si="76"/>
        <v>1.6409822333766425E-4</v>
      </c>
      <c r="P187">
        <f t="shared" ca="1" si="77"/>
        <v>52432.106143151752</v>
      </c>
      <c r="Q187">
        <f t="shared" ca="1" si="78"/>
        <v>52432.106143153127</v>
      </c>
      <c r="R187">
        <f t="shared" ca="1" si="79"/>
        <v>1.4004323669404132E-12</v>
      </c>
      <c r="S187">
        <f t="shared" ca="1" si="98"/>
        <v>9.1641543986042961E-4</v>
      </c>
      <c r="T187">
        <f t="shared" ca="1" si="99"/>
        <v>1</v>
      </c>
      <c r="U187">
        <f t="shared" ca="1" si="80"/>
        <v>51799.626481496256</v>
      </c>
      <c r="V187">
        <f t="shared" ca="1" si="81"/>
        <v>310797.75888897752</v>
      </c>
      <c r="W187">
        <f t="shared" ca="1" si="82"/>
        <v>2.9998262636354314</v>
      </c>
      <c r="X187">
        <f t="shared" ca="1" si="83"/>
        <v>1.6409384733761257E-4</v>
      </c>
      <c r="Y187">
        <f t="shared" ca="1" si="84"/>
        <v>52433.487481496253</v>
      </c>
      <c r="Z187">
        <f t="shared" ca="1" si="85"/>
        <v>52433.487481497628</v>
      </c>
      <c r="AA187">
        <f t="shared" ca="1" si="86"/>
        <v>1.4003576745169449E-12</v>
      </c>
      <c r="AB187">
        <f t="shared" ca="1" si="87"/>
        <v>-6.25E-2</v>
      </c>
      <c r="AC187">
        <f t="shared" ca="1" si="88"/>
        <v>0</v>
      </c>
      <c r="AD187">
        <f ca="1">IF(V32="Supercritical",L187,IF(V32="Subcritical",U187,IF(AND(T187=1,AC187=1),IF((((F187)*(L187)^2)/2+(G187)*(L187)^3/3+(ABS(K187)^2)/($I$5*MAX(((F187)+(G187)*(L187))*(L187),0.000001)))&gt;=(((F187)*(U187)^2)/2+(G187)*(U187)^3/3+(ABS(K187)^2)/($I$5*MAX(((F187)+(G187)*(U187))*(U187),0.000001))),L187,U187),IF(T187=1,L187,IF(AC187=1,U187,MAX($D$16,POWER((ABS(K187)^2)/($I$5*MAX(F187,0.1)^2),1/3)))))))</f>
        <v>51798.245143151755</v>
      </c>
      <c r="AE187">
        <f t="shared" ca="1" si="89"/>
        <v>52432.106143151752</v>
      </c>
      <c r="AF187">
        <f t="shared" ca="1" si="90"/>
        <v>52432.106143153127</v>
      </c>
      <c r="AI187">
        <v>0</v>
      </c>
      <c r="AJ187">
        <v>0</v>
      </c>
      <c r="AK187">
        <f t="shared" si="91"/>
        <v>0</v>
      </c>
      <c r="AL187">
        <f t="shared" si="100"/>
        <v>0</v>
      </c>
      <c r="AM187">
        <f t="shared" ca="1" si="92"/>
        <v>2.3020346273442621E-7</v>
      </c>
      <c r="AN187" t="str">
        <f t="shared" ca="1" si="93"/>
        <v>Subcritical</v>
      </c>
      <c r="AO187">
        <f t="shared" ca="1" si="94"/>
        <v>1.4004323669404132E-12</v>
      </c>
    </row>
    <row r="188" spans="1:41" x14ac:dyDescent="0.35">
      <c r="A188">
        <v>39</v>
      </c>
      <c r="B188">
        <v>37.981000000000002</v>
      </c>
      <c r="C188">
        <v>616524.53</v>
      </c>
      <c r="D188">
        <v>3097741.2039999999</v>
      </c>
      <c r="E188">
        <v>633.79849999999999</v>
      </c>
      <c r="F188">
        <v>6</v>
      </c>
      <c r="G188">
        <v>0</v>
      </c>
      <c r="H188" t="s">
        <v>186</v>
      </c>
      <c r="I188">
        <v>0.08</v>
      </c>
      <c r="J188">
        <f t="shared" si="95"/>
        <v>1</v>
      </c>
      <c r="K188">
        <f t="shared" si="96"/>
        <v>51</v>
      </c>
      <c r="L188">
        <f t="shared" ca="1" si="97"/>
        <v>51798.306726736868</v>
      </c>
      <c r="M188">
        <f t="shared" ca="1" si="74"/>
        <v>310789.84036042122</v>
      </c>
      <c r="N188">
        <f t="shared" ca="1" si="75"/>
        <v>2.9998262592091072</v>
      </c>
      <c r="O188">
        <f t="shared" ca="1" si="76"/>
        <v>1.6409802823945464E-4</v>
      </c>
      <c r="P188">
        <f t="shared" ca="1" si="77"/>
        <v>52432.105226736865</v>
      </c>
      <c r="Q188">
        <f t="shared" ca="1" si="78"/>
        <v>52432.10522673824</v>
      </c>
      <c r="R188">
        <f t="shared" ca="1" si="79"/>
        <v>1.4004290368344758E-12</v>
      </c>
      <c r="S188">
        <f t="shared" ca="1" si="98"/>
        <v>9.1641488688765094E-4</v>
      </c>
      <c r="T188">
        <f t="shared" ca="1" si="99"/>
        <v>1</v>
      </c>
      <c r="U188">
        <f t="shared" ca="1" si="80"/>
        <v>51799.624838433352</v>
      </c>
      <c r="V188">
        <f t="shared" ca="1" si="81"/>
        <v>310797.74903060013</v>
      </c>
      <c r="W188">
        <f t="shared" ca="1" si="82"/>
        <v>2.9998262636299211</v>
      </c>
      <c r="X188">
        <f t="shared" ca="1" si="83"/>
        <v>1.6409385254260224E-4</v>
      </c>
      <c r="Y188">
        <f t="shared" ca="1" si="84"/>
        <v>52433.423338433349</v>
      </c>
      <c r="Z188">
        <f t="shared" ca="1" si="85"/>
        <v>52433.423338434724</v>
      </c>
      <c r="AA188">
        <f t="shared" ca="1" si="86"/>
        <v>1.4003577633579206E-12</v>
      </c>
      <c r="AB188">
        <f t="shared" ca="1" si="87"/>
        <v>-6.25E-2</v>
      </c>
      <c r="AC188">
        <f t="shared" ca="1" si="88"/>
        <v>0</v>
      </c>
      <c r="AD188">
        <f ca="1">IF(V32="Supercritical",L188,IF(V32="Subcritical",U188,IF(AND(T188=1,AC188=1),IF((((F188)*(L188)^2)/2+(G188)*(L188)^3/3+(ABS(K188)^2)/($I$5*MAX(((F188)+(G188)*(L188))*(L188),0.000001)))&gt;=(((F188)*(U188)^2)/2+(G188)*(U188)^3/3+(ABS(K188)^2)/($I$5*MAX(((F188)+(G188)*(U188))*(U188),0.000001))),L188,U188),IF(T188=1,L188,IF(AC188=1,U188,MAX($D$16,POWER((ABS(K188)^2)/($I$5*MAX(F188,0.1)^2),1/3)))))))</f>
        <v>51798.306726736868</v>
      </c>
      <c r="AE188">
        <f t="shared" ca="1" si="89"/>
        <v>52432.105226736865</v>
      </c>
      <c r="AF188">
        <f t="shared" ca="1" si="90"/>
        <v>52432.10522673824</v>
      </c>
      <c r="AI188">
        <v>0</v>
      </c>
      <c r="AJ188">
        <v>0</v>
      </c>
      <c r="AK188">
        <f t="shared" si="91"/>
        <v>0</v>
      </c>
      <c r="AL188">
        <f t="shared" si="100"/>
        <v>0</v>
      </c>
      <c r="AM188">
        <f t="shared" ca="1" si="92"/>
        <v>2.3020305219734816E-7</v>
      </c>
      <c r="AN188" t="str">
        <f t="shared" ca="1" si="93"/>
        <v>Subcritical</v>
      </c>
      <c r="AO188">
        <f t="shared" ca="1" si="94"/>
        <v>1.4004290368344758E-12</v>
      </c>
    </row>
    <row r="189" spans="1:41" x14ac:dyDescent="0.35">
      <c r="A189">
        <v>40</v>
      </c>
      <c r="B189">
        <v>38.981000000000002</v>
      </c>
      <c r="C189">
        <v>616523.95600000001</v>
      </c>
      <c r="D189">
        <v>3097740.3849999998</v>
      </c>
      <c r="E189">
        <v>633.73599999999999</v>
      </c>
      <c r="F189">
        <v>5.9989999999999997</v>
      </c>
      <c r="G189">
        <v>0</v>
      </c>
      <c r="H189" t="s">
        <v>186</v>
      </c>
      <c r="I189">
        <v>0.08</v>
      </c>
      <c r="J189">
        <f t="shared" si="95"/>
        <v>1</v>
      </c>
      <c r="K189">
        <f t="shared" si="96"/>
        <v>51</v>
      </c>
      <c r="L189">
        <f t="shared" ca="1" si="97"/>
        <v>51798.368310321981</v>
      </c>
      <c r="M189">
        <f t="shared" ca="1" si="74"/>
        <v>310738.41149362153</v>
      </c>
      <c r="N189">
        <f t="shared" ca="1" si="75"/>
        <v>2.9993263173226823</v>
      </c>
      <c r="O189">
        <f t="shared" ca="1" si="76"/>
        <v>1.6412518733959888E-4</v>
      </c>
      <c r="P189">
        <f t="shared" ca="1" si="77"/>
        <v>52432.104310321978</v>
      </c>
      <c r="Q189">
        <f t="shared" ca="1" si="78"/>
        <v>52432.104310323353</v>
      </c>
      <c r="R189">
        <f t="shared" ca="1" si="79"/>
        <v>1.4012039840217708E-12</v>
      </c>
      <c r="S189">
        <f t="shared" ca="1" si="98"/>
        <v>9.1641488688765094E-4</v>
      </c>
      <c r="T189">
        <f t="shared" ca="1" si="99"/>
        <v>1</v>
      </c>
      <c r="U189">
        <f t="shared" ca="1" si="80"/>
        <v>51799.623441829885</v>
      </c>
      <c r="V189">
        <f t="shared" ca="1" si="81"/>
        <v>310745.94102753745</v>
      </c>
      <c r="W189">
        <f t="shared" ca="1" si="82"/>
        <v>2.9993263215308592</v>
      </c>
      <c r="X189">
        <f t="shared" ca="1" si="83"/>
        <v>1.6412121050192742E-4</v>
      </c>
      <c r="Y189">
        <f t="shared" ca="1" si="84"/>
        <v>52433.359441829882</v>
      </c>
      <c r="Z189">
        <f t="shared" ca="1" si="85"/>
        <v>52433.359441831257</v>
      </c>
      <c r="AA189">
        <f t="shared" ca="1" si="86"/>
        <v>1.4011360784374312E-12</v>
      </c>
      <c r="AB189">
        <f t="shared" ca="1" si="87"/>
        <v>-2.0000000004074536E-3</v>
      </c>
      <c r="AC189">
        <f t="shared" ca="1" si="88"/>
        <v>0</v>
      </c>
      <c r="AD189">
        <f ca="1">IF(V32="Supercritical",L189,IF(V32="Subcritical",U189,IF(AND(T189=1,AC189=1),IF((((F189)*(L189)^2)/2+(G189)*(L189)^3/3+(ABS(K189)^2)/($I$5*MAX(((F189)+(G189)*(L189))*(L189),0.000001)))&gt;=(((F189)*(U189)^2)/2+(G189)*(U189)^3/3+(ABS(K189)^2)/($I$5*MAX(((F189)+(G189)*(U189))*(U189),0.000001))),L189,U189),IF(T189=1,L189,IF(AC189=1,U189,MAX($D$16,POWER((ABS(K189)^2)/($I$5*MAX(F189,0.1)^2),1/3)))))))</f>
        <v>51798.368310321981</v>
      </c>
      <c r="AE189">
        <f t="shared" ca="1" si="89"/>
        <v>52432.104310321978</v>
      </c>
      <c r="AF189">
        <f t="shared" ca="1" si="90"/>
        <v>52432.104310323353</v>
      </c>
      <c r="AI189">
        <v>0</v>
      </c>
      <c r="AJ189">
        <v>0</v>
      </c>
      <c r="AK189">
        <f t="shared" si="91"/>
        <v>0</v>
      </c>
      <c r="AL189">
        <f t="shared" si="100"/>
        <v>0</v>
      </c>
      <c r="AM189">
        <f t="shared" ca="1" si="92"/>
        <v>2.3024101516401774E-7</v>
      </c>
      <c r="AN189" t="str">
        <f t="shared" ca="1" si="93"/>
        <v>Subcritical</v>
      </c>
      <c r="AO189">
        <f t="shared" ca="1" si="94"/>
        <v>1.4012039840217708E-12</v>
      </c>
    </row>
    <row r="190" spans="1:41" x14ac:dyDescent="0.35">
      <c r="A190">
        <v>41</v>
      </c>
      <c r="B190">
        <v>39.981000000000002</v>
      </c>
      <c r="C190">
        <v>616523.38100000005</v>
      </c>
      <c r="D190">
        <v>3097739.5669999998</v>
      </c>
      <c r="E190">
        <v>633.73400000000004</v>
      </c>
      <c r="F190">
        <v>5.9989999999999997</v>
      </c>
      <c r="G190">
        <v>0</v>
      </c>
      <c r="H190" t="s">
        <v>186</v>
      </c>
      <c r="I190">
        <v>0.08</v>
      </c>
      <c r="J190">
        <f t="shared" si="95"/>
        <v>1</v>
      </c>
      <c r="K190">
        <f t="shared" si="96"/>
        <v>51</v>
      </c>
      <c r="L190">
        <f t="shared" ca="1" si="97"/>
        <v>51798.369338492361</v>
      </c>
      <c r="M190">
        <f t="shared" ca="1" si="74"/>
        <v>310738.41766161565</v>
      </c>
      <c r="N190">
        <f t="shared" ca="1" si="75"/>
        <v>2.9993263173261298</v>
      </c>
      <c r="O190">
        <f t="shared" ca="1" si="76"/>
        <v>1.6412518408180025E-4</v>
      </c>
      <c r="P190">
        <f t="shared" ca="1" si="77"/>
        <v>52432.103338492358</v>
      </c>
      <c r="Q190">
        <f t="shared" ca="1" si="78"/>
        <v>52432.103338493733</v>
      </c>
      <c r="R190">
        <f t="shared" ca="1" si="79"/>
        <v>1.4012039283933E-12</v>
      </c>
      <c r="S190">
        <f t="shared" ca="1" si="98"/>
        <v>9.7182962053921074E-4</v>
      </c>
      <c r="T190">
        <f t="shared" ca="1" si="99"/>
        <v>1</v>
      </c>
      <c r="U190">
        <f t="shared" ca="1" si="80"/>
        <v>51799.622254716938</v>
      </c>
      <c r="V190">
        <f t="shared" ca="1" si="81"/>
        <v>310745.93390604691</v>
      </c>
      <c r="W190">
        <f t="shared" ca="1" si="82"/>
        <v>2.9993263215268797</v>
      </c>
      <c r="X190">
        <f t="shared" ca="1" si="83"/>
        <v>1.6412121426315974E-4</v>
      </c>
      <c r="Y190">
        <f t="shared" ca="1" si="84"/>
        <v>52433.356254716935</v>
      </c>
      <c r="Z190">
        <f t="shared" ca="1" si="85"/>
        <v>52433.35625471831</v>
      </c>
      <c r="AA190">
        <f t="shared" ca="1" si="86"/>
        <v>1.4011361426607177E-12</v>
      </c>
      <c r="AB190">
        <f t="shared" ca="1" si="87"/>
        <v>-2.0000000004074536E-3</v>
      </c>
      <c r="AC190">
        <f t="shared" ca="1" si="88"/>
        <v>0</v>
      </c>
      <c r="AD190">
        <f ca="1">IF(V32="Supercritical",L190,IF(V32="Subcritical",U190,IF(AND(T190=1,AC190=1),IF((((F190)*(L190)^2)/2+(G190)*(L190)^3/3+(ABS(K190)^2)/($I$5*MAX(((F190)+(G190)*(L190))*(L190),0.000001)))&gt;=(((F190)*(U190)^2)/2+(G190)*(U190)^3/3+(ABS(K190)^2)/($I$5*MAX(((F190)+(G190)*(U190))*(U190),0.000001))),L190,U190),IF(T190=1,L190,IF(AC190=1,U190,MAX($D$16,POWER((ABS(K190)^2)/($I$5*MAX(F190,0.1)^2),1/3)))))))</f>
        <v>51798.369338492361</v>
      </c>
      <c r="AE190">
        <f t="shared" ca="1" si="89"/>
        <v>52432.103338492358</v>
      </c>
      <c r="AF190">
        <f t="shared" ca="1" si="90"/>
        <v>52432.103338493733</v>
      </c>
      <c r="AI190">
        <v>0</v>
      </c>
      <c r="AJ190">
        <v>0</v>
      </c>
      <c r="AK190">
        <f t="shared" si="91"/>
        <v>0</v>
      </c>
      <c r="AL190">
        <f t="shared" si="100"/>
        <v>0</v>
      </c>
      <c r="AM190">
        <f t="shared" ca="1" si="92"/>
        <v>2.3024100830877324E-7</v>
      </c>
      <c r="AN190" t="str">
        <f t="shared" ca="1" si="93"/>
        <v>Subcritical</v>
      </c>
      <c r="AO190">
        <f t="shared" ca="1" si="94"/>
        <v>1.4012039283933E-12</v>
      </c>
    </row>
    <row r="191" spans="1:41" x14ac:dyDescent="0.35">
      <c r="A191">
        <v>42</v>
      </c>
      <c r="B191">
        <v>40.981000000000002</v>
      </c>
      <c r="C191">
        <v>616522.80700000003</v>
      </c>
      <c r="D191">
        <v>3097738.7480000001</v>
      </c>
      <c r="E191">
        <v>633.73199999999997</v>
      </c>
      <c r="F191">
        <v>5.9989999999999997</v>
      </c>
      <c r="G191">
        <v>0</v>
      </c>
      <c r="H191" t="s">
        <v>186</v>
      </c>
      <c r="I191">
        <v>0.08</v>
      </c>
      <c r="J191">
        <f t="shared" si="95"/>
        <v>1</v>
      </c>
      <c r="K191">
        <f t="shared" si="96"/>
        <v>51</v>
      </c>
      <c r="L191">
        <f t="shared" ca="1" si="97"/>
        <v>51798.370361558009</v>
      </c>
      <c r="M191">
        <f t="shared" ca="1" si="74"/>
        <v>310738.42379898648</v>
      </c>
      <c r="N191">
        <f t="shared" ca="1" si="75"/>
        <v>2.9993263173295599</v>
      </c>
      <c r="O191">
        <f t="shared" ca="1" si="76"/>
        <v>1.6412518084017629E-4</v>
      </c>
      <c r="P191">
        <f t="shared" ca="1" si="77"/>
        <v>52432.102361558005</v>
      </c>
      <c r="Q191">
        <f t="shared" ca="1" si="78"/>
        <v>52432.10236155938</v>
      </c>
      <c r="R191">
        <f t="shared" ca="1" si="79"/>
        <v>1.401203873041021E-12</v>
      </c>
      <c r="S191">
        <f t="shared" ca="1" si="98"/>
        <v>9.7693435236578807E-4</v>
      </c>
      <c r="T191">
        <f t="shared" ca="1" si="99"/>
        <v>1</v>
      </c>
      <c r="U191">
        <f t="shared" ca="1" si="80"/>
        <v>51799.621245670933</v>
      </c>
      <c r="V191">
        <f t="shared" ca="1" si="81"/>
        <v>310745.92785277992</v>
      </c>
      <c r="W191">
        <f t="shared" ca="1" si="82"/>
        <v>2.9993263215234967</v>
      </c>
      <c r="X191">
        <f t="shared" ca="1" si="83"/>
        <v>1.6412121746020735E-4</v>
      </c>
      <c r="Y191">
        <f t="shared" ca="1" si="84"/>
        <v>52433.353245670936</v>
      </c>
      <c r="Z191">
        <f t="shared" ca="1" si="85"/>
        <v>52433.353245672311</v>
      </c>
      <c r="AA191">
        <f t="shared" ca="1" si="86"/>
        <v>1.4011361972505151E-12</v>
      </c>
      <c r="AB191">
        <f t="shared" ca="1" si="87"/>
        <v>-2.0000000004074536E-3</v>
      </c>
      <c r="AC191">
        <f t="shared" ca="1" si="88"/>
        <v>0</v>
      </c>
      <c r="AD191">
        <f ca="1">IF(V32="Supercritical",L191,IF(V32="Subcritical",U191,IF(AND(T191=1,AC191=1),IF((((F191)*(L191)^2)/2+(G191)*(L191)^3/3+(ABS(K191)^2)/($I$5*MAX(((F191)+(G191)*(L191))*(L191),0.000001)))&gt;=(((F191)*(U191)^2)/2+(G191)*(U191)^3/3+(ABS(K191)^2)/($I$5*MAX(((F191)+(G191)*(U191))*(U191),0.000001))),L191,U191),IF(T191=1,L191,IF(AC191=1,U191,MAX($D$16,POWER((ABS(K191)^2)/($I$5*MAX(F191,0.1)^2),1/3)))))))</f>
        <v>51798.370361558009</v>
      </c>
      <c r="AE191">
        <f t="shared" ca="1" si="89"/>
        <v>52432.102361558005</v>
      </c>
      <c r="AF191">
        <f t="shared" ca="1" si="90"/>
        <v>52432.10236155938</v>
      </c>
      <c r="AI191">
        <v>0</v>
      </c>
      <c r="AJ191">
        <v>0</v>
      </c>
      <c r="AK191">
        <f t="shared" si="91"/>
        <v>0</v>
      </c>
      <c r="AL191">
        <f t="shared" si="100"/>
        <v>0</v>
      </c>
      <c r="AM191">
        <f t="shared" ca="1" si="92"/>
        <v>2.3024100148756445E-7</v>
      </c>
      <c r="AN191" t="str">
        <f t="shared" ca="1" si="93"/>
        <v>Subcritical</v>
      </c>
      <c r="AO191">
        <f t="shared" ca="1" si="94"/>
        <v>1.401203873041021E-12</v>
      </c>
    </row>
    <row r="192" spans="1:41" x14ac:dyDescent="0.35">
      <c r="A192">
        <v>43</v>
      </c>
      <c r="B192">
        <v>41.981000000000002</v>
      </c>
      <c r="C192">
        <v>616522.23199999996</v>
      </c>
      <c r="D192">
        <v>3097737.93</v>
      </c>
      <c r="E192">
        <v>633.73</v>
      </c>
      <c r="F192">
        <v>5.9989999999999997</v>
      </c>
      <c r="G192">
        <v>0</v>
      </c>
      <c r="H192" t="s">
        <v>186</v>
      </c>
      <c r="I192">
        <v>0.08</v>
      </c>
      <c r="J192">
        <f t="shared" si="95"/>
        <v>1</v>
      </c>
      <c r="K192">
        <f t="shared" si="96"/>
        <v>51</v>
      </c>
      <c r="L192">
        <f t="shared" ca="1" si="97"/>
        <v>51798.371384153412</v>
      </c>
      <c r="M192">
        <f t="shared" ca="1" si="74"/>
        <v>310738.42993353627</v>
      </c>
      <c r="N192">
        <f t="shared" ca="1" si="75"/>
        <v>2.9993263173329883</v>
      </c>
      <c r="O192">
        <f t="shared" ca="1" si="76"/>
        <v>1.6412517760004249E-4</v>
      </c>
      <c r="P192">
        <f t="shared" ca="1" si="77"/>
        <v>52432.101384153415</v>
      </c>
      <c r="Q192">
        <f t="shared" ca="1" si="78"/>
        <v>52432.10138415479</v>
      </c>
      <c r="R192">
        <f t="shared" ca="1" si="79"/>
        <v>1.4012038177141878E-12</v>
      </c>
      <c r="S192">
        <f t="shared" ca="1" si="98"/>
        <v>9.7740459023043513E-4</v>
      </c>
      <c r="T192">
        <f t="shared" ca="1" si="99"/>
        <v>1</v>
      </c>
      <c r="U192">
        <f t="shared" ca="1" si="80"/>
        <v>51799.620387981828</v>
      </c>
      <c r="V192">
        <f t="shared" ca="1" si="81"/>
        <v>310745.92270750296</v>
      </c>
      <c r="W192">
        <f t="shared" ca="1" si="82"/>
        <v>2.9993263215206207</v>
      </c>
      <c r="X192">
        <f t="shared" ca="1" si="83"/>
        <v>1.6412122017769794E-4</v>
      </c>
      <c r="Y192">
        <f t="shared" ca="1" si="84"/>
        <v>52433.350387981831</v>
      </c>
      <c r="Z192">
        <f t="shared" ca="1" si="85"/>
        <v>52433.350387983206</v>
      </c>
      <c r="AA192">
        <f t="shared" ca="1" si="86"/>
        <v>1.4011362436518461E-12</v>
      </c>
      <c r="AB192">
        <f t="shared" ca="1" si="87"/>
        <v>-2.0000000004074536E-3</v>
      </c>
      <c r="AC192">
        <f t="shared" ca="1" si="88"/>
        <v>0</v>
      </c>
      <c r="AD192">
        <f ca="1">IF(V32="Supercritical",L192,IF(V32="Subcritical",U192,IF(AND(T192=1,AC192=1),IF((((F192)*(L192)^2)/2+(G192)*(L192)^3/3+(ABS(K192)^2)/($I$5*MAX(((F192)+(G192)*(L192))*(L192),0.000001)))&gt;=(((F192)*(U192)^2)/2+(G192)*(U192)^3/3+(ABS(K192)^2)/($I$5*MAX(((F192)+(G192)*(U192))*(U192),0.000001))),L192,U192),IF(T192=1,L192,IF(AC192=1,U192,MAX($D$16,POWER((ABS(K192)^2)/($I$5*MAX(F192,0.1)^2),1/3)))))))</f>
        <v>51798.371384153412</v>
      </c>
      <c r="AE192">
        <f t="shared" ca="1" si="89"/>
        <v>52432.101384153415</v>
      </c>
      <c r="AF192">
        <f t="shared" ca="1" si="90"/>
        <v>52432.10138415479</v>
      </c>
      <c r="AI192">
        <v>0</v>
      </c>
      <c r="AJ192">
        <v>0</v>
      </c>
      <c r="AK192">
        <f t="shared" si="91"/>
        <v>0</v>
      </c>
      <c r="AL192">
        <f t="shared" si="100"/>
        <v>0</v>
      </c>
      <c r="AM192">
        <f t="shared" ca="1" si="92"/>
        <v>2.3024099466949141E-7</v>
      </c>
      <c r="AN192" t="str">
        <f t="shared" ca="1" si="93"/>
        <v>Subcritical</v>
      </c>
      <c r="AO192">
        <f t="shared" ca="1" si="94"/>
        <v>1.4012038177141878E-12</v>
      </c>
    </row>
    <row r="193" spans="1:41" x14ac:dyDescent="0.35">
      <c r="A193">
        <v>44</v>
      </c>
      <c r="B193">
        <v>42.981000000000002</v>
      </c>
      <c r="C193">
        <v>616521.65800000005</v>
      </c>
      <c r="D193">
        <v>3097737.111</v>
      </c>
      <c r="E193">
        <v>633.72799999999995</v>
      </c>
      <c r="F193">
        <v>5.9989999999999997</v>
      </c>
      <c r="G193">
        <v>0</v>
      </c>
      <c r="H193" t="s">
        <v>186</v>
      </c>
      <c r="I193">
        <v>0.08</v>
      </c>
      <c r="J193">
        <f t="shared" si="95"/>
        <v>1</v>
      </c>
      <c r="K193">
        <f t="shared" si="96"/>
        <v>51</v>
      </c>
      <c r="L193">
        <f t="shared" ca="1" si="97"/>
        <v>51798.372406705501</v>
      </c>
      <c r="M193">
        <f t="shared" ca="1" si="74"/>
        <v>310738.43606782629</v>
      </c>
      <c r="N193">
        <f t="shared" ca="1" si="75"/>
        <v>2.9993263173364171</v>
      </c>
      <c r="O193">
        <f t="shared" ca="1" si="76"/>
        <v>1.6412517436004601E-4</v>
      </c>
      <c r="P193">
        <f t="shared" ca="1" si="77"/>
        <v>52432.100406705504</v>
      </c>
      <c r="Q193">
        <f t="shared" ca="1" si="78"/>
        <v>52432.100406706879</v>
      </c>
      <c r="R193">
        <f t="shared" ca="1" si="79"/>
        <v>1.4012037623897007E-12</v>
      </c>
      <c r="S193">
        <f t="shared" ca="1" si="98"/>
        <v>9.7744791128206998E-4</v>
      </c>
      <c r="T193">
        <f t="shared" ca="1" si="99"/>
        <v>1</v>
      </c>
      <c r="U193">
        <f t="shared" ca="1" si="80"/>
        <v>51799.619658946089</v>
      </c>
      <c r="V193">
        <f t="shared" ca="1" si="81"/>
        <v>310745.91833401757</v>
      </c>
      <c r="W193">
        <f t="shared" ca="1" si="82"/>
        <v>2.9993263215181765</v>
      </c>
      <c r="X193">
        <f t="shared" ca="1" si="83"/>
        <v>1.64121222487565E-4</v>
      </c>
      <c r="Y193">
        <f t="shared" ca="1" si="84"/>
        <v>52433.347658946092</v>
      </c>
      <c r="Z193">
        <f t="shared" ca="1" si="85"/>
        <v>52433.347658947467</v>
      </c>
      <c r="AA193">
        <f t="shared" ca="1" si="86"/>
        <v>1.4011362830929785E-12</v>
      </c>
      <c r="AB193">
        <f t="shared" ca="1" si="87"/>
        <v>-2.0000000004074536E-3</v>
      </c>
      <c r="AC193">
        <f t="shared" ca="1" si="88"/>
        <v>0</v>
      </c>
      <c r="AD193">
        <f ca="1">IF(V32="Supercritical",L193,IF(V32="Subcritical",U193,IF(AND(T193=1,AC193=1),IF((((F193)*(L193)^2)/2+(G193)*(L193)^3/3+(ABS(K193)^2)/($I$5*MAX(((F193)+(G193)*(L193))*(L193),0.000001)))&gt;=(((F193)*(U193)^2)/2+(G193)*(U193)^3/3+(ABS(K193)^2)/($I$5*MAX(((F193)+(G193)*(U193))*(U193),0.000001))),L193,U193),IF(T193=1,L193,IF(AC193=1,U193,MAX($D$16,POWER((ABS(K193)^2)/($I$5*MAX(F193,0.1)^2),1/3)))))))</f>
        <v>51798.372406705501</v>
      </c>
      <c r="AE193">
        <f t="shared" ca="1" si="89"/>
        <v>52432.100406705504</v>
      </c>
      <c r="AF193">
        <f t="shared" ca="1" si="90"/>
        <v>52432.100406706879</v>
      </c>
      <c r="AI193">
        <v>0</v>
      </c>
      <c r="AJ193">
        <v>0</v>
      </c>
      <c r="AK193">
        <f t="shared" si="91"/>
        <v>0</v>
      </c>
      <c r="AL193">
        <f t="shared" si="100"/>
        <v>0</v>
      </c>
      <c r="AM193">
        <f t="shared" ca="1" si="92"/>
        <v>2.3024098785170739E-7</v>
      </c>
      <c r="AN193" t="str">
        <f t="shared" ca="1" si="93"/>
        <v>Subcritical</v>
      </c>
      <c r="AO193">
        <f t="shared" ca="1" si="94"/>
        <v>1.4012037623897007E-12</v>
      </c>
    </row>
    <row r="194" spans="1:41" x14ac:dyDescent="0.35">
      <c r="A194">
        <v>45</v>
      </c>
      <c r="B194">
        <v>43.981000000000002</v>
      </c>
      <c r="C194">
        <v>616521.08299999998</v>
      </c>
      <c r="D194">
        <v>3097736.2930000001</v>
      </c>
      <c r="E194">
        <v>633.726</v>
      </c>
      <c r="F194">
        <v>5.9989999999999997</v>
      </c>
      <c r="G194">
        <v>0</v>
      </c>
      <c r="H194" t="s">
        <v>186</v>
      </c>
      <c r="I194">
        <v>0.08</v>
      </c>
      <c r="J194">
        <f t="shared" si="95"/>
        <v>1</v>
      </c>
      <c r="K194">
        <f t="shared" si="96"/>
        <v>51</v>
      </c>
      <c r="L194">
        <f t="shared" ca="1" si="97"/>
        <v>51798.373429253603</v>
      </c>
      <c r="M194">
        <f t="shared" ca="1" si="74"/>
        <v>310738.44220209232</v>
      </c>
      <c r="N194">
        <f t="shared" ca="1" si="75"/>
        <v>2.9993263173398454</v>
      </c>
      <c r="O194">
        <f t="shared" ca="1" si="76"/>
        <v>1.6412517112006234E-4</v>
      </c>
      <c r="P194">
        <f t="shared" ca="1" si="77"/>
        <v>52432.099429253605</v>
      </c>
      <c r="Q194">
        <f t="shared" ca="1" si="78"/>
        <v>52432.09942925498</v>
      </c>
      <c r="R194">
        <f t="shared" ca="1" si="79"/>
        <v>1.4012037070654329E-12</v>
      </c>
      <c r="S194">
        <f t="shared" ca="1" si="98"/>
        <v>9.7745189850684255E-4</v>
      </c>
      <c r="T194">
        <f t="shared" ca="1" si="99"/>
        <v>1</v>
      </c>
      <c r="U194">
        <f t="shared" ca="1" si="80"/>
        <v>51799.619039265708</v>
      </c>
      <c r="V194">
        <f t="shared" ca="1" si="81"/>
        <v>310745.91461655498</v>
      </c>
      <c r="W194">
        <f t="shared" ca="1" si="82"/>
        <v>2.999326321516099</v>
      </c>
      <c r="X194">
        <f t="shared" ca="1" si="83"/>
        <v>1.6412122445095206E-4</v>
      </c>
      <c r="Y194">
        <f t="shared" ca="1" si="84"/>
        <v>52433.345039265711</v>
      </c>
      <c r="Z194">
        <f t="shared" ca="1" si="85"/>
        <v>52433.345039267086</v>
      </c>
      <c r="AA194">
        <f t="shared" ca="1" si="86"/>
        <v>1.4011363166179421E-12</v>
      </c>
      <c r="AB194">
        <f t="shared" ca="1" si="87"/>
        <v>-2.0000000004074536E-3</v>
      </c>
      <c r="AC194">
        <f t="shared" ca="1" si="88"/>
        <v>0</v>
      </c>
      <c r="AD194">
        <f ca="1">IF(V32="Supercritical",L194,IF(V32="Subcritical",U194,IF(AND(T194=1,AC194=1),IF((((F194)*(L194)^2)/2+(G194)*(L194)^3/3+(ABS(K194)^2)/($I$5*MAX(((F194)+(G194)*(L194))*(L194),0.000001)))&gt;=(((F194)*(U194)^2)/2+(G194)*(U194)^3/3+(ABS(K194)^2)/($I$5*MAX(((F194)+(G194)*(U194))*(U194),0.000001))),L194,U194),IF(T194=1,L194,IF(AC194=1,U194,MAX($D$16,POWER((ABS(K194)^2)/($I$5*MAX(F194,0.1)^2),1/3)))))))</f>
        <v>51798.373429253603</v>
      </c>
      <c r="AE194">
        <f t="shared" ca="1" si="89"/>
        <v>52432.099429253605</v>
      </c>
      <c r="AF194">
        <f t="shared" ca="1" si="90"/>
        <v>52432.09942925498</v>
      </c>
      <c r="AI194">
        <v>0</v>
      </c>
      <c r="AJ194">
        <v>0</v>
      </c>
      <c r="AK194">
        <f t="shared" si="91"/>
        <v>0</v>
      </c>
      <c r="AL194">
        <f t="shared" si="100"/>
        <v>0</v>
      </c>
      <c r="AM194">
        <f t="shared" ca="1" si="92"/>
        <v>2.3024098103395039E-7</v>
      </c>
      <c r="AN194" t="str">
        <f t="shared" ca="1" si="93"/>
        <v>Subcritical</v>
      </c>
      <c r="AO194">
        <f t="shared" ca="1" si="94"/>
        <v>1.4012037070654329E-12</v>
      </c>
    </row>
    <row r="195" spans="1:41" x14ac:dyDescent="0.35">
      <c r="A195">
        <v>46</v>
      </c>
      <c r="B195">
        <v>44.981000000000002</v>
      </c>
      <c r="C195">
        <v>616520.50899999996</v>
      </c>
      <c r="D195">
        <v>3097735.4739999999</v>
      </c>
      <c r="E195">
        <v>633.72400000000005</v>
      </c>
      <c r="F195">
        <v>5.9989999999999997</v>
      </c>
      <c r="G195">
        <v>0</v>
      </c>
      <c r="H195" t="s">
        <v>186</v>
      </c>
      <c r="I195">
        <v>0.08</v>
      </c>
      <c r="J195">
        <f t="shared" si="95"/>
        <v>1</v>
      </c>
      <c r="K195">
        <f t="shared" si="96"/>
        <v>51</v>
      </c>
      <c r="L195">
        <f t="shared" ca="1" si="97"/>
        <v>51798.374451801326</v>
      </c>
      <c r="M195">
        <f t="shared" ca="1" si="74"/>
        <v>310738.44833635614</v>
      </c>
      <c r="N195">
        <f t="shared" ca="1" si="75"/>
        <v>2.9993263173432743</v>
      </c>
      <c r="O195">
        <f t="shared" ca="1" si="76"/>
        <v>1.6412516788007995E-4</v>
      </c>
      <c r="P195">
        <f t="shared" ca="1" si="77"/>
        <v>52432.098451801328</v>
      </c>
      <c r="Q195">
        <f t="shared" ca="1" si="78"/>
        <v>52432.098451802703</v>
      </c>
      <c r="R195">
        <f t="shared" ca="1" si="79"/>
        <v>1.4012036517411885E-12</v>
      </c>
      <c r="S195">
        <f t="shared" ca="1" si="98"/>
        <v>9.7745227685663849E-4</v>
      </c>
      <c r="T195">
        <f t="shared" ca="1" si="99"/>
        <v>1</v>
      </c>
      <c r="U195">
        <f t="shared" ca="1" si="80"/>
        <v>51799.618512537389</v>
      </c>
      <c r="V195">
        <f t="shared" ca="1" si="81"/>
        <v>310745.91145671176</v>
      </c>
      <c r="W195">
        <f t="shared" ca="1" si="82"/>
        <v>2.9993263215143329</v>
      </c>
      <c r="X195">
        <f t="shared" ca="1" si="83"/>
        <v>1.6412122611983109E-4</v>
      </c>
      <c r="Y195">
        <f t="shared" ca="1" si="84"/>
        <v>52433.342512537391</v>
      </c>
      <c r="Z195">
        <f t="shared" ca="1" si="85"/>
        <v>52433.342512538766</v>
      </c>
      <c r="AA195">
        <f t="shared" ca="1" si="86"/>
        <v>1.4011363451141633E-12</v>
      </c>
      <c r="AB195">
        <f t="shared" ca="1" si="87"/>
        <v>-2.0000000004074536E-3</v>
      </c>
      <c r="AC195">
        <f t="shared" ca="1" si="88"/>
        <v>0</v>
      </c>
      <c r="AD195">
        <f ca="1">IF(V32="Supercritical",L195,IF(V32="Subcritical",U195,IF(AND(T195=1,AC195=1),IF((((F195)*(L195)^2)/2+(G195)*(L195)^3/3+(ABS(K195)^2)/($I$5*MAX(((F195)+(G195)*(L195))*(L195),0.000001)))&gt;=(((F195)*(U195)^2)/2+(G195)*(U195)^3/3+(ABS(K195)^2)/($I$5*MAX(((F195)+(G195)*(U195))*(U195),0.000001))),L195,U195),IF(T195=1,L195,IF(AC195=1,U195,MAX($D$16,POWER((ABS(K195)^2)/($I$5*MAX(F195,0.1)^2),1/3)))))))</f>
        <v>51798.374451801326</v>
      </c>
      <c r="AE195">
        <f t="shared" ca="1" si="89"/>
        <v>52432.098451801328</v>
      </c>
      <c r="AF195">
        <f t="shared" ca="1" si="90"/>
        <v>52432.098451802703</v>
      </c>
      <c r="AI195">
        <v>0</v>
      </c>
      <c r="AJ195">
        <v>0</v>
      </c>
      <c r="AK195">
        <f t="shared" si="91"/>
        <v>0</v>
      </c>
      <c r="AL195">
        <f t="shared" si="100"/>
        <v>0</v>
      </c>
      <c r="AM195">
        <f t="shared" ca="1" si="92"/>
        <v>2.3024097421619618E-7</v>
      </c>
      <c r="AN195" t="str">
        <f t="shared" ca="1" si="93"/>
        <v>Subcritical</v>
      </c>
      <c r="AO195">
        <f t="shared" ca="1" si="94"/>
        <v>1.4012036517411885E-12</v>
      </c>
    </row>
    <row r="196" spans="1:41" x14ac:dyDescent="0.35">
      <c r="A196">
        <v>47</v>
      </c>
      <c r="B196">
        <v>45.981000000000002</v>
      </c>
      <c r="C196">
        <v>616519.93400000001</v>
      </c>
      <c r="D196">
        <v>3097734.656</v>
      </c>
      <c r="E196">
        <v>633.72199999999998</v>
      </c>
      <c r="F196">
        <v>5.9989999999999997</v>
      </c>
      <c r="G196">
        <v>0</v>
      </c>
      <c r="H196" t="s">
        <v>186</v>
      </c>
      <c r="I196">
        <v>0.08</v>
      </c>
      <c r="J196">
        <f t="shared" si="95"/>
        <v>1</v>
      </c>
      <c r="K196">
        <f t="shared" si="96"/>
        <v>51</v>
      </c>
      <c r="L196">
        <f t="shared" ca="1" si="97"/>
        <v>51798.375474349021</v>
      </c>
      <c r="M196">
        <f t="shared" ca="1" si="74"/>
        <v>310738.45447061973</v>
      </c>
      <c r="N196">
        <f t="shared" ca="1" si="75"/>
        <v>2.9993263173467022</v>
      </c>
      <c r="O196">
        <f t="shared" ca="1" si="76"/>
        <v>1.641251646400978E-4</v>
      </c>
      <c r="P196">
        <f t="shared" ca="1" si="77"/>
        <v>52432.097474349022</v>
      </c>
      <c r="Q196">
        <f t="shared" ca="1" si="78"/>
        <v>52432.097474350398</v>
      </c>
      <c r="R196">
        <f t="shared" ca="1" si="79"/>
        <v>1.401203596416949E-12</v>
      </c>
      <c r="S196">
        <f t="shared" ca="1" si="98"/>
        <v>9.7745230596046895E-4</v>
      </c>
      <c r="T196">
        <f t="shared" ca="1" si="99"/>
        <v>1</v>
      </c>
      <c r="U196">
        <f t="shared" ca="1" si="80"/>
        <v>51799.618064818314</v>
      </c>
      <c r="V196">
        <f t="shared" ca="1" si="81"/>
        <v>310745.90877084504</v>
      </c>
      <c r="W196">
        <f t="shared" ca="1" si="82"/>
        <v>2.9993263215128318</v>
      </c>
      <c r="X196">
        <f t="shared" ca="1" si="83"/>
        <v>1.6412122753837829E-4</v>
      </c>
      <c r="Y196">
        <f t="shared" ca="1" si="84"/>
        <v>52433.340064818316</v>
      </c>
      <c r="Z196">
        <f t="shared" ca="1" si="85"/>
        <v>52433.340064819691</v>
      </c>
      <c r="AA196">
        <f t="shared" ca="1" si="86"/>
        <v>1.401136369335951E-12</v>
      </c>
      <c r="AB196">
        <f t="shared" ca="1" si="87"/>
        <v>-4.0000000000873115E-2</v>
      </c>
      <c r="AC196">
        <f t="shared" ca="1" si="88"/>
        <v>0</v>
      </c>
      <c r="AD196">
        <f ca="1">IF(V32="Supercritical",L196,IF(V32="Subcritical",U196,IF(AND(T196=1,AC196=1),IF((((F196)*(L196)^2)/2+(G196)*(L196)^3/3+(ABS(K196)^2)/($I$5*MAX(((F196)+(G196)*(L196))*(L196),0.000001)))&gt;=(((F196)*(U196)^2)/2+(G196)*(U196)^3/3+(ABS(K196)^2)/($I$5*MAX(((F196)+(G196)*(U196))*(U196),0.000001))),L196,U196),IF(T196=1,L196,IF(AC196=1,U196,MAX($D$16,POWER((ABS(K196)^2)/($I$5*MAX(F196,0.1)^2),1/3)))))))</f>
        <v>51798.375474349021</v>
      </c>
      <c r="AE196">
        <f t="shared" ca="1" si="89"/>
        <v>52432.097474349022</v>
      </c>
      <c r="AF196">
        <f t="shared" ca="1" si="90"/>
        <v>52432.097474350398</v>
      </c>
      <c r="AI196">
        <v>0</v>
      </c>
      <c r="AJ196">
        <v>0</v>
      </c>
      <c r="AK196">
        <f t="shared" si="91"/>
        <v>0</v>
      </c>
      <c r="AL196">
        <f t="shared" si="100"/>
        <v>0</v>
      </c>
      <c r="AM196">
        <f t="shared" ca="1" si="92"/>
        <v>2.3024096739844249E-7</v>
      </c>
      <c r="AN196" t="str">
        <f t="shared" ca="1" si="93"/>
        <v>Subcritical</v>
      </c>
      <c r="AO196">
        <f t="shared" ca="1" si="94"/>
        <v>1.401203596416949E-12</v>
      </c>
    </row>
    <row r="197" spans="1:41" x14ac:dyDescent="0.35">
      <c r="A197">
        <v>48</v>
      </c>
      <c r="B197">
        <v>46.981000000000002</v>
      </c>
      <c r="C197">
        <v>616519.36</v>
      </c>
      <c r="D197">
        <v>3097733.8369999998</v>
      </c>
      <c r="E197">
        <v>633.68200000000002</v>
      </c>
      <c r="F197">
        <v>5.9989999999999997</v>
      </c>
      <c r="G197">
        <v>0</v>
      </c>
      <c r="H197" t="s">
        <v>186</v>
      </c>
      <c r="I197">
        <v>3.3000000000000002E-2</v>
      </c>
      <c r="J197">
        <f t="shared" si="95"/>
        <v>1</v>
      </c>
      <c r="K197">
        <f t="shared" si="96"/>
        <v>51</v>
      </c>
      <c r="L197">
        <f t="shared" ca="1" si="97"/>
        <v>51798.414517390731</v>
      </c>
      <c r="M197">
        <f t="shared" ca="1" si="74"/>
        <v>310738.68868982699</v>
      </c>
      <c r="N197">
        <f t="shared" ca="1" si="75"/>
        <v>2.9993263174776081</v>
      </c>
      <c r="O197">
        <f t="shared" ca="1" si="76"/>
        <v>1.6412504093079686E-4</v>
      </c>
      <c r="P197">
        <f t="shared" ca="1" si="77"/>
        <v>52432.096517390732</v>
      </c>
      <c r="Q197">
        <f t="shared" ca="1" si="78"/>
        <v>52432.096517392107</v>
      </c>
      <c r="R197">
        <f t="shared" ca="1" si="79"/>
        <v>1.401201484022499E-12</v>
      </c>
      <c r="S197">
        <f t="shared" ca="1" si="98"/>
        <v>9.5695829077158123E-4</v>
      </c>
      <c r="T197">
        <f t="shared" ca="1" si="99"/>
        <v>1</v>
      </c>
      <c r="U197">
        <f t="shared" ca="1" si="80"/>
        <v>51799.6176842571</v>
      </c>
      <c r="V197">
        <f t="shared" ca="1" si="81"/>
        <v>310745.90648785833</v>
      </c>
      <c r="W197">
        <f t="shared" ca="1" si="82"/>
        <v>2.999326321511556</v>
      </c>
      <c r="X197">
        <f t="shared" ca="1" si="83"/>
        <v>1.6412122874414343E-4</v>
      </c>
      <c r="Y197">
        <f t="shared" ca="1" si="84"/>
        <v>52433.299684257101</v>
      </c>
      <c r="Z197">
        <f t="shared" ca="1" si="85"/>
        <v>52433.299684258476</v>
      </c>
      <c r="AA197">
        <f t="shared" ca="1" si="86"/>
        <v>1.4011363899244718E-12</v>
      </c>
      <c r="AB197">
        <f t="shared" ca="1" si="87"/>
        <v>-4.0000000000873115E-2</v>
      </c>
      <c r="AC197">
        <f t="shared" ca="1" si="88"/>
        <v>0</v>
      </c>
      <c r="AD197">
        <f ca="1">IF(V32="Supercritical",L197,IF(V32="Subcritical",U197,IF(AND(T197=1,AC197=1),IF((((F197)*(L197)^2)/2+(G197)*(L197)^3/3+(ABS(K197)^2)/($I$5*MAX(((F197)+(G197)*(L197))*(L197),0.000001)))&gt;=(((F197)*(U197)^2)/2+(G197)*(U197)^3/3+(ABS(K197)^2)/($I$5*MAX(((F197)+(G197)*(U197))*(U197),0.000001))),L197,U197),IF(T197=1,L197,IF(AC197=1,U197,MAX($D$16,POWER((ABS(K197)^2)/($I$5*MAX(F197,0.1)^2),1/3)))))))</f>
        <v>51798.414517390731</v>
      </c>
      <c r="AE197">
        <f t="shared" ca="1" si="89"/>
        <v>52432.096517390732</v>
      </c>
      <c r="AF197">
        <f t="shared" ca="1" si="90"/>
        <v>52432.096517392107</v>
      </c>
      <c r="AI197">
        <v>0</v>
      </c>
      <c r="AJ197">
        <v>0</v>
      </c>
      <c r="AK197">
        <f t="shared" si="91"/>
        <v>0</v>
      </c>
      <c r="AL197">
        <f t="shared" si="100"/>
        <v>0</v>
      </c>
      <c r="AM197">
        <f t="shared" ca="1" si="92"/>
        <v>2.3024070708238594E-7</v>
      </c>
      <c r="AN197" t="str">
        <f t="shared" ca="1" si="93"/>
        <v>Subcritical</v>
      </c>
      <c r="AO197">
        <f t="shared" ca="1" si="94"/>
        <v>1.401201484022499E-12</v>
      </c>
    </row>
    <row r="198" spans="1:41" x14ac:dyDescent="0.35">
      <c r="A198">
        <v>49</v>
      </c>
      <c r="B198">
        <v>47.98</v>
      </c>
      <c r="C198">
        <v>616518.78599999996</v>
      </c>
      <c r="D198">
        <v>3097733.0189999999</v>
      </c>
      <c r="E198">
        <v>633.64200000000005</v>
      </c>
      <c r="F198">
        <v>5.9989999999999997</v>
      </c>
      <c r="G198">
        <v>0</v>
      </c>
      <c r="H198" t="s">
        <v>186</v>
      </c>
      <c r="I198">
        <v>1.4E-2</v>
      </c>
      <c r="J198">
        <f t="shared" si="95"/>
        <v>0.99899999999999523</v>
      </c>
      <c r="K198">
        <f t="shared" si="96"/>
        <v>51</v>
      </c>
      <c r="L198">
        <f t="shared" ca="1" si="97"/>
        <v>51798.453560533715</v>
      </c>
      <c r="M198">
        <f t="shared" ca="1" si="74"/>
        <v>310738.92290964175</v>
      </c>
      <c r="N198">
        <f t="shared" ca="1" si="75"/>
        <v>2.9993263176085141</v>
      </c>
      <c r="O198">
        <f t="shared" ca="1" si="76"/>
        <v>1.6412491722136156E-4</v>
      </c>
      <c r="P198">
        <f t="shared" ca="1" si="77"/>
        <v>52432.095560533715</v>
      </c>
      <c r="Q198">
        <f t="shared" ca="1" si="78"/>
        <v>52432.09556053509</v>
      </c>
      <c r="R198">
        <f t="shared" ca="1" si="79"/>
        <v>1.4011993716273463E-12</v>
      </c>
      <c r="S198">
        <f t="shared" ca="1" si="98"/>
        <v>9.5685701671754941E-4</v>
      </c>
      <c r="T198">
        <f t="shared" ca="1" si="99"/>
        <v>1</v>
      </c>
      <c r="U198">
        <f t="shared" ca="1" si="80"/>
        <v>51799.617360780067</v>
      </c>
      <c r="V198">
        <f t="shared" ca="1" si="81"/>
        <v>310745.90454731957</v>
      </c>
      <c r="W198">
        <f t="shared" ca="1" si="82"/>
        <v>2.9993263215104711</v>
      </c>
      <c r="X198">
        <f t="shared" ca="1" si="83"/>
        <v>1.6412122976904383E-4</v>
      </c>
      <c r="Y198">
        <f t="shared" ca="1" si="84"/>
        <v>52433.259360780066</v>
      </c>
      <c r="Z198">
        <f t="shared" ca="1" si="85"/>
        <v>52433.259360781442</v>
      </c>
      <c r="AA198">
        <f t="shared" ca="1" si="86"/>
        <v>1.4011364074247148E-12</v>
      </c>
      <c r="AB198">
        <f t="shared" ca="1" si="87"/>
        <v>-4.0000000000873115E-2</v>
      </c>
      <c r="AC198">
        <f t="shared" ca="1" si="88"/>
        <v>0</v>
      </c>
      <c r="AD198">
        <f ca="1">IF(V32="Supercritical",L198,IF(V32="Subcritical",U198,IF(AND(T198=1,AC198=1),IF((((F198)*(L198)^2)/2+(G198)*(L198)^3/3+(ABS(K198)^2)/($I$5*MAX(((F198)+(G198)*(L198))*(L198),0.000001)))&gt;=(((F198)*(U198)^2)/2+(G198)*(U198)^3/3+(ABS(K198)^2)/($I$5*MAX(((F198)+(G198)*(U198))*(U198),0.000001))),L198,U198),IF(T198=1,L198,IF(AC198=1,U198,MAX($D$16,POWER((ABS(K198)^2)/($I$5*MAX(F198,0.1)^2),1/3)))))))</f>
        <v>51798.453560533715</v>
      </c>
      <c r="AE198">
        <f t="shared" ca="1" si="89"/>
        <v>52432.095560533715</v>
      </c>
      <c r="AF198">
        <f t="shared" ca="1" si="90"/>
        <v>52432.09556053509</v>
      </c>
      <c r="AI198">
        <v>0</v>
      </c>
      <c r="AJ198">
        <v>0</v>
      </c>
      <c r="AK198">
        <f t="shared" si="91"/>
        <v>0</v>
      </c>
      <c r="AL198">
        <f t="shared" si="100"/>
        <v>0</v>
      </c>
      <c r="AM198">
        <f t="shared" ca="1" si="92"/>
        <v>2.302404467661448E-7</v>
      </c>
      <c r="AN198" t="str">
        <f t="shared" ca="1" si="93"/>
        <v>Subcritical</v>
      </c>
      <c r="AO198">
        <f t="shared" ca="1" si="94"/>
        <v>1.4011993716273463E-12</v>
      </c>
    </row>
    <row r="199" spans="1:41" x14ac:dyDescent="0.35">
      <c r="A199">
        <v>50</v>
      </c>
      <c r="B199">
        <v>48.981000000000002</v>
      </c>
      <c r="C199">
        <v>616518.21100000001</v>
      </c>
      <c r="D199">
        <v>3097732.2</v>
      </c>
      <c r="E199">
        <v>633.60199999999998</v>
      </c>
      <c r="F199">
        <v>5.9989999999999997</v>
      </c>
      <c r="G199">
        <v>0</v>
      </c>
      <c r="H199" t="s">
        <v>186</v>
      </c>
      <c r="I199">
        <v>4.7E-2</v>
      </c>
      <c r="J199">
        <f t="shared" si="95"/>
        <v>1.0010000000000048</v>
      </c>
      <c r="K199">
        <f t="shared" si="96"/>
        <v>51</v>
      </c>
      <c r="L199">
        <f t="shared" ca="1" si="97"/>
        <v>51798.492603677201</v>
      </c>
      <c r="M199">
        <f t="shared" ca="1" si="74"/>
        <v>310739.15712945949</v>
      </c>
      <c r="N199">
        <f t="shared" ca="1" si="75"/>
        <v>2.9993263177394196</v>
      </c>
      <c r="O199">
        <f t="shared" ca="1" si="76"/>
        <v>1.6412479351211114E-4</v>
      </c>
      <c r="P199">
        <f t="shared" ca="1" si="77"/>
        <v>52432.0946036772</v>
      </c>
      <c r="Q199">
        <f t="shared" ca="1" si="78"/>
        <v>52432.094603678575</v>
      </c>
      <c r="R199">
        <f t="shared" ca="1" si="79"/>
        <v>1.4011972592369425E-12</v>
      </c>
      <c r="S199">
        <f t="shared" ca="1" si="98"/>
        <v>9.5685651467647403E-4</v>
      </c>
      <c r="T199">
        <f t="shared" ca="1" si="99"/>
        <v>1</v>
      </c>
      <c r="U199">
        <f t="shared" ca="1" si="80"/>
        <v>51799.61708582459</v>
      </c>
      <c r="V199">
        <f t="shared" ca="1" si="81"/>
        <v>310745.90289786167</v>
      </c>
      <c r="W199">
        <f t="shared" ca="1" si="82"/>
        <v>2.9993263215095496</v>
      </c>
      <c r="X199">
        <f t="shared" ca="1" si="83"/>
        <v>1.6412123064020917E-4</v>
      </c>
      <c r="Y199">
        <f t="shared" ca="1" si="84"/>
        <v>52433.219085824589</v>
      </c>
      <c r="Z199">
        <f t="shared" ca="1" si="85"/>
        <v>52433.219085825964</v>
      </c>
      <c r="AA199">
        <f t="shared" ca="1" si="86"/>
        <v>1.4011364222999209E-12</v>
      </c>
      <c r="AB199">
        <f t="shared" ca="1" si="87"/>
        <v>-4.0000000000873115E-2</v>
      </c>
      <c r="AC199">
        <f t="shared" ca="1" si="88"/>
        <v>0</v>
      </c>
      <c r="AD199">
        <f ca="1">IF(V32="Supercritical",L199,IF(V32="Subcritical",U199,IF(AND(T199=1,AC199=1),IF((((F199)*(L199)^2)/2+(G199)*(L199)^3/3+(ABS(K199)^2)/($I$5*MAX(((F199)+(G199)*(L199))*(L199),0.000001)))&gt;=(((F199)*(U199)^2)/2+(G199)*(U199)^3/3+(ABS(K199)^2)/($I$5*MAX(((F199)+(G199)*(U199))*(U199),0.000001))),L199,U199),IF(T199=1,L199,IF(AC199=1,U199,MAX($D$16,POWER((ABS(K199)^2)/($I$5*MAX(F199,0.1)^2),1/3)))))))</f>
        <v>51798.492603677201</v>
      </c>
      <c r="AE199">
        <f t="shared" ca="1" si="89"/>
        <v>52432.0946036772</v>
      </c>
      <c r="AF199">
        <f t="shared" ca="1" si="90"/>
        <v>52432.094603678575</v>
      </c>
      <c r="AI199">
        <v>0</v>
      </c>
      <c r="AJ199">
        <v>0</v>
      </c>
      <c r="AK199">
        <f t="shared" si="91"/>
        <v>0</v>
      </c>
      <c r="AL199">
        <f t="shared" si="100"/>
        <v>0</v>
      </c>
      <c r="AM199">
        <f t="shared" ca="1" si="92"/>
        <v>2.3024018645039081E-7</v>
      </c>
      <c r="AN199" t="str">
        <f t="shared" ca="1" si="93"/>
        <v>Subcritical</v>
      </c>
      <c r="AO199">
        <f t="shared" ca="1" si="94"/>
        <v>1.4011972592369425E-12</v>
      </c>
    </row>
    <row r="200" spans="1:41" x14ac:dyDescent="0.35">
      <c r="A200">
        <v>51</v>
      </c>
      <c r="B200">
        <v>49.981000000000002</v>
      </c>
      <c r="C200">
        <v>616517.63699999999</v>
      </c>
      <c r="D200">
        <v>3097731.3810000001</v>
      </c>
      <c r="E200">
        <v>633.56200000000001</v>
      </c>
      <c r="F200">
        <v>5.9930000000000003</v>
      </c>
      <c r="G200">
        <v>0</v>
      </c>
      <c r="H200" t="s">
        <v>186</v>
      </c>
      <c r="I200">
        <v>0.08</v>
      </c>
      <c r="J200">
        <f t="shared" si="95"/>
        <v>1</v>
      </c>
      <c r="K200">
        <f t="shared" si="96"/>
        <v>51</v>
      </c>
      <c r="L200">
        <f t="shared" ca="1" si="97"/>
        <v>51798.531646820695</v>
      </c>
      <c r="M200">
        <f t="shared" ca="1" si="74"/>
        <v>310428.60015939642</v>
      </c>
      <c r="N200">
        <f t="shared" ca="1" si="75"/>
        <v>2.9963266651087097</v>
      </c>
      <c r="O200">
        <f t="shared" ca="1" si="76"/>
        <v>1.6428898617528451E-4</v>
      </c>
      <c r="P200">
        <f t="shared" ca="1" si="77"/>
        <v>52432.093646820693</v>
      </c>
      <c r="Q200">
        <f t="shared" ca="1" si="78"/>
        <v>52432.093646822068</v>
      </c>
      <c r="R200">
        <f t="shared" ca="1" si="79"/>
        <v>1.4058766084986482E-12</v>
      </c>
      <c r="S200">
        <f t="shared" ca="1" si="98"/>
        <v>9.5685650740051642E-4</v>
      </c>
      <c r="T200">
        <f t="shared" ca="1" si="99"/>
        <v>1</v>
      </c>
      <c r="U200">
        <f t="shared" ca="1" si="80"/>
        <v>51799.616852112435</v>
      </c>
      <c r="V200">
        <f t="shared" ca="1" si="81"/>
        <v>310435.10379470984</v>
      </c>
      <c r="W200">
        <f t="shared" ca="1" si="82"/>
        <v>2.9963266687398766</v>
      </c>
      <c r="X200">
        <f t="shared" ca="1" si="83"/>
        <v>1.6428554431049849E-4</v>
      </c>
      <c r="Y200">
        <f t="shared" ca="1" si="84"/>
        <v>52433.178852112433</v>
      </c>
      <c r="Z200">
        <f t="shared" ca="1" si="85"/>
        <v>52433.178852113808</v>
      </c>
      <c r="AA200">
        <f t="shared" ca="1" si="86"/>
        <v>1.4058177004340926E-12</v>
      </c>
      <c r="AB200">
        <f t="shared" ca="1" si="87"/>
        <v>-3.99999999863212E-2</v>
      </c>
      <c r="AC200">
        <f t="shared" ca="1" si="88"/>
        <v>0</v>
      </c>
      <c r="AD200">
        <f ca="1">IF(V32="Supercritical",L200,IF(V32="Subcritical",U200,IF(AND(T200=1,AC200=1),IF((((F200)*(L200)^2)/2+(G200)*(L200)^3/3+(ABS(K200)^2)/($I$5*MAX(((F200)+(G200)*(L200))*(L200),0.000001)))&gt;=(((F200)*(U200)^2)/2+(G200)*(U200)^3/3+(ABS(K200)^2)/($I$5*MAX(((F200)+(G200)*(U200))*(U200),0.000001))),L200,U200),IF(T200=1,L200,IF(AC200=1,U200,MAX($D$16,POWER((ABS(K200)^2)/($I$5*MAX(F200,0.1)^2),1/3)))))))</f>
        <v>51798.531646820695</v>
      </c>
      <c r="AE200">
        <f t="shared" ca="1" si="89"/>
        <v>52432.093646820693</v>
      </c>
      <c r="AF200">
        <f t="shared" ca="1" si="90"/>
        <v>52432.093646822068</v>
      </c>
      <c r="AI200">
        <v>0</v>
      </c>
      <c r="AJ200">
        <v>0</v>
      </c>
      <c r="AK200">
        <f t="shared" si="91"/>
        <v>0</v>
      </c>
      <c r="AL200">
        <f t="shared" si="100"/>
        <v>0</v>
      </c>
      <c r="AM200">
        <f t="shared" ca="1" si="92"/>
        <v>2.3047043498825776E-7</v>
      </c>
      <c r="AN200" t="str">
        <f t="shared" ca="1" si="93"/>
        <v>Subcritical</v>
      </c>
      <c r="AO200">
        <f t="shared" ca="1" si="94"/>
        <v>1.4058766084986482E-12</v>
      </c>
    </row>
    <row r="201" spans="1:41" x14ac:dyDescent="0.35">
      <c r="A201">
        <v>52</v>
      </c>
      <c r="B201">
        <v>50.981000000000002</v>
      </c>
      <c r="C201">
        <v>616517.06200000003</v>
      </c>
      <c r="D201">
        <v>3097730.5630000001</v>
      </c>
      <c r="E201">
        <v>633.52200000000005</v>
      </c>
      <c r="F201">
        <v>5.9669999999999996</v>
      </c>
      <c r="G201">
        <v>0</v>
      </c>
      <c r="H201" t="s">
        <v>186</v>
      </c>
      <c r="I201">
        <v>0.08</v>
      </c>
      <c r="J201">
        <f t="shared" si="95"/>
        <v>1</v>
      </c>
      <c r="K201">
        <f t="shared" si="96"/>
        <v>51</v>
      </c>
      <c r="L201">
        <f t="shared" ca="1" si="97"/>
        <v>51798.570689964174</v>
      </c>
      <c r="M201">
        <f t="shared" ca="1" si="74"/>
        <v>309082.07130701619</v>
      </c>
      <c r="N201">
        <f t="shared" ca="1" si="75"/>
        <v>2.9833281659230266</v>
      </c>
      <c r="O201">
        <f t="shared" ca="1" si="76"/>
        <v>1.6500471795188949E-4</v>
      </c>
      <c r="P201">
        <f t="shared" ca="1" si="77"/>
        <v>52432.092689964171</v>
      </c>
      <c r="Q201">
        <f t="shared" ca="1" si="78"/>
        <v>52432.092689965561</v>
      </c>
      <c r="R201">
        <f t="shared" ca="1" si="79"/>
        <v>1.4263973976594007E-12</v>
      </c>
      <c r="S201">
        <f t="shared" ca="1" si="98"/>
        <v>9.5685650740051642E-4</v>
      </c>
      <c r="T201">
        <f t="shared" ca="1" si="99"/>
        <v>1</v>
      </c>
      <c r="U201">
        <f t="shared" ca="1" si="80"/>
        <v>51799.616653457102</v>
      </c>
      <c r="V201">
        <f t="shared" ca="1" si="81"/>
        <v>309088.31257117848</v>
      </c>
      <c r="W201">
        <f t="shared" ca="1" si="82"/>
        <v>2.9833281693925855</v>
      </c>
      <c r="X201">
        <f t="shared" ca="1" si="83"/>
        <v>1.6500138609497068E-4</v>
      </c>
      <c r="Y201">
        <f t="shared" ca="1" si="84"/>
        <v>52433.138653457099</v>
      </c>
      <c r="Z201">
        <f t="shared" ca="1" si="85"/>
        <v>52433.138653458489</v>
      </c>
      <c r="AA201">
        <f t="shared" ca="1" si="86"/>
        <v>1.4263397909850154E-12</v>
      </c>
      <c r="AB201">
        <f t="shared" ca="1" si="87"/>
        <v>-3.9999999993597157E-2</v>
      </c>
      <c r="AC201">
        <f t="shared" ca="1" si="88"/>
        <v>0</v>
      </c>
      <c r="AD201">
        <f ca="1">IF(V32="Supercritical",L201,IF(V32="Subcritical",U201,IF(AND(T201=1,AC201=1),IF((((F201)*(L201)^2)/2+(G201)*(L201)^3/3+(ABS(K201)^2)/($I$5*MAX(((F201)+(G201)*(L201))*(L201),0.000001)))&gt;=(((F201)*(U201)^2)/2+(G201)*(U201)^3/3+(ABS(K201)^2)/($I$5*MAX(((F201)+(G201)*(U201))*(U201),0.000001))),L201,U201),IF(T201=1,L201,IF(AC201=1,U201,MAX($D$16,POWER((ABS(K201)^2)/($I$5*MAX(F201,0.1)^2),1/3)))))))</f>
        <v>51798.570689964174</v>
      </c>
      <c r="AE201">
        <f t="shared" ca="1" si="89"/>
        <v>52432.092689964171</v>
      </c>
      <c r="AF201">
        <f t="shared" ca="1" si="90"/>
        <v>52432.092689965561</v>
      </c>
      <c r="AI201">
        <v>0</v>
      </c>
      <c r="AJ201">
        <v>0</v>
      </c>
      <c r="AK201">
        <f t="shared" si="91"/>
        <v>0</v>
      </c>
      <c r="AL201">
        <f t="shared" si="100"/>
        <v>0</v>
      </c>
      <c r="AM201">
        <f t="shared" ca="1" si="92"/>
        <v>2.3147440175235565E-7</v>
      </c>
      <c r="AN201" t="str">
        <f t="shared" ca="1" si="93"/>
        <v>Subcritical</v>
      </c>
      <c r="AO201">
        <f t="shared" ca="1" si="94"/>
        <v>1.4263973976594007E-12</v>
      </c>
    </row>
    <row r="202" spans="1:41" x14ac:dyDescent="0.35">
      <c r="A202">
        <v>53</v>
      </c>
      <c r="B202">
        <v>51.981000000000002</v>
      </c>
      <c r="C202">
        <v>616516.48800000001</v>
      </c>
      <c r="D202">
        <v>3097729.7439999999</v>
      </c>
      <c r="E202">
        <v>633.48199999999997</v>
      </c>
      <c r="F202">
        <v>5.94</v>
      </c>
      <c r="G202">
        <v>0</v>
      </c>
      <c r="H202" t="s">
        <v>186</v>
      </c>
      <c r="I202">
        <v>0.08</v>
      </c>
      <c r="J202">
        <f t="shared" si="95"/>
        <v>1</v>
      </c>
      <c r="K202">
        <f t="shared" si="96"/>
        <v>51</v>
      </c>
      <c r="L202">
        <f t="shared" ca="1" si="97"/>
        <v>51798.60973310766</v>
      </c>
      <c r="M202">
        <f t="shared" ca="1" si="74"/>
        <v>307683.7418146595</v>
      </c>
      <c r="N202">
        <f t="shared" ca="1" si="75"/>
        <v>2.9698297175482784</v>
      </c>
      <c r="O202">
        <f t="shared" ca="1" si="76"/>
        <v>1.6575461445967802E-4</v>
      </c>
      <c r="P202">
        <f t="shared" ca="1" si="77"/>
        <v>52432.091733107663</v>
      </c>
      <c r="Q202">
        <f t="shared" ca="1" si="78"/>
        <v>52432.09173310906</v>
      </c>
      <c r="R202">
        <f t="shared" ca="1" si="79"/>
        <v>1.4481216342686646E-12</v>
      </c>
      <c r="S202">
        <f t="shared" ca="1" si="98"/>
        <v>9.5685650012455881E-4</v>
      </c>
      <c r="T202">
        <f t="shared" ca="1" si="99"/>
        <v>1</v>
      </c>
      <c r="U202">
        <f t="shared" ca="1" si="80"/>
        <v>51799.610653457101</v>
      </c>
      <c r="V202">
        <f t="shared" ca="1" si="81"/>
        <v>307689.68728153518</v>
      </c>
      <c r="W202">
        <f t="shared" ca="1" si="82"/>
        <v>2.9698297208384461</v>
      </c>
      <c r="X202">
        <f t="shared" ca="1" si="83"/>
        <v>1.6575141159454963E-4</v>
      </c>
      <c r="Y202">
        <f t="shared" ca="1" si="84"/>
        <v>52433.092653457104</v>
      </c>
      <c r="Z202">
        <f t="shared" ca="1" si="85"/>
        <v>52433.092653458501</v>
      </c>
      <c r="AA202">
        <f t="shared" ca="1" si="86"/>
        <v>1.4480656687588825E-12</v>
      </c>
      <c r="AB202">
        <f t="shared" ca="1" si="87"/>
        <v>-3.99999999863212E-2</v>
      </c>
      <c r="AC202">
        <f t="shared" ca="1" si="88"/>
        <v>0</v>
      </c>
      <c r="AD202">
        <f ca="1">IF(V32="Supercritical",L202,IF(V32="Subcritical",U202,IF(AND(T202=1,AC202=1),IF((((F202)*(L202)^2)/2+(G202)*(L202)^3/3+(ABS(K202)^2)/($I$5*MAX(((F202)+(G202)*(L202))*(L202),0.000001)))&gt;=(((F202)*(U202)^2)/2+(G202)*(U202)^3/3+(ABS(K202)^2)/($I$5*MAX(((F202)+(G202)*(U202))*(U202),0.000001))),L202,U202),IF(T202=1,L202,IF(AC202=1,U202,MAX($D$16,POWER((ABS(K202)^2)/($I$5*MAX(F202,0.1)^2),1/3)))))))</f>
        <v>51798.60973310766</v>
      </c>
      <c r="AE202">
        <f t="shared" ca="1" si="89"/>
        <v>52432.091733107663</v>
      </c>
      <c r="AF202">
        <f t="shared" ca="1" si="90"/>
        <v>52432.09173310906</v>
      </c>
      <c r="AI202">
        <v>0</v>
      </c>
      <c r="AJ202">
        <v>0</v>
      </c>
      <c r="AK202">
        <f t="shared" si="91"/>
        <v>0</v>
      </c>
      <c r="AL202">
        <f t="shared" si="100"/>
        <v>0</v>
      </c>
      <c r="AM202">
        <f t="shared" ca="1" si="92"/>
        <v>2.3252629522406156E-7</v>
      </c>
      <c r="AN202" t="str">
        <f t="shared" ca="1" si="93"/>
        <v>Subcritical</v>
      </c>
      <c r="AO202">
        <f t="shared" ca="1" si="94"/>
        <v>1.4481216342686646E-12</v>
      </c>
    </row>
    <row r="203" spans="1:41" x14ac:dyDescent="0.35">
      <c r="A203">
        <v>54</v>
      </c>
      <c r="B203">
        <v>52.981000000000002</v>
      </c>
      <c r="C203">
        <v>616515.91299999994</v>
      </c>
      <c r="D203">
        <v>3097728.926</v>
      </c>
      <c r="E203">
        <v>633.44200000000001</v>
      </c>
      <c r="F203">
        <v>5.9139999999999997</v>
      </c>
      <c r="G203">
        <v>0</v>
      </c>
      <c r="H203" t="s">
        <v>186</v>
      </c>
      <c r="I203">
        <v>0.08</v>
      </c>
      <c r="J203">
        <f t="shared" si="95"/>
        <v>1</v>
      </c>
      <c r="K203">
        <f t="shared" si="96"/>
        <v>51</v>
      </c>
      <c r="L203">
        <f t="shared" ca="1" si="97"/>
        <v>51798.646748313819</v>
      </c>
      <c r="M203">
        <f t="shared" ca="1" si="74"/>
        <v>306337.19686952792</v>
      </c>
      <c r="N203">
        <f t="shared" ca="1" si="75"/>
        <v>2.9568312050522123</v>
      </c>
      <c r="O203">
        <f t="shared" ca="1" si="76"/>
        <v>1.6648321040073176E-4</v>
      </c>
      <c r="P203">
        <f t="shared" ca="1" si="77"/>
        <v>52432.088748313821</v>
      </c>
      <c r="Q203">
        <f t="shared" ca="1" si="78"/>
        <v>52432.088748315233</v>
      </c>
      <c r="R203">
        <f t="shared" ca="1" si="79"/>
        <v>1.4694495888033167E-12</v>
      </c>
      <c r="S203">
        <f t="shared" ca="1" si="98"/>
        <v>2.9847938276361674E-3</v>
      </c>
      <c r="T203">
        <f t="shared" ca="1" si="99"/>
        <v>0</v>
      </c>
      <c r="U203">
        <f t="shared" ca="1" si="80"/>
        <v>51799.605528128552</v>
      </c>
      <c r="V203">
        <f t="shared" ca="1" si="81"/>
        <v>306342.86709335225</v>
      </c>
      <c r="W203">
        <f t="shared" ca="1" si="82"/>
        <v>2.9568312081763279</v>
      </c>
      <c r="X203">
        <f t="shared" ca="1" si="83"/>
        <v>1.6648012889576666E-4</v>
      </c>
      <c r="Y203">
        <f t="shared" ca="1" si="84"/>
        <v>52433.047528128554</v>
      </c>
      <c r="Z203">
        <f t="shared" ca="1" si="85"/>
        <v>52433.047528129966</v>
      </c>
      <c r="AA203">
        <f t="shared" ca="1" si="86"/>
        <v>1.4693951899651433E-12</v>
      </c>
      <c r="AB203">
        <f t="shared" ca="1" si="87"/>
        <v>-3.99999999863212E-2</v>
      </c>
      <c r="AC203">
        <f t="shared" ca="1" si="88"/>
        <v>0</v>
      </c>
      <c r="AD203">
        <f ca="1">IF(V32="Supercritical",L203,IF(V32="Subcritical",U203,IF(AND(T203=1,AC203=1),IF((((F203)*(L203)^2)/2+(G203)*(L203)^3/3+(ABS(K203)^2)/($I$5*MAX(((F203)+(G203)*(L203))*(L203),0.000001)))&gt;=(((F203)*(U203)^2)/2+(G203)*(U203)^3/3+(ABS(K203)^2)/($I$5*MAX(((F203)+(G203)*(U203))*(U203),0.000001))),L203,U203),IF(T203=1,L203,IF(AC203=1,U203,MAX($D$16,POWER((ABS(K203)^2)/($I$5*MAX(F203,0.1)^2),1/3)))))))</f>
        <v>1.9644285386581877</v>
      </c>
      <c r="AE203">
        <f t="shared" ca="1" si="89"/>
        <v>635.40642853865825</v>
      </c>
      <c r="AF203">
        <f t="shared" ca="1" si="90"/>
        <v>636.38864280798737</v>
      </c>
      <c r="AI203">
        <v>0</v>
      </c>
      <c r="AJ203">
        <v>0</v>
      </c>
      <c r="AK203">
        <f t="shared" si="91"/>
        <v>0</v>
      </c>
      <c r="AL203">
        <f t="shared" si="100"/>
        <v>0</v>
      </c>
      <c r="AM203">
        <f t="shared" ca="1" si="92"/>
        <v>0.99999999999999978</v>
      </c>
      <c r="AN203" t="str">
        <f t="shared" ca="1" si="93"/>
        <v>Supercritical</v>
      </c>
      <c r="AO203">
        <f t="shared" ca="1" si="94"/>
        <v>3.4761026462740109E-3</v>
      </c>
    </row>
    <row r="204" spans="1:41" x14ac:dyDescent="0.35">
      <c r="A204">
        <v>55</v>
      </c>
      <c r="B204">
        <v>53.981000000000002</v>
      </c>
      <c r="C204">
        <v>616515.33900000004</v>
      </c>
      <c r="D204">
        <v>3097728.1069999998</v>
      </c>
      <c r="E204">
        <v>633.40200000000004</v>
      </c>
      <c r="F204">
        <v>5.8879999999999999</v>
      </c>
      <c r="G204">
        <v>0</v>
      </c>
      <c r="H204" t="s">
        <v>186</v>
      </c>
      <c r="I204">
        <v>0.08</v>
      </c>
      <c r="J204">
        <f t="shared" si="95"/>
        <v>1</v>
      </c>
      <c r="K204">
        <f t="shared" si="96"/>
        <v>51</v>
      </c>
      <c r="L204">
        <f t="shared" ca="1" si="97"/>
        <v>51798.646748313819</v>
      </c>
      <c r="M204">
        <f t="shared" ca="1" si="74"/>
        <v>304990.43205407175</v>
      </c>
      <c r="N204">
        <f t="shared" ca="1" si="75"/>
        <v>2.9438326859103201</v>
      </c>
      <c r="O204">
        <f t="shared" ca="1" si="76"/>
        <v>1.6721836044665891E-4</v>
      </c>
      <c r="P204">
        <f t="shared" ca="1" si="77"/>
        <v>52432.04874831382</v>
      </c>
      <c r="Q204">
        <f t="shared" ca="1" si="78"/>
        <v>52432.048748315246</v>
      </c>
      <c r="R204">
        <f t="shared" ca="1" si="79"/>
        <v>1.4911898624723122E-12</v>
      </c>
      <c r="S204">
        <f t="shared" ca="1" si="98"/>
        <v>3.99999999863212E-2</v>
      </c>
      <c r="T204">
        <f t="shared" ca="1" si="99"/>
        <v>0</v>
      </c>
      <c r="U204">
        <f t="shared" ca="1" si="80"/>
        <v>51799.601171599279</v>
      </c>
      <c r="V204">
        <f t="shared" ca="1" si="81"/>
        <v>304996.05169837654</v>
      </c>
      <c r="W204">
        <f t="shared" ca="1" si="82"/>
        <v>2.9438326889929578</v>
      </c>
      <c r="X204">
        <f t="shared" ca="1" si="83"/>
        <v>1.6721527939789874E-4</v>
      </c>
      <c r="Y204">
        <f t="shared" ca="1" si="84"/>
        <v>52433.003171599281</v>
      </c>
      <c r="Z204">
        <f t="shared" ca="1" si="85"/>
        <v>52433.003171600707</v>
      </c>
      <c r="AA204">
        <f t="shared" ca="1" si="86"/>
        <v>1.4911349096500758E-12</v>
      </c>
      <c r="AB204">
        <f t="shared" ca="1" si="87"/>
        <v>-3.99999999863212E-2</v>
      </c>
      <c r="AC204">
        <f t="shared" ca="1" si="88"/>
        <v>0</v>
      </c>
      <c r="AD204">
        <f ca="1">IF(V32="Supercritical",L204,IF(V32="Subcritical",U204,IF(AND(T204=1,AC204=1),IF((((F204)*(L204)^2)/2+(G204)*(L204)^3/3+(ABS(K204)^2)/($I$5*MAX(((F204)+(G204)*(L204))*(L204),0.000001)))&gt;=(((F204)*(U204)^2)/2+(G204)*(U204)^3/3+(ABS(K204)^2)/($I$5*MAX(((F204)+(G204)*(U204))*(U204),0.000001))),L204,U204),IF(T204=1,L204,IF(AC204=1,U204,MAX($D$16,POWER((ABS(K204)^2)/($I$5*MAX(F204,0.1)^2),1/3)))))))</f>
        <v>1.9702072554061429</v>
      </c>
      <c r="AE204">
        <f t="shared" ca="1" si="89"/>
        <v>635.37220725540624</v>
      </c>
      <c r="AF204">
        <f t="shared" ca="1" si="90"/>
        <v>636.35731088310934</v>
      </c>
      <c r="AI204">
        <v>0</v>
      </c>
      <c r="AJ204">
        <v>0</v>
      </c>
      <c r="AK204">
        <f t="shared" si="91"/>
        <v>0</v>
      </c>
      <c r="AL204">
        <f t="shared" si="100"/>
        <v>0</v>
      </c>
      <c r="AM204">
        <f t="shared" ca="1" si="92"/>
        <v>1.0000000000000002</v>
      </c>
      <c r="AN204" t="str">
        <f t="shared" ca="1" si="93"/>
        <v>Supercritical</v>
      </c>
      <c r="AO204">
        <f t="shared" ca="1" si="94"/>
        <v>3.4863295605668059E-3</v>
      </c>
    </row>
    <row r="205" spans="1:41" x14ac:dyDescent="0.35">
      <c r="A205">
        <v>56</v>
      </c>
      <c r="B205">
        <v>54.981000000000002</v>
      </c>
      <c r="C205">
        <v>616514.76399999997</v>
      </c>
      <c r="D205">
        <v>3097727.2889999999</v>
      </c>
      <c r="E205">
        <v>633.36199999999997</v>
      </c>
      <c r="F205">
        <v>5.8609999999999998</v>
      </c>
      <c r="G205">
        <v>0</v>
      </c>
      <c r="H205" t="s">
        <v>186</v>
      </c>
      <c r="I205">
        <v>0.08</v>
      </c>
      <c r="J205">
        <f t="shared" si="95"/>
        <v>1</v>
      </c>
      <c r="K205">
        <f t="shared" si="96"/>
        <v>51</v>
      </c>
      <c r="L205">
        <f t="shared" ca="1" si="97"/>
        <v>51798.646748313819</v>
      </c>
      <c r="M205">
        <f t="shared" ca="1" si="74"/>
        <v>303591.86859186727</v>
      </c>
      <c r="N205">
        <f t="shared" ca="1" si="75"/>
        <v>2.9303342168191358</v>
      </c>
      <c r="O205">
        <f t="shared" ca="1" si="76"/>
        <v>1.6798868901380781E-4</v>
      </c>
      <c r="P205">
        <f t="shared" ca="1" si="77"/>
        <v>52432.00874831382</v>
      </c>
      <c r="Q205">
        <f t="shared" ca="1" si="78"/>
        <v>52432.00874831526</v>
      </c>
      <c r="R205">
        <f t="shared" ca="1" si="79"/>
        <v>1.5142109814706595E-12</v>
      </c>
      <c r="S205">
        <f t="shared" ca="1" si="98"/>
        <v>3.99999999863212E-2</v>
      </c>
      <c r="T205">
        <f t="shared" ca="1" si="99"/>
        <v>0</v>
      </c>
      <c r="U205">
        <f t="shared" ca="1" si="80"/>
        <v>51799.5974685494</v>
      </c>
      <c r="V205">
        <f t="shared" ca="1" si="81"/>
        <v>303597.44076316804</v>
      </c>
      <c r="W205">
        <f t="shared" ca="1" si="82"/>
        <v>2.9303342198617175</v>
      </c>
      <c r="X205">
        <f t="shared" ca="1" si="83"/>
        <v>1.6798560578046626E-4</v>
      </c>
      <c r="Y205">
        <f t="shared" ca="1" si="84"/>
        <v>52432.959468549401</v>
      </c>
      <c r="Z205">
        <f t="shared" ca="1" si="85"/>
        <v>52432.959468550842</v>
      </c>
      <c r="AA205">
        <f t="shared" ca="1" si="86"/>
        <v>1.5141553967876987E-12</v>
      </c>
      <c r="AB205">
        <f t="shared" ca="1" si="87"/>
        <v>-3.9999999993597157E-2</v>
      </c>
      <c r="AC205">
        <f t="shared" ca="1" si="88"/>
        <v>0</v>
      </c>
      <c r="AD205">
        <f ca="1">IF(V32="Supercritical",L205,IF(V32="Subcritical",U205,IF(AND(T205=1,AC205=1),IF((((F205)*(L205)^2)/2+(G205)*(L205)^3/3+(ABS(K205)^2)/($I$5*MAX(((F205)+(G205)*(L205))*(L205),0.000001)))&gt;=(((F205)*(U205)^2)/2+(G205)*(U205)^3/3+(ABS(K205)^2)/($I$5*MAX(((F205)+(G205)*(U205))*(U205),0.000001))),L205,U205),IF(T205=1,L205,IF(AC205=1,U205,MAX($D$16,POWER((ABS(K205)^2)/($I$5*MAX(F205,0.1)^2),1/3)))))))</f>
        <v>1.9762534177680191</v>
      </c>
      <c r="AE205">
        <f t="shared" ca="1" si="89"/>
        <v>635.33825341776799</v>
      </c>
      <c r="AF205">
        <f t="shared" ca="1" si="90"/>
        <v>636.326380126652</v>
      </c>
      <c r="AI205">
        <v>0</v>
      </c>
      <c r="AJ205">
        <v>0</v>
      </c>
      <c r="AK205">
        <f t="shared" si="91"/>
        <v>0</v>
      </c>
      <c r="AL205">
        <f t="shared" si="100"/>
        <v>0</v>
      </c>
      <c r="AM205">
        <f t="shared" ca="1" si="92"/>
        <v>1</v>
      </c>
      <c r="AN205" t="str">
        <f t="shared" ca="1" si="93"/>
        <v>Supercritical</v>
      </c>
      <c r="AO205">
        <f t="shared" ca="1" si="94"/>
        <v>3.4970941502622381E-3</v>
      </c>
    </row>
    <row r="206" spans="1:41" x14ac:dyDescent="0.35">
      <c r="A206">
        <v>57</v>
      </c>
      <c r="B206">
        <v>55.981000000000002</v>
      </c>
      <c r="C206">
        <v>616514.18999999994</v>
      </c>
      <c r="D206">
        <v>3097726.47</v>
      </c>
      <c r="E206">
        <v>633.322</v>
      </c>
      <c r="F206">
        <v>5.835</v>
      </c>
      <c r="G206">
        <v>0</v>
      </c>
      <c r="H206" t="s">
        <v>186</v>
      </c>
      <c r="I206">
        <v>0.08</v>
      </c>
      <c r="J206">
        <f t="shared" si="95"/>
        <v>1</v>
      </c>
      <c r="K206">
        <f t="shared" si="96"/>
        <v>51</v>
      </c>
      <c r="L206">
        <f t="shared" ca="1" si="97"/>
        <v>51798.646748313819</v>
      </c>
      <c r="M206">
        <f t="shared" ca="1" si="74"/>
        <v>302245.10377641115</v>
      </c>
      <c r="N206">
        <f t="shared" ca="1" si="75"/>
        <v>2.9173356843780005</v>
      </c>
      <c r="O206">
        <f t="shared" ca="1" si="76"/>
        <v>1.6873722473177848E-4</v>
      </c>
      <c r="P206">
        <f t="shared" ca="1" si="77"/>
        <v>52431.968748313819</v>
      </c>
      <c r="Q206">
        <f t="shared" ca="1" si="78"/>
        <v>52431.968748315267</v>
      </c>
      <c r="R206">
        <f t="shared" ca="1" si="79"/>
        <v>1.5368180386893563E-12</v>
      </c>
      <c r="S206">
        <f t="shared" ca="1" si="98"/>
        <v>3.9999999993597157E-2</v>
      </c>
      <c r="T206">
        <f t="shared" ca="1" si="99"/>
        <v>0</v>
      </c>
      <c r="U206">
        <f t="shared" ca="1" si="80"/>
        <v>51799.594320957003</v>
      </c>
      <c r="V206">
        <f t="shared" ca="1" si="81"/>
        <v>302250.63286278408</v>
      </c>
      <c r="W206">
        <f t="shared" ca="1" si="82"/>
        <v>2.9173356873836651</v>
      </c>
      <c r="X206">
        <f t="shared" ca="1" si="83"/>
        <v>1.6873413801304763E-4</v>
      </c>
      <c r="Y206">
        <f t="shared" ca="1" si="84"/>
        <v>52432.916320957003</v>
      </c>
      <c r="Z206">
        <f t="shared" ca="1" si="85"/>
        <v>52432.916320958451</v>
      </c>
      <c r="AA206">
        <f t="shared" ca="1" si="86"/>
        <v>1.5367618109097225E-12</v>
      </c>
      <c r="AB206">
        <f t="shared" ca="1" si="87"/>
        <v>-3.99999999863212E-2</v>
      </c>
      <c r="AC206">
        <f t="shared" ca="1" si="88"/>
        <v>0</v>
      </c>
      <c r="AD206">
        <f ca="1">IF(V32="Supercritical",L206,IF(V32="Subcritical",U206,IF(AND(T206=1,AC206=1),IF((((F206)*(L206)^2)/2+(G206)*(L206)^3/3+(ABS(K206)^2)/($I$5*MAX(((F206)+(G206)*(L206))*(L206),0.000001)))&gt;=(((F206)*(U206)^2)/2+(G206)*(U206)^3/3+(ABS(K206)^2)/($I$5*MAX(((F206)+(G206)*(U206))*(U206),0.000001))),L206,U206),IF(T206=1,L206,IF(AC206=1,U206,MAX($D$16,POWER((ABS(K206)^2)/($I$5*MAX(F206,0.1)^2),1/3)))))))</f>
        <v>1.9821196851447866</v>
      </c>
      <c r="AE206">
        <f t="shared" ca="1" si="89"/>
        <v>635.30411968514477</v>
      </c>
      <c r="AF206">
        <f t="shared" ca="1" si="90"/>
        <v>636.29517952771721</v>
      </c>
      <c r="AI206">
        <v>0</v>
      </c>
      <c r="AJ206">
        <v>0</v>
      </c>
      <c r="AK206">
        <f t="shared" si="91"/>
        <v>0</v>
      </c>
      <c r="AL206">
        <f t="shared" si="100"/>
        <v>0</v>
      </c>
      <c r="AM206">
        <f t="shared" ca="1" si="92"/>
        <v>1.0000000000000002</v>
      </c>
      <c r="AN206" t="str">
        <f t="shared" ca="1" si="93"/>
        <v>Supercritical</v>
      </c>
      <c r="AO206">
        <f t="shared" ca="1" si="94"/>
        <v>3.5076014592728302E-3</v>
      </c>
    </row>
    <row r="207" spans="1:41" x14ac:dyDescent="0.35">
      <c r="A207">
        <v>58</v>
      </c>
      <c r="B207">
        <v>56.981000000000002</v>
      </c>
      <c r="C207">
        <v>616513.61499999999</v>
      </c>
      <c r="D207">
        <v>3097725.6519999998</v>
      </c>
      <c r="E207">
        <v>633.28200000000004</v>
      </c>
      <c r="F207">
        <v>5.8090000000000002</v>
      </c>
      <c r="G207">
        <v>0</v>
      </c>
      <c r="H207" t="s">
        <v>186</v>
      </c>
      <c r="I207">
        <v>0.08</v>
      </c>
      <c r="J207">
        <f t="shared" si="95"/>
        <v>1</v>
      </c>
      <c r="K207">
        <f t="shared" si="96"/>
        <v>51</v>
      </c>
      <c r="L207">
        <f t="shared" ca="1" si="97"/>
        <v>51798.646748313819</v>
      </c>
      <c r="M207">
        <f t="shared" ca="1" si="74"/>
        <v>300898.33896095498</v>
      </c>
      <c r="N207">
        <f t="shared" ca="1" si="75"/>
        <v>2.9043371454127009</v>
      </c>
      <c r="O207">
        <f t="shared" ca="1" si="76"/>
        <v>1.6949246106213247E-4</v>
      </c>
      <c r="P207">
        <f t="shared" ca="1" si="77"/>
        <v>52431.928748313818</v>
      </c>
      <c r="Q207">
        <f t="shared" ca="1" si="78"/>
        <v>52431.92874831528</v>
      </c>
      <c r="R207">
        <f t="shared" ca="1" si="79"/>
        <v>1.559865851150693E-12</v>
      </c>
      <c r="S207">
        <f t="shared" ca="1" si="98"/>
        <v>3.99999999863212E-2</v>
      </c>
      <c r="T207">
        <f t="shared" ca="1" si="99"/>
        <v>0</v>
      </c>
      <c r="U207">
        <f t="shared" ca="1" si="80"/>
        <v>51799.591645503468</v>
      </c>
      <c r="V207">
        <f t="shared" ca="1" si="81"/>
        <v>300903.82786872966</v>
      </c>
      <c r="W207">
        <f t="shared" ca="1" si="82"/>
        <v>2.9043371483832305</v>
      </c>
      <c r="X207">
        <f t="shared" ca="1" si="83"/>
        <v>1.6948936928196516E-4</v>
      </c>
      <c r="Y207">
        <f t="shared" ca="1" si="84"/>
        <v>52432.873645503467</v>
      </c>
      <c r="Z207">
        <f t="shared" ca="1" si="85"/>
        <v>52432.873645504929</v>
      </c>
      <c r="AA207">
        <f t="shared" ca="1" si="86"/>
        <v>1.5598089412615737E-12</v>
      </c>
      <c r="AB207">
        <f t="shared" ca="1" si="87"/>
        <v>-3.99999999863212E-2</v>
      </c>
      <c r="AC207">
        <f t="shared" ca="1" si="88"/>
        <v>0</v>
      </c>
      <c r="AD207">
        <f ca="1">IF(V32="Supercritical",L207,IF(V32="Subcritical",U207,IF(AND(T207=1,AC207=1),IF((((F207)*(L207)^2)/2+(G207)*(L207)^3/3+(ABS(K207)^2)/($I$5*MAX(((F207)+(G207)*(L207))*(L207),0.000001)))&gt;=(((F207)*(U207)^2)/2+(G207)*(U207)^3/3+(ABS(K207)^2)/($I$5*MAX(((F207)+(G207)*(U207))*(U207),0.000001))),L207,U207),IF(T207=1,L207,IF(AC207=1,U207,MAX($D$16,POWER((ABS(K207)^2)/($I$5*MAX(F207,0.1)^2),1/3)))))))</f>
        <v>1.9880296804965985</v>
      </c>
      <c r="AE207">
        <f t="shared" ca="1" si="89"/>
        <v>635.27002968049669</v>
      </c>
      <c r="AF207">
        <f t="shared" ca="1" si="90"/>
        <v>636.26404452074496</v>
      </c>
      <c r="AI207">
        <v>0</v>
      </c>
      <c r="AJ207">
        <v>0</v>
      </c>
      <c r="AK207">
        <f t="shared" si="91"/>
        <v>0</v>
      </c>
      <c r="AL207">
        <f t="shared" si="100"/>
        <v>0</v>
      </c>
      <c r="AM207">
        <f t="shared" ca="1" si="92"/>
        <v>1</v>
      </c>
      <c r="AN207" t="str">
        <f t="shared" ca="1" si="93"/>
        <v>Supercritical</v>
      </c>
      <c r="AO207">
        <f t="shared" ca="1" si="94"/>
        <v>3.5182499356871564E-3</v>
      </c>
    </row>
    <row r="208" spans="1:41" x14ac:dyDescent="0.35">
      <c r="A208">
        <v>59</v>
      </c>
      <c r="B208">
        <v>57.981000000000002</v>
      </c>
      <c r="C208">
        <v>616513.04099999997</v>
      </c>
      <c r="D208">
        <v>3097724.8330000001</v>
      </c>
      <c r="E208">
        <v>633.24199999999996</v>
      </c>
      <c r="F208">
        <v>5.782</v>
      </c>
      <c r="G208">
        <v>0</v>
      </c>
      <c r="H208" t="s">
        <v>186</v>
      </c>
      <c r="I208">
        <v>3.3000000000000002E-2</v>
      </c>
      <c r="J208">
        <f t="shared" si="95"/>
        <v>1</v>
      </c>
      <c r="K208">
        <f t="shared" si="96"/>
        <v>51</v>
      </c>
      <c r="L208">
        <f t="shared" ca="1" si="97"/>
        <v>51798.646748313819</v>
      </c>
      <c r="M208">
        <f t="shared" ca="1" si="74"/>
        <v>299499.7754987505</v>
      </c>
      <c r="N208">
        <f t="shared" ca="1" si="75"/>
        <v>2.8908386557356538</v>
      </c>
      <c r="O208">
        <f t="shared" ca="1" si="76"/>
        <v>1.7028393398649732E-4</v>
      </c>
      <c r="P208">
        <f t="shared" ca="1" si="77"/>
        <v>52431.888748313817</v>
      </c>
      <c r="Q208">
        <f t="shared" ca="1" si="78"/>
        <v>52431.888748315294</v>
      </c>
      <c r="R208">
        <f t="shared" ca="1" si="79"/>
        <v>1.5842780193952839E-12</v>
      </c>
      <c r="S208">
        <f t="shared" ca="1" si="98"/>
        <v>3.99999999863212E-2</v>
      </c>
      <c r="T208">
        <f t="shared" ca="1" si="99"/>
        <v>0</v>
      </c>
      <c r="U208">
        <f t="shared" ca="1" si="80"/>
        <v>51799.589371367962</v>
      </c>
      <c r="V208">
        <f t="shared" ca="1" si="81"/>
        <v>299505.22574524954</v>
      </c>
      <c r="W208">
        <f t="shared" ca="1" si="82"/>
        <v>2.890838658671552</v>
      </c>
      <c r="X208">
        <f t="shared" ca="1" si="83"/>
        <v>1.7028083524452131E-4</v>
      </c>
      <c r="Y208">
        <f t="shared" ca="1" si="84"/>
        <v>52432.83137136796</v>
      </c>
      <c r="Z208">
        <f t="shared" ca="1" si="85"/>
        <v>52432.831371369437</v>
      </c>
      <c r="AA208">
        <f t="shared" ca="1" si="86"/>
        <v>1.5842203579745588E-12</v>
      </c>
      <c r="AB208">
        <f t="shared" ca="1" si="87"/>
        <v>-1.288676787953591E-2</v>
      </c>
      <c r="AC208">
        <f t="shared" ca="1" si="88"/>
        <v>0</v>
      </c>
      <c r="AD208">
        <f ca="1">IF(V32="Supercritical",L208,IF(V32="Subcritical",U208,IF(AND(T208=1,AC208=1),IF((((F208)*(L208)^2)/2+(G208)*(L208)^3/3+(ABS(K208)^2)/($I$5*MAX(((F208)+(G208)*(L208))*(L208),0.000001)))&gt;=(((F208)*(U208)^2)/2+(G208)*(U208)^3/3+(ABS(K208)^2)/($I$5*MAX(((F208)+(G208)*(U208))*(U208),0.000001))),L208,U208),IF(T208=1,L208,IF(AC208=1,U208,MAX($D$16,POWER((ABS(K208)^2)/($I$5*MAX(F208,0.1)^2),1/3)))))))</f>
        <v>1.9942138281268185</v>
      </c>
      <c r="AE208">
        <f t="shared" ca="1" si="89"/>
        <v>635.23621382812678</v>
      </c>
      <c r="AF208">
        <f t="shared" ca="1" si="90"/>
        <v>636.23332074219024</v>
      </c>
      <c r="AI208">
        <v>0</v>
      </c>
      <c r="AJ208">
        <v>0</v>
      </c>
      <c r="AK208">
        <f t="shared" si="91"/>
        <v>0</v>
      </c>
      <c r="AL208">
        <f t="shared" si="100"/>
        <v>0</v>
      </c>
      <c r="AM208">
        <f t="shared" ca="1" si="92"/>
        <v>1.0000000000000002</v>
      </c>
      <c r="AN208" t="str">
        <f t="shared" ca="1" si="93"/>
        <v>Supercritical</v>
      </c>
      <c r="AO208">
        <f t="shared" ca="1" si="94"/>
        <v>3.5294600119904389E-3</v>
      </c>
    </row>
    <row r="209" spans="1:41" x14ac:dyDescent="0.35">
      <c r="A209">
        <v>60</v>
      </c>
      <c r="B209">
        <v>58.98</v>
      </c>
      <c r="C209">
        <v>616512.46699999995</v>
      </c>
      <c r="D209">
        <v>3097724.0150000001</v>
      </c>
      <c r="E209">
        <v>633.202</v>
      </c>
      <c r="F209">
        <v>5.7560000000000002</v>
      </c>
      <c r="G209">
        <v>0</v>
      </c>
      <c r="H209" t="s">
        <v>186</v>
      </c>
      <c r="I209">
        <v>1.4E-2</v>
      </c>
      <c r="J209">
        <f t="shared" si="95"/>
        <v>0.99899999999999523</v>
      </c>
      <c r="K209">
        <f t="shared" si="96"/>
        <v>51</v>
      </c>
      <c r="L209">
        <f t="shared" ca="1" si="97"/>
        <v>51798.646748313819</v>
      </c>
      <c r="M209">
        <f t="shared" ca="1" si="74"/>
        <v>298153.01068329433</v>
      </c>
      <c r="N209">
        <f t="shared" ca="1" si="75"/>
        <v>2.8778401034710805</v>
      </c>
      <c r="O209">
        <f t="shared" ca="1" si="76"/>
        <v>1.7105311089470597E-4</v>
      </c>
      <c r="P209">
        <f t="shared" ca="1" si="77"/>
        <v>52431.848748313816</v>
      </c>
      <c r="Q209">
        <f t="shared" ca="1" si="78"/>
        <v>52431.848748315308</v>
      </c>
      <c r="R209">
        <f t="shared" ca="1" si="79"/>
        <v>1.6082575232983684E-12</v>
      </c>
      <c r="S209">
        <f t="shared" ca="1" si="98"/>
        <v>3.99999999863212E-2</v>
      </c>
      <c r="T209">
        <f t="shared" ca="1" si="99"/>
        <v>0</v>
      </c>
      <c r="U209">
        <f t="shared" ca="1" si="80"/>
        <v>51799.616484600068</v>
      </c>
      <c r="V209">
        <f t="shared" ca="1" si="81"/>
        <v>298158.59248535801</v>
      </c>
      <c r="W209">
        <f t="shared" ca="1" si="82"/>
        <v>2.877840106464324</v>
      </c>
      <c r="X209">
        <f t="shared" ca="1" si="83"/>
        <v>1.7104990862372853E-4</v>
      </c>
      <c r="Y209">
        <f t="shared" ca="1" si="84"/>
        <v>52432.818484600066</v>
      </c>
      <c r="Z209">
        <f t="shared" ca="1" si="85"/>
        <v>52432.818484601557</v>
      </c>
      <c r="AA209">
        <f t="shared" ca="1" si="86"/>
        <v>1.6081973055226996E-12</v>
      </c>
      <c r="AB209">
        <f t="shared" ca="1" si="87"/>
        <v>-9.5685650740051642E-4</v>
      </c>
      <c r="AC209">
        <f t="shared" ca="1" si="88"/>
        <v>1</v>
      </c>
      <c r="AD209">
        <f ca="1">IF(V32="Supercritical",L209,IF(V32="Subcritical",U209,IF(AND(T209=1,AC209=1),IF((((F209)*(L209)^2)/2+(G209)*(L209)^3/3+(ABS(K209)^2)/($I$5*MAX(((F209)+(G209)*(L209))*(L209),0.000001)))&gt;=(((F209)*(U209)^2)/2+(G209)*(U209)^3/3+(ABS(K209)^2)/($I$5*MAX(((F209)+(G209)*(U209))*(U209),0.000001))),L209,U209),IF(T209=1,L209,IF(AC209=1,U209,MAX($D$16,POWER((ABS(K209)^2)/($I$5*MAX(F209,0.1)^2),1/3)))))))</f>
        <v>51799.616484600068</v>
      </c>
      <c r="AE209">
        <f t="shared" ca="1" si="89"/>
        <v>52432.818484600066</v>
      </c>
      <c r="AF209">
        <f t="shared" ca="1" si="90"/>
        <v>52432.818484601557</v>
      </c>
      <c r="AI209">
        <v>0</v>
      </c>
      <c r="AJ209">
        <v>0</v>
      </c>
      <c r="AK209">
        <f t="shared" si="91"/>
        <v>0</v>
      </c>
      <c r="AL209">
        <f t="shared" si="100"/>
        <v>0</v>
      </c>
      <c r="AM209">
        <f t="shared" ca="1" si="92"/>
        <v>2.3995238484629322E-7</v>
      </c>
      <c r="AN209" t="str">
        <f t="shared" ca="1" si="93"/>
        <v>Subcritical</v>
      </c>
      <c r="AO209">
        <f t="shared" ca="1" si="94"/>
        <v>1.6081973055226996E-12</v>
      </c>
    </row>
    <row r="210" spans="1:41" x14ac:dyDescent="0.35">
      <c r="A210">
        <v>61</v>
      </c>
      <c r="B210">
        <v>59.981000000000002</v>
      </c>
      <c r="C210">
        <v>616511.89199999999</v>
      </c>
      <c r="D210">
        <v>3097723.196</v>
      </c>
      <c r="E210">
        <v>633.16200000000003</v>
      </c>
      <c r="F210">
        <v>5.73</v>
      </c>
      <c r="G210">
        <v>0</v>
      </c>
      <c r="H210" t="s">
        <v>186</v>
      </c>
      <c r="I210">
        <v>1.4E-2</v>
      </c>
      <c r="J210">
        <f t="shared" si="95"/>
        <v>1.0010000000000048</v>
      </c>
      <c r="K210">
        <f t="shared" si="96"/>
        <v>51</v>
      </c>
      <c r="L210">
        <f t="shared" ca="1" si="97"/>
        <v>51798.646748313819</v>
      </c>
      <c r="M210">
        <f t="shared" ca="1" si="74"/>
        <v>296806.24586783821</v>
      </c>
      <c r="N210">
        <f t="shared" ca="1" si="75"/>
        <v>2.8648415446823279</v>
      </c>
      <c r="O210">
        <f t="shared" ca="1" si="76"/>
        <v>1.7182926811691579E-4</v>
      </c>
      <c r="P210">
        <f t="shared" ca="1" si="77"/>
        <v>52431.808748313815</v>
      </c>
      <c r="Q210">
        <f t="shared" ca="1" si="78"/>
        <v>52431.808748315321</v>
      </c>
      <c r="R210">
        <f t="shared" ca="1" si="79"/>
        <v>1.6327110199022137E-12</v>
      </c>
      <c r="S210">
        <f t="shared" ca="1" si="98"/>
        <v>3.99999999863212E-2</v>
      </c>
      <c r="T210">
        <f t="shared" ca="1" si="99"/>
        <v>0</v>
      </c>
      <c r="U210">
        <f t="shared" ca="1" si="80"/>
        <v>51799.655527743547</v>
      </c>
      <c r="V210">
        <f t="shared" ca="1" si="81"/>
        <v>296812.02617397055</v>
      </c>
      <c r="W210">
        <f t="shared" ca="1" si="82"/>
        <v>2.8648415477680165</v>
      </c>
      <c r="X210">
        <f t="shared" ca="1" si="83"/>
        <v>1.7182592180448695E-4</v>
      </c>
      <c r="Y210">
        <f t="shared" ca="1" si="84"/>
        <v>52432.817527743544</v>
      </c>
      <c r="Z210">
        <f t="shared" ca="1" si="85"/>
        <v>52432.81752774505</v>
      </c>
      <c r="AA210">
        <f t="shared" ca="1" si="86"/>
        <v>1.6326474252715673E-12</v>
      </c>
      <c r="AB210">
        <f t="shared" ca="1" si="87"/>
        <v>-9.5685650740051642E-4</v>
      </c>
      <c r="AC210">
        <f t="shared" ca="1" si="88"/>
        <v>1</v>
      </c>
      <c r="AD210">
        <f ca="1">IF(V32="Supercritical",L210,IF(V32="Subcritical",U210,IF(AND(T210=1,AC210=1),IF((((F210)*(L210)^2)/2+(G210)*(L210)^3/3+(ABS(K210)^2)/($I$5*MAX(((F210)+(G210)*(L210))*(L210),0.000001)))&gt;=(((F210)*(U210)^2)/2+(G210)*(U210)^3/3+(ABS(K210)^2)/($I$5*MAX(((F210)+(G210)*(U210))*(U210),0.000001))),L210,U210),IF(T210=1,L210,IF(AC210=1,U210,MAX($D$16,POWER((ABS(K210)^2)/($I$5*MAX(F210,0.1)^2),1/3)))))))</f>
        <v>51799.655527743547</v>
      </c>
      <c r="AE210">
        <f t="shared" ca="1" si="89"/>
        <v>52432.817527743544</v>
      </c>
      <c r="AF210">
        <f t="shared" ca="1" si="90"/>
        <v>52432.81752774505</v>
      </c>
      <c r="AI210">
        <v>0</v>
      </c>
      <c r="AJ210">
        <v>0</v>
      </c>
      <c r="AK210">
        <f t="shared" si="91"/>
        <v>0</v>
      </c>
      <c r="AL210">
        <f t="shared" si="100"/>
        <v>0</v>
      </c>
      <c r="AM210">
        <f t="shared" ca="1" si="92"/>
        <v>2.4104090150588183E-7</v>
      </c>
      <c r="AN210" t="str">
        <f t="shared" ca="1" si="93"/>
        <v>Subcritical</v>
      </c>
      <c r="AO210">
        <f t="shared" ca="1" si="94"/>
        <v>1.6326474252715673E-12</v>
      </c>
    </row>
    <row r="211" spans="1:41" x14ac:dyDescent="0.35">
      <c r="A211">
        <v>62</v>
      </c>
      <c r="B211">
        <v>60.98</v>
      </c>
      <c r="C211">
        <v>616511.31799999997</v>
      </c>
      <c r="D211">
        <v>3097722.378</v>
      </c>
      <c r="E211">
        <v>633.12199999999996</v>
      </c>
      <c r="F211">
        <v>5.7030000000000003</v>
      </c>
      <c r="G211">
        <v>0</v>
      </c>
      <c r="H211" t="s">
        <v>186</v>
      </c>
      <c r="I211">
        <v>1.4E-2</v>
      </c>
      <c r="J211">
        <f t="shared" si="95"/>
        <v>0.99899999999999523</v>
      </c>
      <c r="K211">
        <f t="shared" si="96"/>
        <v>51</v>
      </c>
      <c r="L211">
        <f t="shared" ca="1" si="97"/>
        <v>51798.646748313819</v>
      </c>
      <c r="M211">
        <f t="shared" ca="1" si="74"/>
        <v>295407.68240563374</v>
      </c>
      <c r="N211">
        <f t="shared" ca="1" si="75"/>
        <v>2.8513430344193713</v>
      </c>
      <c r="O211">
        <f t="shared" ca="1" si="76"/>
        <v>1.7264276807117787E-4</v>
      </c>
      <c r="P211">
        <f t="shared" ca="1" si="77"/>
        <v>52431.768748313822</v>
      </c>
      <c r="Q211">
        <f t="shared" ca="1" si="78"/>
        <v>52431.768748315342</v>
      </c>
      <c r="R211">
        <f t="shared" ca="1" si="79"/>
        <v>1.6586191463512291E-12</v>
      </c>
      <c r="S211">
        <f t="shared" ca="1" si="98"/>
        <v>3.9999999979045242E-2</v>
      </c>
      <c r="T211">
        <f t="shared" ca="1" si="99"/>
        <v>0</v>
      </c>
      <c r="U211">
        <f t="shared" ca="1" si="80"/>
        <v>51799.694570887019</v>
      </c>
      <c r="V211">
        <f t="shared" ca="1" si="81"/>
        <v>295413.65813776868</v>
      </c>
      <c r="W211">
        <f t="shared" ca="1" si="82"/>
        <v>2.851343037594352</v>
      </c>
      <c r="X211">
        <f t="shared" ca="1" si="83"/>
        <v>1.7263927579210206E-4</v>
      </c>
      <c r="Y211">
        <f t="shared" ca="1" si="84"/>
        <v>52432.816570887022</v>
      </c>
      <c r="Z211">
        <f t="shared" ca="1" si="85"/>
        <v>52432.816570888543</v>
      </c>
      <c r="AA211">
        <f t="shared" ca="1" si="86"/>
        <v>1.6585520422961047E-12</v>
      </c>
      <c r="AB211">
        <f t="shared" ca="1" si="87"/>
        <v>-9.5685650740051642E-4</v>
      </c>
      <c r="AC211">
        <f t="shared" ca="1" si="88"/>
        <v>1</v>
      </c>
      <c r="AD211">
        <f ca="1">IF(V32="Supercritical",L211,IF(V32="Subcritical",U211,IF(AND(T211=1,AC211=1),IF((((F211)*(L211)^2)/2+(G211)*(L211)^3/3+(ABS(K211)^2)/($I$5*MAX(((F211)+(G211)*(L211))*(L211),0.000001)))&gt;=(((F211)*(U211)^2)/2+(G211)*(U211)^3/3+(ABS(K211)^2)/($I$5*MAX(((F211)+(G211)*(U211))*(U211),0.000001))),L211,U211),IF(T211=1,L211,IF(AC211=1,U211,MAX($D$16,POWER((ABS(K211)^2)/($I$5*MAX(F211,0.1)^2),1/3)))))))</f>
        <v>51799.694570887019</v>
      </c>
      <c r="AE211">
        <f t="shared" ca="1" si="89"/>
        <v>52432.816570887022</v>
      </c>
      <c r="AF211">
        <f t="shared" ca="1" si="90"/>
        <v>52432.816570888543</v>
      </c>
      <c r="AI211">
        <v>0</v>
      </c>
      <c r="AJ211">
        <v>0</v>
      </c>
      <c r="AK211">
        <f t="shared" si="91"/>
        <v>0</v>
      </c>
      <c r="AL211">
        <f t="shared" si="100"/>
        <v>0</v>
      </c>
      <c r="AM211">
        <f t="shared" ca="1" si="92"/>
        <v>2.4218179976943444E-7</v>
      </c>
      <c r="AN211" t="str">
        <f t="shared" ca="1" si="93"/>
        <v>Subcritical</v>
      </c>
      <c r="AO211">
        <f t="shared" ca="1" si="94"/>
        <v>1.6585520422961047E-12</v>
      </c>
    </row>
    <row r="212" spans="1:41" x14ac:dyDescent="0.35">
      <c r="A212">
        <v>63</v>
      </c>
      <c r="B212">
        <v>61.981000000000002</v>
      </c>
      <c r="C212">
        <v>616510.74300000002</v>
      </c>
      <c r="D212">
        <v>3097721.5589999999</v>
      </c>
      <c r="E212">
        <v>633.08199999999999</v>
      </c>
      <c r="F212">
        <v>5.6769999999999996</v>
      </c>
      <c r="G212">
        <v>0</v>
      </c>
      <c r="H212" t="s">
        <v>186</v>
      </c>
      <c r="I212">
        <v>4.7E-2</v>
      </c>
      <c r="J212">
        <f t="shared" si="95"/>
        <v>1.0010000000000048</v>
      </c>
      <c r="K212">
        <f t="shared" si="96"/>
        <v>51</v>
      </c>
      <c r="L212">
        <f t="shared" ca="1" si="97"/>
        <v>51798.646748313819</v>
      </c>
      <c r="M212">
        <f t="shared" ca="1" si="74"/>
        <v>294060.9175901775</v>
      </c>
      <c r="N212">
        <f t="shared" ca="1" si="75"/>
        <v>2.8383444623313134</v>
      </c>
      <c r="O212">
        <f t="shared" ca="1" si="76"/>
        <v>1.7343345187773959E-4</v>
      </c>
      <c r="P212">
        <f t="shared" ca="1" si="77"/>
        <v>52431.728748313821</v>
      </c>
      <c r="Q212">
        <f t="shared" ca="1" si="78"/>
        <v>52431.728748315356</v>
      </c>
      <c r="R212">
        <f t="shared" ca="1" si="79"/>
        <v>1.6840750960153048E-12</v>
      </c>
      <c r="S212">
        <f t="shared" ca="1" si="98"/>
        <v>3.99999999863212E-2</v>
      </c>
      <c r="T212">
        <f t="shared" ca="1" si="99"/>
        <v>0</v>
      </c>
      <c r="U212">
        <f t="shared" ca="1" si="80"/>
        <v>51799.733614030498</v>
      </c>
      <c r="V212">
        <f t="shared" ca="1" si="81"/>
        <v>294067.08772685111</v>
      </c>
      <c r="W212">
        <f t="shared" ca="1" si="82"/>
        <v>2.8383444655946373</v>
      </c>
      <c r="X212">
        <f t="shared" ca="1" si="83"/>
        <v>1.7342981288464407E-4</v>
      </c>
      <c r="Y212">
        <f t="shared" ca="1" si="84"/>
        <v>52432.8156140305</v>
      </c>
      <c r="Z212">
        <f t="shared" ca="1" si="85"/>
        <v>52432.815614032035</v>
      </c>
      <c r="AA212">
        <f t="shared" ca="1" si="86"/>
        <v>1.6840044234068827E-12</v>
      </c>
      <c r="AB212">
        <f t="shared" ca="1" si="87"/>
        <v>-9.5685650740051642E-4</v>
      </c>
      <c r="AC212">
        <f t="shared" ca="1" si="88"/>
        <v>1</v>
      </c>
      <c r="AD212">
        <f ca="1">IF(V32="Supercritical",L212,IF(V32="Subcritical",U212,IF(AND(T212=1,AC212=1),IF((((F212)*(L212)^2)/2+(G212)*(L212)^3/3+(ABS(K212)^2)/($I$5*MAX(((F212)+(G212)*(L212))*(L212),0.000001)))&gt;=(((F212)*(U212)^2)/2+(G212)*(U212)^3/3+(ABS(K212)^2)/($I$5*MAX(((F212)+(G212)*(U212))*(U212),0.000001))),L212,U212),IF(T212=1,L212,IF(AC212=1,U212,MAX($D$16,POWER((ABS(K212)^2)/($I$5*MAX(F212,0.1)^2),1/3)))))))</f>
        <v>51799.733614030498</v>
      </c>
      <c r="AE212">
        <f t="shared" ca="1" si="89"/>
        <v>52432.8156140305</v>
      </c>
      <c r="AF212">
        <f t="shared" ca="1" si="90"/>
        <v>52432.815614032035</v>
      </c>
      <c r="AI212">
        <v>0</v>
      </c>
      <c r="AJ212">
        <v>0</v>
      </c>
      <c r="AK212">
        <f t="shared" si="91"/>
        <v>0</v>
      </c>
      <c r="AL212">
        <f t="shared" si="100"/>
        <v>0</v>
      </c>
      <c r="AM212">
        <f t="shared" ca="1" si="92"/>
        <v>2.4329068919225098E-7</v>
      </c>
      <c r="AN212" t="str">
        <f t="shared" ca="1" si="93"/>
        <v>Subcritical</v>
      </c>
      <c r="AO212">
        <f t="shared" ca="1" si="94"/>
        <v>1.6840044234068827E-12</v>
      </c>
    </row>
    <row r="213" spans="1:41" x14ac:dyDescent="0.35">
      <c r="A213">
        <v>64</v>
      </c>
      <c r="B213">
        <v>62.981000000000002</v>
      </c>
      <c r="C213">
        <v>616510.16899999999</v>
      </c>
      <c r="D213">
        <v>3097720.74</v>
      </c>
      <c r="E213">
        <v>633.04200000000003</v>
      </c>
      <c r="F213">
        <v>5.6509999999999998</v>
      </c>
      <c r="G213">
        <v>0</v>
      </c>
      <c r="H213" t="s">
        <v>186</v>
      </c>
      <c r="I213">
        <v>0.08</v>
      </c>
      <c r="J213">
        <f t="shared" si="95"/>
        <v>1</v>
      </c>
      <c r="K213">
        <f t="shared" si="96"/>
        <v>51</v>
      </c>
      <c r="L213">
        <f t="shared" ca="1" si="97"/>
        <v>51798.646748313819</v>
      </c>
      <c r="M213">
        <f t="shared" ca="1" si="74"/>
        <v>292714.15277472138</v>
      </c>
      <c r="N213">
        <f t="shared" ca="1" si="75"/>
        <v>2.8253458837190624</v>
      </c>
      <c r="O213">
        <f t="shared" ca="1" si="76"/>
        <v>1.7423141148644976E-4</v>
      </c>
      <c r="P213">
        <f t="shared" ca="1" si="77"/>
        <v>52431.68874831382</v>
      </c>
      <c r="Q213">
        <f t="shared" ca="1" si="78"/>
        <v>52431.68874831537</v>
      </c>
      <c r="R213">
        <f t="shared" ca="1" si="79"/>
        <v>1.7100412947244767E-12</v>
      </c>
      <c r="S213">
        <f t="shared" ca="1" si="98"/>
        <v>3.99999999863212E-2</v>
      </c>
      <c r="T213">
        <f t="shared" ca="1" si="99"/>
        <v>0</v>
      </c>
      <c r="U213">
        <f t="shared" ca="1" si="80"/>
        <v>51799.772657173977</v>
      </c>
      <c r="V213">
        <f t="shared" ca="1" si="81"/>
        <v>292720.51528569014</v>
      </c>
      <c r="W213">
        <f t="shared" ca="1" si="82"/>
        <v>2.8253458870687185</v>
      </c>
      <c r="X213">
        <f t="shared" ca="1" si="83"/>
        <v>1.7422762442948313E-4</v>
      </c>
      <c r="Y213">
        <f t="shared" ca="1" si="84"/>
        <v>52432.814657173978</v>
      </c>
      <c r="Z213">
        <f t="shared" ca="1" si="85"/>
        <v>52432.814657175528</v>
      </c>
      <c r="AA213">
        <f t="shared" ca="1" si="86"/>
        <v>1.7099669546403208E-12</v>
      </c>
      <c r="AB213">
        <f t="shared" ca="1" si="87"/>
        <v>-9.5685650740051642E-4</v>
      </c>
      <c r="AC213">
        <f t="shared" ca="1" si="88"/>
        <v>1</v>
      </c>
      <c r="AD213">
        <f ca="1">IF(V32="Supercritical",L213,IF(V32="Subcritical",U213,IF(AND(T213=1,AC213=1),IF((((F213)*(L213)^2)/2+(G213)*(L213)^3/3+(ABS(K213)^2)/($I$5*MAX(((F213)+(G213)*(L213))*(L213),0.000001)))&gt;=(((F213)*(U213)^2)/2+(G213)*(U213)^3/3+(ABS(K213)^2)/($I$5*MAX(((F213)+(G213)*(U213))*(U213),0.000001))),L213,U213),IF(T213=1,L213,IF(AC213=1,U213,MAX($D$16,POWER((ABS(K213)^2)/($I$5*MAX(F213,0.1)^2),1/3)))))))</f>
        <v>51799.772657173977</v>
      </c>
      <c r="AE213">
        <f t="shared" ca="1" si="89"/>
        <v>52432.814657173978</v>
      </c>
      <c r="AF213">
        <f t="shared" ca="1" si="90"/>
        <v>52432.814657175528</v>
      </c>
      <c r="AI213">
        <v>0</v>
      </c>
      <c r="AJ213">
        <v>0</v>
      </c>
      <c r="AK213">
        <f t="shared" si="91"/>
        <v>0</v>
      </c>
      <c r="AL213">
        <f t="shared" si="100"/>
        <v>0</v>
      </c>
      <c r="AM213">
        <f t="shared" ca="1" si="92"/>
        <v>2.4440978251754995E-7</v>
      </c>
      <c r="AN213" t="str">
        <f t="shared" ca="1" si="93"/>
        <v>Subcritical</v>
      </c>
      <c r="AO213">
        <f t="shared" ca="1" si="94"/>
        <v>1.7099669546403208E-12</v>
      </c>
    </row>
    <row r="214" spans="1:41" x14ac:dyDescent="0.35">
      <c r="A214">
        <v>65</v>
      </c>
      <c r="B214">
        <v>63.981000000000002</v>
      </c>
      <c r="C214">
        <v>616509.59400000004</v>
      </c>
      <c r="D214">
        <v>3097719.9219999998</v>
      </c>
      <c r="E214">
        <v>633.00199999999995</v>
      </c>
      <c r="F214">
        <v>5.6239999999999997</v>
      </c>
      <c r="G214">
        <v>0</v>
      </c>
      <c r="H214" t="s">
        <v>186</v>
      </c>
      <c r="I214">
        <v>0.08</v>
      </c>
      <c r="J214">
        <f t="shared" si="95"/>
        <v>1</v>
      </c>
      <c r="K214">
        <f t="shared" si="96"/>
        <v>51</v>
      </c>
      <c r="L214">
        <f t="shared" ca="1" si="97"/>
        <v>51798.646748313819</v>
      </c>
      <c r="M214">
        <f t="shared" ref="M214:M277" ca="1" si="101">((F214)+(G214)*(L214))*(L214)</f>
        <v>291315.58931251691</v>
      </c>
      <c r="N214">
        <f t="shared" ref="N214:N277" ca="1" si="102">(((F214)+(G214)*(L214))*(L214))/MAX((F214)+2*(L214)*SQRT(1+(G214)^2),0.000001)</f>
        <v>2.8118473528701498</v>
      </c>
      <c r="O214">
        <f t="shared" ref="O214:O277" ca="1" si="103">ABS(K214)/MAX(((F214)+(G214)*(L214))*(L214),0.000001)</f>
        <v>1.7506787096549211E-4</v>
      </c>
      <c r="P214">
        <f t="shared" ref="P214:P277" ca="1" si="104">E214+L214</f>
        <v>52431.648748313819</v>
      </c>
      <c r="Q214">
        <f t="shared" ref="Q214:Q277" ca="1" si="105">P214+((ABS(K214)/MAX(((F214)+(G214)*(L214))*(L214),0.000001))^2)/(2*$I$5)</f>
        <v>52431.648748315383</v>
      </c>
      <c r="R214">
        <f t="shared" ref="R214:R277" ca="1" si="106">((ABS(K214)*$D$6)/(MAX(((F214)+(G214)*(L214))*(L214),0.000001)*MAX(((((F214)+(G214)*(L214))*(L214))/MAX((F214)+2*(L214)*SQRT(1+(G214)^2),0.000001))^(2/3),0.000001)))^2</f>
        <v>1.7375598180206222E-12</v>
      </c>
      <c r="S214">
        <f t="shared" ca="1" si="98"/>
        <v>3.99999999863212E-2</v>
      </c>
      <c r="T214">
        <f t="shared" ca="1" si="99"/>
        <v>0</v>
      </c>
      <c r="U214">
        <f t="shared" ref="U214:U277" ca="1" si="107">IF($D$20=0,U215,IF(AC215=0,U215,IF(U214=0,U215,IF(ABS(AB214)&gt;$D$19,MAX($D$16,U214+((AB214)*$D$18*IF((ABS(ABS(K214)/MAX(((F214)+(G214)*(U214))*(U214),0.000001))/SQRT($I$5*MAX((((F214)+(G214)*(U214))*(U214))/MAX((F214)+2*(G214)*(U214),0.000001),0.000001)))&lt;1,1,-1))),U214))))</f>
        <v>51799.811700317456</v>
      </c>
      <c r="V214">
        <f t="shared" ref="V214:V277" ca="1" si="108">((F214)+(G214)*(U214))*(U214)</f>
        <v>291322.14100258535</v>
      </c>
      <c r="W214">
        <f t="shared" ref="W214:W277" ca="1" si="109">(((F214)+(G214)*(U214))*(U214))/MAX((F214)+2*(U214)*SQRT(1+(G214)^2),0.000001)</f>
        <v>2.8118473563029212</v>
      </c>
      <c r="X214">
        <f t="shared" ref="X214:X277" ca="1" si="110">ABS(K214)/MAX(((F214)+(G214)*(U214))*(U214),0.000001)</f>
        <v>1.7506393377614027E-4</v>
      </c>
      <c r="Y214">
        <f t="shared" ref="Y214:Y277" ca="1" si="111">E214+U214</f>
        <v>52432.813700317456</v>
      </c>
      <c r="Z214">
        <f t="shared" ref="Z214:Z277" ca="1" si="112">Y214+((ABS(K214)/MAX(((F214)+(G214)*(U214))*(U214),0.000001))^2)/(2*$I$5)</f>
        <v>52432.81370031902</v>
      </c>
      <c r="AA214">
        <f t="shared" ref="AA214:AA277" ca="1" si="113">((ABS(K214)*$D$6)/(MAX(((F214)+(G214)*(U214))*(U214),0.000001)*MAX(((((F214)+(G214)*(U214))*(U214))/MAX((F214)+2*(U214)*SQRT(1+(G214)^2),0.000001))^(2/3),0.000001)))^2</f>
        <v>1.7374816623588887E-12</v>
      </c>
      <c r="AB214">
        <f t="shared" ref="AB214:AB277" ca="1" si="114">Z215+(((AA214+AA215)/2)*J215)+(IF(X214&gt;X215,$D$8*((X214^2-X215^2)/(2*$I$5)),$D$9*((X215^2-X214^2)/(2*$I$5)))+($D$10*(ABS(I215)/90)*(MAX(X214^2,X215^2)/(2*$I$5))))-Z214</f>
        <v>-9.5685650740051642E-4</v>
      </c>
      <c r="AC214">
        <f t="shared" ref="AC214:AC277" ca="1" si="115">IF(ABS(AB214)&lt;$D$19,1,0)</f>
        <v>1</v>
      </c>
      <c r="AD214">
        <f ca="1">IF(V32="Supercritical",L214,IF(V32="Subcritical",U214,IF(AND(T214=1,AC214=1),IF((((F214)*(L214)^2)/2+(G214)*(L214)^3/3+(ABS(K214)^2)/($I$5*MAX(((F214)+(G214)*(L214))*(L214),0.000001)))&gt;=(((F214)*(U214)^2)/2+(G214)*(U214)^3/3+(ABS(K214)^2)/($I$5*MAX(((F214)+(G214)*(U214))*(U214),0.000001))),L214,U214),IF(T214=1,L214,IF(AC214=1,U214,MAX($D$16,POWER((ABS(K214)^2)/($I$5*MAX(F214,0.1)^2),1/3)))))))</f>
        <v>51799.811700317456</v>
      </c>
      <c r="AE214">
        <f t="shared" ref="AE214:AE277" ca="1" si="116">E214+AD214</f>
        <v>52432.813700317456</v>
      </c>
      <c r="AF214">
        <f t="shared" ref="AF214:AF277" ca="1" si="117">AE214+((ABS(K214)/MAX(((F214)+(G214)*(AD214))*(AD214),0.000001))^2)/(2*$I$5)</f>
        <v>52432.81370031902</v>
      </c>
      <c r="AI214">
        <v>0</v>
      </c>
      <c r="AJ214">
        <v>0</v>
      </c>
      <c r="AK214">
        <f t="shared" ref="AK214:AK277" si="118">AI214+AJ214</f>
        <v>0</v>
      </c>
      <c r="AL214">
        <f t="shared" si="100"/>
        <v>0</v>
      </c>
      <c r="AM214">
        <f t="shared" ref="AM214:AM277" ca="1" si="119">ABS(ABS(K214)/MAX(((F214)+(G214)*(AD214))*(AD214),0.000001))/SQRT($I$5*MAX((((F214)+(G214)*(AD214))*(AD214))/MAX((F214)+2*(G214)*(AD214),0.000001),0.000001))</f>
        <v>2.4558288041818702E-7</v>
      </c>
      <c r="AN214" t="str">
        <f t="shared" ref="AN214:AN277" ca="1" si="120">IF(AM214&lt;1,"Subcritical","Supercritical")</f>
        <v>Subcritical</v>
      </c>
      <c r="AO214">
        <f t="shared" ref="AO214:AO277" ca="1" si="121">((ABS(K214)*$D$6)/(MAX(((F214)+(G214)*(AD214))*(AD214),0.000001)*MAX(((((F214)+(G214)*(AD214))*(AD214))/MAX((F214)+2*(AD214)*SQRT(1+(G214)^2),0.000001))^(2/3),0.000001)))^2</f>
        <v>1.7374816623588887E-12</v>
      </c>
    </row>
    <row r="215" spans="1:41" x14ac:dyDescent="0.35">
      <c r="A215">
        <v>66</v>
      </c>
      <c r="B215">
        <v>64.980999999999995</v>
      </c>
      <c r="C215">
        <v>616509.02</v>
      </c>
      <c r="D215">
        <v>3097719.1030000001</v>
      </c>
      <c r="E215">
        <v>632.96199999999999</v>
      </c>
      <c r="F215">
        <v>5.5979999999999999</v>
      </c>
      <c r="G215">
        <v>0</v>
      </c>
      <c r="H215" t="s">
        <v>186</v>
      </c>
      <c r="I215">
        <v>0.08</v>
      </c>
      <c r="J215">
        <f t="shared" ref="J215:J278" si="122">B215-B214</f>
        <v>0.99999999999999289</v>
      </c>
      <c r="K215">
        <f t="shared" ref="K215:K278" si="123">MAX(0,K214-AK214)</f>
        <v>51</v>
      </c>
      <c r="L215">
        <f t="shared" ref="L215:L278" ca="1" si="124">IF($D$20=0,L214,IF(T214=0,L214,IF(L215=0,L214,IF(ABS(S215)&gt;$D$19,MAX($D$16,L215+((S215)*$D$18*IF((ABS(ABS(K215)/MAX(((F215)+(G215)*(L215))*(L215),0.000001))/SQRT($I$5*MAX((((F215)+(G215)*(L215))*(L215))/MAX((F215)+2*(G215)*(L215),0.000001),0.000001)))&lt;1,1,-1))),L215))))</f>
        <v>51798.646748313819</v>
      </c>
      <c r="M215">
        <f t="shared" ca="1" si="101"/>
        <v>289968.82449706073</v>
      </c>
      <c r="N215">
        <f t="shared" ca="1" si="102"/>
        <v>2.7988487609585633</v>
      </c>
      <c r="O215">
        <f t="shared" ca="1" si="103"/>
        <v>1.7588097647551406E-4</v>
      </c>
      <c r="P215">
        <f t="shared" ca="1" si="104"/>
        <v>52431.608748313818</v>
      </c>
      <c r="Q215">
        <f t="shared" ca="1" si="105"/>
        <v>52431.608748315397</v>
      </c>
      <c r="R215">
        <f t="shared" ca="1" si="106"/>
        <v>1.7646057052000911E-12</v>
      </c>
      <c r="S215">
        <f t="shared" ref="S215:S278" ca="1" si="125">Q214-(((R214+R215)/2)*J215)-(IF(O214&gt;O215,$D$8*((O214^2-O215^2)/(2*$I$5)),$D$9*((O215^2-O214^2)/(2*$I$5)))+($D$10*(ABS(I215)/90)*(MAX(O214^2,O215^2)/(2*$I$5))))-Q215</f>
        <v>3.99999999863212E-2</v>
      </c>
      <c r="T215">
        <f t="shared" ref="T215:T278" ca="1" si="126">IF(ABS(S215)&lt;$D$19,1,0)</f>
        <v>0</v>
      </c>
      <c r="U215">
        <f t="shared" ca="1" si="107"/>
        <v>51799.850743460935</v>
      </c>
      <c r="V215">
        <f t="shared" ca="1" si="108"/>
        <v>289975.56446189433</v>
      </c>
      <c r="W215">
        <f t="shared" ca="1" si="109"/>
        <v>2.7988487644736555</v>
      </c>
      <c r="X215">
        <f t="shared" ca="1" si="110"/>
        <v>1.7587688843589408E-4</v>
      </c>
      <c r="Y215">
        <f t="shared" ca="1" si="111"/>
        <v>52432.812743460934</v>
      </c>
      <c r="Z215">
        <f t="shared" ca="1" si="112"/>
        <v>52432.812743462513</v>
      </c>
      <c r="AA215">
        <f t="shared" ca="1" si="113"/>
        <v>1.7645236729736486E-12</v>
      </c>
      <c r="AB215">
        <f t="shared" ca="1" si="114"/>
        <v>-9.5685650740051642E-4</v>
      </c>
      <c r="AC215">
        <f t="shared" ca="1" si="115"/>
        <v>1</v>
      </c>
      <c r="AD215">
        <f ca="1">IF(V32="Supercritical",L215,IF(V32="Subcritical",U215,IF(AND(T215=1,AC215=1),IF((((F215)*(L215)^2)/2+(G215)*(L215)^3/3+(ABS(K215)^2)/($I$5*MAX(((F215)+(G215)*(L215))*(L215),0.000001)))&gt;=(((F215)*(U215)^2)/2+(G215)*(U215)^3/3+(ABS(K215)^2)/($I$5*MAX(((F215)+(G215)*(U215))*(U215),0.000001))),L215,U215),IF(T215=1,L215,IF(AC215=1,U215,MAX($D$16,POWER((ABS(K215)^2)/($I$5*MAX(F215,0.1)^2),1/3)))))))</f>
        <v>51799.850743460935</v>
      </c>
      <c r="AE215">
        <f t="shared" ca="1" si="116"/>
        <v>52432.812743460934</v>
      </c>
      <c r="AF215">
        <f t="shared" ca="1" si="117"/>
        <v>52432.812743462513</v>
      </c>
      <c r="AI215">
        <v>0</v>
      </c>
      <c r="AJ215">
        <v>0</v>
      </c>
      <c r="AK215">
        <f t="shared" si="118"/>
        <v>0</v>
      </c>
      <c r="AL215">
        <f t="shared" ref="AL215:AL278" si="127">AL214+AK215</f>
        <v>0</v>
      </c>
      <c r="AM215">
        <f t="shared" ca="1" si="119"/>
        <v>2.4672321506610122E-7</v>
      </c>
      <c r="AN215" t="str">
        <f t="shared" ca="1" si="120"/>
        <v>Subcritical</v>
      </c>
      <c r="AO215">
        <f t="shared" ca="1" si="121"/>
        <v>1.7645236729736486E-12</v>
      </c>
    </row>
    <row r="216" spans="1:41" x14ac:dyDescent="0.35">
      <c r="A216">
        <v>67</v>
      </c>
      <c r="B216">
        <v>65.980999999999995</v>
      </c>
      <c r="C216">
        <v>616508.44499999995</v>
      </c>
      <c r="D216">
        <v>3097718.2850000001</v>
      </c>
      <c r="E216">
        <v>632.92200000000003</v>
      </c>
      <c r="F216">
        <v>5.5720000000000001</v>
      </c>
      <c r="G216">
        <v>0</v>
      </c>
      <c r="H216" t="s">
        <v>186</v>
      </c>
      <c r="I216">
        <v>0.08</v>
      </c>
      <c r="J216">
        <f t="shared" si="122"/>
        <v>1</v>
      </c>
      <c r="K216">
        <f t="shared" si="123"/>
        <v>51</v>
      </c>
      <c r="L216">
        <f t="shared" ca="1" si="124"/>
        <v>51798.646748313819</v>
      </c>
      <c r="M216">
        <f t="shared" ca="1" si="101"/>
        <v>288622.05968160462</v>
      </c>
      <c r="N216">
        <f t="shared" ca="1" si="102"/>
        <v>2.7858501625227685</v>
      </c>
      <c r="O216">
        <f t="shared" ca="1" si="103"/>
        <v>1.7670167019201858E-4</v>
      </c>
      <c r="P216">
        <f t="shared" ca="1" si="104"/>
        <v>52431.568748313817</v>
      </c>
      <c r="Q216">
        <f t="shared" ca="1" si="105"/>
        <v>52431.568748315411</v>
      </c>
      <c r="R216">
        <f t="shared" ca="1" si="106"/>
        <v>1.7922014387452879E-12</v>
      </c>
      <c r="S216">
        <f t="shared" ca="1" si="125"/>
        <v>3.99999999863212E-2</v>
      </c>
      <c r="T216">
        <f t="shared" ca="1" si="126"/>
        <v>0</v>
      </c>
      <c r="U216">
        <f t="shared" ca="1" si="107"/>
        <v>51799.889786604414</v>
      </c>
      <c r="V216">
        <f t="shared" ca="1" si="108"/>
        <v>288628.9858909598</v>
      </c>
      <c r="W216">
        <f t="shared" ca="1" si="109"/>
        <v>2.7858501661182142</v>
      </c>
      <c r="X216">
        <f t="shared" ca="1" si="110"/>
        <v>1.7669742989453985E-4</v>
      </c>
      <c r="Y216">
        <f t="shared" ca="1" si="111"/>
        <v>52432.811786604412</v>
      </c>
      <c r="Z216">
        <f t="shared" ca="1" si="112"/>
        <v>52432.811786606006</v>
      </c>
      <c r="AA216">
        <f t="shared" ca="1" si="113"/>
        <v>1.7921154220311654E-12</v>
      </c>
      <c r="AB216">
        <f t="shared" ca="1" si="114"/>
        <v>-9.5685650740051642E-4</v>
      </c>
      <c r="AC216">
        <f t="shared" ca="1" si="115"/>
        <v>1</v>
      </c>
      <c r="AD216">
        <f ca="1">IF(V32="Supercritical",L216,IF(V32="Subcritical",U216,IF(AND(T216=1,AC216=1),IF((((F216)*(L216)^2)/2+(G216)*(L216)^3/3+(ABS(K216)^2)/($I$5*MAX(((F216)+(G216)*(L216))*(L216),0.000001)))&gt;=(((F216)*(U216)^2)/2+(G216)*(U216)^3/3+(ABS(K216)^2)/($I$5*MAX(((F216)+(G216)*(U216))*(U216),0.000001))),L216,U216),IF(T216=1,L216,IF(AC216=1,U216,MAX($D$16,POWER((ABS(K216)^2)/($I$5*MAX(F216,0.1)^2),1/3)))))))</f>
        <v>51799.889786604414</v>
      </c>
      <c r="AE216">
        <f t="shared" ca="1" si="116"/>
        <v>52432.811786604412</v>
      </c>
      <c r="AF216">
        <f t="shared" ca="1" si="117"/>
        <v>52432.811786606006</v>
      </c>
      <c r="AI216">
        <v>0</v>
      </c>
      <c r="AJ216">
        <v>0</v>
      </c>
      <c r="AK216">
        <f t="shared" si="118"/>
        <v>0</v>
      </c>
      <c r="AL216">
        <f t="shared" si="127"/>
        <v>0</v>
      </c>
      <c r="AM216">
        <f t="shared" ca="1" si="119"/>
        <v>2.4787419174643367E-7</v>
      </c>
      <c r="AN216" t="str">
        <f t="shared" ca="1" si="120"/>
        <v>Subcritical</v>
      </c>
      <c r="AO216">
        <f t="shared" ca="1" si="121"/>
        <v>1.7921154220311654E-12</v>
      </c>
    </row>
    <row r="217" spans="1:41" x14ac:dyDescent="0.35">
      <c r="A217">
        <v>68</v>
      </c>
      <c r="B217">
        <v>66.980999999999995</v>
      </c>
      <c r="C217">
        <v>616507.87100000004</v>
      </c>
      <c r="D217">
        <v>3097717.466</v>
      </c>
      <c r="E217">
        <v>632.88199999999995</v>
      </c>
      <c r="F217">
        <v>5.5449999999999999</v>
      </c>
      <c r="G217">
        <v>0</v>
      </c>
      <c r="H217" t="s">
        <v>186</v>
      </c>
      <c r="I217">
        <v>0.08</v>
      </c>
      <c r="J217">
        <f t="shared" si="122"/>
        <v>1</v>
      </c>
      <c r="K217">
        <f t="shared" si="123"/>
        <v>51</v>
      </c>
      <c r="L217">
        <f t="shared" ca="1" si="124"/>
        <v>51798.646748313819</v>
      </c>
      <c r="M217">
        <f t="shared" ca="1" si="101"/>
        <v>287223.49621940014</v>
      </c>
      <c r="N217">
        <f t="shared" ca="1" si="102"/>
        <v>2.7723516110878519</v>
      </c>
      <c r="O217">
        <f t="shared" ca="1" si="103"/>
        <v>1.7756207507843599E-4</v>
      </c>
      <c r="P217">
        <f t="shared" ca="1" si="104"/>
        <v>52431.528748313816</v>
      </c>
      <c r="Q217">
        <f t="shared" ca="1" si="105"/>
        <v>52431.528748315424</v>
      </c>
      <c r="R217">
        <f t="shared" ca="1" si="106"/>
        <v>1.8214553440817254E-12</v>
      </c>
      <c r="S217">
        <f t="shared" ca="1" si="125"/>
        <v>3.99999999863212E-2</v>
      </c>
      <c r="T217">
        <f t="shared" ca="1" si="126"/>
        <v>0</v>
      </c>
      <c r="U217">
        <f t="shared" ca="1" si="107"/>
        <v>51799.928829747892</v>
      </c>
      <c r="V217">
        <f t="shared" ca="1" si="108"/>
        <v>287230.60536095203</v>
      </c>
      <c r="W217">
        <f t="shared" ca="1" si="109"/>
        <v>2.7723516147603755</v>
      </c>
      <c r="X217">
        <f t="shared" ca="1" si="110"/>
        <v>1.775576803032887E-4</v>
      </c>
      <c r="Y217">
        <f t="shared" ca="1" si="111"/>
        <v>52432.81082974789</v>
      </c>
      <c r="Z217">
        <f t="shared" ca="1" si="112"/>
        <v>52432.810829749498</v>
      </c>
      <c r="AA217">
        <f t="shared" ca="1" si="113"/>
        <v>1.8213651776064723E-12</v>
      </c>
      <c r="AB217">
        <f t="shared" ca="1" si="114"/>
        <v>-9.5685650740051642E-4</v>
      </c>
      <c r="AC217">
        <f t="shared" ca="1" si="115"/>
        <v>1</v>
      </c>
      <c r="AD217">
        <f ca="1">IF(V32="Supercritical",L217,IF(V32="Subcritical",U217,IF(AND(T217=1,AC217=1),IF((((F217)*(L217)^2)/2+(G217)*(L217)^3/3+(ABS(K217)^2)/($I$5*MAX(((F217)+(G217)*(L217))*(L217),0.000001)))&gt;=(((F217)*(U217)^2)/2+(G217)*(U217)^3/3+(ABS(K217)^2)/($I$5*MAX(((F217)+(G217)*(U217))*(U217),0.000001))),L217,U217),IF(T217=1,L217,IF(AC217=1,U217,MAX($D$16,POWER((ABS(K217)^2)/($I$5*MAX(F217,0.1)^2),1/3)))))))</f>
        <v>51799.928829747892</v>
      </c>
      <c r="AE217">
        <f t="shared" ca="1" si="116"/>
        <v>52432.81082974789</v>
      </c>
      <c r="AF217">
        <f t="shared" ca="1" si="117"/>
        <v>52432.810829749498</v>
      </c>
      <c r="AI217">
        <v>0</v>
      </c>
      <c r="AJ217">
        <v>0</v>
      </c>
      <c r="AK217">
        <f t="shared" si="118"/>
        <v>0</v>
      </c>
      <c r="AL217">
        <f t="shared" si="127"/>
        <v>0</v>
      </c>
      <c r="AM217">
        <f t="shared" ca="1" si="119"/>
        <v>2.4908087193600808E-7</v>
      </c>
      <c r="AN217" t="str">
        <f t="shared" ca="1" si="120"/>
        <v>Subcritical</v>
      </c>
      <c r="AO217">
        <f t="shared" ca="1" si="121"/>
        <v>1.8213651776064723E-12</v>
      </c>
    </row>
    <row r="218" spans="1:41" x14ac:dyDescent="0.35">
      <c r="A218">
        <v>69</v>
      </c>
      <c r="B218">
        <v>67.980999999999995</v>
      </c>
      <c r="C218">
        <v>616507.29599999997</v>
      </c>
      <c r="D218">
        <v>3097716.648</v>
      </c>
      <c r="E218">
        <v>632.84199999999998</v>
      </c>
      <c r="F218">
        <v>5.5190000000000001</v>
      </c>
      <c r="G218">
        <v>0</v>
      </c>
      <c r="H218" t="s">
        <v>186</v>
      </c>
      <c r="I218">
        <v>0.08</v>
      </c>
      <c r="J218">
        <f t="shared" si="122"/>
        <v>1</v>
      </c>
      <c r="K218">
        <f t="shared" si="123"/>
        <v>51</v>
      </c>
      <c r="L218">
        <f t="shared" ca="1" si="124"/>
        <v>51798.646748313819</v>
      </c>
      <c r="M218">
        <f t="shared" ca="1" si="101"/>
        <v>285876.73140394397</v>
      </c>
      <c r="N218">
        <f t="shared" ca="1" si="102"/>
        <v>2.7593529993526915</v>
      </c>
      <c r="O218">
        <f t="shared" ca="1" si="103"/>
        <v>1.7839856972457467E-4</v>
      </c>
      <c r="P218">
        <f t="shared" ca="1" si="104"/>
        <v>52431.488748313815</v>
      </c>
      <c r="Q218">
        <f t="shared" ca="1" si="105"/>
        <v>52431.488748315438</v>
      </c>
      <c r="R218">
        <f t="shared" ca="1" si="106"/>
        <v>1.8502151710908246E-12</v>
      </c>
      <c r="S218">
        <f t="shared" ca="1" si="125"/>
        <v>3.99999999863212E-2</v>
      </c>
      <c r="T218">
        <f t="shared" ca="1" si="126"/>
        <v>0</v>
      </c>
      <c r="U218">
        <f t="shared" ca="1" si="107"/>
        <v>51799.967872891371</v>
      </c>
      <c r="V218">
        <f t="shared" ca="1" si="108"/>
        <v>285884.0226904875</v>
      </c>
      <c r="W218">
        <f t="shared" ca="1" si="109"/>
        <v>2.7593530031016482</v>
      </c>
      <c r="X218">
        <f t="shared" ca="1" si="110"/>
        <v>1.7839401978478236E-4</v>
      </c>
      <c r="Y218">
        <f t="shared" ca="1" si="111"/>
        <v>52432.809872891368</v>
      </c>
      <c r="Z218">
        <f t="shared" ca="1" si="112"/>
        <v>52432.809872892991</v>
      </c>
      <c r="AA218">
        <f t="shared" ca="1" si="113"/>
        <v>1.8501207918674371E-12</v>
      </c>
      <c r="AB218">
        <f t="shared" ca="1" si="114"/>
        <v>-9.5685650740051642E-4</v>
      </c>
      <c r="AC218">
        <f t="shared" ca="1" si="115"/>
        <v>1</v>
      </c>
      <c r="AD218">
        <f ca="1">IF(V32="Supercritical",L218,IF(V32="Subcritical",U218,IF(AND(T218=1,AC218=1),IF((((F218)*(L218)^2)/2+(G218)*(L218)^3/3+(ABS(K218)^2)/($I$5*MAX(((F218)+(G218)*(L218))*(L218),0.000001)))&gt;=(((F218)*(U218)^2)/2+(G218)*(U218)^3/3+(ABS(K218)^2)/($I$5*MAX(((F218)+(G218)*(U218))*(U218),0.000001))),L218,U218),IF(T218=1,L218,IF(AC218=1,U218,MAX($D$16,POWER((ABS(K218)^2)/($I$5*MAX(F218,0.1)^2),1/3)))))))</f>
        <v>51799.967872891371</v>
      </c>
      <c r="AE218">
        <f t="shared" ca="1" si="116"/>
        <v>52432.809872891368</v>
      </c>
      <c r="AF218">
        <f t="shared" ca="1" si="117"/>
        <v>52432.809872892991</v>
      </c>
      <c r="AI218">
        <v>0</v>
      </c>
      <c r="AJ218">
        <v>0</v>
      </c>
      <c r="AK218">
        <f t="shared" si="118"/>
        <v>0</v>
      </c>
      <c r="AL218">
        <f t="shared" si="127"/>
        <v>0</v>
      </c>
      <c r="AM218">
        <f t="shared" ca="1" si="119"/>
        <v>2.5025400858165296E-7</v>
      </c>
      <c r="AN218" t="str">
        <f t="shared" ca="1" si="120"/>
        <v>Subcritical</v>
      </c>
      <c r="AO218">
        <f t="shared" ca="1" si="121"/>
        <v>1.8501207918674371E-12</v>
      </c>
    </row>
    <row r="219" spans="1:41" x14ac:dyDescent="0.35">
      <c r="A219">
        <v>70</v>
      </c>
      <c r="B219">
        <v>68.980999999999995</v>
      </c>
      <c r="C219">
        <v>616506.72199999995</v>
      </c>
      <c r="D219">
        <v>3097715.8289999999</v>
      </c>
      <c r="E219">
        <v>632.80200000000002</v>
      </c>
      <c r="F219">
        <v>5.4930000000000003</v>
      </c>
      <c r="G219">
        <v>0</v>
      </c>
      <c r="H219" t="s">
        <v>186</v>
      </c>
      <c r="I219">
        <v>3.3000000000000002E-2</v>
      </c>
      <c r="J219">
        <f t="shared" si="122"/>
        <v>1</v>
      </c>
      <c r="K219">
        <f t="shared" si="123"/>
        <v>51</v>
      </c>
      <c r="L219">
        <f t="shared" ca="1" si="124"/>
        <v>51798.646748313819</v>
      </c>
      <c r="M219">
        <f t="shared" ca="1" si="101"/>
        <v>284529.96658848785</v>
      </c>
      <c r="N219">
        <f t="shared" ca="1" si="102"/>
        <v>2.7463543810933073</v>
      </c>
      <c r="O219">
        <f t="shared" ca="1" si="103"/>
        <v>1.7924298312578326E-4</v>
      </c>
      <c r="P219">
        <f t="shared" ca="1" si="104"/>
        <v>52431.448748313822</v>
      </c>
      <c r="Q219">
        <f t="shared" ca="1" si="105"/>
        <v>52431.448748315459</v>
      </c>
      <c r="R219">
        <f t="shared" ca="1" si="106"/>
        <v>1.8795681444766412E-12</v>
      </c>
      <c r="S219">
        <f t="shared" ca="1" si="125"/>
        <v>3.9999999979045242E-2</v>
      </c>
      <c r="T219">
        <f t="shared" ca="1" si="126"/>
        <v>0</v>
      </c>
      <c r="U219">
        <f t="shared" ca="1" si="107"/>
        <v>51800.006916034843</v>
      </c>
      <c r="V219">
        <f t="shared" ca="1" si="108"/>
        <v>284537.4379897794</v>
      </c>
      <c r="W219">
        <f t="shared" ca="1" si="109"/>
        <v>2.7463543849167742</v>
      </c>
      <c r="X219">
        <f t="shared" ca="1" si="110"/>
        <v>1.7923827655266905E-4</v>
      </c>
      <c r="Y219">
        <f t="shared" ca="1" si="111"/>
        <v>52432.808916034846</v>
      </c>
      <c r="Z219">
        <f t="shared" ca="1" si="112"/>
        <v>52432.808916036483</v>
      </c>
      <c r="AA219">
        <f t="shared" ca="1" si="113"/>
        <v>1.8794694346552834E-12</v>
      </c>
      <c r="AB219">
        <f t="shared" ca="1" si="114"/>
        <v>-9.5685650740051642E-4</v>
      </c>
      <c r="AC219">
        <f t="shared" ca="1" si="115"/>
        <v>1</v>
      </c>
      <c r="AD219">
        <f ca="1">IF(V32="Supercritical",L219,IF(V32="Subcritical",U219,IF(AND(T219=1,AC219=1),IF((((F219)*(L219)^2)/2+(G219)*(L219)^3/3+(ABS(K219)^2)/($I$5*MAX(((F219)+(G219)*(L219))*(L219),0.000001)))&gt;=(((F219)*(U219)^2)/2+(G219)*(U219)^3/3+(ABS(K219)^2)/($I$5*MAX(((F219)+(G219)*(U219))*(U219),0.000001))),L219,U219),IF(T219=1,L219,IF(AC219=1,U219,MAX($D$16,POWER((ABS(K219)^2)/($I$5*MAX(F219,0.1)^2),1/3)))))))</f>
        <v>51800.006916034843</v>
      </c>
      <c r="AE219">
        <f t="shared" ca="1" si="116"/>
        <v>52432.808916034846</v>
      </c>
      <c r="AF219">
        <f t="shared" ca="1" si="117"/>
        <v>52432.808916036483</v>
      </c>
      <c r="AI219">
        <v>0</v>
      </c>
      <c r="AJ219">
        <v>0</v>
      </c>
      <c r="AK219">
        <f t="shared" si="118"/>
        <v>0</v>
      </c>
      <c r="AL219">
        <f t="shared" si="127"/>
        <v>0</v>
      </c>
      <c r="AM219">
        <f t="shared" ca="1" si="119"/>
        <v>2.5143825083598482E-7</v>
      </c>
      <c r="AN219" t="str">
        <f t="shared" ca="1" si="120"/>
        <v>Subcritical</v>
      </c>
      <c r="AO219">
        <f t="shared" ca="1" si="121"/>
        <v>1.8794694346552834E-12</v>
      </c>
    </row>
    <row r="220" spans="1:41" x14ac:dyDescent="0.35">
      <c r="A220">
        <v>71</v>
      </c>
      <c r="B220">
        <v>69.98</v>
      </c>
      <c r="C220">
        <v>616506.14800000004</v>
      </c>
      <c r="D220">
        <v>3097715.0109999999</v>
      </c>
      <c r="E220">
        <v>632.76199999999994</v>
      </c>
      <c r="F220">
        <v>5.4660000000000002</v>
      </c>
      <c r="G220">
        <v>0</v>
      </c>
      <c r="H220" t="s">
        <v>186</v>
      </c>
      <c r="I220">
        <v>1.4E-2</v>
      </c>
      <c r="J220">
        <f t="shared" si="122"/>
        <v>0.99900000000000944</v>
      </c>
      <c r="K220">
        <f t="shared" si="123"/>
        <v>51</v>
      </c>
      <c r="L220">
        <f t="shared" ca="1" si="124"/>
        <v>51798.646748313819</v>
      </c>
      <c r="M220">
        <f t="shared" ca="1" si="101"/>
        <v>283131.40312628332</v>
      </c>
      <c r="N220">
        <f t="shared" ca="1" si="102"/>
        <v>2.7328558090723396</v>
      </c>
      <c r="O220">
        <f t="shared" ca="1" si="103"/>
        <v>1.8012837656603139E-4</v>
      </c>
      <c r="P220">
        <f t="shared" ca="1" si="104"/>
        <v>52431.408748313821</v>
      </c>
      <c r="Q220">
        <f t="shared" ca="1" si="105"/>
        <v>52431.408748315473</v>
      </c>
      <c r="R220">
        <f t="shared" ca="1" si="106"/>
        <v>1.9106941055772412E-12</v>
      </c>
      <c r="S220">
        <f t="shared" ca="1" si="125"/>
        <v>3.99999999863212E-2</v>
      </c>
      <c r="T220">
        <f t="shared" ca="1" si="126"/>
        <v>0</v>
      </c>
      <c r="U220">
        <f t="shared" ca="1" si="107"/>
        <v>51800.045959178322</v>
      </c>
      <c r="V220">
        <f t="shared" ca="1" si="108"/>
        <v>283139.05121286871</v>
      </c>
      <c r="W220">
        <f t="shared" ca="1" si="109"/>
        <v>2.732855812966986</v>
      </c>
      <c r="X220">
        <f t="shared" ca="1" si="110"/>
        <v>1.8012351097997195E-4</v>
      </c>
      <c r="Y220">
        <f t="shared" ca="1" si="111"/>
        <v>52432.807959178324</v>
      </c>
      <c r="Z220">
        <f t="shared" ca="1" si="112"/>
        <v>52432.807959179976</v>
      </c>
      <c r="AA220">
        <f t="shared" ca="1" si="113"/>
        <v>1.9105908808861267E-12</v>
      </c>
      <c r="AB220">
        <f t="shared" ca="1" si="114"/>
        <v>-9.5685650740051642E-4</v>
      </c>
      <c r="AC220">
        <f t="shared" ca="1" si="115"/>
        <v>1</v>
      </c>
      <c r="AD220">
        <f ca="1">IF(V32="Supercritical",L220,IF(V32="Subcritical",U220,IF(AND(T220=1,AC220=1),IF((((F220)*(L220)^2)/2+(G220)*(L220)^3/3+(ABS(K220)^2)/($I$5*MAX(((F220)+(G220)*(L220))*(L220),0.000001)))&gt;=(((F220)*(U220)^2)/2+(G220)*(U220)^3/3+(ABS(K220)^2)/($I$5*MAX(((F220)+(G220)*(U220))*(U220),0.000001))),L220,U220),IF(T220=1,L220,IF(AC220=1,U220,MAX($D$16,POWER((ABS(K220)^2)/($I$5*MAX(F220,0.1)^2),1/3)))))))</f>
        <v>51800.045959178322</v>
      </c>
      <c r="AE220">
        <f t="shared" ca="1" si="116"/>
        <v>52432.807959178324</v>
      </c>
      <c r="AF220">
        <f t="shared" ca="1" si="117"/>
        <v>52432.807959179976</v>
      </c>
      <c r="AI220">
        <v>0</v>
      </c>
      <c r="AJ220">
        <v>0</v>
      </c>
      <c r="AK220">
        <f t="shared" si="118"/>
        <v>0</v>
      </c>
      <c r="AL220">
        <f t="shared" si="127"/>
        <v>0</v>
      </c>
      <c r="AM220">
        <f t="shared" ca="1" si="119"/>
        <v>2.5267997627605701E-7</v>
      </c>
      <c r="AN220" t="str">
        <f t="shared" ca="1" si="120"/>
        <v>Subcritical</v>
      </c>
      <c r="AO220">
        <f t="shared" ca="1" si="121"/>
        <v>1.9105908808861267E-12</v>
      </c>
    </row>
    <row r="221" spans="1:41" x14ac:dyDescent="0.35">
      <c r="A221">
        <v>72</v>
      </c>
      <c r="B221">
        <v>70.980999999999995</v>
      </c>
      <c r="C221">
        <v>616505.57299999997</v>
      </c>
      <c r="D221">
        <v>3097714.1919999998</v>
      </c>
      <c r="E221">
        <v>632.72199999999998</v>
      </c>
      <c r="F221">
        <v>5.44</v>
      </c>
      <c r="G221">
        <v>0</v>
      </c>
      <c r="H221" t="s">
        <v>186</v>
      </c>
      <c r="I221">
        <v>1.4E-2</v>
      </c>
      <c r="J221">
        <f t="shared" si="122"/>
        <v>1.0009999999999906</v>
      </c>
      <c r="K221">
        <f t="shared" si="123"/>
        <v>51</v>
      </c>
      <c r="L221">
        <f t="shared" ca="1" si="124"/>
        <v>51798.646748313819</v>
      </c>
      <c r="M221">
        <f t="shared" ca="1" si="101"/>
        <v>281784.6383108272</v>
      </c>
      <c r="N221">
        <f t="shared" ca="1" si="102"/>
        <v>2.71985717751356</v>
      </c>
      <c r="O221">
        <f t="shared" ca="1" si="103"/>
        <v>1.8098928424814843E-4</v>
      </c>
      <c r="P221">
        <f t="shared" ca="1" si="104"/>
        <v>52431.36874831382</v>
      </c>
      <c r="Q221">
        <f t="shared" ca="1" si="105"/>
        <v>52431.368748315486</v>
      </c>
      <c r="R221">
        <f t="shared" ca="1" si="106"/>
        <v>1.9413035290342861E-12</v>
      </c>
      <c r="S221">
        <f t="shared" ca="1" si="125"/>
        <v>3.99999999863212E-2</v>
      </c>
      <c r="T221">
        <f t="shared" ca="1" si="126"/>
        <v>0</v>
      </c>
      <c r="U221">
        <f t="shared" ca="1" si="107"/>
        <v>51800.085002321801</v>
      </c>
      <c r="V221">
        <f t="shared" ca="1" si="108"/>
        <v>281792.46241263062</v>
      </c>
      <c r="W221">
        <f t="shared" ca="1" si="109"/>
        <v>2.7198571814788859</v>
      </c>
      <c r="X221">
        <f t="shared" ca="1" si="110"/>
        <v>1.8098425899455166E-4</v>
      </c>
      <c r="Y221">
        <f t="shared" ca="1" si="111"/>
        <v>52432.807002321802</v>
      </c>
      <c r="Z221">
        <f t="shared" ca="1" si="112"/>
        <v>52432.807002323469</v>
      </c>
      <c r="AA221">
        <f t="shared" ca="1" si="113"/>
        <v>1.9411957243249917E-12</v>
      </c>
      <c r="AB221">
        <f t="shared" ca="1" si="114"/>
        <v>-9.5685650740051642E-4</v>
      </c>
      <c r="AC221">
        <f t="shared" ca="1" si="115"/>
        <v>1</v>
      </c>
      <c r="AD221">
        <f ca="1">IF(V32="Supercritical",L221,IF(V32="Subcritical",U221,IF(AND(T221=1,AC221=1),IF((((F221)*(L221)^2)/2+(G221)*(L221)^3/3+(ABS(K221)^2)/($I$5*MAX(((F221)+(G221)*(L221))*(L221),0.000001)))&gt;=(((F221)*(U221)^2)/2+(G221)*(U221)^3/3+(ABS(K221)^2)/($I$5*MAX(((F221)+(G221)*(U221))*(U221),0.000001))),L221,U221),IF(T221=1,L221,IF(AC221=1,U221,MAX($D$16,POWER((ABS(K221)^2)/($I$5*MAX(F221,0.1)^2),1/3)))))))</f>
        <v>51800.085002321801</v>
      </c>
      <c r="AE221">
        <f t="shared" ca="1" si="116"/>
        <v>52432.807002321802</v>
      </c>
      <c r="AF221">
        <f t="shared" ca="1" si="117"/>
        <v>52432.807002323469</v>
      </c>
      <c r="AI221">
        <v>0</v>
      </c>
      <c r="AJ221">
        <v>0</v>
      </c>
      <c r="AK221">
        <f t="shared" si="118"/>
        <v>0</v>
      </c>
      <c r="AL221">
        <f t="shared" si="127"/>
        <v>0</v>
      </c>
      <c r="AM221">
        <f t="shared" ca="1" si="119"/>
        <v>2.5388735088432598E-7</v>
      </c>
      <c r="AN221" t="str">
        <f t="shared" ca="1" si="120"/>
        <v>Subcritical</v>
      </c>
      <c r="AO221">
        <f t="shared" ca="1" si="121"/>
        <v>1.9411957243249917E-12</v>
      </c>
    </row>
    <row r="222" spans="1:41" x14ac:dyDescent="0.35">
      <c r="A222">
        <v>73</v>
      </c>
      <c r="B222">
        <v>71.98</v>
      </c>
      <c r="C222">
        <v>616504.99899999995</v>
      </c>
      <c r="D222">
        <v>3097713.3739999998</v>
      </c>
      <c r="E222">
        <v>632.68200000000002</v>
      </c>
      <c r="F222">
        <v>5.4139999999999997</v>
      </c>
      <c r="G222">
        <v>0</v>
      </c>
      <c r="H222" t="s">
        <v>186</v>
      </c>
      <c r="I222">
        <v>1.4E-2</v>
      </c>
      <c r="J222">
        <f t="shared" si="122"/>
        <v>0.99900000000000944</v>
      </c>
      <c r="K222">
        <f t="shared" si="123"/>
        <v>51</v>
      </c>
      <c r="L222">
        <f t="shared" ca="1" si="124"/>
        <v>51798.646748313819</v>
      </c>
      <c r="M222">
        <f t="shared" ca="1" si="101"/>
        <v>280437.87349537102</v>
      </c>
      <c r="N222">
        <f t="shared" ca="1" si="102"/>
        <v>2.7068585394305407</v>
      </c>
      <c r="O222">
        <f t="shared" ca="1" si="103"/>
        <v>1.8185846071480007E-4</v>
      </c>
      <c r="P222">
        <f t="shared" ca="1" si="104"/>
        <v>52431.328748313819</v>
      </c>
      <c r="Q222">
        <f t="shared" ca="1" si="105"/>
        <v>52431.328748315507</v>
      </c>
      <c r="R222">
        <f t="shared" ca="1" si="106"/>
        <v>1.9725535084483935E-12</v>
      </c>
      <c r="S222">
        <f t="shared" ca="1" si="125"/>
        <v>3.9999999979045242E-2</v>
      </c>
      <c r="T222">
        <f t="shared" ca="1" si="126"/>
        <v>0</v>
      </c>
      <c r="U222">
        <f t="shared" ca="1" si="107"/>
        <v>51800.124045465273</v>
      </c>
      <c r="V222">
        <f t="shared" ca="1" si="108"/>
        <v>280445.87158214895</v>
      </c>
      <c r="W222">
        <f t="shared" ca="1" si="109"/>
        <v>2.7068585434646693</v>
      </c>
      <c r="X222">
        <f t="shared" ca="1" si="110"/>
        <v>1.8185327426030926E-4</v>
      </c>
      <c r="Y222">
        <f t="shared" ca="1" si="111"/>
        <v>52432.806045465273</v>
      </c>
      <c r="Z222">
        <f t="shared" ca="1" si="112"/>
        <v>52432.806045466961</v>
      </c>
      <c r="AA222">
        <f t="shared" ca="1" si="113"/>
        <v>1.9724409949093199E-12</v>
      </c>
      <c r="AB222">
        <f t="shared" ca="1" si="114"/>
        <v>-9.5685651467647403E-4</v>
      </c>
      <c r="AC222">
        <f t="shared" ca="1" si="115"/>
        <v>1</v>
      </c>
      <c r="AD222">
        <f ca="1">IF(V32="Supercritical",L222,IF(V32="Subcritical",U222,IF(AND(T222=1,AC222=1),IF((((F222)*(L222)^2)/2+(G222)*(L222)^3/3+(ABS(K222)^2)/($I$5*MAX(((F222)+(G222)*(L222))*(L222),0.000001)))&gt;=(((F222)*(U222)^2)/2+(G222)*(U222)^3/3+(ABS(K222)^2)/($I$5*MAX(((F222)+(G222)*(U222))*(U222),0.000001))),L222,U222),IF(T222=1,L222,IF(AC222=1,U222,MAX($D$16,POWER((ABS(K222)^2)/($I$5*MAX(F222,0.1)^2),1/3)))))))</f>
        <v>51800.124045465273</v>
      </c>
      <c r="AE222">
        <f t="shared" ca="1" si="116"/>
        <v>52432.806045465273</v>
      </c>
      <c r="AF222">
        <f t="shared" ca="1" si="117"/>
        <v>52432.806045466961</v>
      </c>
      <c r="AI222">
        <v>0</v>
      </c>
      <c r="AJ222">
        <v>0</v>
      </c>
      <c r="AK222">
        <f t="shared" si="118"/>
        <v>0</v>
      </c>
      <c r="AL222">
        <f t="shared" si="127"/>
        <v>0</v>
      </c>
      <c r="AM222">
        <f t="shared" ca="1" si="119"/>
        <v>2.551063219984267E-7</v>
      </c>
      <c r="AN222" t="str">
        <f t="shared" ca="1" si="120"/>
        <v>Subcritical</v>
      </c>
      <c r="AO222">
        <f t="shared" ca="1" si="121"/>
        <v>1.9724409949093199E-12</v>
      </c>
    </row>
    <row r="223" spans="1:41" x14ac:dyDescent="0.35">
      <c r="A223">
        <v>74</v>
      </c>
      <c r="B223">
        <v>72.980999999999995</v>
      </c>
      <c r="C223">
        <v>616504.424</v>
      </c>
      <c r="D223">
        <v>3097712.5550000002</v>
      </c>
      <c r="E223">
        <v>632.64200000000005</v>
      </c>
      <c r="F223">
        <v>5.3869999999999996</v>
      </c>
      <c r="G223">
        <v>0</v>
      </c>
      <c r="H223" t="s">
        <v>186</v>
      </c>
      <c r="I223">
        <v>1.4E-2</v>
      </c>
      <c r="J223">
        <f t="shared" si="122"/>
        <v>1.0009999999999906</v>
      </c>
      <c r="K223">
        <f t="shared" si="123"/>
        <v>51</v>
      </c>
      <c r="L223">
        <f t="shared" ca="1" si="124"/>
        <v>51798.646748313819</v>
      </c>
      <c r="M223">
        <f t="shared" ca="1" si="101"/>
        <v>279039.31003316649</v>
      </c>
      <c r="N223">
        <f t="shared" ca="1" si="102"/>
        <v>2.6933599468234748</v>
      </c>
      <c r="O223">
        <f t="shared" ca="1" si="103"/>
        <v>1.8276994733802259E-4</v>
      </c>
      <c r="P223">
        <f t="shared" ca="1" si="104"/>
        <v>52431.288748313818</v>
      </c>
      <c r="Q223">
        <f t="shared" ca="1" si="105"/>
        <v>52431.288748315521</v>
      </c>
      <c r="R223">
        <f t="shared" ca="1" si="106"/>
        <v>2.0057011721608594E-12</v>
      </c>
      <c r="S223">
        <f t="shared" ca="1" si="125"/>
        <v>3.99999999863212E-2</v>
      </c>
      <c r="T223">
        <f t="shared" ca="1" si="126"/>
        <v>0</v>
      </c>
      <c r="U223">
        <f t="shared" ca="1" si="107"/>
        <v>51800.163088608744</v>
      </c>
      <c r="V223">
        <f t="shared" ca="1" si="108"/>
        <v>279047.47855833528</v>
      </c>
      <c r="W223">
        <f t="shared" ca="1" si="109"/>
        <v>2.6933599509230226</v>
      </c>
      <c r="X223">
        <f t="shared" ca="1" si="110"/>
        <v>1.82764597134098E-4</v>
      </c>
      <c r="Y223">
        <f t="shared" ca="1" si="111"/>
        <v>52432.805088608744</v>
      </c>
      <c r="Z223">
        <f t="shared" ca="1" si="112"/>
        <v>52432.805088610447</v>
      </c>
      <c r="AA223">
        <f t="shared" ca="1" si="113"/>
        <v>2.0055837444837556E-12</v>
      </c>
      <c r="AB223">
        <f t="shared" ca="1" si="114"/>
        <v>-9.5685701671754941E-4</v>
      </c>
      <c r="AC223">
        <f t="shared" ca="1" si="115"/>
        <v>1</v>
      </c>
      <c r="AD223">
        <f ca="1">IF(V32="Supercritical",L223,IF(V32="Subcritical",U223,IF(AND(T223=1,AC223=1),IF((((F223)*(L223)^2)/2+(G223)*(L223)^3/3+(ABS(K223)^2)/($I$5*MAX(((F223)+(G223)*(L223))*(L223),0.000001)))&gt;=(((F223)*(U223)^2)/2+(G223)*(U223)^3/3+(ABS(K223)^2)/($I$5*MAX(((F223)+(G223)*(U223))*(U223),0.000001))),L223,U223),IF(T223=1,L223,IF(AC223=1,U223,MAX($D$16,POWER((ABS(K223)^2)/($I$5*MAX(F223,0.1)^2),1/3)))))))</f>
        <v>51800.163088608744</v>
      </c>
      <c r="AE223">
        <f t="shared" ca="1" si="116"/>
        <v>52432.805088608744</v>
      </c>
      <c r="AF223">
        <f t="shared" ca="1" si="117"/>
        <v>52432.805088610447</v>
      </c>
      <c r="AI223">
        <v>0</v>
      </c>
      <c r="AJ223">
        <v>0</v>
      </c>
      <c r="AK223">
        <f t="shared" si="118"/>
        <v>0</v>
      </c>
      <c r="AL223">
        <f t="shared" si="127"/>
        <v>0</v>
      </c>
      <c r="AM223">
        <f t="shared" ca="1" si="119"/>
        <v>2.5638464187695801E-7</v>
      </c>
      <c r="AN223" t="str">
        <f t="shared" ca="1" si="120"/>
        <v>Subcritical</v>
      </c>
      <c r="AO223">
        <f t="shared" ca="1" si="121"/>
        <v>2.0055837444837556E-12</v>
      </c>
    </row>
    <row r="224" spans="1:41" x14ac:dyDescent="0.35">
      <c r="A224">
        <v>75</v>
      </c>
      <c r="B224">
        <v>73.98</v>
      </c>
      <c r="C224">
        <v>616503.85</v>
      </c>
      <c r="D224">
        <v>3097711.7370000002</v>
      </c>
      <c r="E224">
        <v>632.60199999999998</v>
      </c>
      <c r="F224">
        <v>5.3609999999999998</v>
      </c>
      <c r="G224">
        <v>0</v>
      </c>
      <c r="H224" t="s">
        <v>186</v>
      </c>
      <c r="I224">
        <v>1.4E-2</v>
      </c>
      <c r="J224">
        <f t="shared" si="122"/>
        <v>0.99900000000000944</v>
      </c>
      <c r="K224">
        <f t="shared" si="123"/>
        <v>51</v>
      </c>
      <c r="L224">
        <f t="shared" ca="1" si="124"/>
        <v>51798.646748313819</v>
      </c>
      <c r="M224">
        <f t="shared" ca="1" si="101"/>
        <v>277692.54521771037</v>
      </c>
      <c r="N224">
        <f t="shared" ca="1" si="102"/>
        <v>2.6803612954410307</v>
      </c>
      <c r="O224">
        <f t="shared" ca="1" si="103"/>
        <v>1.8365635260397827E-4</v>
      </c>
      <c r="P224">
        <f t="shared" ca="1" si="104"/>
        <v>52431.248748313817</v>
      </c>
      <c r="Q224">
        <f t="shared" ca="1" si="105"/>
        <v>52431.248748315535</v>
      </c>
      <c r="R224">
        <f t="shared" ca="1" si="106"/>
        <v>2.0383087902867526E-12</v>
      </c>
      <c r="S224">
        <f t="shared" ca="1" si="125"/>
        <v>3.99999999863212E-2</v>
      </c>
      <c r="T224">
        <f t="shared" ca="1" si="126"/>
        <v>0</v>
      </c>
      <c r="U224">
        <f t="shared" ca="1" si="107"/>
        <v>51800.202131751714</v>
      </c>
      <c r="V224">
        <f t="shared" ca="1" si="108"/>
        <v>277700.88362832094</v>
      </c>
      <c r="W224">
        <f t="shared" ca="1" si="109"/>
        <v>2.6803612996056398</v>
      </c>
      <c r="X224">
        <f t="shared" ca="1" si="110"/>
        <v>1.8365083802995445E-4</v>
      </c>
      <c r="Y224">
        <f t="shared" ca="1" si="111"/>
        <v>52432.804131751713</v>
      </c>
      <c r="Z224">
        <f t="shared" ca="1" si="112"/>
        <v>52432.80413175343</v>
      </c>
      <c r="AA224">
        <f t="shared" ca="1" si="113"/>
        <v>2.0381863809768474E-12</v>
      </c>
      <c r="AB224">
        <f t="shared" ca="1" si="114"/>
        <v>-9.5695829077158123E-4</v>
      </c>
      <c r="AC224">
        <f t="shared" ca="1" si="115"/>
        <v>1</v>
      </c>
      <c r="AD224">
        <f ca="1">IF(V32="Supercritical",L224,IF(V32="Subcritical",U224,IF(AND(T224=1,AC224=1),IF((((F224)*(L224)^2)/2+(G224)*(L224)^3/3+(ABS(K224)^2)/($I$5*MAX(((F224)+(G224)*(L224))*(L224),0.000001)))&gt;=(((F224)*(U224)^2)/2+(G224)*(U224)^3/3+(ABS(K224)^2)/($I$5*MAX(((F224)+(G224)*(U224))*(U224),0.000001))),L224,U224),IF(T224=1,L224,IF(AC224=1,U224,MAX($D$16,POWER((ABS(K224)^2)/($I$5*MAX(F224,0.1)^2),1/3)))))))</f>
        <v>51800.202131751714</v>
      </c>
      <c r="AE224">
        <f t="shared" ca="1" si="116"/>
        <v>52432.804131751713</v>
      </c>
      <c r="AF224">
        <f t="shared" ca="1" si="117"/>
        <v>52432.80413175343</v>
      </c>
      <c r="AI224">
        <v>0</v>
      </c>
      <c r="AJ224">
        <v>0</v>
      </c>
      <c r="AK224">
        <f t="shared" si="118"/>
        <v>0</v>
      </c>
      <c r="AL224">
        <f t="shared" si="127"/>
        <v>0</v>
      </c>
      <c r="AM224">
        <f t="shared" ca="1" si="119"/>
        <v>2.5762777546835029E-7</v>
      </c>
      <c r="AN224" t="str">
        <f t="shared" ca="1" si="120"/>
        <v>Subcritical</v>
      </c>
      <c r="AO224">
        <f t="shared" ca="1" si="121"/>
        <v>2.0381863809768474E-12</v>
      </c>
    </row>
    <row r="225" spans="1:41" x14ac:dyDescent="0.35">
      <c r="A225">
        <v>76</v>
      </c>
      <c r="B225">
        <v>74.980999999999995</v>
      </c>
      <c r="C225">
        <v>616503.27500000002</v>
      </c>
      <c r="D225">
        <v>3097710.9180000001</v>
      </c>
      <c r="E225">
        <v>632.56200000000001</v>
      </c>
      <c r="F225">
        <v>5.335</v>
      </c>
      <c r="G225">
        <v>0</v>
      </c>
      <c r="H225" t="s">
        <v>186</v>
      </c>
      <c r="I225">
        <v>4.7E-2</v>
      </c>
      <c r="J225">
        <f t="shared" si="122"/>
        <v>1.0009999999999906</v>
      </c>
      <c r="K225">
        <f t="shared" si="123"/>
        <v>51</v>
      </c>
      <c r="L225">
        <f t="shared" ca="1" si="124"/>
        <v>51798.646748313819</v>
      </c>
      <c r="M225">
        <f t="shared" ca="1" si="101"/>
        <v>276345.7804022542</v>
      </c>
      <c r="N225">
        <f t="shared" ca="1" si="102"/>
        <v>2.6673626375343313</v>
      </c>
      <c r="O225">
        <f t="shared" ca="1" si="103"/>
        <v>1.8455139762135476E-4</v>
      </c>
      <c r="P225">
        <f t="shared" ca="1" si="104"/>
        <v>52431.208748313817</v>
      </c>
      <c r="Q225">
        <f t="shared" ca="1" si="105"/>
        <v>52431.208748315556</v>
      </c>
      <c r="R225">
        <f t="shared" ca="1" si="106"/>
        <v>2.0716089419750876E-12</v>
      </c>
      <c r="S225">
        <f t="shared" ca="1" si="125"/>
        <v>3.9999999979045242E-2</v>
      </c>
      <c r="T225">
        <f t="shared" ca="1" si="126"/>
        <v>0</v>
      </c>
      <c r="U225">
        <f t="shared" ca="1" si="107"/>
        <v>51800.241174793402</v>
      </c>
      <c r="V225">
        <f t="shared" ca="1" si="108"/>
        <v>276354.2866675228</v>
      </c>
      <c r="W225">
        <f t="shared" ca="1" si="109"/>
        <v>2.6673626417621707</v>
      </c>
      <c r="X225">
        <f t="shared" ca="1" si="110"/>
        <v>1.8454571707569438E-4</v>
      </c>
      <c r="Y225">
        <f t="shared" ca="1" si="111"/>
        <v>52432.8031747934</v>
      </c>
      <c r="Z225">
        <f t="shared" ca="1" si="112"/>
        <v>52432.803174795139</v>
      </c>
      <c r="AA225">
        <f t="shared" ca="1" si="113"/>
        <v>2.0714814101092469E-12</v>
      </c>
      <c r="AB225">
        <f t="shared" ca="1" si="114"/>
        <v>-9.7745229868451133E-4</v>
      </c>
      <c r="AC225">
        <f t="shared" ca="1" si="115"/>
        <v>1</v>
      </c>
      <c r="AD225">
        <f ca="1">IF(V32="Supercritical",L225,IF(V32="Subcritical",U225,IF(AND(T225=1,AC225=1),IF((((F225)*(L225)^2)/2+(G225)*(L225)^3/3+(ABS(K225)^2)/($I$5*MAX(((F225)+(G225)*(L225))*(L225),0.000001)))&gt;=(((F225)*(U225)^2)/2+(G225)*(U225)^3/3+(ABS(K225)^2)/($I$5*MAX(((F225)+(G225)*(U225))*(U225),0.000001))),L225,U225),IF(T225=1,L225,IF(AC225=1,U225,MAX($D$16,POWER((ABS(K225)^2)/($I$5*MAX(F225,0.1)^2),1/3)))))))</f>
        <v>51800.241174793402</v>
      </c>
      <c r="AE225">
        <f t="shared" ca="1" si="116"/>
        <v>52432.8031747934</v>
      </c>
      <c r="AF225">
        <f t="shared" ca="1" si="117"/>
        <v>52432.803174795139</v>
      </c>
      <c r="AI225">
        <v>0</v>
      </c>
      <c r="AJ225">
        <v>0</v>
      </c>
      <c r="AK225">
        <f t="shared" si="118"/>
        <v>0</v>
      </c>
      <c r="AL225">
        <f t="shared" si="127"/>
        <v>0</v>
      </c>
      <c r="AM225">
        <f t="shared" ca="1" si="119"/>
        <v>2.5888302582708009E-7</v>
      </c>
      <c r="AN225" t="str">
        <f t="shared" ca="1" si="120"/>
        <v>Subcritical</v>
      </c>
      <c r="AO225">
        <f t="shared" ca="1" si="121"/>
        <v>2.0714814101092469E-12</v>
      </c>
    </row>
    <row r="226" spans="1:41" x14ac:dyDescent="0.35">
      <c r="A226">
        <v>77</v>
      </c>
      <c r="B226">
        <v>75.980999999999995</v>
      </c>
      <c r="C226">
        <v>616502.701</v>
      </c>
      <c r="D226">
        <v>3097710.0989999999</v>
      </c>
      <c r="E226">
        <v>632.55999999999995</v>
      </c>
      <c r="F226">
        <v>5.3079999999999998</v>
      </c>
      <c r="G226">
        <v>0</v>
      </c>
      <c r="H226" t="s">
        <v>186</v>
      </c>
      <c r="I226">
        <v>0.08</v>
      </c>
      <c r="J226">
        <f t="shared" si="122"/>
        <v>1</v>
      </c>
      <c r="K226">
        <f t="shared" si="123"/>
        <v>51</v>
      </c>
      <c r="L226">
        <f t="shared" ca="1" si="124"/>
        <v>51798.646748313819</v>
      </c>
      <c r="M226">
        <f t="shared" ca="1" si="101"/>
        <v>274947.21694004972</v>
      </c>
      <c r="N226">
        <f t="shared" ca="1" si="102"/>
        <v>2.6538640243411216</v>
      </c>
      <c r="O226">
        <f t="shared" ca="1" si="103"/>
        <v>1.8549014813676104E-4</v>
      </c>
      <c r="P226">
        <f t="shared" ca="1" si="104"/>
        <v>52431.206748313816</v>
      </c>
      <c r="Q226">
        <f t="shared" ca="1" si="105"/>
        <v>52431.20674831557</v>
      </c>
      <c r="R226">
        <f t="shared" ca="1" si="106"/>
        <v>2.1069423757261766E-12</v>
      </c>
      <c r="S226">
        <f t="shared" ca="1" si="125"/>
        <v>1.9999999858555384E-3</v>
      </c>
      <c r="T226">
        <f t="shared" ca="1" si="126"/>
        <v>0</v>
      </c>
      <c r="U226">
        <f t="shared" ca="1" si="107"/>
        <v>51800.242197341089</v>
      </c>
      <c r="V226">
        <f t="shared" ca="1" si="108"/>
        <v>274955.68558348651</v>
      </c>
      <c r="W226">
        <f t="shared" ca="1" si="109"/>
        <v>2.6538640285289614</v>
      </c>
      <c r="X226">
        <f t="shared" ca="1" si="110"/>
        <v>1.8548443503458507E-4</v>
      </c>
      <c r="Y226">
        <f t="shared" ca="1" si="111"/>
        <v>52432.802197341087</v>
      </c>
      <c r="Z226">
        <f t="shared" ca="1" si="112"/>
        <v>52432.80219734284</v>
      </c>
      <c r="AA226">
        <f t="shared" ca="1" si="113"/>
        <v>2.1068125855142644E-12</v>
      </c>
      <c r="AB226">
        <f t="shared" ca="1" si="114"/>
        <v>-9.7745230596046895E-4</v>
      </c>
      <c r="AC226">
        <f t="shared" ca="1" si="115"/>
        <v>1</v>
      </c>
      <c r="AD226">
        <f ca="1">IF(V32="Supercritical",L226,IF(V32="Subcritical",U226,IF(AND(T226=1,AC226=1),IF((((F226)*(L226)^2)/2+(G226)*(L226)^3/3+(ABS(K226)^2)/($I$5*MAX(((F226)+(G226)*(L226))*(L226),0.000001)))&gt;=(((F226)*(U226)^2)/2+(G226)*(U226)^3/3+(ABS(K226)^2)/($I$5*MAX(((F226)+(G226)*(U226))*(U226),0.000001))),L226,U226),IF(T226=1,L226,IF(AC226=1,U226,MAX($D$16,POWER((ABS(K226)^2)/($I$5*MAX(F226,0.1)^2),1/3)))))))</f>
        <v>51800.242197341089</v>
      </c>
      <c r="AE226">
        <f t="shared" ca="1" si="116"/>
        <v>52432.802197341087</v>
      </c>
      <c r="AF226">
        <f t="shared" ca="1" si="117"/>
        <v>52432.80219734284</v>
      </c>
      <c r="AI226">
        <v>0</v>
      </c>
      <c r="AJ226">
        <v>0</v>
      </c>
      <c r="AK226">
        <f t="shared" si="118"/>
        <v>0</v>
      </c>
      <c r="AL226">
        <f t="shared" si="127"/>
        <v>0</v>
      </c>
      <c r="AM226">
        <f t="shared" ca="1" si="119"/>
        <v>2.6019986847992703E-7</v>
      </c>
      <c r="AN226" t="str">
        <f t="shared" ca="1" si="120"/>
        <v>Subcritical</v>
      </c>
      <c r="AO226">
        <f t="shared" ca="1" si="121"/>
        <v>2.1068125855142644E-12</v>
      </c>
    </row>
    <row r="227" spans="1:41" x14ac:dyDescent="0.35">
      <c r="A227">
        <v>78</v>
      </c>
      <c r="B227">
        <v>76.980999999999995</v>
      </c>
      <c r="C227">
        <v>616502.12600000005</v>
      </c>
      <c r="D227">
        <v>3097709.281</v>
      </c>
      <c r="E227">
        <v>632.55799999999999</v>
      </c>
      <c r="F227">
        <v>5.282</v>
      </c>
      <c r="G227">
        <v>0</v>
      </c>
      <c r="H227" t="s">
        <v>186</v>
      </c>
      <c r="I227">
        <v>0.08</v>
      </c>
      <c r="J227">
        <f t="shared" si="122"/>
        <v>1</v>
      </c>
      <c r="K227">
        <f t="shared" si="123"/>
        <v>51</v>
      </c>
      <c r="L227">
        <f t="shared" ca="1" si="124"/>
        <v>51798.646748313819</v>
      </c>
      <c r="M227">
        <f t="shared" ca="1" si="101"/>
        <v>273600.4521245936</v>
      </c>
      <c r="N227">
        <f t="shared" ca="1" si="102"/>
        <v>2.6408653531349668</v>
      </c>
      <c r="O227">
        <f t="shared" ca="1" si="103"/>
        <v>1.8640320074023617E-4</v>
      </c>
      <c r="P227">
        <f t="shared" ca="1" si="104"/>
        <v>52431.204748313816</v>
      </c>
      <c r="Q227">
        <f t="shared" ca="1" si="105"/>
        <v>52431.204748315584</v>
      </c>
      <c r="R227">
        <f t="shared" ca="1" si="106"/>
        <v>2.1417111796844753E-12</v>
      </c>
      <c r="S227">
        <f t="shared" ca="1" si="125"/>
        <v>1.9999999858555384E-3</v>
      </c>
      <c r="T227">
        <f t="shared" ca="1" si="126"/>
        <v>0</v>
      </c>
      <c r="U227">
        <f t="shared" ca="1" si="107"/>
        <v>51800.243219888769</v>
      </c>
      <c r="V227">
        <f t="shared" ca="1" si="108"/>
        <v>273608.88468745246</v>
      </c>
      <c r="W227">
        <f t="shared" ca="1" si="109"/>
        <v>2.64086535728454</v>
      </c>
      <c r="X227">
        <f t="shared" ca="1" si="110"/>
        <v>1.8639745583648741E-4</v>
      </c>
      <c r="Y227">
        <f t="shared" ca="1" si="111"/>
        <v>52432.801219888766</v>
      </c>
      <c r="Z227">
        <f t="shared" ca="1" si="112"/>
        <v>52432.801219890534</v>
      </c>
      <c r="AA227">
        <f t="shared" ca="1" si="113"/>
        <v>2.1415791631407202E-12</v>
      </c>
      <c r="AB227">
        <f t="shared" ca="1" si="114"/>
        <v>-9.7745229868451133E-4</v>
      </c>
      <c r="AC227">
        <f t="shared" ca="1" si="115"/>
        <v>1</v>
      </c>
      <c r="AD227">
        <f ca="1">IF(V32="Supercritical",L227,IF(V32="Subcritical",U227,IF(AND(T227=1,AC227=1),IF((((F227)*(L227)^2)/2+(G227)*(L227)^3/3+(ABS(K227)^2)/($I$5*MAX(((F227)+(G227)*(L227))*(L227),0.000001)))&gt;=(((F227)*(U227)^2)/2+(G227)*(U227)^3/3+(ABS(K227)^2)/($I$5*MAX(((F227)+(G227)*(U227))*(U227),0.000001))),L227,U227),IF(T227=1,L227,IF(AC227=1,U227,MAX($D$16,POWER((ABS(K227)^2)/($I$5*MAX(F227,0.1)^2),1/3)))))))</f>
        <v>51800.243219888769</v>
      </c>
      <c r="AE227">
        <f t="shared" ca="1" si="116"/>
        <v>52432.801219888766</v>
      </c>
      <c r="AF227">
        <f t="shared" ca="1" si="117"/>
        <v>52432.801219890534</v>
      </c>
      <c r="AI227">
        <v>0</v>
      </c>
      <c r="AJ227">
        <v>0</v>
      </c>
      <c r="AK227">
        <f t="shared" si="118"/>
        <v>0</v>
      </c>
      <c r="AL227">
        <f t="shared" si="127"/>
        <v>0</v>
      </c>
      <c r="AM227">
        <f t="shared" ca="1" si="119"/>
        <v>2.6148066281625066E-7</v>
      </c>
      <c r="AN227" t="str">
        <f t="shared" ca="1" si="120"/>
        <v>Subcritical</v>
      </c>
      <c r="AO227">
        <f t="shared" ca="1" si="121"/>
        <v>2.1415791631407202E-12</v>
      </c>
    </row>
    <row r="228" spans="1:41" x14ac:dyDescent="0.35">
      <c r="A228">
        <v>79</v>
      </c>
      <c r="B228">
        <v>77.980999999999995</v>
      </c>
      <c r="C228">
        <v>616501.55200000003</v>
      </c>
      <c r="D228">
        <v>3097708.4619999998</v>
      </c>
      <c r="E228">
        <v>632.55600000000004</v>
      </c>
      <c r="F228">
        <v>5.2560000000000002</v>
      </c>
      <c r="G228">
        <v>0</v>
      </c>
      <c r="H228" t="s">
        <v>186</v>
      </c>
      <c r="I228">
        <v>0.08</v>
      </c>
      <c r="J228">
        <f t="shared" si="122"/>
        <v>1</v>
      </c>
      <c r="K228">
        <f t="shared" si="123"/>
        <v>51</v>
      </c>
      <c r="L228">
        <f t="shared" ca="1" si="124"/>
        <v>51798.646748313819</v>
      </c>
      <c r="M228">
        <f t="shared" ca="1" si="101"/>
        <v>272253.68730913743</v>
      </c>
      <c r="N228">
        <f t="shared" ca="1" si="102"/>
        <v>2.6278666754045426</v>
      </c>
      <c r="O228">
        <f t="shared" ca="1" si="103"/>
        <v>1.8732528658864679E-4</v>
      </c>
      <c r="P228">
        <f t="shared" ca="1" si="104"/>
        <v>52431.202748313815</v>
      </c>
      <c r="Q228">
        <f t="shared" ca="1" si="105"/>
        <v>52431.202748315605</v>
      </c>
      <c r="R228">
        <f t="shared" ca="1" si="106"/>
        <v>2.177229580303011E-12</v>
      </c>
      <c r="S228">
        <f t="shared" ca="1" si="125"/>
        <v>1.9999999785795808E-3</v>
      </c>
      <c r="T228">
        <f t="shared" ca="1" si="126"/>
        <v>0</v>
      </c>
      <c r="U228">
        <f t="shared" ca="1" si="107"/>
        <v>51800.244242436449</v>
      </c>
      <c r="V228">
        <f t="shared" ca="1" si="108"/>
        <v>272262.083738246</v>
      </c>
      <c r="W228">
        <f t="shared" ca="1" si="109"/>
        <v>2.6278666795159995</v>
      </c>
      <c r="X228">
        <f t="shared" ca="1" si="110"/>
        <v>1.8731950956869789E-4</v>
      </c>
      <c r="Y228">
        <f t="shared" ca="1" si="111"/>
        <v>52432.800242436446</v>
      </c>
      <c r="Z228">
        <f t="shared" ca="1" si="112"/>
        <v>52432.800242438236</v>
      </c>
      <c r="AA228">
        <f t="shared" ca="1" si="113"/>
        <v>2.1770952884476224E-12</v>
      </c>
      <c r="AB228">
        <f t="shared" ca="1" si="114"/>
        <v>-9.7745229868451133E-4</v>
      </c>
      <c r="AC228">
        <f t="shared" ca="1" si="115"/>
        <v>1</v>
      </c>
      <c r="AD228">
        <f ca="1">IF(V32="Supercritical",L228,IF(V32="Subcritical",U228,IF(AND(T228=1,AC228=1),IF((((F228)*(L228)^2)/2+(G228)*(L228)^3/3+(ABS(K228)^2)/($I$5*MAX(((F228)+(G228)*(L228))*(L228),0.000001)))&gt;=(((F228)*(U228)^2)/2+(G228)*(U228)^3/3+(ABS(K228)^2)/($I$5*MAX(((F228)+(G228)*(U228))*(U228),0.000001))),L228,U228),IF(T228=1,L228,IF(AC228=1,U228,MAX($D$16,POWER((ABS(K228)^2)/($I$5*MAX(F228,0.1)^2),1/3)))))))</f>
        <v>51800.244242436449</v>
      </c>
      <c r="AE228">
        <f t="shared" ca="1" si="116"/>
        <v>52432.800242436446</v>
      </c>
      <c r="AF228">
        <f t="shared" ca="1" si="117"/>
        <v>52432.800242438236</v>
      </c>
      <c r="AI228">
        <v>0</v>
      </c>
      <c r="AJ228">
        <v>0</v>
      </c>
      <c r="AK228">
        <f t="shared" si="118"/>
        <v>0</v>
      </c>
      <c r="AL228">
        <f t="shared" si="127"/>
        <v>0</v>
      </c>
      <c r="AM228">
        <f t="shared" ca="1" si="119"/>
        <v>2.6277412863383196E-7</v>
      </c>
      <c r="AN228" t="str">
        <f t="shared" ca="1" si="120"/>
        <v>Subcritical</v>
      </c>
      <c r="AO228">
        <f t="shared" ca="1" si="121"/>
        <v>2.1770952884476224E-12</v>
      </c>
    </row>
    <row r="229" spans="1:41" x14ac:dyDescent="0.35">
      <c r="A229">
        <v>80</v>
      </c>
      <c r="B229">
        <v>78.980999999999995</v>
      </c>
      <c r="C229">
        <v>616500.97699999996</v>
      </c>
      <c r="D229">
        <v>3097707.6439999999</v>
      </c>
      <c r="E229">
        <v>632.55399999999997</v>
      </c>
      <c r="F229">
        <v>5.2290000000000001</v>
      </c>
      <c r="G229">
        <v>0</v>
      </c>
      <c r="H229" t="s">
        <v>186</v>
      </c>
      <c r="I229">
        <v>0.08</v>
      </c>
      <c r="J229">
        <f t="shared" si="122"/>
        <v>1</v>
      </c>
      <c r="K229">
        <f t="shared" si="123"/>
        <v>51</v>
      </c>
      <c r="L229">
        <f t="shared" ca="1" si="124"/>
        <v>51798.646748313819</v>
      </c>
      <c r="M229">
        <f t="shared" ca="1" si="101"/>
        <v>270855.12384693295</v>
      </c>
      <c r="N229">
        <f t="shared" ca="1" si="102"/>
        <v>2.6143680416251405</v>
      </c>
      <c r="O229">
        <f t="shared" ca="1" si="103"/>
        <v>1.8829254280166907E-4</v>
      </c>
      <c r="P229">
        <f t="shared" ca="1" si="104"/>
        <v>52431.200748313815</v>
      </c>
      <c r="Q229">
        <f t="shared" ca="1" si="105"/>
        <v>52431.200748315619</v>
      </c>
      <c r="R229">
        <f t="shared" ca="1" si="106"/>
        <v>2.2149289058971874E-12</v>
      </c>
      <c r="S229">
        <f t="shared" ca="1" si="125"/>
        <v>1.9999999858555384E-3</v>
      </c>
      <c r="T229">
        <f t="shared" ca="1" si="126"/>
        <v>0</v>
      </c>
      <c r="U229">
        <f t="shared" ca="1" si="107"/>
        <v>51800.245264984136</v>
      </c>
      <c r="V229">
        <f t="shared" ca="1" si="108"/>
        <v>270863.48249060207</v>
      </c>
      <c r="W229">
        <f t="shared" ca="1" si="109"/>
        <v>2.6143680456970713</v>
      </c>
      <c r="X229">
        <f t="shared" ca="1" si="110"/>
        <v>1.8828673223519345E-4</v>
      </c>
      <c r="Y229">
        <f t="shared" ca="1" si="111"/>
        <v>52432.799264984133</v>
      </c>
      <c r="Z229">
        <f t="shared" ca="1" si="112"/>
        <v>52432.799264985937</v>
      </c>
      <c r="AA229">
        <f t="shared" ca="1" si="113"/>
        <v>2.2147922013214632E-12</v>
      </c>
      <c r="AB229">
        <f t="shared" ca="1" si="114"/>
        <v>-9.7745229868451133E-4</v>
      </c>
      <c r="AC229">
        <f t="shared" ca="1" si="115"/>
        <v>1</v>
      </c>
      <c r="AD229">
        <f ca="1">IF(V32="Supercritical",L229,IF(V32="Subcritical",U229,IF(AND(T229=1,AC229=1),IF((((F229)*(L229)^2)/2+(G229)*(L229)^3/3+(ABS(K229)^2)/($I$5*MAX(((F229)+(G229)*(L229))*(L229),0.000001)))&gt;=(((F229)*(U229)^2)/2+(G229)*(U229)^3/3+(ABS(K229)^2)/($I$5*MAX(((F229)+(G229)*(U229))*(U229),0.000001))),L229,U229),IF(T229=1,L229,IF(AC229=1,U229,MAX($D$16,POWER((ABS(K229)^2)/($I$5*MAX(F229,0.1)^2),1/3)))))))</f>
        <v>51800.245264984136</v>
      </c>
      <c r="AE229">
        <f t="shared" ca="1" si="116"/>
        <v>52432.799264984133</v>
      </c>
      <c r="AF229">
        <f t="shared" ca="1" si="117"/>
        <v>52432.799264985937</v>
      </c>
      <c r="AI229">
        <v>0</v>
      </c>
      <c r="AJ229">
        <v>0</v>
      </c>
      <c r="AK229">
        <f t="shared" si="118"/>
        <v>0</v>
      </c>
      <c r="AL229">
        <f t="shared" si="127"/>
        <v>0</v>
      </c>
      <c r="AM229">
        <f t="shared" ca="1" si="119"/>
        <v>2.6413095796584578E-7</v>
      </c>
      <c r="AN229" t="str">
        <f t="shared" ca="1" si="120"/>
        <v>Subcritical</v>
      </c>
      <c r="AO229">
        <f t="shared" ca="1" si="121"/>
        <v>2.2147922013214632E-12</v>
      </c>
    </row>
    <row r="230" spans="1:41" x14ac:dyDescent="0.35">
      <c r="A230">
        <v>81</v>
      </c>
      <c r="B230">
        <v>79.980999999999995</v>
      </c>
      <c r="C230">
        <v>616500.40300000005</v>
      </c>
      <c r="D230">
        <v>3097706.8250000002</v>
      </c>
      <c r="E230">
        <v>632.55200000000002</v>
      </c>
      <c r="F230">
        <v>5.2080000000000002</v>
      </c>
      <c r="G230">
        <v>0</v>
      </c>
      <c r="H230" t="s">
        <v>186</v>
      </c>
      <c r="I230">
        <v>3.3000000000000002E-2</v>
      </c>
      <c r="J230">
        <f t="shared" si="122"/>
        <v>1</v>
      </c>
      <c r="K230">
        <f t="shared" si="123"/>
        <v>51</v>
      </c>
      <c r="L230">
        <f t="shared" ca="1" si="124"/>
        <v>51798.646748313819</v>
      </c>
      <c r="M230">
        <f t="shared" ca="1" si="101"/>
        <v>269767.35226521839</v>
      </c>
      <c r="N230">
        <f t="shared" ca="1" si="102"/>
        <v>2.6038690993769062</v>
      </c>
      <c r="O230">
        <f t="shared" ca="1" si="103"/>
        <v>1.8905178692586933E-4</v>
      </c>
      <c r="P230">
        <f t="shared" ca="1" si="104"/>
        <v>52431.198748313822</v>
      </c>
      <c r="Q230">
        <f t="shared" ca="1" si="105"/>
        <v>52431.198748315641</v>
      </c>
      <c r="R230">
        <f t="shared" ca="1" si="106"/>
        <v>2.2448391497077523E-12</v>
      </c>
      <c r="S230">
        <f t="shared" ca="1" si="125"/>
        <v>1.9999999785795808E-3</v>
      </c>
      <c r="T230">
        <f t="shared" ca="1" si="126"/>
        <v>0</v>
      </c>
      <c r="U230">
        <f t="shared" ca="1" si="107"/>
        <v>51800.246287531816</v>
      </c>
      <c r="V230">
        <f t="shared" ca="1" si="108"/>
        <v>269775.68266546569</v>
      </c>
      <c r="W230">
        <f t="shared" ca="1" si="109"/>
        <v>2.6038691034187815</v>
      </c>
      <c r="X230">
        <f t="shared" ca="1" si="110"/>
        <v>1.8904594919788361E-4</v>
      </c>
      <c r="Y230">
        <f t="shared" ca="1" si="111"/>
        <v>52432.798287531819</v>
      </c>
      <c r="Z230">
        <f t="shared" ca="1" si="112"/>
        <v>52432.798287533638</v>
      </c>
      <c r="AA230">
        <f t="shared" ca="1" si="113"/>
        <v>2.244700510477109E-12</v>
      </c>
      <c r="AB230">
        <f t="shared" ca="1" si="114"/>
        <v>-9.7745230596046895E-4</v>
      </c>
      <c r="AC230">
        <f t="shared" ca="1" si="115"/>
        <v>1</v>
      </c>
      <c r="AD230">
        <f ca="1">IF(V32="Supercritical",L230,IF(V32="Subcritical",U230,IF(AND(T230=1,AC230=1),IF((((F230)*(L230)^2)/2+(G230)*(L230)^3/3+(ABS(K230)^2)/($I$5*MAX(((F230)+(G230)*(L230))*(L230),0.000001)))&gt;=(((F230)*(U230)^2)/2+(G230)*(U230)^3/3+(ABS(K230)^2)/($I$5*MAX(((F230)+(G230)*(U230))*(U230),0.000001))),L230,U230),IF(T230=1,L230,IF(AC230=1,U230,MAX($D$16,POWER((ABS(K230)^2)/($I$5*MAX(F230,0.1)^2),1/3)))))))</f>
        <v>51800.246287531816</v>
      </c>
      <c r="AE230">
        <f t="shared" ca="1" si="116"/>
        <v>52432.798287531819</v>
      </c>
      <c r="AF230">
        <f t="shared" ca="1" si="117"/>
        <v>52432.798287533638</v>
      </c>
      <c r="AI230">
        <v>0</v>
      </c>
      <c r="AJ230">
        <v>0</v>
      </c>
      <c r="AK230">
        <f t="shared" si="118"/>
        <v>0</v>
      </c>
      <c r="AL230">
        <f t="shared" si="127"/>
        <v>0</v>
      </c>
      <c r="AM230">
        <f t="shared" ca="1" si="119"/>
        <v>2.6519599429865529E-7</v>
      </c>
      <c r="AN230" t="str">
        <f t="shared" ca="1" si="120"/>
        <v>Subcritical</v>
      </c>
      <c r="AO230">
        <f t="shared" ca="1" si="121"/>
        <v>2.244700510477109E-12</v>
      </c>
    </row>
    <row r="231" spans="1:41" x14ac:dyDescent="0.35">
      <c r="A231">
        <v>82</v>
      </c>
      <c r="B231">
        <v>80.980999999999995</v>
      </c>
      <c r="C231">
        <v>616499.82900000003</v>
      </c>
      <c r="D231">
        <v>3097706.0070000002</v>
      </c>
      <c r="E231">
        <v>632.54999999999995</v>
      </c>
      <c r="F231">
        <v>5.2050000000000001</v>
      </c>
      <c r="G231">
        <v>0</v>
      </c>
      <c r="H231" t="s">
        <v>186</v>
      </c>
      <c r="I231">
        <v>1.4E-2</v>
      </c>
      <c r="J231">
        <f t="shared" si="122"/>
        <v>1</v>
      </c>
      <c r="K231">
        <f t="shared" si="123"/>
        <v>51</v>
      </c>
      <c r="L231">
        <f t="shared" ca="1" si="124"/>
        <v>51798.646748313819</v>
      </c>
      <c r="M231">
        <f t="shared" ca="1" si="101"/>
        <v>269611.95632497343</v>
      </c>
      <c r="N231">
        <f t="shared" ca="1" si="102"/>
        <v>2.6023692501368543</v>
      </c>
      <c r="O231">
        <f t="shared" ca="1" si="103"/>
        <v>1.8916075049182085E-4</v>
      </c>
      <c r="P231">
        <f t="shared" ca="1" si="104"/>
        <v>52431.196748313821</v>
      </c>
      <c r="Q231">
        <f t="shared" ca="1" si="105"/>
        <v>52431.196748315648</v>
      </c>
      <c r="R231">
        <f t="shared" ca="1" si="106"/>
        <v>2.2491548150973515E-12</v>
      </c>
      <c r="S231">
        <f t="shared" ca="1" si="125"/>
        <v>1.999999993131496E-3</v>
      </c>
      <c r="T231">
        <f t="shared" ca="1" si="126"/>
        <v>0</v>
      </c>
      <c r="U231">
        <f t="shared" ca="1" si="107"/>
        <v>51800.247310079503</v>
      </c>
      <c r="V231">
        <f t="shared" ca="1" si="108"/>
        <v>269620.28724896384</v>
      </c>
      <c r="W231">
        <f t="shared" ca="1" si="109"/>
        <v>2.6023692541766561</v>
      </c>
      <c r="X231">
        <f t="shared" ca="1" si="110"/>
        <v>1.8915490566519301E-4</v>
      </c>
      <c r="Y231">
        <f t="shared" ca="1" si="111"/>
        <v>52432.797310079506</v>
      </c>
      <c r="Z231">
        <f t="shared" ca="1" si="112"/>
        <v>52432.797310081332</v>
      </c>
      <c r="AA231">
        <f t="shared" ca="1" si="113"/>
        <v>2.249015820542747E-12</v>
      </c>
      <c r="AB231">
        <f t="shared" ca="1" si="114"/>
        <v>-9.7745230596046895E-4</v>
      </c>
      <c r="AC231">
        <f t="shared" ca="1" si="115"/>
        <v>1</v>
      </c>
      <c r="AD231">
        <f ca="1">IF(V32="Supercritical",L231,IF(V32="Subcritical",U231,IF(AND(T231=1,AC231=1),IF((((F231)*(L231)^2)/2+(G231)*(L231)^3/3+(ABS(K231)^2)/($I$5*MAX(((F231)+(G231)*(L231))*(L231),0.000001)))&gt;=(((F231)*(U231)^2)/2+(G231)*(U231)^3/3+(ABS(K231)^2)/($I$5*MAX(((F231)+(G231)*(U231))*(U231),0.000001))),L231,U231),IF(T231=1,L231,IF(AC231=1,U231,MAX($D$16,POWER((ABS(K231)^2)/($I$5*MAX(F231,0.1)^2),1/3)))))))</f>
        <v>51800.247310079503</v>
      </c>
      <c r="AE231">
        <f t="shared" ca="1" si="116"/>
        <v>52432.797310079506</v>
      </c>
      <c r="AF231">
        <f t="shared" ca="1" si="117"/>
        <v>52432.797310081332</v>
      </c>
      <c r="AI231">
        <v>0</v>
      </c>
      <c r="AJ231">
        <v>0</v>
      </c>
      <c r="AK231">
        <f t="shared" si="118"/>
        <v>0</v>
      </c>
      <c r="AL231">
        <f t="shared" si="127"/>
        <v>0</v>
      </c>
      <c r="AM231">
        <f t="shared" ca="1" si="119"/>
        <v>2.6534883715876796E-7</v>
      </c>
      <c r="AN231" t="str">
        <f t="shared" ca="1" si="120"/>
        <v>Subcritical</v>
      </c>
      <c r="AO231">
        <f t="shared" ca="1" si="121"/>
        <v>2.249015820542747E-12</v>
      </c>
    </row>
    <row r="232" spans="1:41" x14ac:dyDescent="0.35">
      <c r="A232">
        <v>83</v>
      </c>
      <c r="B232">
        <v>81.980999999999995</v>
      </c>
      <c r="C232">
        <v>616499.25399999996</v>
      </c>
      <c r="D232">
        <v>3097705.1880000001</v>
      </c>
      <c r="E232">
        <v>632.548</v>
      </c>
      <c r="F232">
        <v>5.202</v>
      </c>
      <c r="G232">
        <v>0</v>
      </c>
      <c r="H232" t="s">
        <v>186</v>
      </c>
      <c r="I232">
        <v>1.867</v>
      </c>
      <c r="J232">
        <f t="shared" si="122"/>
        <v>1</v>
      </c>
      <c r="K232">
        <f t="shared" si="123"/>
        <v>51</v>
      </c>
      <c r="L232">
        <f t="shared" ca="1" si="124"/>
        <v>51798.646748313819</v>
      </c>
      <c r="M232">
        <f t="shared" ca="1" si="101"/>
        <v>269456.56038472848</v>
      </c>
      <c r="N232">
        <f t="shared" ca="1" si="102"/>
        <v>2.6008694008099402</v>
      </c>
      <c r="O232">
        <f t="shared" ca="1" si="103"/>
        <v>1.8926983973662582E-4</v>
      </c>
      <c r="P232">
        <f t="shared" ca="1" si="104"/>
        <v>52431.194748313821</v>
      </c>
      <c r="Q232">
        <f t="shared" ca="1" si="105"/>
        <v>52431.194748315647</v>
      </c>
      <c r="R232">
        <f t="shared" ca="1" si="106"/>
        <v>2.2534812726429296E-12</v>
      </c>
      <c r="S232">
        <f t="shared" ca="1" si="125"/>
        <v>1.999999993131496E-3</v>
      </c>
      <c r="T232">
        <f t="shared" ca="1" si="126"/>
        <v>0</v>
      </c>
      <c r="U232">
        <f t="shared" ca="1" si="107"/>
        <v>51800.24833262719</v>
      </c>
      <c r="V232">
        <f t="shared" ca="1" si="108"/>
        <v>269464.89182632667</v>
      </c>
      <c r="W232">
        <f t="shared" ca="1" si="109"/>
        <v>2.6008694048476646</v>
      </c>
      <c r="X232">
        <f t="shared" ca="1" si="110"/>
        <v>1.8926398780316845E-4</v>
      </c>
      <c r="Y232">
        <f t="shared" ca="1" si="111"/>
        <v>52432.796332627193</v>
      </c>
      <c r="Z232">
        <f t="shared" ca="1" si="112"/>
        <v>52432.796332629019</v>
      </c>
      <c r="AA232">
        <f t="shared" ca="1" si="113"/>
        <v>2.253341921756259E-12</v>
      </c>
      <c r="AB232">
        <f t="shared" ca="1" si="114"/>
        <v>-9.7745237872004509E-4</v>
      </c>
      <c r="AC232">
        <f t="shared" ca="1" si="115"/>
        <v>1</v>
      </c>
      <c r="AD232">
        <f ca="1">IF(V32="Supercritical",L232,IF(V32="Subcritical",U232,IF(AND(T232=1,AC232=1),IF((((F232)*(L232)^2)/2+(G232)*(L232)^3/3+(ABS(K232)^2)/($I$5*MAX(((F232)+(G232)*(L232))*(L232),0.000001)))&gt;=(((F232)*(U232)^2)/2+(G232)*(U232)^3/3+(ABS(K232)^2)/($I$5*MAX(((F232)+(G232)*(U232))*(U232),0.000001))),L232,U232),IF(T232=1,L232,IF(AC232=1,U232,MAX($D$16,POWER((ABS(K232)^2)/($I$5*MAX(F232,0.1)^2),1/3)))))))</f>
        <v>51800.24833262719</v>
      </c>
      <c r="AE232">
        <f t="shared" ca="1" si="116"/>
        <v>52432.796332627193</v>
      </c>
      <c r="AF232">
        <f t="shared" ca="1" si="117"/>
        <v>52432.796332629019</v>
      </c>
      <c r="AI232">
        <v>0</v>
      </c>
      <c r="AJ232">
        <v>0</v>
      </c>
      <c r="AK232">
        <f t="shared" si="118"/>
        <v>0</v>
      </c>
      <c r="AL232">
        <f t="shared" si="127"/>
        <v>0</v>
      </c>
      <c r="AM232">
        <f t="shared" ca="1" si="119"/>
        <v>2.6550185630822375E-7</v>
      </c>
      <c r="AN232" t="str">
        <f t="shared" ca="1" si="120"/>
        <v>Subcritical</v>
      </c>
      <c r="AO232">
        <f t="shared" ca="1" si="121"/>
        <v>2.253341921756259E-12</v>
      </c>
    </row>
    <row r="233" spans="1:41" x14ac:dyDescent="0.35">
      <c r="A233">
        <v>84</v>
      </c>
      <c r="B233">
        <v>82.974999999999994</v>
      </c>
      <c r="C233">
        <v>616498.65700000001</v>
      </c>
      <c r="D233">
        <v>3097704.3939999999</v>
      </c>
      <c r="E233">
        <v>632.54600000000005</v>
      </c>
      <c r="F233">
        <v>5.7469999999999999</v>
      </c>
      <c r="G233">
        <v>0</v>
      </c>
      <c r="H233" t="s">
        <v>186</v>
      </c>
      <c r="I233">
        <v>24.24</v>
      </c>
      <c r="J233">
        <f t="shared" si="122"/>
        <v>0.99399999999999977</v>
      </c>
      <c r="K233">
        <f t="shared" si="123"/>
        <v>51</v>
      </c>
      <c r="L233">
        <f t="shared" ca="1" si="124"/>
        <v>51798.646748313819</v>
      </c>
      <c r="M233">
        <f t="shared" ca="1" si="101"/>
        <v>297686.82286255952</v>
      </c>
      <c r="N233">
        <f t="shared" ca="1" si="102"/>
        <v>2.87334060309021</v>
      </c>
      <c r="O233">
        <f t="shared" ca="1" si="103"/>
        <v>1.7132098595961851E-4</v>
      </c>
      <c r="P233">
        <f t="shared" ca="1" si="104"/>
        <v>52431.192748313821</v>
      </c>
      <c r="Q233">
        <f t="shared" ca="1" si="105"/>
        <v>52431.192748315319</v>
      </c>
      <c r="R233">
        <f t="shared" ca="1" si="106"/>
        <v>1.6166679742206348E-12</v>
      </c>
      <c r="S233">
        <f t="shared" ca="1" si="125"/>
        <v>2.0000001532025635E-3</v>
      </c>
      <c r="T233">
        <f t="shared" ca="1" si="126"/>
        <v>0</v>
      </c>
      <c r="U233">
        <f t="shared" ca="1" si="107"/>
        <v>51800.249355174965</v>
      </c>
      <c r="V233">
        <f t="shared" ca="1" si="108"/>
        <v>297696.0330441905</v>
      </c>
      <c r="W233">
        <f t="shared" ca="1" si="109"/>
        <v>2.8733406080213908</v>
      </c>
      <c r="X233">
        <f t="shared" ca="1" si="110"/>
        <v>1.7131568559541227E-4</v>
      </c>
      <c r="Y233">
        <f t="shared" ca="1" si="111"/>
        <v>52432.795355174967</v>
      </c>
      <c r="Z233">
        <f t="shared" ca="1" si="112"/>
        <v>52432.795355176466</v>
      </c>
      <c r="AA233">
        <f t="shared" ca="1" si="113"/>
        <v>1.616567938450594E-12</v>
      </c>
      <c r="AB233">
        <f t="shared" ca="1" si="114"/>
        <v>-9.7745228413259611E-4</v>
      </c>
      <c r="AC233">
        <f t="shared" ca="1" si="115"/>
        <v>1</v>
      </c>
      <c r="AD233">
        <f ca="1">IF(V32="Supercritical",L233,IF(V32="Subcritical",U233,IF(AND(T233=1,AC233=1),IF((((F233)*(L233)^2)/2+(G233)*(L233)^3/3+(ABS(K233)^2)/($I$5*MAX(((F233)+(G233)*(L233))*(L233),0.000001)))&gt;=(((F233)*(U233)^2)/2+(G233)*(U233)^3/3+(ABS(K233)^2)/($I$5*MAX(((F233)+(G233)*(U233))*(U233),0.000001))),L233,U233),IF(T233=1,L233,IF(AC233=1,U233,MAX($D$16,POWER((ABS(K233)^2)/($I$5*MAX(F233,0.1)^2),1/3)))))))</f>
        <v>51800.249355174965</v>
      </c>
      <c r="AE233">
        <f t="shared" ca="1" si="116"/>
        <v>52432.795355174967</v>
      </c>
      <c r="AF233">
        <f t="shared" ca="1" si="117"/>
        <v>52432.795355176466</v>
      </c>
      <c r="AI233">
        <v>0</v>
      </c>
      <c r="AJ233">
        <v>0</v>
      </c>
      <c r="AK233">
        <f t="shared" si="118"/>
        <v>0</v>
      </c>
      <c r="AL233">
        <f t="shared" si="127"/>
        <v>0</v>
      </c>
      <c r="AM233">
        <f t="shared" ca="1" si="119"/>
        <v>2.40323754240364E-7</v>
      </c>
      <c r="AN233" t="str">
        <f t="shared" ca="1" si="120"/>
        <v>Subcritical</v>
      </c>
      <c r="AO233">
        <f t="shared" ca="1" si="121"/>
        <v>1.616567938450594E-12</v>
      </c>
    </row>
    <row r="234" spans="1:41" x14ac:dyDescent="0.35">
      <c r="A234">
        <v>85</v>
      </c>
      <c r="B234">
        <v>83.974000000000004</v>
      </c>
      <c r="C234">
        <v>616497.78099999996</v>
      </c>
      <c r="D234">
        <v>3097703.912</v>
      </c>
      <c r="E234">
        <v>632.54399999999998</v>
      </c>
      <c r="F234">
        <v>5.6449999999999996</v>
      </c>
      <c r="G234">
        <v>0</v>
      </c>
      <c r="H234" t="s">
        <v>186</v>
      </c>
      <c r="I234">
        <v>0</v>
      </c>
      <c r="J234">
        <f t="shared" si="122"/>
        <v>0.99900000000000944</v>
      </c>
      <c r="K234">
        <f t="shared" si="123"/>
        <v>51</v>
      </c>
      <c r="L234">
        <f t="shared" ca="1" si="124"/>
        <v>51798.646748313819</v>
      </c>
      <c r="M234">
        <f t="shared" ca="1" si="101"/>
        <v>292403.36089423147</v>
      </c>
      <c r="N234">
        <f t="shared" ca="1" si="102"/>
        <v>2.8223462108051063</v>
      </c>
      <c r="O234">
        <f t="shared" ca="1" si="103"/>
        <v>1.7441659987775513E-4</v>
      </c>
      <c r="P234">
        <f t="shared" ca="1" si="104"/>
        <v>52431.19074831382</v>
      </c>
      <c r="Q234">
        <f t="shared" ca="1" si="105"/>
        <v>52431.19074831537</v>
      </c>
      <c r="R234">
        <f t="shared" ca="1" si="106"/>
        <v>1.7161072837632567E-12</v>
      </c>
      <c r="S234">
        <f t="shared" ca="1" si="125"/>
        <v>1.9999999421997927E-3</v>
      </c>
      <c r="T234">
        <f t="shared" ca="1" si="126"/>
        <v>0</v>
      </c>
      <c r="U234">
        <f t="shared" ca="1" si="107"/>
        <v>51800.250377722623</v>
      </c>
      <c r="V234">
        <f t="shared" ca="1" si="108"/>
        <v>292412.41338224418</v>
      </c>
      <c r="W234">
        <f t="shared" ca="1" si="109"/>
        <v>2.8223462155658443</v>
      </c>
      <c r="X234">
        <f t="shared" ca="1" si="110"/>
        <v>1.7441120029789E-4</v>
      </c>
      <c r="Y234">
        <f t="shared" ca="1" si="111"/>
        <v>52432.794377722625</v>
      </c>
      <c r="Z234">
        <f t="shared" ca="1" si="112"/>
        <v>52432.794377724174</v>
      </c>
      <c r="AA234">
        <f t="shared" ca="1" si="113"/>
        <v>1.7160010272316854E-12</v>
      </c>
      <c r="AB234">
        <f t="shared" ca="1" si="114"/>
        <v>-9.7745227685663849E-4</v>
      </c>
      <c r="AC234">
        <f t="shared" ca="1" si="115"/>
        <v>1</v>
      </c>
      <c r="AD234">
        <f ca="1">IF(V32="Supercritical",L234,IF(V32="Subcritical",U234,IF(AND(T234=1,AC234=1),IF((((F234)*(L234)^2)/2+(G234)*(L234)^3/3+(ABS(K234)^2)/($I$5*MAX(((F234)+(G234)*(L234))*(L234),0.000001)))&gt;=(((F234)*(U234)^2)/2+(G234)*(U234)^3/3+(ABS(K234)^2)/($I$5*MAX(((F234)+(G234)*(U234))*(U234),0.000001))),L234,U234),IF(T234=1,L234,IF(AC234=1,U234,MAX($D$16,POWER((ABS(K234)^2)/($I$5*MAX(F234,0.1)^2),1/3)))))))</f>
        <v>51800.250377722623</v>
      </c>
      <c r="AE234">
        <f t="shared" ca="1" si="116"/>
        <v>52432.794377722625</v>
      </c>
      <c r="AF234">
        <f t="shared" ca="1" si="117"/>
        <v>52432.794377724174</v>
      </c>
      <c r="AI234">
        <v>0</v>
      </c>
      <c r="AJ234">
        <v>0</v>
      </c>
      <c r="AK234">
        <f t="shared" si="118"/>
        <v>0</v>
      </c>
      <c r="AL234">
        <f t="shared" si="127"/>
        <v>0</v>
      </c>
      <c r="AM234">
        <f t="shared" ca="1" si="119"/>
        <v>2.4466617798465365E-7</v>
      </c>
      <c r="AN234" t="str">
        <f t="shared" ca="1" si="120"/>
        <v>Subcritical</v>
      </c>
      <c r="AO234">
        <f t="shared" ca="1" si="121"/>
        <v>1.7160010272316854E-12</v>
      </c>
    </row>
    <row r="235" spans="1:41" x14ac:dyDescent="0.35">
      <c r="A235">
        <v>86</v>
      </c>
      <c r="B235">
        <v>84.974000000000004</v>
      </c>
      <c r="C235">
        <v>616496.90500000003</v>
      </c>
      <c r="D235">
        <v>3097703.43</v>
      </c>
      <c r="E235">
        <v>632.54200000000003</v>
      </c>
      <c r="F235">
        <v>5.5279999999999996</v>
      </c>
      <c r="G235">
        <v>0</v>
      </c>
      <c r="H235" t="s">
        <v>186</v>
      </c>
      <c r="I235">
        <v>0</v>
      </c>
      <c r="J235">
        <f t="shared" si="122"/>
        <v>1</v>
      </c>
      <c r="K235">
        <f t="shared" si="123"/>
        <v>51</v>
      </c>
      <c r="L235">
        <f t="shared" ca="1" si="124"/>
        <v>51798.646748313819</v>
      </c>
      <c r="M235">
        <f t="shared" ca="1" si="101"/>
        <v>286342.91922467877</v>
      </c>
      <c r="N235">
        <f t="shared" ca="1" si="102"/>
        <v>2.7638525195377954</v>
      </c>
      <c r="O235">
        <f t="shared" ca="1" si="103"/>
        <v>1.7810812342798979E-4</v>
      </c>
      <c r="P235">
        <f t="shared" ca="1" si="104"/>
        <v>52431.18874831382</v>
      </c>
      <c r="Q235">
        <f t="shared" ca="1" si="105"/>
        <v>52431.188748315435</v>
      </c>
      <c r="R235">
        <f t="shared" ca="1" si="106"/>
        <v>1.8401934773468536E-12</v>
      </c>
      <c r="S235">
        <f t="shared" ca="1" si="125"/>
        <v>1.9999999276478775E-3</v>
      </c>
      <c r="T235">
        <f t="shared" ca="1" si="126"/>
        <v>0</v>
      </c>
      <c r="U235">
        <f t="shared" ca="1" si="107"/>
        <v>51800.251400270274</v>
      </c>
      <c r="V235">
        <f t="shared" ca="1" si="108"/>
        <v>286351.78974069405</v>
      </c>
      <c r="W235">
        <f t="shared" ca="1" si="109"/>
        <v>2.7638525241061549</v>
      </c>
      <c r="X235">
        <f t="shared" ca="1" si="110"/>
        <v>1.781026060503518E-4</v>
      </c>
      <c r="Y235">
        <f t="shared" ca="1" si="111"/>
        <v>52432.793400270275</v>
      </c>
      <c r="Z235">
        <f t="shared" ca="1" si="112"/>
        <v>52432.79340027189</v>
      </c>
      <c r="AA235">
        <f t="shared" ca="1" si="113"/>
        <v>1.8400794651836098E-12</v>
      </c>
      <c r="AB235">
        <f t="shared" ca="1" si="114"/>
        <v>-9.7745227685663849E-4</v>
      </c>
      <c r="AC235">
        <f t="shared" ca="1" si="115"/>
        <v>1</v>
      </c>
      <c r="AD235">
        <f ca="1">IF(V32="Supercritical",L235,IF(V32="Subcritical",U235,IF(AND(T235=1,AC235=1),IF((((F235)*(L235)^2)/2+(G235)*(L235)^3/3+(ABS(K235)^2)/($I$5*MAX(((F235)+(G235)*(L235))*(L235),0.000001)))&gt;=(((F235)*(U235)^2)/2+(G235)*(U235)^3/3+(ABS(K235)^2)/($I$5*MAX(((F235)+(G235)*(U235))*(U235),0.000001))),L235,U235),IF(T235=1,L235,IF(AC235=1,U235,MAX($D$16,POWER((ABS(K235)^2)/($I$5*MAX(F235,0.1)^2),1/3)))))))</f>
        <v>51800.251400270274</v>
      </c>
      <c r="AE235">
        <f t="shared" ca="1" si="116"/>
        <v>52432.793400270275</v>
      </c>
      <c r="AF235">
        <f t="shared" ca="1" si="117"/>
        <v>52432.79340027189</v>
      </c>
      <c r="AI235">
        <v>0</v>
      </c>
      <c r="AJ235">
        <v>0</v>
      </c>
      <c r="AK235">
        <f t="shared" si="118"/>
        <v>0</v>
      </c>
      <c r="AL235">
        <f t="shared" si="127"/>
        <v>0</v>
      </c>
      <c r="AM235">
        <f t="shared" ca="1" si="119"/>
        <v>2.4984452493259229E-7</v>
      </c>
      <c r="AN235" t="str">
        <f t="shared" ca="1" si="120"/>
        <v>Subcritical</v>
      </c>
      <c r="AO235">
        <f t="shared" ca="1" si="121"/>
        <v>1.8400794651836098E-12</v>
      </c>
    </row>
    <row r="236" spans="1:41" x14ac:dyDescent="0.35">
      <c r="A236">
        <v>87</v>
      </c>
      <c r="B236">
        <v>85.974000000000004</v>
      </c>
      <c r="C236">
        <v>616496.02899999998</v>
      </c>
      <c r="D236">
        <v>3097702.9479999999</v>
      </c>
      <c r="E236">
        <v>632.54</v>
      </c>
      <c r="F236">
        <v>5.4329999999999998</v>
      </c>
      <c r="G236">
        <v>0</v>
      </c>
      <c r="H236" t="s">
        <v>186</v>
      </c>
      <c r="I236">
        <v>0.05</v>
      </c>
      <c r="J236">
        <f t="shared" si="122"/>
        <v>1</v>
      </c>
      <c r="K236">
        <f t="shared" si="123"/>
        <v>51</v>
      </c>
      <c r="L236">
        <f t="shared" ca="1" si="124"/>
        <v>51798.646748313819</v>
      </c>
      <c r="M236">
        <f t="shared" ca="1" si="101"/>
        <v>281422.04778358899</v>
      </c>
      <c r="N236">
        <f t="shared" ca="1" si="102"/>
        <v>2.7163575448253239</v>
      </c>
      <c r="O236">
        <f t="shared" ca="1" si="103"/>
        <v>1.8122247493280463E-4</v>
      </c>
      <c r="P236">
        <f t="shared" ca="1" si="104"/>
        <v>52431.186748313819</v>
      </c>
      <c r="Q236">
        <f t="shared" ca="1" si="105"/>
        <v>52431.186748315493</v>
      </c>
      <c r="R236">
        <f t="shared" ca="1" si="106"/>
        <v>1.9496532908299486E-12</v>
      </c>
      <c r="S236">
        <f t="shared" ca="1" si="125"/>
        <v>1.9999999349238351E-3</v>
      </c>
      <c r="T236">
        <f t="shared" ca="1" si="126"/>
        <v>0</v>
      </c>
      <c r="U236">
        <f t="shared" ca="1" si="107"/>
        <v>51800.252422817932</v>
      </c>
      <c r="V236">
        <f t="shared" ca="1" si="108"/>
        <v>281430.7714131698</v>
      </c>
      <c r="W236">
        <f t="shared" ca="1" si="109"/>
        <v>2.7163575492408358</v>
      </c>
      <c r="X236">
        <f t="shared" ca="1" si="110"/>
        <v>1.8121685750250341E-4</v>
      </c>
      <c r="Y236">
        <f t="shared" ca="1" si="111"/>
        <v>52432.792422817933</v>
      </c>
      <c r="Z236">
        <f t="shared" ca="1" si="112"/>
        <v>52432.792422819606</v>
      </c>
      <c r="AA236">
        <f t="shared" ca="1" si="113"/>
        <v>1.9495324200097145E-12</v>
      </c>
      <c r="AB236">
        <f t="shared" ca="1" si="114"/>
        <v>-9.7745228413259611E-4</v>
      </c>
      <c r="AC236">
        <f t="shared" ca="1" si="115"/>
        <v>1</v>
      </c>
      <c r="AD236">
        <f ca="1">IF(V32="Supercritical",L236,IF(V32="Subcritical",U236,IF(AND(T236=1,AC236=1),IF((((F236)*(L236)^2)/2+(G236)*(L236)^3/3+(ABS(K236)^2)/($I$5*MAX(((F236)+(G236)*(L236))*(L236),0.000001)))&gt;=(((F236)*(U236)^2)/2+(G236)*(U236)^3/3+(ABS(K236)^2)/($I$5*MAX(((F236)+(G236)*(U236))*(U236),0.000001))),L236,U236),IF(T236=1,L236,IF(AC236=1,U236,MAX($D$16,POWER((ABS(K236)^2)/($I$5*MAX(F236,0.1)^2),1/3)))))))</f>
        <v>51800.252422817932</v>
      </c>
      <c r="AE236">
        <f t="shared" ca="1" si="116"/>
        <v>52432.792422817933</v>
      </c>
      <c r="AF236">
        <f t="shared" ca="1" si="117"/>
        <v>52432.792422819606</v>
      </c>
      <c r="AI236">
        <v>0</v>
      </c>
      <c r="AJ236">
        <v>0</v>
      </c>
      <c r="AK236">
        <f t="shared" si="118"/>
        <v>0</v>
      </c>
      <c r="AL236">
        <f t="shared" si="127"/>
        <v>0</v>
      </c>
      <c r="AM236">
        <f t="shared" ca="1" si="119"/>
        <v>2.542132326396783E-7</v>
      </c>
      <c r="AN236" t="str">
        <f t="shared" ca="1" si="120"/>
        <v>Subcritical</v>
      </c>
      <c r="AO236">
        <f t="shared" ca="1" si="121"/>
        <v>1.9495324200097145E-12</v>
      </c>
    </row>
    <row r="237" spans="1:41" x14ac:dyDescent="0.35">
      <c r="A237">
        <v>88</v>
      </c>
      <c r="B237">
        <v>86.974000000000004</v>
      </c>
      <c r="C237">
        <v>616495.15300000005</v>
      </c>
      <c r="D237">
        <v>3097702.4649999999</v>
      </c>
      <c r="E237">
        <v>632.53800000000001</v>
      </c>
      <c r="F237">
        <v>5.3540000000000001</v>
      </c>
      <c r="G237">
        <v>0</v>
      </c>
      <c r="H237" t="s">
        <v>186</v>
      </c>
      <c r="I237">
        <v>0.05</v>
      </c>
      <c r="J237">
        <f t="shared" si="122"/>
        <v>1</v>
      </c>
      <c r="K237">
        <f t="shared" si="123"/>
        <v>51</v>
      </c>
      <c r="L237">
        <f t="shared" ca="1" si="124"/>
        <v>51798.646748313819</v>
      </c>
      <c r="M237">
        <f t="shared" ca="1" si="101"/>
        <v>277329.95469047216</v>
      </c>
      <c r="N237">
        <f t="shared" ca="1" si="102"/>
        <v>2.6768616574156514</v>
      </c>
      <c r="O237">
        <f t="shared" ca="1" si="103"/>
        <v>1.8389647110756961E-4</v>
      </c>
      <c r="P237">
        <f t="shared" ca="1" si="104"/>
        <v>52431.184748313819</v>
      </c>
      <c r="Q237">
        <f t="shared" ca="1" si="105"/>
        <v>52431.184748315543</v>
      </c>
      <c r="R237">
        <f t="shared" ca="1" si="106"/>
        <v>2.0472053422348366E-12</v>
      </c>
      <c r="S237">
        <f t="shared" ca="1" si="125"/>
        <v>1.9999999421997927E-3</v>
      </c>
      <c r="T237">
        <f t="shared" ca="1" si="126"/>
        <v>0</v>
      </c>
      <c r="U237">
        <f t="shared" ca="1" si="107"/>
        <v>51800.25344536559</v>
      </c>
      <c r="V237">
        <f t="shared" ca="1" si="108"/>
        <v>277338.5569464874</v>
      </c>
      <c r="W237">
        <f t="shared" ca="1" si="109"/>
        <v>2.6768616617064249</v>
      </c>
      <c r="X237">
        <f t="shared" ca="1" si="110"/>
        <v>1.8389076716022746E-4</v>
      </c>
      <c r="Y237">
        <f t="shared" ca="1" si="111"/>
        <v>52432.79144536559</v>
      </c>
      <c r="Z237">
        <f t="shared" ca="1" si="112"/>
        <v>52432.791445367315</v>
      </c>
      <c r="AA237">
        <f t="shared" ca="1" si="113"/>
        <v>2.0470783428141052E-12</v>
      </c>
      <c r="AB237">
        <f t="shared" ca="1" si="114"/>
        <v>-9.7745229140855372E-4</v>
      </c>
      <c r="AC237">
        <f t="shared" ca="1" si="115"/>
        <v>1</v>
      </c>
      <c r="AD237">
        <f ca="1">IF(V32="Supercritical",L237,IF(V32="Subcritical",U237,IF(AND(T237=1,AC237=1),IF((((F237)*(L237)^2)/2+(G237)*(L237)^3/3+(ABS(K237)^2)/($I$5*MAX(((F237)+(G237)*(L237))*(L237),0.000001)))&gt;=(((F237)*(U237)^2)/2+(G237)*(U237)^3/3+(ABS(K237)^2)/($I$5*MAX(((F237)+(G237)*(U237))*(U237),0.000001))),L237,U237),IF(T237=1,L237,IF(AC237=1,U237,MAX($D$16,POWER((ABS(K237)^2)/($I$5*MAX(F237,0.1)^2),1/3)))))))</f>
        <v>51800.25344536559</v>
      </c>
      <c r="AE237">
        <f t="shared" ca="1" si="116"/>
        <v>52432.79144536559</v>
      </c>
      <c r="AF237">
        <f t="shared" ca="1" si="117"/>
        <v>52432.791445367315</v>
      </c>
      <c r="AI237">
        <v>0</v>
      </c>
      <c r="AJ237">
        <v>0</v>
      </c>
      <c r="AK237">
        <f t="shared" si="118"/>
        <v>0</v>
      </c>
      <c r="AL237">
        <f t="shared" si="127"/>
        <v>0</v>
      </c>
      <c r="AM237">
        <f t="shared" ca="1" si="119"/>
        <v>2.5796422339099288E-7</v>
      </c>
      <c r="AN237" t="str">
        <f t="shared" ca="1" si="120"/>
        <v>Subcritical</v>
      </c>
      <c r="AO237">
        <f t="shared" ca="1" si="121"/>
        <v>2.0470783428141052E-12</v>
      </c>
    </row>
    <row r="238" spans="1:41" x14ac:dyDescent="0.35">
      <c r="A238">
        <v>89</v>
      </c>
      <c r="B238">
        <v>87.974000000000004</v>
      </c>
      <c r="C238">
        <v>616494.277</v>
      </c>
      <c r="D238">
        <v>3097701.983</v>
      </c>
      <c r="E238">
        <v>632.53599999999994</v>
      </c>
      <c r="F238">
        <v>5.2939999999999996</v>
      </c>
      <c r="G238">
        <v>0</v>
      </c>
      <c r="H238" t="s">
        <v>186</v>
      </c>
      <c r="I238">
        <v>0</v>
      </c>
      <c r="J238">
        <f t="shared" si="122"/>
        <v>1</v>
      </c>
      <c r="K238">
        <f t="shared" si="123"/>
        <v>51</v>
      </c>
      <c r="L238">
        <f t="shared" ca="1" si="124"/>
        <v>51798.646748313819</v>
      </c>
      <c r="M238">
        <f t="shared" ca="1" si="101"/>
        <v>274222.03588557331</v>
      </c>
      <c r="N238">
        <f t="shared" ca="1" si="102"/>
        <v>2.6468647406562074</v>
      </c>
      <c r="O238">
        <f t="shared" ca="1" si="103"/>
        <v>1.8598067742915143E-4</v>
      </c>
      <c r="P238">
        <f t="shared" ca="1" si="104"/>
        <v>52431.182748313819</v>
      </c>
      <c r="Q238">
        <f t="shared" ca="1" si="105"/>
        <v>52431.182748315579</v>
      </c>
      <c r="R238">
        <f t="shared" ca="1" si="106"/>
        <v>2.1255720812604403E-12</v>
      </c>
      <c r="S238">
        <f t="shared" ca="1" si="125"/>
        <v>1.9999999567517079E-3</v>
      </c>
      <c r="T238">
        <f t="shared" ca="1" si="126"/>
        <v>0</v>
      </c>
      <c r="U238">
        <f t="shared" ca="1" si="107"/>
        <v>51800.254467913255</v>
      </c>
      <c r="V238">
        <f t="shared" ca="1" si="108"/>
        <v>274230.54715313273</v>
      </c>
      <c r="W238">
        <f t="shared" ca="1" si="109"/>
        <v>2.6468647448540241</v>
      </c>
      <c r="X238">
        <f t="shared" ca="1" si="110"/>
        <v>1.8597490516445331E-4</v>
      </c>
      <c r="Y238">
        <f t="shared" ca="1" si="111"/>
        <v>52432.790467913255</v>
      </c>
      <c r="Z238">
        <f t="shared" ca="1" si="112"/>
        <v>52432.790467915016</v>
      </c>
      <c r="AA238">
        <f t="shared" ca="1" si="113"/>
        <v>2.1254401364541391E-12</v>
      </c>
      <c r="AB238">
        <f t="shared" ca="1" si="114"/>
        <v>-9.7745229868451133E-4</v>
      </c>
      <c r="AC238">
        <f t="shared" ca="1" si="115"/>
        <v>1</v>
      </c>
      <c r="AD238">
        <f ca="1">IF(V32="Supercritical",L238,IF(V32="Subcritical",U238,IF(AND(T238=1,AC238=1),IF((((F238)*(L238)^2)/2+(G238)*(L238)^3/3+(ABS(K238)^2)/($I$5*MAX(((F238)+(G238)*(L238))*(L238),0.000001)))&gt;=(((F238)*(U238)^2)/2+(G238)*(U238)^3/3+(ABS(K238)^2)/($I$5*MAX(((F238)+(G238)*(U238))*(U238),0.000001))),L238,U238),IF(T238=1,L238,IF(AC238=1,U238,MAX($D$16,POWER((ABS(K238)^2)/($I$5*MAX(F238,0.1)^2),1/3)))))))</f>
        <v>51800.254467913255</v>
      </c>
      <c r="AE238">
        <f t="shared" ca="1" si="116"/>
        <v>52432.790467913255</v>
      </c>
      <c r="AF238">
        <f t="shared" ca="1" si="117"/>
        <v>52432.790467915016</v>
      </c>
      <c r="AI238">
        <v>0</v>
      </c>
      <c r="AJ238">
        <v>0</v>
      </c>
      <c r="AK238">
        <f t="shared" si="118"/>
        <v>0</v>
      </c>
      <c r="AL238">
        <f t="shared" si="127"/>
        <v>0</v>
      </c>
      <c r="AM238">
        <f t="shared" ca="1" si="119"/>
        <v>2.6088787516799816E-7</v>
      </c>
      <c r="AN238" t="str">
        <f t="shared" ca="1" si="120"/>
        <v>Subcritical</v>
      </c>
      <c r="AO238">
        <f t="shared" ca="1" si="121"/>
        <v>2.1254401364541391E-12</v>
      </c>
    </row>
    <row r="239" spans="1:41" x14ac:dyDescent="0.35">
      <c r="A239">
        <v>90</v>
      </c>
      <c r="B239">
        <v>88.974000000000004</v>
      </c>
      <c r="C239">
        <v>616493.40099999995</v>
      </c>
      <c r="D239">
        <v>3097701.5010000002</v>
      </c>
      <c r="E239">
        <v>632.53399999999999</v>
      </c>
      <c r="F239">
        <v>5.25</v>
      </c>
      <c r="G239">
        <v>0</v>
      </c>
      <c r="H239" t="s">
        <v>186</v>
      </c>
      <c r="I239">
        <v>0</v>
      </c>
      <c r="J239">
        <f t="shared" si="122"/>
        <v>1</v>
      </c>
      <c r="K239">
        <f t="shared" si="123"/>
        <v>51</v>
      </c>
      <c r="L239">
        <f t="shared" ca="1" si="124"/>
        <v>51798.646748313819</v>
      </c>
      <c r="M239">
        <f t="shared" ca="1" si="101"/>
        <v>271942.89542864752</v>
      </c>
      <c r="N239">
        <f t="shared" ca="1" si="102"/>
        <v>2.6248669796171513</v>
      </c>
      <c r="O239">
        <f t="shared" ca="1" si="103"/>
        <v>1.875393726304624E-4</v>
      </c>
      <c r="P239">
        <f t="shared" ca="1" si="104"/>
        <v>52431.180748313818</v>
      </c>
      <c r="Q239">
        <f t="shared" ca="1" si="105"/>
        <v>52431.180748315608</v>
      </c>
      <c r="R239">
        <f t="shared" ca="1" si="106"/>
        <v>2.1855346840266369E-12</v>
      </c>
      <c r="S239">
        <f t="shared" ca="1" si="125"/>
        <v>1.9999999713036232E-3</v>
      </c>
      <c r="T239">
        <f t="shared" ca="1" si="126"/>
        <v>0</v>
      </c>
      <c r="U239">
        <f t="shared" ca="1" si="107"/>
        <v>51800.255490460928</v>
      </c>
      <c r="V239">
        <f t="shared" ca="1" si="108"/>
        <v>271951.34132491989</v>
      </c>
      <c r="W239">
        <f t="shared" ca="1" si="109"/>
        <v>2.6248669837481091</v>
      </c>
      <c r="X239">
        <f t="shared" ca="1" si="110"/>
        <v>1.8753354828673788E-4</v>
      </c>
      <c r="Y239">
        <f t="shared" ca="1" si="111"/>
        <v>52432.789490460927</v>
      </c>
      <c r="Z239">
        <f t="shared" ca="1" si="112"/>
        <v>52432.789490462717</v>
      </c>
      <c r="AA239">
        <f t="shared" ca="1" si="113"/>
        <v>2.1853989307990859E-12</v>
      </c>
      <c r="AB239">
        <f t="shared" ca="1" si="114"/>
        <v>-9.7745229868451133E-4</v>
      </c>
      <c r="AC239">
        <f t="shared" ca="1" si="115"/>
        <v>1</v>
      </c>
      <c r="AD239">
        <f ca="1">IF(V32="Supercritical",L239,IF(V32="Subcritical",U239,IF(AND(T239=1,AC239=1),IF((((F239)*(L239)^2)/2+(G239)*(L239)^3/3+(ABS(K239)^2)/($I$5*MAX(((F239)+(G239)*(L239))*(L239),0.000001)))&gt;=(((F239)*(U239)^2)/2+(G239)*(U239)^3/3+(ABS(K239)^2)/($I$5*MAX(((F239)+(G239)*(U239))*(U239),0.000001))),L239,U239),IF(T239=1,L239,IF(AC239=1,U239,MAX($D$16,POWER((ABS(K239)^2)/($I$5*MAX(F239,0.1)^2),1/3)))))))</f>
        <v>51800.255490460928</v>
      </c>
      <c r="AE239">
        <f t="shared" ca="1" si="116"/>
        <v>52432.789490460927</v>
      </c>
      <c r="AF239">
        <f t="shared" ca="1" si="117"/>
        <v>52432.789490462717</v>
      </c>
      <c r="AI239">
        <v>0</v>
      </c>
      <c r="AJ239">
        <v>0</v>
      </c>
      <c r="AK239">
        <f t="shared" si="118"/>
        <v>0</v>
      </c>
      <c r="AL239">
        <f t="shared" si="127"/>
        <v>0</v>
      </c>
      <c r="AM239">
        <f t="shared" ca="1" si="119"/>
        <v>2.6307435623683603E-7</v>
      </c>
      <c r="AN239" t="str">
        <f t="shared" ca="1" si="120"/>
        <v>Subcritical</v>
      </c>
      <c r="AO239">
        <f t="shared" ca="1" si="121"/>
        <v>2.1853989307990859E-12</v>
      </c>
    </row>
    <row r="240" spans="1:41" x14ac:dyDescent="0.35">
      <c r="A240">
        <v>91</v>
      </c>
      <c r="B240">
        <v>89.974000000000004</v>
      </c>
      <c r="C240">
        <v>616492.52500000002</v>
      </c>
      <c r="D240">
        <v>3097701.0189999999</v>
      </c>
      <c r="E240">
        <v>632.53200000000004</v>
      </c>
      <c r="F240">
        <v>5.218</v>
      </c>
      <c r="G240">
        <v>0</v>
      </c>
      <c r="H240" t="s">
        <v>186</v>
      </c>
      <c r="I240">
        <v>0.05</v>
      </c>
      <c r="J240">
        <f t="shared" si="122"/>
        <v>1</v>
      </c>
      <c r="K240">
        <f t="shared" si="123"/>
        <v>51</v>
      </c>
      <c r="L240">
        <f t="shared" ca="1" si="124"/>
        <v>51798.646748313819</v>
      </c>
      <c r="M240">
        <f t="shared" ca="1" si="101"/>
        <v>270285.33873270149</v>
      </c>
      <c r="N240">
        <f t="shared" ca="1" si="102"/>
        <v>2.6088685962164107</v>
      </c>
      <c r="O240">
        <f t="shared" ca="1" si="103"/>
        <v>1.886894799367435E-4</v>
      </c>
      <c r="P240">
        <f t="shared" ca="1" si="104"/>
        <v>52431.178748313818</v>
      </c>
      <c r="Q240">
        <f t="shared" ca="1" si="105"/>
        <v>52431.178748315629</v>
      </c>
      <c r="R240">
        <f t="shared" ca="1" si="106"/>
        <v>2.2305311174918088E-12</v>
      </c>
      <c r="S240">
        <f t="shared" ca="1" si="125"/>
        <v>1.9999999785795808E-3</v>
      </c>
      <c r="T240">
        <f t="shared" ca="1" si="126"/>
        <v>0</v>
      </c>
      <c r="U240">
        <f t="shared" ca="1" si="107"/>
        <v>51800.256513008608</v>
      </c>
      <c r="V240">
        <f t="shared" ca="1" si="108"/>
        <v>270293.73848487891</v>
      </c>
      <c r="W240">
        <f t="shared" ca="1" si="109"/>
        <v>2.6088686002997599</v>
      </c>
      <c r="X240">
        <f t="shared" ca="1" si="110"/>
        <v>1.8868361614989132E-4</v>
      </c>
      <c r="Y240">
        <f t="shared" ca="1" si="111"/>
        <v>52432.788513008607</v>
      </c>
      <c r="Z240">
        <f t="shared" ca="1" si="112"/>
        <v>52432.788513010419</v>
      </c>
      <c r="AA240">
        <f t="shared" ca="1" si="113"/>
        <v>2.230392481305479E-12</v>
      </c>
      <c r="AB240">
        <f t="shared" ca="1" si="114"/>
        <v>-9.7745230596046895E-4</v>
      </c>
      <c r="AC240">
        <f t="shared" ca="1" si="115"/>
        <v>1</v>
      </c>
      <c r="AD240">
        <f ca="1">IF(V32="Supercritical",L240,IF(V32="Subcritical",U240,IF(AND(T240=1,AC240=1),IF((((F240)*(L240)^2)/2+(G240)*(L240)^3/3+(ABS(K240)^2)/($I$5*MAX(((F240)+(G240)*(L240))*(L240),0.000001)))&gt;=(((F240)*(U240)^2)/2+(G240)*(U240)^3/3+(ABS(K240)^2)/($I$5*MAX(((F240)+(G240)*(U240))*(U240),0.000001))),L240,U240),IF(T240=1,L240,IF(AC240=1,U240,MAX($D$16,POWER((ABS(K240)^2)/($I$5*MAX(F240,0.1)^2),1/3)))))))</f>
        <v>51800.256513008608</v>
      </c>
      <c r="AE240">
        <f t="shared" ca="1" si="116"/>
        <v>52432.788513008607</v>
      </c>
      <c r="AF240">
        <f t="shared" ca="1" si="117"/>
        <v>52432.788513010419</v>
      </c>
      <c r="AI240">
        <v>0</v>
      </c>
      <c r="AJ240">
        <v>0</v>
      </c>
      <c r="AK240">
        <f t="shared" si="118"/>
        <v>0</v>
      </c>
      <c r="AL240">
        <f t="shared" si="127"/>
        <v>0</v>
      </c>
      <c r="AM240">
        <f t="shared" ca="1" si="119"/>
        <v>2.6468768289524694E-7</v>
      </c>
      <c r="AN240" t="str">
        <f t="shared" ca="1" si="120"/>
        <v>Subcritical</v>
      </c>
      <c r="AO240">
        <f t="shared" ca="1" si="121"/>
        <v>2.230392481305479E-12</v>
      </c>
    </row>
    <row r="241" spans="1:41" x14ac:dyDescent="0.35">
      <c r="A241">
        <v>92</v>
      </c>
      <c r="B241">
        <v>90.974000000000004</v>
      </c>
      <c r="C241">
        <v>616491.64899999998</v>
      </c>
      <c r="D241">
        <v>3097700.5359999998</v>
      </c>
      <c r="E241">
        <v>632.53</v>
      </c>
      <c r="F241">
        <v>5.2030000000000003</v>
      </c>
      <c r="G241">
        <v>0</v>
      </c>
      <c r="H241" t="s">
        <v>186</v>
      </c>
      <c r="I241">
        <v>0.05</v>
      </c>
      <c r="J241">
        <f t="shared" si="122"/>
        <v>1</v>
      </c>
      <c r="K241">
        <f t="shared" si="123"/>
        <v>51</v>
      </c>
      <c r="L241">
        <f t="shared" ca="1" si="124"/>
        <v>51798.646748313819</v>
      </c>
      <c r="M241">
        <f t="shared" ca="1" si="101"/>
        <v>269508.35903147684</v>
      </c>
      <c r="N241">
        <f t="shared" ca="1" si="102"/>
        <v>2.6013693505952302</v>
      </c>
      <c r="O241">
        <f t="shared" ca="1" si="103"/>
        <v>1.8923346267728762E-4</v>
      </c>
      <c r="P241">
        <f t="shared" ca="1" si="104"/>
        <v>52431.176748313817</v>
      </c>
      <c r="Q241">
        <f t="shared" ca="1" si="105"/>
        <v>52431.176748315644</v>
      </c>
      <c r="R241">
        <f t="shared" ca="1" si="106"/>
        <v>2.2520379189502387E-12</v>
      </c>
      <c r="S241">
        <f t="shared" ca="1" si="125"/>
        <v>1.9999999858555384E-3</v>
      </c>
      <c r="T241">
        <f t="shared" ca="1" si="126"/>
        <v>0</v>
      </c>
      <c r="U241">
        <f t="shared" ca="1" si="107"/>
        <v>51800.257535556288</v>
      </c>
      <c r="V241">
        <f t="shared" ca="1" si="108"/>
        <v>269516.73995749938</v>
      </c>
      <c r="W241">
        <f t="shared" ca="1" si="109"/>
        <v>2.6013693546577161</v>
      </c>
      <c r="X241">
        <f t="shared" ca="1" si="110"/>
        <v>1.8922757825002741E-4</v>
      </c>
      <c r="Y241">
        <f t="shared" ca="1" si="111"/>
        <v>52432.787535556286</v>
      </c>
      <c r="Z241">
        <f t="shared" ca="1" si="112"/>
        <v>52432.787535558113</v>
      </c>
      <c r="AA241">
        <f t="shared" ca="1" si="113"/>
        <v>2.2518978571372117E-12</v>
      </c>
      <c r="AB241">
        <f t="shared" ca="1" si="114"/>
        <v>-9.7745230596046895E-4</v>
      </c>
      <c r="AC241">
        <f t="shared" ca="1" si="115"/>
        <v>1</v>
      </c>
      <c r="AD241">
        <f ca="1">IF(V32="Supercritical",L241,IF(V32="Subcritical",U241,IF(AND(T241=1,AC241=1),IF((((F241)*(L241)^2)/2+(G241)*(L241)^3/3+(ABS(K241)^2)/($I$5*MAX(((F241)+(G241)*(L241))*(L241),0.000001)))&gt;=(((F241)*(U241)^2)/2+(G241)*(U241)^3/3+(ABS(K241)^2)/($I$5*MAX(((F241)+(G241)*(U241))*(U241),0.000001))),L241,U241),IF(T241=1,L241,IF(AC241=1,U241,MAX($D$16,POWER((ABS(K241)^2)/($I$5*MAX(F241,0.1)^2),1/3)))))))</f>
        <v>51800.257535556288</v>
      </c>
      <c r="AE241">
        <f t="shared" ca="1" si="116"/>
        <v>52432.787535556286</v>
      </c>
      <c r="AF241">
        <f t="shared" ca="1" si="117"/>
        <v>52432.787535558113</v>
      </c>
      <c r="AI241">
        <v>0</v>
      </c>
      <c r="AJ241">
        <v>0</v>
      </c>
      <c r="AK241">
        <f t="shared" si="118"/>
        <v>0</v>
      </c>
      <c r="AL241">
        <f t="shared" si="127"/>
        <v>0</v>
      </c>
      <c r="AM241">
        <f t="shared" ca="1" si="119"/>
        <v>2.654507569577955E-7</v>
      </c>
      <c r="AN241" t="str">
        <f t="shared" ca="1" si="120"/>
        <v>Subcritical</v>
      </c>
      <c r="AO241">
        <f t="shared" ca="1" si="121"/>
        <v>2.2518978571372117E-12</v>
      </c>
    </row>
    <row r="242" spans="1:41" x14ac:dyDescent="0.35">
      <c r="A242">
        <v>93</v>
      </c>
      <c r="B242">
        <v>91.974000000000004</v>
      </c>
      <c r="C242">
        <v>616490.77300000004</v>
      </c>
      <c r="D242">
        <v>3097700.054</v>
      </c>
      <c r="E242">
        <v>632.52800000000002</v>
      </c>
      <c r="F242">
        <v>5.2</v>
      </c>
      <c r="G242">
        <v>0</v>
      </c>
      <c r="H242" t="s">
        <v>186</v>
      </c>
      <c r="I242">
        <v>0</v>
      </c>
      <c r="J242">
        <f t="shared" si="122"/>
        <v>1</v>
      </c>
      <c r="K242">
        <f t="shared" si="123"/>
        <v>51</v>
      </c>
      <c r="L242">
        <f t="shared" ca="1" si="124"/>
        <v>51798.646748313819</v>
      </c>
      <c r="M242">
        <f t="shared" ca="1" si="101"/>
        <v>269352.96309123188</v>
      </c>
      <c r="N242">
        <f t="shared" ca="1" si="102"/>
        <v>2.5998695012104087</v>
      </c>
      <c r="O242">
        <f t="shared" ca="1" si="103"/>
        <v>1.8934263582883222E-4</v>
      </c>
      <c r="P242">
        <f t="shared" ca="1" si="104"/>
        <v>52431.174748313817</v>
      </c>
      <c r="Q242">
        <f t="shared" ca="1" si="105"/>
        <v>52431.174748315643</v>
      </c>
      <c r="R242">
        <f t="shared" ca="1" si="106"/>
        <v>2.256371589722947E-12</v>
      </c>
      <c r="S242">
        <f t="shared" ca="1" si="125"/>
        <v>2.0000000004074536E-3</v>
      </c>
      <c r="T242">
        <f t="shared" ca="1" si="126"/>
        <v>0</v>
      </c>
      <c r="U242">
        <f t="shared" ca="1" si="107"/>
        <v>51800.258558103982</v>
      </c>
      <c r="V242">
        <f t="shared" ca="1" si="108"/>
        <v>269361.34450214071</v>
      </c>
      <c r="W242">
        <f t="shared" ca="1" si="109"/>
        <v>2.599869505270787</v>
      </c>
      <c r="X242">
        <f t="shared" ca="1" si="110"/>
        <v>1.89336744269164E-4</v>
      </c>
      <c r="Y242">
        <f t="shared" ca="1" si="111"/>
        <v>52432.78655810398</v>
      </c>
      <c r="Z242">
        <f t="shared" ca="1" si="112"/>
        <v>52432.786558105807</v>
      </c>
      <c r="AA242">
        <f t="shared" ca="1" si="113"/>
        <v>2.2562311693071546E-12</v>
      </c>
      <c r="AB242">
        <f t="shared" ca="1" si="114"/>
        <v>-9.7745230596046895E-4</v>
      </c>
      <c r="AC242">
        <f t="shared" ca="1" si="115"/>
        <v>1</v>
      </c>
      <c r="AD242">
        <f ca="1">IF(V32="Supercritical",L242,IF(V32="Subcritical",U242,IF(AND(T242=1,AC242=1),IF((((F242)*(L242)^2)/2+(G242)*(L242)^3/3+(ABS(K242)^2)/($I$5*MAX(((F242)+(G242)*(L242))*(L242),0.000001)))&gt;=(((F242)*(U242)^2)/2+(G242)*(U242)^3/3+(ABS(K242)^2)/($I$5*MAX(((F242)+(G242)*(U242))*(U242),0.000001))),L242,U242),IF(T242=1,L242,IF(AC242=1,U242,MAX($D$16,POWER((ABS(K242)^2)/($I$5*MAX(F242,0.1)^2),1/3)))))))</f>
        <v>51800.258558103982</v>
      </c>
      <c r="AE242">
        <f t="shared" ca="1" si="116"/>
        <v>52432.78655810398</v>
      </c>
      <c r="AF242">
        <f t="shared" ca="1" si="117"/>
        <v>52432.786558105807</v>
      </c>
      <c r="AI242">
        <v>0</v>
      </c>
      <c r="AJ242">
        <v>0</v>
      </c>
      <c r="AK242">
        <f t="shared" si="118"/>
        <v>0</v>
      </c>
      <c r="AL242">
        <f t="shared" si="127"/>
        <v>0</v>
      </c>
      <c r="AM242">
        <f t="shared" ca="1" si="119"/>
        <v>2.6560389376065817E-7</v>
      </c>
      <c r="AN242" t="str">
        <f t="shared" ca="1" si="120"/>
        <v>Subcritical</v>
      </c>
      <c r="AO242">
        <f t="shared" ca="1" si="121"/>
        <v>2.2562311693071546E-12</v>
      </c>
    </row>
    <row r="243" spans="1:41" x14ac:dyDescent="0.35">
      <c r="A243">
        <v>94</v>
      </c>
      <c r="B243">
        <v>92.974000000000004</v>
      </c>
      <c r="C243">
        <v>616489.897</v>
      </c>
      <c r="D243">
        <v>3097699.5720000002</v>
      </c>
      <c r="E243">
        <v>632.52599999999995</v>
      </c>
      <c r="F243">
        <v>5.2119999999999997</v>
      </c>
      <c r="G243">
        <v>0</v>
      </c>
      <c r="H243" t="s">
        <v>186</v>
      </c>
      <c r="I243">
        <v>0.05</v>
      </c>
      <c r="J243">
        <f t="shared" si="122"/>
        <v>1</v>
      </c>
      <c r="K243">
        <f t="shared" si="123"/>
        <v>51</v>
      </c>
      <c r="L243">
        <f t="shared" ca="1" si="124"/>
        <v>51798.646748313819</v>
      </c>
      <c r="M243">
        <f t="shared" ca="1" si="101"/>
        <v>269974.54685221158</v>
      </c>
      <c r="N243">
        <f t="shared" ca="1" si="102"/>
        <v>2.6058688982285232</v>
      </c>
      <c r="O243">
        <f t="shared" ca="1" si="103"/>
        <v>1.8890669729660931E-4</v>
      </c>
      <c r="P243">
        <f t="shared" ca="1" si="104"/>
        <v>52431.172748313817</v>
      </c>
      <c r="Q243">
        <f t="shared" ca="1" si="105"/>
        <v>52431.172748315636</v>
      </c>
      <c r="R243">
        <f t="shared" ca="1" si="106"/>
        <v>2.2391016597696797E-12</v>
      </c>
      <c r="S243">
        <f t="shared" ca="1" si="125"/>
        <v>2.0000000076834112E-3</v>
      </c>
      <c r="T243">
        <f t="shared" ca="1" si="126"/>
        <v>0</v>
      </c>
      <c r="U243">
        <f t="shared" ca="1" si="107"/>
        <v>51800.259580651684</v>
      </c>
      <c r="V243">
        <f t="shared" ca="1" si="108"/>
        <v>269982.95293435658</v>
      </c>
      <c r="W243">
        <f t="shared" ca="1" si="109"/>
        <v>2.605868902310251</v>
      </c>
      <c r="X243">
        <f t="shared" ca="1" si="110"/>
        <v>1.8890081557260431E-4</v>
      </c>
      <c r="Y243">
        <f t="shared" ca="1" si="111"/>
        <v>52432.785580651682</v>
      </c>
      <c r="Z243">
        <f t="shared" ca="1" si="112"/>
        <v>52432.785580653501</v>
      </c>
      <c r="AA243">
        <f t="shared" ca="1" si="113"/>
        <v>2.2389622257018325E-12</v>
      </c>
      <c r="AB243">
        <f t="shared" ca="1" si="114"/>
        <v>-9.7745225502876565E-4</v>
      </c>
      <c r="AC243">
        <f t="shared" ca="1" si="115"/>
        <v>1</v>
      </c>
      <c r="AD243">
        <f ca="1">IF(V32="Supercritical",L243,IF(V32="Subcritical",U243,IF(AND(T243=1,AC243=1),IF((((F243)*(L243)^2)/2+(G243)*(L243)^3/3+(ABS(K243)^2)/($I$5*MAX(((F243)+(G243)*(L243))*(L243),0.000001)))&gt;=(((F243)*(U243)^2)/2+(G243)*(U243)^3/3+(ABS(K243)^2)/($I$5*MAX(((F243)+(G243)*(U243))*(U243),0.000001))),L243,U243),IF(T243=1,L243,IF(AC243=1,U243,MAX($D$16,POWER((ABS(K243)^2)/($I$5*MAX(F243,0.1)^2),1/3)))))))</f>
        <v>51800.259580651684</v>
      </c>
      <c r="AE243">
        <f t="shared" ca="1" si="116"/>
        <v>52432.785580651682</v>
      </c>
      <c r="AF243">
        <f t="shared" ca="1" si="117"/>
        <v>52432.785580653501</v>
      </c>
      <c r="AI243">
        <v>0</v>
      </c>
      <c r="AJ243">
        <v>0</v>
      </c>
      <c r="AK243">
        <f t="shared" si="118"/>
        <v>0</v>
      </c>
      <c r="AL243">
        <f t="shared" si="127"/>
        <v>0</v>
      </c>
      <c r="AM243">
        <f t="shared" ca="1" si="119"/>
        <v>2.6499236505361422E-7</v>
      </c>
      <c r="AN243" t="str">
        <f t="shared" ca="1" si="120"/>
        <v>Subcritical</v>
      </c>
      <c r="AO243">
        <f t="shared" ca="1" si="121"/>
        <v>2.2389622257018325E-12</v>
      </c>
    </row>
    <row r="244" spans="1:41" x14ac:dyDescent="0.35">
      <c r="A244">
        <v>95</v>
      </c>
      <c r="B244">
        <v>93.974000000000004</v>
      </c>
      <c r="C244">
        <v>616489.02099999995</v>
      </c>
      <c r="D244">
        <v>3097699.0890000002</v>
      </c>
      <c r="E244">
        <v>632.524</v>
      </c>
      <c r="F244">
        <v>5.2370000000000001</v>
      </c>
      <c r="G244">
        <v>0</v>
      </c>
      <c r="H244" t="s">
        <v>186</v>
      </c>
      <c r="I244">
        <v>0.05</v>
      </c>
      <c r="J244">
        <f t="shared" si="122"/>
        <v>1</v>
      </c>
      <c r="K244">
        <f t="shared" si="123"/>
        <v>51</v>
      </c>
      <c r="L244">
        <f t="shared" ca="1" si="124"/>
        <v>51798.646748313819</v>
      </c>
      <c r="M244">
        <f t="shared" ca="1" si="101"/>
        <v>271269.51302091946</v>
      </c>
      <c r="N244">
        <f t="shared" ca="1" si="102"/>
        <v>2.6183676375525362</v>
      </c>
      <c r="O244">
        <f t="shared" ca="1" si="103"/>
        <v>1.8800490859460141E-4</v>
      </c>
      <c r="P244">
        <f t="shared" ca="1" si="104"/>
        <v>52431.170748313816</v>
      </c>
      <c r="Q244">
        <f t="shared" ca="1" si="105"/>
        <v>52431.170748315621</v>
      </c>
      <c r="R244">
        <f t="shared" ca="1" si="106"/>
        <v>2.2036708594211725E-12</v>
      </c>
      <c r="S244">
        <f t="shared" ca="1" si="125"/>
        <v>2.0000000076834112E-3</v>
      </c>
      <c r="T244">
        <f t="shared" ca="1" si="126"/>
        <v>0</v>
      </c>
      <c r="U244">
        <f t="shared" ca="1" si="107"/>
        <v>51800.260603199436</v>
      </c>
      <c r="V244">
        <f t="shared" ca="1" si="108"/>
        <v>271277.96477895544</v>
      </c>
      <c r="W244">
        <f t="shared" ca="1" si="109"/>
        <v>2.6183676416761252</v>
      </c>
      <c r="X244">
        <f t="shared" ca="1" si="110"/>
        <v>1.8799905123719195E-4</v>
      </c>
      <c r="Y244">
        <f t="shared" ca="1" si="111"/>
        <v>52432.784603199434</v>
      </c>
      <c r="Z244">
        <f t="shared" ca="1" si="112"/>
        <v>52432.784603201238</v>
      </c>
      <c r="AA244">
        <f t="shared" ca="1" si="113"/>
        <v>2.2035335446902517E-12</v>
      </c>
      <c r="AB244">
        <f t="shared" ca="1" si="114"/>
        <v>-9.7745172388385981E-4</v>
      </c>
      <c r="AC244">
        <f t="shared" ca="1" si="115"/>
        <v>1</v>
      </c>
      <c r="AD244">
        <f ca="1">IF(V32="Supercritical",L244,IF(V32="Subcritical",U244,IF(AND(T244=1,AC244=1),IF((((F244)*(L244)^2)/2+(G244)*(L244)^3/3+(ABS(K244)^2)/($I$5*MAX(((F244)+(G244)*(L244))*(L244),0.000001)))&gt;=(((F244)*(U244)^2)/2+(G244)*(U244)^3/3+(ABS(K244)^2)/($I$5*MAX(((F244)+(G244)*(U244))*(U244),0.000001))),L244,U244),IF(T244=1,L244,IF(AC244=1,U244,MAX($D$16,POWER((ABS(K244)^2)/($I$5*MAX(F244,0.1)^2),1/3)))))))</f>
        <v>51800.260603199436</v>
      </c>
      <c r="AE244">
        <f t="shared" ca="1" si="116"/>
        <v>52432.784603199434</v>
      </c>
      <c r="AF244">
        <f t="shared" ca="1" si="117"/>
        <v>52432.784603201238</v>
      </c>
      <c r="AI244">
        <v>0</v>
      </c>
      <c r="AJ244">
        <v>0</v>
      </c>
      <c r="AK244">
        <f t="shared" si="118"/>
        <v>0</v>
      </c>
      <c r="AL244">
        <f t="shared" si="127"/>
        <v>0</v>
      </c>
      <c r="AM244">
        <f t="shared" ca="1" si="119"/>
        <v>2.6372735645664529E-7</v>
      </c>
      <c r="AN244" t="str">
        <f t="shared" ca="1" si="120"/>
        <v>Subcritical</v>
      </c>
      <c r="AO244">
        <f t="shared" ca="1" si="121"/>
        <v>2.2035335446902517E-12</v>
      </c>
    </row>
    <row r="245" spans="1:41" x14ac:dyDescent="0.35">
      <c r="A245">
        <v>96</v>
      </c>
      <c r="B245">
        <v>94.974000000000004</v>
      </c>
      <c r="C245">
        <v>616488.14500000002</v>
      </c>
      <c r="D245">
        <v>3097698.6069999998</v>
      </c>
      <c r="E245">
        <v>632.52200000000005</v>
      </c>
      <c r="F245">
        <v>5.2709999999999999</v>
      </c>
      <c r="G245">
        <v>0</v>
      </c>
      <c r="H245" t="s">
        <v>186</v>
      </c>
      <c r="I245">
        <v>0</v>
      </c>
      <c r="J245">
        <f t="shared" si="122"/>
        <v>1</v>
      </c>
      <c r="K245">
        <f t="shared" si="123"/>
        <v>51</v>
      </c>
      <c r="L245">
        <f t="shared" ca="1" si="124"/>
        <v>51798.646748313819</v>
      </c>
      <c r="M245">
        <f t="shared" ca="1" si="101"/>
        <v>273030.66701036214</v>
      </c>
      <c r="N245">
        <f t="shared" ca="1" si="102"/>
        <v>2.6353659133529419</v>
      </c>
      <c r="O245">
        <f t="shared" ca="1" si="103"/>
        <v>1.8679220381520158E-4</v>
      </c>
      <c r="P245">
        <f t="shared" ca="1" si="104"/>
        <v>52431.168748313816</v>
      </c>
      <c r="Q245">
        <f t="shared" ca="1" si="105"/>
        <v>52431.168748315591</v>
      </c>
      <c r="R245">
        <f t="shared" ca="1" si="106"/>
        <v>2.1566455705021448E-12</v>
      </c>
      <c r="S245">
        <f t="shared" ca="1" si="125"/>
        <v>2.0000000222353265E-3</v>
      </c>
      <c r="T245">
        <f t="shared" ca="1" si="126"/>
        <v>0</v>
      </c>
      <c r="U245">
        <f t="shared" ca="1" si="107"/>
        <v>51800.261625747735</v>
      </c>
      <c r="V245">
        <f t="shared" ca="1" si="108"/>
        <v>273039.17902931629</v>
      </c>
      <c r="W245">
        <f t="shared" ca="1" si="109"/>
        <v>2.6353659175328912</v>
      </c>
      <c r="X245">
        <f t="shared" ca="1" si="110"/>
        <v>1.8678638055282212E-4</v>
      </c>
      <c r="Y245">
        <f t="shared" ca="1" si="111"/>
        <v>52432.783625747732</v>
      </c>
      <c r="Z245">
        <f t="shared" ca="1" si="112"/>
        <v>52432.783625749507</v>
      </c>
      <c r="AA245">
        <f t="shared" ca="1" si="113"/>
        <v>2.1565111008300563E-12</v>
      </c>
      <c r="AB245">
        <f t="shared" ca="1" si="114"/>
        <v>-9.7744583763414994E-4</v>
      </c>
      <c r="AC245">
        <f t="shared" ca="1" si="115"/>
        <v>1</v>
      </c>
      <c r="AD245">
        <f ca="1">IF(V32="Supercritical",L245,IF(V32="Subcritical",U245,IF(AND(T245=1,AC245=1),IF((((F245)*(L245)^2)/2+(G245)*(L245)^3/3+(ABS(K245)^2)/($I$5*MAX(((F245)+(G245)*(L245))*(L245),0.000001)))&gt;=(((F245)*(U245)^2)/2+(G245)*(U245)^3/3+(ABS(K245)^2)/($I$5*MAX(((F245)+(G245)*(U245))*(U245),0.000001))),L245,U245),IF(T245=1,L245,IF(AC245=1,U245,MAX($D$16,POWER((ABS(K245)^2)/($I$5*MAX(F245,0.1)^2),1/3)))))))</f>
        <v>51800.261625747735</v>
      </c>
      <c r="AE245">
        <f t="shared" ca="1" si="116"/>
        <v>52432.783625747732</v>
      </c>
      <c r="AF245">
        <f t="shared" ca="1" si="117"/>
        <v>52432.783625749507</v>
      </c>
      <c r="AI245">
        <v>0</v>
      </c>
      <c r="AJ245">
        <v>0</v>
      </c>
      <c r="AK245">
        <f t="shared" si="118"/>
        <v>0</v>
      </c>
      <c r="AL245">
        <f t="shared" si="127"/>
        <v>0</v>
      </c>
      <c r="AM245">
        <f t="shared" ca="1" si="119"/>
        <v>2.6202620467984184E-7</v>
      </c>
      <c r="AN245" t="str">
        <f t="shared" ca="1" si="120"/>
        <v>Subcritical</v>
      </c>
      <c r="AO245">
        <f t="shared" ca="1" si="121"/>
        <v>2.1565111008300563E-12</v>
      </c>
    </row>
    <row r="246" spans="1:41" x14ac:dyDescent="0.35">
      <c r="A246">
        <v>97</v>
      </c>
      <c r="B246">
        <v>95.974000000000004</v>
      </c>
      <c r="C246">
        <v>616487.26899999997</v>
      </c>
      <c r="D246">
        <v>3097698.125</v>
      </c>
      <c r="E246">
        <v>632.52</v>
      </c>
      <c r="F246">
        <v>5.327</v>
      </c>
      <c r="G246">
        <v>0</v>
      </c>
      <c r="H246" t="s">
        <v>186</v>
      </c>
      <c r="I246">
        <v>0</v>
      </c>
      <c r="J246">
        <f t="shared" si="122"/>
        <v>1</v>
      </c>
      <c r="K246">
        <f t="shared" si="123"/>
        <v>51</v>
      </c>
      <c r="L246">
        <f t="shared" ca="1" si="124"/>
        <v>51798.646748313819</v>
      </c>
      <c r="M246">
        <f t="shared" ca="1" si="101"/>
        <v>275931.39122826769</v>
      </c>
      <c r="N246">
        <f t="shared" ca="1" si="102"/>
        <v>2.6633630491735438</v>
      </c>
      <c r="O246">
        <f t="shared" ca="1" si="103"/>
        <v>1.8482855384079739E-4</v>
      </c>
      <c r="P246">
        <f t="shared" ca="1" si="104"/>
        <v>52431.166748313815</v>
      </c>
      <c r="Q246">
        <f t="shared" ca="1" si="105"/>
        <v>52431.166748315554</v>
      </c>
      <c r="R246">
        <f t="shared" ca="1" si="106"/>
        <v>2.0819972689643759E-12</v>
      </c>
      <c r="S246">
        <f t="shared" ca="1" si="125"/>
        <v>2.0000000222353265E-3</v>
      </c>
      <c r="T246">
        <f t="shared" ca="1" si="126"/>
        <v>0</v>
      </c>
      <c r="U246">
        <f t="shared" ca="1" si="107"/>
        <v>51800.262648301919</v>
      </c>
      <c r="V246">
        <f t="shared" ca="1" si="108"/>
        <v>275939.9991275043</v>
      </c>
      <c r="W246">
        <f t="shared" ca="1" si="109"/>
        <v>2.6633630534454809</v>
      </c>
      <c r="X246">
        <f t="shared" ca="1" si="110"/>
        <v>1.8482278814690545E-4</v>
      </c>
      <c r="Y246">
        <f t="shared" ca="1" si="111"/>
        <v>52432.782648301916</v>
      </c>
      <c r="Z246">
        <f t="shared" ca="1" si="112"/>
        <v>52432.782648303655</v>
      </c>
      <c r="AA246">
        <f t="shared" ca="1" si="113"/>
        <v>2.0818673714684392E-12</v>
      </c>
      <c r="AB246">
        <f t="shared" ca="1" si="114"/>
        <v>-9.7738193289842457E-4</v>
      </c>
      <c r="AC246">
        <f t="shared" ca="1" si="115"/>
        <v>1</v>
      </c>
      <c r="AD246">
        <f ca="1">IF(V32="Supercritical",L246,IF(V32="Subcritical",U246,IF(AND(T246=1,AC246=1),IF((((F246)*(L246)^2)/2+(G246)*(L246)^3/3+(ABS(K246)^2)/($I$5*MAX(((F246)+(G246)*(L246))*(L246),0.000001)))&gt;=(((F246)*(U246)^2)/2+(G246)*(U246)^3/3+(ABS(K246)^2)/($I$5*MAX(((F246)+(G246)*(U246))*(U246),0.000001))),L246,U246),IF(T246=1,L246,IF(AC246=1,U246,MAX($D$16,POWER((ABS(K246)^2)/($I$5*MAX(F246,0.1)^2),1/3)))))))</f>
        <v>51800.262648301919</v>
      </c>
      <c r="AE246">
        <f t="shared" ca="1" si="116"/>
        <v>52432.782648301916</v>
      </c>
      <c r="AF246">
        <f t="shared" ca="1" si="117"/>
        <v>52432.782648303655</v>
      </c>
      <c r="AI246">
        <v>0</v>
      </c>
      <c r="AJ246">
        <v>0</v>
      </c>
      <c r="AK246">
        <f t="shared" si="118"/>
        <v>0</v>
      </c>
      <c r="AL246">
        <f t="shared" si="127"/>
        <v>0</v>
      </c>
      <c r="AM246">
        <f t="shared" ca="1" si="119"/>
        <v>2.5927165082996197E-7</v>
      </c>
      <c r="AN246" t="str">
        <f t="shared" ca="1" si="120"/>
        <v>Subcritical</v>
      </c>
      <c r="AO246">
        <f t="shared" ca="1" si="121"/>
        <v>2.0818673714684392E-12</v>
      </c>
    </row>
    <row r="247" spans="1:41" x14ac:dyDescent="0.35">
      <c r="A247">
        <v>98</v>
      </c>
      <c r="B247">
        <v>96.974000000000004</v>
      </c>
      <c r="C247">
        <v>616486.39300000004</v>
      </c>
      <c r="D247">
        <v>3097697.6430000002</v>
      </c>
      <c r="E247">
        <v>632.51800000000003</v>
      </c>
      <c r="F247">
        <v>5.3959999999999999</v>
      </c>
      <c r="G247">
        <v>0</v>
      </c>
      <c r="H247" t="s">
        <v>186</v>
      </c>
      <c r="I247">
        <v>0.05</v>
      </c>
      <c r="J247">
        <f t="shared" si="122"/>
        <v>1</v>
      </c>
      <c r="K247">
        <f t="shared" si="123"/>
        <v>51</v>
      </c>
      <c r="L247">
        <f t="shared" ca="1" si="124"/>
        <v>51798.646748313819</v>
      </c>
      <c r="M247">
        <f t="shared" ca="1" si="101"/>
        <v>279505.49785390135</v>
      </c>
      <c r="N247">
        <f t="shared" ca="1" si="102"/>
        <v>2.6978594784742489</v>
      </c>
      <c r="O247">
        <f t="shared" ca="1" si="103"/>
        <v>1.8246510494994951E-4</v>
      </c>
      <c r="P247">
        <f t="shared" ca="1" si="104"/>
        <v>52431.164748313822</v>
      </c>
      <c r="Q247">
        <f t="shared" ca="1" si="105"/>
        <v>52431.164748315517</v>
      </c>
      <c r="R247">
        <f t="shared" ca="1" si="106"/>
        <v>1.9945720414402583E-12</v>
      </c>
      <c r="S247">
        <f t="shared" ca="1" si="125"/>
        <v>2.0000000222353265E-3</v>
      </c>
      <c r="T247">
        <f t="shared" ca="1" si="126"/>
        <v>0</v>
      </c>
      <c r="U247">
        <f t="shared" ca="1" si="107"/>
        <v>51800.263670920009</v>
      </c>
      <c r="V247">
        <f t="shared" ca="1" si="108"/>
        <v>279514.22276828438</v>
      </c>
      <c r="W247">
        <f t="shared" ca="1" si="109"/>
        <v>2.6978594828603386</v>
      </c>
      <c r="X247">
        <f t="shared" ca="1" si="110"/>
        <v>1.8245940938139201E-4</v>
      </c>
      <c r="Y247">
        <f t="shared" ca="1" si="111"/>
        <v>52432.781670920012</v>
      </c>
      <c r="Z247">
        <f t="shared" ca="1" si="112"/>
        <v>52432.781670921708</v>
      </c>
      <c r="AA247">
        <f t="shared" ca="1" si="113"/>
        <v>1.9944475196700775E-12</v>
      </c>
      <c r="AB247">
        <f t="shared" ca="1" si="114"/>
        <v>-9.7668825037544593E-4</v>
      </c>
      <c r="AC247">
        <f t="shared" ca="1" si="115"/>
        <v>1</v>
      </c>
      <c r="AD247">
        <f ca="1">IF(V32="Supercritical",L247,IF(V32="Subcritical",U247,IF(AND(T247=1,AC247=1),IF((((F247)*(L247)^2)/2+(G247)*(L247)^3/3+(ABS(K247)^2)/($I$5*MAX(((F247)+(G247)*(L247))*(L247),0.000001)))&gt;=(((F247)*(U247)^2)/2+(G247)*(U247)^3/3+(ABS(K247)^2)/($I$5*MAX(((F247)+(G247)*(U247))*(U247),0.000001))),L247,U247),IF(T247=1,L247,IF(AC247=1,U247,MAX($D$16,POWER((ABS(K247)^2)/($I$5*MAX(F247,0.1)^2),1/3)))))))</f>
        <v>51800.263670920009</v>
      </c>
      <c r="AE247">
        <f t="shared" ca="1" si="116"/>
        <v>52432.781670920012</v>
      </c>
      <c r="AF247">
        <f t="shared" ca="1" si="117"/>
        <v>52432.781670921708</v>
      </c>
      <c r="AI247">
        <v>0</v>
      </c>
      <c r="AJ247">
        <v>0</v>
      </c>
      <c r="AK247">
        <f t="shared" si="118"/>
        <v>0</v>
      </c>
      <c r="AL247">
        <f t="shared" si="127"/>
        <v>0</v>
      </c>
      <c r="AM247">
        <f t="shared" ca="1" si="119"/>
        <v>2.5595627188147044E-7</v>
      </c>
      <c r="AN247" t="str">
        <f t="shared" ca="1" si="120"/>
        <v>Subcritical</v>
      </c>
      <c r="AO247">
        <f t="shared" ca="1" si="121"/>
        <v>1.9944475196700775E-12</v>
      </c>
    </row>
    <row r="248" spans="1:41" x14ac:dyDescent="0.35">
      <c r="A248">
        <v>99</v>
      </c>
      <c r="B248">
        <v>97.974000000000004</v>
      </c>
      <c r="C248">
        <v>616485.51699999999</v>
      </c>
      <c r="D248">
        <v>3097697.16</v>
      </c>
      <c r="E248">
        <v>632.51599999999996</v>
      </c>
      <c r="F248">
        <v>5.4820000000000002</v>
      </c>
      <c r="G248">
        <v>0</v>
      </c>
      <c r="H248" t="s">
        <v>186</v>
      </c>
      <c r="I248">
        <v>0.05</v>
      </c>
      <c r="J248">
        <f t="shared" si="122"/>
        <v>1</v>
      </c>
      <c r="K248">
        <f t="shared" si="123"/>
        <v>51</v>
      </c>
      <c r="L248">
        <f t="shared" ca="1" si="124"/>
        <v>51798.646748313819</v>
      </c>
      <c r="M248">
        <f t="shared" ca="1" si="101"/>
        <v>283960.18147425639</v>
      </c>
      <c r="N248">
        <f t="shared" ca="1" si="102"/>
        <v>2.7408549637118509</v>
      </c>
      <c r="O248">
        <f t="shared" ca="1" si="103"/>
        <v>1.796026461710922E-4</v>
      </c>
      <c r="P248">
        <f t="shared" ca="1" si="104"/>
        <v>52431.162748313822</v>
      </c>
      <c r="Q248">
        <f t="shared" ca="1" si="105"/>
        <v>52431.162748315466</v>
      </c>
      <c r="R248">
        <f t="shared" ca="1" si="106"/>
        <v>1.8921689306111936E-12</v>
      </c>
      <c r="S248">
        <f t="shared" ca="1" si="125"/>
        <v>2.0000000367872417E-3</v>
      </c>
      <c r="T248">
        <f t="shared" ca="1" si="126"/>
        <v>0</v>
      </c>
      <c r="U248">
        <f t="shared" ca="1" si="107"/>
        <v>51800.264694231795</v>
      </c>
      <c r="V248">
        <f t="shared" ca="1" si="108"/>
        <v>283969.05105377873</v>
      </c>
      <c r="W248">
        <f t="shared" ca="1" si="109"/>
        <v>2.7408549682417207</v>
      </c>
      <c r="X248">
        <f t="shared" ca="1" si="110"/>
        <v>1.7959703640500421E-4</v>
      </c>
      <c r="Y248">
        <f t="shared" ca="1" si="111"/>
        <v>52432.780694231798</v>
      </c>
      <c r="Z248">
        <f t="shared" ca="1" si="112"/>
        <v>52432.780694233443</v>
      </c>
      <c r="AA248">
        <f t="shared" ca="1" si="113"/>
        <v>1.8920507270772115E-12</v>
      </c>
      <c r="AB248">
        <f t="shared" ca="1" si="114"/>
        <v>-9.6915780886774883E-4</v>
      </c>
      <c r="AC248">
        <f t="shared" ca="1" si="115"/>
        <v>1</v>
      </c>
      <c r="AD248">
        <f ca="1">IF(V32="Supercritical",L248,IF(V32="Subcritical",U248,IF(AND(T248=1,AC248=1),IF((((F248)*(L248)^2)/2+(G248)*(L248)^3/3+(ABS(K248)^2)/($I$5*MAX(((F248)+(G248)*(L248))*(L248),0.000001)))&gt;=(((F248)*(U248)^2)/2+(G248)*(U248)^3/3+(ABS(K248)^2)/($I$5*MAX(((F248)+(G248)*(U248))*(U248),0.000001))),L248,U248),IF(T248=1,L248,IF(AC248=1,U248,MAX($D$16,POWER((ABS(K248)^2)/($I$5*MAX(F248,0.1)^2),1/3)))))))</f>
        <v>51800.264694231795</v>
      </c>
      <c r="AE248">
        <f t="shared" ca="1" si="116"/>
        <v>52432.780694231798</v>
      </c>
      <c r="AF248">
        <f t="shared" ca="1" si="117"/>
        <v>52432.780694233443</v>
      </c>
      <c r="AI248">
        <v>0</v>
      </c>
      <c r="AJ248">
        <v>0</v>
      </c>
      <c r="AK248">
        <f t="shared" si="118"/>
        <v>0</v>
      </c>
      <c r="AL248">
        <f t="shared" si="127"/>
        <v>0</v>
      </c>
      <c r="AM248">
        <f t="shared" ca="1" si="119"/>
        <v>2.5194089787411163E-7</v>
      </c>
      <c r="AN248" t="str">
        <f t="shared" ca="1" si="120"/>
        <v>Subcritical</v>
      </c>
      <c r="AO248">
        <f t="shared" ca="1" si="121"/>
        <v>1.8920507270772115E-12</v>
      </c>
    </row>
    <row r="249" spans="1:41" x14ac:dyDescent="0.35">
      <c r="A249">
        <v>100</v>
      </c>
      <c r="B249">
        <v>98.974000000000004</v>
      </c>
      <c r="C249">
        <v>616484.64099999995</v>
      </c>
      <c r="D249">
        <v>3097696.6779999998</v>
      </c>
      <c r="E249">
        <v>632.51400000000001</v>
      </c>
      <c r="F249">
        <v>5.593</v>
      </c>
      <c r="G249">
        <v>0</v>
      </c>
      <c r="H249" t="s">
        <v>186</v>
      </c>
      <c r="I249">
        <v>0</v>
      </c>
      <c r="J249">
        <f t="shared" si="122"/>
        <v>1</v>
      </c>
      <c r="K249">
        <f t="shared" si="123"/>
        <v>51</v>
      </c>
      <c r="L249">
        <f t="shared" ca="1" si="124"/>
        <v>51798.646748313819</v>
      </c>
      <c r="M249">
        <f t="shared" ca="1" si="101"/>
        <v>289709.83126331918</v>
      </c>
      <c r="N249">
        <f t="shared" ca="1" si="102"/>
        <v>2.7963490309968293</v>
      </c>
      <c r="O249">
        <f t="shared" ca="1" si="103"/>
        <v>1.7603820960306233E-4</v>
      </c>
      <c r="P249">
        <f t="shared" ca="1" si="104"/>
        <v>52431.160748313821</v>
      </c>
      <c r="Q249">
        <f t="shared" ca="1" si="105"/>
        <v>52431.1607483154</v>
      </c>
      <c r="R249">
        <f t="shared" ca="1" si="106"/>
        <v>1.769869453484947E-12</v>
      </c>
      <c r="S249">
        <f t="shared" ca="1" si="125"/>
        <v>2.0000000440631993E-3</v>
      </c>
      <c r="T249">
        <f t="shared" ca="1" si="126"/>
        <v>0</v>
      </c>
      <c r="U249">
        <f t="shared" ca="1" si="107"/>
        <v>51800.26572507403</v>
      </c>
      <c r="V249">
        <f t="shared" ca="1" si="108"/>
        <v>289718.88620033907</v>
      </c>
      <c r="W249">
        <f t="shared" ca="1" si="109"/>
        <v>2.7963490357149929</v>
      </c>
      <c r="X249">
        <f t="shared" ca="1" si="110"/>
        <v>1.7603270766660951E-4</v>
      </c>
      <c r="Y249">
        <f t="shared" ca="1" si="111"/>
        <v>52432.779725074033</v>
      </c>
      <c r="Z249">
        <f t="shared" ca="1" si="112"/>
        <v>52432.779725075612</v>
      </c>
      <c r="AA249">
        <f t="shared" ca="1" si="113"/>
        <v>1.769758819463496E-12</v>
      </c>
      <c r="AB249">
        <f t="shared" ca="1" si="114"/>
        <v>-8.8741063518682495E-4</v>
      </c>
      <c r="AC249">
        <f t="shared" ca="1" si="115"/>
        <v>1</v>
      </c>
      <c r="AD249">
        <f ca="1">IF(V32="Supercritical",L249,IF(V32="Subcritical",U249,IF(AND(T249=1,AC249=1),IF((((F249)*(L249)^2)/2+(G249)*(L249)^3/3+(ABS(K249)^2)/($I$5*MAX(((F249)+(G249)*(L249))*(L249),0.000001)))&gt;=(((F249)*(U249)^2)/2+(G249)*(U249)^3/3+(ABS(K249)^2)/($I$5*MAX(((F249)+(G249)*(U249))*(U249),0.000001))),L249,U249),IF(T249=1,L249,IF(AC249=1,U249,MAX($D$16,POWER((ABS(K249)^2)/($I$5*MAX(F249,0.1)^2),1/3)))))))</f>
        <v>51800.26572507403</v>
      </c>
      <c r="AE249">
        <f t="shared" ca="1" si="116"/>
        <v>52432.779725074033</v>
      </c>
      <c r="AF249">
        <f t="shared" ca="1" si="117"/>
        <v>52432.779725075612</v>
      </c>
      <c r="AI249">
        <v>0</v>
      </c>
      <c r="AJ249">
        <v>0</v>
      </c>
      <c r="AK249">
        <f t="shared" si="118"/>
        <v>0</v>
      </c>
      <c r="AL249">
        <f t="shared" si="127"/>
        <v>0</v>
      </c>
      <c r="AM249">
        <f t="shared" ca="1" si="119"/>
        <v>2.4694081189311164E-7</v>
      </c>
      <c r="AN249" t="str">
        <f t="shared" ca="1" si="120"/>
        <v>Subcritical</v>
      </c>
      <c r="AO249">
        <f t="shared" ca="1" si="121"/>
        <v>1.769758819463496E-12</v>
      </c>
    </row>
    <row r="250" spans="1:41" x14ac:dyDescent="0.35">
      <c r="A250">
        <v>101</v>
      </c>
      <c r="B250">
        <v>99.974000000000004</v>
      </c>
      <c r="C250">
        <v>616483.76500000001</v>
      </c>
      <c r="D250">
        <v>3097696.196</v>
      </c>
      <c r="E250">
        <v>632.51199999999994</v>
      </c>
      <c r="F250">
        <v>5.7089999999999996</v>
      </c>
      <c r="G250">
        <v>0</v>
      </c>
      <c r="H250" t="s">
        <v>186</v>
      </c>
      <c r="I250">
        <v>12.302</v>
      </c>
      <c r="J250">
        <f t="shared" si="122"/>
        <v>1</v>
      </c>
      <c r="K250">
        <f t="shared" si="123"/>
        <v>51</v>
      </c>
      <c r="L250">
        <f t="shared" ca="1" si="124"/>
        <v>51798.646748313819</v>
      </c>
      <c r="M250">
        <f t="shared" ca="1" si="101"/>
        <v>295718.47428612359</v>
      </c>
      <c r="N250">
        <f t="shared" ca="1" si="102"/>
        <v>2.854342703974718</v>
      </c>
      <c r="O250">
        <f t="shared" ca="1" si="103"/>
        <v>1.7246132533016773E-4</v>
      </c>
      <c r="P250">
        <f t="shared" ca="1" si="104"/>
        <v>52431.158748313821</v>
      </c>
      <c r="Q250">
        <f t="shared" ca="1" si="105"/>
        <v>52431.158748315334</v>
      </c>
      <c r="R250">
        <f t="shared" ca="1" si="106"/>
        <v>1.6528158533910082E-12</v>
      </c>
      <c r="S250">
        <f t="shared" ca="1" si="125"/>
        <v>2.0000000149593689E-3</v>
      </c>
      <c r="T250">
        <f t="shared" ca="1" si="126"/>
        <v>0</v>
      </c>
      <c r="U250">
        <f t="shared" ca="1" si="107"/>
        <v>51800.26683766341</v>
      </c>
      <c r="V250">
        <f t="shared" ca="1" si="108"/>
        <v>295727.72337622038</v>
      </c>
      <c r="W250">
        <f t="shared" ca="1" si="109"/>
        <v>2.8543427088939892</v>
      </c>
      <c r="X250">
        <f t="shared" ca="1" si="110"/>
        <v>1.7245593148234724E-4</v>
      </c>
      <c r="Y250">
        <f t="shared" ca="1" si="111"/>
        <v>52432.778837663413</v>
      </c>
      <c r="Z250">
        <f t="shared" ca="1" si="112"/>
        <v>52432.778837664926</v>
      </c>
      <c r="AA250">
        <f t="shared" ca="1" si="113"/>
        <v>1.6527124652807158E-12</v>
      </c>
      <c r="AB250">
        <f t="shared" ca="1" si="114"/>
        <v>-4.9999961629509926E-4</v>
      </c>
      <c r="AC250">
        <f t="shared" ca="1" si="115"/>
        <v>1</v>
      </c>
      <c r="AD250">
        <f ca="1">IF(V32="Supercritical",L250,IF(V32="Subcritical",U250,IF(AND(T250=1,AC250=1),IF((((F250)*(L250)^2)/2+(G250)*(L250)^3/3+(ABS(K250)^2)/($I$5*MAX(((F250)+(G250)*(L250))*(L250),0.000001)))&gt;=(((F250)*(U250)^2)/2+(G250)*(U250)^3/3+(ABS(K250)^2)/($I$5*MAX(((F250)+(G250)*(U250))*(U250),0.000001))),L250,U250),IF(T250=1,L250,IF(AC250=1,U250,MAX($D$16,POWER((ABS(K250)^2)/($I$5*MAX(F250,0.1)^2),1/3)))))))</f>
        <v>51800.26683766341</v>
      </c>
      <c r="AE250">
        <f t="shared" ca="1" si="116"/>
        <v>52432.778837663413</v>
      </c>
      <c r="AF250">
        <f t="shared" ca="1" si="117"/>
        <v>52432.778837664926</v>
      </c>
      <c r="AI250">
        <v>0</v>
      </c>
      <c r="AJ250">
        <v>0</v>
      </c>
      <c r="AK250">
        <f t="shared" si="118"/>
        <v>0</v>
      </c>
      <c r="AL250">
        <f t="shared" si="127"/>
        <v>0</v>
      </c>
      <c r="AM250">
        <f t="shared" ca="1" si="119"/>
        <v>2.4192326439324894E-7</v>
      </c>
      <c r="AN250" t="str">
        <f t="shared" ca="1" si="120"/>
        <v>Subcritical</v>
      </c>
      <c r="AO250">
        <f t="shared" ca="1" si="121"/>
        <v>1.6527124652807158E-12</v>
      </c>
    </row>
    <row r="251" spans="1:41" x14ac:dyDescent="0.35">
      <c r="A251">
        <v>102</v>
      </c>
      <c r="B251">
        <v>100.94799999999999</v>
      </c>
      <c r="C251">
        <v>616482.83100000001</v>
      </c>
      <c r="D251">
        <v>3097695.9190000002</v>
      </c>
      <c r="E251">
        <v>632.51149999999996</v>
      </c>
      <c r="F251">
        <v>5.2</v>
      </c>
      <c r="G251">
        <v>0</v>
      </c>
      <c r="H251" t="s">
        <v>186</v>
      </c>
      <c r="I251">
        <v>13.824999999999999</v>
      </c>
      <c r="J251">
        <f t="shared" si="122"/>
        <v>0.97399999999998954</v>
      </c>
      <c r="K251">
        <f t="shared" si="123"/>
        <v>51</v>
      </c>
      <c r="L251">
        <f t="shared" ca="1" si="124"/>
        <v>51798.646748313819</v>
      </c>
      <c r="M251">
        <f t="shared" ca="1" si="101"/>
        <v>269352.96309123188</v>
      </c>
      <c r="N251">
        <f t="shared" ca="1" si="102"/>
        <v>2.5998695012104087</v>
      </c>
      <c r="O251">
        <f t="shared" ca="1" si="103"/>
        <v>1.8934263582883222E-4</v>
      </c>
      <c r="P251">
        <f t="shared" ca="1" si="104"/>
        <v>52431.158248313819</v>
      </c>
      <c r="Q251">
        <f t="shared" ca="1" si="105"/>
        <v>52431.158248315645</v>
      </c>
      <c r="R251">
        <f t="shared" ca="1" si="106"/>
        <v>2.256371589722947E-12</v>
      </c>
      <c r="S251">
        <f t="shared" ca="1" si="125"/>
        <v>4.9999961629509926E-4</v>
      </c>
      <c r="T251">
        <f t="shared" ca="1" si="126"/>
        <v>1</v>
      </c>
      <c r="U251">
        <f t="shared" ca="1" si="107"/>
        <v>51800.26683766341</v>
      </c>
      <c r="V251">
        <f t="shared" ca="1" si="108"/>
        <v>269361.38755584974</v>
      </c>
      <c r="W251">
        <f t="shared" ca="1" si="109"/>
        <v>2.5998695052916441</v>
      </c>
      <c r="X251">
        <f t="shared" ca="1" si="110"/>
        <v>1.8933671400629237E-4</v>
      </c>
      <c r="Y251">
        <f t="shared" ca="1" si="111"/>
        <v>52432.778337663411</v>
      </c>
      <c r="Z251">
        <f t="shared" ca="1" si="112"/>
        <v>52432.778337665237</v>
      </c>
      <c r="AA251">
        <f t="shared" ca="1" si="113"/>
        <v>2.2562304480281055E-12</v>
      </c>
      <c r="AB251">
        <f t="shared" ca="1" si="114"/>
        <v>-5.0000000192085281E-4</v>
      </c>
      <c r="AC251">
        <f t="shared" ca="1" si="115"/>
        <v>1</v>
      </c>
      <c r="AD251">
        <f ca="1">IF(V32="Supercritical",L251,IF(V32="Subcritical",U251,IF(AND(T251=1,AC251=1),IF((((F251)*(L251)^2)/2+(G251)*(L251)^3/3+(ABS(K251)^2)/($I$5*MAX(((F251)+(G251)*(L251))*(L251),0.000001)))&gt;=(((F251)*(U251)^2)/2+(G251)*(U251)^3/3+(ABS(K251)^2)/($I$5*MAX(((F251)+(G251)*(U251))*(U251),0.000001))),L251,U251),IF(T251=1,L251,IF(AC251=1,U251,MAX($D$16,POWER((ABS(K251)^2)/($I$5*MAX(F251,0.1)^2),1/3)))))))</f>
        <v>51800.26683766341</v>
      </c>
      <c r="AE251">
        <f t="shared" ca="1" si="116"/>
        <v>52432.778337663411</v>
      </c>
      <c r="AF251">
        <f t="shared" ca="1" si="117"/>
        <v>52432.778337665237</v>
      </c>
      <c r="AI251">
        <v>0</v>
      </c>
      <c r="AJ251">
        <v>0</v>
      </c>
      <c r="AK251">
        <f t="shared" si="118"/>
        <v>0</v>
      </c>
      <c r="AL251">
        <f t="shared" si="127"/>
        <v>0</v>
      </c>
      <c r="AM251">
        <f t="shared" ca="1" si="119"/>
        <v>2.6560383008097266E-7</v>
      </c>
      <c r="AN251" t="str">
        <f t="shared" ca="1" si="120"/>
        <v>Subcritical</v>
      </c>
      <c r="AO251">
        <f t="shared" ca="1" si="121"/>
        <v>2.2562304480281055E-12</v>
      </c>
    </row>
    <row r="252" spans="1:41" x14ac:dyDescent="0.35">
      <c r="A252">
        <v>103</v>
      </c>
      <c r="B252">
        <v>101.94799999999999</v>
      </c>
      <c r="C252">
        <v>616481.83200000005</v>
      </c>
      <c r="D252">
        <v>3097695.872</v>
      </c>
      <c r="E252">
        <v>632.51099999999997</v>
      </c>
      <c r="F252">
        <v>5.2</v>
      </c>
      <c r="G252">
        <v>0</v>
      </c>
      <c r="H252" t="s">
        <v>186</v>
      </c>
      <c r="I252">
        <v>5.7000000000000002E-2</v>
      </c>
      <c r="J252">
        <f t="shared" si="122"/>
        <v>1</v>
      </c>
      <c r="K252">
        <f t="shared" si="123"/>
        <v>51</v>
      </c>
      <c r="L252">
        <f t="shared" ca="1" si="124"/>
        <v>51798.638489481178</v>
      </c>
      <c r="M252">
        <f t="shared" ca="1" si="101"/>
        <v>269352.92014530214</v>
      </c>
      <c r="N252">
        <f t="shared" ca="1" si="102"/>
        <v>2.5998695011896027</v>
      </c>
      <c r="O252">
        <f t="shared" ca="1" si="103"/>
        <v>1.8934266601783307E-4</v>
      </c>
      <c r="P252">
        <f t="shared" ca="1" si="104"/>
        <v>52431.149489481177</v>
      </c>
      <c r="Q252">
        <f t="shared" ca="1" si="105"/>
        <v>52431.149489483003</v>
      </c>
      <c r="R252">
        <f t="shared" ca="1" si="106"/>
        <v>2.2563723092638822E-12</v>
      </c>
      <c r="S252">
        <f t="shared" ca="1" si="125"/>
        <v>8.7588326423428953E-3</v>
      </c>
      <c r="T252">
        <f t="shared" ca="1" si="126"/>
        <v>0</v>
      </c>
      <c r="U252">
        <f t="shared" ca="1" si="107"/>
        <v>51800.26683766341</v>
      </c>
      <c r="V252">
        <f t="shared" ca="1" si="108"/>
        <v>269361.38755584974</v>
      </c>
      <c r="W252">
        <f t="shared" ca="1" si="109"/>
        <v>2.5998695052916441</v>
      </c>
      <c r="X252">
        <f t="shared" ca="1" si="110"/>
        <v>1.8933671400629237E-4</v>
      </c>
      <c r="Y252">
        <f t="shared" ca="1" si="111"/>
        <v>52432.777837663409</v>
      </c>
      <c r="Z252">
        <f t="shared" ca="1" si="112"/>
        <v>52432.777837665235</v>
      </c>
      <c r="AA252">
        <f t="shared" ca="1" si="113"/>
        <v>2.2562304480281055E-12</v>
      </c>
      <c r="AB252">
        <f t="shared" ca="1" si="114"/>
        <v>-5.0000000192085281E-4</v>
      </c>
      <c r="AC252">
        <f t="shared" ca="1" si="115"/>
        <v>1</v>
      </c>
      <c r="AD252">
        <f ca="1">IF(V32="Supercritical",L252,IF(V32="Subcritical",U252,IF(AND(T252=1,AC252=1),IF((((F252)*(L252)^2)/2+(G252)*(L252)^3/3+(ABS(K252)^2)/($I$5*MAX(((F252)+(G252)*(L252))*(L252),0.000001)))&gt;=(((F252)*(U252)^2)/2+(G252)*(U252)^3/3+(ABS(K252)^2)/($I$5*MAX(((F252)+(G252)*(U252))*(U252),0.000001))),L252,U252),IF(T252=1,L252,IF(AC252=1,U252,MAX($D$16,POWER((ABS(K252)^2)/($I$5*MAX(F252,0.1)^2),1/3)))))))</f>
        <v>51800.26683766341</v>
      </c>
      <c r="AE252">
        <f t="shared" ca="1" si="116"/>
        <v>52432.777837663409</v>
      </c>
      <c r="AF252">
        <f t="shared" ca="1" si="117"/>
        <v>52432.777837665235</v>
      </c>
      <c r="AI252">
        <v>0</v>
      </c>
      <c r="AJ252">
        <v>0</v>
      </c>
      <c r="AK252">
        <f t="shared" si="118"/>
        <v>0</v>
      </c>
      <c r="AL252">
        <f t="shared" si="127"/>
        <v>0</v>
      </c>
      <c r="AM252">
        <f t="shared" ca="1" si="119"/>
        <v>2.6560383008097266E-7</v>
      </c>
      <c r="AN252" t="str">
        <f t="shared" ca="1" si="120"/>
        <v>Subcritical</v>
      </c>
      <c r="AO252">
        <f t="shared" ca="1" si="121"/>
        <v>2.2562304480281055E-12</v>
      </c>
    </row>
    <row r="253" spans="1:41" x14ac:dyDescent="0.35">
      <c r="A253">
        <v>104</v>
      </c>
      <c r="B253">
        <v>102.94799999999999</v>
      </c>
      <c r="C253">
        <v>616480.83299999998</v>
      </c>
      <c r="D253">
        <v>3097695.824</v>
      </c>
      <c r="E253">
        <v>632.51049999999998</v>
      </c>
      <c r="F253">
        <v>5.2</v>
      </c>
      <c r="G253">
        <v>0</v>
      </c>
      <c r="H253" t="s">
        <v>186</v>
      </c>
      <c r="I253">
        <v>0</v>
      </c>
      <c r="J253">
        <f t="shared" si="122"/>
        <v>1</v>
      </c>
      <c r="K253">
        <f t="shared" si="123"/>
        <v>51</v>
      </c>
      <c r="L253">
        <f t="shared" ca="1" si="124"/>
        <v>51798.638489481178</v>
      </c>
      <c r="M253">
        <f t="shared" ca="1" si="101"/>
        <v>269352.92014530214</v>
      </c>
      <c r="N253">
        <f t="shared" ca="1" si="102"/>
        <v>2.5998695011896027</v>
      </c>
      <c r="O253">
        <f t="shared" ca="1" si="103"/>
        <v>1.8934266601783307E-4</v>
      </c>
      <c r="P253">
        <f t="shared" ca="1" si="104"/>
        <v>52431.148989481175</v>
      </c>
      <c r="Q253">
        <f t="shared" ca="1" si="105"/>
        <v>52431.148989483001</v>
      </c>
      <c r="R253">
        <f t="shared" ca="1" si="106"/>
        <v>2.2563723092638822E-12</v>
      </c>
      <c r="S253">
        <f t="shared" ca="1" si="125"/>
        <v>5.0000000192085281E-4</v>
      </c>
      <c r="T253">
        <f t="shared" ca="1" si="126"/>
        <v>1</v>
      </c>
      <c r="U253">
        <f t="shared" ca="1" si="107"/>
        <v>51800.26683766341</v>
      </c>
      <c r="V253">
        <f t="shared" ca="1" si="108"/>
        <v>269361.38755584974</v>
      </c>
      <c r="W253">
        <f t="shared" ca="1" si="109"/>
        <v>2.5998695052916441</v>
      </c>
      <c r="X253">
        <f t="shared" ca="1" si="110"/>
        <v>1.8933671400629237E-4</v>
      </c>
      <c r="Y253">
        <f t="shared" ca="1" si="111"/>
        <v>52432.777337663407</v>
      </c>
      <c r="Z253">
        <f t="shared" ca="1" si="112"/>
        <v>52432.777337665233</v>
      </c>
      <c r="AA253">
        <f t="shared" ca="1" si="113"/>
        <v>2.2562304480281055E-12</v>
      </c>
      <c r="AB253">
        <f t="shared" ca="1" si="114"/>
        <v>-4.999999946448952E-4</v>
      </c>
      <c r="AC253">
        <f t="shared" ca="1" si="115"/>
        <v>1</v>
      </c>
      <c r="AD253">
        <f ca="1">IF(V32="Supercritical",L253,IF(V32="Subcritical",U253,IF(AND(T253=1,AC253=1),IF((((F253)*(L253)^2)/2+(G253)*(L253)^3/3+(ABS(K253)^2)/($I$5*MAX(((F253)+(G253)*(L253))*(L253),0.000001)))&gt;=(((F253)*(U253)^2)/2+(G253)*(U253)^3/3+(ABS(K253)^2)/($I$5*MAX(((F253)+(G253)*(U253))*(U253),0.000001))),L253,U253),IF(T253=1,L253,IF(AC253=1,U253,MAX($D$16,POWER((ABS(K253)^2)/($I$5*MAX(F253,0.1)^2),1/3)))))))</f>
        <v>51800.26683766341</v>
      </c>
      <c r="AE253">
        <f t="shared" ca="1" si="116"/>
        <v>52432.777337663407</v>
      </c>
      <c r="AF253">
        <f t="shared" ca="1" si="117"/>
        <v>52432.777337665233</v>
      </c>
      <c r="AI253">
        <v>0</v>
      </c>
      <c r="AJ253">
        <v>0</v>
      </c>
      <c r="AK253">
        <f t="shared" si="118"/>
        <v>0</v>
      </c>
      <c r="AL253">
        <f t="shared" si="127"/>
        <v>0</v>
      </c>
      <c r="AM253">
        <f t="shared" ca="1" si="119"/>
        <v>2.6560383008097266E-7</v>
      </c>
      <c r="AN253" t="str">
        <f t="shared" ca="1" si="120"/>
        <v>Subcritical</v>
      </c>
      <c r="AO253">
        <f t="shared" ca="1" si="121"/>
        <v>2.2562304480281055E-12</v>
      </c>
    </row>
    <row r="254" spans="1:41" x14ac:dyDescent="0.35">
      <c r="A254">
        <v>105</v>
      </c>
      <c r="B254">
        <v>103.949</v>
      </c>
      <c r="C254">
        <v>616479.83400000003</v>
      </c>
      <c r="D254">
        <v>3097695.7760000001</v>
      </c>
      <c r="E254">
        <v>632.51</v>
      </c>
      <c r="F254">
        <v>5.2</v>
      </c>
      <c r="G254">
        <v>0</v>
      </c>
      <c r="H254" t="s">
        <v>186</v>
      </c>
      <c r="I254">
        <v>5.5E-2</v>
      </c>
      <c r="J254">
        <f t="shared" si="122"/>
        <v>1.0010000000000048</v>
      </c>
      <c r="K254">
        <f t="shared" si="123"/>
        <v>51</v>
      </c>
      <c r="L254">
        <f t="shared" ca="1" si="124"/>
        <v>51798.626244005085</v>
      </c>
      <c r="M254">
        <f t="shared" ca="1" si="101"/>
        <v>269352.85646882647</v>
      </c>
      <c r="N254">
        <f t="shared" ca="1" si="102"/>
        <v>2.5998695011587536</v>
      </c>
      <c r="O254">
        <f t="shared" ca="1" si="103"/>
        <v>1.8934271077946589E-4</v>
      </c>
      <c r="P254">
        <f t="shared" ca="1" si="104"/>
        <v>52431.136244005087</v>
      </c>
      <c r="Q254">
        <f t="shared" ca="1" si="105"/>
        <v>52431.136244006913</v>
      </c>
      <c r="R254">
        <f t="shared" ca="1" si="106"/>
        <v>2.2563733761370009E-12</v>
      </c>
      <c r="S254">
        <f t="shared" ca="1" si="125"/>
        <v>1.2745476087729912E-2</v>
      </c>
      <c r="T254">
        <f t="shared" ca="1" si="126"/>
        <v>0</v>
      </c>
      <c r="U254">
        <f t="shared" ca="1" si="107"/>
        <v>51800.26683766341</v>
      </c>
      <c r="V254">
        <f t="shared" ca="1" si="108"/>
        <v>269361.38755584974</v>
      </c>
      <c r="W254">
        <f t="shared" ca="1" si="109"/>
        <v>2.5998695052916441</v>
      </c>
      <c r="X254">
        <f t="shared" ca="1" si="110"/>
        <v>1.8933671400629237E-4</v>
      </c>
      <c r="Y254">
        <f t="shared" ca="1" si="111"/>
        <v>52432.776837663412</v>
      </c>
      <c r="Z254">
        <f t="shared" ca="1" si="112"/>
        <v>52432.776837665238</v>
      </c>
      <c r="AA254">
        <f t="shared" ca="1" si="113"/>
        <v>2.2562304480281055E-12</v>
      </c>
      <c r="AB254">
        <f t="shared" ca="1" si="114"/>
        <v>-5.0000000192085281E-4</v>
      </c>
      <c r="AC254">
        <f t="shared" ca="1" si="115"/>
        <v>1</v>
      </c>
      <c r="AD254">
        <f ca="1">IF(V32="Supercritical",L254,IF(V32="Subcritical",U254,IF(AND(T254=1,AC254=1),IF((((F254)*(L254)^2)/2+(G254)*(L254)^3/3+(ABS(K254)^2)/($I$5*MAX(((F254)+(G254)*(L254))*(L254),0.000001)))&gt;=(((F254)*(U254)^2)/2+(G254)*(U254)^3/3+(ABS(K254)^2)/($I$5*MAX(((F254)+(G254)*(U254))*(U254),0.000001))),L254,U254),IF(T254=1,L254,IF(AC254=1,U254,MAX($D$16,POWER((ABS(K254)^2)/($I$5*MAX(F254,0.1)^2),1/3)))))))</f>
        <v>51800.26683766341</v>
      </c>
      <c r="AE254">
        <f t="shared" ca="1" si="116"/>
        <v>52432.776837663412</v>
      </c>
      <c r="AF254">
        <f t="shared" ca="1" si="117"/>
        <v>52432.776837665238</v>
      </c>
      <c r="AI254">
        <v>0</v>
      </c>
      <c r="AJ254">
        <v>0</v>
      </c>
      <c r="AK254">
        <f t="shared" si="118"/>
        <v>0</v>
      </c>
      <c r="AL254">
        <f t="shared" si="127"/>
        <v>0</v>
      </c>
      <c r="AM254">
        <f t="shared" ca="1" si="119"/>
        <v>2.6560383008097266E-7</v>
      </c>
      <c r="AN254" t="str">
        <f t="shared" ca="1" si="120"/>
        <v>Subcritical</v>
      </c>
      <c r="AO254">
        <f t="shared" ca="1" si="121"/>
        <v>2.2562304480281055E-12</v>
      </c>
    </row>
    <row r="255" spans="1:41" x14ac:dyDescent="0.35">
      <c r="A255">
        <v>106</v>
      </c>
      <c r="B255">
        <v>104.94799999999999</v>
      </c>
      <c r="C255">
        <v>616478.83600000001</v>
      </c>
      <c r="D255">
        <v>3097695.7289999998</v>
      </c>
      <c r="E255">
        <v>632.5095</v>
      </c>
      <c r="F255">
        <v>5.2</v>
      </c>
      <c r="G255">
        <v>0</v>
      </c>
      <c r="H255" t="s">
        <v>186</v>
      </c>
      <c r="I255">
        <v>5.5E-2</v>
      </c>
      <c r="J255">
        <f t="shared" si="122"/>
        <v>0.99899999999999523</v>
      </c>
      <c r="K255">
        <f t="shared" si="123"/>
        <v>51</v>
      </c>
      <c r="L255">
        <f t="shared" ca="1" si="124"/>
        <v>51798.626244005085</v>
      </c>
      <c r="M255">
        <f t="shared" ca="1" si="101"/>
        <v>269352.85646882647</v>
      </c>
      <c r="N255">
        <f t="shared" ca="1" si="102"/>
        <v>2.5998695011587536</v>
      </c>
      <c r="O255">
        <f t="shared" ca="1" si="103"/>
        <v>1.8934271077946589E-4</v>
      </c>
      <c r="P255">
        <f t="shared" ca="1" si="104"/>
        <v>52431.135744005085</v>
      </c>
      <c r="Q255">
        <f t="shared" ca="1" si="105"/>
        <v>52431.135744006911</v>
      </c>
      <c r="R255">
        <f t="shared" ca="1" si="106"/>
        <v>2.2563733761370009E-12</v>
      </c>
      <c r="S255">
        <f t="shared" ca="1" si="125"/>
        <v>5.0000000192085281E-4</v>
      </c>
      <c r="T255">
        <f t="shared" ca="1" si="126"/>
        <v>1</v>
      </c>
      <c r="U255">
        <f t="shared" ca="1" si="107"/>
        <v>51800.26683766341</v>
      </c>
      <c r="V255">
        <f t="shared" ca="1" si="108"/>
        <v>269361.38755584974</v>
      </c>
      <c r="W255">
        <f t="shared" ca="1" si="109"/>
        <v>2.5998695052916441</v>
      </c>
      <c r="X255">
        <f t="shared" ca="1" si="110"/>
        <v>1.8933671400629237E-4</v>
      </c>
      <c r="Y255">
        <f t="shared" ca="1" si="111"/>
        <v>52432.77633766341</v>
      </c>
      <c r="Z255">
        <f t="shared" ca="1" si="112"/>
        <v>52432.776337665236</v>
      </c>
      <c r="AA255">
        <f t="shared" ca="1" si="113"/>
        <v>2.2562304480281055E-12</v>
      </c>
      <c r="AB255">
        <f t="shared" ca="1" si="114"/>
        <v>-5.0000000192085281E-4</v>
      </c>
      <c r="AC255">
        <f t="shared" ca="1" si="115"/>
        <v>1</v>
      </c>
      <c r="AD255">
        <f ca="1">IF(V32="Supercritical",L255,IF(V32="Subcritical",U255,IF(AND(T255=1,AC255=1),IF((((F255)*(L255)^2)/2+(G255)*(L255)^3/3+(ABS(K255)^2)/($I$5*MAX(((F255)+(G255)*(L255))*(L255),0.000001)))&gt;=(((F255)*(U255)^2)/2+(G255)*(U255)^3/3+(ABS(K255)^2)/($I$5*MAX(((F255)+(G255)*(U255))*(U255),0.000001))),L255,U255),IF(T255=1,L255,IF(AC255=1,U255,MAX($D$16,POWER((ABS(K255)^2)/($I$5*MAX(F255,0.1)^2),1/3)))))))</f>
        <v>51800.26683766341</v>
      </c>
      <c r="AE255">
        <f t="shared" ca="1" si="116"/>
        <v>52432.77633766341</v>
      </c>
      <c r="AF255">
        <f t="shared" ca="1" si="117"/>
        <v>52432.776337665236</v>
      </c>
      <c r="AI255">
        <v>0</v>
      </c>
      <c r="AJ255">
        <v>0</v>
      </c>
      <c r="AK255">
        <f t="shared" si="118"/>
        <v>0</v>
      </c>
      <c r="AL255">
        <f t="shared" si="127"/>
        <v>0</v>
      </c>
      <c r="AM255">
        <f t="shared" ca="1" si="119"/>
        <v>2.6560383008097266E-7</v>
      </c>
      <c r="AN255" t="str">
        <f t="shared" ca="1" si="120"/>
        <v>Subcritical</v>
      </c>
      <c r="AO255">
        <f t="shared" ca="1" si="121"/>
        <v>2.2562304480281055E-12</v>
      </c>
    </row>
    <row r="256" spans="1:41" x14ac:dyDescent="0.35">
      <c r="A256">
        <v>107</v>
      </c>
      <c r="B256">
        <v>105.94799999999999</v>
      </c>
      <c r="C256">
        <v>616477.83700000006</v>
      </c>
      <c r="D256">
        <v>3097695.6809999999</v>
      </c>
      <c r="E256">
        <v>632.50900000000001</v>
      </c>
      <c r="F256">
        <v>5.2</v>
      </c>
      <c r="G256">
        <v>0</v>
      </c>
      <c r="H256" t="s">
        <v>186</v>
      </c>
      <c r="I256">
        <v>0</v>
      </c>
      <c r="J256">
        <f t="shared" si="122"/>
        <v>1</v>
      </c>
      <c r="K256">
        <f t="shared" si="123"/>
        <v>51</v>
      </c>
      <c r="L256">
        <f t="shared" ca="1" si="124"/>
        <v>51798.613598182266</v>
      </c>
      <c r="M256">
        <f t="shared" ca="1" si="101"/>
        <v>269352.79071054782</v>
      </c>
      <c r="N256">
        <f t="shared" ca="1" si="102"/>
        <v>2.599869501126896</v>
      </c>
      <c r="O256">
        <f t="shared" ca="1" si="103"/>
        <v>1.8934275700453266E-4</v>
      </c>
      <c r="P256">
        <f t="shared" ca="1" si="104"/>
        <v>52431.122598182264</v>
      </c>
      <c r="Q256">
        <f t="shared" ca="1" si="105"/>
        <v>52431.122598184091</v>
      </c>
      <c r="R256">
        <f t="shared" ca="1" si="106"/>
        <v>2.2563744778906656E-12</v>
      </c>
      <c r="S256">
        <f t="shared" ca="1" si="125"/>
        <v>1.3145822820661124E-2</v>
      </c>
      <c r="T256">
        <f t="shared" ca="1" si="126"/>
        <v>0</v>
      </c>
      <c r="U256">
        <f t="shared" ca="1" si="107"/>
        <v>51800.26683766341</v>
      </c>
      <c r="V256">
        <f t="shared" ca="1" si="108"/>
        <v>269361.38755584974</v>
      </c>
      <c r="W256">
        <f t="shared" ca="1" si="109"/>
        <v>2.5998695052916441</v>
      </c>
      <c r="X256">
        <f t="shared" ca="1" si="110"/>
        <v>1.8933671400629237E-4</v>
      </c>
      <c r="Y256">
        <f t="shared" ca="1" si="111"/>
        <v>52432.775837663408</v>
      </c>
      <c r="Z256">
        <f t="shared" ca="1" si="112"/>
        <v>52432.775837665235</v>
      </c>
      <c r="AA256">
        <f t="shared" ca="1" si="113"/>
        <v>2.2562304480281055E-12</v>
      </c>
      <c r="AB256">
        <f t="shared" ca="1" si="114"/>
        <v>-4.999999946448952E-4</v>
      </c>
      <c r="AC256">
        <f t="shared" ca="1" si="115"/>
        <v>1</v>
      </c>
      <c r="AD256">
        <f ca="1">IF(V32="Supercritical",L256,IF(V32="Subcritical",U256,IF(AND(T256=1,AC256=1),IF((((F256)*(L256)^2)/2+(G256)*(L256)^3/3+(ABS(K256)^2)/($I$5*MAX(((F256)+(G256)*(L256))*(L256),0.000001)))&gt;=(((F256)*(U256)^2)/2+(G256)*(U256)^3/3+(ABS(K256)^2)/($I$5*MAX(((F256)+(G256)*(U256))*(U256),0.000001))),L256,U256),IF(T256=1,L256,IF(AC256=1,U256,MAX($D$16,POWER((ABS(K256)^2)/($I$5*MAX(F256,0.1)^2),1/3)))))))</f>
        <v>51800.26683766341</v>
      </c>
      <c r="AE256">
        <f t="shared" ca="1" si="116"/>
        <v>52432.775837663408</v>
      </c>
      <c r="AF256">
        <f t="shared" ca="1" si="117"/>
        <v>52432.775837665235</v>
      </c>
      <c r="AI256">
        <v>0</v>
      </c>
      <c r="AJ256">
        <v>0</v>
      </c>
      <c r="AK256">
        <f t="shared" si="118"/>
        <v>0</v>
      </c>
      <c r="AL256">
        <f t="shared" si="127"/>
        <v>0</v>
      </c>
      <c r="AM256">
        <f t="shared" ca="1" si="119"/>
        <v>2.6560383008097266E-7</v>
      </c>
      <c r="AN256" t="str">
        <f t="shared" ca="1" si="120"/>
        <v>Subcritical</v>
      </c>
      <c r="AO256">
        <f t="shared" ca="1" si="121"/>
        <v>2.2562304480281055E-12</v>
      </c>
    </row>
    <row r="257" spans="1:41" x14ac:dyDescent="0.35">
      <c r="A257">
        <v>108</v>
      </c>
      <c r="B257">
        <v>106.94799999999999</v>
      </c>
      <c r="C257">
        <v>616476.83799999999</v>
      </c>
      <c r="D257">
        <v>3097695.6329999999</v>
      </c>
      <c r="E257">
        <v>632.50850000000003</v>
      </c>
      <c r="F257">
        <v>5.2</v>
      </c>
      <c r="G257">
        <v>0</v>
      </c>
      <c r="H257" t="s">
        <v>186</v>
      </c>
      <c r="I257">
        <v>5.7000000000000002E-2</v>
      </c>
      <c r="J257">
        <f t="shared" si="122"/>
        <v>1</v>
      </c>
      <c r="K257">
        <f t="shared" si="123"/>
        <v>51</v>
      </c>
      <c r="L257">
        <f t="shared" ca="1" si="124"/>
        <v>51798.613598182266</v>
      </c>
      <c r="M257">
        <f t="shared" ca="1" si="101"/>
        <v>269352.79071054782</v>
      </c>
      <c r="N257">
        <f t="shared" ca="1" si="102"/>
        <v>2.599869501126896</v>
      </c>
      <c r="O257">
        <f t="shared" ca="1" si="103"/>
        <v>1.8934275700453266E-4</v>
      </c>
      <c r="P257">
        <f t="shared" ca="1" si="104"/>
        <v>52431.12209818227</v>
      </c>
      <c r="Q257">
        <f t="shared" ca="1" si="105"/>
        <v>52431.122098184096</v>
      </c>
      <c r="R257">
        <f t="shared" ca="1" si="106"/>
        <v>2.2563744778906656E-12</v>
      </c>
      <c r="S257">
        <f t="shared" ca="1" si="125"/>
        <v>4.999999946448952E-4</v>
      </c>
      <c r="T257">
        <f t="shared" ca="1" si="126"/>
        <v>1</v>
      </c>
      <c r="U257">
        <f t="shared" ca="1" si="107"/>
        <v>51800.26683766341</v>
      </c>
      <c r="V257">
        <f t="shared" ca="1" si="108"/>
        <v>269361.38755584974</v>
      </c>
      <c r="W257">
        <f t="shared" ca="1" si="109"/>
        <v>2.5998695052916441</v>
      </c>
      <c r="X257">
        <f t="shared" ca="1" si="110"/>
        <v>1.8933671400629237E-4</v>
      </c>
      <c r="Y257">
        <f t="shared" ca="1" si="111"/>
        <v>52432.775337663414</v>
      </c>
      <c r="Z257">
        <f t="shared" ca="1" si="112"/>
        <v>52432.77533766524</v>
      </c>
      <c r="AA257">
        <f t="shared" ca="1" si="113"/>
        <v>2.2562304480281055E-12</v>
      </c>
      <c r="AB257">
        <f t="shared" ca="1" si="114"/>
        <v>-5.0000000192085281E-4</v>
      </c>
      <c r="AC257">
        <f t="shared" ca="1" si="115"/>
        <v>1</v>
      </c>
      <c r="AD257">
        <f ca="1">IF(V32="Supercritical",L257,IF(V32="Subcritical",U257,IF(AND(T257=1,AC257=1),IF((((F257)*(L257)^2)/2+(G257)*(L257)^3/3+(ABS(K257)^2)/($I$5*MAX(((F257)+(G257)*(L257))*(L257),0.000001)))&gt;=(((F257)*(U257)^2)/2+(G257)*(U257)^3/3+(ABS(K257)^2)/($I$5*MAX(((F257)+(G257)*(U257))*(U257),0.000001))),L257,U257),IF(T257=1,L257,IF(AC257=1,U257,MAX($D$16,POWER((ABS(K257)^2)/($I$5*MAX(F257,0.1)^2),1/3)))))))</f>
        <v>51800.26683766341</v>
      </c>
      <c r="AE257">
        <f t="shared" ca="1" si="116"/>
        <v>52432.775337663414</v>
      </c>
      <c r="AF257">
        <f t="shared" ca="1" si="117"/>
        <v>52432.77533766524</v>
      </c>
      <c r="AI257">
        <v>0</v>
      </c>
      <c r="AJ257">
        <v>0</v>
      </c>
      <c r="AK257">
        <f t="shared" si="118"/>
        <v>0</v>
      </c>
      <c r="AL257">
        <f t="shared" si="127"/>
        <v>0</v>
      </c>
      <c r="AM257">
        <f t="shared" ca="1" si="119"/>
        <v>2.6560383008097266E-7</v>
      </c>
      <c r="AN257" t="str">
        <f t="shared" ca="1" si="120"/>
        <v>Subcritical</v>
      </c>
      <c r="AO257">
        <f t="shared" ca="1" si="121"/>
        <v>2.2562304480281055E-12</v>
      </c>
    </row>
    <row r="258" spans="1:41" x14ac:dyDescent="0.35">
      <c r="A258">
        <v>109</v>
      </c>
      <c r="B258">
        <v>107.94799999999999</v>
      </c>
      <c r="C258">
        <v>616475.83900000004</v>
      </c>
      <c r="D258">
        <v>3097695.5860000001</v>
      </c>
      <c r="E258">
        <v>632.50800000000004</v>
      </c>
      <c r="F258">
        <v>5.2</v>
      </c>
      <c r="G258">
        <v>0</v>
      </c>
      <c r="H258" t="s">
        <v>186</v>
      </c>
      <c r="I258">
        <v>5.7000000000000002E-2</v>
      </c>
      <c r="J258">
        <f t="shared" si="122"/>
        <v>1</v>
      </c>
      <c r="K258">
        <f t="shared" si="123"/>
        <v>51</v>
      </c>
      <c r="L258">
        <f t="shared" ca="1" si="124"/>
        <v>51798.601978808518</v>
      </c>
      <c r="M258">
        <f t="shared" ca="1" si="101"/>
        <v>269352.73028980428</v>
      </c>
      <c r="N258">
        <f t="shared" ca="1" si="102"/>
        <v>2.5998695010976238</v>
      </c>
      <c r="O258">
        <f t="shared" ca="1" si="103"/>
        <v>1.8934279947757592E-4</v>
      </c>
      <c r="P258">
        <f t="shared" ca="1" si="104"/>
        <v>52431.109978808519</v>
      </c>
      <c r="Q258">
        <f t="shared" ca="1" si="105"/>
        <v>52431.109978810346</v>
      </c>
      <c r="R258">
        <f t="shared" ca="1" si="106"/>
        <v>2.2563754902167749E-12</v>
      </c>
      <c r="S258">
        <f t="shared" ca="1" si="125"/>
        <v>1.2119373750465456E-2</v>
      </c>
      <c r="T258">
        <f t="shared" ca="1" si="126"/>
        <v>0</v>
      </c>
      <c r="U258">
        <f t="shared" ca="1" si="107"/>
        <v>51800.26683766341</v>
      </c>
      <c r="V258">
        <f t="shared" ca="1" si="108"/>
        <v>269361.38755584974</v>
      </c>
      <c r="W258">
        <f t="shared" ca="1" si="109"/>
        <v>2.5998695052916441</v>
      </c>
      <c r="X258">
        <f t="shared" ca="1" si="110"/>
        <v>1.8933671400629237E-4</v>
      </c>
      <c r="Y258">
        <f t="shared" ca="1" si="111"/>
        <v>52432.774837663412</v>
      </c>
      <c r="Z258">
        <f t="shared" ca="1" si="112"/>
        <v>52432.774837665238</v>
      </c>
      <c r="AA258">
        <f t="shared" ca="1" si="113"/>
        <v>2.2562304480281055E-12</v>
      </c>
      <c r="AB258">
        <f t="shared" ca="1" si="114"/>
        <v>-5.0000000192085281E-4</v>
      </c>
      <c r="AC258">
        <f t="shared" ca="1" si="115"/>
        <v>1</v>
      </c>
      <c r="AD258">
        <f ca="1">IF(V32="Supercritical",L258,IF(V32="Subcritical",U258,IF(AND(T258=1,AC258=1),IF((((F258)*(L258)^2)/2+(G258)*(L258)^3/3+(ABS(K258)^2)/($I$5*MAX(((F258)+(G258)*(L258))*(L258),0.000001)))&gt;=(((F258)*(U258)^2)/2+(G258)*(U258)^3/3+(ABS(K258)^2)/($I$5*MAX(((F258)+(G258)*(U258))*(U258),0.000001))),L258,U258),IF(T258=1,L258,IF(AC258=1,U258,MAX($D$16,POWER((ABS(K258)^2)/($I$5*MAX(F258,0.1)^2),1/3)))))))</f>
        <v>51800.26683766341</v>
      </c>
      <c r="AE258">
        <f t="shared" ca="1" si="116"/>
        <v>52432.774837663412</v>
      </c>
      <c r="AF258">
        <f t="shared" ca="1" si="117"/>
        <v>52432.774837665238</v>
      </c>
      <c r="AI258">
        <v>0</v>
      </c>
      <c r="AJ258">
        <v>0</v>
      </c>
      <c r="AK258">
        <f t="shared" si="118"/>
        <v>0</v>
      </c>
      <c r="AL258">
        <f t="shared" si="127"/>
        <v>0</v>
      </c>
      <c r="AM258">
        <f t="shared" ca="1" si="119"/>
        <v>2.6560383008097266E-7</v>
      </c>
      <c r="AN258" t="str">
        <f t="shared" ca="1" si="120"/>
        <v>Subcritical</v>
      </c>
      <c r="AO258">
        <f t="shared" ca="1" si="121"/>
        <v>2.2562304480281055E-12</v>
      </c>
    </row>
    <row r="259" spans="1:41" x14ac:dyDescent="0.35">
      <c r="A259">
        <v>110</v>
      </c>
      <c r="B259">
        <v>108.94799999999999</v>
      </c>
      <c r="C259">
        <v>616474.84</v>
      </c>
      <c r="D259">
        <v>3097695.5380000002</v>
      </c>
      <c r="E259">
        <v>632.50750000000005</v>
      </c>
      <c r="F259">
        <v>5.2</v>
      </c>
      <c r="G259">
        <v>0</v>
      </c>
      <c r="H259" t="s">
        <v>186</v>
      </c>
      <c r="I259">
        <v>5.7000000000000002E-2</v>
      </c>
      <c r="J259">
        <f t="shared" si="122"/>
        <v>1</v>
      </c>
      <c r="K259">
        <f t="shared" si="123"/>
        <v>51</v>
      </c>
      <c r="L259">
        <f t="shared" ca="1" si="124"/>
        <v>51798.601978808518</v>
      </c>
      <c r="M259">
        <f t="shared" ca="1" si="101"/>
        <v>269352.73028980428</v>
      </c>
      <c r="N259">
        <f t="shared" ca="1" si="102"/>
        <v>2.5998695010976238</v>
      </c>
      <c r="O259">
        <f t="shared" ca="1" si="103"/>
        <v>1.8934279947757592E-4</v>
      </c>
      <c r="P259">
        <f t="shared" ca="1" si="104"/>
        <v>52431.109478808517</v>
      </c>
      <c r="Q259">
        <f t="shared" ca="1" si="105"/>
        <v>52431.109478810344</v>
      </c>
      <c r="R259">
        <f t="shared" ca="1" si="106"/>
        <v>2.2563754902167749E-12</v>
      </c>
      <c r="S259">
        <f t="shared" ca="1" si="125"/>
        <v>5.0000000192085281E-4</v>
      </c>
      <c r="T259">
        <f t="shared" ca="1" si="126"/>
        <v>1</v>
      </c>
      <c r="U259">
        <f t="shared" ca="1" si="107"/>
        <v>51800.26683766341</v>
      </c>
      <c r="V259">
        <f t="shared" ca="1" si="108"/>
        <v>269361.38755584974</v>
      </c>
      <c r="W259">
        <f t="shared" ca="1" si="109"/>
        <v>2.5998695052916441</v>
      </c>
      <c r="X259">
        <f t="shared" ca="1" si="110"/>
        <v>1.8933671400629237E-4</v>
      </c>
      <c r="Y259">
        <f t="shared" ca="1" si="111"/>
        <v>52432.77433766341</v>
      </c>
      <c r="Z259">
        <f t="shared" ca="1" si="112"/>
        <v>52432.774337665236</v>
      </c>
      <c r="AA259">
        <f t="shared" ca="1" si="113"/>
        <v>2.2562304480281055E-12</v>
      </c>
      <c r="AB259">
        <f t="shared" ca="1" si="114"/>
        <v>-5.0000000192085281E-4</v>
      </c>
      <c r="AC259">
        <f t="shared" ca="1" si="115"/>
        <v>1</v>
      </c>
      <c r="AD259">
        <f ca="1">IF(V32="Supercritical",L259,IF(V32="Subcritical",U259,IF(AND(T259=1,AC259=1),IF((((F259)*(L259)^2)/2+(G259)*(L259)^3/3+(ABS(K259)^2)/($I$5*MAX(((F259)+(G259)*(L259))*(L259),0.000001)))&gt;=(((F259)*(U259)^2)/2+(G259)*(U259)^3/3+(ABS(K259)^2)/($I$5*MAX(((F259)+(G259)*(U259))*(U259),0.000001))),L259,U259),IF(T259=1,L259,IF(AC259=1,U259,MAX($D$16,POWER((ABS(K259)^2)/($I$5*MAX(F259,0.1)^2),1/3)))))))</f>
        <v>51800.26683766341</v>
      </c>
      <c r="AE259">
        <f t="shared" ca="1" si="116"/>
        <v>52432.77433766341</v>
      </c>
      <c r="AF259">
        <f t="shared" ca="1" si="117"/>
        <v>52432.774337665236</v>
      </c>
      <c r="AI259">
        <v>0</v>
      </c>
      <c r="AJ259">
        <v>0</v>
      </c>
      <c r="AK259">
        <f t="shared" si="118"/>
        <v>0</v>
      </c>
      <c r="AL259">
        <f t="shared" si="127"/>
        <v>0</v>
      </c>
      <c r="AM259">
        <f t="shared" ca="1" si="119"/>
        <v>2.6560383008097266E-7</v>
      </c>
      <c r="AN259" t="str">
        <f t="shared" ca="1" si="120"/>
        <v>Subcritical</v>
      </c>
      <c r="AO259">
        <f t="shared" ca="1" si="121"/>
        <v>2.2562304480281055E-12</v>
      </c>
    </row>
    <row r="260" spans="1:41" x14ac:dyDescent="0.35">
      <c r="A260">
        <v>111</v>
      </c>
      <c r="B260">
        <v>109.94799999999999</v>
      </c>
      <c r="C260">
        <v>616473.84100000001</v>
      </c>
      <c r="D260">
        <v>3097695.4909999999</v>
      </c>
      <c r="E260">
        <v>632.50699999999995</v>
      </c>
      <c r="F260">
        <v>5.2</v>
      </c>
      <c r="G260">
        <v>0</v>
      </c>
      <c r="H260" t="s">
        <v>186</v>
      </c>
      <c r="I260">
        <v>5.7000000000000002E-2</v>
      </c>
      <c r="J260">
        <f t="shared" si="122"/>
        <v>1</v>
      </c>
      <c r="K260">
        <f t="shared" si="123"/>
        <v>51</v>
      </c>
      <c r="L260">
        <f t="shared" ca="1" si="124"/>
        <v>51798.590885396356</v>
      </c>
      <c r="M260">
        <f t="shared" ca="1" si="101"/>
        <v>269352.67260406108</v>
      </c>
      <c r="N260">
        <f t="shared" ca="1" si="102"/>
        <v>2.5998695010696773</v>
      </c>
      <c r="O260">
        <f t="shared" ca="1" si="103"/>
        <v>1.8934284002805572E-4</v>
      </c>
      <c r="P260">
        <f t="shared" ca="1" si="104"/>
        <v>52431.097885396353</v>
      </c>
      <c r="Q260">
        <f t="shared" ca="1" si="105"/>
        <v>52431.09788539818</v>
      </c>
      <c r="R260">
        <f t="shared" ca="1" si="106"/>
        <v>2.2563764567196511E-12</v>
      </c>
      <c r="S260">
        <f t="shared" ca="1" si="125"/>
        <v>1.1593412164074834E-2</v>
      </c>
      <c r="T260">
        <f t="shared" ca="1" si="126"/>
        <v>0</v>
      </c>
      <c r="U260">
        <f t="shared" ca="1" si="107"/>
        <v>51800.26683766341</v>
      </c>
      <c r="V260">
        <f t="shared" ca="1" si="108"/>
        <v>269361.38755584974</v>
      </c>
      <c r="W260">
        <f t="shared" ca="1" si="109"/>
        <v>2.5998695052916441</v>
      </c>
      <c r="X260">
        <f t="shared" ca="1" si="110"/>
        <v>1.8933671400629237E-4</v>
      </c>
      <c r="Y260">
        <f t="shared" ca="1" si="111"/>
        <v>52432.773837663408</v>
      </c>
      <c r="Z260">
        <f t="shared" ca="1" si="112"/>
        <v>52432.773837665234</v>
      </c>
      <c r="AA260">
        <f t="shared" ca="1" si="113"/>
        <v>2.2562304480281055E-12</v>
      </c>
      <c r="AB260">
        <f t="shared" ca="1" si="114"/>
        <v>-4.999999946448952E-4</v>
      </c>
      <c r="AC260">
        <f t="shared" ca="1" si="115"/>
        <v>1</v>
      </c>
      <c r="AD260">
        <f ca="1">IF(V32="Supercritical",L260,IF(V32="Subcritical",U260,IF(AND(T260=1,AC260=1),IF((((F260)*(L260)^2)/2+(G260)*(L260)^3/3+(ABS(K260)^2)/($I$5*MAX(((F260)+(G260)*(L260))*(L260),0.000001)))&gt;=(((F260)*(U260)^2)/2+(G260)*(U260)^3/3+(ABS(K260)^2)/($I$5*MAX(((F260)+(G260)*(U260))*(U260),0.000001))),L260,U260),IF(T260=1,L260,IF(AC260=1,U260,MAX($D$16,POWER((ABS(K260)^2)/($I$5*MAX(F260,0.1)^2),1/3)))))))</f>
        <v>51800.26683766341</v>
      </c>
      <c r="AE260">
        <f t="shared" ca="1" si="116"/>
        <v>52432.773837663408</v>
      </c>
      <c r="AF260">
        <f t="shared" ca="1" si="117"/>
        <v>52432.773837665234</v>
      </c>
      <c r="AI260">
        <v>0</v>
      </c>
      <c r="AJ260">
        <v>0</v>
      </c>
      <c r="AK260">
        <f t="shared" si="118"/>
        <v>0</v>
      </c>
      <c r="AL260">
        <f t="shared" si="127"/>
        <v>0</v>
      </c>
      <c r="AM260">
        <f t="shared" ca="1" si="119"/>
        <v>2.6560383008097266E-7</v>
      </c>
      <c r="AN260" t="str">
        <f t="shared" ca="1" si="120"/>
        <v>Subcritical</v>
      </c>
      <c r="AO260">
        <f t="shared" ca="1" si="121"/>
        <v>2.2562304480281055E-12</v>
      </c>
    </row>
    <row r="261" spans="1:41" x14ac:dyDescent="0.35">
      <c r="A261">
        <v>112</v>
      </c>
      <c r="B261">
        <v>110.949</v>
      </c>
      <c r="C261">
        <v>616472.84199999995</v>
      </c>
      <c r="D261">
        <v>3097695.443</v>
      </c>
      <c r="E261">
        <v>632.50649999999996</v>
      </c>
      <c r="F261">
        <v>5.2</v>
      </c>
      <c r="G261">
        <v>0</v>
      </c>
      <c r="H261" t="s">
        <v>186</v>
      </c>
      <c r="I261">
        <v>0</v>
      </c>
      <c r="J261">
        <f t="shared" si="122"/>
        <v>1.0010000000000048</v>
      </c>
      <c r="K261">
        <f t="shared" si="123"/>
        <v>51</v>
      </c>
      <c r="L261">
        <f t="shared" ca="1" si="124"/>
        <v>51798.590885396356</v>
      </c>
      <c r="M261">
        <f t="shared" ca="1" si="101"/>
        <v>269352.67260406108</v>
      </c>
      <c r="N261">
        <f t="shared" ca="1" si="102"/>
        <v>2.5998695010696773</v>
      </c>
      <c r="O261">
        <f t="shared" ca="1" si="103"/>
        <v>1.8934284002805572E-4</v>
      </c>
      <c r="P261">
        <f t="shared" ca="1" si="104"/>
        <v>52431.097385396359</v>
      </c>
      <c r="Q261">
        <f t="shared" ca="1" si="105"/>
        <v>52431.097385398185</v>
      </c>
      <c r="R261">
        <f t="shared" ca="1" si="106"/>
        <v>2.2563764567196511E-12</v>
      </c>
      <c r="S261">
        <f t="shared" ca="1" si="125"/>
        <v>4.999999946448952E-4</v>
      </c>
      <c r="T261">
        <f t="shared" ca="1" si="126"/>
        <v>1</v>
      </c>
      <c r="U261">
        <f t="shared" ca="1" si="107"/>
        <v>51800.26683766341</v>
      </c>
      <c r="V261">
        <f t="shared" ca="1" si="108"/>
        <v>269361.38755584974</v>
      </c>
      <c r="W261">
        <f t="shared" ca="1" si="109"/>
        <v>2.5998695052916441</v>
      </c>
      <c r="X261">
        <f t="shared" ca="1" si="110"/>
        <v>1.8933671400629237E-4</v>
      </c>
      <c r="Y261">
        <f t="shared" ca="1" si="111"/>
        <v>52432.773337663413</v>
      </c>
      <c r="Z261">
        <f t="shared" ca="1" si="112"/>
        <v>52432.77333766524</v>
      </c>
      <c r="AA261">
        <f t="shared" ca="1" si="113"/>
        <v>2.2562304480281055E-12</v>
      </c>
      <c r="AB261">
        <f t="shared" ca="1" si="114"/>
        <v>-5.0000000192085281E-4</v>
      </c>
      <c r="AC261">
        <f t="shared" ca="1" si="115"/>
        <v>1</v>
      </c>
      <c r="AD261">
        <f ca="1">IF(V32="Supercritical",L261,IF(V32="Subcritical",U261,IF(AND(T261=1,AC261=1),IF((((F261)*(L261)^2)/2+(G261)*(L261)^3/3+(ABS(K261)^2)/($I$5*MAX(((F261)+(G261)*(L261))*(L261),0.000001)))&gt;=(((F261)*(U261)^2)/2+(G261)*(U261)^3/3+(ABS(K261)^2)/($I$5*MAX(((F261)+(G261)*(U261))*(U261),0.000001))),L261,U261),IF(T261=1,L261,IF(AC261=1,U261,MAX($D$16,POWER((ABS(K261)^2)/($I$5*MAX(F261,0.1)^2),1/3)))))))</f>
        <v>51800.26683766341</v>
      </c>
      <c r="AE261">
        <f t="shared" ca="1" si="116"/>
        <v>52432.773337663413</v>
      </c>
      <c r="AF261">
        <f t="shared" ca="1" si="117"/>
        <v>52432.77333766524</v>
      </c>
      <c r="AI261">
        <v>0</v>
      </c>
      <c r="AJ261">
        <v>0</v>
      </c>
      <c r="AK261">
        <f t="shared" si="118"/>
        <v>0</v>
      </c>
      <c r="AL261">
        <f t="shared" si="127"/>
        <v>0</v>
      </c>
      <c r="AM261">
        <f t="shared" ca="1" si="119"/>
        <v>2.6560383008097266E-7</v>
      </c>
      <c r="AN261" t="str">
        <f t="shared" ca="1" si="120"/>
        <v>Subcritical</v>
      </c>
      <c r="AO261">
        <f t="shared" ca="1" si="121"/>
        <v>2.2562304480281055E-12</v>
      </c>
    </row>
    <row r="262" spans="1:41" x14ac:dyDescent="0.35">
      <c r="A262">
        <v>113</v>
      </c>
      <c r="B262">
        <v>111.949</v>
      </c>
      <c r="C262">
        <v>616471.84299999999</v>
      </c>
      <c r="D262">
        <v>3097695.395</v>
      </c>
      <c r="E262">
        <v>632.50599999999997</v>
      </c>
      <c r="F262">
        <v>5.2</v>
      </c>
      <c r="G262">
        <v>0</v>
      </c>
      <c r="H262" t="s">
        <v>186</v>
      </c>
      <c r="I262">
        <v>5.5E-2</v>
      </c>
      <c r="J262">
        <f t="shared" si="122"/>
        <v>1</v>
      </c>
      <c r="K262">
        <f t="shared" si="123"/>
        <v>51</v>
      </c>
      <c r="L262">
        <f t="shared" ca="1" si="124"/>
        <v>51798.579714846659</v>
      </c>
      <c r="M262">
        <f t="shared" ca="1" si="101"/>
        <v>269352.61451720266</v>
      </c>
      <c r="N262">
        <f t="shared" ca="1" si="102"/>
        <v>2.5998695010415362</v>
      </c>
      <c r="O262">
        <f t="shared" ca="1" si="103"/>
        <v>1.89342880860519E-4</v>
      </c>
      <c r="P262">
        <f t="shared" ca="1" si="104"/>
        <v>52431.08571484666</v>
      </c>
      <c r="Q262">
        <f t="shared" ca="1" si="105"/>
        <v>52431.085714848487</v>
      </c>
      <c r="R262">
        <f t="shared" ca="1" si="106"/>
        <v>2.2563774299436892E-12</v>
      </c>
      <c r="S262">
        <f t="shared" ca="1" si="125"/>
        <v>1.1670549698465038E-2</v>
      </c>
      <c r="T262">
        <f t="shared" ca="1" si="126"/>
        <v>0</v>
      </c>
      <c r="U262">
        <f t="shared" ca="1" si="107"/>
        <v>51800.26683766341</v>
      </c>
      <c r="V262">
        <f t="shared" ca="1" si="108"/>
        <v>269361.38755584974</v>
      </c>
      <c r="W262">
        <f t="shared" ca="1" si="109"/>
        <v>2.5998695052916441</v>
      </c>
      <c r="X262">
        <f t="shared" ca="1" si="110"/>
        <v>1.8933671400629237E-4</v>
      </c>
      <c r="Y262">
        <f t="shared" ca="1" si="111"/>
        <v>52432.772837663411</v>
      </c>
      <c r="Z262">
        <f t="shared" ca="1" si="112"/>
        <v>52432.772837665238</v>
      </c>
      <c r="AA262">
        <f t="shared" ca="1" si="113"/>
        <v>2.2562304480281055E-12</v>
      </c>
      <c r="AB262">
        <f t="shared" ca="1" si="114"/>
        <v>-5.0000000192085281E-4</v>
      </c>
      <c r="AC262">
        <f t="shared" ca="1" si="115"/>
        <v>1</v>
      </c>
      <c r="AD262">
        <f ca="1">IF(V32="Supercritical",L262,IF(V32="Subcritical",U262,IF(AND(T262=1,AC262=1),IF((((F262)*(L262)^2)/2+(G262)*(L262)^3/3+(ABS(K262)^2)/($I$5*MAX(((F262)+(G262)*(L262))*(L262),0.000001)))&gt;=(((F262)*(U262)^2)/2+(G262)*(U262)^3/3+(ABS(K262)^2)/($I$5*MAX(((F262)+(G262)*(U262))*(U262),0.000001))),L262,U262),IF(T262=1,L262,IF(AC262=1,U262,MAX($D$16,POWER((ABS(K262)^2)/($I$5*MAX(F262,0.1)^2),1/3)))))))</f>
        <v>51800.26683766341</v>
      </c>
      <c r="AE262">
        <f t="shared" ca="1" si="116"/>
        <v>52432.772837663411</v>
      </c>
      <c r="AF262">
        <f t="shared" ca="1" si="117"/>
        <v>52432.772837665238</v>
      </c>
      <c r="AI262">
        <v>0</v>
      </c>
      <c r="AJ262">
        <v>0</v>
      </c>
      <c r="AK262">
        <f t="shared" si="118"/>
        <v>0</v>
      </c>
      <c r="AL262">
        <f t="shared" si="127"/>
        <v>0</v>
      </c>
      <c r="AM262">
        <f t="shared" ca="1" si="119"/>
        <v>2.6560383008097266E-7</v>
      </c>
      <c r="AN262" t="str">
        <f t="shared" ca="1" si="120"/>
        <v>Subcritical</v>
      </c>
      <c r="AO262">
        <f t="shared" ca="1" si="121"/>
        <v>2.2562304480281055E-12</v>
      </c>
    </row>
    <row r="263" spans="1:41" x14ac:dyDescent="0.35">
      <c r="A263">
        <v>114</v>
      </c>
      <c r="B263">
        <v>112.94799999999999</v>
      </c>
      <c r="C263">
        <v>616470.84499999997</v>
      </c>
      <c r="D263">
        <v>3097695.3480000002</v>
      </c>
      <c r="E263">
        <v>632.50549999999998</v>
      </c>
      <c r="F263">
        <v>5.2</v>
      </c>
      <c r="G263">
        <v>0</v>
      </c>
      <c r="H263" t="s">
        <v>186</v>
      </c>
      <c r="I263">
        <v>5.5E-2</v>
      </c>
      <c r="J263">
        <f t="shared" si="122"/>
        <v>0.99899999999999523</v>
      </c>
      <c r="K263">
        <f t="shared" si="123"/>
        <v>51</v>
      </c>
      <c r="L263">
        <f t="shared" ca="1" si="124"/>
        <v>51798.579714846659</v>
      </c>
      <c r="M263">
        <f t="shared" ca="1" si="101"/>
        <v>269352.61451720266</v>
      </c>
      <c r="N263">
        <f t="shared" ca="1" si="102"/>
        <v>2.5998695010415362</v>
      </c>
      <c r="O263">
        <f t="shared" ca="1" si="103"/>
        <v>1.89342880860519E-4</v>
      </c>
      <c r="P263">
        <f t="shared" ca="1" si="104"/>
        <v>52431.085214846658</v>
      </c>
      <c r="Q263">
        <f t="shared" ca="1" si="105"/>
        <v>52431.085214848485</v>
      </c>
      <c r="R263">
        <f t="shared" ca="1" si="106"/>
        <v>2.2563774299436892E-12</v>
      </c>
      <c r="S263">
        <f t="shared" ca="1" si="125"/>
        <v>5.0000000192085281E-4</v>
      </c>
      <c r="T263">
        <f t="shared" ca="1" si="126"/>
        <v>1</v>
      </c>
      <c r="U263">
        <f t="shared" ca="1" si="107"/>
        <v>51800.26683766341</v>
      </c>
      <c r="V263">
        <f t="shared" ca="1" si="108"/>
        <v>269361.38755584974</v>
      </c>
      <c r="W263">
        <f t="shared" ca="1" si="109"/>
        <v>2.5998695052916441</v>
      </c>
      <c r="X263">
        <f t="shared" ca="1" si="110"/>
        <v>1.8933671400629237E-4</v>
      </c>
      <c r="Y263">
        <f t="shared" ca="1" si="111"/>
        <v>52432.772337663409</v>
      </c>
      <c r="Z263">
        <f t="shared" ca="1" si="112"/>
        <v>52432.772337665236</v>
      </c>
      <c r="AA263">
        <f t="shared" ca="1" si="113"/>
        <v>2.2562304480281055E-12</v>
      </c>
      <c r="AB263">
        <f t="shared" ca="1" si="114"/>
        <v>-5.0000000192085281E-4</v>
      </c>
      <c r="AC263">
        <f t="shared" ca="1" si="115"/>
        <v>1</v>
      </c>
      <c r="AD263">
        <f ca="1">IF(V32="Supercritical",L263,IF(V32="Subcritical",U263,IF(AND(T263=1,AC263=1),IF((((F263)*(L263)^2)/2+(G263)*(L263)^3/3+(ABS(K263)^2)/($I$5*MAX(((F263)+(G263)*(L263))*(L263),0.000001)))&gt;=(((F263)*(U263)^2)/2+(G263)*(U263)^3/3+(ABS(K263)^2)/($I$5*MAX(((F263)+(G263)*(U263))*(U263),0.000001))),L263,U263),IF(T263=1,L263,IF(AC263=1,U263,MAX($D$16,POWER((ABS(K263)^2)/($I$5*MAX(F263,0.1)^2),1/3)))))))</f>
        <v>51800.26683766341</v>
      </c>
      <c r="AE263">
        <f t="shared" ca="1" si="116"/>
        <v>52432.772337663409</v>
      </c>
      <c r="AF263">
        <f t="shared" ca="1" si="117"/>
        <v>52432.772337665236</v>
      </c>
      <c r="AI263">
        <v>0</v>
      </c>
      <c r="AJ263">
        <v>0</v>
      </c>
      <c r="AK263">
        <f t="shared" si="118"/>
        <v>0</v>
      </c>
      <c r="AL263">
        <f t="shared" si="127"/>
        <v>0</v>
      </c>
      <c r="AM263">
        <f t="shared" ca="1" si="119"/>
        <v>2.6560383008097266E-7</v>
      </c>
      <c r="AN263" t="str">
        <f t="shared" ca="1" si="120"/>
        <v>Subcritical</v>
      </c>
      <c r="AO263">
        <f t="shared" ca="1" si="121"/>
        <v>2.2562304480281055E-12</v>
      </c>
    </row>
    <row r="264" spans="1:41" x14ac:dyDescent="0.35">
      <c r="A264">
        <v>115</v>
      </c>
      <c r="B264">
        <v>113.94799999999999</v>
      </c>
      <c r="C264">
        <v>616469.84600000002</v>
      </c>
      <c r="D264">
        <v>3097695.3</v>
      </c>
      <c r="E264">
        <v>632.505</v>
      </c>
      <c r="F264">
        <v>5.2</v>
      </c>
      <c r="G264">
        <v>0</v>
      </c>
      <c r="H264" t="s">
        <v>186</v>
      </c>
      <c r="I264">
        <v>0</v>
      </c>
      <c r="J264">
        <f t="shared" si="122"/>
        <v>1</v>
      </c>
      <c r="K264">
        <f t="shared" si="123"/>
        <v>51</v>
      </c>
      <c r="L264">
        <f t="shared" ca="1" si="124"/>
        <v>51798.568381430829</v>
      </c>
      <c r="M264">
        <f t="shared" ca="1" si="101"/>
        <v>269352.55558344029</v>
      </c>
      <c r="N264">
        <f t="shared" ca="1" si="102"/>
        <v>2.5998695010129844</v>
      </c>
      <c r="O264">
        <f t="shared" ca="1" si="103"/>
        <v>1.8934292228833585E-4</v>
      </c>
      <c r="P264">
        <f t="shared" ca="1" si="104"/>
        <v>52431.073381430826</v>
      </c>
      <c r="Q264">
        <f t="shared" ca="1" si="105"/>
        <v>52431.073381432652</v>
      </c>
      <c r="R264">
        <f t="shared" ca="1" si="106"/>
        <v>2.2563784173579356E-12</v>
      </c>
      <c r="S264">
        <f t="shared" ca="1" si="125"/>
        <v>1.183341583237052E-2</v>
      </c>
      <c r="T264">
        <f t="shared" ca="1" si="126"/>
        <v>0</v>
      </c>
      <c r="U264">
        <f t="shared" ca="1" si="107"/>
        <v>51800.26683766341</v>
      </c>
      <c r="V264">
        <f t="shared" ca="1" si="108"/>
        <v>269361.38755584974</v>
      </c>
      <c r="W264">
        <f t="shared" ca="1" si="109"/>
        <v>2.5998695052916441</v>
      </c>
      <c r="X264">
        <f t="shared" ca="1" si="110"/>
        <v>1.8933671400629237E-4</v>
      </c>
      <c r="Y264">
        <f t="shared" ca="1" si="111"/>
        <v>52432.771837663407</v>
      </c>
      <c r="Z264">
        <f t="shared" ca="1" si="112"/>
        <v>52432.771837665234</v>
      </c>
      <c r="AA264">
        <f t="shared" ca="1" si="113"/>
        <v>2.2562304480281055E-12</v>
      </c>
      <c r="AB264">
        <f t="shared" ca="1" si="114"/>
        <v>-4.999999946448952E-4</v>
      </c>
      <c r="AC264">
        <f t="shared" ca="1" si="115"/>
        <v>1</v>
      </c>
      <c r="AD264">
        <f ca="1">IF(V32="Supercritical",L264,IF(V32="Subcritical",U264,IF(AND(T264=1,AC264=1),IF((((F264)*(L264)^2)/2+(G264)*(L264)^3/3+(ABS(K264)^2)/($I$5*MAX(((F264)+(G264)*(L264))*(L264),0.000001)))&gt;=(((F264)*(U264)^2)/2+(G264)*(U264)^3/3+(ABS(K264)^2)/($I$5*MAX(((F264)+(G264)*(U264))*(U264),0.000001))),L264,U264),IF(T264=1,L264,IF(AC264=1,U264,MAX($D$16,POWER((ABS(K264)^2)/($I$5*MAX(F264,0.1)^2),1/3)))))))</f>
        <v>51800.26683766341</v>
      </c>
      <c r="AE264">
        <f t="shared" ca="1" si="116"/>
        <v>52432.771837663407</v>
      </c>
      <c r="AF264">
        <f t="shared" ca="1" si="117"/>
        <v>52432.771837665234</v>
      </c>
      <c r="AI264">
        <v>0</v>
      </c>
      <c r="AJ264">
        <v>0</v>
      </c>
      <c r="AK264">
        <f t="shared" si="118"/>
        <v>0</v>
      </c>
      <c r="AL264">
        <f t="shared" si="127"/>
        <v>0</v>
      </c>
      <c r="AM264">
        <f t="shared" ca="1" si="119"/>
        <v>2.6560383008097266E-7</v>
      </c>
      <c r="AN264" t="str">
        <f t="shared" ca="1" si="120"/>
        <v>Subcritical</v>
      </c>
      <c r="AO264">
        <f t="shared" ca="1" si="121"/>
        <v>2.2562304480281055E-12</v>
      </c>
    </row>
    <row r="265" spans="1:41" x14ac:dyDescent="0.35">
      <c r="A265">
        <v>116</v>
      </c>
      <c r="B265">
        <v>114.94799999999999</v>
      </c>
      <c r="C265">
        <v>616468.84699999995</v>
      </c>
      <c r="D265">
        <v>3097695.2519999999</v>
      </c>
      <c r="E265">
        <v>632.50450000000001</v>
      </c>
      <c r="F265">
        <v>5.2</v>
      </c>
      <c r="G265">
        <v>0</v>
      </c>
      <c r="H265" t="s">
        <v>186</v>
      </c>
      <c r="I265">
        <v>5.7000000000000002E-2</v>
      </c>
      <c r="J265">
        <f t="shared" si="122"/>
        <v>1</v>
      </c>
      <c r="K265">
        <f t="shared" si="123"/>
        <v>51</v>
      </c>
      <c r="L265">
        <f t="shared" ca="1" si="124"/>
        <v>51798.568381430829</v>
      </c>
      <c r="M265">
        <f t="shared" ca="1" si="101"/>
        <v>269352.55558344029</v>
      </c>
      <c r="N265">
        <f t="shared" ca="1" si="102"/>
        <v>2.5998695010129844</v>
      </c>
      <c r="O265">
        <f t="shared" ca="1" si="103"/>
        <v>1.8934292228833585E-4</v>
      </c>
      <c r="P265">
        <f t="shared" ca="1" si="104"/>
        <v>52431.072881430831</v>
      </c>
      <c r="Q265">
        <f t="shared" ca="1" si="105"/>
        <v>52431.072881432658</v>
      </c>
      <c r="R265">
        <f t="shared" ca="1" si="106"/>
        <v>2.2563784173579356E-12</v>
      </c>
      <c r="S265">
        <f t="shared" ca="1" si="125"/>
        <v>4.999999946448952E-4</v>
      </c>
      <c r="T265">
        <f t="shared" ca="1" si="126"/>
        <v>1</v>
      </c>
      <c r="U265">
        <f t="shared" ca="1" si="107"/>
        <v>51800.26683766341</v>
      </c>
      <c r="V265">
        <f t="shared" ca="1" si="108"/>
        <v>269361.38755584974</v>
      </c>
      <c r="W265">
        <f t="shared" ca="1" si="109"/>
        <v>2.5998695052916441</v>
      </c>
      <c r="X265">
        <f t="shared" ca="1" si="110"/>
        <v>1.8933671400629237E-4</v>
      </c>
      <c r="Y265">
        <f t="shared" ca="1" si="111"/>
        <v>52432.771337663413</v>
      </c>
      <c r="Z265">
        <f t="shared" ca="1" si="112"/>
        <v>52432.771337665239</v>
      </c>
      <c r="AA265">
        <f t="shared" ca="1" si="113"/>
        <v>2.2562304480281055E-12</v>
      </c>
      <c r="AB265">
        <f t="shared" ca="1" si="114"/>
        <v>-5.0000000192085281E-4</v>
      </c>
      <c r="AC265">
        <f t="shared" ca="1" si="115"/>
        <v>1</v>
      </c>
      <c r="AD265">
        <f ca="1">IF(V32="Supercritical",L265,IF(V32="Subcritical",U265,IF(AND(T265=1,AC265=1),IF((((F265)*(L265)^2)/2+(G265)*(L265)^3/3+(ABS(K265)^2)/($I$5*MAX(((F265)+(G265)*(L265))*(L265),0.000001)))&gt;=(((F265)*(U265)^2)/2+(G265)*(U265)^3/3+(ABS(K265)^2)/($I$5*MAX(((F265)+(G265)*(U265))*(U265),0.000001))),L265,U265),IF(T265=1,L265,IF(AC265=1,U265,MAX($D$16,POWER((ABS(K265)^2)/($I$5*MAX(F265,0.1)^2),1/3)))))))</f>
        <v>51800.26683766341</v>
      </c>
      <c r="AE265">
        <f t="shared" ca="1" si="116"/>
        <v>52432.771337663413</v>
      </c>
      <c r="AF265">
        <f t="shared" ca="1" si="117"/>
        <v>52432.771337665239</v>
      </c>
      <c r="AI265">
        <v>0</v>
      </c>
      <c r="AJ265">
        <v>0</v>
      </c>
      <c r="AK265">
        <f t="shared" si="118"/>
        <v>0</v>
      </c>
      <c r="AL265">
        <f t="shared" si="127"/>
        <v>0</v>
      </c>
      <c r="AM265">
        <f t="shared" ca="1" si="119"/>
        <v>2.6560383008097266E-7</v>
      </c>
      <c r="AN265" t="str">
        <f t="shared" ca="1" si="120"/>
        <v>Subcritical</v>
      </c>
      <c r="AO265">
        <f t="shared" ca="1" si="121"/>
        <v>2.2562304480281055E-12</v>
      </c>
    </row>
    <row r="266" spans="1:41" x14ac:dyDescent="0.35">
      <c r="A266">
        <v>117</v>
      </c>
      <c r="B266">
        <v>115.94799999999999</v>
      </c>
      <c r="C266">
        <v>616467.848</v>
      </c>
      <c r="D266">
        <v>3097695.2050000001</v>
      </c>
      <c r="E266">
        <v>632.50400000000002</v>
      </c>
      <c r="F266">
        <v>5.2</v>
      </c>
      <c r="G266">
        <v>0</v>
      </c>
      <c r="H266" t="s">
        <v>186</v>
      </c>
      <c r="I266">
        <v>5.7000000000000002E-2</v>
      </c>
      <c r="J266">
        <f t="shared" si="122"/>
        <v>1</v>
      </c>
      <c r="K266">
        <f t="shared" si="123"/>
        <v>51</v>
      </c>
      <c r="L266">
        <f t="shared" ca="1" si="124"/>
        <v>51798.557009713804</v>
      </c>
      <c r="M266">
        <f t="shared" ca="1" si="101"/>
        <v>269352.4964505118</v>
      </c>
      <c r="N266">
        <f t="shared" ca="1" si="102"/>
        <v>2.5998695009843367</v>
      </c>
      <c r="O266">
        <f t="shared" ca="1" si="103"/>
        <v>1.8934296385617589E-4</v>
      </c>
      <c r="P266">
        <f t="shared" ca="1" si="104"/>
        <v>52431.061009713805</v>
      </c>
      <c r="Q266">
        <f t="shared" ca="1" si="105"/>
        <v>52431.061009715631</v>
      </c>
      <c r="R266">
        <f t="shared" ca="1" si="106"/>
        <v>2.2563794081097924E-12</v>
      </c>
      <c r="S266">
        <f t="shared" ca="1" si="125"/>
        <v>1.187171702622436E-2</v>
      </c>
      <c r="T266">
        <f t="shared" ca="1" si="126"/>
        <v>0</v>
      </c>
      <c r="U266">
        <f t="shared" ca="1" si="107"/>
        <v>51800.26683766341</v>
      </c>
      <c r="V266">
        <f t="shared" ca="1" si="108"/>
        <v>269361.38755584974</v>
      </c>
      <c r="W266">
        <f t="shared" ca="1" si="109"/>
        <v>2.5998695052916441</v>
      </c>
      <c r="X266">
        <f t="shared" ca="1" si="110"/>
        <v>1.8933671400629237E-4</v>
      </c>
      <c r="Y266">
        <f t="shared" ca="1" si="111"/>
        <v>52432.770837663411</v>
      </c>
      <c r="Z266">
        <f t="shared" ca="1" si="112"/>
        <v>52432.770837665237</v>
      </c>
      <c r="AA266">
        <f t="shared" ca="1" si="113"/>
        <v>2.2562304480281055E-12</v>
      </c>
      <c r="AB266">
        <f t="shared" ca="1" si="114"/>
        <v>-5.0000000192085281E-4</v>
      </c>
      <c r="AC266">
        <f t="shared" ca="1" si="115"/>
        <v>1</v>
      </c>
      <c r="AD266">
        <f ca="1">IF(V32="Supercritical",L266,IF(V32="Subcritical",U266,IF(AND(T266=1,AC266=1),IF((((F266)*(L266)^2)/2+(G266)*(L266)^3/3+(ABS(K266)^2)/($I$5*MAX(((F266)+(G266)*(L266))*(L266),0.000001)))&gt;=(((F266)*(U266)^2)/2+(G266)*(U266)^3/3+(ABS(K266)^2)/($I$5*MAX(((F266)+(G266)*(U266))*(U266),0.000001))),L266,U266),IF(T266=1,L266,IF(AC266=1,U266,MAX($D$16,POWER((ABS(K266)^2)/($I$5*MAX(F266,0.1)^2),1/3)))))))</f>
        <v>51800.26683766341</v>
      </c>
      <c r="AE266">
        <f t="shared" ca="1" si="116"/>
        <v>52432.770837663411</v>
      </c>
      <c r="AF266">
        <f t="shared" ca="1" si="117"/>
        <v>52432.770837665237</v>
      </c>
      <c r="AI266">
        <v>0</v>
      </c>
      <c r="AJ266">
        <v>0</v>
      </c>
      <c r="AK266">
        <f t="shared" si="118"/>
        <v>0</v>
      </c>
      <c r="AL266">
        <f t="shared" si="127"/>
        <v>0</v>
      </c>
      <c r="AM266">
        <f t="shared" ca="1" si="119"/>
        <v>2.6560383008097266E-7</v>
      </c>
      <c r="AN266" t="str">
        <f t="shared" ca="1" si="120"/>
        <v>Subcritical</v>
      </c>
      <c r="AO266">
        <f t="shared" ca="1" si="121"/>
        <v>2.2562304480281055E-12</v>
      </c>
    </row>
    <row r="267" spans="1:41" x14ac:dyDescent="0.35">
      <c r="A267">
        <v>118</v>
      </c>
      <c r="B267">
        <v>116.94799999999999</v>
      </c>
      <c r="C267">
        <v>616466.84900000005</v>
      </c>
      <c r="D267">
        <v>3097695.1570000001</v>
      </c>
      <c r="E267">
        <v>632.50350000000003</v>
      </c>
      <c r="F267">
        <v>5.2</v>
      </c>
      <c r="G267">
        <v>0</v>
      </c>
      <c r="H267" t="s">
        <v>186</v>
      </c>
      <c r="I267">
        <v>5.7000000000000002E-2</v>
      </c>
      <c r="J267">
        <f t="shared" si="122"/>
        <v>1</v>
      </c>
      <c r="K267">
        <f t="shared" si="123"/>
        <v>51</v>
      </c>
      <c r="L267">
        <f t="shared" ca="1" si="124"/>
        <v>51798.557009713804</v>
      </c>
      <c r="M267">
        <f t="shared" ca="1" si="101"/>
        <v>269352.4964505118</v>
      </c>
      <c r="N267">
        <f t="shared" ca="1" si="102"/>
        <v>2.5998695009843367</v>
      </c>
      <c r="O267">
        <f t="shared" ca="1" si="103"/>
        <v>1.8934296385617589E-4</v>
      </c>
      <c r="P267">
        <f t="shared" ca="1" si="104"/>
        <v>52431.060509713803</v>
      </c>
      <c r="Q267">
        <f t="shared" ca="1" si="105"/>
        <v>52431.060509715629</v>
      </c>
      <c r="R267">
        <f t="shared" ca="1" si="106"/>
        <v>2.2563794081097924E-12</v>
      </c>
      <c r="S267">
        <f t="shared" ca="1" si="125"/>
        <v>5.0000000192085281E-4</v>
      </c>
      <c r="T267">
        <f t="shared" ca="1" si="126"/>
        <v>1</v>
      </c>
      <c r="U267">
        <f t="shared" ca="1" si="107"/>
        <v>51800.26683766341</v>
      </c>
      <c r="V267">
        <f t="shared" ca="1" si="108"/>
        <v>269361.38755584974</v>
      </c>
      <c r="W267">
        <f t="shared" ca="1" si="109"/>
        <v>2.5998695052916441</v>
      </c>
      <c r="X267">
        <f t="shared" ca="1" si="110"/>
        <v>1.8933671400629237E-4</v>
      </c>
      <c r="Y267">
        <f t="shared" ca="1" si="111"/>
        <v>52432.770337663409</v>
      </c>
      <c r="Z267">
        <f t="shared" ca="1" si="112"/>
        <v>52432.770337665235</v>
      </c>
      <c r="AA267">
        <f t="shared" ca="1" si="113"/>
        <v>2.2562304480281055E-12</v>
      </c>
      <c r="AB267">
        <f t="shared" ca="1" si="114"/>
        <v>-5.0000000192085281E-4</v>
      </c>
      <c r="AC267">
        <f t="shared" ca="1" si="115"/>
        <v>1</v>
      </c>
      <c r="AD267">
        <f ca="1">IF(V32="Supercritical",L267,IF(V32="Subcritical",U267,IF(AND(T267=1,AC267=1),IF((((F267)*(L267)^2)/2+(G267)*(L267)^3/3+(ABS(K267)^2)/($I$5*MAX(((F267)+(G267)*(L267))*(L267),0.000001)))&gt;=(((F267)*(U267)^2)/2+(G267)*(U267)^3/3+(ABS(K267)^2)/($I$5*MAX(((F267)+(G267)*(U267))*(U267),0.000001))),L267,U267),IF(T267=1,L267,IF(AC267=1,U267,MAX($D$16,POWER((ABS(K267)^2)/($I$5*MAX(F267,0.1)^2),1/3)))))))</f>
        <v>51800.26683766341</v>
      </c>
      <c r="AE267">
        <f t="shared" ca="1" si="116"/>
        <v>52432.770337663409</v>
      </c>
      <c r="AF267">
        <f t="shared" ca="1" si="117"/>
        <v>52432.770337665235</v>
      </c>
      <c r="AI267">
        <v>0</v>
      </c>
      <c r="AJ267">
        <v>0</v>
      </c>
      <c r="AK267">
        <f t="shared" si="118"/>
        <v>0</v>
      </c>
      <c r="AL267">
        <f t="shared" si="127"/>
        <v>0</v>
      </c>
      <c r="AM267">
        <f t="shared" ca="1" si="119"/>
        <v>2.6560383008097266E-7</v>
      </c>
      <c r="AN267" t="str">
        <f t="shared" ca="1" si="120"/>
        <v>Subcritical</v>
      </c>
      <c r="AO267">
        <f t="shared" ca="1" si="121"/>
        <v>2.2562304480281055E-12</v>
      </c>
    </row>
    <row r="268" spans="1:41" x14ac:dyDescent="0.35">
      <c r="A268">
        <v>119</v>
      </c>
      <c r="B268">
        <v>117.94799999999999</v>
      </c>
      <c r="C268">
        <v>616465.85</v>
      </c>
      <c r="D268">
        <v>3097695.11</v>
      </c>
      <c r="E268">
        <v>632.50300000000004</v>
      </c>
      <c r="F268">
        <v>5.2</v>
      </c>
      <c r="G268">
        <v>0</v>
      </c>
      <c r="H268" t="s">
        <v>186</v>
      </c>
      <c r="I268">
        <v>5.7000000000000002E-2</v>
      </c>
      <c r="J268">
        <f t="shared" si="122"/>
        <v>1</v>
      </c>
      <c r="K268">
        <f t="shared" si="123"/>
        <v>51</v>
      </c>
      <c r="L268">
        <f t="shared" ca="1" si="124"/>
        <v>51798.545665431498</v>
      </c>
      <c r="M268">
        <f t="shared" ca="1" si="101"/>
        <v>269352.43746024382</v>
      </c>
      <c r="N268">
        <f t="shared" ca="1" si="102"/>
        <v>2.5998695009557578</v>
      </c>
      <c r="O268">
        <f t="shared" ca="1" si="103"/>
        <v>1.8934300532375006E-4</v>
      </c>
      <c r="P268">
        <f t="shared" ca="1" si="104"/>
        <v>52431.048665431495</v>
      </c>
      <c r="Q268">
        <f t="shared" ca="1" si="105"/>
        <v>52431.048665433322</v>
      </c>
      <c r="R268">
        <f t="shared" ca="1" si="106"/>
        <v>2.2563803964720698E-12</v>
      </c>
      <c r="S268">
        <f t="shared" ca="1" si="125"/>
        <v>1.1844282307720277E-2</v>
      </c>
      <c r="T268">
        <f t="shared" ca="1" si="126"/>
        <v>0</v>
      </c>
      <c r="U268">
        <f t="shared" ca="1" si="107"/>
        <v>51800.26683766341</v>
      </c>
      <c r="V268">
        <f t="shared" ca="1" si="108"/>
        <v>269361.38755584974</v>
      </c>
      <c r="W268">
        <f t="shared" ca="1" si="109"/>
        <v>2.5998695052916441</v>
      </c>
      <c r="X268">
        <f t="shared" ca="1" si="110"/>
        <v>1.8933671400629237E-4</v>
      </c>
      <c r="Y268">
        <f t="shared" ca="1" si="111"/>
        <v>52432.769837663407</v>
      </c>
      <c r="Z268">
        <f t="shared" ca="1" si="112"/>
        <v>52432.769837665233</v>
      </c>
      <c r="AA268">
        <f t="shared" ca="1" si="113"/>
        <v>2.2562304480281055E-12</v>
      </c>
      <c r="AB268">
        <f t="shared" ca="1" si="114"/>
        <v>-4.999999946448952E-4</v>
      </c>
      <c r="AC268">
        <f t="shared" ca="1" si="115"/>
        <v>1</v>
      </c>
      <c r="AD268">
        <f ca="1">IF(V32="Supercritical",L268,IF(V32="Subcritical",U268,IF(AND(T268=1,AC268=1),IF((((F268)*(L268)^2)/2+(G268)*(L268)^3/3+(ABS(K268)^2)/($I$5*MAX(((F268)+(G268)*(L268))*(L268),0.000001)))&gt;=(((F268)*(U268)^2)/2+(G268)*(U268)^3/3+(ABS(K268)^2)/($I$5*MAX(((F268)+(G268)*(U268))*(U268),0.000001))),L268,U268),IF(T268=1,L268,IF(AC268=1,U268,MAX($D$16,POWER((ABS(K268)^2)/($I$5*MAX(F268,0.1)^2),1/3)))))))</f>
        <v>51800.26683766341</v>
      </c>
      <c r="AE268">
        <f t="shared" ca="1" si="116"/>
        <v>52432.769837663407</v>
      </c>
      <c r="AF268">
        <f t="shared" ca="1" si="117"/>
        <v>52432.769837665233</v>
      </c>
      <c r="AI268">
        <v>0</v>
      </c>
      <c r="AJ268">
        <v>0</v>
      </c>
      <c r="AK268">
        <f t="shared" si="118"/>
        <v>0</v>
      </c>
      <c r="AL268">
        <f t="shared" si="127"/>
        <v>0</v>
      </c>
      <c r="AM268">
        <f t="shared" ca="1" si="119"/>
        <v>2.6560383008097266E-7</v>
      </c>
      <c r="AN268" t="str">
        <f t="shared" ca="1" si="120"/>
        <v>Subcritical</v>
      </c>
      <c r="AO268">
        <f t="shared" ca="1" si="121"/>
        <v>2.2562304480281055E-12</v>
      </c>
    </row>
    <row r="269" spans="1:41" x14ac:dyDescent="0.35">
      <c r="A269">
        <v>120</v>
      </c>
      <c r="B269">
        <v>118.949</v>
      </c>
      <c r="C269">
        <v>616464.85100000002</v>
      </c>
      <c r="D269">
        <v>3097695.0619999999</v>
      </c>
      <c r="E269">
        <v>632.50250000000005</v>
      </c>
      <c r="F269">
        <v>5.2</v>
      </c>
      <c r="G269">
        <v>0</v>
      </c>
      <c r="H269" t="s">
        <v>186</v>
      </c>
      <c r="I269">
        <v>3.0000000000000001E-3</v>
      </c>
      <c r="J269">
        <f t="shared" si="122"/>
        <v>1.0010000000000048</v>
      </c>
      <c r="K269">
        <f t="shared" si="123"/>
        <v>51</v>
      </c>
      <c r="L269">
        <f t="shared" ca="1" si="124"/>
        <v>51798.545665431498</v>
      </c>
      <c r="M269">
        <f t="shared" ca="1" si="101"/>
        <v>269352.43746024382</v>
      </c>
      <c r="N269">
        <f t="shared" ca="1" si="102"/>
        <v>2.5998695009557578</v>
      </c>
      <c r="O269">
        <f t="shared" ca="1" si="103"/>
        <v>1.8934300532375006E-4</v>
      </c>
      <c r="P269">
        <f t="shared" ca="1" si="104"/>
        <v>52431.048165431501</v>
      </c>
      <c r="Q269">
        <f t="shared" ca="1" si="105"/>
        <v>52431.048165433327</v>
      </c>
      <c r="R269">
        <f t="shared" ca="1" si="106"/>
        <v>2.2563803964720698E-12</v>
      </c>
      <c r="S269">
        <f t="shared" ca="1" si="125"/>
        <v>4.999999946448952E-4</v>
      </c>
      <c r="T269">
        <f t="shared" ca="1" si="126"/>
        <v>1</v>
      </c>
      <c r="U269">
        <f t="shared" ca="1" si="107"/>
        <v>51800.26683766341</v>
      </c>
      <c r="V269">
        <f t="shared" ca="1" si="108"/>
        <v>269361.38755584974</v>
      </c>
      <c r="W269">
        <f t="shared" ca="1" si="109"/>
        <v>2.5998695052916441</v>
      </c>
      <c r="X269">
        <f t="shared" ca="1" si="110"/>
        <v>1.8933671400629237E-4</v>
      </c>
      <c r="Y269">
        <f t="shared" ca="1" si="111"/>
        <v>52432.769337663412</v>
      </c>
      <c r="Z269">
        <f t="shared" ca="1" si="112"/>
        <v>52432.769337665239</v>
      </c>
      <c r="AA269">
        <f t="shared" ca="1" si="113"/>
        <v>2.2562304480281055E-12</v>
      </c>
      <c r="AB269">
        <f t="shared" ca="1" si="114"/>
        <v>-5.0000000192085281E-4</v>
      </c>
      <c r="AC269">
        <f t="shared" ca="1" si="115"/>
        <v>1</v>
      </c>
      <c r="AD269">
        <f ca="1">IF(V32="Supercritical",L269,IF(V32="Subcritical",U269,IF(AND(T269=1,AC269=1),IF((((F269)*(L269)^2)/2+(G269)*(L269)^3/3+(ABS(K269)^2)/($I$5*MAX(((F269)+(G269)*(L269))*(L269),0.000001)))&gt;=(((F269)*(U269)^2)/2+(G269)*(U269)^3/3+(ABS(K269)^2)/($I$5*MAX(((F269)+(G269)*(U269))*(U269),0.000001))),L269,U269),IF(T269=1,L269,IF(AC269=1,U269,MAX($D$16,POWER((ABS(K269)^2)/($I$5*MAX(F269,0.1)^2),1/3)))))))</f>
        <v>51800.26683766341</v>
      </c>
      <c r="AE269">
        <f t="shared" ca="1" si="116"/>
        <v>52432.769337663412</v>
      </c>
      <c r="AF269">
        <f t="shared" ca="1" si="117"/>
        <v>52432.769337665239</v>
      </c>
      <c r="AI269">
        <v>0</v>
      </c>
      <c r="AJ269">
        <v>0</v>
      </c>
      <c r="AK269">
        <f t="shared" si="118"/>
        <v>0</v>
      </c>
      <c r="AL269">
        <f t="shared" si="127"/>
        <v>0</v>
      </c>
      <c r="AM269">
        <f t="shared" ca="1" si="119"/>
        <v>2.6560383008097266E-7</v>
      </c>
      <c r="AN269" t="str">
        <f t="shared" ca="1" si="120"/>
        <v>Subcritical</v>
      </c>
      <c r="AO269">
        <f t="shared" ca="1" si="121"/>
        <v>2.2562304480281055E-12</v>
      </c>
    </row>
    <row r="270" spans="1:41" x14ac:dyDescent="0.35">
      <c r="A270">
        <v>121</v>
      </c>
      <c r="B270">
        <v>119.94799999999999</v>
      </c>
      <c r="C270">
        <v>616463.853</v>
      </c>
      <c r="D270">
        <v>3097695.014</v>
      </c>
      <c r="E270">
        <v>632.50199999999995</v>
      </c>
      <c r="F270">
        <v>5.2</v>
      </c>
      <c r="G270">
        <v>0</v>
      </c>
      <c r="H270" t="s">
        <v>186</v>
      </c>
      <c r="I270">
        <v>0.06</v>
      </c>
      <c r="J270">
        <f t="shared" si="122"/>
        <v>0.99899999999999523</v>
      </c>
      <c r="K270">
        <f t="shared" si="123"/>
        <v>51</v>
      </c>
      <c r="L270">
        <f t="shared" ca="1" si="124"/>
        <v>51798.53434211119</v>
      </c>
      <c r="M270">
        <f t="shared" ca="1" si="101"/>
        <v>269352.37857897818</v>
      </c>
      <c r="N270">
        <f t="shared" ca="1" si="102"/>
        <v>2.5998695009272317</v>
      </c>
      <c r="O270">
        <f t="shared" ca="1" si="103"/>
        <v>1.8934304671471846E-4</v>
      </c>
      <c r="P270">
        <f t="shared" ca="1" si="104"/>
        <v>52431.036342111191</v>
      </c>
      <c r="Q270">
        <f t="shared" ca="1" si="105"/>
        <v>52431.036342113017</v>
      </c>
      <c r="R270">
        <f t="shared" ca="1" si="106"/>
        <v>2.2563813830086982E-12</v>
      </c>
      <c r="S270">
        <f t="shared" ca="1" si="125"/>
        <v>1.1823320310213603E-2</v>
      </c>
      <c r="T270">
        <f t="shared" ca="1" si="126"/>
        <v>0</v>
      </c>
      <c r="U270">
        <f t="shared" ca="1" si="107"/>
        <v>51800.26683766341</v>
      </c>
      <c r="V270">
        <f t="shared" ca="1" si="108"/>
        <v>269361.38755584974</v>
      </c>
      <c r="W270">
        <f t="shared" ca="1" si="109"/>
        <v>2.5998695052916441</v>
      </c>
      <c r="X270">
        <f t="shared" ca="1" si="110"/>
        <v>1.8933671400629237E-4</v>
      </c>
      <c r="Y270">
        <f t="shared" ca="1" si="111"/>
        <v>52432.768837663411</v>
      </c>
      <c r="Z270">
        <f t="shared" ca="1" si="112"/>
        <v>52432.768837665237</v>
      </c>
      <c r="AA270">
        <f t="shared" ca="1" si="113"/>
        <v>2.2562304480281055E-12</v>
      </c>
      <c r="AB270">
        <f t="shared" ca="1" si="114"/>
        <v>-5.0000000192085281E-4</v>
      </c>
      <c r="AC270">
        <f t="shared" ca="1" si="115"/>
        <v>1</v>
      </c>
      <c r="AD270">
        <f ca="1">IF(V32="Supercritical",L270,IF(V32="Subcritical",U270,IF(AND(T270=1,AC270=1),IF((((F270)*(L270)^2)/2+(G270)*(L270)^3/3+(ABS(K270)^2)/($I$5*MAX(((F270)+(G270)*(L270))*(L270),0.000001)))&gt;=(((F270)*(U270)^2)/2+(G270)*(U270)^3/3+(ABS(K270)^2)/($I$5*MAX(((F270)+(G270)*(U270))*(U270),0.000001))),L270,U270),IF(T270=1,L270,IF(AC270=1,U270,MAX($D$16,POWER((ABS(K270)^2)/($I$5*MAX(F270,0.1)^2),1/3)))))))</f>
        <v>51800.26683766341</v>
      </c>
      <c r="AE270">
        <f t="shared" ca="1" si="116"/>
        <v>52432.768837663411</v>
      </c>
      <c r="AF270">
        <f t="shared" ca="1" si="117"/>
        <v>52432.768837665237</v>
      </c>
      <c r="AI270">
        <v>0</v>
      </c>
      <c r="AJ270">
        <v>0</v>
      </c>
      <c r="AK270">
        <f t="shared" si="118"/>
        <v>0</v>
      </c>
      <c r="AL270">
        <f t="shared" si="127"/>
        <v>0</v>
      </c>
      <c r="AM270">
        <f t="shared" ca="1" si="119"/>
        <v>2.6560383008097266E-7</v>
      </c>
      <c r="AN270" t="str">
        <f t="shared" ca="1" si="120"/>
        <v>Subcritical</v>
      </c>
      <c r="AO270">
        <f t="shared" ca="1" si="121"/>
        <v>2.2562304480281055E-12</v>
      </c>
    </row>
    <row r="271" spans="1:41" x14ac:dyDescent="0.35">
      <c r="A271">
        <v>122</v>
      </c>
      <c r="B271">
        <v>120.94799999999999</v>
      </c>
      <c r="C271">
        <v>616462.85400000005</v>
      </c>
      <c r="D271">
        <v>3097694.9670000002</v>
      </c>
      <c r="E271">
        <v>632.50149999999996</v>
      </c>
      <c r="F271">
        <v>5.2</v>
      </c>
      <c r="G271">
        <v>0</v>
      </c>
      <c r="H271" t="s">
        <v>186</v>
      </c>
      <c r="I271">
        <v>5.7000000000000002E-2</v>
      </c>
      <c r="J271">
        <f t="shared" si="122"/>
        <v>1</v>
      </c>
      <c r="K271">
        <f t="shared" si="123"/>
        <v>51</v>
      </c>
      <c r="L271">
        <f t="shared" ca="1" si="124"/>
        <v>51798.53434211119</v>
      </c>
      <c r="M271">
        <f t="shared" ca="1" si="101"/>
        <v>269352.37857897818</v>
      </c>
      <c r="N271">
        <f t="shared" ca="1" si="102"/>
        <v>2.5998695009272317</v>
      </c>
      <c r="O271">
        <f t="shared" ca="1" si="103"/>
        <v>1.8934304671471846E-4</v>
      </c>
      <c r="P271">
        <f t="shared" ca="1" si="104"/>
        <v>52431.035842111189</v>
      </c>
      <c r="Q271">
        <f t="shared" ca="1" si="105"/>
        <v>52431.035842113015</v>
      </c>
      <c r="R271">
        <f t="shared" ca="1" si="106"/>
        <v>2.2563813830086982E-12</v>
      </c>
      <c r="S271">
        <f t="shared" ca="1" si="125"/>
        <v>5.0000000192085281E-4</v>
      </c>
      <c r="T271">
        <f t="shared" ca="1" si="126"/>
        <v>1</v>
      </c>
      <c r="U271">
        <f t="shared" ca="1" si="107"/>
        <v>51800.26683766341</v>
      </c>
      <c r="V271">
        <f t="shared" ca="1" si="108"/>
        <v>269361.38755584974</v>
      </c>
      <c r="W271">
        <f t="shared" ca="1" si="109"/>
        <v>2.5998695052916441</v>
      </c>
      <c r="X271">
        <f t="shared" ca="1" si="110"/>
        <v>1.8933671400629237E-4</v>
      </c>
      <c r="Y271">
        <f t="shared" ca="1" si="111"/>
        <v>52432.768337663409</v>
      </c>
      <c r="Z271">
        <f t="shared" ca="1" si="112"/>
        <v>52432.768337665235</v>
      </c>
      <c r="AA271">
        <f t="shared" ca="1" si="113"/>
        <v>2.2562304480281055E-12</v>
      </c>
      <c r="AB271">
        <f t="shared" ca="1" si="114"/>
        <v>-5.0000000192085281E-4</v>
      </c>
      <c r="AC271">
        <f t="shared" ca="1" si="115"/>
        <v>1</v>
      </c>
      <c r="AD271">
        <f ca="1">IF(V32="Supercritical",L271,IF(V32="Subcritical",U271,IF(AND(T271=1,AC271=1),IF((((F271)*(L271)^2)/2+(G271)*(L271)^3/3+(ABS(K271)^2)/($I$5*MAX(((F271)+(G271)*(L271))*(L271),0.000001)))&gt;=(((F271)*(U271)^2)/2+(G271)*(U271)^3/3+(ABS(K271)^2)/($I$5*MAX(((F271)+(G271)*(U271))*(U271),0.000001))),L271,U271),IF(T271=1,L271,IF(AC271=1,U271,MAX($D$16,POWER((ABS(K271)^2)/($I$5*MAX(F271,0.1)^2),1/3)))))))</f>
        <v>51800.26683766341</v>
      </c>
      <c r="AE271">
        <f t="shared" ca="1" si="116"/>
        <v>52432.768337663409</v>
      </c>
      <c r="AF271">
        <f t="shared" ca="1" si="117"/>
        <v>52432.768337665235</v>
      </c>
      <c r="AI271">
        <v>0</v>
      </c>
      <c r="AJ271">
        <v>0</v>
      </c>
      <c r="AK271">
        <f t="shared" si="118"/>
        <v>0</v>
      </c>
      <c r="AL271">
        <f t="shared" si="127"/>
        <v>0</v>
      </c>
      <c r="AM271">
        <f t="shared" ca="1" si="119"/>
        <v>2.6560383008097266E-7</v>
      </c>
      <c r="AN271" t="str">
        <f t="shared" ca="1" si="120"/>
        <v>Subcritical</v>
      </c>
      <c r="AO271">
        <f t="shared" ca="1" si="121"/>
        <v>2.2562304480281055E-12</v>
      </c>
    </row>
    <row r="272" spans="1:41" x14ac:dyDescent="0.35">
      <c r="A272">
        <v>123</v>
      </c>
      <c r="B272">
        <v>121.94799999999999</v>
      </c>
      <c r="C272">
        <v>616461.85499999998</v>
      </c>
      <c r="D272">
        <v>3097694.9190000002</v>
      </c>
      <c r="E272">
        <v>632.50099999999998</v>
      </c>
      <c r="F272">
        <v>5.2</v>
      </c>
      <c r="G272">
        <v>0</v>
      </c>
      <c r="H272" t="s">
        <v>186</v>
      </c>
      <c r="I272">
        <v>5.7000000000000002E-2</v>
      </c>
      <c r="J272">
        <f t="shared" si="122"/>
        <v>1</v>
      </c>
      <c r="K272">
        <f t="shared" si="123"/>
        <v>51</v>
      </c>
      <c r="L272">
        <f t="shared" ca="1" si="124"/>
        <v>51798.523023999282</v>
      </c>
      <c r="M272">
        <f t="shared" ca="1" si="101"/>
        <v>269352.31972479628</v>
      </c>
      <c r="N272">
        <f t="shared" ca="1" si="102"/>
        <v>2.5998695008987189</v>
      </c>
      <c r="O272">
        <f t="shared" ca="1" si="103"/>
        <v>1.8934308808666626E-4</v>
      </c>
      <c r="P272">
        <f t="shared" ca="1" si="104"/>
        <v>52431.024023999278</v>
      </c>
      <c r="Q272">
        <f t="shared" ca="1" si="105"/>
        <v>52431.024024001104</v>
      </c>
      <c r="R272">
        <f t="shared" ca="1" si="106"/>
        <v>2.2563823690921927E-12</v>
      </c>
      <c r="S272">
        <f t="shared" ca="1" si="125"/>
        <v>1.1818111910542939E-2</v>
      </c>
      <c r="T272">
        <f t="shared" ca="1" si="126"/>
        <v>0</v>
      </c>
      <c r="U272">
        <f t="shared" ca="1" si="107"/>
        <v>51800.26683766341</v>
      </c>
      <c r="V272">
        <f t="shared" ca="1" si="108"/>
        <v>269361.38755584974</v>
      </c>
      <c r="W272">
        <f t="shared" ca="1" si="109"/>
        <v>2.5998695052916441</v>
      </c>
      <c r="X272">
        <f t="shared" ca="1" si="110"/>
        <v>1.8933671400629237E-4</v>
      </c>
      <c r="Y272">
        <f t="shared" ca="1" si="111"/>
        <v>52432.767837663407</v>
      </c>
      <c r="Z272">
        <f t="shared" ca="1" si="112"/>
        <v>52432.767837665233</v>
      </c>
      <c r="AA272">
        <f t="shared" ca="1" si="113"/>
        <v>2.2562304480281055E-12</v>
      </c>
      <c r="AB272">
        <f t="shared" ca="1" si="114"/>
        <v>-4.999999946448952E-4</v>
      </c>
      <c r="AC272">
        <f t="shared" ca="1" si="115"/>
        <v>1</v>
      </c>
      <c r="AD272">
        <f ca="1">IF(V32="Supercritical",L272,IF(V32="Subcritical",U272,IF(AND(T272=1,AC272=1),IF((((F272)*(L272)^2)/2+(G272)*(L272)^3/3+(ABS(K272)^2)/($I$5*MAX(((F272)+(G272)*(L272))*(L272),0.000001)))&gt;=(((F272)*(U272)^2)/2+(G272)*(U272)^3/3+(ABS(K272)^2)/($I$5*MAX(((F272)+(G272)*(U272))*(U272),0.000001))),L272,U272),IF(T272=1,L272,IF(AC272=1,U272,MAX($D$16,POWER((ABS(K272)^2)/($I$5*MAX(F272,0.1)^2),1/3)))))))</f>
        <v>51800.26683766341</v>
      </c>
      <c r="AE272">
        <f t="shared" ca="1" si="116"/>
        <v>52432.767837663407</v>
      </c>
      <c r="AF272">
        <f t="shared" ca="1" si="117"/>
        <v>52432.767837665233</v>
      </c>
      <c r="AI272">
        <v>0</v>
      </c>
      <c r="AJ272">
        <v>0</v>
      </c>
      <c r="AK272">
        <f t="shared" si="118"/>
        <v>0</v>
      </c>
      <c r="AL272">
        <f t="shared" si="127"/>
        <v>0</v>
      </c>
      <c r="AM272">
        <f t="shared" ca="1" si="119"/>
        <v>2.6560383008097266E-7</v>
      </c>
      <c r="AN272" t="str">
        <f t="shared" ca="1" si="120"/>
        <v>Subcritical</v>
      </c>
      <c r="AO272">
        <f t="shared" ca="1" si="121"/>
        <v>2.2562304480281055E-12</v>
      </c>
    </row>
    <row r="273" spans="1:41" x14ac:dyDescent="0.35">
      <c r="A273">
        <v>124</v>
      </c>
      <c r="B273">
        <v>122.94799999999999</v>
      </c>
      <c r="C273">
        <v>616460.85600000003</v>
      </c>
      <c r="D273">
        <v>3097694.872</v>
      </c>
      <c r="E273">
        <v>632.50049999999999</v>
      </c>
      <c r="F273">
        <v>5.2</v>
      </c>
      <c r="G273">
        <v>0</v>
      </c>
      <c r="H273" t="s">
        <v>186</v>
      </c>
      <c r="I273">
        <v>5.7000000000000002E-2</v>
      </c>
      <c r="J273">
        <f t="shared" si="122"/>
        <v>1</v>
      </c>
      <c r="K273">
        <f t="shared" si="123"/>
        <v>51</v>
      </c>
      <c r="L273">
        <f t="shared" ca="1" si="124"/>
        <v>51798.523023999282</v>
      </c>
      <c r="M273">
        <f t="shared" ca="1" si="101"/>
        <v>269352.31972479628</v>
      </c>
      <c r="N273">
        <f t="shared" ca="1" si="102"/>
        <v>2.5998695008987189</v>
      </c>
      <c r="O273">
        <f t="shared" ca="1" si="103"/>
        <v>1.8934308808666626E-4</v>
      </c>
      <c r="P273">
        <f t="shared" ca="1" si="104"/>
        <v>52431.023523999283</v>
      </c>
      <c r="Q273">
        <f t="shared" ca="1" si="105"/>
        <v>52431.02352400111</v>
      </c>
      <c r="R273">
        <f t="shared" ca="1" si="106"/>
        <v>2.2563823690921927E-12</v>
      </c>
      <c r="S273">
        <f t="shared" ca="1" si="125"/>
        <v>4.999999946448952E-4</v>
      </c>
      <c r="T273">
        <f t="shared" ca="1" si="126"/>
        <v>1</v>
      </c>
      <c r="U273">
        <f t="shared" ca="1" si="107"/>
        <v>51800.26683766341</v>
      </c>
      <c r="V273">
        <f t="shared" ca="1" si="108"/>
        <v>269361.38755584974</v>
      </c>
      <c r="W273">
        <f t="shared" ca="1" si="109"/>
        <v>2.5998695052916441</v>
      </c>
      <c r="X273">
        <f t="shared" ca="1" si="110"/>
        <v>1.8933671400629237E-4</v>
      </c>
      <c r="Y273">
        <f t="shared" ca="1" si="111"/>
        <v>52432.767337663412</v>
      </c>
      <c r="Z273">
        <f t="shared" ca="1" si="112"/>
        <v>52432.767337665238</v>
      </c>
      <c r="AA273">
        <f t="shared" ca="1" si="113"/>
        <v>2.2562304480281055E-12</v>
      </c>
      <c r="AB273">
        <f t="shared" ca="1" si="114"/>
        <v>-5.0000000192085281E-4</v>
      </c>
      <c r="AC273">
        <f t="shared" ca="1" si="115"/>
        <v>1</v>
      </c>
      <c r="AD273">
        <f ca="1">IF(V32="Supercritical",L273,IF(V32="Subcritical",U273,IF(AND(T273=1,AC273=1),IF((((F273)*(L273)^2)/2+(G273)*(L273)^3/3+(ABS(K273)^2)/($I$5*MAX(((F273)+(G273)*(L273))*(L273),0.000001)))&gt;=(((F273)*(U273)^2)/2+(G273)*(U273)^3/3+(ABS(K273)^2)/($I$5*MAX(((F273)+(G273)*(U273))*(U273),0.000001))),L273,U273),IF(T273=1,L273,IF(AC273=1,U273,MAX($D$16,POWER((ABS(K273)^2)/($I$5*MAX(F273,0.1)^2),1/3)))))))</f>
        <v>51800.26683766341</v>
      </c>
      <c r="AE273">
        <f t="shared" ca="1" si="116"/>
        <v>52432.767337663412</v>
      </c>
      <c r="AF273">
        <f t="shared" ca="1" si="117"/>
        <v>52432.767337665238</v>
      </c>
      <c r="AI273">
        <v>0</v>
      </c>
      <c r="AJ273">
        <v>0</v>
      </c>
      <c r="AK273">
        <f t="shared" si="118"/>
        <v>0</v>
      </c>
      <c r="AL273">
        <f t="shared" si="127"/>
        <v>0</v>
      </c>
      <c r="AM273">
        <f t="shared" ca="1" si="119"/>
        <v>2.6560383008097266E-7</v>
      </c>
      <c r="AN273" t="str">
        <f t="shared" ca="1" si="120"/>
        <v>Subcritical</v>
      </c>
      <c r="AO273">
        <f t="shared" ca="1" si="121"/>
        <v>2.2562304480281055E-12</v>
      </c>
    </row>
    <row r="274" spans="1:41" x14ac:dyDescent="0.35">
      <c r="A274">
        <v>125</v>
      </c>
      <c r="B274">
        <v>123.94799999999999</v>
      </c>
      <c r="C274">
        <v>616459.85699999996</v>
      </c>
      <c r="D274">
        <v>3097694.824</v>
      </c>
      <c r="E274">
        <v>632.5</v>
      </c>
      <c r="F274">
        <v>5.2</v>
      </c>
      <c r="G274">
        <v>0</v>
      </c>
      <c r="H274" t="s">
        <v>186</v>
      </c>
      <c r="I274">
        <v>0</v>
      </c>
      <c r="J274">
        <f t="shared" si="122"/>
        <v>1</v>
      </c>
      <c r="K274">
        <f t="shared" si="123"/>
        <v>51</v>
      </c>
      <c r="L274">
        <f t="shared" ca="1" si="124"/>
        <v>51798.511712839318</v>
      </c>
      <c r="M274">
        <f t="shared" ca="1" si="101"/>
        <v>269352.26090676448</v>
      </c>
      <c r="N274">
        <f t="shared" ca="1" si="102"/>
        <v>2.5998695008702235</v>
      </c>
      <c r="O274">
        <f t="shared" ca="1" si="103"/>
        <v>1.8934312943322018E-4</v>
      </c>
      <c r="P274">
        <f t="shared" ca="1" si="104"/>
        <v>52431.011712839318</v>
      </c>
      <c r="Q274">
        <f t="shared" ca="1" si="105"/>
        <v>52431.011712841144</v>
      </c>
      <c r="R274">
        <f t="shared" ca="1" si="106"/>
        <v>2.2563833545706507E-12</v>
      </c>
      <c r="S274">
        <f t="shared" ca="1" si="125"/>
        <v>1.181115996587323E-2</v>
      </c>
      <c r="T274">
        <f t="shared" ca="1" si="126"/>
        <v>0</v>
      </c>
      <c r="U274">
        <f t="shared" ca="1" si="107"/>
        <v>51800.26683766341</v>
      </c>
      <c r="V274">
        <f t="shared" ca="1" si="108"/>
        <v>269361.38755584974</v>
      </c>
      <c r="W274">
        <f t="shared" ca="1" si="109"/>
        <v>2.5998695052916441</v>
      </c>
      <c r="X274">
        <f t="shared" ca="1" si="110"/>
        <v>1.8933671400629237E-4</v>
      </c>
      <c r="Y274">
        <f t="shared" ca="1" si="111"/>
        <v>52432.76683766341</v>
      </c>
      <c r="Z274">
        <f t="shared" ca="1" si="112"/>
        <v>52432.766837665236</v>
      </c>
      <c r="AA274">
        <f t="shared" ca="1" si="113"/>
        <v>2.2562304480281055E-12</v>
      </c>
      <c r="AB274">
        <f t="shared" ca="1" si="114"/>
        <v>-5.0000000192085281E-4</v>
      </c>
      <c r="AC274">
        <f t="shared" ca="1" si="115"/>
        <v>1</v>
      </c>
      <c r="AD274">
        <f ca="1">IF(V32="Supercritical",L274,IF(V32="Subcritical",U274,IF(AND(T274=1,AC274=1),IF((((F274)*(L274)^2)/2+(G274)*(L274)^3/3+(ABS(K274)^2)/($I$5*MAX(((F274)+(G274)*(L274))*(L274),0.000001)))&gt;=(((F274)*(U274)^2)/2+(G274)*(U274)^3/3+(ABS(K274)^2)/($I$5*MAX(((F274)+(G274)*(U274))*(U274),0.000001))),L274,U274),IF(T274=1,L274,IF(AC274=1,U274,MAX($D$16,POWER((ABS(K274)^2)/($I$5*MAX(F274,0.1)^2),1/3)))))))</f>
        <v>51800.26683766341</v>
      </c>
      <c r="AE274">
        <f t="shared" ca="1" si="116"/>
        <v>52432.76683766341</v>
      </c>
      <c r="AF274">
        <f t="shared" ca="1" si="117"/>
        <v>52432.766837665236</v>
      </c>
      <c r="AI274">
        <v>0</v>
      </c>
      <c r="AJ274">
        <v>0</v>
      </c>
      <c r="AK274">
        <f t="shared" si="118"/>
        <v>0</v>
      </c>
      <c r="AL274">
        <f t="shared" si="127"/>
        <v>0</v>
      </c>
      <c r="AM274">
        <f t="shared" ca="1" si="119"/>
        <v>2.6560383008097266E-7</v>
      </c>
      <c r="AN274" t="str">
        <f t="shared" ca="1" si="120"/>
        <v>Subcritical</v>
      </c>
      <c r="AO274">
        <f t="shared" ca="1" si="121"/>
        <v>2.2562304480281055E-12</v>
      </c>
    </row>
    <row r="275" spans="1:41" x14ac:dyDescent="0.35">
      <c r="A275">
        <v>126</v>
      </c>
      <c r="B275">
        <v>124.94799999999999</v>
      </c>
      <c r="C275">
        <v>616458.85800000001</v>
      </c>
      <c r="D275">
        <v>3097694.7760000001</v>
      </c>
      <c r="E275">
        <v>632.49950000000001</v>
      </c>
      <c r="F275">
        <v>5.2</v>
      </c>
      <c r="G275">
        <v>0</v>
      </c>
      <c r="H275" t="s">
        <v>186</v>
      </c>
      <c r="I275">
        <v>5.7000000000000002E-2</v>
      </c>
      <c r="J275">
        <f t="shared" si="122"/>
        <v>1</v>
      </c>
      <c r="K275">
        <f t="shared" si="123"/>
        <v>51</v>
      </c>
      <c r="L275">
        <f t="shared" ca="1" si="124"/>
        <v>51798.511712839318</v>
      </c>
      <c r="M275">
        <f t="shared" ca="1" si="101"/>
        <v>269352.26090676448</v>
      </c>
      <c r="N275">
        <f t="shared" ca="1" si="102"/>
        <v>2.5998695008702235</v>
      </c>
      <c r="O275">
        <f t="shared" ca="1" si="103"/>
        <v>1.8934312943322018E-4</v>
      </c>
      <c r="P275">
        <f t="shared" ca="1" si="104"/>
        <v>52431.011212839316</v>
      </c>
      <c r="Q275">
        <f t="shared" ca="1" si="105"/>
        <v>52431.011212841142</v>
      </c>
      <c r="R275">
        <f t="shared" ca="1" si="106"/>
        <v>2.2563833545706507E-12</v>
      </c>
      <c r="S275">
        <f t="shared" ca="1" si="125"/>
        <v>5.0000000192085281E-4</v>
      </c>
      <c r="T275">
        <f t="shared" ca="1" si="126"/>
        <v>1</v>
      </c>
      <c r="U275">
        <f t="shared" ca="1" si="107"/>
        <v>51800.26683766341</v>
      </c>
      <c r="V275">
        <f t="shared" ca="1" si="108"/>
        <v>269361.38755584974</v>
      </c>
      <c r="W275">
        <f t="shared" ca="1" si="109"/>
        <v>2.5998695052916441</v>
      </c>
      <c r="X275">
        <f t="shared" ca="1" si="110"/>
        <v>1.8933671400629237E-4</v>
      </c>
      <c r="Y275">
        <f t="shared" ca="1" si="111"/>
        <v>52432.766337663408</v>
      </c>
      <c r="Z275">
        <f t="shared" ca="1" si="112"/>
        <v>52432.766337665234</v>
      </c>
      <c r="AA275">
        <f t="shared" ca="1" si="113"/>
        <v>2.2562304480281055E-12</v>
      </c>
      <c r="AB275">
        <f t="shared" ca="1" si="114"/>
        <v>-4.999999946448952E-4</v>
      </c>
      <c r="AC275">
        <f t="shared" ca="1" si="115"/>
        <v>1</v>
      </c>
      <c r="AD275">
        <f ca="1">IF(V32="Supercritical",L275,IF(V32="Subcritical",U275,IF(AND(T275=1,AC275=1),IF((((F275)*(L275)^2)/2+(G275)*(L275)^3/3+(ABS(K275)^2)/($I$5*MAX(((F275)+(G275)*(L275))*(L275),0.000001)))&gt;=(((F275)*(U275)^2)/2+(G275)*(U275)^3/3+(ABS(K275)^2)/($I$5*MAX(((F275)+(G275)*(U275))*(U275),0.000001))),L275,U275),IF(T275=1,L275,IF(AC275=1,U275,MAX($D$16,POWER((ABS(K275)^2)/($I$5*MAX(F275,0.1)^2),1/3)))))))</f>
        <v>51800.26683766341</v>
      </c>
      <c r="AE275">
        <f t="shared" ca="1" si="116"/>
        <v>52432.766337663408</v>
      </c>
      <c r="AF275">
        <f t="shared" ca="1" si="117"/>
        <v>52432.766337665234</v>
      </c>
      <c r="AI275">
        <v>0</v>
      </c>
      <c r="AJ275">
        <v>0</v>
      </c>
      <c r="AK275">
        <f t="shared" si="118"/>
        <v>0</v>
      </c>
      <c r="AL275">
        <f t="shared" si="127"/>
        <v>0</v>
      </c>
      <c r="AM275">
        <f t="shared" ca="1" si="119"/>
        <v>2.6560383008097266E-7</v>
      </c>
      <c r="AN275" t="str">
        <f t="shared" ca="1" si="120"/>
        <v>Subcritical</v>
      </c>
      <c r="AO275">
        <f t="shared" ca="1" si="121"/>
        <v>2.2562304480281055E-12</v>
      </c>
    </row>
    <row r="276" spans="1:41" x14ac:dyDescent="0.35">
      <c r="A276">
        <v>127</v>
      </c>
      <c r="B276">
        <v>125.949</v>
      </c>
      <c r="C276">
        <v>616457.85900000005</v>
      </c>
      <c r="D276">
        <v>3097694.7289999998</v>
      </c>
      <c r="E276">
        <v>632.49900000000002</v>
      </c>
      <c r="F276">
        <v>5.2</v>
      </c>
      <c r="G276">
        <v>0</v>
      </c>
      <c r="H276" t="s">
        <v>186</v>
      </c>
      <c r="I276">
        <v>5.7000000000000002E-2</v>
      </c>
      <c r="J276">
        <f t="shared" si="122"/>
        <v>1.0010000000000048</v>
      </c>
      <c r="K276">
        <f t="shared" si="123"/>
        <v>51</v>
      </c>
      <c r="L276">
        <f t="shared" ca="1" si="124"/>
        <v>51798.500424173202</v>
      </c>
      <c r="M276">
        <f t="shared" ca="1" si="101"/>
        <v>269352.20220570068</v>
      </c>
      <c r="N276">
        <f t="shared" ca="1" si="102"/>
        <v>2.5998695008417849</v>
      </c>
      <c r="O276">
        <f t="shared" ca="1" si="103"/>
        <v>1.8934317069756859E-4</v>
      </c>
      <c r="P276">
        <f t="shared" ca="1" si="104"/>
        <v>52430.999424173206</v>
      </c>
      <c r="Q276">
        <f t="shared" ca="1" si="105"/>
        <v>52430.999424175032</v>
      </c>
      <c r="R276">
        <f t="shared" ca="1" si="106"/>
        <v>2.2563843380899872E-12</v>
      </c>
      <c r="S276">
        <f t="shared" ca="1" si="125"/>
        <v>1.1788666110078339E-2</v>
      </c>
      <c r="T276">
        <f t="shared" ca="1" si="126"/>
        <v>0</v>
      </c>
      <c r="U276">
        <f t="shared" ca="1" si="107"/>
        <v>51800.26683766341</v>
      </c>
      <c r="V276">
        <f t="shared" ca="1" si="108"/>
        <v>269361.38755584974</v>
      </c>
      <c r="W276">
        <f t="shared" ca="1" si="109"/>
        <v>2.5998695052916441</v>
      </c>
      <c r="X276">
        <f t="shared" ca="1" si="110"/>
        <v>1.8933671400629237E-4</v>
      </c>
      <c r="Y276">
        <f t="shared" ca="1" si="111"/>
        <v>52432.765837663414</v>
      </c>
      <c r="Z276">
        <f t="shared" ca="1" si="112"/>
        <v>52432.76583766524</v>
      </c>
      <c r="AA276">
        <f t="shared" ca="1" si="113"/>
        <v>2.2562304480281055E-12</v>
      </c>
      <c r="AB276">
        <f t="shared" ca="1" si="114"/>
        <v>-5.0000000192085281E-4</v>
      </c>
      <c r="AC276">
        <f t="shared" ca="1" si="115"/>
        <v>1</v>
      </c>
      <c r="AD276">
        <f ca="1">IF(V32="Supercritical",L276,IF(V32="Subcritical",U276,IF(AND(T276=1,AC276=1),IF((((F276)*(L276)^2)/2+(G276)*(L276)^3/3+(ABS(K276)^2)/($I$5*MAX(((F276)+(G276)*(L276))*(L276),0.000001)))&gt;=(((F276)*(U276)^2)/2+(G276)*(U276)^3/3+(ABS(K276)^2)/($I$5*MAX(((F276)+(G276)*(U276))*(U276),0.000001))),L276,U276),IF(T276=1,L276,IF(AC276=1,U276,MAX($D$16,POWER((ABS(K276)^2)/($I$5*MAX(F276,0.1)^2),1/3)))))))</f>
        <v>51800.26683766341</v>
      </c>
      <c r="AE276">
        <f t="shared" ca="1" si="116"/>
        <v>52432.765837663414</v>
      </c>
      <c r="AF276">
        <f t="shared" ca="1" si="117"/>
        <v>52432.76583766524</v>
      </c>
      <c r="AI276">
        <v>0</v>
      </c>
      <c r="AJ276">
        <v>0</v>
      </c>
      <c r="AK276">
        <f t="shared" si="118"/>
        <v>0</v>
      </c>
      <c r="AL276">
        <f t="shared" si="127"/>
        <v>0</v>
      </c>
      <c r="AM276">
        <f t="shared" ca="1" si="119"/>
        <v>2.6560383008097266E-7</v>
      </c>
      <c r="AN276" t="str">
        <f t="shared" ca="1" si="120"/>
        <v>Subcritical</v>
      </c>
      <c r="AO276">
        <f t="shared" ca="1" si="121"/>
        <v>2.2562304480281055E-12</v>
      </c>
    </row>
    <row r="277" spans="1:41" x14ac:dyDescent="0.35">
      <c r="A277">
        <v>128</v>
      </c>
      <c r="B277">
        <v>126.949</v>
      </c>
      <c r="C277">
        <v>616456.86</v>
      </c>
      <c r="D277">
        <v>3097694.6809999999</v>
      </c>
      <c r="E277">
        <v>632.49850000000004</v>
      </c>
      <c r="F277">
        <v>5.2</v>
      </c>
      <c r="G277">
        <v>0</v>
      </c>
      <c r="H277" t="s">
        <v>186</v>
      </c>
      <c r="I277">
        <v>3.0000000000000001E-3</v>
      </c>
      <c r="J277">
        <f t="shared" si="122"/>
        <v>1</v>
      </c>
      <c r="K277">
        <f t="shared" si="123"/>
        <v>51</v>
      </c>
      <c r="L277">
        <f t="shared" ca="1" si="124"/>
        <v>51798.500424173202</v>
      </c>
      <c r="M277">
        <f t="shared" ca="1" si="101"/>
        <v>269352.20220570068</v>
      </c>
      <c r="N277">
        <f t="shared" ca="1" si="102"/>
        <v>2.5998695008417849</v>
      </c>
      <c r="O277">
        <f t="shared" ca="1" si="103"/>
        <v>1.8934317069756859E-4</v>
      </c>
      <c r="P277">
        <f t="shared" ca="1" si="104"/>
        <v>52430.998924173204</v>
      </c>
      <c r="Q277">
        <f t="shared" ca="1" si="105"/>
        <v>52430.99892417503</v>
      </c>
      <c r="R277">
        <f t="shared" ca="1" si="106"/>
        <v>2.2563843380899872E-12</v>
      </c>
      <c r="S277">
        <f t="shared" ca="1" si="125"/>
        <v>5.0000000192085281E-4</v>
      </c>
      <c r="T277">
        <f t="shared" ca="1" si="126"/>
        <v>1</v>
      </c>
      <c r="U277">
        <f t="shared" ca="1" si="107"/>
        <v>51800.26683766341</v>
      </c>
      <c r="V277">
        <f t="shared" ca="1" si="108"/>
        <v>269361.38755584974</v>
      </c>
      <c r="W277">
        <f t="shared" ca="1" si="109"/>
        <v>2.5998695052916441</v>
      </c>
      <c r="X277">
        <f t="shared" ca="1" si="110"/>
        <v>1.8933671400629237E-4</v>
      </c>
      <c r="Y277">
        <f t="shared" ca="1" si="111"/>
        <v>52432.765337663412</v>
      </c>
      <c r="Z277">
        <f t="shared" ca="1" si="112"/>
        <v>52432.765337665238</v>
      </c>
      <c r="AA277">
        <f t="shared" ca="1" si="113"/>
        <v>2.2562304480281055E-12</v>
      </c>
      <c r="AB277">
        <f t="shared" ca="1" si="114"/>
        <v>-5.0000000192085281E-4</v>
      </c>
      <c r="AC277">
        <f t="shared" ca="1" si="115"/>
        <v>1</v>
      </c>
      <c r="AD277">
        <f ca="1">IF(V32="Supercritical",L277,IF(V32="Subcritical",U277,IF(AND(T277=1,AC277=1),IF((((F277)*(L277)^2)/2+(G277)*(L277)^3/3+(ABS(K277)^2)/($I$5*MAX(((F277)+(G277)*(L277))*(L277),0.000001)))&gt;=(((F277)*(U277)^2)/2+(G277)*(U277)^3/3+(ABS(K277)^2)/($I$5*MAX(((F277)+(G277)*(U277))*(U277),0.000001))),L277,U277),IF(T277=1,L277,IF(AC277=1,U277,MAX($D$16,POWER((ABS(K277)^2)/($I$5*MAX(F277,0.1)^2),1/3)))))))</f>
        <v>51800.26683766341</v>
      </c>
      <c r="AE277">
        <f t="shared" ca="1" si="116"/>
        <v>52432.765337663412</v>
      </c>
      <c r="AF277">
        <f t="shared" ca="1" si="117"/>
        <v>52432.765337665238</v>
      </c>
      <c r="AI277">
        <v>0</v>
      </c>
      <c r="AJ277">
        <v>0</v>
      </c>
      <c r="AK277">
        <f t="shared" si="118"/>
        <v>0</v>
      </c>
      <c r="AL277">
        <f t="shared" si="127"/>
        <v>0</v>
      </c>
      <c r="AM277">
        <f t="shared" ca="1" si="119"/>
        <v>2.6560383008097266E-7</v>
      </c>
      <c r="AN277" t="str">
        <f t="shared" ca="1" si="120"/>
        <v>Subcritical</v>
      </c>
      <c r="AO277">
        <f t="shared" ca="1" si="121"/>
        <v>2.2562304480281055E-12</v>
      </c>
    </row>
    <row r="278" spans="1:41" x14ac:dyDescent="0.35">
      <c r="A278">
        <v>129</v>
      </c>
      <c r="B278">
        <v>127.94799999999999</v>
      </c>
      <c r="C278">
        <v>616455.86199999996</v>
      </c>
      <c r="D278">
        <v>3097694.6329999999</v>
      </c>
      <c r="E278">
        <v>632.49800000000005</v>
      </c>
      <c r="F278">
        <v>5.2</v>
      </c>
      <c r="G278">
        <v>0</v>
      </c>
      <c r="H278" t="s">
        <v>186</v>
      </c>
      <c r="I278">
        <v>0.06</v>
      </c>
      <c r="J278">
        <f t="shared" si="122"/>
        <v>0.99899999999999523</v>
      </c>
      <c r="K278">
        <f t="shared" si="123"/>
        <v>51</v>
      </c>
      <c r="L278">
        <f t="shared" ca="1" si="124"/>
        <v>51798.489182238918</v>
      </c>
      <c r="M278">
        <f t="shared" ref="M278:M341" ca="1" si="128">((F278)+(G278)*(L278))*(L278)</f>
        <v>269352.1437476424</v>
      </c>
      <c r="N278">
        <f t="shared" ref="N278:N341" ca="1" si="129">(((F278)+(G278)*(L278))*(L278))/MAX((F278)+2*(L278)*SQRT(1+(G278)^2),0.000001)</f>
        <v>2.5998695008134636</v>
      </c>
      <c r="O278">
        <f t="shared" ref="O278:O341" ca="1" si="130">ABS(K278)/MAX(((F278)+(G278)*(L278))*(L278),0.000001)</f>
        <v>1.8934321179111236E-4</v>
      </c>
      <c r="P278">
        <f t="shared" ref="P278:P341" ca="1" si="131">E278+L278</f>
        <v>52430.987182238918</v>
      </c>
      <c r="Q278">
        <f t="shared" ref="Q278:Q341" ca="1" si="132">P278+((ABS(K278)/MAX(((F278)+(G278)*(L278))*(L278),0.000001))^2)/(2*$I$5)</f>
        <v>52430.987182240744</v>
      </c>
      <c r="R278">
        <f t="shared" ref="R278:R341" ca="1" si="133">((ABS(K278)*$D$6)/(MAX(((F278)+(G278)*(L278))*(L278),0.000001)*MAX(((((F278)+(G278)*(L278))*(L278))/MAX((F278)+2*(L278)*SQRT(1+(G278)^2),0.000001))^(2/3),0.000001)))^2</f>
        <v>2.2563853175384766E-12</v>
      </c>
      <c r="S278">
        <f t="shared" ca="1" si="125"/>
        <v>1.1741934285964817E-2</v>
      </c>
      <c r="T278">
        <f t="shared" ca="1" si="126"/>
        <v>0</v>
      </c>
      <c r="U278">
        <f t="shared" ref="U278:U341" ca="1" si="134">IF($D$20=0,U279,IF(AC279=0,U279,IF(U278=0,U279,IF(ABS(AB278)&gt;$D$19,MAX($D$16,U278+((AB278)*$D$18*IF((ABS(ABS(K278)/MAX(((F278)+(G278)*(U278))*(U278),0.000001))/SQRT($I$5*MAX((((F278)+(G278)*(U278))*(U278))/MAX((F278)+2*(G278)*(U278),0.000001),0.000001)))&lt;1,1,-1))),U278))))</f>
        <v>51800.26683766341</v>
      </c>
      <c r="V278">
        <f t="shared" ref="V278:V341" ca="1" si="135">((F278)+(G278)*(U278))*(U278)</f>
        <v>269361.38755584974</v>
      </c>
      <c r="W278">
        <f t="shared" ref="W278:W341" ca="1" si="136">(((F278)+(G278)*(U278))*(U278))/MAX((F278)+2*(U278)*SQRT(1+(G278)^2),0.000001)</f>
        <v>2.5998695052916441</v>
      </c>
      <c r="X278">
        <f t="shared" ref="X278:X341" ca="1" si="137">ABS(K278)/MAX(((F278)+(G278)*(U278))*(U278),0.000001)</f>
        <v>1.8933671400629237E-4</v>
      </c>
      <c r="Y278">
        <f t="shared" ref="Y278:Y341" ca="1" si="138">E278+U278</f>
        <v>52432.76483766341</v>
      </c>
      <c r="Z278">
        <f t="shared" ref="Z278:Z341" ca="1" si="139">Y278+((ABS(K278)/MAX(((F278)+(G278)*(U278))*(U278),0.000001))^2)/(2*$I$5)</f>
        <v>52432.764837665236</v>
      </c>
      <c r="AA278">
        <f t="shared" ref="AA278:AA341" ca="1" si="140">((ABS(K278)*$D$6)/(MAX(((F278)+(G278)*(U278))*(U278),0.000001)*MAX(((((F278)+(G278)*(U278))*(U278))/MAX((F278)+2*(U278)*SQRT(1+(G278)^2),0.000001))^(2/3),0.000001)))^2</f>
        <v>2.2562304480281055E-12</v>
      </c>
      <c r="AB278">
        <f t="shared" ref="AB278:AB341" ca="1" si="141">Z279+(((AA278+AA279)/2)*J279)+(IF(X278&gt;X279,$D$8*((X278^2-X279^2)/(2*$I$5)),$D$9*((X279^2-X278^2)/(2*$I$5)))+($D$10*(ABS(I279)/90)*(MAX(X278^2,X279^2)/(2*$I$5))))-Z278</f>
        <v>-5.0000000192085281E-4</v>
      </c>
      <c r="AC278">
        <f t="shared" ref="AC278:AC341" ca="1" si="142">IF(ABS(AB278)&lt;$D$19,1,0)</f>
        <v>1</v>
      </c>
      <c r="AD278">
        <f ca="1">IF(V32="Supercritical",L278,IF(V32="Subcritical",U278,IF(AND(T278=1,AC278=1),IF((((F278)*(L278)^2)/2+(G278)*(L278)^3/3+(ABS(K278)^2)/($I$5*MAX(((F278)+(G278)*(L278))*(L278),0.000001)))&gt;=(((F278)*(U278)^2)/2+(G278)*(U278)^3/3+(ABS(K278)^2)/($I$5*MAX(((F278)+(G278)*(U278))*(U278),0.000001))),L278,U278),IF(T278=1,L278,IF(AC278=1,U278,MAX($D$16,POWER((ABS(K278)^2)/($I$5*MAX(F278,0.1)^2),1/3)))))))</f>
        <v>51800.26683766341</v>
      </c>
      <c r="AE278">
        <f t="shared" ref="AE278:AE341" ca="1" si="143">E278+AD278</f>
        <v>52432.76483766341</v>
      </c>
      <c r="AF278">
        <f t="shared" ref="AF278:AF341" ca="1" si="144">AE278+((ABS(K278)/MAX(((F278)+(G278)*(AD278))*(AD278),0.000001))^2)/(2*$I$5)</f>
        <v>52432.764837665236</v>
      </c>
      <c r="AI278">
        <v>0</v>
      </c>
      <c r="AJ278">
        <v>0</v>
      </c>
      <c r="AK278">
        <f t="shared" ref="AK278:AK341" si="145">AI278+AJ278</f>
        <v>0</v>
      </c>
      <c r="AL278">
        <f t="shared" si="127"/>
        <v>0</v>
      </c>
      <c r="AM278">
        <f t="shared" ref="AM278:AM341" ca="1" si="146">ABS(ABS(K278)/MAX(((F278)+(G278)*(AD278))*(AD278),0.000001))/SQRT($I$5*MAX((((F278)+(G278)*(AD278))*(AD278))/MAX((F278)+2*(G278)*(AD278),0.000001),0.000001))</f>
        <v>2.6560383008097266E-7</v>
      </c>
      <c r="AN278" t="str">
        <f t="shared" ref="AN278:AN341" ca="1" si="147">IF(AM278&lt;1,"Subcritical","Supercritical")</f>
        <v>Subcritical</v>
      </c>
      <c r="AO278">
        <f t="shared" ref="AO278:AO341" ca="1" si="148">((ABS(K278)*$D$6)/(MAX(((F278)+(G278)*(AD278))*(AD278),0.000001)*MAX(((((F278)+(G278)*(AD278))*(AD278))/MAX((F278)+2*(AD278)*SQRT(1+(G278)^2),0.000001))^(2/3),0.000001)))^2</f>
        <v>2.2562304480281055E-12</v>
      </c>
    </row>
    <row r="279" spans="1:41" x14ac:dyDescent="0.35">
      <c r="A279">
        <v>130</v>
      </c>
      <c r="B279">
        <v>128.94800000000001</v>
      </c>
      <c r="C279">
        <v>616454.86300000001</v>
      </c>
      <c r="D279">
        <v>3097694.5860000001</v>
      </c>
      <c r="E279">
        <v>632.49749999999995</v>
      </c>
      <c r="F279">
        <v>5.2</v>
      </c>
      <c r="G279">
        <v>0</v>
      </c>
      <c r="H279" t="s">
        <v>186</v>
      </c>
      <c r="I279">
        <v>5.7000000000000002E-2</v>
      </c>
      <c r="J279">
        <f t="shared" ref="J279:J342" si="149">B279-B278</f>
        <v>1.0000000000000142</v>
      </c>
      <c r="K279">
        <f t="shared" ref="K279:K342" si="150">MAX(0,K278-AK278)</f>
        <v>51</v>
      </c>
      <c r="L279">
        <f t="shared" ref="L279:L342" ca="1" si="151">IF($D$20=0,L278,IF(T278=0,L278,IF(L279=0,L278,IF(ABS(S279)&gt;$D$19,MAX($D$16,L279+((S279)*$D$18*IF((ABS(ABS(K279)/MAX(((F279)+(G279)*(L279))*(L279),0.000001))/SQRT($I$5*MAX((((F279)+(G279)*(L279))*(L279))/MAX((F279)+2*(G279)*(L279),0.000001),0.000001)))&lt;1,1,-1))),L279))))</f>
        <v>51798.489182238918</v>
      </c>
      <c r="M279">
        <f t="shared" ca="1" si="128"/>
        <v>269352.1437476424</v>
      </c>
      <c r="N279">
        <f t="shared" ca="1" si="129"/>
        <v>2.5998695008134636</v>
      </c>
      <c r="O279">
        <f t="shared" ca="1" si="130"/>
        <v>1.8934321179111236E-4</v>
      </c>
      <c r="P279">
        <f t="shared" ca="1" si="131"/>
        <v>52430.986682238916</v>
      </c>
      <c r="Q279">
        <f t="shared" ca="1" si="132"/>
        <v>52430.986682240742</v>
      </c>
      <c r="R279">
        <f t="shared" ca="1" si="133"/>
        <v>2.2563853175384766E-12</v>
      </c>
      <c r="S279">
        <f t="shared" ref="S279:S342" ca="1" si="152">Q278-(((R278+R279)/2)*J279)-(IF(O278&gt;O279,$D$8*((O278^2-O279^2)/(2*$I$5)),$D$9*((O279^2-O278^2)/(2*$I$5)))+($D$10*(ABS(I279)/90)*(MAX(O278^2,O279^2)/(2*$I$5))))-Q279</f>
        <v>5.0000000192085281E-4</v>
      </c>
      <c r="T279">
        <f t="shared" ref="T279:T342" ca="1" si="153">IF(ABS(S279)&lt;$D$19,1,0)</f>
        <v>1</v>
      </c>
      <c r="U279">
        <f t="shared" ca="1" si="134"/>
        <v>51800.26683766341</v>
      </c>
      <c r="V279">
        <f t="shared" ca="1" si="135"/>
        <v>269361.38755584974</v>
      </c>
      <c r="W279">
        <f t="shared" ca="1" si="136"/>
        <v>2.5998695052916441</v>
      </c>
      <c r="X279">
        <f t="shared" ca="1" si="137"/>
        <v>1.8933671400629237E-4</v>
      </c>
      <c r="Y279">
        <f t="shared" ca="1" si="138"/>
        <v>52432.764337663408</v>
      </c>
      <c r="Z279">
        <f t="shared" ca="1" si="139"/>
        <v>52432.764337665234</v>
      </c>
      <c r="AA279">
        <f t="shared" ca="1" si="140"/>
        <v>2.2562304480281055E-12</v>
      </c>
      <c r="AB279">
        <f t="shared" ca="1" si="141"/>
        <v>-4.999999946448952E-4</v>
      </c>
      <c r="AC279">
        <f t="shared" ca="1" si="142"/>
        <v>1</v>
      </c>
      <c r="AD279">
        <f ca="1">IF(V32="Supercritical",L279,IF(V32="Subcritical",U279,IF(AND(T279=1,AC279=1),IF((((F279)*(L279)^2)/2+(G279)*(L279)^3/3+(ABS(K279)^2)/($I$5*MAX(((F279)+(G279)*(L279))*(L279),0.000001)))&gt;=(((F279)*(U279)^2)/2+(G279)*(U279)^3/3+(ABS(K279)^2)/($I$5*MAX(((F279)+(G279)*(U279))*(U279),0.000001))),L279,U279),IF(T279=1,L279,IF(AC279=1,U279,MAX($D$16,POWER((ABS(K279)^2)/($I$5*MAX(F279,0.1)^2),1/3)))))))</f>
        <v>51800.26683766341</v>
      </c>
      <c r="AE279">
        <f t="shared" ca="1" si="143"/>
        <v>52432.764337663408</v>
      </c>
      <c r="AF279">
        <f t="shared" ca="1" si="144"/>
        <v>52432.764337665234</v>
      </c>
      <c r="AI279">
        <v>0</v>
      </c>
      <c r="AJ279">
        <v>0</v>
      </c>
      <c r="AK279">
        <f t="shared" si="145"/>
        <v>0</v>
      </c>
      <c r="AL279">
        <f t="shared" ref="AL279:AL342" si="154">AL278+AK279</f>
        <v>0</v>
      </c>
      <c r="AM279">
        <f t="shared" ca="1" si="146"/>
        <v>2.6560383008097266E-7</v>
      </c>
      <c r="AN279" t="str">
        <f t="shared" ca="1" si="147"/>
        <v>Subcritical</v>
      </c>
      <c r="AO279">
        <f t="shared" ca="1" si="148"/>
        <v>2.2562304480281055E-12</v>
      </c>
    </row>
    <row r="280" spans="1:41" x14ac:dyDescent="0.35">
      <c r="A280">
        <v>131</v>
      </c>
      <c r="B280">
        <v>129.94800000000001</v>
      </c>
      <c r="C280">
        <v>616453.86399999994</v>
      </c>
      <c r="D280">
        <v>3097694.5380000002</v>
      </c>
      <c r="E280">
        <v>632.49699999999996</v>
      </c>
      <c r="F280">
        <v>5.2</v>
      </c>
      <c r="G280">
        <v>0</v>
      </c>
      <c r="H280" t="s">
        <v>186</v>
      </c>
      <c r="I280">
        <v>5.7000000000000002E-2</v>
      </c>
      <c r="J280">
        <f t="shared" si="149"/>
        <v>1</v>
      </c>
      <c r="K280">
        <f t="shared" si="150"/>
        <v>51</v>
      </c>
      <c r="L280">
        <f t="shared" ca="1" si="151"/>
        <v>51798.478021749135</v>
      </c>
      <c r="M280">
        <f t="shared" ca="1" si="128"/>
        <v>269352.0857130955</v>
      </c>
      <c r="N280">
        <f t="shared" ca="1" si="129"/>
        <v>2.5998695007853474</v>
      </c>
      <c r="O280">
        <f t="shared" ca="1" si="130"/>
        <v>1.8934325258696319E-4</v>
      </c>
      <c r="P280">
        <f t="shared" ca="1" si="131"/>
        <v>52430.975021749138</v>
      </c>
      <c r="Q280">
        <f t="shared" ca="1" si="132"/>
        <v>52430.975021750965</v>
      </c>
      <c r="R280">
        <f t="shared" ca="1" si="133"/>
        <v>2.2563862898917816E-12</v>
      </c>
      <c r="S280">
        <f t="shared" ca="1" si="152"/>
        <v>1.1660489777568728E-2</v>
      </c>
      <c r="T280">
        <f t="shared" ca="1" si="153"/>
        <v>0</v>
      </c>
      <c r="U280">
        <f t="shared" ca="1" si="134"/>
        <v>51800.26683766341</v>
      </c>
      <c r="V280">
        <f t="shared" ca="1" si="135"/>
        <v>269361.38755584974</v>
      </c>
      <c r="W280">
        <f t="shared" ca="1" si="136"/>
        <v>2.5998695052916441</v>
      </c>
      <c r="X280">
        <f t="shared" ca="1" si="137"/>
        <v>1.8933671400629237E-4</v>
      </c>
      <c r="Y280">
        <f t="shared" ca="1" si="138"/>
        <v>52432.763837663413</v>
      </c>
      <c r="Z280">
        <f t="shared" ca="1" si="139"/>
        <v>52432.763837665239</v>
      </c>
      <c r="AA280">
        <f t="shared" ca="1" si="140"/>
        <v>2.2562304480281055E-12</v>
      </c>
      <c r="AB280">
        <f t="shared" ca="1" si="141"/>
        <v>-5.0000000192085281E-4</v>
      </c>
      <c r="AC280">
        <f t="shared" ca="1" si="142"/>
        <v>1</v>
      </c>
      <c r="AD280">
        <f ca="1">IF(V32="Supercritical",L280,IF(V32="Subcritical",U280,IF(AND(T280=1,AC280=1),IF((((F280)*(L280)^2)/2+(G280)*(L280)^3/3+(ABS(K280)^2)/($I$5*MAX(((F280)+(G280)*(L280))*(L280),0.000001)))&gt;=(((F280)*(U280)^2)/2+(G280)*(U280)^3/3+(ABS(K280)^2)/($I$5*MAX(((F280)+(G280)*(U280))*(U280),0.000001))),L280,U280),IF(T280=1,L280,IF(AC280=1,U280,MAX($D$16,POWER((ABS(K280)^2)/($I$5*MAX(F280,0.1)^2),1/3)))))))</f>
        <v>51800.26683766341</v>
      </c>
      <c r="AE280">
        <f t="shared" ca="1" si="143"/>
        <v>52432.763837663413</v>
      </c>
      <c r="AF280">
        <f t="shared" ca="1" si="144"/>
        <v>52432.763837665239</v>
      </c>
      <c r="AI280">
        <v>0</v>
      </c>
      <c r="AJ280">
        <v>0</v>
      </c>
      <c r="AK280">
        <f t="shared" si="145"/>
        <v>0</v>
      </c>
      <c r="AL280">
        <f t="shared" si="154"/>
        <v>0</v>
      </c>
      <c r="AM280">
        <f t="shared" ca="1" si="146"/>
        <v>2.6560383008097266E-7</v>
      </c>
      <c r="AN280" t="str">
        <f t="shared" ca="1" si="147"/>
        <v>Subcritical</v>
      </c>
      <c r="AO280">
        <f t="shared" ca="1" si="148"/>
        <v>2.2562304480281055E-12</v>
      </c>
    </row>
    <row r="281" spans="1:41" x14ac:dyDescent="0.35">
      <c r="A281">
        <v>132</v>
      </c>
      <c r="B281">
        <v>130.94800000000001</v>
      </c>
      <c r="C281">
        <v>616452.86499999999</v>
      </c>
      <c r="D281">
        <v>3097694.4909999999</v>
      </c>
      <c r="E281">
        <v>632.49649999999997</v>
      </c>
      <c r="F281">
        <v>5.2</v>
      </c>
      <c r="G281">
        <v>0</v>
      </c>
      <c r="H281" t="s">
        <v>186</v>
      </c>
      <c r="I281">
        <v>5.7000000000000002E-2</v>
      </c>
      <c r="J281">
        <f t="shared" si="149"/>
        <v>1</v>
      </c>
      <c r="K281">
        <f t="shared" si="150"/>
        <v>51</v>
      </c>
      <c r="L281">
        <f t="shared" ca="1" si="151"/>
        <v>51798.478021749135</v>
      </c>
      <c r="M281">
        <f t="shared" ca="1" si="128"/>
        <v>269352.0857130955</v>
      </c>
      <c r="N281">
        <f t="shared" ca="1" si="129"/>
        <v>2.5998695007853474</v>
      </c>
      <c r="O281">
        <f t="shared" ca="1" si="130"/>
        <v>1.8934325258696319E-4</v>
      </c>
      <c r="P281">
        <f t="shared" ca="1" si="131"/>
        <v>52430.974521749136</v>
      </c>
      <c r="Q281">
        <f t="shared" ca="1" si="132"/>
        <v>52430.974521750963</v>
      </c>
      <c r="R281">
        <f t="shared" ca="1" si="133"/>
        <v>2.2563862898917816E-12</v>
      </c>
      <c r="S281">
        <f t="shared" ca="1" si="152"/>
        <v>5.0000000192085281E-4</v>
      </c>
      <c r="T281">
        <f t="shared" ca="1" si="153"/>
        <v>1</v>
      </c>
      <c r="U281">
        <f t="shared" ca="1" si="134"/>
        <v>51800.26683766341</v>
      </c>
      <c r="V281">
        <f t="shared" ca="1" si="135"/>
        <v>269361.38755584974</v>
      </c>
      <c r="W281">
        <f t="shared" ca="1" si="136"/>
        <v>2.5998695052916441</v>
      </c>
      <c r="X281">
        <f t="shared" ca="1" si="137"/>
        <v>1.8933671400629237E-4</v>
      </c>
      <c r="Y281">
        <f t="shared" ca="1" si="138"/>
        <v>52432.763337663411</v>
      </c>
      <c r="Z281">
        <f t="shared" ca="1" si="139"/>
        <v>52432.763337665237</v>
      </c>
      <c r="AA281">
        <f t="shared" ca="1" si="140"/>
        <v>2.2562304480281055E-12</v>
      </c>
      <c r="AB281">
        <f t="shared" ca="1" si="141"/>
        <v>-5.0000000192085281E-4</v>
      </c>
      <c r="AC281">
        <f t="shared" ca="1" si="142"/>
        <v>1</v>
      </c>
      <c r="AD281">
        <f ca="1">IF(V32="Supercritical",L281,IF(V32="Subcritical",U281,IF(AND(T281=1,AC281=1),IF((((F281)*(L281)^2)/2+(G281)*(L281)^3/3+(ABS(K281)^2)/($I$5*MAX(((F281)+(G281)*(L281))*(L281),0.000001)))&gt;=(((F281)*(U281)^2)/2+(G281)*(U281)^3/3+(ABS(K281)^2)/($I$5*MAX(((F281)+(G281)*(U281))*(U281),0.000001))),L281,U281),IF(T281=1,L281,IF(AC281=1,U281,MAX($D$16,POWER((ABS(K281)^2)/($I$5*MAX(F281,0.1)^2),1/3)))))))</f>
        <v>51800.26683766341</v>
      </c>
      <c r="AE281">
        <f t="shared" ca="1" si="143"/>
        <v>52432.763337663411</v>
      </c>
      <c r="AF281">
        <f t="shared" ca="1" si="144"/>
        <v>52432.763337665237</v>
      </c>
      <c r="AI281">
        <v>0</v>
      </c>
      <c r="AJ281">
        <v>0</v>
      </c>
      <c r="AK281">
        <f t="shared" si="145"/>
        <v>0</v>
      </c>
      <c r="AL281">
        <f t="shared" si="154"/>
        <v>0</v>
      </c>
      <c r="AM281">
        <f t="shared" ca="1" si="146"/>
        <v>2.6560383008097266E-7</v>
      </c>
      <c r="AN281" t="str">
        <f t="shared" ca="1" si="147"/>
        <v>Subcritical</v>
      </c>
      <c r="AO281">
        <f t="shared" ca="1" si="148"/>
        <v>2.2562304480281055E-12</v>
      </c>
    </row>
    <row r="282" spans="1:41" x14ac:dyDescent="0.35">
      <c r="A282">
        <v>133</v>
      </c>
      <c r="B282">
        <v>131.94800000000001</v>
      </c>
      <c r="C282">
        <v>616451.86600000004</v>
      </c>
      <c r="D282">
        <v>3097694.443</v>
      </c>
      <c r="E282">
        <v>632.49599999999998</v>
      </c>
      <c r="F282">
        <v>5.2</v>
      </c>
      <c r="G282">
        <v>0</v>
      </c>
      <c r="H282" t="s">
        <v>186</v>
      </c>
      <c r="I282">
        <v>0</v>
      </c>
      <c r="J282">
        <f t="shared" si="149"/>
        <v>1</v>
      </c>
      <c r="K282">
        <f t="shared" si="150"/>
        <v>51</v>
      </c>
      <c r="L282">
        <f t="shared" ca="1" si="151"/>
        <v>51798.466991281472</v>
      </c>
      <c r="M282">
        <f t="shared" ca="1" si="128"/>
        <v>269352.02835466363</v>
      </c>
      <c r="N282">
        <f t="shared" ca="1" si="129"/>
        <v>2.599869500757559</v>
      </c>
      <c r="O282">
        <f t="shared" ca="1" si="130"/>
        <v>1.8934329290755077E-4</v>
      </c>
      <c r="P282">
        <f t="shared" ca="1" si="131"/>
        <v>52430.962991281471</v>
      </c>
      <c r="Q282">
        <f t="shared" ca="1" si="132"/>
        <v>52430.962991283297</v>
      </c>
      <c r="R282">
        <f t="shared" ca="1" si="133"/>
        <v>2.2563872509175778E-12</v>
      </c>
      <c r="S282">
        <f t="shared" ca="1" si="152"/>
        <v>1.1530467665579636E-2</v>
      </c>
      <c r="T282">
        <f t="shared" ca="1" si="153"/>
        <v>0</v>
      </c>
      <c r="U282">
        <f t="shared" ca="1" si="134"/>
        <v>51800.26683766341</v>
      </c>
      <c r="V282">
        <f t="shared" ca="1" si="135"/>
        <v>269361.38755584974</v>
      </c>
      <c r="W282">
        <f t="shared" ca="1" si="136"/>
        <v>2.5998695052916441</v>
      </c>
      <c r="X282">
        <f t="shared" ca="1" si="137"/>
        <v>1.8933671400629237E-4</v>
      </c>
      <c r="Y282">
        <f t="shared" ca="1" si="138"/>
        <v>52432.762837663409</v>
      </c>
      <c r="Z282">
        <f t="shared" ca="1" si="139"/>
        <v>52432.762837665236</v>
      </c>
      <c r="AA282">
        <f t="shared" ca="1" si="140"/>
        <v>2.2562304480281055E-12</v>
      </c>
      <c r="AB282">
        <f t="shared" ca="1" si="141"/>
        <v>-5.0000000192085281E-4</v>
      </c>
      <c r="AC282">
        <f t="shared" ca="1" si="142"/>
        <v>1</v>
      </c>
      <c r="AD282">
        <f ca="1">IF(V32="Supercritical",L282,IF(V32="Subcritical",U282,IF(AND(T282=1,AC282=1),IF((((F282)*(L282)^2)/2+(G282)*(L282)^3/3+(ABS(K282)^2)/($I$5*MAX(((F282)+(G282)*(L282))*(L282),0.000001)))&gt;=(((F282)*(U282)^2)/2+(G282)*(U282)^3/3+(ABS(K282)^2)/($I$5*MAX(((F282)+(G282)*(U282))*(U282),0.000001))),L282,U282),IF(T282=1,L282,IF(AC282=1,U282,MAX($D$16,POWER((ABS(K282)^2)/($I$5*MAX(F282,0.1)^2),1/3)))))))</f>
        <v>51800.26683766341</v>
      </c>
      <c r="AE282">
        <f t="shared" ca="1" si="143"/>
        <v>52432.762837663409</v>
      </c>
      <c r="AF282">
        <f t="shared" ca="1" si="144"/>
        <v>52432.762837665236</v>
      </c>
      <c r="AI282">
        <v>0</v>
      </c>
      <c r="AJ282">
        <v>0</v>
      </c>
      <c r="AK282">
        <f t="shared" si="145"/>
        <v>0</v>
      </c>
      <c r="AL282">
        <f t="shared" si="154"/>
        <v>0</v>
      </c>
      <c r="AM282">
        <f t="shared" ca="1" si="146"/>
        <v>2.6560383008097266E-7</v>
      </c>
      <c r="AN282" t="str">
        <f t="shared" ca="1" si="147"/>
        <v>Subcritical</v>
      </c>
      <c r="AO282">
        <f t="shared" ca="1" si="148"/>
        <v>2.2562304480281055E-12</v>
      </c>
    </row>
    <row r="283" spans="1:41" x14ac:dyDescent="0.35">
      <c r="A283">
        <v>134</v>
      </c>
      <c r="B283">
        <v>132.94900000000001</v>
      </c>
      <c r="C283">
        <v>616450.86699999997</v>
      </c>
      <c r="D283">
        <v>3097694.395</v>
      </c>
      <c r="E283">
        <v>632.49549999999999</v>
      </c>
      <c r="F283">
        <v>5.2</v>
      </c>
      <c r="G283">
        <v>0</v>
      </c>
      <c r="H283" t="s">
        <v>186</v>
      </c>
      <c r="I283">
        <v>5.7000000000000002E-2</v>
      </c>
      <c r="J283">
        <f t="shared" si="149"/>
        <v>1.0010000000000048</v>
      </c>
      <c r="K283">
        <f t="shared" si="150"/>
        <v>51</v>
      </c>
      <c r="L283">
        <f t="shared" ca="1" si="151"/>
        <v>51798.466991281472</v>
      </c>
      <c r="M283">
        <f t="shared" ca="1" si="128"/>
        <v>269352.02835466363</v>
      </c>
      <c r="N283">
        <f t="shared" ca="1" si="129"/>
        <v>2.599869500757559</v>
      </c>
      <c r="O283">
        <f t="shared" ca="1" si="130"/>
        <v>1.8934329290755077E-4</v>
      </c>
      <c r="P283">
        <f t="shared" ca="1" si="131"/>
        <v>52430.962491281469</v>
      </c>
      <c r="Q283">
        <f t="shared" ca="1" si="132"/>
        <v>52430.962491283295</v>
      </c>
      <c r="R283">
        <f t="shared" ca="1" si="133"/>
        <v>2.2563872509175778E-12</v>
      </c>
      <c r="S283">
        <f t="shared" ca="1" si="152"/>
        <v>5.0000000192085281E-4</v>
      </c>
      <c r="T283">
        <f t="shared" ca="1" si="153"/>
        <v>1</v>
      </c>
      <c r="U283">
        <f t="shared" ca="1" si="134"/>
        <v>51800.26683766341</v>
      </c>
      <c r="V283">
        <f t="shared" ca="1" si="135"/>
        <v>269361.38755584974</v>
      </c>
      <c r="W283">
        <f t="shared" ca="1" si="136"/>
        <v>2.5998695052916441</v>
      </c>
      <c r="X283">
        <f t="shared" ca="1" si="137"/>
        <v>1.8933671400629237E-4</v>
      </c>
      <c r="Y283">
        <f t="shared" ca="1" si="138"/>
        <v>52432.762337663407</v>
      </c>
      <c r="Z283">
        <f t="shared" ca="1" si="139"/>
        <v>52432.762337665234</v>
      </c>
      <c r="AA283">
        <f t="shared" ca="1" si="140"/>
        <v>2.2562304480281055E-12</v>
      </c>
      <c r="AB283">
        <f t="shared" ca="1" si="141"/>
        <v>-4.999999946448952E-4</v>
      </c>
      <c r="AC283">
        <f t="shared" ca="1" si="142"/>
        <v>1</v>
      </c>
      <c r="AD283">
        <f ca="1">IF(V32="Supercritical",L283,IF(V32="Subcritical",U283,IF(AND(T283=1,AC283=1),IF((((F283)*(L283)^2)/2+(G283)*(L283)^3/3+(ABS(K283)^2)/($I$5*MAX(((F283)+(G283)*(L283))*(L283),0.000001)))&gt;=(((F283)*(U283)^2)/2+(G283)*(U283)^3/3+(ABS(K283)^2)/($I$5*MAX(((F283)+(G283)*(U283))*(U283),0.000001))),L283,U283),IF(T283=1,L283,IF(AC283=1,U283,MAX($D$16,POWER((ABS(K283)^2)/($I$5*MAX(F283,0.1)^2),1/3)))))))</f>
        <v>51800.26683766341</v>
      </c>
      <c r="AE283">
        <f t="shared" ca="1" si="143"/>
        <v>52432.762337663407</v>
      </c>
      <c r="AF283">
        <f t="shared" ca="1" si="144"/>
        <v>52432.762337665234</v>
      </c>
      <c r="AI283">
        <v>0</v>
      </c>
      <c r="AJ283">
        <v>0</v>
      </c>
      <c r="AK283">
        <f t="shared" si="145"/>
        <v>0</v>
      </c>
      <c r="AL283">
        <f t="shared" si="154"/>
        <v>0</v>
      </c>
      <c r="AM283">
        <f t="shared" ca="1" si="146"/>
        <v>2.6560383008097266E-7</v>
      </c>
      <c r="AN283" t="str">
        <f t="shared" ca="1" si="147"/>
        <v>Subcritical</v>
      </c>
      <c r="AO283">
        <f t="shared" ca="1" si="148"/>
        <v>2.2562304480281055E-12</v>
      </c>
    </row>
    <row r="284" spans="1:41" x14ac:dyDescent="0.35">
      <c r="A284">
        <v>135</v>
      </c>
      <c r="B284">
        <v>133.94900000000001</v>
      </c>
      <c r="C284">
        <v>616449.86800000002</v>
      </c>
      <c r="D284">
        <v>3097694.3480000002</v>
      </c>
      <c r="E284">
        <v>632.495</v>
      </c>
      <c r="F284">
        <v>5.2</v>
      </c>
      <c r="G284">
        <v>0</v>
      </c>
      <c r="H284" t="s">
        <v>186</v>
      </c>
      <c r="I284">
        <v>0.06</v>
      </c>
      <c r="J284">
        <f t="shared" si="149"/>
        <v>1</v>
      </c>
      <c r="K284">
        <f t="shared" si="150"/>
        <v>51</v>
      </c>
      <c r="L284">
        <f t="shared" ca="1" si="151"/>
        <v>51798.456152920538</v>
      </c>
      <c r="M284">
        <f t="shared" ca="1" si="128"/>
        <v>269351.97199518682</v>
      </c>
      <c r="N284">
        <f t="shared" ca="1" si="129"/>
        <v>2.5998695007302546</v>
      </c>
      <c r="O284">
        <f t="shared" ca="1" si="130"/>
        <v>1.8934333252593132E-4</v>
      </c>
      <c r="P284">
        <f t="shared" ca="1" si="131"/>
        <v>52430.951152920541</v>
      </c>
      <c r="Q284">
        <f t="shared" ca="1" si="132"/>
        <v>52430.951152922367</v>
      </c>
      <c r="R284">
        <f t="shared" ca="1" si="133"/>
        <v>2.2563881952067364E-12</v>
      </c>
      <c r="S284">
        <f t="shared" ca="1" si="152"/>
        <v>1.1338360927766189E-2</v>
      </c>
      <c r="T284">
        <f t="shared" ca="1" si="153"/>
        <v>0</v>
      </c>
      <c r="U284">
        <f t="shared" ca="1" si="134"/>
        <v>51800.26683766341</v>
      </c>
      <c r="V284">
        <f t="shared" ca="1" si="135"/>
        <v>269361.38755584974</v>
      </c>
      <c r="W284">
        <f t="shared" ca="1" si="136"/>
        <v>2.5998695052916441</v>
      </c>
      <c r="X284">
        <f t="shared" ca="1" si="137"/>
        <v>1.8933671400629237E-4</v>
      </c>
      <c r="Y284">
        <f t="shared" ca="1" si="138"/>
        <v>52432.761837663413</v>
      </c>
      <c r="Z284">
        <f t="shared" ca="1" si="139"/>
        <v>52432.761837665239</v>
      </c>
      <c r="AA284">
        <f t="shared" ca="1" si="140"/>
        <v>2.2562304480281055E-12</v>
      </c>
      <c r="AB284">
        <f t="shared" ca="1" si="141"/>
        <v>-5.0000000192085281E-4</v>
      </c>
      <c r="AC284">
        <f t="shared" ca="1" si="142"/>
        <v>1</v>
      </c>
      <c r="AD284">
        <f ca="1">IF(V32="Supercritical",L284,IF(V32="Subcritical",U284,IF(AND(T284=1,AC284=1),IF((((F284)*(L284)^2)/2+(G284)*(L284)^3/3+(ABS(K284)^2)/($I$5*MAX(((F284)+(G284)*(L284))*(L284),0.000001)))&gt;=(((F284)*(U284)^2)/2+(G284)*(U284)^3/3+(ABS(K284)^2)/($I$5*MAX(((F284)+(G284)*(U284))*(U284),0.000001))),L284,U284),IF(T284=1,L284,IF(AC284=1,U284,MAX($D$16,POWER((ABS(K284)^2)/($I$5*MAX(F284,0.1)^2),1/3)))))))</f>
        <v>51800.26683766341</v>
      </c>
      <c r="AE284">
        <f t="shared" ca="1" si="143"/>
        <v>52432.761837663413</v>
      </c>
      <c r="AF284">
        <f t="shared" ca="1" si="144"/>
        <v>52432.761837665239</v>
      </c>
      <c r="AI284">
        <v>0</v>
      </c>
      <c r="AJ284">
        <v>0</v>
      </c>
      <c r="AK284">
        <f t="shared" si="145"/>
        <v>0</v>
      </c>
      <c r="AL284">
        <f t="shared" si="154"/>
        <v>0</v>
      </c>
      <c r="AM284">
        <f t="shared" ca="1" si="146"/>
        <v>2.6560383008097266E-7</v>
      </c>
      <c r="AN284" t="str">
        <f t="shared" ca="1" si="147"/>
        <v>Subcritical</v>
      </c>
      <c r="AO284">
        <f t="shared" ca="1" si="148"/>
        <v>2.2562304480281055E-12</v>
      </c>
    </row>
    <row r="285" spans="1:41" x14ac:dyDescent="0.35">
      <c r="A285">
        <v>136</v>
      </c>
      <c r="B285">
        <v>134.94800000000001</v>
      </c>
      <c r="C285">
        <v>616448.87</v>
      </c>
      <c r="D285">
        <v>3097694.3</v>
      </c>
      <c r="E285">
        <v>632.49450000000002</v>
      </c>
      <c r="F285">
        <v>5.2</v>
      </c>
      <c r="G285">
        <v>0</v>
      </c>
      <c r="H285" t="s">
        <v>186</v>
      </c>
      <c r="I285">
        <v>0.06</v>
      </c>
      <c r="J285">
        <f t="shared" si="149"/>
        <v>0.99899999999999523</v>
      </c>
      <c r="K285">
        <f t="shared" si="150"/>
        <v>51</v>
      </c>
      <c r="L285">
        <f t="shared" ca="1" si="151"/>
        <v>51798.456152920538</v>
      </c>
      <c r="M285">
        <f t="shared" ca="1" si="128"/>
        <v>269351.97199518682</v>
      </c>
      <c r="N285">
        <f t="shared" ca="1" si="129"/>
        <v>2.5998695007302546</v>
      </c>
      <c r="O285">
        <f t="shared" ca="1" si="130"/>
        <v>1.8934333252593132E-4</v>
      </c>
      <c r="P285">
        <f t="shared" ca="1" si="131"/>
        <v>52430.950652920539</v>
      </c>
      <c r="Q285">
        <f t="shared" ca="1" si="132"/>
        <v>52430.950652922365</v>
      </c>
      <c r="R285">
        <f t="shared" ca="1" si="133"/>
        <v>2.2563881952067364E-12</v>
      </c>
      <c r="S285">
        <f t="shared" ca="1" si="152"/>
        <v>5.0000000192085281E-4</v>
      </c>
      <c r="T285">
        <f t="shared" ca="1" si="153"/>
        <v>1</v>
      </c>
      <c r="U285">
        <f t="shared" ca="1" si="134"/>
        <v>51800.26683766341</v>
      </c>
      <c r="V285">
        <f t="shared" ca="1" si="135"/>
        <v>269361.38755584974</v>
      </c>
      <c r="W285">
        <f t="shared" ca="1" si="136"/>
        <v>2.5998695052916441</v>
      </c>
      <c r="X285">
        <f t="shared" ca="1" si="137"/>
        <v>1.8933671400629237E-4</v>
      </c>
      <c r="Y285">
        <f t="shared" ca="1" si="138"/>
        <v>52432.761337663411</v>
      </c>
      <c r="Z285">
        <f t="shared" ca="1" si="139"/>
        <v>52432.761337665237</v>
      </c>
      <c r="AA285">
        <f t="shared" ca="1" si="140"/>
        <v>2.2562304480281055E-12</v>
      </c>
      <c r="AB285">
        <f t="shared" ca="1" si="141"/>
        <v>-5.0000000192085281E-4</v>
      </c>
      <c r="AC285">
        <f t="shared" ca="1" si="142"/>
        <v>1</v>
      </c>
      <c r="AD285">
        <f ca="1">IF(V32="Supercritical",L285,IF(V32="Subcritical",U285,IF(AND(T285=1,AC285=1),IF((((F285)*(L285)^2)/2+(G285)*(L285)^3/3+(ABS(K285)^2)/($I$5*MAX(((F285)+(G285)*(L285))*(L285),0.000001)))&gt;=(((F285)*(U285)^2)/2+(G285)*(U285)^3/3+(ABS(K285)^2)/($I$5*MAX(((F285)+(G285)*(U285))*(U285),0.000001))),L285,U285),IF(T285=1,L285,IF(AC285=1,U285,MAX($D$16,POWER((ABS(K285)^2)/($I$5*MAX(F285,0.1)^2),1/3)))))))</f>
        <v>51800.26683766341</v>
      </c>
      <c r="AE285">
        <f t="shared" ca="1" si="143"/>
        <v>52432.761337663411</v>
      </c>
      <c r="AF285">
        <f t="shared" ca="1" si="144"/>
        <v>52432.761337665237</v>
      </c>
      <c r="AI285">
        <v>0</v>
      </c>
      <c r="AJ285">
        <v>0</v>
      </c>
      <c r="AK285">
        <f t="shared" si="145"/>
        <v>0</v>
      </c>
      <c r="AL285">
        <f t="shared" si="154"/>
        <v>0</v>
      </c>
      <c r="AM285">
        <f t="shared" ca="1" si="146"/>
        <v>2.6560383008097266E-7</v>
      </c>
      <c r="AN285" t="str">
        <f t="shared" ca="1" si="147"/>
        <v>Subcritical</v>
      </c>
      <c r="AO285">
        <f t="shared" ca="1" si="148"/>
        <v>2.2562304480281055E-12</v>
      </c>
    </row>
    <row r="286" spans="1:41" x14ac:dyDescent="0.35">
      <c r="A286">
        <v>137</v>
      </c>
      <c r="B286">
        <v>135.94800000000001</v>
      </c>
      <c r="C286">
        <v>616447.87100000004</v>
      </c>
      <c r="D286">
        <v>3097694.253</v>
      </c>
      <c r="E286">
        <v>632.49400000000003</v>
      </c>
      <c r="F286">
        <v>5.2</v>
      </c>
      <c r="G286">
        <v>0</v>
      </c>
      <c r="H286" t="s">
        <v>186</v>
      </c>
      <c r="I286">
        <v>5.7000000000000002E-2</v>
      </c>
      <c r="J286">
        <f t="shared" si="149"/>
        <v>1</v>
      </c>
      <c r="K286">
        <f t="shared" si="150"/>
        <v>51</v>
      </c>
      <c r="L286">
        <f t="shared" ca="1" si="151"/>
        <v>51798.44557625593</v>
      </c>
      <c r="M286">
        <f t="shared" ca="1" si="128"/>
        <v>269351.91699653084</v>
      </c>
      <c r="N286">
        <f t="shared" ca="1" si="129"/>
        <v>2.5998695007036097</v>
      </c>
      <c r="O286">
        <f t="shared" ca="1" si="130"/>
        <v>1.8934337118772711E-4</v>
      </c>
      <c r="P286">
        <f t="shared" ca="1" si="131"/>
        <v>52430.939576255929</v>
      </c>
      <c r="Q286">
        <f t="shared" ca="1" si="132"/>
        <v>52430.939576257755</v>
      </c>
      <c r="R286">
        <f t="shared" ca="1" si="133"/>
        <v>2.2563891166962486E-12</v>
      </c>
      <c r="S286">
        <f t="shared" ca="1" si="152"/>
        <v>1.1076664610300213E-2</v>
      </c>
      <c r="T286">
        <f t="shared" ca="1" si="153"/>
        <v>0</v>
      </c>
      <c r="U286">
        <f t="shared" ca="1" si="134"/>
        <v>51800.26683766341</v>
      </c>
      <c r="V286">
        <f t="shared" ca="1" si="135"/>
        <v>269361.38755584974</v>
      </c>
      <c r="W286">
        <f t="shared" ca="1" si="136"/>
        <v>2.5998695052916441</v>
      </c>
      <c r="X286">
        <f t="shared" ca="1" si="137"/>
        <v>1.8933671400629237E-4</v>
      </c>
      <c r="Y286">
        <f t="shared" ca="1" si="138"/>
        <v>52432.760837663409</v>
      </c>
      <c r="Z286">
        <f t="shared" ca="1" si="139"/>
        <v>52432.760837665235</v>
      </c>
      <c r="AA286">
        <f t="shared" ca="1" si="140"/>
        <v>2.2562304480281055E-12</v>
      </c>
      <c r="AB286">
        <f t="shared" ca="1" si="141"/>
        <v>-5.0000000192085281E-4</v>
      </c>
      <c r="AC286">
        <f t="shared" ca="1" si="142"/>
        <v>1</v>
      </c>
      <c r="AD286">
        <f ca="1">IF(V32="Supercritical",L286,IF(V32="Subcritical",U286,IF(AND(T286=1,AC286=1),IF((((F286)*(L286)^2)/2+(G286)*(L286)^3/3+(ABS(K286)^2)/($I$5*MAX(((F286)+(G286)*(L286))*(L286),0.000001)))&gt;=(((F286)*(U286)^2)/2+(G286)*(U286)^3/3+(ABS(K286)^2)/($I$5*MAX(((F286)+(G286)*(U286))*(U286),0.000001))),L286,U286),IF(T286=1,L286,IF(AC286=1,U286,MAX($D$16,POWER((ABS(K286)^2)/($I$5*MAX(F286,0.1)^2),1/3)))))))</f>
        <v>51800.26683766341</v>
      </c>
      <c r="AE286">
        <f t="shared" ca="1" si="143"/>
        <v>52432.760837663409</v>
      </c>
      <c r="AF286">
        <f t="shared" ca="1" si="144"/>
        <v>52432.760837665235</v>
      </c>
      <c r="AI286">
        <v>0</v>
      </c>
      <c r="AJ286">
        <v>0</v>
      </c>
      <c r="AK286">
        <f t="shared" si="145"/>
        <v>0</v>
      </c>
      <c r="AL286">
        <f t="shared" si="154"/>
        <v>0</v>
      </c>
      <c r="AM286">
        <f t="shared" ca="1" si="146"/>
        <v>2.6560383008097266E-7</v>
      </c>
      <c r="AN286" t="str">
        <f t="shared" ca="1" si="147"/>
        <v>Subcritical</v>
      </c>
      <c r="AO286">
        <f t="shared" ca="1" si="148"/>
        <v>2.2562304480281055E-12</v>
      </c>
    </row>
    <row r="287" spans="1:41" x14ac:dyDescent="0.35">
      <c r="A287">
        <v>138</v>
      </c>
      <c r="B287">
        <v>136.94800000000001</v>
      </c>
      <c r="C287">
        <v>616446.87199999997</v>
      </c>
      <c r="D287">
        <v>3097694.2050000001</v>
      </c>
      <c r="E287">
        <v>632.49350000000004</v>
      </c>
      <c r="F287">
        <v>5.2</v>
      </c>
      <c r="G287">
        <v>0</v>
      </c>
      <c r="H287" t="s">
        <v>186</v>
      </c>
      <c r="I287">
        <v>0</v>
      </c>
      <c r="J287">
        <f t="shared" si="149"/>
        <v>1</v>
      </c>
      <c r="K287">
        <f t="shared" si="150"/>
        <v>51</v>
      </c>
      <c r="L287">
        <f t="shared" ca="1" si="151"/>
        <v>51798.44557625593</v>
      </c>
      <c r="M287">
        <f t="shared" ca="1" si="128"/>
        <v>269351.91699653084</v>
      </c>
      <c r="N287">
        <f t="shared" ca="1" si="129"/>
        <v>2.5998695007036097</v>
      </c>
      <c r="O287">
        <f t="shared" ca="1" si="130"/>
        <v>1.8934337118772711E-4</v>
      </c>
      <c r="P287">
        <f t="shared" ca="1" si="131"/>
        <v>52430.939076255927</v>
      </c>
      <c r="Q287">
        <f t="shared" ca="1" si="132"/>
        <v>52430.939076257753</v>
      </c>
      <c r="R287">
        <f t="shared" ca="1" si="133"/>
        <v>2.2563891166962486E-12</v>
      </c>
      <c r="S287">
        <f t="shared" ca="1" si="152"/>
        <v>5.0000000192085281E-4</v>
      </c>
      <c r="T287">
        <f t="shared" ca="1" si="153"/>
        <v>1</v>
      </c>
      <c r="U287">
        <f t="shared" ca="1" si="134"/>
        <v>51800.26683766341</v>
      </c>
      <c r="V287">
        <f t="shared" ca="1" si="135"/>
        <v>269361.38755584974</v>
      </c>
      <c r="W287">
        <f t="shared" ca="1" si="136"/>
        <v>2.5998695052916441</v>
      </c>
      <c r="X287">
        <f t="shared" ca="1" si="137"/>
        <v>1.8933671400629237E-4</v>
      </c>
      <c r="Y287">
        <f t="shared" ca="1" si="138"/>
        <v>52432.760337663407</v>
      </c>
      <c r="Z287">
        <f t="shared" ca="1" si="139"/>
        <v>52432.760337665233</v>
      </c>
      <c r="AA287">
        <f t="shared" ca="1" si="140"/>
        <v>2.2562304480281055E-12</v>
      </c>
      <c r="AB287">
        <f t="shared" ca="1" si="141"/>
        <v>-4.999999946448952E-4</v>
      </c>
      <c r="AC287">
        <f t="shared" ca="1" si="142"/>
        <v>1</v>
      </c>
      <c r="AD287">
        <f ca="1">IF(V32="Supercritical",L287,IF(V32="Subcritical",U287,IF(AND(T287=1,AC287=1),IF((((F287)*(L287)^2)/2+(G287)*(L287)^3/3+(ABS(K287)^2)/($I$5*MAX(((F287)+(G287)*(L287))*(L287),0.000001)))&gt;=(((F287)*(U287)^2)/2+(G287)*(U287)^3/3+(ABS(K287)^2)/($I$5*MAX(((F287)+(G287)*(U287))*(U287),0.000001))),L287,U287),IF(T287=1,L287,IF(AC287=1,U287,MAX($D$16,POWER((ABS(K287)^2)/($I$5*MAX(F287,0.1)^2),1/3)))))))</f>
        <v>51800.26683766341</v>
      </c>
      <c r="AE287">
        <f t="shared" ca="1" si="143"/>
        <v>52432.760337663407</v>
      </c>
      <c r="AF287">
        <f t="shared" ca="1" si="144"/>
        <v>52432.760337665233</v>
      </c>
      <c r="AI287">
        <v>0</v>
      </c>
      <c r="AJ287">
        <v>0</v>
      </c>
      <c r="AK287">
        <f t="shared" si="145"/>
        <v>0</v>
      </c>
      <c r="AL287">
        <f t="shared" si="154"/>
        <v>0</v>
      </c>
      <c r="AM287">
        <f t="shared" ca="1" si="146"/>
        <v>2.6560383008097266E-7</v>
      </c>
      <c r="AN287" t="str">
        <f t="shared" ca="1" si="147"/>
        <v>Subcritical</v>
      </c>
      <c r="AO287">
        <f t="shared" ca="1" si="148"/>
        <v>2.2562304480281055E-12</v>
      </c>
    </row>
    <row r="288" spans="1:41" x14ac:dyDescent="0.35">
      <c r="A288">
        <v>139</v>
      </c>
      <c r="B288">
        <v>137.94800000000001</v>
      </c>
      <c r="C288">
        <v>616445.87300000002</v>
      </c>
      <c r="D288">
        <v>3097694.1570000001</v>
      </c>
      <c r="E288">
        <v>632.49300000000005</v>
      </c>
      <c r="F288">
        <v>5.2</v>
      </c>
      <c r="G288">
        <v>0</v>
      </c>
      <c r="H288" t="s">
        <v>186</v>
      </c>
      <c r="I288">
        <v>5.7000000000000002E-2</v>
      </c>
      <c r="J288">
        <f t="shared" si="149"/>
        <v>1</v>
      </c>
      <c r="K288">
        <f t="shared" si="150"/>
        <v>51</v>
      </c>
      <c r="L288">
        <f t="shared" ca="1" si="151"/>
        <v>51798.435326929932</v>
      </c>
      <c r="M288">
        <f t="shared" ca="1" si="128"/>
        <v>269351.86370003567</v>
      </c>
      <c r="N288">
        <f t="shared" ca="1" si="129"/>
        <v>2.599869500677789</v>
      </c>
      <c r="O288">
        <f t="shared" ca="1" si="130"/>
        <v>1.8934340865298883E-4</v>
      </c>
      <c r="P288">
        <f t="shared" ca="1" si="131"/>
        <v>52430.928326929934</v>
      </c>
      <c r="Q288">
        <f t="shared" ca="1" si="132"/>
        <v>52430.92832693176</v>
      </c>
      <c r="R288">
        <f t="shared" ca="1" si="133"/>
        <v>2.2563900096669959E-12</v>
      </c>
      <c r="S288">
        <f t="shared" ca="1" si="152"/>
        <v>1.0749325992946979E-2</v>
      </c>
      <c r="T288">
        <f t="shared" ca="1" si="153"/>
        <v>0</v>
      </c>
      <c r="U288">
        <f t="shared" ca="1" si="134"/>
        <v>51800.26683766341</v>
      </c>
      <c r="V288">
        <f t="shared" ca="1" si="135"/>
        <v>269361.38755584974</v>
      </c>
      <c r="W288">
        <f t="shared" ca="1" si="136"/>
        <v>2.5998695052916441</v>
      </c>
      <c r="X288">
        <f t="shared" ca="1" si="137"/>
        <v>1.8933671400629237E-4</v>
      </c>
      <c r="Y288">
        <f t="shared" ca="1" si="138"/>
        <v>52432.759837663412</v>
      </c>
      <c r="Z288">
        <f t="shared" ca="1" si="139"/>
        <v>52432.759837665239</v>
      </c>
      <c r="AA288">
        <f t="shared" ca="1" si="140"/>
        <v>2.2562304480281055E-12</v>
      </c>
      <c r="AB288">
        <f t="shared" ca="1" si="141"/>
        <v>-5.0000000192085281E-4</v>
      </c>
      <c r="AC288">
        <f t="shared" ca="1" si="142"/>
        <v>1</v>
      </c>
      <c r="AD288">
        <f ca="1">IF(V32="Supercritical",L288,IF(V32="Subcritical",U288,IF(AND(T288=1,AC288=1),IF((((F288)*(L288)^2)/2+(G288)*(L288)^3/3+(ABS(K288)^2)/($I$5*MAX(((F288)+(G288)*(L288))*(L288),0.000001)))&gt;=(((F288)*(U288)^2)/2+(G288)*(U288)^3/3+(ABS(K288)^2)/($I$5*MAX(((F288)+(G288)*(U288))*(U288),0.000001))),L288,U288),IF(T288=1,L288,IF(AC288=1,U288,MAX($D$16,POWER((ABS(K288)^2)/($I$5*MAX(F288,0.1)^2),1/3)))))))</f>
        <v>51800.26683766341</v>
      </c>
      <c r="AE288">
        <f t="shared" ca="1" si="143"/>
        <v>52432.759837663412</v>
      </c>
      <c r="AF288">
        <f t="shared" ca="1" si="144"/>
        <v>52432.759837665239</v>
      </c>
      <c r="AI288">
        <v>0</v>
      </c>
      <c r="AJ288">
        <v>0</v>
      </c>
      <c r="AK288">
        <f t="shared" si="145"/>
        <v>0</v>
      </c>
      <c r="AL288">
        <f t="shared" si="154"/>
        <v>0</v>
      </c>
      <c r="AM288">
        <f t="shared" ca="1" si="146"/>
        <v>2.6560383008097266E-7</v>
      </c>
      <c r="AN288" t="str">
        <f t="shared" ca="1" si="147"/>
        <v>Subcritical</v>
      </c>
      <c r="AO288">
        <f t="shared" ca="1" si="148"/>
        <v>2.2562304480281055E-12</v>
      </c>
    </row>
    <row r="289" spans="1:41" x14ac:dyDescent="0.35">
      <c r="A289">
        <v>140</v>
      </c>
      <c r="B289">
        <v>138.94800000000001</v>
      </c>
      <c r="C289">
        <v>616444.87399999995</v>
      </c>
      <c r="D289">
        <v>3097694.11</v>
      </c>
      <c r="E289">
        <v>632.49249999999995</v>
      </c>
      <c r="F289">
        <v>5.2</v>
      </c>
      <c r="G289">
        <v>0</v>
      </c>
      <c r="H289" t="s">
        <v>186</v>
      </c>
      <c r="I289">
        <v>5.7000000000000002E-2</v>
      </c>
      <c r="J289">
        <f t="shared" si="149"/>
        <v>1</v>
      </c>
      <c r="K289">
        <f t="shared" si="150"/>
        <v>51</v>
      </c>
      <c r="L289">
        <f t="shared" ca="1" si="151"/>
        <v>51798.435326929932</v>
      </c>
      <c r="M289">
        <f t="shared" ca="1" si="128"/>
        <v>269351.86370003567</v>
      </c>
      <c r="N289">
        <f t="shared" ca="1" si="129"/>
        <v>2.599869500677789</v>
      </c>
      <c r="O289">
        <f t="shared" ca="1" si="130"/>
        <v>1.8934340865298883E-4</v>
      </c>
      <c r="P289">
        <f t="shared" ca="1" si="131"/>
        <v>52430.927826929932</v>
      </c>
      <c r="Q289">
        <f t="shared" ca="1" si="132"/>
        <v>52430.927826931758</v>
      </c>
      <c r="R289">
        <f t="shared" ca="1" si="133"/>
        <v>2.2563900096669959E-12</v>
      </c>
      <c r="S289">
        <f t="shared" ca="1" si="152"/>
        <v>5.0000000192085281E-4</v>
      </c>
      <c r="T289">
        <f t="shared" ca="1" si="153"/>
        <v>1</v>
      </c>
      <c r="U289">
        <f t="shared" ca="1" si="134"/>
        <v>51800.26683766341</v>
      </c>
      <c r="V289">
        <f t="shared" ca="1" si="135"/>
        <v>269361.38755584974</v>
      </c>
      <c r="W289">
        <f t="shared" ca="1" si="136"/>
        <v>2.5998695052916441</v>
      </c>
      <c r="X289">
        <f t="shared" ca="1" si="137"/>
        <v>1.8933671400629237E-4</v>
      </c>
      <c r="Y289">
        <f t="shared" ca="1" si="138"/>
        <v>52432.75933766341</v>
      </c>
      <c r="Z289">
        <f t="shared" ca="1" si="139"/>
        <v>52432.759337665237</v>
      </c>
      <c r="AA289">
        <f t="shared" ca="1" si="140"/>
        <v>2.2562304480281055E-12</v>
      </c>
      <c r="AB289">
        <f t="shared" ca="1" si="141"/>
        <v>-5.0000000192085281E-4</v>
      </c>
      <c r="AC289">
        <f t="shared" ca="1" si="142"/>
        <v>1</v>
      </c>
      <c r="AD289">
        <f ca="1">IF(V32="Supercritical",L289,IF(V32="Subcritical",U289,IF(AND(T289=1,AC289=1),IF((((F289)*(L289)^2)/2+(G289)*(L289)^3/3+(ABS(K289)^2)/($I$5*MAX(((F289)+(G289)*(L289))*(L289),0.000001)))&gt;=(((F289)*(U289)^2)/2+(G289)*(U289)^3/3+(ABS(K289)^2)/($I$5*MAX(((F289)+(G289)*(U289))*(U289),0.000001))),L289,U289),IF(T289=1,L289,IF(AC289=1,U289,MAX($D$16,POWER((ABS(K289)^2)/($I$5*MAX(F289,0.1)^2),1/3)))))))</f>
        <v>51800.26683766341</v>
      </c>
      <c r="AE289">
        <f t="shared" ca="1" si="143"/>
        <v>52432.75933766341</v>
      </c>
      <c r="AF289">
        <f t="shared" ca="1" si="144"/>
        <v>52432.759337665237</v>
      </c>
      <c r="AI289">
        <v>0</v>
      </c>
      <c r="AJ289">
        <v>0</v>
      </c>
      <c r="AK289">
        <f t="shared" si="145"/>
        <v>0</v>
      </c>
      <c r="AL289">
        <f t="shared" si="154"/>
        <v>0</v>
      </c>
      <c r="AM289">
        <f t="shared" ca="1" si="146"/>
        <v>2.6560383008097266E-7</v>
      </c>
      <c r="AN289" t="str">
        <f t="shared" ca="1" si="147"/>
        <v>Subcritical</v>
      </c>
      <c r="AO289">
        <f t="shared" ca="1" si="148"/>
        <v>2.2562304480281055E-12</v>
      </c>
    </row>
    <row r="290" spans="1:41" x14ac:dyDescent="0.35">
      <c r="A290">
        <v>141</v>
      </c>
      <c r="B290">
        <v>139.94800000000001</v>
      </c>
      <c r="C290">
        <v>616443.875</v>
      </c>
      <c r="D290">
        <v>3097694.0619999999</v>
      </c>
      <c r="E290">
        <v>632.49199999999996</v>
      </c>
      <c r="F290">
        <v>5.2</v>
      </c>
      <c r="G290">
        <v>0</v>
      </c>
      <c r="H290" t="s">
        <v>186</v>
      </c>
      <c r="I290">
        <v>0</v>
      </c>
      <c r="J290">
        <f t="shared" si="149"/>
        <v>1</v>
      </c>
      <c r="K290">
        <f t="shared" si="150"/>
        <v>51</v>
      </c>
      <c r="L290">
        <f t="shared" ca="1" si="151"/>
        <v>51798.4254511908</v>
      </c>
      <c r="M290">
        <f t="shared" ca="1" si="128"/>
        <v>269351.81234619219</v>
      </c>
      <c r="N290">
        <f t="shared" ca="1" si="129"/>
        <v>2.5998695006529098</v>
      </c>
      <c r="O290">
        <f t="shared" ca="1" si="130"/>
        <v>1.8934344475265969E-4</v>
      </c>
      <c r="P290">
        <f t="shared" ca="1" si="131"/>
        <v>52430.917451190799</v>
      </c>
      <c r="Q290">
        <f t="shared" ca="1" si="132"/>
        <v>52430.917451192625</v>
      </c>
      <c r="R290">
        <f t="shared" ca="1" si="133"/>
        <v>2.2563908700895541E-12</v>
      </c>
      <c r="S290">
        <f t="shared" ca="1" si="152"/>
        <v>1.0375739133451134E-2</v>
      </c>
      <c r="T290">
        <f t="shared" ca="1" si="153"/>
        <v>0</v>
      </c>
      <c r="U290">
        <f t="shared" ca="1" si="134"/>
        <v>51800.26683766341</v>
      </c>
      <c r="V290">
        <f t="shared" ca="1" si="135"/>
        <v>269361.38755584974</v>
      </c>
      <c r="W290">
        <f t="shared" ca="1" si="136"/>
        <v>2.5998695052916441</v>
      </c>
      <c r="X290">
        <f t="shared" ca="1" si="137"/>
        <v>1.8933671400629237E-4</v>
      </c>
      <c r="Y290">
        <f t="shared" ca="1" si="138"/>
        <v>52432.758837663408</v>
      </c>
      <c r="Z290">
        <f t="shared" ca="1" si="139"/>
        <v>52432.758837665235</v>
      </c>
      <c r="AA290">
        <f t="shared" ca="1" si="140"/>
        <v>2.2562304480281055E-12</v>
      </c>
      <c r="AB290">
        <f t="shared" ca="1" si="141"/>
        <v>-5.0000000192085281E-4</v>
      </c>
      <c r="AC290">
        <f t="shared" ca="1" si="142"/>
        <v>1</v>
      </c>
      <c r="AD290">
        <f ca="1">IF(V32="Supercritical",L290,IF(V32="Subcritical",U290,IF(AND(T290=1,AC290=1),IF((((F290)*(L290)^2)/2+(G290)*(L290)^3/3+(ABS(K290)^2)/($I$5*MAX(((F290)+(G290)*(L290))*(L290),0.000001)))&gt;=(((F290)*(U290)^2)/2+(G290)*(U290)^3/3+(ABS(K290)^2)/($I$5*MAX(((F290)+(G290)*(U290))*(U290),0.000001))),L290,U290),IF(T290=1,L290,IF(AC290=1,U290,MAX($D$16,POWER((ABS(K290)^2)/($I$5*MAX(F290,0.1)^2),1/3)))))))</f>
        <v>51800.26683766341</v>
      </c>
      <c r="AE290">
        <f t="shared" ca="1" si="143"/>
        <v>52432.758837663408</v>
      </c>
      <c r="AF290">
        <f t="shared" ca="1" si="144"/>
        <v>52432.758837665235</v>
      </c>
      <c r="AI290">
        <v>0</v>
      </c>
      <c r="AJ290">
        <v>0</v>
      </c>
      <c r="AK290">
        <f t="shared" si="145"/>
        <v>0</v>
      </c>
      <c r="AL290">
        <f t="shared" si="154"/>
        <v>0</v>
      </c>
      <c r="AM290">
        <f t="shared" ca="1" si="146"/>
        <v>2.6560383008097266E-7</v>
      </c>
      <c r="AN290" t="str">
        <f t="shared" ca="1" si="147"/>
        <v>Subcritical</v>
      </c>
      <c r="AO290">
        <f t="shared" ca="1" si="148"/>
        <v>2.2562304480281055E-12</v>
      </c>
    </row>
    <row r="291" spans="1:41" x14ac:dyDescent="0.35">
      <c r="A291">
        <v>142</v>
      </c>
      <c r="B291">
        <v>140.94900000000001</v>
      </c>
      <c r="C291">
        <v>616442.87600000005</v>
      </c>
      <c r="D291">
        <v>3097694.014</v>
      </c>
      <c r="E291">
        <v>632.49149999999997</v>
      </c>
      <c r="F291">
        <v>5.2</v>
      </c>
      <c r="G291">
        <v>0</v>
      </c>
      <c r="H291" t="s">
        <v>186</v>
      </c>
      <c r="I291">
        <v>5.5E-2</v>
      </c>
      <c r="J291">
        <f t="shared" si="149"/>
        <v>1.0010000000000048</v>
      </c>
      <c r="K291">
        <f t="shared" si="150"/>
        <v>51</v>
      </c>
      <c r="L291">
        <f t="shared" ca="1" si="151"/>
        <v>51798.4254511908</v>
      </c>
      <c r="M291">
        <f t="shared" ca="1" si="128"/>
        <v>269351.81234619219</v>
      </c>
      <c r="N291">
        <f t="shared" ca="1" si="129"/>
        <v>2.5998695006529098</v>
      </c>
      <c r="O291">
        <f t="shared" ca="1" si="130"/>
        <v>1.8934344475265969E-4</v>
      </c>
      <c r="P291">
        <f t="shared" ca="1" si="131"/>
        <v>52430.916951190797</v>
      </c>
      <c r="Q291">
        <f t="shared" ca="1" si="132"/>
        <v>52430.916951192623</v>
      </c>
      <c r="R291">
        <f t="shared" ca="1" si="133"/>
        <v>2.2563908700895541E-12</v>
      </c>
      <c r="S291">
        <f t="shared" ca="1" si="152"/>
        <v>5.0000000192085281E-4</v>
      </c>
      <c r="T291">
        <f t="shared" ca="1" si="153"/>
        <v>1</v>
      </c>
      <c r="U291">
        <f t="shared" ca="1" si="134"/>
        <v>51800.26683766341</v>
      </c>
      <c r="V291">
        <f t="shared" ca="1" si="135"/>
        <v>269361.38755584974</v>
      </c>
      <c r="W291">
        <f t="shared" ca="1" si="136"/>
        <v>2.5998695052916441</v>
      </c>
      <c r="X291">
        <f t="shared" ca="1" si="137"/>
        <v>1.8933671400629237E-4</v>
      </c>
      <c r="Y291">
        <f t="shared" ca="1" si="138"/>
        <v>52432.758337663407</v>
      </c>
      <c r="Z291">
        <f t="shared" ca="1" si="139"/>
        <v>52432.758337665233</v>
      </c>
      <c r="AA291">
        <f t="shared" ca="1" si="140"/>
        <v>2.2562304480281055E-12</v>
      </c>
      <c r="AB291">
        <f t="shared" ca="1" si="141"/>
        <v>-4.999999946448952E-4</v>
      </c>
      <c r="AC291">
        <f t="shared" ca="1" si="142"/>
        <v>1</v>
      </c>
      <c r="AD291">
        <f ca="1">IF(V32="Supercritical",L291,IF(V32="Subcritical",U291,IF(AND(T291=1,AC291=1),IF((((F291)*(L291)^2)/2+(G291)*(L291)^3/3+(ABS(K291)^2)/($I$5*MAX(((F291)+(G291)*(L291))*(L291),0.000001)))&gt;=(((F291)*(U291)^2)/2+(G291)*(U291)^3/3+(ABS(K291)^2)/($I$5*MAX(((F291)+(G291)*(U291))*(U291),0.000001))),L291,U291),IF(T291=1,L291,IF(AC291=1,U291,MAX($D$16,POWER((ABS(K291)^2)/($I$5*MAX(F291,0.1)^2),1/3)))))))</f>
        <v>51800.26683766341</v>
      </c>
      <c r="AE291">
        <f t="shared" ca="1" si="143"/>
        <v>52432.758337663407</v>
      </c>
      <c r="AF291">
        <f t="shared" ca="1" si="144"/>
        <v>52432.758337665233</v>
      </c>
      <c r="AI291">
        <v>0</v>
      </c>
      <c r="AJ291">
        <v>0</v>
      </c>
      <c r="AK291">
        <f t="shared" si="145"/>
        <v>0</v>
      </c>
      <c r="AL291">
        <f t="shared" si="154"/>
        <v>0</v>
      </c>
      <c r="AM291">
        <f t="shared" ca="1" si="146"/>
        <v>2.6560383008097266E-7</v>
      </c>
      <c r="AN291" t="str">
        <f t="shared" ca="1" si="147"/>
        <v>Subcritical</v>
      </c>
      <c r="AO291">
        <f t="shared" ca="1" si="148"/>
        <v>2.2562304480281055E-12</v>
      </c>
    </row>
    <row r="292" spans="1:41" x14ac:dyDescent="0.35">
      <c r="A292">
        <v>143</v>
      </c>
      <c r="B292">
        <v>141.94800000000001</v>
      </c>
      <c r="C292">
        <v>616441.87800000003</v>
      </c>
      <c r="D292">
        <v>3097693.9670000002</v>
      </c>
      <c r="E292">
        <v>632.49099999999999</v>
      </c>
      <c r="F292">
        <v>5.2</v>
      </c>
      <c r="G292">
        <v>0</v>
      </c>
      <c r="H292" t="s">
        <v>186</v>
      </c>
      <c r="I292">
        <v>5.5E-2</v>
      </c>
      <c r="J292">
        <f t="shared" si="149"/>
        <v>0.99899999999999523</v>
      </c>
      <c r="K292">
        <f t="shared" si="150"/>
        <v>51</v>
      </c>
      <c r="L292">
        <f t="shared" ca="1" si="151"/>
        <v>51798.415959343096</v>
      </c>
      <c r="M292">
        <f t="shared" ca="1" si="128"/>
        <v>269351.76298858412</v>
      </c>
      <c r="N292">
        <f t="shared" ca="1" si="129"/>
        <v>2.5998695006289974</v>
      </c>
      <c r="O292">
        <f t="shared" ca="1" si="130"/>
        <v>1.8934347944907093E-4</v>
      </c>
      <c r="P292">
        <f t="shared" ca="1" si="131"/>
        <v>52430.906959343098</v>
      </c>
      <c r="Q292">
        <f t="shared" ca="1" si="132"/>
        <v>52430.906959344924</v>
      </c>
      <c r="R292">
        <f t="shared" ca="1" si="133"/>
        <v>2.2563916970660841E-12</v>
      </c>
      <c r="S292">
        <f t="shared" ca="1" si="152"/>
        <v>9.991847698984202E-3</v>
      </c>
      <c r="T292">
        <f t="shared" ca="1" si="153"/>
        <v>0</v>
      </c>
      <c r="U292">
        <f t="shared" ca="1" si="134"/>
        <v>51800.26683766341</v>
      </c>
      <c r="V292">
        <f t="shared" ca="1" si="135"/>
        <v>269361.38755584974</v>
      </c>
      <c r="W292">
        <f t="shared" ca="1" si="136"/>
        <v>2.5998695052916441</v>
      </c>
      <c r="X292">
        <f t="shared" ca="1" si="137"/>
        <v>1.8933671400629237E-4</v>
      </c>
      <c r="Y292">
        <f t="shared" ca="1" si="138"/>
        <v>52432.757837663412</v>
      </c>
      <c r="Z292">
        <f t="shared" ca="1" si="139"/>
        <v>52432.757837665238</v>
      </c>
      <c r="AA292">
        <f t="shared" ca="1" si="140"/>
        <v>2.2562304480281055E-12</v>
      </c>
      <c r="AB292">
        <f t="shared" ca="1" si="141"/>
        <v>-5.0000000192085281E-4</v>
      </c>
      <c r="AC292">
        <f t="shared" ca="1" si="142"/>
        <v>1</v>
      </c>
      <c r="AD292">
        <f ca="1">IF(V32="Supercritical",L292,IF(V32="Subcritical",U292,IF(AND(T292=1,AC292=1),IF((((F292)*(L292)^2)/2+(G292)*(L292)^3/3+(ABS(K292)^2)/($I$5*MAX(((F292)+(G292)*(L292))*(L292),0.000001)))&gt;=(((F292)*(U292)^2)/2+(G292)*(U292)^3/3+(ABS(K292)^2)/($I$5*MAX(((F292)+(G292)*(U292))*(U292),0.000001))),L292,U292),IF(T292=1,L292,IF(AC292=1,U292,MAX($D$16,POWER((ABS(K292)^2)/($I$5*MAX(F292,0.1)^2),1/3)))))))</f>
        <v>51800.26683766341</v>
      </c>
      <c r="AE292">
        <f t="shared" ca="1" si="143"/>
        <v>52432.757837663412</v>
      </c>
      <c r="AF292">
        <f t="shared" ca="1" si="144"/>
        <v>52432.757837665238</v>
      </c>
      <c r="AI292">
        <v>0</v>
      </c>
      <c r="AJ292">
        <v>0</v>
      </c>
      <c r="AK292">
        <f t="shared" si="145"/>
        <v>0</v>
      </c>
      <c r="AL292">
        <f t="shared" si="154"/>
        <v>0</v>
      </c>
      <c r="AM292">
        <f t="shared" ca="1" si="146"/>
        <v>2.6560383008097266E-7</v>
      </c>
      <c r="AN292" t="str">
        <f t="shared" ca="1" si="147"/>
        <v>Subcritical</v>
      </c>
      <c r="AO292">
        <f t="shared" ca="1" si="148"/>
        <v>2.2562304480281055E-12</v>
      </c>
    </row>
    <row r="293" spans="1:41" x14ac:dyDescent="0.35">
      <c r="A293">
        <v>144</v>
      </c>
      <c r="B293">
        <v>142.94800000000001</v>
      </c>
      <c r="C293">
        <v>616440.87899999996</v>
      </c>
      <c r="D293">
        <v>3097693.9190000002</v>
      </c>
      <c r="E293">
        <v>632.4905</v>
      </c>
      <c r="F293">
        <v>5.2</v>
      </c>
      <c r="G293">
        <v>0</v>
      </c>
      <c r="H293" t="s">
        <v>186</v>
      </c>
      <c r="I293">
        <v>5.7000000000000002E-2</v>
      </c>
      <c r="J293">
        <f t="shared" si="149"/>
        <v>1</v>
      </c>
      <c r="K293">
        <f t="shared" si="150"/>
        <v>51</v>
      </c>
      <c r="L293">
        <f t="shared" ca="1" si="151"/>
        <v>51798.415959343096</v>
      </c>
      <c r="M293">
        <f t="shared" ca="1" si="128"/>
        <v>269351.76298858412</v>
      </c>
      <c r="N293">
        <f t="shared" ca="1" si="129"/>
        <v>2.5998695006289974</v>
      </c>
      <c r="O293">
        <f t="shared" ca="1" si="130"/>
        <v>1.8934347944907093E-4</v>
      </c>
      <c r="P293">
        <f t="shared" ca="1" si="131"/>
        <v>52430.906459343096</v>
      </c>
      <c r="Q293">
        <f t="shared" ca="1" si="132"/>
        <v>52430.906459344922</v>
      </c>
      <c r="R293">
        <f t="shared" ca="1" si="133"/>
        <v>2.2563916970660841E-12</v>
      </c>
      <c r="S293">
        <f t="shared" ca="1" si="152"/>
        <v>5.0000000192085281E-4</v>
      </c>
      <c r="T293">
        <f t="shared" ca="1" si="153"/>
        <v>1</v>
      </c>
      <c r="U293">
        <f t="shared" ca="1" si="134"/>
        <v>51800.26683766341</v>
      </c>
      <c r="V293">
        <f t="shared" ca="1" si="135"/>
        <v>269361.38755584974</v>
      </c>
      <c r="W293">
        <f t="shared" ca="1" si="136"/>
        <v>2.5998695052916441</v>
      </c>
      <c r="X293">
        <f t="shared" ca="1" si="137"/>
        <v>1.8933671400629237E-4</v>
      </c>
      <c r="Y293">
        <f t="shared" ca="1" si="138"/>
        <v>52432.75733766341</v>
      </c>
      <c r="Z293">
        <f t="shared" ca="1" si="139"/>
        <v>52432.757337665236</v>
      </c>
      <c r="AA293">
        <f t="shared" ca="1" si="140"/>
        <v>2.2562304480281055E-12</v>
      </c>
      <c r="AB293">
        <f t="shared" ca="1" si="141"/>
        <v>-5.0000000192085281E-4</v>
      </c>
      <c r="AC293">
        <f t="shared" ca="1" si="142"/>
        <v>1</v>
      </c>
      <c r="AD293">
        <f ca="1">IF(V32="Supercritical",L293,IF(V32="Subcritical",U293,IF(AND(T293=1,AC293=1),IF((((F293)*(L293)^2)/2+(G293)*(L293)^3/3+(ABS(K293)^2)/($I$5*MAX(((F293)+(G293)*(L293))*(L293),0.000001)))&gt;=(((F293)*(U293)^2)/2+(G293)*(U293)^3/3+(ABS(K293)^2)/($I$5*MAX(((F293)+(G293)*(U293))*(U293),0.000001))),L293,U293),IF(T293=1,L293,IF(AC293=1,U293,MAX($D$16,POWER((ABS(K293)^2)/($I$5*MAX(F293,0.1)^2),1/3)))))))</f>
        <v>51800.26683766341</v>
      </c>
      <c r="AE293">
        <f t="shared" ca="1" si="143"/>
        <v>52432.75733766341</v>
      </c>
      <c r="AF293">
        <f t="shared" ca="1" si="144"/>
        <v>52432.757337665236</v>
      </c>
      <c r="AI293">
        <v>0</v>
      </c>
      <c r="AJ293">
        <v>0</v>
      </c>
      <c r="AK293">
        <f t="shared" si="145"/>
        <v>0</v>
      </c>
      <c r="AL293">
        <f t="shared" si="154"/>
        <v>0</v>
      </c>
      <c r="AM293">
        <f t="shared" ca="1" si="146"/>
        <v>2.6560383008097266E-7</v>
      </c>
      <c r="AN293" t="str">
        <f t="shared" ca="1" si="147"/>
        <v>Subcritical</v>
      </c>
      <c r="AO293">
        <f t="shared" ca="1" si="148"/>
        <v>2.2562304480281055E-12</v>
      </c>
    </row>
    <row r="294" spans="1:41" x14ac:dyDescent="0.35">
      <c r="A294">
        <v>145</v>
      </c>
      <c r="B294">
        <v>143.94800000000001</v>
      </c>
      <c r="C294">
        <v>616439.88</v>
      </c>
      <c r="D294">
        <v>3097693.872</v>
      </c>
      <c r="E294">
        <v>632.49</v>
      </c>
      <c r="F294">
        <v>5.2</v>
      </c>
      <c r="G294">
        <v>0</v>
      </c>
      <c r="H294" t="s">
        <v>186</v>
      </c>
      <c r="I294">
        <v>5.7000000000000002E-2</v>
      </c>
      <c r="J294">
        <f t="shared" si="149"/>
        <v>1</v>
      </c>
      <c r="K294">
        <f t="shared" si="150"/>
        <v>51</v>
      </c>
      <c r="L294">
        <f t="shared" ca="1" si="151"/>
        <v>51798.406812229507</v>
      </c>
      <c r="M294">
        <f t="shared" ca="1" si="128"/>
        <v>269351.71542359347</v>
      </c>
      <c r="N294">
        <f t="shared" ca="1" si="129"/>
        <v>2.599869500605954</v>
      </c>
      <c r="O294">
        <f t="shared" ca="1" si="130"/>
        <v>1.8934351288535633E-4</v>
      </c>
      <c r="P294">
        <f t="shared" ca="1" si="131"/>
        <v>52430.896812229505</v>
      </c>
      <c r="Q294">
        <f t="shared" ca="1" si="132"/>
        <v>52430.896812231331</v>
      </c>
      <c r="R294">
        <f t="shared" ca="1" si="133"/>
        <v>2.2563924940081069E-12</v>
      </c>
      <c r="S294">
        <f t="shared" ca="1" si="152"/>
        <v>9.6471135911997408E-3</v>
      </c>
      <c r="T294">
        <f t="shared" ca="1" si="153"/>
        <v>0</v>
      </c>
      <c r="U294">
        <f t="shared" ca="1" si="134"/>
        <v>51800.26683766341</v>
      </c>
      <c r="V294">
        <f t="shared" ca="1" si="135"/>
        <v>269361.38755584974</v>
      </c>
      <c r="W294">
        <f t="shared" ca="1" si="136"/>
        <v>2.5998695052916441</v>
      </c>
      <c r="X294">
        <f t="shared" ca="1" si="137"/>
        <v>1.8933671400629237E-4</v>
      </c>
      <c r="Y294">
        <f t="shared" ca="1" si="138"/>
        <v>52432.756837663408</v>
      </c>
      <c r="Z294">
        <f t="shared" ca="1" si="139"/>
        <v>52432.756837665234</v>
      </c>
      <c r="AA294">
        <f t="shared" ca="1" si="140"/>
        <v>2.2562304480281055E-12</v>
      </c>
      <c r="AB294">
        <f t="shared" ca="1" si="141"/>
        <v>-4.999999946448952E-4</v>
      </c>
      <c r="AC294">
        <f t="shared" ca="1" si="142"/>
        <v>1</v>
      </c>
      <c r="AD294">
        <f ca="1">IF(V32="Supercritical",L294,IF(V32="Subcritical",U294,IF(AND(T294=1,AC294=1),IF((((F294)*(L294)^2)/2+(G294)*(L294)^3/3+(ABS(K294)^2)/($I$5*MAX(((F294)+(G294)*(L294))*(L294),0.000001)))&gt;=(((F294)*(U294)^2)/2+(G294)*(U294)^3/3+(ABS(K294)^2)/($I$5*MAX(((F294)+(G294)*(U294))*(U294),0.000001))),L294,U294),IF(T294=1,L294,IF(AC294=1,U294,MAX($D$16,POWER((ABS(K294)^2)/($I$5*MAX(F294,0.1)^2),1/3)))))))</f>
        <v>51800.26683766341</v>
      </c>
      <c r="AE294">
        <f t="shared" ca="1" si="143"/>
        <v>52432.756837663408</v>
      </c>
      <c r="AF294">
        <f t="shared" ca="1" si="144"/>
        <v>52432.756837665234</v>
      </c>
      <c r="AI294">
        <v>0</v>
      </c>
      <c r="AJ294">
        <v>0</v>
      </c>
      <c r="AK294">
        <f t="shared" si="145"/>
        <v>0</v>
      </c>
      <c r="AL294">
        <f t="shared" si="154"/>
        <v>0</v>
      </c>
      <c r="AM294">
        <f t="shared" ca="1" si="146"/>
        <v>2.6560383008097266E-7</v>
      </c>
      <c r="AN294" t="str">
        <f t="shared" ca="1" si="147"/>
        <v>Subcritical</v>
      </c>
      <c r="AO294">
        <f t="shared" ca="1" si="148"/>
        <v>2.2562304480281055E-12</v>
      </c>
    </row>
    <row r="295" spans="1:41" x14ac:dyDescent="0.35">
      <c r="A295">
        <v>146</v>
      </c>
      <c r="B295">
        <v>144.94800000000001</v>
      </c>
      <c r="C295">
        <v>616438.88100000005</v>
      </c>
      <c r="D295">
        <v>3097693.824</v>
      </c>
      <c r="E295">
        <v>632.48950000000002</v>
      </c>
      <c r="F295">
        <v>5.2</v>
      </c>
      <c r="G295">
        <v>0</v>
      </c>
      <c r="H295" t="s">
        <v>186</v>
      </c>
      <c r="I295">
        <v>0</v>
      </c>
      <c r="J295">
        <f t="shared" si="149"/>
        <v>1</v>
      </c>
      <c r="K295">
        <f t="shared" si="150"/>
        <v>51</v>
      </c>
      <c r="L295">
        <f t="shared" ca="1" si="151"/>
        <v>51798.406812229507</v>
      </c>
      <c r="M295">
        <f t="shared" ca="1" si="128"/>
        <v>269351.71542359347</v>
      </c>
      <c r="N295">
        <f t="shared" ca="1" si="129"/>
        <v>2.599869500605954</v>
      </c>
      <c r="O295">
        <f t="shared" ca="1" si="130"/>
        <v>1.8934351288535633E-4</v>
      </c>
      <c r="P295">
        <f t="shared" ca="1" si="131"/>
        <v>52430.89631222951</v>
      </c>
      <c r="Q295">
        <f t="shared" ca="1" si="132"/>
        <v>52430.896312231336</v>
      </c>
      <c r="R295">
        <f t="shared" ca="1" si="133"/>
        <v>2.2563924940081069E-12</v>
      </c>
      <c r="S295">
        <f t="shared" ca="1" si="152"/>
        <v>4.999999946448952E-4</v>
      </c>
      <c r="T295">
        <f t="shared" ca="1" si="153"/>
        <v>1</v>
      </c>
      <c r="U295">
        <f t="shared" ca="1" si="134"/>
        <v>51800.26683766341</v>
      </c>
      <c r="V295">
        <f t="shared" ca="1" si="135"/>
        <v>269361.38755584974</v>
      </c>
      <c r="W295">
        <f t="shared" ca="1" si="136"/>
        <v>2.5998695052916441</v>
      </c>
      <c r="X295">
        <f t="shared" ca="1" si="137"/>
        <v>1.8933671400629237E-4</v>
      </c>
      <c r="Y295">
        <f t="shared" ca="1" si="138"/>
        <v>52432.756337663413</v>
      </c>
      <c r="Z295">
        <f t="shared" ca="1" si="139"/>
        <v>52432.75633766524</v>
      </c>
      <c r="AA295">
        <f t="shared" ca="1" si="140"/>
        <v>2.2562304480281055E-12</v>
      </c>
      <c r="AB295">
        <f t="shared" ca="1" si="141"/>
        <v>-5.0000000192085281E-4</v>
      </c>
      <c r="AC295">
        <f t="shared" ca="1" si="142"/>
        <v>1</v>
      </c>
      <c r="AD295">
        <f ca="1">IF(V32="Supercritical",L295,IF(V32="Subcritical",U295,IF(AND(T295=1,AC295=1),IF((((F295)*(L295)^2)/2+(G295)*(L295)^3/3+(ABS(K295)^2)/($I$5*MAX(((F295)+(G295)*(L295))*(L295),0.000001)))&gt;=(((F295)*(U295)^2)/2+(G295)*(U295)^3/3+(ABS(K295)^2)/($I$5*MAX(((F295)+(G295)*(U295))*(U295),0.000001))),L295,U295),IF(T295=1,L295,IF(AC295=1,U295,MAX($D$16,POWER((ABS(K295)^2)/($I$5*MAX(F295,0.1)^2),1/3)))))))</f>
        <v>51800.26683766341</v>
      </c>
      <c r="AE295">
        <f t="shared" ca="1" si="143"/>
        <v>52432.756337663413</v>
      </c>
      <c r="AF295">
        <f t="shared" ca="1" si="144"/>
        <v>52432.75633766524</v>
      </c>
      <c r="AI295">
        <v>0</v>
      </c>
      <c r="AJ295">
        <v>0</v>
      </c>
      <c r="AK295">
        <f t="shared" si="145"/>
        <v>0</v>
      </c>
      <c r="AL295">
        <f t="shared" si="154"/>
        <v>0</v>
      </c>
      <c r="AM295">
        <f t="shared" ca="1" si="146"/>
        <v>2.6560383008097266E-7</v>
      </c>
      <c r="AN295" t="str">
        <f t="shared" ca="1" si="147"/>
        <v>Subcritical</v>
      </c>
      <c r="AO295">
        <f t="shared" ca="1" si="148"/>
        <v>2.2562304480281055E-12</v>
      </c>
    </row>
    <row r="296" spans="1:41" x14ac:dyDescent="0.35">
      <c r="A296">
        <v>147</v>
      </c>
      <c r="B296">
        <v>145.94800000000001</v>
      </c>
      <c r="C296">
        <v>616437.88199999998</v>
      </c>
      <c r="D296">
        <v>3097693.7760000001</v>
      </c>
      <c r="E296">
        <v>632.48900000000003</v>
      </c>
      <c r="F296">
        <v>5.2</v>
      </c>
      <c r="G296">
        <v>0</v>
      </c>
      <c r="H296" t="s">
        <v>186</v>
      </c>
      <c r="I296">
        <v>5.7000000000000002E-2</v>
      </c>
      <c r="J296">
        <f t="shared" si="149"/>
        <v>1</v>
      </c>
      <c r="K296">
        <f t="shared" si="150"/>
        <v>51</v>
      </c>
      <c r="L296">
        <f t="shared" ca="1" si="151"/>
        <v>51798.397915026879</v>
      </c>
      <c r="M296">
        <f t="shared" ca="1" si="128"/>
        <v>269351.66915813979</v>
      </c>
      <c r="N296">
        <f t="shared" ca="1" si="129"/>
        <v>2.5998695005835395</v>
      </c>
      <c r="O296">
        <f t="shared" ca="1" si="130"/>
        <v>1.8934354540813054E-4</v>
      </c>
      <c r="P296">
        <f t="shared" ca="1" si="131"/>
        <v>52430.88691502688</v>
      </c>
      <c r="Q296">
        <f t="shared" ca="1" si="132"/>
        <v>52430.886915028706</v>
      </c>
      <c r="R296">
        <f t="shared" ca="1" si="133"/>
        <v>2.2563932691770529E-12</v>
      </c>
      <c r="S296">
        <f t="shared" ca="1" si="152"/>
        <v>9.3972026297706179E-3</v>
      </c>
      <c r="T296">
        <f t="shared" ca="1" si="153"/>
        <v>0</v>
      </c>
      <c r="U296">
        <f t="shared" ca="1" si="134"/>
        <v>51800.26683766341</v>
      </c>
      <c r="V296">
        <f t="shared" ca="1" si="135"/>
        <v>269361.38755584974</v>
      </c>
      <c r="W296">
        <f t="shared" ca="1" si="136"/>
        <v>2.5998695052916441</v>
      </c>
      <c r="X296">
        <f t="shared" ca="1" si="137"/>
        <v>1.8933671400629237E-4</v>
      </c>
      <c r="Y296">
        <f t="shared" ca="1" si="138"/>
        <v>52432.755837663412</v>
      </c>
      <c r="Z296">
        <f t="shared" ca="1" si="139"/>
        <v>52432.755837665238</v>
      </c>
      <c r="AA296">
        <f t="shared" ca="1" si="140"/>
        <v>2.2562304480281055E-12</v>
      </c>
      <c r="AB296">
        <f t="shared" ca="1" si="141"/>
        <v>-5.0000000192085281E-4</v>
      </c>
      <c r="AC296">
        <f t="shared" ca="1" si="142"/>
        <v>1</v>
      </c>
      <c r="AD296">
        <f ca="1">IF(V32="Supercritical",L296,IF(V32="Subcritical",U296,IF(AND(T296=1,AC296=1),IF((((F296)*(L296)^2)/2+(G296)*(L296)^3/3+(ABS(K296)^2)/($I$5*MAX(((F296)+(G296)*(L296))*(L296),0.000001)))&gt;=(((F296)*(U296)^2)/2+(G296)*(U296)^3/3+(ABS(K296)^2)/($I$5*MAX(((F296)+(G296)*(U296))*(U296),0.000001))),L296,U296),IF(T296=1,L296,IF(AC296=1,U296,MAX($D$16,POWER((ABS(K296)^2)/($I$5*MAX(F296,0.1)^2),1/3)))))))</f>
        <v>51800.26683766341</v>
      </c>
      <c r="AE296">
        <f t="shared" ca="1" si="143"/>
        <v>52432.755837663412</v>
      </c>
      <c r="AF296">
        <f t="shared" ca="1" si="144"/>
        <v>52432.755837665238</v>
      </c>
      <c r="AI296">
        <v>0</v>
      </c>
      <c r="AJ296">
        <v>0</v>
      </c>
      <c r="AK296">
        <f t="shared" si="145"/>
        <v>0</v>
      </c>
      <c r="AL296">
        <f t="shared" si="154"/>
        <v>0</v>
      </c>
      <c r="AM296">
        <f t="shared" ca="1" si="146"/>
        <v>2.6560383008097266E-7</v>
      </c>
      <c r="AN296" t="str">
        <f t="shared" ca="1" si="147"/>
        <v>Subcritical</v>
      </c>
      <c r="AO296">
        <f t="shared" ca="1" si="148"/>
        <v>2.2562304480281055E-12</v>
      </c>
    </row>
    <row r="297" spans="1:41" x14ac:dyDescent="0.35">
      <c r="A297">
        <v>148</v>
      </c>
      <c r="B297">
        <v>146.94800000000001</v>
      </c>
      <c r="C297">
        <v>616436.88300000003</v>
      </c>
      <c r="D297">
        <v>3097693.7289999998</v>
      </c>
      <c r="E297">
        <v>632.48850000000004</v>
      </c>
      <c r="F297">
        <v>5.2</v>
      </c>
      <c r="G297">
        <v>0</v>
      </c>
      <c r="H297" t="s">
        <v>186</v>
      </c>
      <c r="I297">
        <v>5.7000000000000002E-2</v>
      </c>
      <c r="J297">
        <f t="shared" si="149"/>
        <v>1</v>
      </c>
      <c r="K297">
        <f t="shared" si="150"/>
        <v>51</v>
      </c>
      <c r="L297">
        <f t="shared" ca="1" si="151"/>
        <v>51798.397915026879</v>
      </c>
      <c r="M297">
        <f t="shared" ca="1" si="128"/>
        <v>269351.66915813979</v>
      </c>
      <c r="N297">
        <f t="shared" ca="1" si="129"/>
        <v>2.5998695005835395</v>
      </c>
      <c r="O297">
        <f t="shared" ca="1" si="130"/>
        <v>1.8934354540813054E-4</v>
      </c>
      <c r="P297">
        <f t="shared" ca="1" si="131"/>
        <v>52430.886415026878</v>
      </c>
      <c r="Q297">
        <f t="shared" ca="1" si="132"/>
        <v>52430.886415028705</v>
      </c>
      <c r="R297">
        <f t="shared" ca="1" si="133"/>
        <v>2.2563932691770529E-12</v>
      </c>
      <c r="S297">
        <f t="shared" ca="1" si="152"/>
        <v>5.0000000192085281E-4</v>
      </c>
      <c r="T297">
        <f t="shared" ca="1" si="153"/>
        <v>1</v>
      </c>
      <c r="U297">
        <f t="shared" ca="1" si="134"/>
        <v>51800.26683766341</v>
      </c>
      <c r="V297">
        <f t="shared" ca="1" si="135"/>
        <v>269361.38755584974</v>
      </c>
      <c r="W297">
        <f t="shared" ca="1" si="136"/>
        <v>2.5998695052916441</v>
      </c>
      <c r="X297">
        <f t="shared" ca="1" si="137"/>
        <v>1.8933671400629237E-4</v>
      </c>
      <c r="Y297">
        <f t="shared" ca="1" si="138"/>
        <v>52432.75533766341</v>
      </c>
      <c r="Z297">
        <f t="shared" ca="1" si="139"/>
        <v>52432.755337665236</v>
      </c>
      <c r="AA297">
        <f t="shared" ca="1" si="140"/>
        <v>2.2562304480281055E-12</v>
      </c>
      <c r="AB297">
        <f t="shared" ca="1" si="141"/>
        <v>-5.0000000192085281E-4</v>
      </c>
      <c r="AC297">
        <f t="shared" ca="1" si="142"/>
        <v>1</v>
      </c>
      <c r="AD297">
        <f ca="1">IF(V32="Supercritical",L297,IF(V32="Subcritical",U297,IF(AND(T297=1,AC297=1),IF((((F297)*(L297)^2)/2+(G297)*(L297)^3/3+(ABS(K297)^2)/($I$5*MAX(((F297)+(G297)*(L297))*(L297),0.000001)))&gt;=(((F297)*(U297)^2)/2+(G297)*(U297)^3/3+(ABS(K297)^2)/($I$5*MAX(((F297)+(G297)*(U297))*(U297),0.000001))),L297,U297),IF(T297=1,L297,IF(AC297=1,U297,MAX($D$16,POWER((ABS(K297)^2)/($I$5*MAX(F297,0.1)^2),1/3)))))))</f>
        <v>51800.26683766341</v>
      </c>
      <c r="AE297">
        <f t="shared" ca="1" si="143"/>
        <v>52432.75533766341</v>
      </c>
      <c r="AF297">
        <f t="shared" ca="1" si="144"/>
        <v>52432.755337665236</v>
      </c>
      <c r="AI297">
        <v>0</v>
      </c>
      <c r="AJ297">
        <v>0</v>
      </c>
      <c r="AK297">
        <f t="shared" si="145"/>
        <v>0</v>
      </c>
      <c r="AL297">
        <f t="shared" si="154"/>
        <v>0</v>
      </c>
      <c r="AM297">
        <f t="shared" ca="1" si="146"/>
        <v>2.6560383008097266E-7</v>
      </c>
      <c r="AN297" t="str">
        <f t="shared" ca="1" si="147"/>
        <v>Subcritical</v>
      </c>
      <c r="AO297">
        <f t="shared" ca="1" si="148"/>
        <v>2.2562304480281055E-12</v>
      </c>
    </row>
    <row r="298" spans="1:41" x14ac:dyDescent="0.35">
      <c r="A298">
        <v>149</v>
      </c>
      <c r="B298">
        <v>147.94900000000001</v>
      </c>
      <c r="C298">
        <v>616435.88399999996</v>
      </c>
      <c r="D298">
        <v>3097693.6809999999</v>
      </c>
      <c r="E298">
        <v>632.48800000000006</v>
      </c>
      <c r="F298">
        <v>5.2</v>
      </c>
      <c r="G298">
        <v>0</v>
      </c>
      <c r="H298" t="s">
        <v>186</v>
      </c>
      <c r="I298">
        <v>0</v>
      </c>
      <c r="J298">
        <f t="shared" si="149"/>
        <v>1.0010000000000048</v>
      </c>
      <c r="K298">
        <f t="shared" si="150"/>
        <v>51</v>
      </c>
      <c r="L298">
        <f t="shared" ca="1" si="151"/>
        <v>51798.3891212737</v>
      </c>
      <c r="M298">
        <f t="shared" ca="1" si="128"/>
        <v>269351.62343062327</v>
      </c>
      <c r="N298">
        <f t="shared" ca="1" si="129"/>
        <v>2.5998695005613857</v>
      </c>
      <c r="O298">
        <f t="shared" ca="1" si="130"/>
        <v>1.8934357755276735E-4</v>
      </c>
      <c r="P298">
        <f t="shared" ca="1" si="131"/>
        <v>52430.877121273697</v>
      </c>
      <c r="Q298">
        <f t="shared" ca="1" si="132"/>
        <v>52430.877121275524</v>
      </c>
      <c r="R298">
        <f t="shared" ca="1" si="133"/>
        <v>2.2563940353333544E-12</v>
      </c>
      <c r="S298">
        <f t="shared" ca="1" si="152"/>
        <v>9.2937531808274798E-3</v>
      </c>
      <c r="T298">
        <f t="shared" ca="1" si="153"/>
        <v>0</v>
      </c>
      <c r="U298">
        <f t="shared" ca="1" si="134"/>
        <v>51800.26683766341</v>
      </c>
      <c r="V298">
        <f t="shared" ca="1" si="135"/>
        <v>269361.38755584974</v>
      </c>
      <c r="W298">
        <f t="shared" ca="1" si="136"/>
        <v>2.5998695052916441</v>
      </c>
      <c r="X298">
        <f t="shared" ca="1" si="137"/>
        <v>1.8933671400629237E-4</v>
      </c>
      <c r="Y298">
        <f t="shared" ca="1" si="138"/>
        <v>52432.754837663408</v>
      </c>
      <c r="Z298">
        <f t="shared" ca="1" si="139"/>
        <v>52432.754837665234</v>
      </c>
      <c r="AA298">
        <f t="shared" ca="1" si="140"/>
        <v>2.2562304480281055E-12</v>
      </c>
      <c r="AB298">
        <f t="shared" ca="1" si="141"/>
        <v>-4.999999946448952E-4</v>
      </c>
      <c r="AC298">
        <f t="shared" ca="1" si="142"/>
        <v>1</v>
      </c>
      <c r="AD298">
        <f ca="1">IF(V32="Supercritical",L298,IF(V32="Subcritical",U298,IF(AND(T298=1,AC298=1),IF((((F298)*(L298)^2)/2+(G298)*(L298)^3/3+(ABS(K298)^2)/($I$5*MAX(((F298)+(G298)*(L298))*(L298),0.000001)))&gt;=(((F298)*(U298)^2)/2+(G298)*(U298)^3/3+(ABS(K298)^2)/($I$5*MAX(((F298)+(G298)*(U298))*(U298),0.000001))),L298,U298),IF(T298=1,L298,IF(AC298=1,U298,MAX($D$16,POWER((ABS(K298)^2)/($I$5*MAX(F298,0.1)^2),1/3)))))))</f>
        <v>51800.26683766341</v>
      </c>
      <c r="AE298">
        <f t="shared" ca="1" si="143"/>
        <v>52432.754837663408</v>
      </c>
      <c r="AF298">
        <f t="shared" ca="1" si="144"/>
        <v>52432.754837665234</v>
      </c>
      <c r="AI298">
        <v>0</v>
      </c>
      <c r="AJ298">
        <v>0</v>
      </c>
      <c r="AK298">
        <f t="shared" si="145"/>
        <v>0</v>
      </c>
      <c r="AL298">
        <f t="shared" si="154"/>
        <v>0</v>
      </c>
      <c r="AM298">
        <f t="shared" ca="1" si="146"/>
        <v>2.6560383008097266E-7</v>
      </c>
      <c r="AN298" t="str">
        <f t="shared" ca="1" si="147"/>
        <v>Subcritical</v>
      </c>
      <c r="AO298">
        <f t="shared" ca="1" si="148"/>
        <v>2.2562304480281055E-12</v>
      </c>
    </row>
    <row r="299" spans="1:41" x14ac:dyDescent="0.35">
      <c r="A299">
        <v>150</v>
      </c>
      <c r="B299">
        <v>148.94900000000001</v>
      </c>
      <c r="C299">
        <v>616434.88500000001</v>
      </c>
      <c r="D299">
        <v>3097693.6329999999</v>
      </c>
      <c r="E299">
        <v>632.48749999999995</v>
      </c>
      <c r="F299">
        <v>5.2</v>
      </c>
      <c r="G299">
        <v>0</v>
      </c>
      <c r="H299" t="s">
        <v>186</v>
      </c>
      <c r="I299">
        <v>5.5E-2</v>
      </c>
      <c r="J299">
        <f t="shared" si="149"/>
        <v>1</v>
      </c>
      <c r="K299">
        <f t="shared" si="150"/>
        <v>51</v>
      </c>
      <c r="L299">
        <f t="shared" ca="1" si="151"/>
        <v>51798.3891212737</v>
      </c>
      <c r="M299">
        <f t="shared" ca="1" si="128"/>
        <v>269351.62343062327</v>
      </c>
      <c r="N299">
        <f t="shared" ca="1" si="129"/>
        <v>2.5998695005613857</v>
      </c>
      <c r="O299">
        <f t="shared" ca="1" si="130"/>
        <v>1.8934357755276735E-4</v>
      </c>
      <c r="P299">
        <f t="shared" ca="1" si="131"/>
        <v>52430.876621273703</v>
      </c>
      <c r="Q299">
        <f t="shared" ca="1" si="132"/>
        <v>52430.876621275529</v>
      </c>
      <c r="R299">
        <f t="shared" ca="1" si="133"/>
        <v>2.2563940353333544E-12</v>
      </c>
      <c r="S299">
        <f t="shared" ca="1" si="152"/>
        <v>4.999999946448952E-4</v>
      </c>
      <c r="T299">
        <f t="shared" ca="1" si="153"/>
        <v>1</v>
      </c>
      <c r="U299">
        <f t="shared" ca="1" si="134"/>
        <v>51800.26683766341</v>
      </c>
      <c r="V299">
        <f t="shared" ca="1" si="135"/>
        <v>269361.38755584974</v>
      </c>
      <c r="W299">
        <f t="shared" ca="1" si="136"/>
        <v>2.5998695052916441</v>
      </c>
      <c r="X299">
        <f t="shared" ca="1" si="137"/>
        <v>1.8933671400629237E-4</v>
      </c>
      <c r="Y299">
        <f t="shared" ca="1" si="138"/>
        <v>52432.754337663413</v>
      </c>
      <c r="Z299">
        <f t="shared" ca="1" si="139"/>
        <v>52432.754337665239</v>
      </c>
      <c r="AA299">
        <f t="shared" ca="1" si="140"/>
        <v>2.2562304480281055E-12</v>
      </c>
      <c r="AB299">
        <f t="shared" ca="1" si="141"/>
        <v>-5.0000000192085281E-4</v>
      </c>
      <c r="AC299">
        <f t="shared" ca="1" si="142"/>
        <v>1</v>
      </c>
      <c r="AD299">
        <f ca="1">IF(V32="Supercritical",L299,IF(V32="Subcritical",U299,IF(AND(T299=1,AC299=1),IF((((F299)*(L299)^2)/2+(G299)*(L299)^3/3+(ABS(K299)^2)/($I$5*MAX(((F299)+(G299)*(L299))*(L299),0.000001)))&gt;=(((F299)*(U299)^2)/2+(G299)*(U299)^3/3+(ABS(K299)^2)/($I$5*MAX(((F299)+(G299)*(U299))*(U299),0.000001))),L299,U299),IF(T299=1,L299,IF(AC299=1,U299,MAX($D$16,POWER((ABS(K299)^2)/($I$5*MAX(F299,0.1)^2),1/3)))))))</f>
        <v>51800.26683766341</v>
      </c>
      <c r="AE299">
        <f t="shared" ca="1" si="143"/>
        <v>52432.754337663413</v>
      </c>
      <c r="AF299">
        <f t="shared" ca="1" si="144"/>
        <v>52432.754337665239</v>
      </c>
      <c r="AI299">
        <v>0</v>
      </c>
      <c r="AJ299">
        <v>0</v>
      </c>
      <c r="AK299">
        <f t="shared" si="145"/>
        <v>0</v>
      </c>
      <c r="AL299">
        <f t="shared" si="154"/>
        <v>0</v>
      </c>
      <c r="AM299">
        <f t="shared" ca="1" si="146"/>
        <v>2.6560383008097266E-7</v>
      </c>
      <c r="AN299" t="str">
        <f t="shared" ca="1" si="147"/>
        <v>Subcritical</v>
      </c>
      <c r="AO299">
        <f t="shared" ca="1" si="148"/>
        <v>2.2562304480281055E-12</v>
      </c>
    </row>
    <row r="300" spans="1:41" x14ac:dyDescent="0.35">
      <c r="A300">
        <v>151</v>
      </c>
      <c r="B300">
        <v>149.94800000000001</v>
      </c>
      <c r="C300">
        <v>616433.88699999999</v>
      </c>
      <c r="D300">
        <v>3097693.5860000001</v>
      </c>
      <c r="E300">
        <v>632.48699999999997</v>
      </c>
      <c r="F300">
        <v>5.2</v>
      </c>
      <c r="G300">
        <v>0</v>
      </c>
      <c r="H300" t="s">
        <v>186</v>
      </c>
      <c r="I300">
        <v>5.5E-2</v>
      </c>
      <c r="J300">
        <f t="shared" si="149"/>
        <v>0.99899999999999523</v>
      </c>
      <c r="K300">
        <f t="shared" si="150"/>
        <v>51</v>
      </c>
      <c r="L300">
        <f t="shared" ca="1" si="151"/>
        <v>51798.380247505258</v>
      </c>
      <c r="M300">
        <f t="shared" ca="1" si="128"/>
        <v>269351.57728702738</v>
      </c>
      <c r="N300">
        <f t="shared" ca="1" si="129"/>
        <v>2.5998695005390307</v>
      </c>
      <c r="O300">
        <f t="shared" ca="1" si="130"/>
        <v>1.8934360998990252E-4</v>
      </c>
      <c r="P300">
        <f t="shared" ca="1" si="131"/>
        <v>52430.867247505259</v>
      </c>
      <c r="Q300">
        <f t="shared" ca="1" si="132"/>
        <v>52430.867247507085</v>
      </c>
      <c r="R300">
        <f t="shared" ca="1" si="133"/>
        <v>2.2563948084613854E-12</v>
      </c>
      <c r="S300">
        <f t="shared" ca="1" si="152"/>
        <v>9.3737684437655844E-3</v>
      </c>
      <c r="T300">
        <f t="shared" ca="1" si="153"/>
        <v>0</v>
      </c>
      <c r="U300">
        <f t="shared" ca="1" si="134"/>
        <v>51800.26683766341</v>
      </c>
      <c r="V300">
        <f t="shared" ca="1" si="135"/>
        <v>269361.38755584974</v>
      </c>
      <c r="W300">
        <f t="shared" ca="1" si="136"/>
        <v>2.5998695052916441</v>
      </c>
      <c r="X300">
        <f t="shared" ca="1" si="137"/>
        <v>1.8933671400629237E-4</v>
      </c>
      <c r="Y300">
        <f t="shared" ca="1" si="138"/>
        <v>52432.753837663411</v>
      </c>
      <c r="Z300">
        <f t="shared" ca="1" si="139"/>
        <v>52432.753837665237</v>
      </c>
      <c r="AA300">
        <f t="shared" ca="1" si="140"/>
        <v>2.2562304480281055E-12</v>
      </c>
      <c r="AB300">
        <f t="shared" ca="1" si="141"/>
        <v>-5.0000000192085281E-4</v>
      </c>
      <c r="AC300">
        <f t="shared" ca="1" si="142"/>
        <v>1</v>
      </c>
      <c r="AD300">
        <f ca="1">IF(V32="Supercritical",L300,IF(V32="Subcritical",U300,IF(AND(T300=1,AC300=1),IF((((F300)*(L300)^2)/2+(G300)*(L300)^3/3+(ABS(K300)^2)/($I$5*MAX(((F300)+(G300)*(L300))*(L300),0.000001)))&gt;=(((F300)*(U300)^2)/2+(G300)*(U300)^3/3+(ABS(K300)^2)/($I$5*MAX(((F300)+(G300)*(U300))*(U300),0.000001))),L300,U300),IF(T300=1,L300,IF(AC300=1,U300,MAX($D$16,POWER((ABS(K300)^2)/($I$5*MAX(F300,0.1)^2),1/3)))))))</f>
        <v>51800.26683766341</v>
      </c>
      <c r="AE300">
        <f t="shared" ca="1" si="143"/>
        <v>52432.753837663411</v>
      </c>
      <c r="AF300">
        <f t="shared" ca="1" si="144"/>
        <v>52432.753837665237</v>
      </c>
      <c r="AI300">
        <v>0</v>
      </c>
      <c r="AJ300">
        <v>0</v>
      </c>
      <c r="AK300">
        <f t="shared" si="145"/>
        <v>0</v>
      </c>
      <c r="AL300">
        <f t="shared" si="154"/>
        <v>0</v>
      </c>
      <c r="AM300">
        <f t="shared" ca="1" si="146"/>
        <v>2.6560383008097266E-7</v>
      </c>
      <c r="AN300" t="str">
        <f t="shared" ca="1" si="147"/>
        <v>Subcritical</v>
      </c>
      <c r="AO300">
        <f t="shared" ca="1" si="148"/>
        <v>2.2562304480281055E-12</v>
      </c>
    </row>
    <row r="301" spans="1:41" x14ac:dyDescent="0.35">
      <c r="A301">
        <v>152</v>
      </c>
      <c r="B301">
        <v>150.94800000000001</v>
      </c>
      <c r="C301">
        <v>616432.88800000004</v>
      </c>
      <c r="D301">
        <v>3097693.5380000002</v>
      </c>
      <c r="E301">
        <v>632.48649999999998</v>
      </c>
      <c r="F301">
        <v>5.2</v>
      </c>
      <c r="G301">
        <v>0</v>
      </c>
      <c r="H301" t="s">
        <v>186</v>
      </c>
      <c r="I301">
        <v>5.7000000000000002E-2</v>
      </c>
      <c r="J301">
        <f t="shared" si="149"/>
        <v>1</v>
      </c>
      <c r="K301">
        <f t="shared" si="150"/>
        <v>51</v>
      </c>
      <c r="L301">
        <f t="shared" ca="1" si="151"/>
        <v>51798.380247505258</v>
      </c>
      <c r="M301">
        <f t="shared" ca="1" si="128"/>
        <v>269351.57728702738</v>
      </c>
      <c r="N301">
        <f t="shared" ca="1" si="129"/>
        <v>2.5998695005390307</v>
      </c>
      <c r="O301">
        <f t="shared" ca="1" si="130"/>
        <v>1.8934360998990252E-4</v>
      </c>
      <c r="P301">
        <f t="shared" ca="1" si="131"/>
        <v>52430.866747505257</v>
      </c>
      <c r="Q301">
        <f t="shared" ca="1" si="132"/>
        <v>52430.866747507083</v>
      </c>
      <c r="R301">
        <f t="shared" ca="1" si="133"/>
        <v>2.2563948084613854E-12</v>
      </c>
      <c r="S301">
        <f t="shared" ca="1" si="152"/>
        <v>5.0000000192085281E-4</v>
      </c>
      <c r="T301">
        <f t="shared" ca="1" si="153"/>
        <v>1</v>
      </c>
      <c r="U301">
        <f t="shared" ca="1" si="134"/>
        <v>51800.26683766341</v>
      </c>
      <c r="V301">
        <f t="shared" ca="1" si="135"/>
        <v>269361.38755584974</v>
      </c>
      <c r="W301">
        <f t="shared" ca="1" si="136"/>
        <v>2.5998695052916441</v>
      </c>
      <c r="X301">
        <f t="shared" ca="1" si="137"/>
        <v>1.8933671400629237E-4</v>
      </c>
      <c r="Y301">
        <f t="shared" ca="1" si="138"/>
        <v>52432.753337663409</v>
      </c>
      <c r="Z301">
        <f t="shared" ca="1" si="139"/>
        <v>52432.753337665235</v>
      </c>
      <c r="AA301">
        <f t="shared" ca="1" si="140"/>
        <v>2.2562304480281055E-12</v>
      </c>
      <c r="AB301">
        <f t="shared" ca="1" si="141"/>
        <v>-5.0000000192085281E-4</v>
      </c>
      <c r="AC301">
        <f t="shared" ca="1" si="142"/>
        <v>1</v>
      </c>
      <c r="AD301">
        <f ca="1">IF(V32="Supercritical",L301,IF(V32="Subcritical",U301,IF(AND(T301=1,AC301=1),IF((((F301)*(L301)^2)/2+(G301)*(L301)^3/3+(ABS(K301)^2)/($I$5*MAX(((F301)+(G301)*(L301))*(L301),0.000001)))&gt;=(((F301)*(U301)^2)/2+(G301)*(U301)^3/3+(ABS(K301)^2)/($I$5*MAX(((F301)+(G301)*(U301))*(U301),0.000001))),L301,U301),IF(T301=1,L301,IF(AC301=1,U301,MAX($D$16,POWER((ABS(K301)^2)/($I$5*MAX(F301,0.1)^2),1/3)))))))</f>
        <v>51800.26683766341</v>
      </c>
      <c r="AE301">
        <f t="shared" ca="1" si="143"/>
        <v>52432.753337663409</v>
      </c>
      <c r="AF301">
        <f t="shared" ca="1" si="144"/>
        <v>52432.753337665235</v>
      </c>
      <c r="AI301">
        <v>0</v>
      </c>
      <c r="AJ301">
        <v>0</v>
      </c>
      <c r="AK301">
        <f t="shared" si="145"/>
        <v>0</v>
      </c>
      <c r="AL301">
        <f t="shared" si="154"/>
        <v>0</v>
      </c>
      <c r="AM301">
        <f t="shared" ca="1" si="146"/>
        <v>2.6560383008097266E-7</v>
      </c>
      <c r="AN301" t="str">
        <f t="shared" ca="1" si="147"/>
        <v>Subcritical</v>
      </c>
      <c r="AO301">
        <f t="shared" ca="1" si="148"/>
        <v>2.2562304480281055E-12</v>
      </c>
    </row>
    <row r="302" spans="1:41" x14ac:dyDescent="0.35">
      <c r="A302">
        <v>153</v>
      </c>
      <c r="B302">
        <v>151.94800000000001</v>
      </c>
      <c r="C302">
        <v>616431.88899999997</v>
      </c>
      <c r="D302">
        <v>3097693.4909999999</v>
      </c>
      <c r="E302">
        <v>632.48599999999999</v>
      </c>
      <c r="F302">
        <v>5.2</v>
      </c>
      <c r="G302">
        <v>0</v>
      </c>
      <c r="H302" t="s">
        <v>186</v>
      </c>
      <c r="I302">
        <v>5.7000000000000002E-2</v>
      </c>
      <c r="J302">
        <f t="shared" si="149"/>
        <v>1</v>
      </c>
      <c r="K302">
        <f t="shared" si="150"/>
        <v>51</v>
      </c>
      <c r="L302">
        <f t="shared" ca="1" si="151"/>
        <v>51798.371096029179</v>
      </c>
      <c r="M302">
        <f t="shared" ca="1" si="128"/>
        <v>269351.52969935175</v>
      </c>
      <c r="N302">
        <f t="shared" ca="1" si="129"/>
        <v>2.5998695005159758</v>
      </c>
      <c r="O302">
        <f t="shared" ca="1" si="130"/>
        <v>1.8934364344218069E-4</v>
      </c>
      <c r="P302">
        <f t="shared" ca="1" si="131"/>
        <v>52430.857096029176</v>
      </c>
      <c r="Q302">
        <f t="shared" ca="1" si="132"/>
        <v>52430.857096031003</v>
      </c>
      <c r="R302">
        <f t="shared" ca="1" si="133"/>
        <v>2.2563956057851411E-12</v>
      </c>
      <c r="S302">
        <f t="shared" ca="1" si="152"/>
        <v>9.6514760807622224E-3</v>
      </c>
      <c r="T302">
        <f t="shared" ca="1" si="153"/>
        <v>0</v>
      </c>
      <c r="U302">
        <f t="shared" ca="1" si="134"/>
        <v>51800.26683766341</v>
      </c>
      <c r="V302">
        <f t="shared" ca="1" si="135"/>
        <v>269361.38755584974</v>
      </c>
      <c r="W302">
        <f t="shared" ca="1" si="136"/>
        <v>2.5998695052916441</v>
      </c>
      <c r="X302">
        <f t="shared" ca="1" si="137"/>
        <v>1.8933671400629237E-4</v>
      </c>
      <c r="Y302">
        <f t="shared" ca="1" si="138"/>
        <v>52432.752837663407</v>
      </c>
      <c r="Z302">
        <f t="shared" ca="1" si="139"/>
        <v>52432.752837665234</v>
      </c>
      <c r="AA302">
        <f t="shared" ca="1" si="140"/>
        <v>2.2562304480281055E-12</v>
      </c>
      <c r="AB302">
        <f t="shared" ca="1" si="141"/>
        <v>-4.999999946448952E-4</v>
      </c>
      <c r="AC302">
        <f t="shared" ca="1" si="142"/>
        <v>1</v>
      </c>
      <c r="AD302">
        <f ca="1">IF(V32="Supercritical",L302,IF(V32="Subcritical",U302,IF(AND(T302=1,AC302=1),IF((((F302)*(L302)^2)/2+(G302)*(L302)^3/3+(ABS(K302)^2)/($I$5*MAX(((F302)+(G302)*(L302))*(L302),0.000001)))&gt;=(((F302)*(U302)^2)/2+(G302)*(U302)^3/3+(ABS(K302)^2)/($I$5*MAX(((F302)+(G302)*(U302))*(U302),0.000001))),L302,U302),IF(T302=1,L302,IF(AC302=1,U302,MAX($D$16,POWER((ABS(K302)^2)/($I$5*MAX(F302,0.1)^2),1/3)))))))</f>
        <v>51800.26683766341</v>
      </c>
      <c r="AE302">
        <f t="shared" ca="1" si="143"/>
        <v>52432.752837663407</v>
      </c>
      <c r="AF302">
        <f t="shared" ca="1" si="144"/>
        <v>52432.752837665234</v>
      </c>
      <c r="AI302">
        <v>0</v>
      </c>
      <c r="AJ302">
        <v>0</v>
      </c>
      <c r="AK302">
        <f t="shared" si="145"/>
        <v>0</v>
      </c>
      <c r="AL302">
        <f t="shared" si="154"/>
        <v>0</v>
      </c>
      <c r="AM302">
        <f t="shared" ca="1" si="146"/>
        <v>2.6560383008097266E-7</v>
      </c>
      <c r="AN302" t="str">
        <f t="shared" ca="1" si="147"/>
        <v>Subcritical</v>
      </c>
      <c r="AO302">
        <f t="shared" ca="1" si="148"/>
        <v>2.2562304480281055E-12</v>
      </c>
    </row>
    <row r="303" spans="1:41" x14ac:dyDescent="0.35">
      <c r="A303">
        <v>154</v>
      </c>
      <c r="B303">
        <v>152.94800000000001</v>
      </c>
      <c r="C303">
        <v>616430.89</v>
      </c>
      <c r="D303">
        <v>3097693.443</v>
      </c>
      <c r="E303">
        <v>632.4855</v>
      </c>
      <c r="F303">
        <v>5.2</v>
      </c>
      <c r="G303">
        <v>0</v>
      </c>
      <c r="H303" t="s">
        <v>186</v>
      </c>
      <c r="I303">
        <v>0</v>
      </c>
      <c r="J303">
        <f t="shared" si="149"/>
        <v>1</v>
      </c>
      <c r="K303">
        <f t="shared" si="150"/>
        <v>51</v>
      </c>
      <c r="L303">
        <f t="shared" ca="1" si="151"/>
        <v>51798.371096029179</v>
      </c>
      <c r="M303">
        <f t="shared" ca="1" si="128"/>
        <v>269351.52969935175</v>
      </c>
      <c r="N303">
        <f t="shared" ca="1" si="129"/>
        <v>2.5998695005159758</v>
      </c>
      <c r="O303">
        <f t="shared" ca="1" si="130"/>
        <v>1.8934364344218069E-4</v>
      </c>
      <c r="P303">
        <f t="shared" ca="1" si="131"/>
        <v>52430.856596029182</v>
      </c>
      <c r="Q303">
        <f t="shared" ca="1" si="132"/>
        <v>52430.856596031008</v>
      </c>
      <c r="R303">
        <f t="shared" ca="1" si="133"/>
        <v>2.2563956057851411E-12</v>
      </c>
      <c r="S303">
        <f t="shared" ca="1" si="152"/>
        <v>4.999999946448952E-4</v>
      </c>
      <c r="T303">
        <f t="shared" ca="1" si="153"/>
        <v>1</v>
      </c>
      <c r="U303">
        <f t="shared" ca="1" si="134"/>
        <v>51800.26683766341</v>
      </c>
      <c r="V303">
        <f t="shared" ca="1" si="135"/>
        <v>269361.38755584974</v>
      </c>
      <c r="W303">
        <f t="shared" ca="1" si="136"/>
        <v>2.5998695052916441</v>
      </c>
      <c r="X303">
        <f t="shared" ca="1" si="137"/>
        <v>1.8933671400629237E-4</v>
      </c>
      <c r="Y303">
        <f t="shared" ca="1" si="138"/>
        <v>52432.752337663413</v>
      </c>
      <c r="Z303">
        <f t="shared" ca="1" si="139"/>
        <v>52432.752337665239</v>
      </c>
      <c r="AA303">
        <f t="shared" ca="1" si="140"/>
        <v>2.2562304480281055E-12</v>
      </c>
      <c r="AB303">
        <f t="shared" ca="1" si="141"/>
        <v>-5.0000000192085281E-4</v>
      </c>
      <c r="AC303">
        <f t="shared" ca="1" si="142"/>
        <v>1</v>
      </c>
      <c r="AD303">
        <f ca="1">IF(V32="Supercritical",L303,IF(V32="Subcritical",U303,IF(AND(T303=1,AC303=1),IF((((F303)*(L303)^2)/2+(G303)*(L303)^3/3+(ABS(K303)^2)/($I$5*MAX(((F303)+(G303)*(L303))*(L303),0.000001)))&gt;=(((F303)*(U303)^2)/2+(G303)*(U303)^3/3+(ABS(K303)^2)/($I$5*MAX(((F303)+(G303)*(U303))*(U303),0.000001))),L303,U303),IF(T303=1,L303,IF(AC303=1,U303,MAX($D$16,POWER((ABS(K303)^2)/($I$5*MAX(F303,0.1)^2),1/3)))))))</f>
        <v>51800.26683766341</v>
      </c>
      <c r="AE303">
        <f t="shared" ca="1" si="143"/>
        <v>52432.752337663413</v>
      </c>
      <c r="AF303">
        <f t="shared" ca="1" si="144"/>
        <v>52432.752337665239</v>
      </c>
      <c r="AI303">
        <v>0</v>
      </c>
      <c r="AJ303">
        <v>0</v>
      </c>
      <c r="AK303">
        <f t="shared" si="145"/>
        <v>0</v>
      </c>
      <c r="AL303">
        <f t="shared" si="154"/>
        <v>0</v>
      </c>
      <c r="AM303">
        <f t="shared" ca="1" si="146"/>
        <v>2.6560383008097266E-7</v>
      </c>
      <c r="AN303" t="str">
        <f t="shared" ca="1" si="147"/>
        <v>Subcritical</v>
      </c>
      <c r="AO303">
        <f t="shared" ca="1" si="148"/>
        <v>2.2562304480281055E-12</v>
      </c>
    </row>
    <row r="304" spans="1:41" x14ac:dyDescent="0.35">
      <c r="A304">
        <v>155</v>
      </c>
      <c r="B304">
        <v>153.94800000000001</v>
      </c>
      <c r="C304">
        <v>616429.89099999995</v>
      </c>
      <c r="D304">
        <v>3097693.395</v>
      </c>
      <c r="E304">
        <v>632.48500000000001</v>
      </c>
      <c r="F304">
        <v>5.2</v>
      </c>
      <c r="G304">
        <v>0</v>
      </c>
      <c r="H304" t="s">
        <v>186</v>
      </c>
      <c r="I304">
        <v>5.7000000000000002E-2</v>
      </c>
      <c r="J304">
        <f t="shared" si="149"/>
        <v>1</v>
      </c>
      <c r="K304">
        <f t="shared" si="150"/>
        <v>51</v>
      </c>
      <c r="L304">
        <f t="shared" ca="1" si="151"/>
        <v>51798.361481209904</v>
      </c>
      <c r="M304">
        <f t="shared" ca="1" si="128"/>
        <v>269351.47970229149</v>
      </c>
      <c r="N304">
        <f t="shared" ca="1" si="129"/>
        <v>2.5998695004917534</v>
      </c>
      <c r="O304">
        <f t="shared" ca="1" si="130"/>
        <v>1.8934367858817493E-4</v>
      </c>
      <c r="P304">
        <f t="shared" ca="1" si="131"/>
        <v>52430.846481209905</v>
      </c>
      <c r="Q304">
        <f t="shared" ca="1" si="132"/>
        <v>52430.846481211731</v>
      </c>
      <c r="R304">
        <f t="shared" ca="1" si="133"/>
        <v>2.2563964434782006E-12</v>
      </c>
      <c r="S304">
        <f t="shared" ca="1" si="152"/>
        <v>1.0114819277077913E-2</v>
      </c>
      <c r="T304">
        <f t="shared" ca="1" si="153"/>
        <v>0</v>
      </c>
      <c r="U304">
        <f t="shared" ca="1" si="134"/>
        <v>51800.26683766341</v>
      </c>
      <c r="V304">
        <f t="shared" ca="1" si="135"/>
        <v>269361.38755584974</v>
      </c>
      <c r="W304">
        <f t="shared" ca="1" si="136"/>
        <v>2.5998695052916441</v>
      </c>
      <c r="X304">
        <f t="shared" ca="1" si="137"/>
        <v>1.8933671400629237E-4</v>
      </c>
      <c r="Y304">
        <f t="shared" ca="1" si="138"/>
        <v>52432.751837663411</v>
      </c>
      <c r="Z304">
        <f t="shared" ca="1" si="139"/>
        <v>52432.751837665237</v>
      </c>
      <c r="AA304">
        <f t="shared" ca="1" si="140"/>
        <v>2.2562304480281055E-12</v>
      </c>
      <c r="AB304">
        <f t="shared" ca="1" si="141"/>
        <v>-5.0000000192085281E-4</v>
      </c>
      <c r="AC304">
        <f t="shared" ca="1" si="142"/>
        <v>1</v>
      </c>
      <c r="AD304">
        <f ca="1">IF(V32="Supercritical",L304,IF(V32="Subcritical",U304,IF(AND(T304=1,AC304=1),IF((((F304)*(L304)^2)/2+(G304)*(L304)^3/3+(ABS(K304)^2)/($I$5*MAX(((F304)+(G304)*(L304))*(L304),0.000001)))&gt;=(((F304)*(U304)^2)/2+(G304)*(U304)^3/3+(ABS(K304)^2)/($I$5*MAX(((F304)+(G304)*(U304))*(U304),0.000001))),L304,U304),IF(T304=1,L304,IF(AC304=1,U304,MAX($D$16,POWER((ABS(K304)^2)/($I$5*MAX(F304,0.1)^2),1/3)))))))</f>
        <v>51800.26683766341</v>
      </c>
      <c r="AE304">
        <f t="shared" ca="1" si="143"/>
        <v>52432.751837663411</v>
      </c>
      <c r="AF304">
        <f t="shared" ca="1" si="144"/>
        <v>52432.751837665237</v>
      </c>
      <c r="AI304">
        <v>0</v>
      </c>
      <c r="AJ304">
        <v>0</v>
      </c>
      <c r="AK304">
        <f t="shared" si="145"/>
        <v>0</v>
      </c>
      <c r="AL304">
        <f t="shared" si="154"/>
        <v>0</v>
      </c>
      <c r="AM304">
        <f t="shared" ca="1" si="146"/>
        <v>2.6560383008097266E-7</v>
      </c>
      <c r="AN304" t="str">
        <f t="shared" ca="1" si="147"/>
        <v>Subcritical</v>
      </c>
      <c r="AO304">
        <f t="shared" ca="1" si="148"/>
        <v>2.2562304480281055E-12</v>
      </c>
    </row>
    <row r="305" spans="1:41" x14ac:dyDescent="0.35">
      <c r="A305">
        <v>156</v>
      </c>
      <c r="B305">
        <v>154.94800000000001</v>
      </c>
      <c r="C305">
        <v>616428.89199999999</v>
      </c>
      <c r="D305">
        <v>3097693.3480000002</v>
      </c>
      <c r="E305">
        <v>632.48450000000003</v>
      </c>
      <c r="F305">
        <v>5.2</v>
      </c>
      <c r="G305">
        <v>0</v>
      </c>
      <c r="H305" t="s">
        <v>186</v>
      </c>
      <c r="I305">
        <v>5.7000000000000002E-2</v>
      </c>
      <c r="J305">
        <f t="shared" si="149"/>
        <v>1</v>
      </c>
      <c r="K305">
        <f t="shared" si="150"/>
        <v>51</v>
      </c>
      <c r="L305">
        <f t="shared" ca="1" si="151"/>
        <v>51798.361481209904</v>
      </c>
      <c r="M305">
        <f t="shared" ca="1" si="128"/>
        <v>269351.47970229149</v>
      </c>
      <c r="N305">
        <f t="shared" ca="1" si="129"/>
        <v>2.5998695004917534</v>
      </c>
      <c r="O305">
        <f t="shared" ca="1" si="130"/>
        <v>1.8934367858817493E-4</v>
      </c>
      <c r="P305">
        <f t="shared" ca="1" si="131"/>
        <v>52430.845981209903</v>
      </c>
      <c r="Q305">
        <f t="shared" ca="1" si="132"/>
        <v>52430.845981211729</v>
      </c>
      <c r="R305">
        <f t="shared" ca="1" si="133"/>
        <v>2.2563964434782006E-12</v>
      </c>
      <c r="S305">
        <f t="shared" ca="1" si="152"/>
        <v>5.0000000192085281E-4</v>
      </c>
      <c r="T305">
        <f t="shared" ca="1" si="153"/>
        <v>1</v>
      </c>
      <c r="U305">
        <f t="shared" ca="1" si="134"/>
        <v>51800.26683766341</v>
      </c>
      <c r="V305">
        <f t="shared" ca="1" si="135"/>
        <v>269361.38755584974</v>
      </c>
      <c r="W305">
        <f t="shared" ca="1" si="136"/>
        <v>2.5998695052916441</v>
      </c>
      <c r="X305">
        <f t="shared" ca="1" si="137"/>
        <v>1.8933671400629237E-4</v>
      </c>
      <c r="Y305">
        <f t="shared" ca="1" si="138"/>
        <v>52432.751337663409</v>
      </c>
      <c r="Z305">
        <f t="shared" ca="1" si="139"/>
        <v>52432.751337665235</v>
      </c>
      <c r="AA305">
        <f t="shared" ca="1" si="140"/>
        <v>2.2562304480281055E-12</v>
      </c>
      <c r="AB305">
        <f t="shared" ca="1" si="141"/>
        <v>-5.0000000192085281E-4</v>
      </c>
      <c r="AC305">
        <f t="shared" ca="1" si="142"/>
        <v>1</v>
      </c>
      <c r="AD305">
        <f ca="1">IF(V32="Supercritical",L305,IF(V32="Subcritical",U305,IF(AND(T305=1,AC305=1),IF((((F305)*(L305)^2)/2+(G305)*(L305)^3/3+(ABS(K305)^2)/($I$5*MAX(((F305)+(G305)*(L305))*(L305),0.000001)))&gt;=(((F305)*(U305)^2)/2+(G305)*(U305)^3/3+(ABS(K305)^2)/($I$5*MAX(((F305)+(G305)*(U305))*(U305),0.000001))),L305,U305),IF(T305=1,L305,IF(AC305=1,U305,MAX($D$16,POWER((ABS(K305)^2)/($I$5*MAX(F305,0.1)^2),1/3)))))))</f>
        <v>51800.26683766341</v>
      </c>
      <c r="AE305">
        <f t="shared" ca="1" si="143"/>
        <v>52432.751337663409</v>
      </c>
      <c r="AF305">
        <f t="shared" ca="1" si="144"/>
        <v>52432.751337665235</v>
      </c>
      <c r="AI305">
        <v>0</v>
      </c>
      <c r="AJ305">
        <v>0</v>
      </c>
      <c r="AK305">
        <f t="shared" si="145"/>
        <v>0</v>
      </c>
      <c r="AL305">
        <f t="shared" si="154"/>
        <v>0</v>
      </c>
      <c r="AM305">
        <f t="shared" ca="1" si="146"/>
        <v>2.6560383008097266E-7</v>
      </c>
      <c r="AN305" t="str">
        <f t="shared" ca="1" si="147"/>
        <v>Subcritical</v>
      </c>
      <c r="AO305">
        <f t="shared" ca="1" si="148"/>
        <v>2.2562304480281055E-12</v>
      </c>
    </row>
    <row r="306" spans="1:41" x14ac:dyDescent="0.35">
      <c r="A306">
        <v>157</v>
      </c>
      <c r="B306">
        <v>155.94900000000001</v>
      </c>
      <c r="C306">
        <v>616427.89300000004</v>
      </c>
      <c r="D306">
        <v>3097693.3</v>
      </c>
      <c r="E306">
        <v>632.48400000000004</v>
      </c>
      <c r="F306">
        <v>5.2</v>
      </c>
      <c r="G306">
        <v>0</v>
      </c>
      <c r="H306" t="s">
        <v>186</v>
      </c>
      <c r="I306">
        <v>5.5E-2</v>
      </c>
      <c r="J306">
        <f t="shared" si="149"/>
        <v>1.0010000000000048</v>
      </c>
      <c r="K306">
        <f t="shared" si="150"/>
        <v>51</v>
      </c>
      <c r="L306">
        <f t="shared" ca="1" si="151"/>
        <v>51798.35125384415</v>
      </c>
      <c r="M306">
        <f t="shared" ca="1" si="128"/>
        <v>269351.42651998962</v>
      </c>
      <c r="N306">
        <f t="shared" ca="1" si="129"/>
        <v>2.5998695004659886</v>
      </c>
      <c r="O306">
        <f t="shared" ca="1" si="130"/>
        <v>1.8934371597328478E-4</v>
      </c>
      <c r="P306">
        <f t="shared" ca="1" si="131"/>
        <v>52430.835253844147</v>
      </c>
      <c r="Q306">
        <f t="shared" ca="1" si="132"/>
        <v>52430.835253845973</v>
      </c>
      <c r="R306">
        <f t="shared" ca="1" si="133"/>
        <v>2.2563973345400037E-12</v>
      </c>
      <c r="S306">
        <f t="shared" ca="1" si="152"/>
        <v>1.0727365755883511E-2</v>
      </c>
      <c r="T306">
        <f t="shared" ca="1" si="153"/>
        <v>0</v>
      </c>
      <c r="U306">
        <f t="shared" ca="1" si="134"/>
        <v>51800.26683766341</v>
      </c>
      <c r="V306">
        <f t="shared" ca="1" si="135"/>
        <v>269361.38755584974</v>
      </c>
      <c r="W306">
        <f t="shared" ca="1" si="136"/>
        <v>2.5998695052916441</v>
      </c>
      <c r="X306">
        <f t="shared" ca="1" si="137"/>
        <v>1.8933671400629237E-4</v>
      </c>
      <c r="Y306">
        <f t="shared" ca="1" si="138"/>
        <v>52432.750837663407</v>
      </c>
      <c r="Z306">
        <f t="shared" ca="1" si="139"/>
        <v>52432.750837665233</v>
      </c>
      <c r="AA306">
        <f t="shared" ca="1" si="140"/>
        <v>2.2562304480281055E-12</v>
      </c>
      <c r="AB306">
        <f t="shared" ca="1" si="141"/>
        <v>-4.999999946448952E-4</v>
      </c>
      <c r="AC306">
        <f t="shared" ca="1" si="142"/>
        <v>1</v>
      </c>
      <c r="AD306">
        <f ca="1">IF(V32="Supercritical",L306,IF(V32="Subcritical",U306,IF(AND(T306=1,AC306=1),IF((((F306)*(L306)^2)/2+(G306)*(L306)^3/3+(ABS(K306)^2)/($I$5*MAX(((F306)+(G306)*(L306))*(L306),0.000001)))&gt;=(((F306)*(U306)^2)/2+(G306)*(U306)^3/3+(ABS(K306)^2)/($I$5*MAX(((F306)+(G306)*(U306))*(U306),0.000001))),L306,U306),IF(T306=1,L306,IF(AC306=1,U306,MAX($D$16,POWER((ABS(K306)^2)/($I$5*MAX(F306,0.1)^2),1/3)))))))</f>
        <v>51800.26683766341</v>
      </c>
      <c r="AE306">
        <f t="shared" ca="1" si="143"/>
        <v>52432.750837663407</v>
      </c>
      <c r="AF306">
        <f t="shared" ca="1" si="144"/>
        <v>52432.750837665233</v>
      </c>
      <c r="AI306">
        <v>0</v>
      </c>
      <c r="AJ306">
        <v>0</v>
      </c>
      <c r="AK306">
        <f t="shared" si="145"/>
        <v>0</v>
      </c>
      <c r="AL306">
        <f t="shared" si="154"/>
        <v>0</v>
      </c>
      <c r="AM306">
        <f t="shared" ca="1" si="146"/>
        <v>2.6560383008097266E-7</v>
      </c>
      <c r="AN306" t="str">
        <f t="shared" ca="1" si="147"/>
        <v>Subcritical</v>
      </c>
      <c r="AO306">
        <f t="shared" ca="1" si="148"/>
        <v>2.2562304480281055E-12</v>
      </c>
    </row>
    <row r="307" spans="1:41" x14ac:dyDescent="0.35">
      <c r="A307">
        <v>158</v>
      </c>
      <c r="B307">
        <v>156.94800000000001</v>
      </c>
      <c r="C307">
        <v>616426.89500000002</v>
      </c>
      <c r="D307">
        <v>3097693.253</v>
      </c>
      <c r="E307">
        <v>632.48350000000005</v>
      </c>
      <c r="F307">
        <v>5.2</v>
      </c>
      <c r="G307">
        <v>0</v>
      </c>
      <c r="H307" t="s">
        <v>186</v>
      </c>
      <c r="I307">
        <v>5.5E-2</v>
      </c>
      <c r="J307">
        <f t="shared" si="149"/>
        <v>0.99899999999999523</v>
      </c>
      <c r="K307">
        <f t="shared" si="150"/>
        <v>51</v>
      </c>
      <c r="L307">
        <f t="shared" ca="1" si="151"/>
        <v>51798.35125384415</v>
      </c>
      <c r="M307">
        <f t="shared" ca="1" si="128"/>
        <v>269351.42651998962</v>
      </c>
      <c r="N307">
        <f t="shared" ca="1" si="129"/>
        <v>2.5998695004659886</v>
      </c>
      <c r="O307">
        <f t="shared" ca="1" si="130"/>
        <v>1.8934371597328478E-4</v>
      </c>
      <c r="P307">
        <f t="shared" ca="1" si="131"/>
        <v>52430.834753844152</v>
      </c>
      <c r="Q307">
        <f t="shared" ca="1" si="132"/>
        <v>52430.834753845978</v>
      </c>
      <c r="R307">
        <f t="shared" ca="1" si="133"/>
        <v>2.2563973345400037E-12</v>
      </c>
      <c r="S307">
        <f t="shared" ca="1" si="152"/>
        <v>4.999999946448952E-4</v>
      </c>
      <c r="T307">
        <f t="shared" ca="1" si="153"/>
        <v>1</v>
      </c>
      <c r="U307">
        <f t="shared" ca="1" si="134"/>
        <v>51800.26683766341</v>
      </c>
      <c r="V307">
        <f t="shared" ca="1" si="135"/>
        <v>269361.38755584974</v>
      </c>
      <c r="W307">
        <f t="shared" ca="1" si="136"/>
        <v>2.5998695052916441</v>
      </c>
      <c r="X307">
        <f t="shared" ca="1" si="137"/>
        <v>1.8933671400629237E-4</v>
      </c>
      <c r="Y307">
        <f t="shared" ca="1" si="138"/>
        <v>52432.750337663412</v>
      </c>
      <c r="Z307">
        <f t="shared" ca="1" si="139"/>
        <v>52432.750337665238</v>
      </c>
      <c r="AA307">
        <f t="shared" ca="1" si="140"/>
        <v>2.2562304480281055E-12</v>
      </c>
      <c r="AB307">
        <f t="shared" ca="1" si="141"/>
        <v>-5.0000000192085281E-4</v>
      </c>
      <c r="AC307">
        <f t="shared" ca="1" si="142"/>
        <v>1</v>
      </c>
      <c r="AD307">
        <f ca="1">IF(V32="Supercritical",L307,IF(V32="Subcritical",U307,IF(AND(T307=1,AC307=1),IF((((F307)*(L307)^2)/2+(G307)*(L307)^3/3+(ABS(K307)^2)/($I$5*MAX(((F307)+(G307)*(L307))*(L307),0.000001)))&gt;=(((F307)*(U307)^2)/2+(G307)*(U307)^3/3+(ABS(K307)^2)/($I$5*MAX(((F307)+(G307)*(U307))*(U307),0.000001))),L307,U307),IF(T307=1,L307,IF(AC307=1,U307,MAX($D$16,POWER((ABS(K307)^2)/($I$5*MAX(F307,0.1)^2),1/3)))))))</f>
        <v>51800.26683766341</v>
      </c>
      <c r="AE307">
        <f t="shared" ca="1" si="143"/>
        <v>52432.750337663412</v>
      </c>
      <c r="AF307">
        <f t="shared" ca="1" si="144"/>
        <v>52432.750337665238</v>
      </c>
      <c r="AI307">
        <v>0</v>
      </c>
      <c r="AJ307">
        <v>0</v>
      </c>
      <c r="AK307">
        <f t="shared" si="145"/>
        <v>0</v>
      </c>
      <c r="AL307">
        <f t="shared" si="154"/>
        <v>0</v>
      </c>
      <c r="AM307">
        <f t="shared" ca="1" si="146"/>
        <v>2.6560383008097266E-7</v>
      </c>
      <c r="AN307" t="str">
        <f t="shared" ca="1" si="147"/>
        <v>Subcritical</v>
      </c>
      <c r="AO307">
        <f t="shared" ca="1" si="148"/>
        <v>2.2562304480281055E-12</v>
      </c>
    </row>
    <row r="308" spans="1:41" x14ac:dyDescent="0.35">
      <c r="A308">
        <v>159</v>
      </c>
      <c r="B308">
        <v>157.94800000000001</v>
      </c>
      <c r="C308">
        <v>616425.89599999995</v>
      </c>
      <c r="D308">
        <v>3097693.2050000001</v>
      </c>
      <c r="E308">
        <v>632.48299999999995</v>
      </c>
      <c r="F308">
        <v>5.2</v>
      </c>
      <c r="G308">
        <v>0</v>
      </c>
      <c r="H308" t="s">
        <v>186</v>
      </c>
      <c r="I308">
        <v>0</v>
      </c>
      <c r="J308">
        <f t="shared" si="149"/>
        <v>1</v>
      </c>
      <c r="K308">
        <f t="shared" si="150"/>
        <v>51</v>
      </c>
      <c r="L308">
        <f t="shared" ca="1" si="151"/>
        <v>51798.340318965871</v>
      </c>
      <c r="M308">
        <f t="shared" ca="1" si="128"/>
        <v>269351.36965862254</v>
      </c>
      <c r="N308">
        <f t="shared" ca="1" si="129"/>
        <v>2.5998695004384405</v>
      </c>
      <c r="O308">
        <f t="shared" ca="1" si="130"/>
        <v>1.8934375594465211E-4</v>
      </c>
      <c r="P308">
        <f t="shared" ca="1" si="131"/>
        <v>52430.823318965871</v>
      </c>
      <c r="Q308">
        <f t="shared" ca="1" si="132"/>
        <v>52430.823318967698</v>
      </c>
      <c r="R308">
        <f t="shared" ca="1" si="133"/>
        <v>2.2563982872445993E-12</v>
      </c>
      <c r="S308">
        <f t="shared" ca="1" si="152"/>
        <v>1.143487828085199E-2</v>
      </c>
      <c r="T308">
        <f t="shared" ca="1" si="153"/>
        <v>0</v>
      </c>
      <c r="U308">
        <f t="shared" ca="1" si="134"/>
        <v>51800.26683766341</v>
      </c>
      <c r="V308">
        <f t="shared" ca="1" si="135"/>
        <v>269361.38755584974</v>
      </c>
      <c r="W308">
        <f t="shared" ca="1" si="136"/>
        <v>2.5998695052916441</v>
      </c>
      <c r="X308">
        <f t="shared" ca="1" si="137"/>
        <v>1.8933671400629237E-4</v>
      </c>
      <c r="Y308">
        <f t="shared" ca="1" si="138"/>
        <v>52432.74983766341</v>
      </c>
      <c r="Z308">
        <f t="shared" ca="1" si="139"/>
        <v>52432.749837665237</v>
      </c>
      <c r="AA308">
        <f t="shared" ca="1" si="140"/>
        <v>2.2562304480281055E-12</v>
      </c>
      <c r="AB308">
        <f t="shared" ca="1" si="141"/>
        <v>-5.0000000192085281E-4</v>
      </c>
      <c r="AC308">
        <f t="shared" ca="1" si="142"/>
        <v>1</v>
      </c>
      <c r="AD308">
        <f ca="1">IF(V32="Supercritical",L308,IF(V32="Subcritical",U308,IF(AND(T308=1,AC308=1),IF((((F308)*(L308)^2)/2+(G308)*(L308)^3/3+(ABS(K308)^2)/($I$5*MAX(((F308)+(G308)*(L308))*(L308),0.000001)))&gt;=(((F308)*(U308)^2)/2+(G308)*(U308)^3/3+(ABS(K308)^2)/($I$5*MAX(((F308)+(G308)*(U308))*(U308),0.000001))),L308,U308),IF(T308=1,L308,IF(AC308=1,U308,MAX($D$16,POWER((ABS(K308)^2)/($I$5*MAX(F308,0.1)^2),1/3)))))))</f>
        <v>51800.26683766341</v>
      </c>
      <c r="AE308">
        <f t="shared" ca="1" si="143"/>
        <v>52432.74983766341</v>
      </c>
      <c r="AF308">
        <f t="shared" ca="1" si="144"/>
        <v>52432.749837665237</v>
      </c>
      <c r="AI308">
        <v>0</v>
      </c>
      <c r="AJ308">
        <v>0</v>
      </c>
      <c r="AK308">
        <f t="shared" si="145"/>
        <v>0</v>
      </c>
      <c r="AL308">
        <f t="shared" si="154"/>
        <v>0</v>
      </c>
      <c r="AM308">
        <f t="shared" ca="1" si="146"/>
        <v>2.6560383008097266E-7</v>
      </c>
      <c r="AN308" t="str">
        <f t="shared" ca="1" si="147"/>
        <v>Subcritical</v>
      </c>
      <c r="AO308">
        <f t="shared" ca="1" si="148"/>
        <v>2.2562304480281055E-12</v>
      </c>
    </row>
    <row r="309" spans="1:41" x14ac:dyDescent="0.35">
      <c r="A309">
        <v>160</v>
      </c>
      <c r="B309">
        <v>158.94800000000001</v>
      </c>
      <c r="C309">
        <v>616424.897</v>
      </c>
      <c r="D309">
        <v>3097693.1570000001</v>
      </c>
      <c r="E309">
        <v>632.48249999999996</v>
      </c>
      <c r="F309">
        <v>5.2</v>
      </c>
      <c r="G309">
        <v>0</v>
      </c>
      <c r="H309" t="s">
        <v>186</v>
      </c>
      <c r="I309">
        <v>5.7000000000000002E-2</v>
      </c>
      <c r="J309">
        <f t="shared" si="149"/>
        <v>1</v>
      </c>
      <c r="K309">
        <f t="shared" si="150"/>
        <v>51</v>
      </c>
      <c r="L309">
        <f t="shared" ca="1" si="151"/>
        <v>51798.340318965871</v>
      </c>
      <c r="M309">
        <f t="shared" ca="1" si="128"/>
        <v>269351.36965862254</v>
      </c>
      <c r="N309">
        <f t="shared" ca="1" si="129"/>
        <v>2.5998695004384405</v>
      </c>
      <c r="O309">
        <f t="shared" ca="1" si="130"/>
        <v>1.8934375594465211E-4</v>
      </c>
      <c r="P309">
        <f t="shared" ca="1" si="131"/>
        <v>52430.822818965869</v>
      </c>
      <c r="Q309">
        <f t="shared" ca="1" si="132"/>
        <v>52430.822818967696</v>
      </c>
      <c r="R309">
        <f t="shared" ca="1" si="133"/>
        <v>2.2563982872445993E-12</v>
      </c>
      <c r="S309">
        <f t="shared" ca="1" si="152"/>
        <v>5.0000000192085281E-4</v>
      </c>
      <c r="T309">
        <f t="shared" ca="1" si="153"/>
        <v>1</v>
      </c>
      <c r="U309">
        <f t="shared" ca="1" si="134"/>
        <v>51800.26683766341</v>
      </c>
      <c r="V309">
        <f t="shared" ca="1" si="135"/>
        <v>269361.38755584974</v>
      </c>
      <c r="W309">
        <f t="shared" ca="1" si="136"/>
        <v>2.5998695052916441</v>
      </c>
      <c r="X309">
        <f t="shared" ca="1" si="137"/>
        <v>1.8933671400629237E-4</v>
      </c>
      <c r="Y309">
        <f t="shared" ca="1" si="138"/>
        <v>52432.749337663408</v>
      </c>
      <c r="Z309">
        <f t="shared" ca="1" si="139"/>
        <v>52432.749337665235</v>
      </c>
      <c r="AA309">
        <f t="shared" ca="1" si="140"/>
        <v>2.2562304480281055E-12</v>
      </c>
      <c r="AB309">
        <f t="shared" ca="1" si="141"/>
        <v>-4.999999946448952E-4</v>
      </c>
      <c r="AC309">
        <f t="shared" ca="1" si="142"/>
        <v>1</v>
      </c>
      <c r="AD309">
        <f ca="1">IF(V32="Supercritical",L309,IF(V32="Subcritical",U309,IF(AND(T309=1,AC309=1),IF((((F309)*(L309)^2)/2+(G309)*(L309)^3/3+(ABS(K309)^2)/($I$5*MAX(((F309)+(G309)*(L309))*(L309),0.000001)))&gt;=(((F309)*(U309)^2)/2+(G309)*(U309)^3/3+(ABS(K309)^2)/($I$5*MAX(((F309)+(G309)*(U309))*(U309),0.000001))),L309,U309),IF(T309=1,L309,IF(AC309=1,U309,MAX($D$16,POWER((ABS(K309)^2)/($I$5*MAX(F309,0.1)^2),1/3)))))))</f>
        <v>51800.26683766341</v>
      </c>
      <c r="AE309">
        <f t="shared" ca="1" si="143"/>
        <v>52432.749337663408</v>
      </c>
      <c r="AF309">
        <f t="shared" ca="1" si="144"/>
        <v>52432.749337665235</v>
      </c>
      <c r="AI309">
        <v>0</v>
      </c>
      <c r="AJ309">
        <v>0</v>
      </c>
      <c r="AK309">
        <f t="shared" si="145"/>
        <v>0</v>
      </c>
      <c r="AL309">
        <f t="shared" si="154"/>
        <v>0</v>
      </c>
      <c r="AM309">
        <f t="shared" ca="1" si="146"/>
        <v>2.6560383008097266E-7</v>
      </c>
      <c r="AN309" t="str">
        <f t="shared" ca="1" si="147"/>
        <v>Subcritical</v>
      </c>
      <c r="AO309">
        <f t="shared" ca="1" si="148"/>
        <v>2.2562304480281055E-12</v>
      </c>
    </row>
    <row r="310" spans="1:41" x14ac:dyDescent="0.35">
      <c r="A310">
        <v>161</v>
      </c>
      <c r="B310">
        <v>159.94800000000001</v>
      </c>
      <c r="C310">
        <v>616423.89800000004</v>
      </c>
      <c r="D310">
        <v>3097693.11</v>
      </c>
      <c r="E310">
        <v>632.48199999999997</v>
      </c>
      <c r="F310">
        <v>5.2</v>
      </c>
      <c r="G310">
        <v>0</v>
      </c>
      <c r="H310" t="s">
        <v>186</v>
      </c>
      <c r="I310">
        <v>5.7000000000000002E-2</v>
      </c>
      <c r="J310">
        <f t="shared" si="149"/>
        <v>1</v>
      </c>
      <c r="K310">
        <f t="shared" si="150"/>
        <v>51</v>
      </c>
      <c r="L310">
        <f t="shared" ca="1" si="151"/>
        <v>51798.328644332934</v>
      </c>
      <c r="M310">
        <f t="shared" ca="1" si="128"/>
        <v>269351.3089505313</v>
      </c>
      <c r="N310">
        <f t="shared" ca="1" si="129"/>
        <v>2.5998695004090293</v>
      </c>
      <c r="O310">
        <f t="shared" ca="1" si="130"/>
        <v>1.8934379862013811E-4</v>
      </c>
      <c r="P310">
        <f t="shared" ca="1" si="131"/>
        <v>52430.810644332931</v>
      </c>
      <c r="Q310">
        <f t="shared" ca="1" si="132"/>
        <v>52430.810644334757</v>
      </c>
      <c r="R310">
        <f t="shared" ca="1" si="133"/>
        <v>2.2563993044012099E-12</v>
      </c>
      <c r="S310">
        <f t="shared" ca="1" si="152"/>
        <v>1.217463293869514E-2</v>
      </c>
      <c r="T310">
        <f t="shared" ca="1" si="153"/>
        <v>0</v>
      </c>
      <c r="U310">
        <f t="shared" ca="1" si="134"/>
        <v>51800.26683766341</v>
      </c>
      <c r="V310">
        <f t="shared" ca="1" si="135"/>
        <v>269361.38755584974</v>
      </c>
      <c r="W310">
        <f t="shared" ca="1" si="136"/>
        <v>2.5998695052916441</v>
      </c>
      <c r="X310">
        <f t="shared" ca="1" si="137"/>
        <v>1.8933671400629237E-4</v>
      </c>
      <c r="Y310">
        <f t="shared" ca="1" si="138"/>
        <v>52432.748837663414</v>
      </c>
      <c r="Z310">
        <f t="shared" ca="1" si="139"/>
        <v>52432.74883766524</v>
      </c>
      <c r="AA310">
        <f t="shared" ca="1" si="140"/>
        <v>2.2562304480281055E-12</v>
      </c>
      <c r="AB310">
        <f t="shared" ca="1" si="141"/>
        <v>-5.0000000192085281E-4</v>
      </c>
      <c r="AC310">
        <f t="shared" ca="1" si="142"/>
        <v>1</v>
      </c>
      <c r="AD310">
        <f ca="1">IF(V32="Supercritical",L310,IF(V32="Subcritical",U310,IF(AND(T310=1,AC310=1),IF((((F310)*(L310)^2)/2+(G310)*(L310)^3/3+(ABS(K310)^2)/($I$5*MAX(((F310)+(G310)*(L310))*(L310),0.000001)))&gt;=(((F310)*(U310)^2)/2+(G310)*(U310)^3/3+(ABS(K310)^2)/($I$5*MAX(((F310)+(G310)*(U310))*(U310),0.000001))),L310,U310),IF(T310=1,L310,IF(AC310=1,U310,MAX($D$16,POWER((ABS(K310)^2)/($I$5*MAX(F310,0.1)^2),1/3)))))))</f>
        <v>51800.26683766341</v>
      </c>
      <c r="AE310">
        <f t="shared" ca="1" si="143"/>
        <v>52432.748837663414</v>
      </c>
      <c r="AF310">
        <f t="shared" ca="1" si="144"/>
        <v>52432.74883766524</v>
      </c>
      <c r="AI310">
        <v>0</v>
      </c>
      <c r="AJ310">
        <v>0</v>
      </c>
      <c r="AK310">
        <f t="shared" si="145"/>
        <v>0</v>
      </c>
      <c r="AL310">
        <f t="shared" si="154"/>
        <v>0</v>
      </c>
      <c r="AM310">
        <f t="shared" ca="1" si="146"/>
        <v>2.6560383008097266E-7</v>
      </c>
      <c r="AN310" t="str">
        <f t="shared" ca="1" si="147"/>
        <v>Subcritical</v>
      </c>
      <c r="AO310">
        <f t="shared" ca="1" si="148"/>
        <v>2.2562304480281055E-12</v>
      </c>
    </row>
    <row r="311" spans="1:41" x14ac:dyDescent="0.35">
      <c r="A311">
        <v>162</v>
      </c>
      <c r="B311">
        <v>160.94800000000001</v>
      </c>
      <c r="C311">
        <v>616422.89899999998</v>
      </c>
      <c r="D311">
        <v>3097693.0619999999</v>
      </c>
      <c r="E311">
        <v>632.48149999999998</v>
      </c>
      <c r="F311">
        <v>5.2</v>
      </c>
      <c r="G311">
        <v>0</v>
      </c>
      <c r="H311" t="s">
        <v>186</v>
      </c>
      <c r="I311">
        <v>0</v>
      </c>
      <c r="J311">
        <f t="shared" si="149"/>
        <v>1</v>
      </c>
      <c r="K311">
        <f t="shared" si="150"/>
        <v>51</v>
      </c>
      <c r="L311">
        <f t="shared" ca="1" si="151"/>
        <v>51798.328644332934</v>
      </c>
      <c r="M311">
        <f t="shared" ca="1" si="128"/>
        <v>269351.3089505313</v>
      </c>
      <c r="N311">
        <f t="shared" ca="1" si="129"/>
        <v>2.5998695004090293</v>
      </c>
      <c r="O311">
        <f t="shared" ca="1" si="130"/>
        <v>1.8934379862013811E-4</v>
      </c>
      <c r="P311">
        <f t="shared" ca="1" si="131"/>
        <v>52430.810144332936</v>
      </c>
      <c r="Q311">
        <f t="shared" ca="1" si="132"/>
        <v>52430.810144334762</v>
      </c>
      <c r="R311">
        <f t="shared" ca="1" si="133"/>
        <v>2.2563993044012099E-12</v>
      </c>
      <c r="S311">
        <f t="shared" ca="1" si="152"/>
        <v>4.999999946448952E-4</v>
      </c>
      <c r="T311">
        <f t="shared" ca="1" si="153"/>
        <v>1</v>
      </c>
      <c r="U311">
        <f t="shared" ca="1" si="134"/>
        <v>51800.26683766341</v>
      </c>
      <c r="V311">
        <f t="shared" ca="1" si="135"/>
        <v>269361.38755584974</v>
      </c>
      <c r="W311">
        <f t="shared" ca="1" si="136"/>
        <v>2.5998695052916441</v>
      </c>
      <c r="X311">
        <f t="shared" ca="1" si="137"/>
        <v>1.8933671400629237E-4</v>
      </c>
      <c r="Y311">
        <f t="shared" ca="1" si="138"/>
        <v>52432.748337663412</v>
      </c>
      <c r="Z311">
        <f t="shared" ca="1" si="139"/>
        <v>52432.748337665238</v>
      </c>
      <c r="AA311">
        <f t="shared" ca="1" si="140"/>
        <v>2.2562304480281055E-12</v>
      </c>
      <c r="AB311">
        <f t="shared" ca="1" si="141"/>
        <v>-5.0000000192085281E-4</v>
      </c>
      <c r="AC311">
        <f t="shared" ca="1" si="142"/>
        <v>1</v>
      </c>
      <c r="AD311">
        <f ca="1">IF(V32="Supercritical",L311,IF(V32="Subcritical",U311,IF(AND(T311=1,AC311=1),IF((((F311)*(L311)^2)/2+(G311)*(L311)^3/3+(ABS(K311)^2)/($I$5*MAX(((F311)+(G311)*(L311))*(L311),0.000001)))&gt;=(((F311)*(U311)^2)/2+(G311)*(U311)^3/3+(ABS(K311)^2)/($I$5*MAX(((F311)+(G311)*(U311))*(U311),0.000001))),L311,U311),IF(T311=1,L311,IF(AC311=1,U311,MAX($D$16,POWER((ABS(K311)^2)/($I$5*MAX(F311,0.1)^2),1/3)))))))</f>
        <v>51800.26683766341</v>
      </c>
      <c r="AE311">
        <f t="shared" ca="1" si="143"/>
        <v>52432.748337663412</v>
      </c>
      <c r="AF311">
        <f t="shared" ca="1" si="144"/>
        <v>52432.748337665238</v>
      </c>
      <c r="AI311">
        <v>0</v>
      </c>
      <c r="AJ311">
        <v>0</v>
      </c>
      <c r="AK311">
        <f t="shared" si="145"/>
        <v>0</v>
      </c>
      <c r="AL311">
        <f t="shared" si="154"/>
        <v>0</v>
      </c>
      <c r="AM311">
        <f t="shared" ca="1" si="146"/>
        <v>2.6560383008097266E-7</v>
      </c>
      <c r="AN311" t="str">
        <f t="shared" ca="1" si="147"/>
        <v>Subcritical</v>
      </c>
      <c r="AO311">
        <f t="shared" ca="1" si="148"/>
        <v>2.2562304480281055E-12</v>
      </c>
    </row>
    <row r="312" spans="1:41" x14ac:dyDescent="0.35">
      <c r="A312">
        <v>163</v>
      </c>
      <c r="B312">
        <v>161.94800000000001</v>
      </c>
      <c r="C312">
        <v>616421.9</v>
      </c>
      <c r="D312">
        <v>3097693.014</v>
      </c>
      <c r="E312">
        <v>632.48099999999999</v>
      </c>
      <c r="F312">
        <v>5.2</v>
      </c>
      <c r="G312">
        <v>0</v>
      </c>
      <c r="H312" t="s">
        <v>186</v>
      </c>
      <c r="I312">
        <v>5.7000000000000002E-2</v>
      </c>
      <c r="J312">
        <f t="shared" si="149"/>
        <v>1</v>
      </c>
      <c r="K312">
        <f t="shared" si="150"/>
        <v>51</v>
      </c>
      <c r="L312">
        <f t="shared" ca="1" si="151"/>
        <v>51798.316259199062</v>
      </c>
      <c r="M312">
        <f t="shared" ca="1" si="128"/>
        <v>269351.24454783514</v>
      </c>
      <c r="N312">
        <f t="shared" ca="1" si="129"/>
        <v>2.599869500377828</v>
      </c>
      <c r="O312">
        <f t="shared" ca="1" si="130"/>
        <v>1.8934384389281229E-4</v>
      </c>
      <c r="P312">
        <f t="shared" ca="1" si="131"/>
        <v>52430.797259199062</v>
      </c>
      <c r="Q312">
        <f t="shared" ca="1" si="132"/>
        <v>52430.797259200888</v>
      </c>
      <c r="R312">
        <f t="shared" ca="1" si="133"/>
        <v>2.2564003834612222E-12</v>
      </c>
      <c r="S312">
        <f t="shared" ca="1" si="152"/>
        <v>1.2885133874078747E-2</v>
      </c>
      <c r="T312">
        <f t="shared" ca="1" si="153"/>
        <v>0</v>
      </c>
      <c r="U312">
        <f t="shared" ca="1" si="134"/>
        <v>51800.26683766341</v>
      </c>
      <c r="V312">
        <f t="shared" ca="1" si="135"/>
        <v>269361.38755584974</v>
      </c>
      <c r="W312">
        <f t="shared" ca="1" si="136"/>
        <v>2.5998695052916441</v>
      </c>
      <c r="X312">
        <f t="shared" ca="1" si="137"/>
        <v>1.8933671400629237E-4</v>
      </c>
      <c r="Y312">
        <f t="shared" ca="1" si="138"/>
        <v>52432.74783766341</v>
      </c>
      <c r="Z312">
        <f t="shared" ca="1" si="139"/>
        <v>52432.747837665236</v>
      </c>
      <c r="AA312">
        <f t="shared" ca="1" si="140"/>
        <v>2.2562304480281055E-12</v>
      </c>
      <c r="AB312">
        <f t="shared" ca="1" si="141"/>
        <v>-5.0000000192085281E-4</v>
      </c>
      <c r="AC312">
        <f t="shared" ca="1" si="142"/>
        <v>1</v>
      </c>
      <c r="AD312">
        <f ca="1">IF(V32="Supercritical",L312,IF(V32="Subcritical",U312,IF(AND(T312=1,AC312=1),IF((((F312)*(L312)^2)/2+(G312)*(L312)^3/3+(ABS(K312)^2)/($I$5*MAX(((F312)+(G312)*(L312))*(L312),0.000001)))&gt;=(((F312)*(U312)^2)/2+(G312)*(U312)^3/3+(ABS(K312)^2)/($I$5*MAX(((F312)+(G312)*(U312))*(U312),0.000001))),L312,U312),IF(T312=1,L312,IF(AC312=1,U312,MAX($D$16,POWER((ABS(K312)^2)/($I$5*MAX(F312,0.1)^2),1/3)))))))</f>
        <v>51800.26683766341</v>
      </c>
      <c r="AE312">
        <f t="shared" ca="1" si="143"/>
        <v>52432.74783766341</v>
      </c>
      <c r="AF312">
        <f t="shared" ca="1" si="144"/>
        <v>52432.747837665236</v>
      </c>
      <c r="AI312">
        <v>0</v>
      </c>
      <c r="AJ312">
        <v>0</v>
      </c>
      <c r="AK312">
        <f t="shared" si="145"/>
        <v>0</v>
      </c>
      <c r="AL312">
        <f t="shared" si="154"/>
        <v>0</v>
      </c>
      <c r="AM312">
        <f t="shared" ca="1" si="146"/>
        <v>2.6560383008097266E-7</v>
      </c>
      <c r="AN312" t="str">
        <f t="shared" ca="1" si="147"/>
        <v>Subcritical</v>
      </c>
      <c r="AO312">
        <f t="shared" ca="1" si="148"/>
        <v>2.2562304480281055E-12</v>
      </c>
    </row>
    <row r="313" spans="1:41" x14ac:dyDescent="0.35">
      <c r="A313">
        <v>164</v>
      </c>
      <c r="B313">
        <v>162.94900000000001</v>
      </c>
      <c r="C313">
        <v>616420.90099999995</v>
      </c>
      <c r="D313">
        <v>3097692.9670000002</v>
      </c>
      <c r="E313">
        <v>632.48050000000001</v>
      </c>
      <c r="F313">
        <v>5.2</v>
      </c>
      <c r="G313">
        <v>0</v>
      </c>
      <c r="H313" t="s">
        <v>186</v>
      </c>
      <c r="I313">
        <v>5.7000000000000002E-2</v>
      </c>
      <c r="J313">
        <f t="shared" si="149"/>
        <v>1.0010000000000048</v>
      </c>
      <c r="K313">
        <f t="shared" si="150"/>
        <v>51</v>
      </c>
      <c r="L313">
        <f t="shared" ca="1" si="151"/>
        <v>51798.316259199062</v>
      </c>
      <c r="M313">
        <f t="shared" ca="1" si="128"/>
        <v>269351.24454783514</v>
      </c>
      <c r="N313">
        <f t="shared" ca="1" si="129"/>
        <v>2.599869500377828</v>
      </c>
      <c r="O313">
        <f t="shared" ca="1" si="130"/>
        <v>1.8934384389281229E-4</v>
      </c>
      <c r="P313">
        <f t="shared" ca="1" si="131"/>
        <v>52430.79675919906</v>
      </c>
      <c r="Q313">
        <f t="shared" ca="1" si="132"/>
        <v>52430.796759200886</v>
      </c>
      <c r="R313">
        <f t="shared" ca="1" si="133"/>
        <v>2.2564003834612222E-12</v>
      </c>
      <c r="S313">
        <f t="shared" ca="1" si="152"/>
        <v>5.0000000192085281E-4</v>
      </c>
      <c r="T313">
        <f t="shared" ca="1" si="153"/>
        <v>1</v>
      </c>
      <c r="U313">
        <f t="shared" ca="1" si="134"/>
        <v>51800.26683766341</v>
      </c>
      <c r="V313">
        <f t="shared" ca="1" si="135"/>
        <v>269361.38755584974</v>
      </c>
      <c r="W313">
        <f t="shared" ca="1" si="136"/>
        <v>2.5998695052916441</v>
      </c>
      <c r="X313">
        <f t="shared" ca="1" si="137"/>
        <v>1.8933671400629237E-4</v>
      </c>
      <c r="Y313">
        <f t="shared" ca="1" si="138"/>
        <v>52432.747337663408</v>
      </c>
      <c r="Z313">
        <f t="shared" ca="1" si="139"/>
        <v>52432.747337665234</v>
      </c>
      <c r="AA313">
        <f t="shared" ca="1" si="140"/>
        <v>2.2562304480281055E-12</v>
      </c>
      <c r="AB313">
        <f t="shared" ca="1" si="141"/>
        <v>-4.999999946448952E-4</v>
      </c>
      <c r="AC313">
        <f t="shared" ca="1" si="142"/>
        <v>1</v>
      </c>
      <c r="AD313">
        <f ca="1">IF(V32="Supercritical",L313,IF(V32="Subcritical",U313,IF(AND(T313=1,AC313=1),IF((((F313)*(L313)^2)/2+(G313)*(L313)^3/3+(ABS(K313)^2)/($I$5*MAX(((F313)+(G313)*(L313))*(L313),0.000001)))&gt;=(((F313)*(U313)^2)/2+(G313)*(U313)^3/3+(ABS(K313)^2)/($I$5*MAX(((F313)+(G313)*(U313))*(U313),0.000001))),L313,U313),IF(T313=1,L313,IF(AC313=1,U313,MAX($D$16,POWER((ABS(K313)^2)/($I$5*MAX(F313,0.1)^2),1/3)))))))</f>
        <v>51800.26683766341</v>
      </c>
      <c r="AE313">
        <f t="shared" ca="1" si="143"/>
        <v>52432.747337663408</v>
      </c>
      <c r="AF313">
        <f t="shared" ca="1" si="144"/>
        <v>52432.747337665234</v>
      </c>
      <c r="AI313">
        <v>0</v>
      </c>
      <c r="AJ313">
        <v>0</v>
      </c>
      <c r="AK313">
        <f t="shared" si="145"/>
        <v>0</v>
      </c>
      <c r="AL313">
        <f t="shared" si="154"/>
        <v>0</v>
      </c>
      <c r="AM313">
        <f t="shared" ca="1" si="146"/>
        <v>2.6560383008097266E-7</v>
      </c>
      <c r="AN313" t="str">
        <f t="shared" ca="1" si="147"/>
        <v>Subcritical</v>
      </c>
      <c r="AO313">
        <f t="shared" ca="1" si="148"/>
        <v>2.2562304480281055E-12</v>
      </c>
    </row>
    <row r="314" spans="1:41" x14ac:dyDescent="0.35">
      <c r="A314">
        <v>165</v>
      </c>
      <c r="B314">
        <v>163.94900000000001</v>
      </c>
      <c r="C314">
        <v>616419.902</v>
      </c>
      <c r="D314">
        <v>3097692.9190000002</v>
      </c>
      <c r="E314">
        <v>632.48</v>
      </c>
      <c r="F314">
        <v>5.2</v>
      </c>
      <c r="G314">
        <v>0</v>
      </c>
      <c r="H314" t="s">
        <v>186</v>
      </c>
      <c r="I314">
        <v>5.5E-2</v>
      </c>
      <c r="J314">
        <f t="shared" si="149"/>
        <v>1</v>
      </c>
      <c r="K314">
        <f t="shared" si="150"/>
        <v>51</v>
      </c>
      <c r="L314">
        <f t="shared" ca="1" si="151"/>
        <v>51798.303245014227</v>
      </c>
      <c r="M314">
        <f t="shared" ca="1" si="128"/>
        <v>269351.17687407398</v>
      </c>
      <c r="N314">
        <f t="shared" ca="1" si="129"/>
        <v>2.5998695003450418</v>
      </c>
      <c r="O314">
        <f t="shared" ca="1" si="130"/>
        <v>1.893438914649455E-4</v>
      </c>
      <c r="P314">
        <f t="shared" ca="1" si="131"/>
        <v>52430.78324501423</v>
      </c>
      <c r="Q314">
        <f t="shared" ca="1" si="132"/>
        <v>52430.783245016057</v>
      </c>
      <c r="R314">
        <f t="shared" ca="1" si="133"/>
        <v>2.2564015173284003E-12</v>
      </c>
      <c r="S314">
        <f t="shared" ca="1" si="152"/>
        <v>1.3514184829546139E-2</v>
      </c>
      <c r="T314">
        <f t="shared" ca="1" si="153"/>
        <v>0</v>
      </c>
      <c r="U314">
        <f t="shared" ca="1" si="134"/>
        <v>51800.26683766341</v>
      </c>
      <c r="V314">
        <f t="shared" ca="1" si="135"/>
        <v>269361.38755584974</v>
      </c>
      <c r="W314">
        <f t="shared" ca="1" si="136"/>
        <v>2.5998695052916441</v>
      </c>
      <c r="X314">
        <f t="shared" ca="1" si="137"/>
        <v>1.8933671400629237E-4</v>
      </c>
      <c r="Y314">
        <f t="shared" ca="1" si="138"/>
        <v>52432.746837663413</v>
      </c>
      <c r="Z314">
        <f t="shared" ca="1" si="139"/>
        <v>52432.74683766524</v>
      </c>
      <c r="AA314">
        <f t="shared" ca="1" si="140"/>
        <v>2.2562304480281055E-12</v>
      </c>
      <c r="AB314">
        <f t="shared" ca="1" si="141"/>
        <v>-5.0000000192085281E-4</v>
      </c>
      <c r="AC314">
        <f t="shared" ca="1" si="142"/>
        <v>1</v>
      </c>
      <c r="AD314">
        <f ca="1">IF(V32="Supercritical",L314,IF(V32="Subcritical",U314,IF(AND(T314=1,AC314=1),IF((((F314)*(L314)^2)/2+(G314)*(L314)^3/3+(ABS(K314)^2)/($I$5*MAX(((F314)+(G314)*(L314))*(L314),0.000001)))&gt;=(((F314)*(U314)^2)/2+(G314)*(U314)^3/3+(ABS(K314)^2)/($I$5*MAX(((F314)+(G314)*(U314))*(U314),0.000001))),L314,U314),IF(T314=1,L314,IF(AC314=1,U314,MAX($D$16,POWER((ABS(K314)^2)/($I$5*MAX(F314,0.1)^2),1/3)))))))</f>
        <v>51800.26683766341</v>
      </c>
      <c r="AE314">
        <f t="shared" ca="1" si="143"/>
        <v>52432.746837663413</v>
      </c>
      <c r="AF314">
        <f t="shared" ca="1" si="144"/>
        <v>52432.74683766524</v>
      </c>
      <c r="AI314">
        <v>0</v>
      </c>
      <c r="AJ314">
        <v>0</v>
      </c>
      <c r="AK314">
        <f t="shared" si="145"/>
        <v>0</v>
      </c>
      <c r="AL314">
        <f t="shared" si="154"/>
        <v>0</v>
      </c>
      <c r="AM314">
        <f t="shared" ca="1" si="146"/>
        <v>2.6560383008097266E-7</v>
      </c>
      <c r="AN314" t="str">
        <f t="shared" ca="1" si="147"/>
        <v>Subcritical</v>
      </c>
      <c r="AO314">
        <f t="shared" ca="1" si="148"/>
        <v>2.2562304480281055E-12</v>
      </c>
    </row>
    <row r="315" spans="1:41" x14ac:dyDescent="0.35">
      <c r="A315">
        <v>166</v>
      </c>
      <c r="B315">
        <v>164.94800000000001</v>
      </c>
      <c r="C315">
        <v>616418.90399999998</v>
      </c>
      <c r="D315">
        <v>3097692.872</v>
      </c>
      <c r="E315">
        <v>632.47950000000003</v>
      </c>
      <c r="F315">
        <v>5.2</v>
      </c>
      <c r="G315">
        <v>0</v>
      </c>
      <c r="H315" t="s">
        <v>186</v>
      </c>
      <c r="I315">
        <v>5.5E-2</v>
      </c>
      <c r="J315">
        <f t="shared" si="149"/>
        <v>0.99899999999999523</v>
      </c>
      <c r="K315">
        <f t="shared" si="150"/>
        <v>51</v>
      </c>
      <c r="L315">
        <f t="shared" ca="1" si="151"/>
        <v>51798.303245014227</v>
      </c>
      <c r="M315">
        <f t="shared" ca="1" si="128"/>
        <v>269351.17687407398</v>
      </c>
      <c r="N315">
        <f t="shared" ca="1" si="129"/>
        <v>2.5998695003450418</v>
      </c>
      <c r="O315">
        <f t="shared" ca="1" si="130"/>
        <v>1.893438914649455E-4</v>
      </c>
      <c r="P315">
        <f t="shared" ca="1" si="131"/>
        <v>52430.782745014229</v>
      </c>
      <c r="Q315">
        <f t="shared" ca="1" si="132"/>
        <v>52430.782745016055</v>
      </c>
      <c r="R315">
        <f t="shared" ca="1" si="133"/>
        <v>2.2564015173284003E-12</v>
      </c>
      <c r="S315">
        <f t="shared" ca="1" si="152"/>
        <v>5.0000000192085281E-4</v>
      </c>
      <c r="T315">
        <f t="shared" ca="1" si="153"/>
        <v>1</v>
      </c>
      <c r="U315">
        <f t="shared" ca="1" si="134"/>
        <v>51800.26683766341</v>
      </c>
      <c r="V315">
        <f t="shared" ca="1" si="135"/>
        <v>269361.38755584974</v>
      </c>
      <c r="W315">
        <f t="shared" ca="1" si="136"/>
        <v>2.5998695052916441</v>
      </c>
      <c r="X315">
        <f t="shared" ca="1" si="137"/>
        <v>1.8933671400629237E-4</v>
      </c>
      <c r="Y315">
        <f t="shared" ca="1" si="138"/>
        <v>52432.746337663411</v>
      </c>
      <c r="Z315">
        <f t="shared" ca="1" si="139"/>
        <v>52432.746337665238</v>
      </c>
      <c r="AA315">
        <f t="shared" ca="1" si="140"/>
        <v>2.2562304480281055E-12</v>
      </c>
      <c r="AB315">
        <f t="shared" ca="1" si="141"/>
        <v>-5.0000000192085281E-4</v>
      </c>
      <c r="AC315">
        <f t="shared" ca="1" si="142"/>
        <v>1</v>
      </c>
      <c r="AD315">
        <f ca="1">IF(V32="Supercritical",L315,IF(V32="Subcritical",U315,IF(AND(T315=1,AC315=1),IF((((F315)*(L315)^2)/2+(G315)*(L315)^3/3+(ABS(K315)^2)/($I$5*MAX(((F315)+(G315)*(L315))*(L315),0.000001)))&gt;=(((F315)*(U315)^2)/2+(G315)*(U315)^3/3+(ABS(K315)^2)/($I$5*MAX(((F315)+(G315)*(U315))*(U315),0.000001))),L315,U315),IF(T315=1,L315,IF(AC315=1,U315,MAX($D$16,POWER((ABS(K315)^2)/($I$5*MAX(F315,0.1)^2),1/3)))))))</f>
        <v>51800.26683766341</v>
      </c>
      <c r="AE315">
        <f t="shared" ca="1" si="143"/>
        <v>52432.746337663411</v>
      </c>
      <c r="AF315">
        <f t="shared" ca="1" si="144"/>
        <v>52432.746337665238</v>
      </c>
      <c r="AI315">
        <v>0</v>
      </c>
      <c r="AJ315">
        <v>0</v>
      </c>
      <c r="AK315">
        <f t="shared" si="145"/>
        <v>0</v>
      </c>
      <c r="AL315">
        <f t="shared" si="154"/>
        <v>0</v>
      </c>
      <c r="AM315">
        <f t="shared" ca="1" si="146"/>
        <v>2.6560383008097266E-7</v>
      </c>
      <c r="AN315" t="str">
        <f t="shared" ca="1" si="147"/>
        <v>Subcritical</v>
      </c>
      <c r="AO315">
        <f t="shared" ca="1" si="148"/>
        <v>2.2562304480281055E-12</v>
      </c>
    </row>
    <row r="316" spans="1:41" x14ac:dyDescent="0.35">
      <c r="A316">
        <v>167</v>
      </c>
      <c r="B316">
        <v>165.94800000000001</v>
      </c>
      <c r="C316">
        <v>616417.90500000003</v>
      </c>
      <c r="D316">
        <v>3097692.824</v>
      </c>
      <c r="E316">
        <v>632.47900000000004</v>
      </c>
      <c r="F316">
        <v>5.2</v>
      </c>
      <c r="G316">
        <v>0</v>
      </c>
      <c r="H316" t="s">
        <v>186</v>
      </c>
      <c r="I316">
        <v>0</v>
      </c>
      <c r="J316">
        <f t="shared" si="149"/>
        <v>1</v>
      </c>
      <c r="K316">
        <f t="shared" si="150"/>
        <v>51</v>
      </c>
      <c r="L316">
        <f t="shared" ca="1" si="151"/>
        <v>51798.289720922228</v>
      </c>
      <c r="M316">
        <f t="shared" ca="1" si="128"/>
        <v>269351.10654879559</v>
      </c>
      <c r="N316">
        <f t="shared" ca="1" si="129"/>
        <v>2.5998695003109713</v>
      </c>
      <c r="O316">
        <f t="shared" ca="1" si="130"/>
        <v>1.8934394090102188E-4</v>
      </c>
      <c r="P316">
        <f t="shared" ca="1" si="131"/>
        <v>52430.768720922228</v>
      </c>
      <c r="Q316">
        <f t="shared" ca="1" si="132"/>
        <v>52430.768720924054</v>
      </c>
      <c r="R316">
        <f t="shared" ca="1" si="133"/>
        <v>2.2564026956223921E-12</v>
      </c>
      <c r="S316">
        <f t="shared" ca="1" si="152"/>
        <v>1.402409200090915E-2</v>
      </c>
      <c r="T316">
        <f t="shared" ca="1" si="153"/>
        <v>0</v>
      </c>
      <c r="U316">
        <f t="shared" ca="1" si="134"/>
        <v>51800.26683766341</v>
      </c>
      <c r="V316">
        <f t="shared" ca="1" si="135"/>
        <v>269361.38755584974</v>
      </c>
      <c r="W316">
        <f t="shared" ca="1" si="136"/>
        <v>2.5998695052916441</v>
      </c>
      <c r="X316">
        <f t="shared" ca="1" si="137"/>
        <v>1.8933671400629237E-4</v>
      </c>
      <c r="Y316">
        <f t="shared" ca="1" si="138"/>
        <v>52432.745837663409</v>
      </c>
      <c r="Z316">
        <f t="shared" ca="1" si="139"/>
        <v>52432.745837665236</v>
      </c>
      <c r="AA316">
        <f t="shared" ca="1" si="140"/>
        <v>2.2562304480281055E-12</v>
      </c>
      <c r="AB316">
        <f t="shared" ca="1" si="141"/>
        <v>-5.0000000192085281E-4</v>
      </c>
      <c r="AC316">
        <f t="shared" ca="1" si="142"/>
        <v>1</v>
      </c>
      <c r="AD316">
        <f ca="1">IF(V32="Supercritical",L316,IF(V32="Subcritical",U316,IF(AND(T316=1,AC316=1),IF((((F316)*(L316)^2)/2+(G316)*(L316)^3/3+(ABS(K316)^2)/($I$5*MAX(((F316)+(G316)*(L316))*(L316),0.000001)))&gt;=(((F316)*(U316)^2)/2+(G316)*(U316)^3/3+(ABS(K316)^2)/($I$5*MAX(((F316)+(G316)*(U316))*(U316),0.000001))),L316,U316),IF(T316=1,L316,IF(AC316=1,U316,MAX($D$16,POWER((ABS(K316)^2)/($I$5*MAX(F316,0.1)^2),1/3)))))))</f>
        <v>51800.26683766341</v>
      </c>
      <c r="AE316">
        <f t="shared" ca="1" si="143"/>
        <v>52432.745837663409</v>
      </c>
      <c r="AF316">
        <f t="shared" ca="1" si="144"/>
        <v>52432.745837665236</v>
      </c>
      <c r="AI316">
        <v>0</v>
      </c>
      <c r="AJ316">
        <v>0</v>
      </c>
      <c r="AK316">
        <f t="shared" si="145"/>
        <v>0</v>
      </c>
      <c r="AL316">
        <f t="shared" si="154"/>
        <v>0</v>
      </c>
      <c r="AM316">
        <f t="shared" ca="1" si="146"/>
        <v>2.6560383008097266E-7</v>
      </c>
      <c r="AN316" t="str">
        <f t="shared" ca="1" si="147"/>
        <v>Subcritical</v>
      </c>
      <c r="AO316">
        <f t="shared" ca="1" si="148"/>
        <v>2.2562304480281055E-12</v>
      </c>
    </row>
    <row r="317" spans="1:41" x14ac:dyDescent="0.35">
      <c r="A317">
        <v>168</v>
      </c>
      <c r="B317">
        <v>166.94800000000001</v>
      </c>
      <c r="C317">
        <v>616416.90599999996</v>
      </c>
      <c r="D317">
        <v>3097692.7760000001</v>
      </c>
      <c r="E317">
        <v>632.47850000000005</v>
      </c>
      <c r="F317">
        <v>5.2</v>
      </c>
      <c r="G317">
        <v>0</v>
      </c>
      <c r="H317" t="s">
        <v>186</v>
      </c>
      <c r="I317">
        <v>5.7000000000000002E-2</v>
      </c>
      <c r="J317">
        <f t="shared" si="149"/>
        <v>1</v>
      </c>
      <c r="K317">
        <f t="shared" si="150"/>
        <v>51</v>
      </c>
      <c r="L317">
        <f t="shared" ca="1" si="151"/>
        <v>51798.289720922228</v>
      </c>
      <c r="M317">
        <f t="shared" ca="1" si="128"/>
        <v>269351.10654879559</v>
      </c>
      <c r="N317">
        <f t="shared" ca="1" si="129"/>
        <v>2.5998695003109713</v>
      </c>
      <c r="O317">
        <f t="shared" ca="1" si="130"/>
        <v>1.8934394090102188E-4</v>
      </c>
      <c r="P317">
        <f t="shared" ca="1" si="131"/>
        <v>52430.768220922226</v>
      </c>
      <c r="Q317">
        <f t="shared" ca="1" si="132"/>
        <v>52430.768220924052</v>
      </c>
      <c r="R317">
        <f t="shared" ca="1" si="133"/>
        <v>2.2564026956223921E-12</v>
      </c>
      <c r="S317">
        <f t="shared" ca="1" si="152"/>
        <v>5.0000000192085281E-4</v>
      </c>
      <c r="T317">
        <f t="shared" ca="1" si="153"/>
        <v>1</v>
      </c>
      <c r="U317">
        <f t="shared" ca="1" si="134"/>
        <v>51800.26683766341</v>
      </c>
      <c r="V317">
        <f t="shared" ca="1" si="135"/>
        <v>269361.38755584974</v>
      </c>
      <c r="W317">
        <f t="shared" ca="1" si="136"/>
        <v>2.5998695052916441</v>
      </c>
      <c r="X317">
        <f t="shared" ca="1" si="137"/>
        <v>1.8933671400629237E-4</v>
      </c>
      <c r="Y317">
        <f t="shared" ca="1" si="138"/>
        <v>52432.745337663408</v>
      </c>
      <c r="Z317">
        <f t="shared" ca="1" si="139"/>
        <v>52432.745337665234</v>
      </c>
      <c r="AA317">
        <f t="shared" ca="1" si="140"/>
        <v>2.2562304480281055E-12</v>
      </c>
      <c r="AB317">
        <f t="shared" ca="1" si="141"/>
        <v>-4.999999946448952E-4</v>
      </c>
      <c r="AC317">
        <f t="shared" ca="1" si="142"/>
        <v>1</v>
      </c>
      <c r="AD317">
        <f ca="1">IF(V32="Supercritical",L317,IF(V32="Subcritical",U317,IF(AND(T317=1,AC317=1),IF((((F317)*(L317)^2)/2+(G317)*(L317)^3/3+(ABS(K317)^2)/($I$5*MAX(((F317)+(G317)*(L317))*(L317),0.000001)))&gt;=(((F317)*(U317)^2)/2+(G317)*(U317)^3/3+(ABS(K317)^2)/($I$5*MAX(((F317)+(G317)*(U317))*(U317),0.000001))),L317,U317),IF(T317=1,L317,IF(AC317=1,U317,MAX($D$16,POWER((ABS(K317)^2)/($I$5*MAX(F317,0.1)^2),1/3)))))))</f>
        <v>51800.26683766341</v>
      </c>
      <c r="AE317">
        <f t="shared" ca="1" si="143"/>
        <v>52432.745337663408</v>
      </c>
      <c r="AF317">
        <f t="shared" ca="1" si="144"/>
        <v>52432.745337665234</v>
      </c>
      <c r="AI317">
        <v>0</v>
      </c>
      <c r="AJ317">
        <v>0</v>
      </c>
      <c r="AK317">
        <f t="shared" si="145"/>
        <v>0</v>
      </c>
      <c r="AL317">
        <f t="shared" si="154"/>
        <v>0</v>
      </c>
      <c r="AM317">
        <f t="shared" ca="1" si="146"/>
        <v>2.6560383008097266E-7</v>
      </c>
      <c r="AN317" t="str">
        <f t="shared" ca="1" si="147"/>
        <v>Subcritical</v>
      </c>
      <c r="AO317">
        <f t="shared" ca="1" si="148"/>
        <v>2.2562304480281055E-12</v>
      </c>
    </row>
    <row r="318" spans="1:41" x14ac:dyDescent="0.35">
      <c r="A318">
        <v>169</v>
      </c>
      <c r="B318">
        <v>167.94800000000001</v>
      </c>
      <c r="C318">
        <v>616415.90700000001</v>
      </c>
      <c r="D318">
        <v>3097692.7289999998</v>
      </c>
      <c r="E318">
        <v>632.47799999999995</v>
      </c>
      <c r="F318">
        <v>5.2</v>
      </c>
      <c r="G318">
        <v>0</v>
      </c>
      <c r="H318" t="s">
        <v>186</v>
      </c>
      <c r="I318">
        <v>5.7000000000000002E-2</v>
      </c>
      <c r="J318">
        <f t="shared" si="149"/>
        <v>1</v>
      </c>
      <c r="K318">
        <f t="shared" si="150"/>
        <v>51</v>
      </c>
      <c r="L318">
        <f t="shared" ca="1" si="151"/>
        <v>51798.275827199141</v>
      </c>
      <c r="M318">
        <f t="shared" ca="1" si="128"/>
        <v>269351.03430143552</v>
      </c>
      <c r="N318">
        <f t="shared" ca="1" si="129"/>
        <v>2.5998695002759691</v>
      </c>
      <c r="O318">
        <f t="shared" ca="1" si="130"/>
        <v>1.8934399168827766E-4</v>
      </c>
      <c r="P318">
        <f t="shared" ca="1" si="131"/>
        <v>52430.753827199143</v>
      </c>
      <c r="Q318">
        <f t="shared" ca="1" si="132"/>
        <v>52430.75382720097</v>
      </c>
      <c r="R318">
        <f t="shared" ca="1" si="133"/>
        <v>2.2564039061216594E-12</v>
      </c>
      <c r="S318">
        <f t="shared" ca="1" si="152"/>
        <v>1.439372308232123E-2</v>
      </c>
      <c r="T318">
        <f t="shared" ca="1" si="153"/>
        <v>0</v>
      </c>
      <c r="U318">
        <f t="shared" ca="1" si="134"/>
        <v>51800.26683766341</v>
      </c>
      <c r="V318">
        <f t="shared" ca="1" si="135"/>
        <v>269361.38755584974</v>
      </c>
      <c r="W318">
        <f t="shared" ca="1" si="136"/>
        <v>2.5998695052916441</v>
      </c>
      <c r="X318">
        <f t="shared" ca="1" si="137"/>
        <v>1.8933671400629237E-4</v>
      </c>
      <c r="Y318">
        <f t="shared" ca="1" si="138"/>
        <v>52432.744837663413</v>
      </c>
      <c r="Z318">
        <f t="shared" ca="1" si="139"/>
        <v>52432.744837665239</v>
      </c>
      <c r="AA318">
        <f t="shared" ca="1" si="140"/>
        <v>2.2562304480281055E-12</v>
      </c>
      <c r="AB318">
        <f t="shared" ca="1" si="141"/>
        <v>-5.0000000192085281E-4</v>
      </c>
      <c r="AC318">
        <f t="shared" ca="1" si="142"/>
        <v>1</v>
      </c>
      <c r="AD318">
        <f ca="1">IF(V32="Supercritical",L318,IF(V32="Subcritical",U318,IF(AND(T318=1,AC318=1),IF((((F318)*(L318)^2)/2+(G318)*(L318)^3/3+(ABS(K318)^2)/($I$5*MAX(((F318)+(G318)*(L318))*(L318),0.000001)))&gt;=(((F318)*(U318)^2)/2+(G318)*(U318)^3/3+(ABS(K318)^2)/($I$5*MAX(((F318)+(G318)*(U318))*(U318),0.000001))),L318,U318),IF(T318=1,L318,IF(AC318=1,U318,MAX($D$16,POWER((ABS(K318)^2)/($I$5*MAX(F318,0.1)^2),1/3)))))))</f>
        <v>51800.26683766341</v>
      </c>
      <c r="AE318">
        <f t="shared" ca="1" si="143"/>
        <v>52432.744837663413</v>
      </c>
      <c r="AF318">
        <f t="shared" ca="1" si="144"/>
        <v>52432.744837665239</v>
      </c>
      <c r="AI318">
        <v>0</v>
      </c>
      <c r="AJ318">
        <v>0</v>
      </c>
      <c r="AK318">
        <f t="shared" si="145"/>
        <v>0</v>
      </c>
      <c r="AL318">
        <f t="shared" si="154"/>
        <v>0</v>
      </c>
      <c r="AM318">
        <f t="shared" ca="1" si="146"/>
        <v>2.6560383008097266E-7</v>
      </c>
      <c r="AN318" t="str">
        <f t="shared" ca="1" si="147"/>
        <v>Subcritical</v>
      </c>
      <c r="AO318">
        <f t="shared" ca="1" si="148"/>
        <v>2.2562304480281055E-12</v>
      </c>
    </row>
    <row r="319" spans="1:41" x14ac:dyDescent="0.35">
      <c r="A319">
        <v>170</v>
      </c>
      <c r="B319">
        <v>168.94800000000001</v>
      </c>
      <c r="C319">
        <v>616414.90800000005</v>
      </c>
      <c r="D319">
        <v>3097692.6809999999</v>
      </c>
      <c r="E319">
        <v>632.47749999999996</v>
      </c>
      <c r="F319">
        <v>5.2</v>
      </c>
      <c r="G319">
        <v>0</v>
      </c>
      <c r="H319" t="s">
        <v>186</v>
      </c>
      <c r="I319">
        <v>0</v>
      </c>
      <c r="J319">
        <f t="shared" si="149"/>
        <v>1</v>
      </c>
      <c r="K319">
        <f t="shared" si="150"/>
        <v>51</v>
      </c>
      <c r="L319">
        <f t="shared" ca="1" si="151"/>
        <v>51798.275827199141</v>
      </c>
      <c r="M319">
        <f t="shared" ca="1" si="128"/>
        <v>269351.03430143552</v>
      </c>
      <c r="N319">
        <f t="shared" ca="1" si="129"/>
        <v>2.5998695002759691</v>
      </c>
      <c r="O319">
        <f t="shared" ca="1" si="130"/>
        <v>1.8934399168827766E-4</v>
      </c>
      <c r="P319">
        <f t="shared" ca="1" si="131"/>
        <v>52430.753327199141</v>
      </c>
      <c r="Q319">
        <f t="shared" ca="1" si="132"/>
        <v>52430.753327200968</v>
      </c>
      <c r="R319">
        <f t="shared" ca="1" si="133"/>
        <v>2.2564039061216594E-12</v>
      </c>
      <c r="S319">
        <f t="shared" ca="1" si="152"/>
        <v>5.0000000192085281E-4</v>
      </c>
      <c r="T319">
        <f t="shared" ca="1" si="153"/>
        <v>1</v>
      </c>
      <c r="U319">
        <f t="shared" ca="1" si="134"/>
        <v>51800.26683766341</v>
      </c>
      <c r="V319">
        <f t="shared" ca="1" si="135"/>
        <v>269361.38755584974</v>
      </c>
      <c r="W319">
        <f t="shared" ca="1" si="136"/>
        <v>2.5998695052916441</v>
      </c>
      <c r="X319">
        <f t="shared" ca="1" si="137"/>
        <v>1.8933671400629237E-4</v>
      </c>
      <c r="Y319">
        <f t="shared" ca="1" si="138"/>
        <v>52432.744337663411</v>
      </c>
      <c r="Z319">
        <f t="shared" ca="1" si="139"/>
        <v>52432.744337665237</v>
      </c>
      <c r="AA319">
        <f t="shared" ca="1" si="140"/>
        <v>2.2562304480281055E-12</v>
      </c>
      <c r="AB319">
        <f t="shared" ca="1" si="141"/>
        <v>-5.0000000192085281E-4</v>
      </c>
      <c r="AC319">
        <f t="shared" ca="1" si="142"/>
        <v>1</v>
      </c>
      <c r="AD319">
        <f ca="1">IF(V32="Supercritical",L319,IF(V32="Subcritical",U319,IF(AND(T319=1,AC319=1),IF((((F319)*(L319)^2)/2+(G319)*(L319)^3/3+(ABS(K319)^2)/($I$5*MAX(((F319)+(G319)*(L319))*(L319),0.000001)))&gt;=(((F319)*(U319)^2)/2+(G319)*(U319)^3/3+(ABS(K319)^2)/($I$5*MAX(((F319)+(G319)*(U319))*(U319),0.000001))),L319,U319),IF(T319=1,L319,IF(AC319=1,U319,MAX($D$16,POWER((ABS(K319)^2)/($I$5*MAX(F319,0.1)^2),1/3)))))))</f>
        <v>51800.26683766341</v>
      </c>
      <c r="AE319">
        <f t="shared" ca="1" si="143"/>
        <v>52432.744337663411</v>
      </c>
      <c r="AF319">
        <f t="shared" ca="1" si="144"/>
        <v>52432.744337665237</v>
      </c>
      <c r="AI319">
        <v>0</v>
      </c>
      <c r="AJ319">
        <v>0</v>
      </c>
      <c r="AK319">
        <f t="shared" si="145"/>
        <v>0</v>
      </c>
      <c r="AL319">
        <f t="shared" si="154"/>
        <v>0</v>
      </c>
      <c r="AM319">
        <f t="shared" ca="1" si="146"/>
        <v>2.6560383008097266E-7</v>
      </c>
      <c r="AN319" t="str">
        <f t="shared" ca="1" si="147"/>
        <v>Subcritical</v>
      </c>
      <c r="AO319">
        <f t="shared" ca="1" si="148"/>
        <v>2.2562304480281055E-12</v>
      </c>
    </row>
    <row r="320" spans="1:41" x14ac:dyDescent="0.35">
      <c r="A320">
        <v>171</v>
      </c>
      <c r="B320">
        <v>169.94800000000001</v>
      </c>
      <c r="C320">
        <v>616413.90899999999</v>
      </c>
      <c r="D320">
        <v>3097692.6329999999</v>
      </c>
      <c r="E320">
        <v>632.47699999999998</v>
      </c>
      <c r="F320">
        <v>5.2</v>
      </c>
      <c r="G320">
        <v>0</v>
      </c>
      <c r="H320" t="s">
        <v>186</v>
      </c>
      <c r="I320">
        <v>5.7000000000000002E-2</v>
      </c>
      <c r="J320">
        <f t="shared" si="149"/>
        <v>1</v>
      </c>
      <c r="K320">
        <f t="shared" si="150"/>
        <v>51</v>
      </c>
      <c r="L320">
        <f t="shared" ca="1" si="151"/>
        <v>51798.261709289967</v>
      </c>
      <c r="M320">
        <f t="shared" ca="1" si="128"/>
        <v>269350.96088830783</v>
      </c>
      <c r="N320">
        <f t="shared" ca="1" si="129"/>
        <v>2.5998695002404029</v>
      </c>
      <c r="O320">
        <f t="shared" ca="1" si="130"/>
        <v>1.8934404329505342E-4</v>
      </c>
      <c r="P320">
        <f t="shared" ca="1" si="131"/>
        <v>52430.738709289966</v>
      </c>
      <c r="Q320">
        <f t="shared" ca="1" si="132"/>
        <v>52430.738709291792</v>
      </c>
      <c r="R320">
        <f t="shared" ca="1" si="133"/>
        <v>2.2564051361542742E-12</v>
      </c>
      <c r="S320">
        <f t="shared" ca="1" si="152"/>
        <v>1.4617909175285604E-2</v>
      </c>
      <c r="T320">
        <f t="shared" ca="1" si="153"/>
        <v>0</v>
      </c>
      <c r="U320">
        <f t="shared" ca="1" si="134"/>
        <v>51800.26683766341</v>
      </c>
      <c r="V320">
        <f t="shared" ca="1" si="135"/>
        <v>269361.38755584974</v>
      </c>
      <c r="W320">
        <f t="shared" ca="1" si="136"/>
        <v>2.5998695052916441</v>
      </c>
      <c r="X320">
        <f t="shared" ca="1" si="137"/>
        <v>1.8933671400629237E-4</v>
      </c>
      <c r="Y320">
        <f t="shared" ca="1" si="138"/>
        <v>52432.743837663409</v>
      </c>
      <c r="Z320">
        <f t="shared" ca="1" si="139"/>
        <v>52432.743837665235</v>
      </c>
      <c r="AA320">
        <f t="shared" ca="1" si="140"/>
        <v>2.2562304480281055E-12</v>
      </c>
      <c r="AB320">
        <f t="shared" ca="1" si="141"/>
        <v>-5.0000000192085281E-4</v>
      </c>
      <c r="AC320">
        <f t="shared" ca="1" si="142"/>
        <v>1</v>
      </c>
      <c r="AD320">
        <f ca="1">IF(V32="Supercritical",L320,IF(V32="Subcritical",U320,IF(AND(T320=1,AC320=1),IF((((F320)*(L320)^2)/2+(G320)*(L320)^3/3+(ABS(K320)^2)/($I$5*MAX(((F320)+(G320)*(L320))*(L320),0.000001)))&gt;=(((F320)*(U320)^2)/2+(G320)*(U320)^3/3+(ABS(K320)^2)/($I$5*MAX(((F320)+(G320)*(U320))*(U320),0.000001))),L320,U320),IF(T320=1,L320,IF(AC320=1,U320,MAX($D$16,POWER((ABS(K320)^2)/($I$5*MAX(F320,0.1)^2),1/3)))))))</f>
        <v>51800.26683766341</v>
      </c>
      <c r="AE320">
        <f t="shared" ca="1" si="143"/>
        <v>52432.743837663409</v>
      </c>
      <c r="AF320">
        <f t="shared" ca="1" si="144"/>
        <v>52432.743837665235</v>
      </c>
      <c r="AI320">
        <v>0</v>
      </c>
      <c r="AJ320">
        <v>0</v>
      </c>
      <c r="AK320">
        <f t="shared" si="145"/>
        <v>0</v>
      </c>
      <c r="AL320">
        <f t="shared" si="154"/>
        <v>0</v>
      </c>
      <c r="AM320">
        <f t="shared" ca="1" si="146"/>
        <v>2.6560383008097266E-7</v>
      </c>
      <c r="AN320" t="str">
        <f t="shared" ca="1" si="147"/>
        <v>Subcritical</v>
      </c>
      <c r="AO320">
        <f t="shared" ca="1" si="148"/>
        <v>2.2562304480281055E-12</v>
      </c>
    </row>
    <row r="321" spans="1:41" x14ac:dyDescent="0.35">
      <c r="A321">
        <v>172</v>
      </c>
      <c r="B321">
        <v>170.94900000000001</v>
      </c>
      <c r="C321">
        <v>616412.91</v>
      </c>
      <c r="D321">
        <v>3097692.5860000001</v>
      </c>
      <c r="E321">
        <v>632.47649999999999</v>
      </c>
      <c r="F321">
        <v>5.2</v>
      </c>
      <c r="G321">
        <v>0</v>
      </c>
      <c r="H321" t="s">
        <v>186</v>
      </c>
      <c r="I321">
        <v>0.06</v>
      </c>
      <c r="J321">
        <f t="shared" si="149"/>
        <v>1.0010000000000048</v>
      </c>
      <c r="K321">
        <f t="shared" si="150"/>
        <v>51</v>
      </c>
      <c r="L321">
        <f t="shared" ca="1" si="151"/>
        <v>51798.261709289967</v>
      </c>
      <c r="M321">
        <f t="shared" ca="1" si="128"/>
        <v>269350.96088830783</v>
      </c>
      <c r="N321">
        <f t="shared" ca="1" si="129"/>
        <v>2.5998695002404029</v>
      </c>
      <c r="O321">
        <f t="shared" ca="1" si="130"/>
        <v>1.8934404329505342E-4</v>
      </c>
      <c r="P321">
        <f t="shared" ca="1" si="131"/>
        <v>52430.738209289964</v>
      </c>
      <c r="Q321">
        <f t="shared" ca="1" si="132"/>
        <v>52430.738209291791</v>
      </c>
      <c r="R321">
        <f t="shared" ca="1" si="133"/>
        <v>2.2564051361542742E-12</v>
      </c>
      <c r="S321">
        <f t="shared" ca="1" si="152"/>
        <v>5.0000000192085281E-4</v>
      </c>
      <c r="T321">
        <f t="shared" ca="1" si="153"/>
        <v>1</v>
      </c>
      <c r="U321">
        <f t="shared" ca="1" si="134"/>
        <v>51800.26683766341</v>
      </c>
      <c r="V321">
        <f t="shared" ca="1" si="135"/>
        <v>269361.38755584974</v>
      </c>
      <c r="W321">
        <f t="shared" ca="1" si="136"/>
        <v>2.5998695052916441</v>
      </c>
      <c r="X321">
        <f t="shared" ca="1" si="137"/>
        <v>1.8933671400629237E-4</v>
      </c>
      <c r="Y321">
        <f t="shared" ca="1" si="138"/>
        <v>52432.743337663407</v>
      </c>
      <c r="Z321">
        <f t="shared" ca="1" si="139"/>
        <v>52432.743337665233</v>
      </c>
      <c r="AA321">
        <f t="shared" ca="1" si="140"/>
        <v>2.2562304480281055E-12</v>
      </c>
      <c r="AB321">
        <f t="shared" ca="1" si="141"/>
        <v>-4.999999946448952E-4</v>
      </c>
      <c r="AC321">
        <f t="shared" ca="1" si="142"/>
        <v>1</v>
      </c>
      <c r="AD321">
        <f ca="1">IF(V32="Supercritical",L321,IF(V32="Subcritical",U321,IF(AND(T321=1,AC321=1),IF((((F321)*(L321)^2)/2+(G321)*(L321)^3/3+(ABS(K321)^2)/($I$5*MAX(((F321)+(G321)*(L321))*(L321),0.000001)))&gt;=(((F321)*(U321)^2)/2+(G321)*(U321)^3/3+(ABS(K321)^2)/($I$5*MAX(((F321)+(G321)*(U321))*(U321),0.000001))),L321,U321),IF(T321=1,L321,IF(AC321=1,U321,MAX($D$16,POWER((ABS(K321)^2)/($I$5*MAX(F321,0.1)^2),1/3)))))))</f>
        <v>51800.26683766341</v>
      </c>
      <c r="AE321">
        <f t="shared" ca="1" si="143"/>
        <v>52432.743337663407</v>
      </c>
      <c r="AF321">
        <f t="shared" ca="1" si="144"/>
        <v>52432.743337665233</v>
      </c>
      <c r="AI321">
        <v>0</v>
      </c>
      <c r="AJ321">
        <v>0</v>
      </c>
      <c r="AK321">
        <f t="shared" si="145"/>
        <v>0</v>
      </c>
      <c r="AL321">
        <f t="shared" si="154"/>
        <v>0</v>
      </c>
      <c r="AM321">
        <f t="shared" ca="1" si="146"/>
        <v>2.6560383008097266E-7</v>
      </c>
      <c r="AN321" t="str">
        <f t="shared" ca="1" si="147"/>
        <v>Subcritical</v>
      </c>
      <c r="AO321">
        <f t="shared" ca="1" si="148"/>
        <v>2.2562304480281055E-12</v>
      </c>
    </row>
    <row r="322" spans="1:41" x14ac:dyDescent="0.35">
      <c r="A322">
        <v>173</v>
      </c>
      <c r="B322">
        <v>171.94800000000001</v>
      </c>
      <c r="C322">
        <v>616411.91200000001</v>
      </c>
      <c r="D322">
        <v>3097692.5380000002</v>
      </c>
      <c r="E322">
        <v>632.476</v>
      </c>
      <c r="F322">
        <v>5.2</v>
      </c>
      <c r="G322">
        <v>0</v>
      </c>
      <c r="H322" t="s">
        <v>186</v>
      </c>
      <c r="I322">
        <v>0.06</v>
      </c>
      <c r="J322">
        <f t="shared" si="149"/>
        <v>0.99899999999999523</v>
      </c>
      <c r="K322">
        <f t="shared" si="150"/>
        <v>51</v>
      </c>
      <c r="L322">
        <f t="shared" ca="1" si="151"/>
        <v>51798.247504216939</v>
      </c>
      <c r="M322">
        <f t="shared" ca="1" si="128"/>
        <v>269350.88702192809</v>
      </c>
      <c r="N322">
        <f t="shared" ca="1" si="129"/>
        <v>2.5998695002046164</v>
      </c>
      <c r="O322">
        <f t="shared" ca="1" si="130"/>
        <v>1.893440952204774E-4</v>
      </c>
      <c r="P322">
        <f t="shared" ca="1" si="131"/>
        <v>52430.723504216941</v>
      </c>
      <c r="Q322">
        <f t="shared" ca="1" si="132"/>
        <v>52430.723504218768</v>
      </c>
      <c r="R322">
        <f t="shared" ca="1" si="133"/>
        <v>2.2564063737821175E-12</v>
      </c>
      <c r="S322">
        <f t="shared" ca="1" si="152"/>
        <v>1.4705073022923898E-2</v>
      </c>
      <c r="T322">
        <f t="shared" ca="1" si="153"/>
        <v>0</v>
      </c>
      <c r="U322">
        <f t="shared" ca="1" si="134"/>
        <v>51800.26683766341</v>
      </c>
      <c r="V322">
        <f t="shared" ca="1" si="135"/>
        <v>269361.38755584974</v>
      </c>
      <c r="W322">
        <f t="shared" ca="1" si="136"/>
        <v>2.5998695052916441</v>
      </c>
      <c r="X322">
        <f t="shared" ca="1" si="137"/>
        <v>1.8933671400629237E-4</v>
      </c>
      <c r="Y322">
        <f t="shared" ca="1" si="138"/>
        <v>52432.742837663413</v>
      </c>
      <c r="Z322">
        <f t="shared" ca="1" si="139"/>
        <v>52432.742837665239</v>
      </c>
      <c r="AA322">
        <f t="shared" ca="1" si="140"/>
        <v>2.2562304480281055E-12</v>
      </c>
      <c r="AB322">
        <f t="shared" ca="1" si="141"/>
        <v>-5.0000000192085281E-4</v>
      </c>
      <c r="AC322">
        <f t="shared" ca="1" si="142"/>
        <v>1</v>
      </c>
      <c r="AD322">
        <f ca="1">IF(V32="Supercritical",L322,IF(V32="Subcritical",U322,IF(AND(T322=1,AC322=1),IF((((F322)*(L322)^2)/2+(G322)*(L322)^3/3+(ABS(K322)^2)/($I$5*MAX(((F322)+(G322)*(L322))*(L322),0.000001)))&gt;=(((F322)*(U322)^2)/2+(G322)*(U322)^3/3+(ABS(K322)^2)/($I$5*MAX(((F322)+(G322)*(U322))*(U322),0.000001))),L322,U322),IF(T322=1,L322,IF(AC322=1,U322,MAX($D$16,POWER((ABS(K322)^2)/($I$5*MAX(F322,0.1)^2),1/3)))))))</f>
        <v>51800.26683766341</v>
      </c>
      <c r="AE322">
        <f t="shared" ca="1" si="143"/>
        <v>52432.742837663413</v>
      </c>
      <c r="AF322">
        <f t="shared" ca="1" si="144"/>
        <v>52432.742837665239</v>
      </c>
      <c r="AI322">
        <v>0</v>
      </c>
      <c r="AJ322">
        <v>0</v>
      </c>
      <c r="AK322">
        <f t="shared" si="145"/>
        <v>0</v>
      </c>
      <c r="AL322">
        <f t="shared" si="154"/>
        <v>0</v>
      </c>
      <c r="AM322">
        <f t="shared" ca="1" si="146"/>
        <v>2.6560383008097266E-7</v>
      </c>
      <c r="AN322" t="str">
        <f t="shared" ca="1" si="147"/>
        <v>Subcritical</v>
      </c>
      <c r="AO322">
        <f t="shared" ca="1" si="148"/>
        <v>2.2562304480281055E-12</v>
      </c>
    </row>
    <row r="323" spans="1:41" x14ac:dyDescent="0.35">
      <c r="A323">
        <v>174</v>
      </c>
      <c r="B323">
        <v>172.94800000000001</v>
      </c>
      <c r="C323">
        <v>616410.91299999994</v>
      </c>
      <c r="D323">
        <v>3097692.4909999999</v>
      </c>
      <c r="E323">
        <v>632.47550000000001</v>
      </c>
      <c r="F323">
        <v>5.2</v>
      </c>
      <c r="G323">
        <v>0</v>
      </c>
      <c r="H323" t="s">
        <v>186</v>
      </c>
      <c r="I323">
        <v>5.7000000000000002E-2</v>
      </c>
      <c r="J323">
        <f t="shared" si="149"/>
        <v>1</v>
      </c>
      <c r="K323">
        <f t="shared" si="150"/>
        <v>51</v>
      </c>
      <c r="L323">
        <f t="shared" ca="1" si="151"/>
        <v>51798.247504216939</v>
      </c>
      <c r="M323">
        <f t="shared" ca="1" si="128"/>
        <v>269350.88702192809</v>
      </c>
      <c r="N323">
        <f t="shared" ca="1" si="129"/>
        <v>2.5998695002046164</v>
      </c>
      <c r="O323">
        <f t="shared" ca="1" si="130"/>
        <v>1.893440952204774E-4</v>
      </c>
      <c r="P323">
        <f t="shared" ca="1" si="131"/>
        <v>52430.723004216939</v>
      </c>
      <c r="Q323">
        <f t="shared" ca="1" si="132"/>
        <v>52430.723004218766</v>
      </c>
      <c r="R323">
        <f t="shared" ca="1" si="133"/>
        <v>2.2564063737821175E-12</v>
      </c>
      <c r="S323">
        <f t="shared" ca="1" si="152"/>
        <v>5.0000000192085281E-4</v>
      </c>
      <c r="T323">
        <f t="shared" ca="1" si="153"/>
        <v>1</v>
      </c>
      <c r="U323">
        <f t="shared" ca="1" si="134"/>
        <v>51800.26683766341</v>
      </c>
      <c r="V323">
        <f t="shared" ca="1" si="135"/>
        <v>269361.38755584974</v>
      </c>
      <c r="W323">
        <f t="shared" ca="1" si="136"/>
        <v>2.5998695052916441</v>
      </c>
      <c r="X323">
        <f t="shared" ca="1" si="137"/>
        <v>1.8933671400629237E-4</v>
      </c>
      <c r="Y323">
        <f t="shared" ca="1" si="138"/>
        <v>52432.742337663411</v>
      </c>
      <c r="Z323">
        <f t="shared" ca="1" si="139"/>
        <v>52432.742337665237</v>
      </c>
      <c r="AA323">
        <f t="shared" ca="1" si="140"/>
        <v>2.2562304480281055E-12</v>
      </c>
      <c r="AB323">
        <f t="shared" ca="1" si="141"/>
        <v>-5.0000000192085281E-4</v>
      </c>
      <c r="AC323">
        <f t="shared" ca="1" si="142"/>
        <v>1</v>
      </c>
      <c r="AD323">
        <f ca="1">IF(V32="Supercritical",L323,IF(V32="Subcritical",U323,IF(AND(T323=1,AC323=1),IF((((F323)*(L323)^2)/2+(G323)*(L323)^3/3+(ABS(K323)^2)/($I$5*MAX(((F323)+(G323)*(L323))*(L323),0.000001)))&gt;=(((F323)*(U323)^2)/2+(G323)*(U323)^3/3+(ABS(K323)^2)/($I$5*MAX(((F323)+(G323)*(U323))*(U323),0.000001))),L323,U323),IF(T323=1,L323,IF(AC323=1,U323,MAX($D$16,POWER((ABS(K323)^2)/($I$5*MAX(F323,0.1)^2),1/3)))))))</f>
        <v>51800.26683766341</v>
      </c>
      <c r="AE323">
        <f t="shared" ca="1" si="143"/>
        <v>52432.742337663411</v>
      </c>
      <c r="AF323">
        <f t="shared" ca="1" si="144"/>
        <v>52432.742337665237</v>
      </c>
      <c r="AI323">
        <v>0</v>
      </c>
      <c r="AJ323">
        <v>0</v>
      </c>
      <c r="AK323">
        <f t="shared" si="145"/>
        <v>0</v>
      </c>
      <c r="AL323">
        <f t="shared" si="154"/>
        <v>0</v>
      </c>
      <c r="AM323">
        <f t="shared" ca="1" si="146"/>
        <v>2.6560383008097266E-7</v>
      </c>
      <c r="AN323" t="str">
        <f t="shared" ca="1" si="147"/>
        <v>Subcritical</v>
      </c>
      <c r="AO323">
        <f t="shared" ca="1" si="148"/>
        <v>2.2562304480281055E-12</v>
      </c>
    </row>
    <row r="324" spans="1:41" x14ac:dyDescent="0.35">
      <c r="A324">
        <v>175</v>
      </c>
      <c r="B324">
        <v>173.94800000000001</v>
      </c>
      <c r="C324">
        <v>616409.91399999999</v>
      </c>
      <c r="D324">
        <v>3097692.443</v>
      </c>
      <c r="E324">
        <v>632.47500000000002</v>
      </c>
      <c r="F324">
        <v>5.2</v>
      </c>
      <c r="G324">
        <v>0</v>
      </c>
      <c r="H324" t="s">
        <v>186</v>
      </c>
      <c r="I324">
        <v>0</v>
      </c>
      <c r="J324">
        <f t="shared" si="149"/>
        <v>1</v>
      </c>
      <c r="K324">
        <f t="shared" si="150"/>
        <v>51</v>
      </c>
      <c r="L324">
        <f t="shared" ca="1" si="151"/>
        <v>51798.233330222392</v>
      </c>
      <c r="M324">
        <f t="shared" ca="1" si="128"/>
        <v>269350.81331715646</v>
      </c>
      <c r="N324">
        <f t="shared" ca="1" si="129"/>
        <v>2.5998695001689085</v>
      </c>
      <c r="O324">
        <f t="shared" ca="1" si="130"/>
        <v>1.8934414703232502E-4</v>
      </c>
      <c r="P324">
        <f t="shared" ca="1" si="131"/>
        <v>52430.708330222391</v>
      </c>
      <c r="Q324">
        <f t="shared" ca="1" si="132"/>
        <v>52430.708330224217</v>
      </c>
      <c r="R324">
        <f t="shared" ca="1" si="133"/>
        <v>2.2564076087032385E-12</v>
      </c>
      <c r="S324">
        <f t="shared" ca="1" si="152"/>
        <v>1.4673994548502378E-2</v>
      </c>
      <c r="T324">
        <f t="shared" ca="1" si="153"/>
        <v>0</v>
      </c>
      <c r="U324">
        <f t="shared" ca="1" si="134"/>
        <v>51800.26683766341</v>
      </c>
      <c r="V324">
        <f t="shared" ca="1" si="135"/>
        <v>269361.38755584974</v>
      </c>
      <c r="W324">
        <f t="shared" ca="1" si="136"/>
        <v>2.5998695052916441</v>
      </c>
      <c r="X324">
        <f t="shared" ca="1" si="137"/>
        <v>1.8933671400629237E-4</v>
      </c>
      <c r="Y324">
        <f t="shared" ca="1" si="138"/>
        <v>52432.741837663409</v>
      </c>
      <c r="Z324">
        <f t="shared" ca="1" si="139"/>
        <v>52432.741837665235</v>
      </c>
      <c r="AA324">
        <f t="shared" ca="1" si="140"/>
        <v>2.2562304480281055E-12</v>
      </c>
      <c r="AB324">
        <f t="shared" ca="1" si="141"/>
        <v>-5.0000000192085281E-4</v>
      </c>
      <c r="AC324">
        <f t="shared" ca="1" si="142"/>
        <v>1</v>
      </c>
      <c r="AD324">
        <f ca="1">IF(V32="Supercritical",L324,IF(V32="Subcritical",U324,IF(AND(T324=1,AC324=1),IF((((F324)*(L324)^2)/2+(G324)*(L324)^3/3+(ABS(K324)^2)/($I$5*MAX(((F324)+(G324)*(L324))*(L324),0.000001)))&gt;=(((F324)*(U324)^2)/2+(G324)*(U324)^3/3+(ABS(K324)^2)/($I$5*MAX(((F324)+(G324)*(U324))*(U324),0.000001))),L324,U324),IF(T324=1,L324,IF(AC324=1,U324,MAX($D$16,POWER((ABS(K324)^2)/($I$5*MAX(F324,0.1)^2),1/3)))))))</f>
        <v>51800.26683766341</v>
      </c>
      <c r="AE324">
        <f t="shared" ca="1" si="143"/>
        <v>52432.741837663409</v>
      </c>
      <c r="AF324">
        <f t="shared" ca="1" si="144"/>
        <v>52432.741837665235</v>
      </c>
      <c r="AI324">
        <v>0</v>
      </c>
      <c r="AJ324">
        <v>0</v>
      </c>
      <c r="AK324">
        <f t="shared" si="145"/>
        <v>0</v>
      </c>
      <c r="AL324">
        <f t="shared" si="154"/>
        <v>0</v>
      </c>
      <c r="AM324">
        <f t="shared" ca="1" si="146"/>
        <v>2.6560383008097266E-7</v>
      </c>
      <c r="AN324" t="str">
        <f t="shared" ca="1" si="147"/>
        <v>Subcritical</v>
      </c>
      <c r="AO324">
        <f t="shared" ca="1" si="148"/>
        <v>2.2562304480281055E-12</v>
      </c>
    </row>
    <row r="325" spans="1:41" x14ac:dyDescent="0.35">
      <c r="A325">
        <v>176</v>
      </c>
      <c r="B325">
        <v>174.94800000000001</v>
      </c>
      <c r="C325">
        <v>616408.91500000004</v>
      </c>
      <c r="D325">
        <v>3097692.395</v>
      </c>
      <c r="E325">
        <v>632.47450000000003</v>
      </c>
      <c r="F325">
        <v>5.2</v>
      </c>
      <c r="G325">
        <v>0</v>
      </c>
      <c r="H325" t="s">
        <v>186</v>
      </c>
      <c r="I325">
        <v>5.7000000000000002E-2</v>
      </c>
      <c r="J325">
        <f t="shared" si="149"/>
        <v>1</v>
      </c>
      <c r="K325">
        <f t="shared" si="150"/>
        <v>51</v>
      </c>
      <c r="L325">
        <f t="shared" ca="1" si="151"/>
        <v>51798.233330222392</v>
      </c>
      <c r="M325">
        <f t="shared" ca="1" si="128"/>
        <v>269350.81331715646</v>
      </c>
      <c r="N325">
        <f t="shared" ca="1" si="129"/>
        <v>2.5998695001689085</v>
      </c>
      <c r="O325">
        <f t="shared" ca="1" si="130"/>
        <v>1.8934414703232502E-4</v>
      </c>
      <c r="P325">
        <f t="shared" ca="1" si="131"/>
        <v>52430.707830222389</v>
      </c>
      <c r="Q325">
        <f t="shared" ca="1" si="132"/>
        <v>52430.707830224215</v>
      </c>
      <c r="R325">
        <f t="shared" ca="1" si="133"/>
        <v>2.2564076087032385E-12</v>
      </c>
      <c r="S325">
        <f t="shared" ca="1" si="152"/>
        <v>5.0000000192085281E-4</v>
      </c>
      <c r="T325">
        <f t="shared" ca="1" si="153"/>
        <v>1</v>
      </c>
      <c r="U325">
        <f t="shared" ca="1" si="134"/>
        <v>51800.26683766341</v>
      </c>
      <c r="V325">
        <f t="shared" ca="1" si="135"/>
        <v>269361.38755584974</v>
      </c>
      <c r="W325">
        <f t="shared" ca="1" si="136"/>
        <v>2.5998695052916441</v>
      </c>
      <c r="X325">
        <f t="shared" ca="1" si="137"/>
        <v>1.8933671400629237E-4</v>
      </c>
      <c r="Y325">
        <f t="shared" ca="1" si="138"/>
        <v>52432.741337663407</v>
      </c>
      <c r="Z325">
        <f t="shared" ca="1" si="139"/>
        <v>52432.741337665233</v>
      </c>
      <c r="AA325">
        <f t="shared" ca="1" si="140"/>
        <v>2.2562304480281055E-12</v>
      </c>
      <c r="AB325">
        <f t="shared" ca="1" si="141"/>
        <v>-4.999999946448952E-4</v>
      </c>
      <c r="AC325">
        <f t="shared" ca="1" si="142"/>
        <v>1</v>
      </c>
      <c r="AD325">
        <f ca="1">IF(V32="Supercritical",L325,IF(V32="Subcritical",U325,IF(AND(T325=1,AC325=1),IF((((F325)*(L325)^2)/2+(G325)*(L325)^3/3+(ABS(K325)^2)/($I$5*MAX(((F325)+(G325)*(L325))*(L325),0.000001)))&gt;=(((F325)*(U325)^2)/2+(G325)*(U325)^3/3+(ABS(K325)^2)/($I$5*MAX(((F325)+(G325)*(U325))*(U325),0.000001))),L325,U325),IF(T325=1,L325,IF(AC325=1,U325,MAX($D$16,POWER((ABS(K325)^2)/($I$5*MAX(F325,0.1)^2),1/3)))))))</f>
        <v>51800.26683766341</v>
      </c>
      <c r="AE325">
        <f t="shared" ca="1" si="143"/>
        <v>52432.741337663407</v>
      </c>
      <c r="AF325">
        <f t="shared" ca="1" si="144"/>
        <v>52432.741337665233</v>
      </c>
      <c r="AI325">
        <v>0</v>
      </c>
      <c r="AJ325">
        <v>0</v>
      </c>
      <c r="AK325">
        <f t="shared" si="145"/>
        <v>0</v>
      </c>
      <c r="AL325">
        <f t="shared" si="154"/>
        <v>0</v>
      </c>
      <c r="AM325">
        <f t="shared" ca="1" si="146"/>
        <v>2.6560383008097266E-7</v>
      </c>
      <c r="AN325" t="str">
        <f t="shared" ca="1" si="147"/>
        <v>Subcritical</v>
      </c>
      <c r="AO325">
        <f t="shared" ca="1" si="148"/>
        <v>2.2562304480281055E-12</v>
      </c>
    </row>
    <row r="326" spans="1:41" x14ac:dyDescent="0.35">
      <c r="A326">
        <v>177</v>
      </c>
      <c r="B326">
        <v>175.94800000000001</v>
      </c>
      <c r="C326">
        <v>616407.91599999997</v>
      </c>
      <c r="D326">
        <v>3097692.3480000002</v>
      </c>
      <c r="E326">
        <v>632.47400000000005</v>
      </c>
      <c r="F326">
        <v>5.2</v>
      </c>
      <c r="G326">
        <v>0</v>
      </c>
      <c r="H326" t="s">
        <v>186</v>
      </c>
      <c r="I326">
        <v>5.7000000000000002E-2</v>
      </c>
      <c r="J326">
        <f t="shared" si="149"/>
        <v>1</v>
      </c>
      <c r="K326">
        <f t="shared" si="150"/>
        <v>51</v>
      </c>
      <c r="L326">
        <f t="shared" ca="1" si="151"/>
        <v>51798.219279817786</v>
      </c>
      <c r="M326">
        <f t="shared" ca="1" si="128"/>
        <v>269350.74025505251</v>
      </c>
      <c r="N326">
        <f t="shared" ca="1" si="129"/>
        <v>2.5998695001335119</v>
      </c>
      <c r="O326">
        <f t="shared" ca="1" si="130"/>
        <v>1.8934419839242798E-4</v>
      </c>
      <c r="P326">
        <f t="shared" ca="1" si="131"/>
        <v>52430.693279817788</v>
      </c>
      <c r="Q326">
        <f t="shared" ca="1" si="132"/>
        <v>52430.693279819614</v>
      </c>
      <c r="R326">
        <f t="shared" ca="1" si="133"/>
        <v>2.256408832857483E-12</v>
      </c>
      <c r="S326">
        <f t="shared" ca="1" si="152"/>
        <v>1.4550404601322953E-2</v>
      </c>
      <c r="T326">
        <f t="shared" ca="1" si="153"/>
        <v>0</v>
      </c>
      <c r="U326">
        <f t="shared" ca="1" si="134"/>
        <v>51800.26683766341</v>
      </c>
      <c r="V326">
        <f t="shared" ca="1" si="135"/>
        <v>269361.38755584974</v>
      </c>
      <c r="W326">
        <f t="shared" ca="1" si="136"/>
        <v>2.5998695052916441</v>
      </c>
      <c r="X326">
        <f t="shared" ca="1" si="137"/>
        <v>1.8933671400629237E-4</v>
      </c>
      <c r="Y326">
        <f t="shared" ca="1" si="138"/>
        <v>52432.740837663412</v>
      </c>
      <c r="Z326">
        <f t="shared" ca="1" si="139"/>
        <v>52432.740837665238</v>
      </c>
      <c r="AA326">
        <f t="shared" ca="1" si="140"/>
        <v>2.2562304480281055E-12</v>
      </c>
      <c r="AB326">
        <f t="shared" ca="1" si="141"/>
        <v>-5.0000000192085281E-4</v>
      </c>
      <c r="AC326">
        <f t="shared" ca="1" si="142"/>
        <v>1</v>
      </c>
      <c r="AD326">
        <f ca="1">IF(V32="Supercritical",L326,IF(V32="Subcritical",U326,IF(AND(T326=1,AC326=1),IF((((F326)*(L326)^2)/2+(G326)*(L326)^3/3+(ABS(K326)^2)/($I$5*MAX(((F326)+(G326)*(L326))*(L326),0.000001)))&gt;=(((F326)*(U326)^2)/2+(G326)*(U326)^3/3+(ABS(K326)^2)/($I$5*MAX(((F326)+(G326)*(U326))*(U326),0.000001))),L326,U326),IF(T326=1,L326,IF(AC326=1,U326,MAX($D$16,POWER((ABS(K326)^2)/($I$5*MAX(F326,0.1)^2),1/3)))))))</f>
        <v>51800.26683766341</v>
      </c>
      <c r="AE326">
        <f t="shared" ca="1" si="143"/>
        <v>52432.740837663412</v>
      </c>
      <c r="AF326">
        <f t="shared" ca="1" si="144"/>
        <v>52432.740837665238</v>
      </c>
      <c r="AI326">
        <v>0</v>
      </c>
      <c r="AJ326">
        <v>0</v>
      </c>
      <c r="AK326">
        <f t="shared" si="145"/>
        <v>0</v>
      </c>
      <c r="AL326">
        <f t="shared" si="154"/>
        <v>0</v>
      </c>
      <c r="AM326">
        <f t="shared" ca="1" si="146"/>
        <v>2.6560383008097266E-7</v>
      </c>
      <c r="AN326" t="str">
        <f t="shared" ca="1" si="147"/>
        <v>Subcritical</v>
      </c>
      <c r="AO326">
        <f t="shared" ca="1" si="148"/>
        <v>2.2562304480281055E-12</v>
      </c>
    </row>
    <row r="327" spans="1:41" x14ac:dyDescent="0.35">
      <c r="A327">
        <v>178</v>
      </c>
      <c r="B327">
        <v>176.94800000000001</v>
      </c>
      <c r="C327">
        <v>616406.91700000002</v>
      </c>
      <c r="D327">
        <v>3097692.3</v>
      </c>
      <c r="E327">
        <v>632.47349999999994</v>
      </c>
      <c r="F327">
        <v>5.2</v>
      </c>
      <c r="G327">
        <v>0</v>
      </c>
      <c r="H327" t="s">
        <v>186</v>
      </c>
      <c r="I327">
        <v>5.7000000000000002E-2</v>
      </c>
      <c r="J327">
        <f t="shared" si="149"/>
        <v>1</v>
      </c>
      <c r="K327">
        <f t="shared" si="150"/>
        <v>51</v>
      </c>
      <c r="L327">
        <f t="shared" ca="1" si="151"/>
        <v>51798.219279817786</v>
      </c>
      <c r="M327">
        <f t="shared" ca="1" si="128"/>
        <v>269350.74025505251</v>
      </c>
      <c r="N327">
        <f t="shared" ca="1" si="129"/>
        <v>2.5998695001335119</v>
      </c>
      <c r="O327">
        <f t="shared" ca="1" si="130"/>
        <v>1.8934419839242798E-4</v>
      </c>
      <c r="P327">
        <f t="shared" ca="1" si="131"/>
        <v>52430.692779817786</v>
      </c>
      <c r="Q327">
        <f t="shared" ca="1" si="132"/>
        <v>52430.692779819612</v>
      </c>
      <c r="R327">
        <f t="shared" ca="1" si="133"/>
        <v>2.256408832857483E-12</v>
      </c>
      <c r="S327">
        <f t="shared" ca="1" si="152"/>
        <v>5.0000000192085281E-4</v>
      </c>
      <c r="T327">
        <f t="shared" ca="1" si="153"/>
        <v>1</v>
      </c>
      <c r="U327">
        <f t="shared" ca="1" si="134"/>
        <v>51800.26683766341</v>
      </c>
      <c r="V327">
        <f t="shared" ca="1" si="135"/>
        <v>269361.38755584974</v>
      </c>
      <c r="W327">
        <f t="shared" ca="1" si="136"/>
        <v>2.5998695052916441</v>
      </c>
      <c r="X327">
        <f t="shared" ca="1" si="137"/>
        <v>1.8933671400629237E-4</v>
      </c>
      <c r="Y327">
        <f t="shared" ca="1" si="138"/>
        <v>52432.74033766341</v>
      </c>
      <c r="Z327">
        <f t="shared" ca="1" si="139"/>
        <v>52432.740337665236</v>
      </c>
      <c r="AA327">
        <f t="shared" ca="1" si="140"/>
        <v>2.2562304480281055E-12</v>
      </c>
      <c r="AB327">
        <f t="shared" ca="1" si="141"/>
        <v>-5.0000000192085281E-4</v>
      </c>
      <c r="AC327">
        <f t="shared" ca="1" si="142"/>
        <v>1</v>
      </c>
      <c r="AD327">
        <f ca="1">IF(V32="Supercritical",L327,IF(V32="Subcritical",U327,IF(AND(T327=1,AC327=1),IF((((F327)*(L327)^2)/2+(G327)*(L327)^3/3+(ABS(K327)^2)/($I$5*MAX(((F327)+(G327)*(L327))*(L327),0.000001)))&gt;=(((F327)*(U327)^2)/2+(G327)*(U327)^3/3+(ABS(K327)^2)/($I$5*MAX(((F327)+(G327)*(U327))*(U327),0.000001))),L327,U327),IF(T327=1,L327,IF(AC327=1,U327,MAX($D$16,POWER((ABS(K327)^2)/($I$5*MAX(F327,0.1)^2),1/3)))))))</f>
        <v>51800.26683766341</v>
      </c>
      <c r="AE327">
        <f t="shared" ca="1" si="143"/>
        <v>52432.74033766341</v>
      </c>
      <c r="AF327">
        <f t="shared" ca="1" si="144"/>
        <v>52432.740337665236</v>
      </c>
      <c r="AI327">
        <v>0</v>
      </c>
      <c r="AJ327">
        <v>0</v>
      </c>
      <c r="AK327">
        <f t="shared" si="145"/>
        <v>0</v>
      </c>
      <c r="AL327">
        <f t="shared" si="154"/>
        <v>0</v>
      </c>
      <c r="AM327">
        <f t="shared" ca="1" si="146"/>
        <v>2.6560383008097266E-7</v>
      </c>
      <c r="AN327" t="str">
        <f t="shared" ca="1" si="147"/>
        <v>Subcritical</v>
      </c>
      <c r="AO327">
        <f t="shared" ca="1" si="148"/>
        <v>2.2562304480281055E-12</v>
      </c>
    </row>
    <row r="328" spans="1:41" x14ac:dyDescent="0.35">
      <c r="A328">
        <v>179</v>
      </c>
      <c r="B328">
        <v>177.94900000000001</v>
      </c>
      <c r="C328">
        <v>616405.91799999995</v>
      </c>
      <c r="D328">
        <v>3097692.253</v>
      </c>
      <c r="E328">
        <v>632.47299999999996</v>
      </c>
      <c r="F328">
        <v>5.2</v>
      </c>
      <c r="G328">
        <v>0</v>
      </c>
      <c r="H328" t="s">
        <v>186</v>
      </c>
      <c r="I328">
        <v>5.7000000000000002E-2</v>
      </c>
      <c r="J328">
        <f t="shared" si="149"/>
        <v>1.0010000000000048</v>
      </c>
      <c r="K328">
        <f t="shared" si="150"/>
        <v>51</v>
      </c>
      <c r="L328">
        <f t="shared" ca="1" si="151"/>
        <v>51798.205416028504</v>
      </c>
      <c r="M328">
        <f t="shared" ca="1" si="128"/>
        <v>269350.66816334822</v>
      </c>
      <c r="N328">
        <f t="shared" ca="1" si="129"/>
        <v>2.5998695000985852</v>
      </c>
      <c r="O328">
        <f t="shared" ca="1" si="130"/>
        <v>1.8934424907040125E-4</v>
      </c>
      <c r="P328">
        <f t="shared" ca="1" si="131"/>
        <v>52430.678416028502</v>
      </c>
      <c r="Q328">
        <f t="shared" ca="1" si="132"/>
        <v>52430.678416030329</v>
      </c>
      <c r="R328">
        <f t="shared" ca="1" si="133"/>
        <v>2.2564100407536755E-12</v>
      </c>
      <c r="S328">
        <f t="shared" ca="1" si="152"/>
        <v>1.4363789283379447E-2</v>
      </c>
      <c r="T328">
        <f t="shared" ca="1" si="153"/>
        <v>0</v>
      </c>
      <c r="U328">
        <f t="shared" ca="1" si="134"/>
        <v>51800.26683766341</v>
      </c>
      <c r="V328">
        <f t="shared" ca="1" si="135"/>
        <v>269361.38755584974</v>
      </c>
      <c r="W328">
        <f t="shared" ca="1" si="136"/>
        <v>2.5998695052916441</v>
      </c>
      <c r="X328">
        <f t="shared" ca="1" si="137"/>
        <v>1.8933671400629237E-4</v>
      </c>
      <c r="Y328">
        <f t="shared" ca="1" si="138"/>
        <v>52432.739837663408</v>
      </c>
      <c r="Z328">
        <f t="shared" ca="1" si="139"/>
        <v>52432.739837665235</v>
      </c>
      <c r="AA328">
        <f t="shared" ca="1" si="140"/>
        <v>2.2562304480281055E-12</v>
      </c>
      <c r="AB328">
        <f t="shared" ca="1" si="141"/>
        <v>-4.999999946448952E-4</v>
      </c>
      <c r="AC328">
        <f t="shared" ca="1" si="142"/>
        <v>1</v>
      </c>
      <c r="AD328">
        <f ca="1">IF(V32="Supercritical",L328,IF(V32="Subcritical",U328,IF(AND(T328=1,AC328=1),IF((((F328)*(L328)^2)/2+(G328)*(L328)^3/3+(ABS(K328)^2)/($I$5*MAX(((F328)+(G328)*(L328))*(L328),0.000001)))&gt;=(((F328)*(U328)^2)/2+(G328)*(U328)^3/3+(ABS(K328)^2)/($I$5*MAX(((F328)+(G328)*(U328))*(U328),0.000001))),L328,U328),IF(T328=1,L328,IF(AC328=1,U328,MAX($D$16,POWER((ABS(K328)^2)/($I$5*MAX(F328,0.1)^2),1/3)))))))</f>
        <v>51800.26683766341</v>
      </c>
      <c r="AE328">
        <f t="shared" ca="1" si="143"/>
        <v>52432.739837663408</v>
      </c>
      <c r="AF328">
        <f t="shared" ca="1" si="144"/>
        <v>52432.739837665235</v>
      </c>
      <c r="AI328">
        <v>0</v>
      </c>
      <c r="AJ328">
        <v>0</v>
      </c>
      <c r="AK328">
        <f t="shared" si="145"/>
        <v>0</v>
      </c>
      <c r="AL328">
        <f t="shared" si="154"/>
        <v>0</v>
      </c>
      <c r="AM328">
        <f t="shared" ca="1" si="146"/>
        <v>2.6560383008097266E-7</v>
      </c>
      <c r="AN328" t="str">
        <f t="shared" ca="1" si="147"/>
        <v>Subcritical</v>
      </c>
      <c r="AO328">
        <f t="shared" ca="1" si="148"/>
        <v>2.2562304480281055E-12</v>
      </c>
    </row>
    <row r="329" spans="1:41" x14ac:dyDescent="0.35">
      <c r="A329">
        <v>180</v>
      </c>
      <c r="B329">
        <v>178.94900000000001</v>
      </c>
      <c r="C329">
        <v>616404.91899999999</v>
      </c>
      <c r="D329">
        <v>3097692.2050000001</v>
      </c>
      <c r="E329">
        <v>632.47249999999997</v>
      </c>
      <c r="F329">
        <v>5.2</v>
      </c>
      <c r="G329">
        <v>0</v>
      </c>
      <c r="H329" t="s">
        <v>186</v>
      </c>
      <c r="I329">
        <v>3.0000000000000001E-3</v>
      </c>
      <c r="J329">
        <f t="shared" si="149"/>
        <v>1</v>
      </c>
      <c r="K329">
        <f t="shared" si="150"/>
        <v>51</v>
      </c>
      <c r="L329">
        <f t="shared" ca="1" si="151"/>
        <v>51798.205416028504</v>
      </c>
      <c r="M329">
        <f t="shared" ca="1" si="128"/>
        <v>269350.66816334822</v>
      </c>
      <c r="N329">
        <f t="shared" ca="1" si="129"/>
        <v>2.5998695000985852</v>
      </c>
      <c r="O329">
        <f t="shared" ca="1" si="130"/>
        <v>1.8934424907040125E-4</v>
      </c>
      <c r="P329">
        <f t="shared" ca="1" si="131"/>
        <v>52430.677916028508</v>
      </c>
      <c r="Q329">
        <f t="shared" ca="1" si="132"/>
        <v>52430.677916030334</v>
      </c>
      <c r="R329">
        <f t="shared" ca="1" si="133"/>
        <v>2.2564100407536755E-12</v>
      </c>
      <c r="S329">
        <f t="shared" ca="1" si="152"/>
        <v>4.999999946448952E-4</v>
      </c>
      <c r="T329">
        <f t="shared" ca="1" si="153"/>
        <v>1</v>
      </c>
      <c r="U329">
        <f t="shared" ca="1" si="134"/>
        <v>51800.26683766341</v>
      </c>
      <c r="V329">
        <f t="shared" ca="1" si="135"/>
        <v>269361.38755584974</v>
      </c>
      <c r="W329">
        <f t="shared" ca="1" si="136"/>
        <v>2.5998695052916441</v>
      </c>
      <c r="X329">
        <f t="shared" ca="1" si="137"/>
        <v>1.8933671400629237E-4</v>
      </c>
      <c r="Y329">
        <f t="shared" ca="1" si="138"/>
        <v>52432.739337663414</v>
      </c>
      <c r="Z329">
        <f t="shared" ca="1" si="139"/>
        <v>52432.73933766524</v>
      </c>
      <c r="AA329">
        <f t="shared" ca="1" si="140"/>
        <v>2.2562304480281055E-12</v>
      </c>
      <c r="AB329">
        <f t="shared" ca="1" si="141"/>
        <v>-5.0000000192085281E-4</v>
      </c>
      <c r="AC329">
        <f t="shared" ca="1" si="142"/>
        <v>1</v>
      </c>
      <c r="AD329">
        <f ca="1">IF(V32="Supercritical",L329,IF(V32="Subcritical",U329,IF(AND(T329=1,AC329=1),IF((((F329)*(L329)^2)/2+(G329)*(L329)^3/3+(ABS(K329)^2)/($I$5*MAX(((F329)+(G329)*(L329))*(L329),0.000001)))&gt;=(((F329)*(U329)^2)/2+(G329)*(U329)^3/3+(ABS(K329)^2)/($I$5*MAX(((F329)+(G329)*(U329))*(U329),0.000001))),L329,U329),IF(T329=1,L329,IF(AC329=1,U329,MAX($D$16,POWER((ABS(K329)^2)/($I$5*MAX(F329,0.1)^2),1/3)))))))</f>
        <v>51800.26683766341</v>
      </c>
      <c r="AE329">
        <f t="shared" ca="1" si="143"/>
        <v>52432.739337663414</v>
      </c>
      <c r="AF329">
        <f t="shared" ca="1" si="144"/>
        <v>52432.73933766524</v>
      </c>
      <c r="AI329">
        <v>0</v>
      </c>
      <c r="AJ329">
        <v>0</v>
      </c>
      <c r="AK329">
        <f t="shared" si="145"/>
        <v>0</v>
      </c>
      <c r="AL329">
        <f t="shared" si="154"/>
        <v>0</v>
      </c>
      <c r="AM329">
        <f t="shared" ca="1" si="146"/>
        <v>2.6560383008097266E-7</v>
      </c>
      <c r="AN329" t="str">
        <f t="shared" ca="1" si="147"/>
        <v>Subcritical</v>
      </c>
      <c r="AO329">
        <f t="shared" ca="1" si="148"/>
        <v>2.2562304480281055E-12</v>
      </c>
    </row>
    <row r="330" spans="1:41" x14ac:dyDescent="0.35">
      <c r="A330">
        <v>181</v>
      </c>
      <c r="B330">
        <v>179.94800000000001</v>
      </c>
      <c r="C330">
        <v>616403.92099999997</v>
      </c>
      <c r="D330">
        <v>3097692.1570000001</v>
      </c>
      <c r="E330">
        <v>632.47199999999998</v>
      </c>
      <c r="F330">
        <v>5.2</v>
      </c>
      <c r="G330">
        <v>0</v>
      </c>
      <c r="H330" t="s">
        <v>186</v>
      </c>
      <c r="I330">
        <v>0.06</v>
      </c>
      <c r="J330">
        <f t="shared" si="149"/>
        <v>0.99899999999999523</v>
      </c>
      <c r="K330">
        <f t="shared" si="150"/>
        <v>51</v>
      </c>
      <c r="L330">
        <f t="shared" ca="1" si="151"/>
        <v>51798.191771496138</v>
      </c>
      <c r="M330">
        <f t="shared" ca="1" si="128"/>
        <v>269350.59721177991</v>
      </c>
      <c r="N330">
        <f t="shared" ca="1" si="129"/>
        <v>2.5998695000642109</v>
      </c>
      <c r="O330">
        <f t="shared" ca="1" si="130"/>
        <v>1.8934429894692487E-4</v>
      </c>
      <c r="P330">
        <f t="shared" ca="1" si="131"/>
        <v>52430.66377149614</v>
      </c>
      <c r="Q330">
        <f t="shared" ca="1" si="132"/>
        <v>52430.663771497966</v>
      </c>
      <c r="R330">
        <f t="shared" ca="1" si="133"/>
        <v>2.2564112295478418E-12</v>
      </c>
      <c r="S330">
        <f t="shared" ca="1" si="152"/>
        <v>1.4144532367936336E-2</v>
      </c>
      <c r="T330">
        <f t="shared" ca="1" si="153"/>
        <v>0</v>
      </c>
      <c r="U330">
        <f t="shared" ca="1" si="134"/>
        <v>51800.26683766341</v>
      </c>
      <c r="V330">
        <f t="shared" ca="1" si="135"/>
        <v>269361.38755584974</v>
      </c>
      <c r="W330">
        <f t="shared" ca="1" si="136"/>
        <v>2.5998695052916441</v>
      </c>
      <c r="X330">
        <f t="shared" ca="1" si="137"/>
        <v>1.8933671400629237E-4</v>
      </c>
      <c r="Y330">
        <f t="shared" ca="1" si="138"/>
        <v>52432.738837663412</v>
      </c>
      <c r="Z330">
        <f t="shared" ca="1" si="139"/>
        <v>52432.738837665238</v>
      </c>
      <c r="AA330">
        <f t="shared" ca="1" si="140"/>
        <v>2.2562304480281055E-12</v>
      </c>
      <c r="AB330">
        <f t="shared" ca="1" si="141"/>
        <v>-5.0000000192085281E-4</v>
      </c>
      <c r="AC330">
        <f t="shared" ca="1" si="142"/>
        <v>1</v>
      </c>
      <c r="AD330">
        <f ca="1">IF(V32="Supercritical",L330,IF(V32="Subcritical",U330,IF(AND(T330=1,AC330=1),IF((((F330)*(L330)^2)/2+(G330)*(L330)^3/3+(ABS(K330)^2)/($I$5*MAX(((F330)+(G330)*(L330))*(L330),0.000001)))&gt;=(((F330)*(U330)^2)/2+(G330)*(U330)^3/3+(ABS(K330)^2)/($I$5*MAX(((F330)+(G330)*(U330))*(U330),0.000001))),L330,U330),IF(T330=1,L330,IF(AC330=1,U330,MAX($D$16,POWER((ABS(K330)^2)/($I$5*MAX(F330,0.1)^2),1/3)))))))</f>
        <v>51800.26683766341</v>
      </c>
      <c r="AE330">
        <f t="shared" ca="1" si="143"/>
        <v>52432.738837663412</v>
      </c>
      <c r="AF330">
        <f t="shared" ca="1" si="144"/>
        <v>52432.738837665238</v>
      </c>
      <c r="AI330">
        <v>0</v>
      </c>
      <c r="AJ330">
        <v>0</v>
      </c>
      <c r="AK330">
        <f t="shared" si="145"/>
        <v>0</v>
      </c>
      <c r="AL330">
        <f t="shared" si="154"/>
        <v>0</v>
      </c>
      <c r="AM330">
        <f t="shared" ca="1" si="146"/>
        <v>2.6560383008097266E-7</v>
      </c>
      <c r="AN330" t="str">
        <f t="shared" ca="1" si="147"/>
        <v>Subcritical</v>
      </c>
      <c r="AO330">
        <f t="shared" ca="1" si="148"/>
        <v>2.2562304480281055E-12</v>
      </c>
    </row>
    <row r="331" spans="1:41" x14ac:dyDescent="0.35">
      <c r="A331">
        <v>182</v>
      </c>
      <c r="B331">
        <v>180.94800000000001</v>
      </c>
      <c r="C331">
        <v>616402.92200000002</v>
      </c>
      <c r="D331">
        <v>3097692.11</v>
      </c>
      <c r="E331">
        <v>632.47149999999999</v>
      </c>
      <c r="F331">
        <v>5.2</v>
      </c>
      <c r="G331">
        <v>0</v>
      </c>
      <c r="H331" t="s">
        <v>186</v>
      </c>
      <c r="I331">
        <v>5.7000000000000002E-2</v>
      </c>
      <c r="J331">
        <f t="shared" si="149"/>
        <v>1</v>
      </c>
      <c r="K331">
        <f t="shared" si="150"/>
        <v>51</v>
      </c>
      <c r="L331">
        <f t="shared" ca="1" si="151"/>
        <v>51798.191771496138</v>
      </c>
      <c r="M331">
        <f t="shared" ca="1" si="128"/>
        <v>269350.59721177991</v>
      </c>
      <c r="N331">
        <f t="shared" ca="1" si="129"/>
        <v>2.5998695000642109</v>
      </c>
      <c r="O331">
        <f t="shared" ca="1" si="130"/>
        <v>1.8934429894692487E-4</v>
      </c>
      <c r="P331">
        <f t="shared" ca="1" si="131"/>
        <v>52430.663271496138</v>
      </c>
      <c r="Q331">
        <f t="shared" ca="1" si="132"/>
        <v>52430.663271497964</v>
      </c>
      <c r="R331">
        <f t="shared" ca="1" si="133"/>
        <v>2.2564112295478418E-12</v>
      </c>
      <c r="S331">
        <f t="shared" ca="1" si="152"/>
        <v>5.0000000192085281E-4</v>
      </c>
      <c r="T331">
        <f t="shared" ca="1" si="153"/>
        <v>1</v>
      </c>
      <c r="U331">
        <f t="shared" ca="1" si="134"/>
        <v>51800.26683766341</v>
      </c>
      <c r="V331">
        <f t="shared" ca="1" si="135"/>
        <v>269361.38755584974</v>
      </c>
      <c r="W331">
        <f t="shared" ca="1" si="136"/>
        <v>2.5998695052916441</v>
      </c>
      <c r="X331">
        <f t="shared" ca="1" si="137"/>
        <v>1.8933671400629237E-4</v>
      </c>
      <c r="Y331">
        <f t="shared" ca="1" si="138"/>
        <v>52432.73833766341</v>
      </c>
      <c r="Z331">
        <f t="shared" ca="1" si="139"/>
        <v>52432.738337665236</v>
      </c>
      <c r="AA331">
        <f t="shared" ca="1" si="140"/>
        <v>2.2562304480281055E-12</v>
      </c>
      <c r="AB331">
        <f t="shared" ca="1" si="141"/>
        <v>-5.0000000192085281E-4</v>
      </c>
      <c r="AC331">
        <f t="shared" ca="1" si="142"/>
        <v>1</v>
      </c>
      <c r="AD331">
        <f ca="1">IF(V32="Supercritical",L331,IF(V32="Subcritical",U331,IF(AND(T331=1,AC331=1),IF((((F331)*(L331)^2)/2+(G331)*(L331)^3/3+(ABS(K331)^2)/($I$5*MAX(((F331)+(G331)*(L331))*(L331),0.000001)))&gt;=(((F331)*(U331)^2)/2+(G331)*(U331)^3/3+(ABS(K331)^2)/($I$5*MAX(((F331)+(G331)*(U331))*(U331),0.000001))),L331,U331),IF(T331=1,L331,IF(AC331=1,U331,MAX($D$16,POWER((ABS(K331)^2)/($I$5*MAX(F331,0.1)^2),1/3)))))))</f>
        <v>51800.26683766341</v>
      </c>
      <c r="AE331">
        <f t="shared" ca="1" si="143"/>
        <v>52432.73833766341</v>
      </c>
      <c r="AF331">
        <f t="shared" ca="1" si="144"/>
        <v>52432.738337665236</v>
      </c>
      <c r="AI331">
        <v>0</v>
      </c>
      <c r="AJ331">
        <v>0</v>
      </c>
      <c r="AK331">
        <f t="shared" si="145"/>
        <v>0</v>
      </c>
      <c r="AL331">
        <f t="shared" si="154"/>
        <v>0</v>
      </c>
      <c r="AM331">
        <f t="shared" ca="1" si="146"/>
        <v>2.6560383008097266E-7</v>
      </c>
      <c r="AN331" t="str">
        <f t="shared" ca="1" si="147"/>
        <v>Subcritical</v>
      </c>
      <c r="AO331">
        <f t="shared" ca="1" si="148"/>
        <v>2.2562304480281055E-12</v>
      </c>
    </row>
    <row r="332" spans="1:41" x14ac:dyDescent="0.35">
      <c r="A332">
        <v>183</v>
      </c>
      <c r="B332">
        <v>181.94800000000001</v>
      </c>
      <c r="C332">
        <v>616401.92299999995</v>
      </c>
      <c r="D332">
        <v>3097692.0619999999</v>
      </c>
      <c r="E332">
        <v>632.471</v>
      </c>
      <c r="F332">
        <v>5.2</v>
      </c>
      <c r="G332">
        <v>0</v>
      </c>
      <c r="H332" t="s">
        <v>186</v>
      </c>
      <c r="I332">
        <v>0</v>
      </c>
      <c r="J332">
        <f t="shared" si="149"/>
        <v>1</v>
      </c>
      <c r="K332">
        <f t="shared" si="150"/>
        <v>51</v>
      </c>
      <c r="L332">
        <f t="shared" ca="1" si="151"/>
        <v>51798.178350109971</v>
      </c>
      <c r="M332">
        <f t="shared" ca="1" si="128"/>
        <v>269350.52742057183</v>
      </c>
      <c r="N332">
        <f t="shared" ca="1" si="129"/>
        <v>2.5998695000303989</v>
      </c>
      <c r="O332">
        <f t="shared" ca="1" si="130"/>
        <v>1.8934434800778059E-4</v>
      </c>
      <c r="P332">
        <f t="shared" ca="1" si="131"/>
        <v>52430.649350109969</v>
      </c>
      <c r="Q332">
        <f t="shared" ca="1" si="132"/>
        <v>52430.649350111795</v>
      </c>
      <c r="R332">
        <f t="shared" ca="1" si="133"/>
        <v>2.2564123989010779E-12</v>
      </c>
      <c r="S332">
        <f t="shared" ca="1" si="152"/>
        <v>1.3921386169386096E-2</v>
      </c>
      <c r="T332">
        <f t="shared" ca="1" si="153"/>
        <v>0</v>
      </c>
      <c r="U332">
        <f t="shared" ca="1" si="134"/>
        <v>51800.26683766341</v>
      </c>
      <c r="V332">
        <f t="shared" ca="1" si="135"/>
        <v>269361.38755584974</v>
      </c>
      <c r="W332">
        <f t="shared" ca="1" si="136"/>
        <v>2.5998695052916441</v>
      </c>
      <c r="X332">
        <f t="shared" ca="1" si="137"/>
        <v>1.8933671400629237E-4</v>
      </c>
      <c r="Y332">
        <f t="shared" ca="1" si="138"/>
        <v>52432.737837663408</v>
      </c>
      <c r="Z332">
        <f t="shared" ca="1" si="139"/>
        <v>52432.737837665234</v>
      </c>
      <c r="AA332">
        <f t="shared" ca="1" si="140"/>
        <v>2.2562304480281055E-12</v>
      </c>
      <c r="AB332">
        <f t="shared" ca="1" si="141"/>
        <v>-4.999999946448952E-4</v>
      </c>
      <c r="AC332">
        <f t="shared" ca="1" si="142"/>
        <v>1</v>
      </c>
      <c r="AD332">
        <f ca="1">IF(V32="Supercritical",L332,IF(V32="Subcritical",U332,IF(AND(T332=1,AC332=1),IF((((F332)*(L332)^2)/2+(G332)*(L332)^3/3+(ABS(K332)^2)/($I$5*MAX(((F332)+(G332)*(L332))*(L332),0.000001)))&gt;=(((F332)*(U332)^2)/2+(G332)*(U332)^3/3+(ABS(K332)^2)/($I$5*MAX(((F332)+(G332)*(U332))*(U332),0.000001))),L332,U332),IF(T332=1,L332,IF(AC332=1,U332,MAX($D$16,POWER((ABS(K332)^2)/($I$5*MAX(F332,0.1)^2),1/3)))))))</f>
        <v>51800.26683766341</v>
      </c>
      <c r="AE332">
        <f t="shared" ca="1" si="143"/>
        <v>52432.737837663408</v>
      </c>
      <c r="AF332">
        <f t="shared" ca="1" si="144"/>
        <v>52432.737837665234</v>
      </c>
      <c r="AI332">
        <v>0</v>
      </c>
      <c r="AJ332">
        <v>0</v>
      </c>
      <c r="AK332">
        <f t="shared" si="145"/>
        <v>0</v>
      </c>
      <c r="AL332">
        <f t="shared" si="154"/>
        <v>0</v>
      </c>
      <c r="AM332">
        <f t="shared" ca="1" si="146"/>
        <v>2.6560383008097266E-7</v>
      </c>
      <c r="AN332" t="str">
        <f t="shared" ca="1" si="147"/>
        <v>Subcritical</v>
      </c>
      <c r="AO332">
        <f t="shared" ca="1" si="148"/>
        <v>2.2562304480281055E-12</v>
      </c>
    </row>
    <row r="333" spans="1:41" x14ac:dyDescent="0.35">
      <c r="A333">
        <v>184</v>
      </c>
      <c r="B333">
        <v>182.94800000000001</v>
      </c>
      <c r="C333">
        <v>616400.924</v>
      </c>
      <c r="D333">
        <v>3097692.014</v>
      </c>
      <c r="E333">
        <v>632.47050000000002</v>
      </c>
      <c r="F333">
        <v>5.2</v>
      </c>
      <c r="G333">
        <v>0</v>
      </c>
      <c r="H333" t="s">
        <v>186</v>
      </c>
      <c r="I333">
        <v>5.7000000000000002E-2</v>
      </c>
      <c r="J333">
        <f t="shared" si="149"/>
        <v>1</v>
      </c>
      <c r="K333">
        <f t="shared" si="150"/>
        <v>51</v>
      </c>
      <c r="L333">
        <f t="shared" ca="1" si="151"/>
        <v>51798.178350109971</v>
      </c>
      <c r="M333">
        <f t="shared" ca="1" si="128"/>
        <v>269350.52742057183</v>
      </c>
      <c r="N333">
        <f t="shared" ca="1" si="129"/>
        <v>2.5998695000303989</v>
      </c>
      <c r="O333">
        <f t="shared" ca="1" si="130"/>
        <v>1.8934434800778059E-4</v>
      </c>
      <c r="P333">
        <f t="shared" ca="1" si="131"/>
        <v>52430.648850109974</v>
      </c>
      <c r="Q333">
        <f t="shared" ca="1" si="132"/>
        <v>52430.6488501118</v>
      </c>
      <c r="R333">
        <f t="shared" ca="1" si="133"/>
        <v>2.2564123989010779E-12</v>
      </c>
      <c r="S333">
        <f t="shared" ca="1" si="152"/>
        <v>4.999999946448952E-4</v>
      </c>
      <c r="T333">
        <f t="shared" ca="1" si="153"/>
        <v>1</v>
      </c>
      <c r="U333">
        <f t="shared" ca="1" si="134"/>
        <v>51800.26683766341</v>
      </c>
      <c r="V333">
        <f t="shared" ca="1" si="135"/>
        <v>269361.38755584974</v>
      </c>
      <c r="W333">
        <f t="shared" ca="1" si="136"/>
        <v>2.5998695052916441</v>
      </c>
      <c r="X333">
        <f t="shared" ca="1" si="137"/>
        <v>1.8933671400629237E-4</v>
      </c>
      <c r="Y333">
        <f t="shared" ca="1" si="138"/>
        <v>52432.737337663413</v>
      </c>
      <c r="Z333">
        <f t="shared" ca="1" si="139"/>
        <v>52432.737337665239</v>
      </c>
      <c r="AA333">
        <f t="shared" ca="1" si="140"/>
        <v>2.2562304480281055E-12</v>
      </c>
      <c r="AB333">
        <f t="shared" ca="1" si="141"/>
        <v>-5.0000000192085281E-4</v>
      </c>
      <c r="AC333">
        <f t="shared" ca="1" si="142"/>
        <v>1</v>
      </c>
      <c r="AD333">
        <f ca="1">IF(V32="Supercritical",L333,IF(V32="Subcritical",U333,IF(AND(T333=1,AC333=1),IF((((F333)*(L333)^2)/2+(G333)*(L333)^3/3+(ABS(K333)^2)/($I$5*MAX(((F333)+(G333)*(L333))*(L333),0.000001)))&gt;=(((F333)*(U333)^2)/2+(G333)*(U333)^3/3+(ABS(K333)^2)/($I$5*MAX(((F333)+(G333)*(U333))*(U333),0.000001))),L333,U333),IF(T333=1,L333,IF(AC333=1,U333,MAX($D$16,POWER((ABS(K333)^2)/($I$5*MAX(F333,0.1)^2),1/3)))))))</f>
        <v>51800.26683766341</v>
      </c>
      <c r="AE333">
        <f t="shared" ca="1" si="143"/>
        <v>52432.737337663413</v>
      </c>
      <c r="AF333">
        <f t="shared" ca="1" si="144"/>
        <v>52432.737337665239</v>
      </c>
      <c r="AI333">
        <v>0</v>
      </c>
      <c r="AJ333">
        <v>0</v>
      </c>
      <c r="AK333">
        <f t="shared" si="145"/>
        <v>0</v>
      </c>
      <c r="AL333">
        <f t="shared" si="154"/>
        <v>0</v>
      </c>
      <c r="AM333">
        <f t="shared" ca="1" si="146"/>
        <v>2.6560383008097266E-7</v>
      </c>
      <c r="AN333" t="str">
        <f t="shared" ca="1" si="147"/>
        <v>Subcritical</v>
      </c>
      <c r="AO333">
        <f t="shared" ca="1" si="148"/>
        <v>2.2562304480281055E-12</v>
      </c>
    </row>
    <row r="334" spans="1:41" x14ac:dyDescent="0.35">
      <c r="A334">
        <v>185</v>
      </c>
      <c r="B334">
        <v>183.94800000000001</v>
      </c>
      <c r="C334">
        <v>616399.92500000005</v>
      </c>
      <c r="D334">
        <v>3097691.9670000002</v>
      </c>
      <c r="E334">
        <v>632.47</v>
      </c>
      <c r="F334">
        <v>5.2</v>
      </c>
      <c r="G334">
        <v>0</v>
      </c>
      <c r="H334" t="s">
        <v>186</v>
      </c>
      <c r="I334">
        <v>5.7000000000000002E-2</v>
      </c>
      <c r="J334">
        <f t="shared" si="149"/>
        <v>1</v>
      </c>
      <c r="K334">
        <f t="shared" si="150"/>
        <v>51</v>
      </c>
      <c r="L334">
        <f t="shared" ca="1" si="151"/>
        <v>51798.165130863294</v>
      </c>
      <c r="M334">
        <f t="shared" ca="1" si="128"/>
        <v>269350.45868048916</v>
      </c>
      <c r="N334">
        <f t="shared" ca="1" si="129"/>
        <v>2.5998694999970966</v>
      </c>
      <c r="O334">
        <f t="shared" ca="1" si="130"/>
        <v>1.8934439632975562E-4</v>
      </c>
      <c r="P334">
        <f t="shared" ca="1" si="131"/>
        <v>52430.635130863295</v>
      </c>
      <c r="Q334">
        <f t="shared" ca="1" si="132"/>
        <v>52430.635130865121</v>
      </c>
      <c r="R334">
        <f t="shared" ca="1" si="133"/>
        <v>2.2564135506435733E-12</v>
      </c>
      <c r="S334">
        <f t="shared" ca="1" si="152"/>
        <v>1.3719246679102071E-2</v>
      </c>
      <c r="T334">
        <f t="shared" ca="1" si="153"/>
        <v>0</v>
      </c>
      <c r="U334">
        <f t="shared" ca="1" si="134"/>
        <v>51800.26683766341</v>
      </c>
      <c r="V334">
        <f t="shared" ca="1" si="135"/>
        <v>269361.38755584974</v>
      </c>
      <c r="W334">
        <f t="shared" ca="1" si="136"/>
        <v>2.5998695052916441</v>
      </c>
      <c r="X334">
        <f t="shared" ca="1" si="137"/>
        <v>1.8933671400629237E-4</v>
      </c>
      <c r="Y334">
        <f t="shared" ca="1" si="138"/>
        <v>52432.736837663411</v>
      </c>
      <c r="Z334">
        <f t="shared" ca="1" si="139"/>
        <v>52432.736837665238</v>
      </c>
      <c r="AA334">
        <f t="shared" ca="1" si="140"/>
        <v>2.2562304480281055E-12</v>
      </c>
      <c r="AB334">
        <f t="shared" ca="1" si="141"/>
        <v>-5.0000000192085281E-4</v>
      </c>
      <c r="AC334">
        <f t="shared" ca="1" si="142"/>
        <v>1</v>
      </c>
      <c r="AD334">
        <f ca="1">IF(V32="Supercritical",L334,IF(V32="Subcritical",U334,IF(AND(T334=1,AC334=1),IF((((F334)*(L334)^2)/2+(G334)*(L334)^3/3+(ABS(K334)^2)/($I$5*MAX(((F334)+(G334)*(L334))*(L334),0.000001)))&gt;=(((F334)*(U334)^2)/2+(G334)*(U334)^3/3+(ABS(K334)^2)/($I$5*MAX(((F334)+(G334)*(U334))*(U334),0.000001))),L334,U334),IF(T334=1,L334,IF(AC334=1,U334,MAX($D$16,POWER((ABS(K334)^2)/($I$5*MAX(F334,0.1)^2),1/3)))))))</f>
        <v>51800.26683766341</v>
      </c>
      <c r="AE334">
        <f t="shared" ca="1" si="143"/>
        <v>52432.736837663411</v>
      </c>
      <c r="AF334">
        <f t="shared" ca="1" si="144"/>
        <v>52432.736837665238</v>
      </c>
      <c r="AI334">
        <v>0</v>
      </c>
      <c r="AJ334">
        <v>0</v>
      </c>
      <c r="AK334">
        <f t="shared" si="145"/>
        <v>0</v>
      </c>
      <c r="AL334">
        <f t="shared" si="154"/>
        <v>0</v>
      </c>
      <c r="AM334">
        <f t="shared" ca="1" si="146"/>
        <v>2.6560383008097266E-7</v>
      </c>
      <c r="AN334" t="str">
        <f t="shared" ca="1" si="147"/>
        <v>Subcritical</v>
      </c>
      <c r="AO334">
        <f t="shared" ca="1" si="148"/>
        <v>2.2562304480281055E-12</v>
      </c>
    </row>
    <row r="335" spans="1:41" x14ac:dyDescent="0.35">
      <c r="A335">
        <v>186</v>
      </c>
      <c r="B335">
        <v>184.94800000000001</v>
      </c>
      <c r="C335">
        <v>616398.92599999998</v>
      </c>
      <c r="D335">
        <v>3097691.9190000002</v>
      </c>
      <c r="E335">
        <v>632.46950000000004</v>
      </c>
      <c r="F335">
        <v>5.2</v>
      </c>
      <c r="G335">
        <v>0</v>
      </c>
      <c r="H335" t="s">
        <v>186</v>
      </c>
      <c r="I335">
        <v>5.7000000000000002E-2</v>
      </c>
      <c r="J335">
        <f t="shared" si="149"/>
        <v>1</v>
      </c>
      <c r="K335">
        <f t="shared" si="150"/>
        <v>51</v>
      </c>
      <c r="L335">
        <f t="shared" ca="1" si="151"/>
        <v>51798.165130863294</v>
      </c>
      <c r="M335">
        <f t="shared" ca="1" si="128"/>
        <v>269350.45868048916</v>
      </c>
      <c r="N335">
        <f t="shared" ca="1" si="129"/>
        <v>2.5998694999970966</v>
      </c>
      <c r="O335">
        <f t="shared" ca="1" si="130"/>
        <v>1.8934439632975562E-4</v>
      </c>
      <c r="P335">
        <f t="shared" ca="1" si="131"/>
        <v>52430.634630863293</v>
      </c>
      <c r="Q335">
        <f t="shared" ca="1" si="132"/>
        <v>52430.634630865119</v>
      </c>
      <c r="R335">
        <f t="shared" ca="1" si="133"/>
        <v>2.2564135506435733E-12</v>
      </c>
      <c r="S335">
        <f t="shared" ca="1" si="152"/>
        <v>5.0000000192085281E-4</v>
      </c>
      <c r="T335">
        <f t="shared" ca="1" si="153"/>
        <v>1</v>
      </c>
      <c r="U335">
        <f t="shared" ca="1" si="134"/>
        <v>51800.26683766341</v>
      </c>
      <c r="V335">
        <f t="shared" ca="1" si="135"/>
        <v>269361.38755584974</v>
      </c>
      <c r="W335">
        <f t="shared" ca="1" si="136"/>
        <v>2.5998695052916441</v>
      </c>
      <c r="X335">
        <f t="shared" ca="1" si="137"/>
        <v>1.8933671400629237E-4</v>
      </c>
      <c r="Y335">
        <f t="shared" ca="1" si="138"/>
        <v>52432.736337663409</v>
      </c>
      <c r="Z335">
        <f t="shared" ca="1" si="139"/>
        <v>52432.736337665236</v>
      </c>
      <c r="AA335">
        <f t="shared" ca="1" si="140"/>
        <v>2.2562304480281055E-12</v>
      </c>
      <c r="AB335">
        <f t="shared" ca="1" si="141"/>
        <v>-5.0000000192085281E-4</v>
      </c>
      <c r="AC335">
        <f t="shared" ca="1" si="142"/>
        <v>1</v>
      </c>
      <c r="AD335">
        <f ca="1">IF(V32="Supercritical",L335,IF(V32="Subcritical",U335,IF(AND(T335=1,AC335=1),IF((((F335)*(L335)^2)/2+(G335)*(L335)^3/3+(ABS(K335)^2)/($I$5*MAX(((F335)+(G335)*(L335))*(L335),0.000001)))&gt;=(((F335)*(U335)^2)/2+(G335)*(U335)^3/3+(ABS(K335)^2)/($I$5*MAX(((F335)+(G335)*(U335))*(U335),0.000001))),L335,U335),IF(T335=1,L335,IF(AC335=1,U335,MAX($D$16,POWER((ABS(K335)^2)/($I$5*MAX(F335,0.1)^2),1/3)))))))</f>
        <v>51800.26683766341</v>
      </c>
      <c r="AE335">
        <f t="shared" ca="1" si="143"/>
        <v>52432.736337663409</v>
      </c>
      <c r="AF335">
        <f t="shared" ca="1" si="144"/>
        <v>52432.736337665236</v>
      </c>
      <c r="AI335">
        <v>0</v>
      </c>
      <c r="AJ335">
        <v>0</v>
      </c>
      <c r="AK335">
        <f t="shared" si="145"/>
        <v>0</v>
      </c>
      <c r="AL335">
        <f t="shared" si="154"/>
        <v>0</v>
      </c>
      <c r="AM335">
        <f t="shared" ca="1" si="146"/>
        <v>2.6560383008097266E-7</v>
      </c>
      <c r="AN335" t="str">
        <f t="shared" ca="1" si="147"/>
        <v>Subcritical</v>
      </c>
      <c r="AO335">
        <f t="shared" ca="1" si="148"/>
        <v>2.2562304480281055E-12</v>
      </c>
    </row>
    <row r="336" spans="1:41" x14ac:dyDescent="0.35">
      <c r="A336">
        <v>187</v>
      </c>
      <c r="B336">
        <v>185.94900000000001</v>
      </c>
      <c r="C336">
        <v>616397.92700000003</v>
      </c>
      <c r="D336">
        <v>3097691.872</v>
      </c>
      <c r="E336">
        <v>632.46900000000005</v>
      </c>
      <c r="F336">
        <v>5.2</v>
      </c>
      <c r="G336">
        <v>0</v>
      </c>
      <c r="H336" t="s">
        <v>186</v>
      </c>
      <c r="I336">
        <v>0.06</v>
      </c>
      <c r="J336">
        <f t="shared" si="149"/>
        <v>1.0010000000000048</v>
      </c>
      <c r="K336">
        <f t="shared" si="150"/>
        <v>51</v>
      </c>
      <c r="L336">
        <f t="shared" ca="1" si="151"/>
        <v>51798.152073593898</v>
      </c>
      <c r="M336">
        <f t="shared" ca="1" si="128"/>
        <v>269350.39078268828</v>
      </c>
      <c r="N336">
        <f t="shared" ca="1" si="129"/>
        <v>2.5998694999642016</v>
      </c>
      <c r="O336">
        <f t="shared" ca="1" si="130"/>
        <v>1.8934444405965895E-4</v>
      </c>
      <c r="P336">
        <f t="shared" ca="1" si="131"/>
        <v>52430.621073593895</v>
      </c>
      <c r="Q336">
        <f t="shared" ca="1" si="132"/>
        <v>52430.621073595721</v>
      </c>
      <c r="R336">
        <f t="shared" ca="1" si="133"/>
        <v>2.2564146882744737E-12</v>
      </c>
      <c r="S336">
        <f t="shared" ca="1" si="152"/>
        <v>1.3557269398006611E-2</v>
      </c>
      <c r="T336">
        <f t="shared" ca="1" si="153"/>
        <v>0</v>
      </c>
      <c r="U336">
        <f t="shared" ca="1" si="134"/>
        <v>51800.26683766341</v>
      </c>
      <c r="V336">
        <f t="shared" ca="1" si="135"/>
        <v>269361.38755584974</v>
      </c>
      <c r="W336">
        <f t="shared" ca="1" si="136"/>
        <v>2.5998695052916441</v>
      </c>
      <c r="X336">
        <f t="shared" ca="1" si="137"/>
        <v>1.8933671400629237E-4</v>
      </c>
      <c r="Y336">
        <f t="shared" ca="1" si="138"/>
        <v>52432.735837663407</v>
      </c>
      <c r="Z336">
        <f t="shared" ca="1" si="139"/>
        <v>52432.735837665234</v>
      </c>
      <c r="AA336">
        <f t="shared" ca="1" si="140"/>
        <v>2.2562304480281055E-12</v>
      </c>
      <c r="AB336">
        <f t="shared" ca="1" si="141"/>
        <v>-4.999999946448952E-4</v>
      </c>
      <c r="AC336">
        <f t="shared" ca="1" si="142"/>
        <v>1</v>
      </c>
      <c r="AD336">
        <f ca="1">IF(V32="Supercritical",L336,IF(V32="Subcritical",U336,IF(AND(T336=1,AC336=1),IF((((F336)*(L336)^2)/2+(G336)*(L336)^3/3+(ABS(K336)^2)/($I$5*MAX(((F336)+(G336)*(L336))*(L336),0.000001)))&gt;=(((F336)*(U336)^2)/2+(G336)*(U336)^3/3+(ABS(K336)^2)/($I$5*MAX(((F336)+(G336)*(U336))*(U336),0.000001))),L336,U336),IF(T336=1,L336,IF(AC336=1,U336,MAX($D$16,POWER((ABS(K336)^2)/($I$5*MAX(F336,0.1)^2),1/3)))))))</f>
        <v>51800.26683766341</v>
      </c>
      <c r="AE336">
        <f t="shared" ca="1" si="143"/>
        <v>52432.735837663407</v>
      </c>
      <c r="AF336">
        <f t="shared" ca="1" si="144"/>
        <v>52432.735837665234</v>
      </c>
      <c r="AI336">
        <v>0</v>
      </c>
      <c r="AJ336">
        <v>0</v>
      </c>
      <c r="AK336">
        <f t="shared" si="145"/>
        <v>0</v>
      </c>
      <c r="AL336">
        <f t="shared" si="154"/>
        <v>0</v>
      </c>
      <c r="AM336">
        <f t="shared" ca="1" si="146"/>
        <v>2.6560383008097266E-7</v>
      </c>
      <c r="AN336" t="str">
        <f t="shared" ca="1" si="147"/>
        <v>Subcritical</v>
      </c>
      <c r="AO336">
        <f t="shared" ca="1" si="148"/>
        <v>2.2562304480281055E-12</v>
      </c>
    </row>
    <row r="337" spans="1:41" x14ac:dyDescent="0.35">
      <c r="A337">
        <v>188</v>
      </c>
      <c r="B337">
        <v>186.94800000000001</v>
      </c>
      <c r="C337">
        <v>616396.929</v>
      </c>
      <c r="D337">
        <v>3097691.824</v>
      </c>
      <c r="E337">
        <v>632.46849999999995</v>
      </c>
      <c r="F337">
        <v>5.2</v>
      </c>
      <c r="G337">
        <v>0</v>
      </c>
      <c r="H337" t="s">
        <v>186</v>
      </c>
      <c r="I337">
        <v>3.0000000000000001E-3</v>
      </c>
      <c r="J337">
        <f t="shared" si="149"/>
        <v>0.99899999999999523</v>
      </c>
      <c r="K337">
        <f t="shared" si="150"/>
        <v>51</v>
      </c>
      <c r="L337">
        <f t="shared" ca="1" si="151"/>
        <v>51798.152073593898</v>
      </c>
      <c r="M337">
        <f t="shared" ca="1" si="128"/>
        <v>269350.39078268828</v>
      </c>
      <c r="N337">
        <f t="shared" ca="1" si="129"/>
        <v>2.5998694999642016</v>
      </c>
      <c r="O337">
        <f t="shared" ca="1" si="130"/>
        <v>1.8934444405965895E-4</v>
      </c>
      <c r="P337">
        <f t="shared" ca="1" si="131"/>
        <v>52430.6205735939</v>
      </c>
      <c r="Q337">
        <f t="shared" ca="1" si="132"/>
        <v>52430.620573595726</v>
      </c>
      <c r="R337">
        <f t="shared" ca="1" si="133"/>
        <v>2.2564146882744737E-12</v>
      </c>
      <c r="S337">
        <f t="shared" ca="1" si="152"/>
        <v>4.999999946448952E-4</v>
      </c>
      <c r="T337">
        <f t="shared" ca="1" si="153"/>
        <v>1</v>
      </c>
      <c r="U337">
        <f t="shared" ca="1" si="134"/>
        <v>51800.26683766341</v>
      </c>
      <c r="V337">
        <f t="shared" ca="1" si="135"/>
        <v>269361.38755584974</v>
      </c>
      <c r="W337">
        <f t="shared" ca="1" si="136"/>
        <v>2.5998695052916441</v>
      </c>
      <c r="X337">
        <f t="shared" ca="1" si="137"/>
        <v>1.8933671400629237E-4</v>
      </c>
      <c r="Y337">
        <f t="shared" ca="1" si="138"/>
        <v>52432.735337663413</v>
      </c>
      <c r="Z337">
        <f t="shared" ca="1" si="139"/>
        <v>52432.735337665239</v>
      </c>
      <c r="AA337">
        <f t="shared" ca="1" si="140"/>
        <v>2.2562304480281055E-12</v>
      </c>
      <c r="AB337">
        <f t="shared" ca="1" si="141"/>
        <v>-5.0000000192085281E-4</v>
      </c>
      <c r="AC337">
        <f t="shared" ca="1" si="142"/>
        <v>1</v>
      </c>
      <c r="AD337">
        <f ca="1">IF(V32="Supercritical",L337,IF(V32="Subcritical",U337,IF(AND(T337=1,AC337=1),IF((((F337)*(L337)^2)/2+(G337)*(L337)^3/3+(ABS(K337)^2)/($I$5*MAX(((F337)+(G337)*(L337))*(L337),0.000001)))&gt;=(((F337)*(U337)^2)/2+(G337)*(U337)^3/3+(ABS(K337)^2)/($I$5*MAX(((F337)+(G337)*(U337))*(U337),0.000001))),L337,U337),IF(T337=1,L337,IF(AC337=1,U337,MAX($D$16,POWER((ABS(K337)^2)/($I$5*MAX(F337,0.1)^2),1/3)))))))</f>
        <v>51800.26683766341</v>
      </c>
      <c r="AE337">
        <f t="shared" ca="1" si="143"/>
        <v>52432.735337663413</v>
      </c>
      <c r="AF337">
        <f t="shared" ca="1" si="144"/>
        <v>52432.735337665239</v>
      </c>
      <c r="AI337">
        <v>0</v>
      </c>
      <c r="AJ337">
        <v>0</v>
      </c>
      <c r="AK337">
        <f t="shared" si="145"/>
        <v>0</v>
      </c>
      <c r="AL337">
        <f t="shared" si="154"/>
        <v>0</v>
      </c>
      <c r="AM337">
        <f t="shared" ca="1" si="146"/>
        <v>2.6560383008097266E-7</v>
      </c>
      <c r="AN337" t="str">
        <f t="shared" ca="1" si="147"/>
        <v>Subcritical</v>
      </c>
      <c r="AO337">
        <f t="shared" ca="1" si="148"/>
        <v>2.2562304480281055E-12</v>
      </c>
    </row>
    <row r="338" spans="1:41" x14ac:dyDescent="0.35">
      <c r="A338">
        <v>189</v>
      </c>
      <c r="B338">
        <v>187.94800000000001</v>
      </c>
      <c r="C338">
        <v>616395.93000000005</v>
      </c>
      <c r="D338">
        <v>3097691.7760000001</v>
      </c>
      <c r="E338">
        <v>632.46799999999996</v>
      </c>
      <c r="F338">
        <v>5.2</v>
      </c>
      <c r="G338">
        <v>0</v>
      </c>
      <c r="H338" t="s">
        <v>186</v>
      </c>
      <c r="I338">
        <v>5.7000000000000002E-2</v>
      </c>
      <c r="J338">
        <f t="shared" si="149"/>
        <v>1</v>
      </c>
      <c r="K338">
        <f t="shared" si="150"/>
        <v>51</v>
      </c>
      <c r="L338">
        <f t="shared" ca="1" si="151"/>
        <v>51798.139126158305</v>
      </c>
      <c r="M338">
        <f t="shared" ca="1" si="128"/>
        <v>269350.32345602318</v>
      </c>
      <c r="N338">
        <f t="shared" ca="1" si="129"/>
        <v>2.5998694999315832</v>
      </c>
      <c r="O338">
        <f t="shared" ca="1" si="130"/>
        <v>1.8934449138809654E-4</v>
      </c>
      <c r="P338">
        <f t="shared" ca="1" si="131"/>
        <v>52430.607126158306</v>
      </c>
      <c r="Q338">
        <f t="shared" ca="1" si="132"/>
        <v>52430.607126160132</v>
      </c>
      <c r="R338">
        <f t="shared" ca="1" si="133"/>
        <v>2.2564158163368161E-12</v>
      </c>
      <c r="S338">
        <f t="shared" ca="1" si="152"/>
        <v>1.3447435594571289E-2</v>
      </c>
      <c r="T338">
        <f t="shared" ca="1" si="153"/>
        <v>0</v>
      </c>
      <c r="U338">
        <f t="shared" ca="1" si="134"/>
        <v>51800.26683766341</v>
      </c>
      <c r="V338">
        <f t="shared" ca="1" si="135"/>
        <v>269361.38755584974</v>
      </c>
      <c r="W338">
        <f t="shared" ca="1" si="136"/>
        <v>2.5998695052916441</v>
      </c>
      <c r="X338">
        <f t="shared" ca="1" si="137"/>
        <v>1.8933671400629237E-4</v>
      </c>
      <c r="Y338">
        <f t="shared" ca="1" si="138"/>
        <v>52432.734837663411</v>
      </c>
      <c r="Z338">
        <f t="shared" ca="1" si="139"/>
        <v>52432.734837665237</v>
      </c>
      <c r="AA338">
        <f t="shared" ca="1" si="140"/>
        <v>2.2562304480281055E-12</v>
      </c>
      <c r="AB338">
        <f t="shared" ca="1" si="141"/>
        <v>-5.0000000192085281E-4</v>
      </c>
      <c r="AC338">
        <f t="shared" ca="1" si="142"/>
        <v>1</v>
      </c>
      <c r="AD338">
        <f ca="1">IF(V32="Supercritical",L338,IF(V32="Subcritical",U338,IF(AND(T338=1,AC338=1),IF((((F338)*(L338)^2)/2+(G338)*(L338)^3/3+(ABS(K338)^2)/($I$5*MAX(((F338)+(G338)*(L338))*(L338),0.000001)))&gt;=(((F338)*(U338)^2)/2+(G338)*(U338)^3/3+(ABS(K338)^2)/($I$5*MAX(((F338)+(G338)*(U338))*(U338),0.000001))),L338,U338),IF(T338=1,L338,IF(AC338=1,U338,MAX($D$16,POWER((ABS(K338)^2)/($I$5*MAX(F338,0.1)^2),1/3)))))))</f>
        <v>51800.26683766341</v>
      </c>
      <c r="AE338">
        <f t="shared" ca="1" si="143"/>
        <v>52432.734837663411</v>
      </c>
      <c r="AF338">
        <f t="shared" ca="1" si="144"/>
        <v>52432.734837665237</v>
      </c>
      <c r="AI338">
        <v>0</v>
      </c>
      <c r="AJ338">
        <v>0</v>
      </c>
      <c r="AK338">
        <f t="shared" si="145"/>
        <v>0</v>
      </c>
      <c r="AL338">
        <f t="shared" si="154"/>
        <v>0</v>
      </c>
      <c r="AM338">
        <f t="shared" ca="1" si="146"/>
        <v>2.6560383008097266E-7</v>
      </c>
      <c r="AN338" t="str">
        <f t="shared" ca="1" si="147"/>
        <v>Subcritical</v>
      </c>
      <c r="AO338">
        <f t="shared" ca="1" si="148"/>
        <v>2.2562304480281055E-12</v>
      </c>
    </row>
    <row r="339" spans="1:41" x14ac:dyDescent="0.35">
      <c r="A339">
        <v>190</v>
      </c>
      <c r="B339">
        <v>188.94800000000001</v>
      </c>
      <c r="C339">
        <v>616394.93099999998</v>
      </c>
      <c r="D339">
        <v>3097691.7289999998</v>
      </c>
      <c r="E339">
        <v>632.46749999999997</v>
      </c>
      <c r="F339">
        <v>5.2</v>
      </c>
      <c r="G339">
        <v>0</v>
      </c>
      <c r="H339" t="s">
        <v>186</v>
      </c>
      <c r="I339">
        <v>5.7000000000000002E-2</v>
      </c>
      <c r="J339">
        <f t="shared" si="149"/>
        <v>1</v>
      </c>
      <c r="K339">
        <f t="shared" si="150"/>
        <v>51</v>
      </c>
      <c r="L339">
        <f t="shared" ca="1" si="151"/>
        <v>51798.139126158305</v>
      </c>
      <c r="M339">
        <f t="shared" ca="1" si="128"/>
        <v>269350.32345602318</v>
      </c>
      <c r="N339">
        <f t="shared" ca="1" si="129"/>
        <v>2.5998694999315832</v>
      </c>
      <c r="O339">
        <f t="shared" ca="1" si="130"/>
        <v>1.8934449138809654E-4</v>
      </c>
      <c r="P339">
        <f t="shared" ca="1" si="131"/>
        <v>52430.606626158304</v>
      </c>
      <c r="Q339">
        <f t="shared" ca="1" si="132"/>
        <v>52430.60662616013</v>
      </c>
      <c r="R339">
        <f t="shared" ca="1" si="133"/>
        <v>2.2564158163368161E-12</v>
      </c>
      <c r="S339">
        <f t="shared" ca="1" si="152"/>
        <v>5.0000000192085281E-4</v>
      </c>
      <c r="T339">
        <f t="shared" ca="1" si="153"/>
        <v>1</v>
      </c>
      <c r="U339">
        <f t="shared" ca="1" si="134"/>
        <v>51800.26683766341</v>
      </c>
      <c r="V339">
        <f t="shared" ca="1" si="135"/>
        <v>269361.38755584974</v>
      </c>
      <c r="W339">
        <f t="shared" ca="1" si="136"/>
        <v>2.5998695052916441</v>
      </c>
      <c r="X339">
        <f t="shared" ca="1" si="137"/>
        <v>1.8933671400629237E-4</v>
      </c>
      <c r="Y339">
        <f t="shared" ca="1" si="138"/>
        <v>52432.734337663409</v>
      </c>
      <c r="Z339">
        <f t="shared" ca="1" si="139"/>
        <v>52432.734337665235</v>
      </c>
      <c r="AA339">
        <f t="shared" ca="1" si="140"/>
        <v>2.2562304480281055E-12</v>
      </c>
      <c r="AB339">
        <f t="shared" ca="1" si="141"/>
        <v>-5.0000000192085281E-4</v>
      </c>
      <c r="AC339">
        <f t="shared" ca="1" si="142"/>
        <v>1</v>
      </c>
      <c r="AD339">
        <f ca="1">IF(V32="Supercritical",L339,IF(V32="Subcritical",U339,IF(AND(T339=1,AC339=1),IF((((F339)*(L339)^2)/2+(G339)*(L339)^3/3+(ABS(K339)^2)/($I$5*MAX(((F339)+(G339)*(L339))*(L339),0.000001)))&gt;=(((F339)*(U339)^2)/2+(G339)*(U339)^3/3+(ABS(K339)^2)/($I$5*MAX(((F339)+(G339)*(U339))*(U339),0.000001))),L339,U339),IF(T339=1,L339,IF(AC339=1,U339,MAX($D$16,POWER((ABS(K339)^2)/($I$5*MAX(F339,0.1)^2),1/3)))))))</f>
        <v>51800.26683766341</v>
      </c>
      <c r="AE339">
        <f t="shared" ca="1" si="143"/>
        <v>52432.734337663409</v>
      </c>
      <c r="AF339">
        <f t="shared" ca="1" si="144"/>
        <v>52432.734337665235</v>
      </c>
      <c r="AI339">
        <v>0</v>
      </c>
      <c r="AJ339">
        <v>0</v>
      </c>
      <c r="AK339">
        <f t="shared" si="145"/>
        <v>0</v>
      </c>
      <c r="AL339">
        <f t="shared" si="154"/>
        <v>0</v>
      </c>
      <c r="AM339">
        <f t="shared" ca="1" si="146"/>
        <v>2.6560383008097266E-7</v>
      </c>
      <c r="AN339" t="str">
        <f t="shared" ca="1" si="147"/>
        <v>Subcritical</v>
      </c>
      <c r="AO339">
        <f t="shared" ca="1" si="148"/>
        <v>2.2562304480281055E-12</v>
      </c>
    </row>
    <row r="340" spans="1:41" x14ac:dyDescent="0.35">
      <c r="A340">
        <v>191</v>
      </c>
      <c r="B340">
        <v>189.94800000000001</v>
      </c>
      <c r="C340">
        <v>616393.93200000003</v>
      </c>
      <c r="D340">
        <v>3097691.6809999999</v>
      </c>
      <c r="E340">
        <v>632.46699999999998</v>
      </c>
      <c r="F340">
        <v>5.2</v>
      </c>
      <c r="G340">
        <v>0</v>
      </c>
      <c r="H340" t="s">
        <v>186</v>
      </c>
      <c r="I340">
        <v>0</v>
      </c>
      <c r="J340">
        <f t="shared" si="149"/>
        <v>1</v>
      </c>
      <c r="K340">
        <f t="shared" si="150"/>
        <v>51</v>
      </c>
      <c r="L340">
        <f t="shared" ca="1" si="151"/>
        <v>51798.126232441777</v>
      </c>
      <c r="M340">
        <f t="shared" ca="1" si="128"/>
        <v>269350.25640869723</v>
      </c>
      <c r="N340">
        <f t="shared" ca="1" si="129"/>
        <v>2.5998694998991003</v>
      </c>
      <c r="O340">
        <f t="shared" ca="1" si="130"/>
        <v>1.8934453852019139E-4</v>
      </c>
      <c r="P340">
        <f t="shared" ca="1" si="131"/>
        <v>52430.593232441774</v>
      </c>
      <c r="Q340">
        <f t="shared" ca="1" si="132"/>
        <v>52430.5932324436</v>
      </c>
      <c r="R340">
        <f t="shared" ca="1" si="133"/>
        <v>2.2564169397196552E-12</v>
      </c>
      <c r="S340">
        <f t="shared" ca="1" si="152"/>
        <v>1.3393716530117672E-2</v>
      </c>
      <c r="T340">
        <f t="shared" ca="1" si="153"/>
        <v>0</v>
      </c>
      <c r="U340">
        <f t="shared" ca="1" si="134"/>
        <v>51800.26683766341</v>
      </c>
      <c r="V340">
        <f t="shared" ca="1" si="135"/>
        <v>269361.38755584974</v>
      </c>
      <c r="W340">
        <f t="shared" ca="1" si="136"/>
        <v>2.5998695052916441</v>
      </c>
      <c r="X340">
        <f t="shared" ca="1" si="137"/>
        <v>1.8933671400629237E-4</v>
      </c>
      <c r="Y340">
        <f t="shared" ca="1" si="138"/>
        <v>52432.733837663407</v>
      </c>
      <c r="Z340">
        <f t="shared" ca="1" si="139"/>
        <v>52432.733837665233</v>
      </c>
      <c r="AA340">
        <f t="shared" ca="1" si="140"/>
        <v>2.2562304480281055E-12</v>
      </c>
      <c r="AB340">
        <f t="shared" ca="1" si="141"/>
        <v>-4.999999946448952E-4</v>
      </c>
      <c r="AC340">
        <f t="shared" ca="1" si="142"/>
        <v>1</v>
      </c>
      <c r="AD340">
        <f ca="1">IF(V32="Supercritical",L340,IF(V32="Subcritical",U340,IF(AND(T340=1,AC340=1),IF((((F340)*(L340)^2)/2+(G340)*(L340)^3/3+(ABS(K340)^2)/($I$5*MAX(((F340)+(G340)*(L340))*(L340),0.000001)))&gt;=(((F340)*(U340)^2)/2+(G340)*(U340)^3/3+(ABS(K340)^2)/($I$5*MAX(((F340)+(G340)*(U340))*(U340),0.000001))),L340,U340),IF(T340=1,L340,IF(AC340=1,U340,MAX($D$16,POWER((ABS(K340)^2)/($I$5*MAX(F340,0.1)^2),1/3)))))))</f>
        <v>51800.26683766341</v>
      </c>
      <c r="AE340">
        <f t="shared" ca="1" si="143"/>
        <v>52432.733837663407</v>
      </c>
      <c r="AF340">
        <f t="shared" ca="1" si="144"/>
        <v>52432.733837665233</v>
      </c>
      <c r="AI340">
        <v>0</v>
      </c>
      <c r="AJ340">
        <v>0</v>
      </c>
      <c r="AK340">
        <f t="shared" si="145"/>
        <v>0</v>
      </c>
      <c r="AL340">
        <f t="shared" si="154"/>
        <v>0</v>
      </c>
      <c r="AM340">
        <f t="shared" ca="1" si="146"/>
        <v>2.6560383008097266E-7</v>
      </c>
      <c r="AN340" t="str">
        <f t="shared" ca="1" si="147"/>
        <v>Subcritical</v>
      </c>
      <c r="AO340">
        <f t="shared" ca="1" si="148"/>
        <v>2.2562304480281055E-12</v>
      </c>
    </row>
    <row r="341" spans="1:41" x14ac:dyDescent="0.35">
      <c r="A341">
        <v>192</v>
      </c>
      <c r="B341">
        <v>190.94800000000001</v>
      </c>
      <c r="C341">
        <v>616392.93299999996</v>
      </c>
      <c r="D341">
        <v>3097691.6329999999</v>
      </c>
      <c r="E341">
        <v>632.4665</v>
      </c>
      <c r="F341">
        <v>5.2</v>
      </c>
      <c r="G341">
        <v>0</v>
      </c>
      <c r="H341" t="s">
        <v>186</v>
      </c>
      <c r="I341">
        <v>5.7000000000000002E-2</v>
      </c>
      <c r="J341">
        <f t="shared" si="149"/>
        <v>1</v>
      </c>
      <c r="K341">
        <f t="shared" si="150"/>
        <v>51</v>
      </c>
      <c r="L341">
        <f t="shared" ca="1" si="151"/>
        <v>51798.126232441777</v>
      </c>
      <c r="M341">
        <f t="shared" ca="1" si="128"/>
        <v>269350.25640869723</v>
      </c>
      <c r="N341">
        <f t="shared" ca="1" si="129"/>
        <v>2.5998694998991003</v>
      </c>
      <c r="O341">
        <f t="shared" ca="1" si="130"/>
        <v>1.8934453852019139E-4</v>
      </c>
      <c r="P341">
        <f t="shared" ca="1" si="131"/>
        <v>52430.592732441779</v>
      </c>
      <c r="Q341">
        <f t="shared" ca="1" si="132"/>
        <v>52430.592732443605</v>
      </c>
      <c r="R341">
        <f t="shared" ca="1" si="133"/>
        <v>2.2564169397196552E-12</v>
      </c>
      <c r="S341">
        <f t="shared" ca="1" si="152"/>
        <v>4.999999946448952E-4</v>
      </c>
      <c r="T341">
        <f t="shared" ca="1" si="153"/>
        <v>1</v>
      </c>
      <c r="U341">
        <f t="shared" ca="1" si="134"/>
        <v>51800.26683766341</v>
      </c>
      <c r="V341">
        <f t="shared" ca="1" si="135"/>
        <v>269361.38755584974</v>
      </c>
      <c r="W341">
        <f t="shared" ca="1" si="136"/>
        <v>2.5998695052916441</v>
      </c>
      <c r="X341">
        <f t="shared" ca="1" si="137"/>
        <v>1.8933671400629237E-4</v>
      </c>
      <c r="Y341">
        <f t="shared" ca="1" si="138"/>
        <v>52432.733337663412</v>
      </c>
      <c r="Z341">
        <f t="shared" ca="1" si="139"/>
        <v>52432.733337665239</v>
      </c>
      <c r="AA341">
        <f t="shared" ca="1" si="140"/>
        <v>2.2562304480281055E-12</v>
      </c>
      <c r="AB341">
        <f t="shared" ca="1" si="141"/>
        <v>-5.0000000192085281E-4</v>
      </c>
      <c r="AC341">
        <f t="shared" ca="1" si="142"/>
        <v>1</v>
      </c>
      <c r="AD341">
        <f ca="1">IF(V32="Supercritical",L341,IF(V32="Subcritical",U341,IF(AND(T341=1,AC341=1),IF((((F341)*(L341)^2)/2+(G341)*(L341)^3/3+(ABS(K341)^2)/($I$5*MAX(((F341)+(G341)*(L341))*(L341),0.000001)))&gt;=(((F341)*(U341)^2)/2+(G341)*(U341)^3/3+(ABS(K341)^2)/($I$5*MAX(((F341)+(G341)*(U341))*(U341),0.000001))),L341,U341),IF(T341=1,L341,IF(AC341=1,U341,MAX($D$16,POWER((ABS(K341)^2)/($I$5*MAX(F341,0.1)^2),1/3)))))))</f>
        <v>51800.26683766341</v>
      </c>
      <c r="AE341">
        <f t="shared" ca="1" si="143"/>
        <v>52432.733337663412</v>
      </c>
      <c r="AF341">
        <f t="shared" ca="1" si="144"/>
        <v>52432.733337665239</v>
      </c>
      <c r="AI341">
        <v>0</v>
      </c>
      <c r="AJ341">
        <v>0</v>
      </c>
      <c r="AK341">
        <f t="shared" si="145"/>
        <v>0</v>
      </c>
      <c r="AL341">
        <f t="shared" si="154"/>
        <v>0</v>
      </c>
      <c r="AM341">
        <f t="shared" ca="1" si="146"/>
        <v>2.6560383008097266E-7</v>
      </c>
      <c r="AN341" t="str">
        <f t="shared" ca="1" si="147"/>
        <v>Subcritical</v>
      </c>
      <c r="AO341">
        <f t="shared" ca="1" si="148"/>
        <v>2.2562304480281055E-12</v>
      </c>
    </row>
    <row r="342" spans="1:41" x14ac:dyDescent="0.35">
      <c r="A342">
        <v>193</v>
      </c>
      <c r="B342">
        <v>191.94800000000001</v>
      </c>
      <c r="C342">
        <v>616391.93400000001</v>
      </c>
      <c r="D342">
        <v>3097691.5860000001</v>
      </c>
      <c r="E342">
        <v>632.46600000000001</v>
      </c>
      <c r="F342">
        <v>5.2</v>
      </c>
      <c r="G342">
        <v>0</v>
      </c>
      <c r="H342" t="s">
        <v>186</v>
      </c>
      <c r="I342">
        <v>5.7000000000000002E-2</v>
      </c>
      <c r="J342">
        <f t="shared" si="149"/>
        <v>1</v>
      </c>
      <c r="K342">
        <f t="shared" si="150"/>
        <v>51</v>
      </c>
      <c r="L342">
        <f t="shared" ca="1" si="151"/>
        <v>51798.113340481148</v>
      </c>
      <c r="M342">
        <f t="shared" ref="M342:M405" ca="1" si="155">((F342)+(G342)*(L342))*(L342)</f>
        <v>269350.18937050196</v>
      </c>
      <c r="N342">
        <f t="shared" ref="N342:N405" ca="1" si="156">(((F342)+(G342)*(L342))*(L342))/MAX((F342)+2*(L342)*SQRT(1+(G342)^2),0.000001)</f>
        <v>2.5998694998666223</v>
      </c>
      <c r="O342">
        <f t="shared" ref="O342:O405" ca="1" si="157">ABS(K342)/MAX(((F342)+(G342)*(L342))*(L342),0.000001)</f>
        <v>1.8934458564589111E-4</v>
      </c>
      <c r="P342">
        <f t="shared" ref="P342:P405" ca="1" si="158">E342+L342</f>
        <v>52430.579340481148</v>
      </c>
      <c r="Q342">
        <f t="shared" ref="Q342:Q405" ca="1" si="159">P342+((ABS(K342)/MAX(((F342)+(G342)*(L342))*(L342),0.000001))^2)/(2*$I$5)</f>
        <v>52430.579340482975</v>
      </c>
      <c r="R342">
        <f t="shared" ref="R342:R405" ca="1" si="160">((ABS(K342)*$D$6)/(MAX(((F342)+(G342)*(L342))*(L342),0.000001)*MAX(((((F342)+(G342)*(L342))*(L342))/MAX((F342)+2*(L342)*SQRT(1+(G342)^2),0.000001))^(2/3),0.000001)))^2</f>
        <v>2.2564180629503468E-12</v>
      </c>
      <c r="S342">
        <f t="shared" ca="1" si="152"/>
        <v>1.3391960630542599E-2</v>
      </c>
      <c r="T342">
        <f t="shared" ca="1" si="153"/>
        <v>0</v>
      </c>
      <c r="U342">
        <f t="shared" ref="U342:U405" ca="1" si="161">IF($D$20=0,U343,IF(AC343=0,U343,IF(U342=0,U343,IF(ABS(AB342)&gt;$D$19,MAX($D$16,U342+((AB342)*$D$18*IF((ABS(ABS(K342)/MAX(((F342)+(G342)*(U342))*(U342),0.000001))/SQRT($I$5*MAX((((F342)+(G342)*(U342))*(U342))/MAX((F342)+2*(G342)*(U342),0.000001),0.000001)))&lt;1,1,-1))),U342))))</f>
        <v>51800.26683766341</v>
      </c>
      <c r="V342">
        <f t="shared" ref="V342:V405" ca="1" si="162">((F342)+(G342)*(U342))*(U342)</f>
        <v>269361.38755584974</v>
      </c>
      <c r="W342">
        <f t="shared" ref="W342:W405" ca="1" si="163">(((F342)+(G342)*(U342))*(U342))/MAX((F342)+2*(U342)*SQRT(1+(G342)^2),0.000001)</f>
        <v>2.5998695052916441</v>
      </c>
      <c r="X342">
        <f t="shared" ref="X342:X405" ca="1" si="164">ABS(K342)/MAX(((F342)+(G342)*(U342))*(U342),0.000001)</f>
        <v>1.8933671400629237E-4</v>
      </c>
      <c r="Y342">
        <f t="shared" ref="Y342:Y405" ca="1" si="165">E342+U342</f>
        <v>52432.73283766341</v>
      </c>
      <c r="Z342">
        <f t="shared" ref="Z342:Z405" ca="1" si="166">Y342+((ABS(K342)/MAX(((F342)+(G342)*(U342))*(U342),0.000001))^2)/(2*$I$5)</f>
        <v>52432.732837665237</v>
      </c>
      <c r="AA342">
        <f t="shared" ref="AA342:AA405" ca="1" si="167">((ABS(K342)*$D$6)/(MAX(((F342)+(G342)*(U342))*(U342),0.000001)*MAX(((((F342)+(G342)*(U342))*(U342))/MAX((F342)+2*(U342)*SQRT(1+(G342)^2),0.000001))^(2/3),0.000001)))^2</f>
        <v>2.2562304480281055E-12</v>
      </c>
      <c r="AB342">
        <f t="shared" ref="AB342:AB405" ca="1" si="168">Z343+(((AA342+AA343)/2)*J343)+(IF(X342&gt;X343,$D$8*((X342^2-X343^2)/(2*$I$5)),$D$9*((X343^2-X342^2)/(2*$I$5)))+($D$10*(ABS(I343)/90)*(MAX(X342^2,X343^2)/(2*$I$5))))-Z342</f>
        <v>-5.0000000192085281E-4</v>
      </c>
      <c r="AC342">
        <f t="shared" ref="AC342:AC405" ca="1" si="169">IF(ABS(AB342)&lt;$D$19,1,0)</f>
        <v>1</v>
      </c>
      <c r="AD342">
        <f ca="1">IF(V32="Supercritical",L342,IF(V32="Subcritical",U342,IF(AND(T342=1,AC342=1),IF((((F342)*(L342)^2)/2+(G342)*(L342)^3/3+(ABS(K342)^2)/($I$5*MAX(((F342)+(G342)*(L342))*(L342),0.000001)))&gt;=(((F342)*(U342)^2)/2+(G342)*(U342)^3/3+(ABS(K342)^2)/($I$5*MAX(((F342)+(G342)*(U342))*(U342),0.000001))),L342,U342),IF(T342=1,L342,IF(AC342=1,U342,MAX($D$16,POWER((ABS(K342)^2)/($I$5*MAX(F342,0.1)^2),1/3)))))))</f>
        <v>51800.26683766341</v>
      </c>
      <c r="AE342">
        <f t="shared" ref="AE342:AE405" ca="1" si="170">E342+AD342</f>
        <v>52432.73283766341</v>
      </c>
      <c r="AF342">
        <f t="shared" ref="AF342:AF405" ca="1" si="171">AE342+((ABS(K342)/MAX(((F342)+(G342)*(AD342))*(AD342),0.000001))^2)/(2*$I$5)</f>
        <v>52432.732837665237</v>
      </c>
      <c r="AI342">
        <v>0</v>
      </c>
      <c r="AJ342">
        <v>0</v>
      </c>
      <c r="AK342">
        <f t="shared" ref="AK342:AK405" si="172">AI342+AJ342</f>
        <v>0</v>
      </c>
      <c r="AL342">
        <f t="shared" si="154"/>
        <v>0</v>
      </c>
      <c r="AM342">
        <f t="shared" ref="AM342:AM405" ca="1" si="173">ABS(ABS(K342)/MAX(((F342)+(G342)*(AD342))*(AD342),0.000001))/SQRT($I$5*MAX((((F342)+(G342)*(AD342))*(AD342))/MAX((F342)+2*(G342)*(AD342),0.000001),0.000001))</f>
        <v>2.6560383008097266E-7</v>
      </c>
      <c r="AN342" t="str">
        <f t="shared" ref="AN342:AN405" ca="1" si="174">IF(AM342&lt;1,"Subcritical","Supercritical")</f>
        <v>Subcritical</v>
      </c>
      <c r="AO342">
        <f t="shared" ref="AO342:AO405" ca="1" si="175">((ABS(K342)*$D$6)/(MAX(((F342)+(G342)*(AD342))*(AD342),0.000001)*MAX(((((F342)+(G342)*(AD342))*(AD342))/MAX((F342)+2*(AD342)*SQRT(1+(G342)^2),0.000001))^(2/3),0.000001)))^2</f>
        <v>2.2562304480281055E-12</v>
      </c>
    </row>
    <row r="343" spans="1:41" x14ac:dyDescent="0.35">
      <c r="A343">
        <v>194</v>
      </c>
      <c r="B343">
        <v>192.94900000000001</v>
      </c>
      <c r="C343">
        <v>616390.93500000006</v>
      </c>
      <c r="D343">
        <v>3097691.5380000002</v>
      </c>
      <c r="E343">
        <v>632.46550000000002</v>
      </c>
      <c r="F343">
        <v>5.2</v>
      </c>
      <c r="G343">
        <v>0</v>
      </c>
      <c r="H343" t="s">
        <v>186</v>
      </c>
      <c r="I343">
        <v>5.7000000000000002E-2</v>
      </c>
      <c r="J343">
        <f t="shared" ref="J343:J406" si="176">B343-B342</f>
        <v>1.0010000000000048</v>
      </c>
      <c r="K343">
        <f t="shared" ref="K343:K406" si="177">MAX(0,K342-AK342)</f>
        <v>51</v>
      </c>
      <c r="L343">
        <f t="shared" ref="L343:L406" ca="1" si="178">IF($D$20=0,L342,IF(T342=0,L342,IF(L343=0,L342,IF(ABS(S343)&gt;$D$19,MAX($D$16,L343+((S343)*$D$18*IF((ABS(ABS(K343)/MAX(((F343)+(G343)*(L343))*(L343),0.000001))/SQRT($I$5*MAX((((F343)+(G343)*(L343))*(L343))/MAX((F343)+2*(G343)*(L343),0.000001),0.000001)))&lt;1,1,-1))),L343))))</f>
        <v>51798.113340481148</v>
      </c>
      <c r="M343">
        <f t="shared" ca="1" si="155"/>
        <v>269350.18937050196</v>
      </c>
      <c r="N343">
        <f t="shared" ca="1" si="156"/>
        <v>2.5998694998666223</v>
      </c>
      <c r="O343">
        <f t="shared" ca="1" si="157"/>
        <v>1.8934458564589111E-4</v>
      </c>
      <c r="P343">
        <f t="shared" ca="1" si="158"/>
        <v>52430.578840481146</v>
      </c>
      <c r="Q343">
        <f t="shared" ca="1" si="159"/>
        <v>52430.578840482973</v>
      </c>
      <c r="R343">
        <f t="shared" ca="1" si="160"/>
        <v>2.2564180629503468E-12</v>
      </c>
      <c r="S343">
        <f t="shared" ref="S343:S406" ca="1" si="179">Q342-(((R342+R343)/2)*J343)-(IF(O342&gt;O343,$D$8*((O342^2-O343^2)/(2*$I$5)),$D$9*((O343^2-O342^2)/(2*$I$5)))+($D$10*(ABS(I343)/90)*(MAX(O342^2,O343^2)/(2*$I$5))))-Q343</f>
        <v>5.0000000192085281E-4</v>
      </c>
      <c r="T343">
        <f t="shared" ref="T343:T406" ca="1" si="180">IF(ABS(S343)&lt;$D$19,1,0)</f>
        <v>1</v>
      </c>
      <c r="U343">
        <f t="shared" ca="1" si="161"/>
        <v>51800.26683766341</v>
      </c>
      <c r="V343">
        <f t="shared" ca="1" si="162"/>
        <v>269361.38755584974</v>
      </c>
      <c r="W343">
        <f t="shared" ca="1" si="163"/>
        <v>2.5998695052916441</v>
      </c>
      <c r="X343">
        <f t="shared" ca="1" si="164"/>
        <v>1.8933671400629237E-4</v>
      </c>
      <c r="Y343">
        <f t="shared" ca="1" si="165"/>
        <v>52432.732337663409</v>
      </c>
      <c r="Z343">
        <f t="shared" ca="1" si="166"/>
        <v>52432.732337665235</v>
      </c>
      <c r="AA343">
        <f t="shared" ca="1" si="167"/>
        <v>2.2562304480281055E-12</v>
      </c>
      <c r="AB343">
        <f t="shared" ca="1" si="168"/>
        <v>-5.0000000192085281E-4</v>
      </c>
      <c r="AC343">
        <f t="shared" ca="1" si="169"/>
        <v>1</v>
      </c>
      <c r="AD343">
        <f ca="1">IF(V32="Supercritical",L343,IF(V32="Subcritical",U343,IF(AND(T343=1,AC343=1),IF((((F343)*(L343)^2)/2+(G343)*(L343)^3/3+(ABS(K343)^2)/($I$5*MAX(((F343)+(G343)*(L343))*(L343),0.000001)))&gt;=(((F343)*(U343)^2)/2+(G343)*(U343)^3/3+(ABS(K343)^2)/($I$5*MAX(((F343)+(G343)*(U343))*(U343),0.000001))),L343,U343),IF(T343=1,L343,IF(AC343=1,U343,MAX($D$16,POWER((ABS(K343)^2)/($I$5*MAX(F343,0.1)^2),1/3)))))))</f>
        <v>51800.26683766341</v>
      </c>
      <c r="AE343">
        <f t="shared" ca="1" si="170"/>
        <v>52432.732337663409</v>
      </c>
      <c r="AF343">
        <f t="shared" ca="1" si="171"/>
        <v>52432.732337665235</v>
      </c>
      <c r="AI343">
        <v>0</v>
      </c>
      <c r="AJ343">
        <v>0</v>
      </c>
      <c r="AK343">
        <f t="shared" si="172"/>
        <v>0</v>
      </c>
      <c r="AL343">
        <f t="shared" ref="AL343:AL406" si="181">AL342+AK343</f>
        <v>0</v>
      </c>
      <c r="AM343">
        <f t="shared" ca="1" si="173"/>
        <v>2.6560383008097266E-7</v>
      </c>
      <c r="AN343" t="str">
        <f t="shared" ca="1" si="174"/>
        <v>Subcritical</v>
      </c>
      <c r="AO343">
        <f t="shared" ca="1" si="175"/>
        <v>2.2562304480281055E-12</v>
      </c>
    </row>
    <row r="344" spans="1:41" x14ac:dyDescent="0.35">
      <c r="A344">
        <v>195</v>
      </c>
      <c r="B344">
        <v>193.94900000000001</v>
      </c>
      <c r="C344">
        <v>616389.93599999999</v>
      </c>
      <c r="D344">
        <v>3097691.4909999999</v>
      </c>
      <c r="E344">
        <v>632.46500000000003</v>
      </c>
      <c r="F344">
        <v>5.2</v>
      </c>
      <c r="G344">
        <v>0</v>
      </c>
      <c r="H344" t="s">
        <v>186</v>
      </c>
      <c r="I344">
        <v>0.06</v>
      </c>
      <c r="J344">
        <f t="shared" si="176"/>
        <v>1</v>
      </c>
      <c r="K344">
        <f t="shared" si="177"/>
        <v>51</v>
      </c>
      <c r="L344">
        <f t="shared" ca="1" si="178"/>
        <v>51798.100409928833</v>
      </c>
      <c r="M344">
        <f t="shared" ca="1" si="155"/>
        <v>269350.12213162996</v>
      </c>
      <c r="N344">
        <f t="shared" ca="1" si="156"/>
        <v>2.599869499834047</v>
      </c>
      <c r="O344">
        <f t="shared" ca="1" si="157"/>
        <v>1.8934463291268372E-4</v>
      </c>
      <c r="P344">
        <f t="shared" ca="1" si="158"/>
        <v>52430.565409928829</v>
      </c>
      <c r="Q344">
        <f t="shared" ca="1" si="159"/>
        <v>52430.565409930656</v>
      </c>
      <c r="R344">
        <f t="shared" ca="1" si="160"/>
        <v>2.2564191895442377E-12</v>
      </c>
      <c r="S344">
        <f t="shared" ca="1" si="179"/>
        <v>1.3430552317004185E-2</v>
      </c>
      <c r="T344">
        <f t="shared" ca="1" si="180"/>
        <v>0</v>
      </c>
      <c r="U344">
        <f t="shared" ca="1" si="161"/>
        <v>51800.26683766341</v>
      </c>
      <c r="V344">
        <f t="shared" ca="1" si="162"/>
        <v>269361.38755584974</v>
      </c>
      <c r="W344">
        <f t="shared" ca="1" si="163"/>
        <v>2.5998695052916441</v>
      </c>
      <c r="X344">
        <f t="shared" ca="1" si="164"/>
        <v>1.8933671400629237E-4</v>
      </c>
      <c r="Y344">
        <f t="shared" ca="1" si="165"/>
        <v>52432.731837663407</v>
      </c>
      <c r="Z344">
        <f t="shared" ca="1" si="166"/>
        <v>52432.731837665233</v>
      </c>
      <c r="AA344">
        <f t="shared" ca="1" si="167"/>
        <v>2.2562304480281055E-12</v>
      </c>
      <c r="AB344">
        <f t="shared" ca="1" si="168"/>
        <v>-4.999999946448952E-4</v>
      </c>
      <c r="AC344">
        <f t="shared" ca="1" si="169"/>
        <v>1</v>
      </c>
      <c r="AD344">
        <f ca="1">IF(V32="Supercritical",L344,IF(V32="Subcritical",U344,IF(AND(T344=1,AC344=1),IF((((F344)*(L344)^2)/2+(G344)*(L344)^3/3+(ABS(K344)^2)/($I$5*MAX(((F344)+(G344)*(L344))*(L344),0.000001)))&gt;=(((F344)*(U344)^2)/2+(G344)*(U344)^3/3+(ABS(K344)^2)/($I$5*MAX(((F344)+(G344)*(U344))*(U344),0.000001))),L344,U344),IF(T344=1,L344,IF(AC344=1,U344,MAX($D$16,POWER((ABS(K344)^2)/($I$5*MAX(F344,0.1)^2),1/3)))))))</f>
        <v>51800.26683766341</v>
      </c>
      <c r="AE344">
        <f t="shared" ca="1" si="170"/>
        <v>52432.731837663407</v>
      </c>
      <c r="AF344">
        <f t="shared" ca="1" si="171"/>
        <v>52432.731837665233</v>
      </c>
      <c r="AI344">
        <v>0</v>
      </c>
      <c r="AJ344">
        <v>0</v>
      </c>
      <c r="AK344">
        <f t="shared" si="172"/>
        <v>0</v>
      </c>
      <c r="AL344">
        <f t="shared" si="181"/>
        <v>0</v>
      </c>
      <c r="AM344">
        <f t="shared" ca="1" si="173"/>
        <v>2.6560383008097266E-7</v>
      </c>
      <c r="AN344" t="str">
        <f t="shared" ca="1" si="174"/>
        <v>Subcritical</v>
      </c>
      <c r="AO344">
        <f t="shared" ca="1" si="175"/>
        <v>2.2562304480281055E-12</v>
      </c>
    </row>
    <row r="345" spans="1:41" x14ac:dyDescent="0.35">
      <c r="A345">
        <v>196</v>
      </c>
      <c r="B345">
        <v>194.94800000000001</v>
      </c>
      <c r="C345">
        <v>616388.93799999997</v>
      </c>
      <c r="D345">
        <v>3097691.443</v>
      </c>
      <c r="E345">
        <v>632.46450000000004</v>
      </c>
      <c r="F345">
        <v>5.2</v>
      </c>
      <c r="G345">
        <v>0</v>
      </c>
      <c r="H345" t="s">
        <v>186</v>
      </c>
      <c r="I345">
        <v>3.0000000000000001E-3</v>
      </c>
      <c r="J345">
        <f t="shared" si="176"/>
        <v>0.99899999999999523</v>
      </c>
      <c r="K345">
        <f t="shared" si="177"/>
        <v>51</v>
      </c>
      <c r="L345">
        <f t="shared" ca="1" si="178"/>
        <v>51798.100409928833</v>
      </c>
      <c r="M345">
        <f t="shared" ca="1" si="155"/>
        <v>269350.12213162996</v>
      </c>
      <c r="N345">
        <f t="shared" ca="1" si="156"/>
        <v>2.599869499834047</v>
      </c>
      <c r="O345">
        <f t="shared" ca="1" si="157"/>
        <v>1.8934463291268372E-4</v>
      </c>
      <c r="P345">
        <f t="shared" ca="1" si="158"/>
        <v>52430.564909928835</v>
      </c>
      <c r="Q345">
        <f t="shared" ca="1" si="159"/>
        <v>52430.564909930661</v>
      </c>
      <c r="R345">
        <f t="shared" ca="1" si="160"/>
        <v>2.2564191895442377E-12</v>
      </c>
      <c r="S345">
        <f t="shared" ca="1" si="179"/>
        <v>4.999999946448952E-4</v>
      </c>
      <c r="T345">
        <f t="shared" ca="1" si="180"/>
        <v>1</v>
      </c>
      <c r="U345">
        <f t="shared" ca="1" si="161"/>
        <v>51800.26683766341</v>
      </c>
      <c r="V345">
        <f t="shared" ca="1" si="162"/>
        <v>269361.38755584974</v>
      </c>
      <c r="W345">
        <f t="shared" ca="1" si="163"/>
        <v>2.5998695052916441</v>
      </c>
      <c r="X345">
        <f t="shared" ca="1" si="164"/>
        <v>1.8933671400629237E-4</v>
      </c>
      <c r="Y345">
        <f t="shared" ca="1" si="165"/>
        <v>52432.731337663412</v>
      </c>
      <c r="Z345">
        <f t="shared" ca="1" si="166"/>
        <v>52432.731337665238</v>
      </c>
      <c r="AA345">
        <f t="shared" ca="1" si="167"/>
        <v>2.2562304480281055E-12</v>
      </c>
      <c r="AB345">
        <f t="shared" ca="1" si="168"/>
        <v>-5.0000000192085281E-4</v>
      </c>
      <c r="AC345">
        <f t="shared" ca="1" si="169"/>
        <v>1</v>
      </c>
      <c r="AD345">
        <f ca="1">IF(V32="Supercritical",L345,IF(V32="Subcritical",U345,IF(AND(T345=1,AC345=1),IF((((F345)*(L345)^2)/2+(G345)*(L345)^3/3+(ABS(K345)^2)/($I$5*MAX(((F345)+(G345)*(L345))*(L345),0.000001)))&gt;=(((F345)*(U345)^2)/2+(G345)*(U345)^3/3+(ABS(K345)^2)/($I$5*MAX(((F345)+(G345)*(U345))*(U345),0.000001))),L345,U345),IF(T345=1,L345,IF(AC345=1,U345,MAX($D$16,POWER((ABS(K345)^2)/($I$5*MAX(F345,0.1)^2),1/3)))))))</f>
        <v>51800.26683766341</v>
      </c>
      <c r="AE345">
        <f t="shared" ca="1" si="170"/>
        <v>52432.731337663412</v>
      </c>
      <c r="AF345">
        <f t="shared" ca="1" si="171"/>
        <v>52432.731337665238</v>
      </c>
      <c r="AI345">
        <v>0</v>
      </c>
      <c r="AJ345">
        <v>0</v>
      </c>
      <c r="AK345">
        <f t="shared" si="172"/>
        <v>0</v>
      </c>
      <c r="AL345">
        <f t="shared" si="181"/>
        <v>0</v>
      </c>
      <c r="AM345">
        <f t="shared" ca="1" si="173"/>
        <v>2.6560383008097266E-7</v>
      </c>
      <c r="AN345" t="str">
        <f t="shared" ca="1" si="174"/>
        <v>Subcritical</v>
      </c>
      <c r="AO345">
        <f t="shared" ca="1" si="175"/>
        <v>2.2562304480281055E-12</v>
      </c>
    </row>
    <row r="346" spans="1:41" x14ac:dyDescent="0.35">
      <c r="A346">
        <v>197</v>
      </c>
      <c r="B346">
        <v>195.94800000000001</v>
      </c>
      <c r="C346">
        <v>616387.93900000001</v>
      </c>
      <c r="D346">
        <v>3097691.395</v>
      </c>
      <c r="E346">
        <v>632.46400000000006</v>
      </c>
      <c r="F346">
        <v>5.2</v>
      </c>
      <c r="G346">
        <v>0</v>
      </c>
      <c r="H346" t="s">
        <v>186</v>
      </c>
      <c r="I346">
        <v>5.7000000000000002E-2</v>
      </c>
      <c r="J346">
        <f t="shared" si="176"/>
        <v>1</v>
      </c>
      <c r="K346">
        <f t="shared" si="177"/>
        <v>51</v>
      </c>
      <c r="L346">
        <f t="shared" ca="1" si="178"/>
        <v>51798.087418144431</v>
      </c>
      <c r="M346">
        <f t="shared" ca="1" si="155"/>
        <v>269350.05457435106</v>
      </c>
      <c r="N346">
        <f t="shared" ca="1" si="156"/>
        <v>2.5998694998013168</v>
      </c>
      <c r="O346">
        <f t="shared" ca="1" si="157"/>
        <v>1.8934468040333001E-4</v>
      </c>
      <c r="P346">
        <f t="shared" ca="1" si="158"/>
        <v>52430.55141814443</v>
      </c>
      <c r="Q346">
        <f t="shared" ca="1" si="159"/>
        <v>52430.551418146257</v>
      </c>
      <c r="R346">
        <f t="shared" ca="1" si="160"/>
        <v>2.2564203214739172E-12</v>
      </c>
      <c r="S346">
        <f t="shared" ca="1" si="179"/>
        <v>1.3491784404322971E-2</v>
      </c>
      <c r="T346">
        <f t="shared" ca="1" si="180"/>
        <v>0</v>
      </c>
      <c r="U346">
        <f t="shared" ca="1" si="161"/>
        <v>51800.26683766341</v>
      </c>
      <c r="V346">
        <f t="shared" ca="1" si="162"/>
        <v>269361.38755584974</v>
      </c>
      <c r="W346">
        <f t="shared" ca="1" si="163"/>
        <v>2.5998695052916441</v>
      </c>
      <c r="X346">
        <f t="shared" ca="1" si="164"/>
        <v>1.8933671400629237E-4</v>
      </c>
      <c r="Y346">
        <f t="shared" ca="1" si="165"/>
        <v>52432.73083766341</v>
      </c>
      <c r="Z346">
        <f t="shared" ca="1" si="166"/>
        <v>52432.730837665236</v>
      </c>
      <c r="AA346">
        <f t="shared" ca="1" si="167"/>
        <v>2.2562304480281055E-12</v>
      </c>
      <c r="AB346">
        <f t="shared" ca="1" si="168"/>
        <v>-5.0000000192085281E-4</v>
      </c>
      <c r="AC346">
        <f t="shared" ca="1" si="169"/>
        <v>1</v>
      </c>
      <c r="AD346">
        <f ca="1">IF(V32="Supercritical",L346,IF(V32="Subcritical",U346,IF(AND(T346=1,AC346=1),IF((((F346)*(L346)^2)/2+(G346)*(L346)^3/3+(ABS(K346)^2)/($I$5*MAX(((F346)+(G346)*(L346))*(L346),0.000001)))&gt;=(((F346)*(U346)^2)/2+(G346)*(U346)^3/3+(ABS(K346)^2)/($I$5*MAX(((F346)+(G346)*(U346))*(U346),0.000001))),L346,U346),IF(T346=1,L346,IF(AC346=1,U346,MAX($D$16,POWER((ABS(K346)^2)/($I$5*MAX(F346,0.1)^2),1/3)))))))</f>
        <v>51800.26683766341</v>
      </c>
      <c r="AE346">
        <f t="shared" ca="1" si="170"/>
        <v>52432.73083766341</v>
      </c>
      <c r="AF346">
        <f t="shared" ca="1" si="171"/>
        <v>52432.730837665236</v>
      </c>
      <c r="AI346">
        <v>0</v>
      </c>
      <c r="AJ346">
        <v>0</v>
      </c>
      <c r="AK346">
        <f t="shared" si="172"/>
        <v>0</v>
      </c>
      <c r="AL346">
        <f t="shared" si="181"/>
        <v>0</v>
      </c>
      <c r="AM346">
        <f t="shared" ca="1" si="173"/>
        <v>2.6560383008097266E-7</v>
      </c>
      <c r="AN346" t="str">
        <f t="shared" ca="1" si="174"/>
        <v>Subcritical</v>
      </c>
      <c r="AO346">
        <f t="shared" ca="1" si="175"/>
        <v>2.2562304480281055E-12</v>
      </c>
    </row>
    <row r="347" spans="1:41" x14ac:dyDescent="0.35">
      <c r="A347">
        <v>198</v>
      </c>
      <c r="B347">
        <v>196.94800000000001</v>
      </c>
      <c r="C347">
        <v>616386.93999999994</v>
      </c>
      <c r="D347">
        <v>3097691.3480000002</v>
      </c>
      <c r="E347">
        <v>632.46349999999995</v>
      </c>
      <c r="F347">
        <v>5.2</v>
      </c>
      <c r="G347">
        <v>0</v>
      </c>
      <c r="H347" t="s">
        <v>186</v>
      </c>
      <c r="I347">
        <v>5.7000000000000002E-2</v>
      </c>
      <c r="J347">
        <f t="shared" si="176"/>
        <v>1</v>
      </c>
      <c r="K347">
        <f t="shared" si="177"/>
        <v>51</v>
      </c>
      <c r="L347">
        <f t="shared" ca="1" si="178"/>
        <v>51798.087418144431</v>
      </c>
      <c r="M347">
        <f t="shared" ca="1" si="155"/>
        <v>269350.05457435106</v>
      </c>
      <c r="N347">
        <f t="shared" ca="1" si="156"/>
        <v>2.5998694998013168</v>
      </c>
      <c r="O347">
        <f t="shared" ca="1" si="157"/>
        <v>1.8934468040333001E-4</v>
      </c>
      <c r="P347">
        <f t="shared" ca="1" si="158"/>
        <v>52430.550918144429</v>
      </c>
      <c r="Q347">
        <f t="shared" ca="1" si="159"/>
        <v>52430.550918146255</v>
      </c>
      <c r="R347">
        <f t="shared" ca="1" si="160"/>
        <v>2.2564203214739172E-12</v>
      </c>
      <c r="S347">
        <f t="shared" ca="1" si="179"/>
        <v>5.0000000192085281E-4</v>
      </c>
      <c r="T347">
        <f t="shared" ca="1" si="180"/>
        <v>1</v>
      </c>
      <c r="U347">
        <f t="shared" ca="1" si="161"/>
        <v>51800.26683766341</v>
      </c>
      <c r="V347">
        <f t="shared" ca="1" si="162"/>
        <v>269361.38755584974</v>
      </c>
      <c r="W347">
        <f t="shared" ca="1" si="163"/>
        <v>2.5998695052916441</v>
      </c>
      <c r="X347">
        <f t="shared" ca="1" si="164"/>
        <v>1.8933671400629237E-4</v>
      </c>
      <c r="Y347">
        <f t="shared" ca="1" si="165"/>
        <v>52432.730337663408</v>
      </c>
      <c r="Z347">
        <f t="shared" ca="1" si="166"/>
        <v>52432.730337665234</v>
      </c>
      <c r="AA347">
        <f t="shared" ca="1" si="167"/>
        <v>2.2562304480281055E-12</v>
      </c>
      <c r="AB347">
        <f t="shared" ca="1" si="168"/>
        <v>-4.999999946448952E-4</v>
      </c>
      <c r="AC347">
        <f t="shared" ca="1" si="169"/>
        <v>1</v>
      </c>
      <c r="AD347">
        <f ca="1">IF(V32="Supercritical",L347,IF(V32="Subcritical",U347,IF(AND(T347=1,AC347=1),IF((((F347)*(L347)^2)/2+(G347)*(L347)^3/3+(ABS(K347)^2)/($I$5*MAX(((F347)+(G347)*(L347))*(L347),0.000001)))&gt;=(((F347)*(U347)^2)/2+(G347)*(U347)^3/3+(ABS(K347)^2)/($I$5*MAX(((F347)+(G347)*(U347))*(U347),0.000001))),L347,U347),IF(T347=1,L347,IF(AC347=1,U347,MAX($D$16,POWER((ABS(K347)^2)/($I$5*MAX(F347,0.1)^2),1/3)))))))</f>
        <v>51800.26683766341</v>
      </c>
      <c r="AE347">
        <f t="shared" ca="1" si="170"/>
        <v>52432.730337663408</v>
      </c>
      <c r="AF347">
        <f t="shared" ca="1" si="171"/>
        <v>52432.730337665234</v>
      </c>
      <c r="AI347">
        <v>0</v>
      </c>
      <c r="AJ347">
        <v>0</v>
      </c>
      <c r="AK347">
        <f t="shared" si="172"/>
        <v>0</v>
      </c>
      <c r="AL347">
        <f t="shared" si="181"/>
        <v>0</v>
      </c>
      <c r="AM347">
        <f t="shared" ca="1" si="173"/>
        <v>2.6560383008097266E-7</v>
      </c>
      <c r="AN347" t="str">
        <f t="shared" ca="1" si="174"/>
        <v>Subcritical</v>
      </c>
      <c r="AO347">
        <f t="shared" ca="1" si="175"/>
        <v>2.2562304480281055E-12</v>
      </c>
    </row>
    <row r="348" spans="1:41" x14ac:dyDescent="0.35">
      <c r="A348">
        <v>199</v>
      </c>
      <c r="B348">
        <v>197.94800000000001</v>
      </c>
      <c r="C348">
        <v>616385.94099999999</v>
      </c>
      <c r="D348">
        <v>3097691.3</v>
      </c>
      <c r="E348">
        <v>632.46299999999997</v>
      </c>
      <c r="F348">
        <v>5.2</v>
      </c>
      <c r="G348">
        <v>0</v>
      </c>
      <c r="H348" t="s">
        <v>186</v>
      </c>
      <c r="I348">
        <v>5.7000000000000002E-2</v>
      </c>
      <c r="J348">
        <f t="shared" si="176"/>
        <v>1</v>
      </c>
      <c r="K348">
        <f t="shared" si="177"/>
        <v>51</v>
      </c>
      <c r="L348">
        <f t="shared" ca="1" si="178"/>
        <v>51798.074364362343</v>
      </c>
      <c r="M348">
        <f t="shared" ca="1" si="155"/>
        <v>269349.98669468419</v>
      </c>
      <c r="N348">
        <f t="shared" ca="1" si="156"/>
        <v>2.5998694997684306</v>
      </c>
      <c r="O348">
        <f t="shared" ca="1" si="157"/>
        <v>1.8934472812062893E-4</v>
      </c>
      <c r="P348">
        <f t="shared" ca="1" si="158"/>
        <v>52430.537364362346</v>
      </c>
      <c r="Q348">
        <f t="shared" ca="1" si="159"/>
        <v>52430.537364364172</v>
      </c>
      <c r="R348">
        <f t="shared" ca="1" si="160"/>
        <v>2.2564214588061E-12</v>
      </c>
      <c r="S348">
        <f t="shared" ca="1" si="179"/>
        <v>1.3553782082453836E-2</v>
      </c>
      <c r="T348">
        <f t="shared" ca="1" si="180"/>
        <v>0</v>
      </c>
      <c r="U348">
        <f t="shared" ca="1" si="161"/>
        <v>51800.26683766341</v>
      </c>
      <c r="V348">
        <f t="shared" ca="1" si="162"/>
        <v>269361.38755584974</v>
      </c>
      <c r="W348">
        <f t="shared" ca="1" si="163"/>
        <v>2.5998695052916441</v>
      </c>
      <c r="X348">
        <f t="shared" ca="1" si="164"/>
        <v>1.8933671400629237E-4</v>
      </c>
      <c r="Y348">
        <f t="shared" ca="1" si="165"/>
        <v>52432.729837663413</v>
      </c>
      <c r="Z348">
        <f t="shared" ca="1" si="166"/>
        <v>52432.72983766524</v>
      </c>
      <c r="AA348">
        <f t="shared" ca="1" si="167"/>
        <v>2.2562304480281055E-12</v>
      </c>
      <c r="AB348">
        <f t="shared" ca="1" si="168"/>
        <v>-5.0000000192085281E-4</v>
      </c>
      <c r="AC348">
        <f t="shared" ca="1" si="169"/>
        <v>1</v>
      </c>
      <c r="AD348">
        <f ca="1">IF(V32="Supercritical",L348,IF(V32="Subcritical",U348,IF(AND(T348=1,AC348=1),IF((((F348)*(L348)^2)/2+(G348)*(L348)^3/3+(ABS(K348)^2)/($I$5*MAX(((F348)+(G348)*(L348))*(L348),0.000001)))&gt;=(((F348)*(U348)^2)/2+(G348)*(U348)^3/3+(ABS(K348)^2)/($I$5*MAX(((F348)+(G348)*(U348))*(U348),0.000001))),L348,U348),IF(T348=1,L348,IF(AC348=1,U348,MAX($D$16,POWER((ABS(K348)^2)/($I$5*MAX(F348,0.1)^2),1/3)))))))</f>
        <v>51800.26683766341</v>
      </c>
      <c r="AE348">
        <f t="shared" ca="1" si="170"/>
        <v>52432.729837663413</v>
      </c>
      <c r="AF348">
        <f t="shared" ca="1" si="171"/>
        <v>52432.72983766524</v>
      </c>
      <c r="AI348">
        <v>0</v>
      </c>
      <c r="AJ348">
        <v>0</v>
      </c>
      <c r="AK348">
        <f t="shared" si="172"/>
        <v>0</v>
      </c>
      <c r="AL348">
        <f t="shared" si="181"/>
        <v>0</v>
      </c>
      <c r="AM348">
        <f t="shared" ca="1" si="173"/>
        <v>2.6560383008097266E-7</v>
      </c>
      <c r="AN348" t="str">
        <f t="shared" ca="1" si="174"/>
        <v>Subcritical</v>
      </c>
      <c r="AO348">
        <f t="shared" ca="1" si="175"/>
        <v>2.2562304480281055E-12</v>
      </c>
    </row>
    <row r="349" spans="1:41" x14ac:dyDescent="0.35">
      <c r="A349">
        <v>200</v>
      </c>
      <c r="B349">
        <v>198.94800000000001</v>
      </c>
      <c r="C349">
        <v>616384.94200000004</v>
      </c>
      <c r="D349">
        <v>3097691.253</v>
      </c>
      <c r="E349">
        <v>632.46249999999998</v>
      </c>
      <c r="F349">
        <v>5.2</v>
      </c>
      <c r="G349">
        <v>0</v>
      </c>
      <c r="H349" t="s">
        <v>186</v>
      </c>
      <c r="I349">
        <v>5.7000000000000002E-2</v>
      </c>
      <c r="J349">
        <f t="shared" si="176"/>
        <v>1</v>
      </c>
      <c r="K349">
        <f t="shared" si="177"/>
        <v>51</v>
      </c>
      <c r="L349">
        <f t="shared" ca="1" si="178"/>
        <v>51798.074364362343</v>
      </c>
      <c r="M349">
        <f t="shared" ca="1" si="155"/>
        <v>269349.98669468419</v>
      </c>
      <c r="N349">
        <f t="shared" ca="1" si="156"/>
        <v>2.5998694997684306</v>
      </c>
      <c r="O349">
        <f t="shared" ca="1" si="157"/>
        <v>1.8934472812062893E-4</v>
      </c>
      <c r="P349">
        <f t="shared" ca="1" si="158"/>
        <v>52430.536864362344</v>
      </c>
      <c r="Q349">
        <f t="shared" ca="1" si="159"/>
        <v>52430.53686436417</v>
      </c>
      <c r="R349">
        <f t="shared" ca="1" si="160"/>
        <v>2.2564214588061E-12</v>
      </c>
      <c r="S349">
        <f t="shared" ca="1" si="179"/>
        <v>5.0000000192085281E-4</v>
      </c>
      <c r="T349">
        <f t="shared" ca="1" si="180"/>
        <v>1</v>
      </c>
      <c r="U349">
        <f t="shared" ca="1" si="161"/>
        <v>51800.26683766341</v>
      </c>
      <c r="V349">
        <f t="shared" ca="1" si="162"/>
        <v>269361.38755584974</v>
      </c>
      <c r="W349">
        <f t="shared" ca="1" si="163"/>
        <v>2.5998695052916441</v>
      </c>
      <c r="X349">
        <f t="shared" ca="1" si="164"/>
        <v>1.8933671400629237E-4</v>
      </c>
      <c r="Y349">
        <f t="shared" ca="1" si="165"/>
        <v>52432.729337663412</v>
      </c>
      <c r="Z349">
        <f t="shared" ca="1" si="166"/>
        <v>52432.729337665238</v>
      </c>
      <c r="AA349">
        <f t="shared" ca="1" si="167"/>
        <v>2.2562304480281055E-12</v>
      </c>
      <c r="AB349">
        <f t="shared" ca="1" si="168"/>
        <v>-5.0000000192085281E-4</v>
      </c>
      <c r="AC349">
        <f t="shared" ca="1" si="169"/>
        <v>1</v>
      </c>
      <c r="AD349">
        <f ca="1">IF(V32="Supercritical",L349,IF(V32="Subcritical",U349,IF(AND(T349=1,AC349=1),IF((((F349)*(L349)^2)/2+(G349)*(L349)^3/3+(ABS(K349)^2)/($I$5*MAX(((F349)+(G349)*(L349))*(L349),0.000001)))&gt;=(((F349)*(U349)^2)/2+(G349)*(U349)^3/3+(ABS(K349)^2)/($I$5*MAX(((F349)+(G349)*(U349))*(U349),0.000001))),L349,U349),IF(T349=1,L349,IF(AC349=1,U349,MAX($D$16,POWER((ABS(K349)^2)/($I$5*MAX(F349,0.1)^2),1/3)))))))</f>
        <v>51800.26683766341</v>
      </c>
      <c r="AE349">
        <f t="shared" ca="1" si="170"/>
        <v>52432.729337663412</v>
      </c>
      <c r="AF349">
        <f t="shared" ca="1" si="171"/>
        <v>52432.729337665238</v>
      </c>
      <c r="AI349">
        <v>0</v>
      </c>
      <c r="AJ349">
        <v>0</v>
      </c>
      <c r="AK349">
        <f t="shared" si="172"/>
        <v>0</v>
      </c>
      <c r="AL349">
        <f t="shared" si="181"/>
        <v>0</v>
      </c>
      <c r="AM349">
        <f t="shared" ca="1" si="173"/>
        <v>2.6560383008097266E-7</v>
      </c>
      <c r="AN349" t="str">
        <f t="shared" ca="1" si="174"/>
        <v>Subcritical</v>
      </c>
      <c r="AO349">
        <f t="shared" ca="1" si="175"/>
        <v>2.2562304480281055E-12</v>
      </c>
    </row>
    <row r="350" spans="1:41" x14ac:dyDescent="0.35">
      <c r="A350">
        <v>201</v>
      </c>
      <c r="B350">
        <v>199.94800000000001</v>
      </c>
      <c r="C350">
        <v>616383.94299999997</v>
      </c>
      <c r="D350">
        <v>3097691.2050000001</v>
      </c>
      <c r="E350">
        <v>632.46199999999999</v>
      </c>
      <c r="F350">
        <v>5.2</v>
      </c>
      <c r="G350">
        <v>0</v>
      </c>
      <c r="H350" t="s">
        <v>186</v>
      </c>
      <c r="I350">
        <v>0</v>
      </c>
      <c r="J350">
        <f t="shared" si="176"/>
        <v>1</v>
      </c>
      <c r="K350">
        <f t="shared" si="177"/>
        <v>51</v>
      </c>
      <c r="L350">
        <f t="shared" ca="1" si="178"/>
        <v>51798.061271619539</v>
      </c>
      <c r="M350">
        <f t="shared" ca="1" si="155"/>
        <v>269349.91861242161</v>
      </c>
      <c r="N350">
        <f t="shared" ca="1" si="156"/>
        <v>2.5998694997354463</v>
      </c>
      <c r="O350">
        <f t="shared" ca="1" si="157"/>
        <v>1.8934477598037052E-4</v>
      </c>
      <c r="P350">
        <f t="shared" ca="1" si="158"/>
        <v>52430.523271619539</v>
      </c>
      <c r="Q350">
        <f t="shared" ca="1" si="159"/>
        <v>52430.523271621365</v>
      </c>
      <c r="R350">
        <f t="shared" ca="1" si="160"/>
        <v>2.2564225995336629E-12</v>
      </c>
      <c r="S350">
        <f t="shared" ca="1" si="179"/>
        <v>1.3592742805485614E-2</v>
      </c>
      <c r="T350">
        <f t="shared" ca="1" si="180"/>
        <v>0</v>
      </c>
      <c r="U350">
        <f t="shared" ca="1" si="161"/>
        <v>51800.26683766341</v>
      </c>
      <c r="V350">
        <f t="shared" ca="1" si="162"/>
        <v>269361.38755584974</v>
      </c>
      <c r="W350">
        <f t="shared" ca="1" si="163"/>
        <v>2.5998695052916441</v>
      </c>
      <c r="X350">
        <f t="shared" ca="1" si="164"/>
        <v>1.8933671400629237E-4</v>
      </c>
      <c r="Y350">
        <f t="shared" ca="1" si="165"/>
        <v>52432.72883766341</v>
      </c>
      <c r="Z350">
        <f t="shared" ca="1" si="166"/>
        <v>52432.728837665236</v>
      </c>
      <c r="AA350">
        <f t="shared" ca="1" si="167"/>
        <v>2.2562304480281055E-12</v>
      </c>
      <c r="AB350">
        <f t="shared" ca="1" si="168"/>
        <v>-5.0000000192085281E-4</v>
      </c>
      <c r="AC350">
        <f t="shared" ca="1" si="169"/>
        <v>1</v>
      </c>
      <c r="AD350">
        <f ca="1">IF(V32="Supercritical",L350,IF(V32="Subcritical",U350,IF(AND(T350=1,AC350=1),IF((((F350)*(L350)^2)/2+(G350)*(L350)^3/3+(ABS(K350)^2)/($I$5*MAX(((F350)+(G350)*(L350))*(L350),0.000001)))&gt;=(((F350)*(U350)^2)/2+(G350)*(U350)^3/3+(ABS(K350)^2)/($I$5*MAX(((F350)+(G350)*(U350))*(U350),0.000001))),L350,U350),IF(T350=1,L350,IF(AC350=1,U350,MAX($D$16,POWER((ABS(K350)^2)/($I$5*MAX(F350,0.1)^2),1/3)))))))</f>
        <v>51800.26683766341</v>
      </c>
      <c r="AE350">
        <f t="shared" ca="1" si="170"/>
        <v>52432.72883766341</v>
      </c>
      <c r="AF350">
        <f t="shared" ca="1" si="171"/>
        <v>52432.728837665236</v>
      </c>
      <c r="AI350">
        <v>0</v>
      </c>
      <c r="AJ350">
        <v>0</v>
      </c>
      <c r="AK350">
        <f t="shared" si="172"/>
        <v>0</v>
      </c>
      <c r="AL350">
        <f t="shared" si="181"/>
        <v>0</v>
      </c>
      <c r="AM350">
        <f t="shared" ca="1" si="173"/>
        <v>2.6560383008097266E-7</v>
      </c>
      <c r="AN350" t="str">
        <f t="shared" ca="1" si="174"/>
        <v>Subcritical</v>
      </c>
      <c r="AO350">
        <f t="shared" ca="1" si="175"/>
        <v>2.2562304480281055E-12</v>
      </c>
    </row>
    <row r="351" spans="1:41" x14ac:dyDescent="0.35">
      <c r="A351">
        <v>202</v>
      </c>
      <c r="B351">
        <v>200.94900000000001</v>
      </c>
      <c r="C351">
        <v>616382.94400000002</v>
      </c>
      <c r="D351">
        <v>3097691.1570000001</v>
      </c>
      <c r="E351">
        <v>632.4615</v>
      </c>
      <c r="F351">
        <v>5.2</v>
      </c>
      <c r="G351">
        <v>0</v>
      </c>
      <c r="H351" t="s">
        <v>186</v>
      </c>
      <c r="I351">
        <v>5.5E-2</v>
      </c>
      <c r="J351">
        <f t="shared" si="176"/>
        <v>1.0010000000000048</v>
      </c>
      <c r="K351">
        <f t="shared" si="177"/>
        <v>51</v>
      </c>
      <c r="L351">
        <f t="shared" ca="1" si="178"/>
        <v>51798.061271619539</v>
      </c>
      <c r="M351">
        <f t="shared" ca="1" si="155"/>
        <v>269349.91861242161</v>
      </c>
      <c r="N351">
        <f t="shared" ca="1" si="156"/>
        <v>2.5998694997354463</v>
      </c>
      <c r="O351">
        <f t="shared" ca="1" si="157"/>
        <v>1.8934477598037052E-4</v>
      </c>
      <c r="P351">
        <f t="shared" ca="1" si="158"/>
        <v>52430.522771619537</v>
      </c>
      <c r="Q351">
        <f t="shared" ca="1" si="159"/>
        <v>52430.522771621363</v>
      </c>
      <c r="R351">
        <f t="shared" ca="1" si="160"/>
        <v>2.2564225995336629E-12</v>
      </c>
      <c r="S351">
        <f t="shared" ca="1" si="179"/>
        <v>5.0000000192085281E-4</v>
      </c>
      <c r="T351">
        <f t="shared" ca="1" si="180"/>
        <v>1</v>
      </c>
      <c r="U351">
        <f t="shared" ca="1" si="161"/>
        <v>51800.26683766341</v>
      </c>
      <c r="V351">
        <f t="shared" ca="1" si="162"/>
        <v>269361.38755584974</v>
      </c>
      <c r="W351">
        <f t="shared" ca="1" si="163"/>
        <v>2.5998695052916441</v>
      </c>
      <c r="X351">
        <f t="shared" ca="1" si="164"/>
        <v>1.8933671400629237E-4</v>
      </c>
      <c r="Y351">
        <f t="shared" ca="1" si="165"/>
        <v>52432.728337663408</v>
      </c>
      <c r="Z351">
        <f t="shared" ca="1" si="166"/>
        <v>52432.728337665234</v>
      </c>
      <c r="AA351">
        <f t="shared" ca="1" si="167"/>
        <v>2.2562304480281055E-12</v>
      </c>
      <c r="AB351">
        <f t="shared" ca="1" si="168"/>
        <v>-4.999999946448952E-4</v>
      </c>
      <c r="AC351">
        <f t="shared" ca="1" si="169"/>
        <v>1</v>
      </c>
      <c r="AD351">
        <f ca="1">IF(V32="Supercritical",L351,IF(V32="Subcritical",U351,IF(AND(T351=1,AC351=1),IF((((F351)*(L351)^2)/2+(G351)*(L351)^3/3+(ABS(K351)^2)/($I$5*MAX(((F351)+(G351)*(L351))*(L351),0.000001)))&gt;=(((F351)*(U351)^2)/2+(G351)*(U351)^3/3+(ABS(K351)^2)/($I$5*MAX(((F351)+(G351)*(U351))*(U351),0.000001))),L351,U351),IF(T351=1,L351,IF(AC351=1,U351,MAX($D$16,POWER((ABS(K351)^2)/($I$5*MAX(F351,0.1)^2),1/3)))))))</f>
        <v>51800.26683766341</v>
      </c>
      <c r="AE351">
        <f t="shared" ca="1" si="170"/>
        <v>52432.728337663408</v>
      </c>
      <c r="AF351">
        <f t="shared" ca="1" si="171"/>
        <v>52432.728337665234</v>
      </c>
      <c r="AI351">
        <v>0</v>
      </c>
      <c r="AJ351">
        <v>0</v>
      </c>
      <c r="AK351">
        <f t="shared" si="172"/>
        <v>0</v>
      </c>
      <c r="AL351">
        <f t="shared" si="181"/>
        <v>0</v>
      </c>
      <c r="AM351">
        <f t="shared" ca="1" si="173"/>
        <v>2.6560383008097266E-7</v>
      </c>
      <c r="AN351" t="str">
        <f t="shared" ca="1" si="174"/>
        <v>Subcritical</v>
      </c>
      <c r="AO351">
        <f t="shared" ca="1" si="175"/>
        <v>2.2562304480281055E-12</v>
      </c>
    </row>
    <row r="352" spans="1:41" x14ac:dyDescent="0.35">
      <c r="A352">
        <v>203</v>
      </c>
      <c r="B352">
        <v>201.94800000000001</v>
      </c>
      <c r="C352">
        <v>616381.946</v>
      </c>
      <c r="D352">
        <v>3097691.11</v>
      </c>
      <c r="E352">
        <v>632.46100000000001</v>
      </c>
      <c r="F352">
        <v>5.2</v>
      </c>
      <c r="G352">
        <v>0</v>
      </c>
      <c r="H352" t="s">
        <v>186</v>
      </c>
      <c r="I352">
        <v>5.5E-2</v>
      </c>
      <c r="J352">
        <f t="shared" si="176"/>
        <v>0.99899999999999523</v>
      </c>
      <c r="K352">
        <f t="shared" si="177"/>
        <v>51</v>
      </c>
      <c r="L352">
        <f t="shared" ca="1" si="178"/>
        <v>51798.04818639208</v>
      </c>
      <c r="M352">
        <f t="shared" ca="1" si="155"/>
        <v>269349.85056923883</v>
      </c>
      <c r="N352">
        <f t="shared" ca="1" si="156"/>
        <v>2.5998694997024812</v>
      </c>
      <c r="O352">
        <f t="shared" ca="1" si="157"/>
        <v>1.8934482381266436E-4</v>
      </c>
      <c r="P352">
        <f t="shared" ca="1" si="158"/>
        <v>52430.509186392082</v>
      </c>
      <c r="Q352">
        <f t="shared" ca="1" si="159"/>
        <v>52430.509186393909</v>
      </c>
      <c r="R352">
        <f t="shared" ca="1" si="160"/>
        <v>2.2564237396073031E-12</v>
      </c>
      <c r="S352">
        <f t="shared" ca="1" si="179"/>
        <v>1.3585227454314008E-2</v>
      </c>
      <c r="T352">
        <f t="shared" ca="1" si="180"/>
        <v>0</v>
      </c>
      <c r="U352">
        <f t="shared" ca="1" si="161"/>
        <v>51800.26683766341</v>
      </c>
      <c r="V352">
        <f t="shared" ca="1" si="162"/>
        <v>269361.38755584974</v>
      </c>
      <c r="W352">
        <f t="shared" ca="1" si="163"/>
        <v>2.5998695052916441</v>
      </c>
      <c r="X352">
        <f t="shared" ca="1" si="164"/>
        <v>1.8933671400629237E-4</v>
      </c>
      <c r="Y352">
        <f t="shared" ca="1" si="165"/>
        <v>52432.727837663413</v>
      </c>
      <c r="Z352">
        <f t="shared" ca="1" si="166"/>
        <v>52432.727837665239</v>
      </c>
      <c r="AA352">
        <f t="shared" ca="1" si="167"/>
        <v>2.2562304480281055E-12</v>
      </c>
      <c r="AB352">
        <f t="shared" ca="1" si="168"/>
        <v>-5.0000000192085281E-4</v>
      </c>
      <c r="AC352">
        <f t="shared" ca="1" si="169"/>
        <v>1</v>
      </c>
      <c r="AD352">
        <f ca="1">IF(V32="Supercritical",L352,IF(V32="Subcritical",U352,IF(AND(T352=1,AC352=1),IF((((F352)*(L352)^2)/2+(G352)*(L352)^3/3+(ABS(K352)^2)/($I$5*MAX(((F352)+(G352)*(L352))*(L352),0.000001)))&gt;=(((F352)*(U352)^2)/2+(G352)*(U352)^3/3+(ABS(K352)^2)/($I$5*MAX(((F352)+(G352)*(U352))*(U352),0.000001))),L352,U352),IF(T352=1,L352,IF(AC352=1,U352,MAX($D$16,POWER((ABS(K352)^2)/($I$5*MAX(F352,0.1)^2),1/3)))))))</f>
        <v>51800.26683766341</v>
      </c>
      <c r="AE352">
        <f t="shared" ca="1" si="170"/>
        <v>52432.727837663413</v>
      </c>
      <c r="AF352">
        <f t="shared" ca="1" si="171"/>
        <v>52432.727837665239</v>
      </c>
      <c r="AI352">
        <v>0</v>
      </c>
      <c r="AJ352">
        <v>0</v>
      </c>
      <c r="AK352">
        <f t="shared" si="172"/>
        <v>0</v>
      </c>
      <c r="AL352">
        <f t="shared" si="181"/>
        <v>0</v>
      </c>
      <c r="AM352">
        <f t="shared" ca="1" si="173"/>
        <v>2.6560383008097266E-7</v>
      </c>
      <c r="AN352" t="str">
        <f t="shared" ca="1" si="174"/>
        <v>Subcritical</v>
      </c>
      <c r="AO352">
        <f t="shared" ca="1" si="175"/>
        <v>2.2562304480281055E-12</v>
      </c>
    </row>
    <row r="353" spans="1:41" x14ac:dyDescent="0.35">
      <c r="A353">
        <v>204</v>
      </c>
      <c r="B353">
        <v>202.94800000000001</v>
      </c>
      <c r="C353">
        <v>616380.94700000004</v>
      </c>
      <c r="D353">
        <v>3097691.0619999999</v>
      </c>
      <c r="E353">
        <v>632.46050000000002</v>
      </c>
      <c r="F353">
        <v>5.2</v>
      </c>
      <c r="G353">
        <v>0</v>
      </c>
      <c r="H353" t="s">
        <v>186</v>
      </c>
      <c r="I353">
        <v>0</v>
      </c>
      <c r="J353">
        <f t="shared" si="176"/>
        <v>1</v>
      </c>
      <c r="K353">
        <f t="shared" si="177"/>
        <v>51</v>
      </c>
      <c r="L353">
        <f t="shared" ca="1" si="178"/>
        <v>51798.04818639208</v>
      </c>
      <c r="M353">
        <f t="shared" ca="1" si="155"/>
        <v>269349.85056923883</v>
      </c>
      <c r="N353">
        <f t="shared" ca="1" si="156"/>
        <v>2.5998694997024812</v>
      </c>
      <c r="O353">
        <f t="shared" ca="1" si="157"/>
        <v>1.8934482381266436E-4</v>
      </c>
      <c r="P353">
        <f t="shared" ca="1" si="158"/>
        <v>52430.508686392081</v>
      </c>
      <c r="Q353">
        <f t="shared" ca="1" si="159"/>
        <v>52430.508686393907</v>
      </c>
      <c r="R353">
        <f t="shared" ca="1" si="160"/>
        <v>2.2564237396073031E-12</v>
      </c>
      <c r="S353">
        <f t="shared" ca="1" si="179"/>
        <v>5.0000000192085281E-4</v>
      </c>
      <c r="T353">
        <f t="shared" ca="1" si="180"/>
        <v>1</v>
      </c>
      <c r="U353">
        <f t="shared" ca="1" si="161"/>
        <v>51800.26683766341</v>
      </c>
      <c r="V353">
        <f t="shared" ca="1" si="162"/>
        <v>269361.38755584974</v>
      </c>
      <c r="W353">
        <f t="shared" ca="1" si="163"/>
        <v>2.5998695052916441</v>
      </c>
      <c r="X353">
        <f t="shared" ca="1" si="164"/>
        <v>1.8933671400629237E-4</v>
      </c>
      <c r="Y353">
        <f t="shared" ca="1" si="165"/>
        <v>52432.727337663411</v>
      </c>
      <c r="Z353">
        <f t="shared" ca="1" si="166"/>
        <v>52432.727337665237</v>
      </c>
      <c r="AA353">
        <f t="shared" ca="1" si="167"/>
        <v>2.2562304480281055E-12</v>
      </c>
      <c r="AB353">
        <f t="shared" ca="1" si="168"/>
        <v>-5.0000000192085281E-4</v>
      </c>
      <c r="AC353">
        <f t="shared" ca="1" si="169"/>
        <v>1</v>
      </c>
      <c r="AD353">
        <f ca="1">IF(V32="Supercritical",L353,IF(V32="Subcritical",U353,IF(AND(T353=1,AC353=1),IF((((F353)*(L353)^2)/2+(G353)*(L353)^3/3+(ABS(K353)^2)/($I$5*MAX(((F353)+(G353)*(L353))*(L353),0.000001)))&gt;=(((F353)*(U353)^2)/2+(G353)*(U353)^3/3+(ABS(K353)^2)/($I$5*MAX(((F353)+(G353)*(U353))*(U353),0.000001))),L353,U353),IF(T353=1,L353,IF(AC353=1,U353,MAX($D$16,POWER((ABS(K353)^2)/($I$5*MAX(F353,0.1)^2),1/3)))))))</f>
        <v>51800.26683766341</v>
      </c>
      <c r="AE353">
        <f t="shared" ca="1" si="170"/>
        <v>52432.727337663411</v>
      </c>
      <c r="AF353">
        <f t="shared" ca="1" si="171"/>
        <v>52432.727337665237</v>
      </c>
      <c r="AI353">
        <v>0</v>
      </c>
      <c r="AJ353">
        <v>0</v>
      </c>
      <c r="AK353">
        <f t="shared" si="172"/>
        <v>0</v>
      </c>
      <c r="AL353">
        <f t="shared" si="181"/>
        <v>0</v>
      </c>
      <c r="AM353">
        <f t="shared" ca="1" si="173"/>
        <v>2.6560383008097266E-7</v>
      </c>
      <c r="AN353" t="str">
        <f t="shared" ca="1" si="174"/>
        <v>Subcritical</v>
      </c>
      <c r="AO353">
        <f t="shared" ca="1" si="175"/>
        <v>2.2562304480281055E-12</v>
      </c>
    </row>
    <row r="354" spans="1:41" x14ac:dyDescent="0.35">
      <c r="A354">
        <v>205</v>
      </c>
      <c r="B354">
        <v>203.94800000000001</v>
      </c>
      <c r="C354">
        <v>616379.94799999997</v>
      </c>
      <c r="D354">
        <v>3097691.014</v>
      </c>
      <c r="E354">
        <v>632.46</v>
      </c>
      <c r="F354">
        <v>5.2</v>
      </c>
      <c r="G354">
        <v>0</v>
      </c>
      <c r="H354" t="s">
        <v>186</v>
      </c>
      <c r="I354">
        <v>5.7000000000000002E-2</v>
      </c>
      <c r="J354">
        <f t="shared" si="176"/>
        <v>1</v>
      </c>
      <c r="K354">
        <f t="shared" si="177"/>
        <v>51</v>
      </c>
      <c r="L354">
        <f t="shared" ca="1" si="178"/>
        <v>51798.035176136313</v>
      </c>
      <c r="M354">
        <f t="shared" ca="1" si="155"/>
        <v>269349.78291590884</v>
      </c>
      <c r="N354">
        <f t="shared" ca="1" si="156"/>
        <v>2.5998694996697047</v>
      </c>
      <c r="O354">
        <f t="shared" ca="1" si="157"/>
        <v>1.8934487137092749E-4</v>
      </c>
      <c r="P354">
        <f t="shared" ca="1" si="158"/>
        <v>52430.495176136312</v>
      </c>
      <c r="Q354">
        <f t="shared" ca="1" si="159"/>
        <v>52430.495176138138</v>
      </c>
      <c r="R354">
        <f t="shared" ca="1" si="160"/>
        <v>2.2564248731497583E-12</v>
      </c>
      <c r="S354">
        <f t="shared" ca="1" si="179"/>
        <v>1.3510255768778734E-2</v>
      </c>
      <c r="T354">
        <f t="shared" ca="1" si="180"/>
        <v>0</v>
      </c>
      <c r="U354">
        <f t="shared" ca="1" si="161"/>
        <v>51800.26683766341</v>
      </c>
      <c r="V354">
        <f t="shared" ca="1" si="162"/>
        <v>269361.38755584974</v>
      </c>
      <c r="W354">
        <f t="shared" ca="1" si="163"/>
        <v>2.5998695052916441</v>
      </c>
      <c r="X354">
        <f t="shared" ca="1" si="164"/>
        <v>1.8933671400629237E-4</v>
      </c>
      <c r="Y354">
        <f t="shared" ca="1" si="165"/>
        <v>52432.726837663409</v>
      </c>
      <c r="Z354">
        <f t="shared" ca="1" si="166"/>
        <v>52432.726837665236</v>
      </c>
      <c r="AA354">
        <f t="shared" ca="1" si="167"/>
        <v>2.2562304480281055E-12</v>
      </c>
      <c r="AB354">
        <f t="shared" ca="1" si="168"/>
        <v>-5.0000000192085281E-4</v>
      </c>
      <c r="AC354">
        <f t="shared" ca="1" si="169"/>
        <v>1</v>
      </c>
      <c r="AD354">
        <f ca="1">IF(V32="Supercritical",L354,IF(V32="Subcritical",U354,IF(AND(T354=1,AC354=1),IF((((F354)*(L354)^2)/2+(G354)*(L354)^3/3+(ABS(K354)^2)/($I$5*MAX(((F354)+(G354)*(L354))*(L354),0.000001)))&gt;=(((F354)*(U354)^2)/2+(G354)*(U354)^3/3+(ABS(K354)^2)/($I$5*MAX(((F354)+(G354)*(U354))*(U354),0.000001))),L354,U354),IF(T354=1,L354,IF(AC354=1,U354,MAX($D$16,POWER((ABS(K354)^2)/($I$5*MAX(F354,0.1)^2),1/3)))))))</f>
        <v>51800.26683766341</v>
      </c>
      <c r="AE354">
        <f t="shared" ca="1" si="170"/>
        <v>52432.726837663409</v>
      </c>
      <c r="AF354">
        <f t="shared" ca="1" si="171"/>
        <v>52432.726837665236</v>
      </c>
      <c r="AI354">
        <v>0</v>
      </c>
      <c r="AJ354">
        <v>0</v>
      </c>
      <c r="AK354">
        <f t="shared" si="172"/>
        <v>0</v>
      </c>
      <c r="AL354">
        <f t="shared" si="181"/>
        <v>0</v>
      </c>
      <c r="AM354">
        <f t="shared" ca="1" si="173"/>
        <v>2.6560383008097266E-7</v>
      </c>
      <c r="AN354" t="str">
        <f t="shared" ca="1" si="174"/>
        <v>Subcritical</v>
      </c>
      <c r="AO354">
        <f t="shared" ca="1" si="175"/>
        <v>2.2562304480281055E-12</v>
      </c>
    </row>
    <row r="355" spans="1:41" x14ac:dyDescent="0.35">
      <c r="A355">
        <v>206</v>
      </c>
      <c r="B355">
        <v>204.94800000000001</v>
      </c>
      <c r="C355">
        <v>616378.94900000002</v>
      </c>
      <c r="D355">
        <v>3097690.9670000002</v>
      </c>
      <c r="E355">
        <v>632.45950000000005</v>
      </c>
      <c r="F355">
        <v>5.2</v>
      </c>
      <c r="G355">
        <v>0</v>
      </c>
      <c r="H355" t="s">
        <v>186</v>
      </c>
      <c r="I355">
        <v>5.7000000000000002E-2</v>
      </c>
      <c r="J355">
        <f t="shared" si="176"/>
        <v>1</v>
      </c>
      <c r="K355">
        <f t="shared" si="177"/>
        <v>51</v>
      </c>
      <c r="L355">
        <f t="shared" ca="1" si="178"/>
        <v>51798.035176136313</v>
      </c>
      <c r="M355">
        <f t="shared" ca="1" si="155"/>
        <v>269349.78291590884</v>
      </c>
      <c r="N355">
        <f t="shared" ca="1" si="156"/>
        <v>2.5998694996697047</v>
      </c>
      <c r="O355">
        <f t="shared" ca="1" si="157"/>
        <v>1.8934487137092749E-4</v>
      </c>
      <c r="P355">
        <f t="shared" ca="1" si="158"/>
        <v>52430.49467613631</v>
      </c>
      <c r="Q355">
        <f t="shared" ca="1" si="159"/>
        <v>52430.494676138136</v>
      </c>
      <c r="R355">
        <f t="shared" ca="1" si="160"/>
        <v>2.2564248731497583E-12</v>
      </c>
      <c r="S355">
        <f t="shared" ca="1" si="179"/>
        <v>5.0000000192085281E-4</v>
      </c>
      <c r="T355">
        <f t="shared" ca="1" si="180"/>
        <v>1</v>
      </c>
      <c r="U355">
        <f t="shared" ca="1" si="161"/>
        <v>51800.26683766341</v>
      </c>
      <c r="V355">
        <f t="shared" ca="1" si="162"/>
        <v>269361.38755584974</v>
      </c>
      <c r="W355">
        <f t="shared" ca="1" si="163"/>
        <v>2.5998695052916441</v>
      </c>
      <c r="X355">
        <f t="shared" ca="1" si="164"/>
        <v>1.8933671400629237E-4</v>
      </c>
      <c r="Y355">
        <f t="shared" ca="1" si="165"/>
        <v>52432.726337663407</v>
      </c>
      <c r="Z355">
        <f t="shared" ca="1" si="166"/>
        <v>52432.726337665234</v>
      </c>
      <c r="AA355">
        <f t="shared" ca="1" si="167"/>
        <v>2.2562304480281055E-12</v>
      </c>
      <c r="AB355">
        <f t="shared" ca="1" si="168"/>
        <v>-4.999999946448952E-4</v>
      </c>
      <c r="AC355">
        <f t="shared" ca="1" si="169"/>
        <v>1</v>
      </c>
      <c r="AD355">
        <f ca="1">IF(V32="Supercritical",L355,IF(V32="Subcritical",U355,IF(AND(T355=1,AC355=1),IF((((F355)*(L355)^2)/2+(G355)*(L355)^3/3+(ABS(K355)^2)/($I$5*MAX(((F355)+(G355)*(L355))*(L355),0.000001)))&gt;=(((F355)*(U355)^2)/2+(G355)*(U355)^3/3+(ABS(K355)^2)/($I$5*MAX(((F355)+(G355)*(U355))*(U355),0.000001))),L355,U355),IF(T355=1,L355,IF(AC355=1,U355,MAX($D$16,POWER((ABS(K355)^2)/($I$5*MAX(F355,0.1)^2),1/3)))))))</f>
        <v>51800.26683766341</v>
      </c>
      <c r="AE355">
        <f t="shared" ca="1" si="170"/>
        <v>52432.726337663407</v>
      </c>
      <c r="AF355">
        <f t="shared" ca="1" si="171"/>
        <v>52432.726337665234</v>
      </c>
      <c r="AI355">
        <v>0</v>
      </c>
      <c r="AJ355">
        <v>0</v>
      </c>
      <c r="AK355">
        <f t="shared" si="172"/>
        <v>0</v>
      </c>
      <c r="AL355">
        <f t="shared" si="181"/>
        <v>0</v>
      </c>
      <c r="AM355">
        <f t="shared" ca="1" si="173"/>
        <v>2.6560383008097266E-7</v>
      </c>
      <c r="AN355" t="str">
        <f t="shared" ca="1" si="174"/>
        <v>Subcritical</v>
      </c>
      <c r="AO355">
        <f t="shared" ca="1" si="175"/>
        <v>2.2562304480281055E-12</v>
      </c>
    </row>
    <row r="356" spans="1:41" x14ac:dyDescent="0.35">
      <c r="A356">
        <v>207</v>
      </c>
      <c r="B356">
        <v>205.94800000000001</v>
      </c>
      <c r="C356">
        <v>616377.94999999995</v>
      </c>
      <c r="D356">
        <v>3097690.9190000002</v>
      </c>
      <c r="E356">
        <v>632.45899999999995</v>
      </c>
      <c r="F356">
        <v>5.2</v>
      </c>
      <c r="G356">
        <v>0</v>
      </c>
      <c r="H356" t="s">
        <v>186</v>
      </c>
      <c r="I356">
        <v>5.7000000000000002E-2</v>
      </c>
      <c r="J356">
        <f t="shared" si="176"/>
        <v>1</v>
      </c>
      <c r="K356">
        <f t="shared" si="177"/>
        <v>51</v>
      </c>
      <c r="L356">
        <f t="shared" ca="1" si="178"/>
        <v>51798.022325123544</v>
      </c>
      <c r="M356">
        <f t="shared" ca="1" si="155"/>
        <v>269349.71609064244</v>
      </c>
      <c r="N356">
        <f t="shared" ca="1" si="156"/>
        <v>2.5998694996373293</v>
      </c>
      <c r="O356">
        <f t="shared" ca="1" si="157"/>
        <v>1.8934491834711017E-4</v>
      </c>
      <c r="P356">
        <f t="shared" ca="1" si="158"/>
        <v>52430.481325123546</v>
      </c>
      <c r="Q356">
        <f t="shared" ca="1" si="159"/>
        <v>52430.481325125373</v>
      </c>
      <c r="R356">
        <f t="shared" ca="1" si="160"/>
        <v>2.256425992818712E-12</v>
      </c>
      <c r="S356">
        <f t="shared" ca="1" si="179"/>
        <v>1.3351012763450854E-2</v>
      </c>
      <c r="T356">
        <f t="shared" ca="1" si="180"/>
        <v>0</v>
      </c>
      <c r="U356">
        <f t="shared" ca="1" si="161"/>
        <v>51800.26683766341</v>
      </c>
      <c r="V356">
        <f t="shared" ca="1" si="162"/>
        <v>269361.38755584974</v>
      </c>
      <c r="W356">
        <f t="shared" ca="1" si="163"/>
        <v>2.5998695052916441</v>
      </c>
      <c r="X356">
        <f t="shared" ca="1" si="164"/>
        <v>1.8933671400629237E-4</v>
      </c>
      <c r="Y356">
        <f t="shared" ca="1" si="165"/>
        <v>52432.725837663413</v>
      </c>
      <c r="Z356">
        <f t="shared" ca="1" si="166"/>
        <v>52432.725837665239</v>
      </c>
      <c r="AA356">
        <f t="shared" ca="1" si="167"/>
        <v>2.2562304480281055E-12</v>
      </c>
      <c r="AB356">
        <f t="shared" ca="1" si="168"/>
        <v>-5.0000000192085281E-4</v>
      </c>
      <c r="AC356">
        <f t="shared" ca="1" si="169"/>
        <v>1</v>
      </c>
      <c r="AD356">
        <f ca="1">IF(V32="Supercritical",L356,IF(V32="Subcritical",U356,IF(AND(T356=1,AC356=1),IF((((F356)*(L356)^2)/2+(G356)*(L356)^3/3+(ABS(K356)^2)/($I$5*MAX(((F356)+(G356)*(L356))*(L356),0.000001)))&gt;=(((F356)*(U356)^2)/2+(G356)*(U356)^3/3+(ABS(K356)^2)/($I$5*MAX(((F356)+(G356)*(U356))*(U356),0.000001))),L356,U356),IF(T356=1,L356,IF(AC356=1,U356,MAX($D$16,POWER((ABS(K356)^2)/($I$5*MAX(F356,0.1)^2),1/3)))))))</f>
        <v>51800.26683766341</v>
      </c>
      <c r="AE356">
        <f t="shared" ca="1" si="170"/>
        <v>52432.725837663413</v>
      </c>
      <c r="AF356">
        <f t="shared" ca="1" si="171"/>
        <v>52432.725837665239</v>
      </c>
      <c r="AI356">
        <v>0</v>
      </c>
      <c r="AJ356">
        <v>0</v>
      </c>
      <c r="AK356">
        <f t="shared" si="172"/>
        <v>0</v>
      </c>
      <c r="AL356">
        <f t="shared" si="181"/>
        <v>0</v>
      </c>
      <c r="AM356">
        <f t="shared" ca="1" si="173"/>
        <v>2.6560383008097266E-7</v>
      </c>
      <c r="AN356" t="str">
        <f t="shared" ca="1" si="174"/>
        <v>Subcritical</v>
      </c>
      <c r="AO356">
        <f t="shared" ca="1" si="175"/>
        <v>2.2562304480281055E-12</v>
      </c>
    </row>
    <row r="357" spans="1:41" x14ac:dyDescent="0.35">
      <c r="A357">
        <v>208</v>
      </c>
      <c r="B357">
        <v>206.94800000000001</v>
      </c>
      <c r="C357">
        <v>616376.951</v>
      </c>
      <c r="D357">
        <v>3097690.872</v>
      </c>
      <c r="E357">
        <v>632.45849999999996</v>
      </c>
      <c r="F357">
        <v>5.2</v>
      </c>
      <c r="G357">
        <v>0</v>
      </c>
      <c r="H357" t="s">
        <v>186</v>
      </c>
      <c r="I357">
        <v>5.7000000000000002E-2</v>
      </c>
      <c r="J357">
        <f t="shared" si="176"/>
        <v>1</v>
      </c>
      <c r="K357">
        <f t="shared" si="177"/>
        <v>51</v>
      </c>
      <c r="L357">
        <f t="shared" ca="1" si="178"/>
        <v>51798.022325123544</v>
      </c>
      <c r="M357">
        <f t="shared" ca="1" si="155"/>
        <v>269349.71609064244</v>
      </c>
      <c r="N357">
        <f t="shared" ca="1" si="156"/>
        <v>2.5998694996373293</v>
      </c>
      <c r="O357">
        <f t="shared" ca="1" si="157"/>
        <v>1.8934491834711017E-4</v>
      </c>
      <c r="P357">
        <f t="shared" ca="1" si="158"/>
        <v>52430.480825123544</v>
      </c>
      <c r="Q357">
        <f t="shared" ca="1" si="159"/>
        <v>52430.480825125371</v>
      </c>
      <c r="R357">
        <f t="shared" ca="1" si="160"/>
        <v>2.256425992818712E-12</v>
      </c>
      <c r="S357">
        <f t="shared" ca="1" si="179"/>
        <v>5.0000000192085281E-4</v>
      </c>
      <c r="T357">
        <f t="shared" ca="1" si="180"/>
        <v>1</v>
      </c>
      <c r="U357">
        <f t="shared" ca="1" si="161"/>
        <v>51800.26683766341</v>
      </c>
      <c r="V357">
        <f t="shared" ca="1" si="162"/>
        <v>269361.38755584974</v>
      </c>
      <c r="W357">
        <f t="shared" ca="1" si="163"/>
        <v>2.5998695052916441</v>
      </c>
      <c r="X357">
        <f t="shared" ca="1" si="164"/>
        <v>1.8933671400629237E-4</v>
      </c>
      <c r="Y357">
        <f t="shared" ca="1" si="165"/>
        <v>52432.725337663411</v>
      </c>
      <c r="Z357">
        <f t="shared" ca="1" si="166"/>
        <v>52432.725337665237</v>
      </c>
      <c r="AA357">
        <f t="shared" ca="1" si="167"/>
        <v>2.2562304480281055E-12</v>
      </c>
      <c r="AB357">
        <f t="shared" ca="1" si="168"/>
        <v>-5.0000000192085281E-4</v>
      </c>
      <c r="AC357">
        <f t="shared" ca="1" si="169"/>
        <v>1</v>
      </c>
      <c r="AD357">
        <f ca="1">IF(V32="Supercritical",L357,IF(V32="Subcritical",U357,IF(AND(T357=1,AC357=1),IF((((F357)*(L357)^2)/2+(G357)*(L357)^3/3+(ABS(K357)^2)/($I$5*MAX(((F357)+(G357)*(L357))*(L357),0.000001)))&gt;=(((F357)*(U357)^2)/2+(G357)*(U357)^3/3+(ABS(K357)^2)/($I$5*MAX(((F357)+(G357)*(U357))*(U357),0.000001))),L357,U357),IF(T357=1,L357,IF(AC357=1,U357,MAX($D$16,POWER((ABS(K357)^2)/($I$5*MAX(F357,0.1)^2),1/3)))))))</f>
        <v>51800.26683766341</v>
      </c>
      <c r="AE357">
        <f t="shared" ca="1" si="170"/>
        <v>52432.725337663411</v>
      </c>
      <c r="AF357">
        <f t="shared" ca="1" si="171"/>
        <v>52432.725337665237</v>
      </c>
      <c r="AI357">
        <v>0</v>
      </c>
      <c r="AJ357">
        <v>0</v>
      </c>
      <c r="AK357">
        <f t="shared" si="172"/>
        <v>0</v>
      </c>
      <c r="AL357">
        <f t="shared" si="181"/>
        <v>0</v>
      </c>
      <c r="AM357">
        <f t="shared" ca="1" si="173"/>
        <v>2.6560383008097266E-7</v>
      </c>
      <c r="AN357" t="str">
        <f t="shared" ca="1" si="174"/>
        <v>Subcritical</v>
      </c>
      <c r="AO357">
        <f t="shared" ca="1" si="175"/>
        <v>2.2562304480281055E-12</v>
      </c>
    </row>
    <row r="358" spans="1:41" x14ac:dyDescent="0.35">
      <c r="A358">
        <v>209</v>
      </c>
      <c r="B358">
        <v>207.94900000000001</v>
      </c>
      <c r="C358">
        <v>616375.95200000005</v>
      </c>
      <c r="D358">
        <v>3097690.824</v>
      </c>
      <c r="E358">
        <v>632.45799999999997</v>
      </c>
      <c r="F358">
        <v>5.2</v>
      </c>
      <c r="G358">
        <v>0</v>
      </c>
      <c r="H358" t="s">
        <v>186</v>
      </c>
      <c r="I358">
        <v>3.0000000000000001E-3</v>
      </c>
      <c r="J358">
        <f t="shared" si="176"/>
        <v>1.0010000000000048</v>
      </c>
      <c r="K358">
        <f t="shared" si="177"/>
        <v>51</v>
      </c>
      <c r="L358">
        <f t="shared" ca="1" si="178"/>
        <v>51798.00972907868</v>
      </c>
      <c r="M358">
        <f t="shared" ca="1" si="155"/>
        <v>269349.65059120912</v>
      </c>
      <c r="N358">
        <f t="shared" ca="1" si="156"/>
        <v>2.599869499605596</v>
      </c>
      <c r="O358">
        <f t="shared" ca="1" si="157"/>
        <v>1.893449643912941E-4</v>
      </c>
      <c r="P358">
        <f t="shared" ca="1" si="158"/>
        <v>52430.467729078679</v>
      </c>
      <c r="Q358">
        <f t="shared" ca="1" si="159"/>
        <v>52430.467729080505</v>
      </c>
      <c r="R358">
        <f t="shared" ca="1" si="160"/>
        <v>2.2564270902739125E-12</v>
      </c>
      <c r="S358">
        <f t="shared" ca="1" si="179"/>
        <v>1.3096044865960721E-2</v>
      </c>
      <c r="T358">
        <f t="shared" ca="1" si="180"/>
        <v>0</v>
      </c>
      <c r="U358">
        <f t="shared" ca="1" si="161"/>
        <v>51800.26683766341</v>
      </c>
      <c r="V358">
        <f t="shared" ca="1" si="162"/>
        <v>269361.38755584974</v>
      </c>
      <c r="W358">
        <f t="shared" ca="1" si="163"/>
        <v>2.5998695052916441</v>
      </c>
      <c r="X358">
        <f t="shared" ca="1" si="164"/>
        <v>1.8933671400629237E-4</v>
      </c>
      <c r="Y358">
        <f t="shared" ca="1" si="165"/>
        <v>52432.724837663409</v>
      </c>
      <c r="Z358">
        <f t="shared" ca="1" si="166"/>
        <v>52432.724837665235</v>
      </c>
      <c r="AA358">
        <f t="shared" ca="1" si="167"/>
        <v>2.2562304480281055E-12</v>
      </c>
      <c r="AB358">
        <f t="shared" ca="1" si="168"/>
        <v>-5.0000000192085281E-4</v>
      </c>
      <c r="AC358">
        <f t="shared" ca="1" si="169"/>
        <v>1</v>
      </c>
      <c r="AD358">
        <f ca="1">IF(V32="Supercritical",L358,IF(V32="Subcritical",U358,IF(AND(T358=1,AC358=1),IF((((F358)*(L358)^2)/2+(G358)*(L358)^3/3+(ABS(K358)^2)/($I$5*MAX(((F358)+(G358)*(L358))*(L358),0.000001)))&gt;=(((F358)*(U358)^2)/2+(G358)*(U358)^3/3+(ABS(K358)^2)/($I$5*MAX(((F358)+(G358)*(U358))*(U358),0.000001))),L358,U358),IF(T358=1,L358,IF(AC358=1,U358,MAX($D$16,POWER((ABS(K358)^2)/($I$5*MAX(F358,0.1)^2),1/3)))))))</f>
        <v>51800.26683766341</v>
      </c>
      <c r="AE358">
        <f t="shared" ca="1" si="170"/>
        <v>52432.724837663409</v>
      </c>
      <c r="AF358">
        <f t="shared" ca="1" si="171"/>
        <v>52432.724837665235</v>
      </c>
      <c r="AI358">
        <v>0</v>
      </c>
      <c r="AJ358">
        <v>0</v>
      </c>
      <c r="AK358">
        <f t="shared" si="172"/>
        <v>0</v>
      </c>
      <c r="AL358">
        <f t="shared" si="181"/>
        <v>0</v>
      </c>
      <c r="AM358">
        <f t="shared" ca="1" si="173"/>
        <v>2.6560383008097266E-7</v>
      </c>
      <c r="AN358" t="str">
        <f t="shared" ca="1" si="174"/>
        <v>Subcritical</v>
      </c>
      <c r="AO358">
        <f t="shared" ca="1" si="175"/>
        <v>2.2562304480281055E-12</v>
      </c>
    </row>
    <row r="359" spans="1:41" x14ac:dyDescent="0.35">
      <c r="A359">
        <v>210</v>
      </c>
      <c r="B359">
        <v>208.94800000000001</v>
      </c>
      <c r="C359">
        <v>616374.95400000003</v>
      </c>
      <c r="D359">
        <v>3097690.7760000001</v>
      </c>
      <c r="E359">
        <v>632.45749999999998</v>
      </c>
      <c r="F359">
        <v>5.2</v>
      </c>
      <c r="G359">
        <v>0</v>
      </c>
      <c r="H359" t="s">
        <v>186</v>
      </c>
      <c r="I359">
        <v>0.06</v>
      </c>
      <c r="J359">
        <f t="shared" si="176"/>
        <v>0.99899999999999523</v>
      </c>
      <c r="K359">
        <f t="shared" si="177"/>
        <v>51</v>
      </c>
      <c r="L359">
        <f t="shared" ca="1" si="178"/>
        <v>51798.00972907868</v>
      </c>
      <c r="M359">
        <f t="shared" ca="1" si="155"/>
        <v>269349.65059120912</v>
      </c>
      <c r="N359">
        <f t="shared" ca="1" si="156"/>
        <v>2.599869499605596</v>
      </c>
      <c r="O359">
        <f t="shared" ca="1" si="157"/>
        <v>1.893449643912941E-4</v>
      </c>
      <c r="P359">
        <f t="shared" ca="1" si="158"/>
        <v>52430.467229078677</v>
      </c>
      <c r="Q359">
        <f t="shared" ca="1" si="159"/>
        <v>52430.467229080503</v>
      </c>
      <c r="R359">
        <f t="shared" ca="1" si="160"/>
        <v>2.2564270902739125E-12</v>
      </c>
      <c r="S359">
        <f t="shared" ca="1" si="179"/>
        <v>5.0000000192085281E-4</v>
      </c>
      <c r="T359">
        <f t="shared" ca="1" si="180"/>
        <v>1</v>
      </c>
      <c r="U359">
        <f t="shared" ca="1" si="161"/>
        <v>51800.26683766341</v>
      </c>
      <c r="V359">
        <f t="shared" ca="1" si="162"/>
        <v>269361.38755584974</v>
      </c>
      <c r="W359">
        <f t="shared" ca="1" si="163"/>
        <v>2.5998695052916441</v>
      </c>
      <c r="X359">
        <f t="shared" ca="1" si="164"/>
        <v>1.8933671400629237E-4</v>
      </c>
      <c r="Y359">
        <f t="shared" ca="1" si="165"/>
        <v>52432.724337663407</v>
      </c>
      <c r="Z359">
        <f t="shared" ca="1" si="166"/>
        <v>52432.724337665233</v>
      </c>
      <c r="AA359">
        <f t="shared" ca="1" si="167"/>
        <v>2.2562304480281055E-12</v>
      </c>
      <c r="AB359">
        <f t="shared" ca="1" si="168"/>
        <v>-4.999999946448952E-4</v>
      </c>
      <c r="AC359">
        <f t="shared" ca="1" si="169"/>
        <v>1</v>
      </c>
      <c r="AD359">
        <f ca="1">IF(V32="Supercritical",L359,IF(V32="Subcritical",U359,IF(AND(T359=1,AC359=1),IF((((F359)*(L359)^2)/2+(G359)*(L359)^3/3+(ABS(K359)^2)/($I$5*MAX(((F359)+(G359)*(L359))*(L359),0.000001)))&gt;=(((F359)*(U359)^2)/2+(G359)*(U359)^3/3+(ABS(K359)^2)/($I$5*MAX(((F359)+(G359)*(U359))*(U359),0.000001))),L359,U359),IF(T359=1,L359,IF(AC359=1,U359,MAX($D$16,POWER((ABS(K359)^2)/($I$5*MAX(F359,0.1)^2),1/3)))))))</f>
        <v>51800.26683766341</v>
      </c>
      <c r="AE359">
        <f t="shared" ca="1" si="170"/>
        <v>52432.724337663407</v>
      </c>
      <c r="AF359">
        <f t="shared" ca="1" si="171"/>
        <v>52432.724337665233</v>
      </c>
      <c r="AI359">
        <v>0</v>
      </c>
      <c r="AJ359">
        <v>0</v>
      </c>
      <c r="AK359">
        <f t="shared" si="172"/>
        <v>0</v>
      </c>
      <c r="AL359">
        <f t="shared" si="181"/>
        <v>0</v>
      </c>
      <c r="AM359">
        <f t="shared" ca="1" si="173"/>
        <v>2.6560383008097266E-7</v>
      </c>
      <c r="AN359" t="str">
        <f t="shared" ca="1" si="174"/>
        <v>Subcritical</v>
      </c>
      <c r="AO359">
        <f t="shared" ca="1" si="175"/>
        <v>2.2562304480281055E-12</v>
      </c>
    </row>
    <row r="360" spans="1:41" x14ac:dyDescent="0.35">
      <c r="A360">
        <v>211</v>
      </c>
      <c r="B360">
        <v>209.94800000000001</v>
      </c>
      <c r="C360">
        <v>616373.95499999996</v>
      </c>
      <c r="D360">
        <v>3097690.7289999998</v>
      </c>
      <c r="E360">
        <v>632.45699999999999</v>
      </c>
      <c r="F360">
        <v>5.2</v>
      </c>
      <c r="G360">
        <v>0</v>
      </c>
      <c r="H360" t="s">
        <v>186</v>
      </c>
      <c r="I360">
        <v>5.7000000000000002E-2</v>
      </c>
      <c r="J360">
        <f t="shared" si="176"/>
        <v>1</v>
      </c>
      <c r="K360">
        <f t="shared" si="177"/>
        <v>51</v>
      </c>
      <c r="L360">
        <f t="shared" ca="1" si="178"/>
        <v>51797.997489179383</v>
      </c>
      <c r="M360">
        <f t="shared" ca="1" si="155"/>
        <v>269349.58694373281</v>
      </c>
      <c r="N360">
        <f t="shared" ca="1" si="156"/>
        <v>2.5998694995747607</v>
      </c>
      <c r="O360">
        <f t="shared" ca="1" si="157"/>
        <v>1.8934500913362793E-4</v>
      </c>
      <c r="P360">
        <f t="shared" ca="1" si="158"/>
        <v>52430.454489179385</v>
      </c>
      <c r="Q360">
        <f t="shared" ca="1" si="159"/>
        <v>52430.454489181211</v>
      </c>
      <c r="R360">
        <f t="shared" ca="1" si="160"/>
        <v>2.2564281566999938E-12</v>
      </c>
      <c r="S360">
        <f t="shared" ca="1" si="179"/>
        <v>1.2739899291773327E-2</v>
      </c>
      <c r="T360">
        <f t="shared" ca="1" si="180"/>
        <v>0</v>
      </c>
      <c r="U360">
        <f t="shared" ca="1" si="161"/>
        <v>51800.26683766341</v>
      </c>
      <c r="V360">
        <f t="shared" ca="1" si="162"/>
        <v>269361.38755584974</v>
      </c>
      <c r="W360">
        <f t="shared" ca="1" si="163"/>
        <v>2.5998695052916441</v>
      </c>
      <c r="X360">
        <f t="shared" ca="1" si="164"/>
        <v>1.8933671400629237E-4</v>
      </c>
      <c r="Y360">
        <f t="shared" ca="1" si="165"/>
        <v>52432.723837663412</v>
      </c>
      <c r="Z360">
        <f t="shared" ca="1" si="166"/>
        <v>52432.723837665239</v>
      </c>
      <c r="AA360">
        <f t="shared" ca="1" si="167"/>
        <v>2.2562304480281055E-12</v>
      </c>
      <c r="AB360">
        <f t="shared" ca="1" si="168"/>
        <v>-5.0000000192085281E-4</v>
      </c>
      <c r="AC360">
        <f t="shared" ca="1" si="169"/>
        <v>1</v>
      </c>
      <c r="AD360">
        <f ca="1">IF(V32="Supercritical",L360,IF(V32="Subcritical",U360,IF(AND(T360=1,AC360=1),IF((((F360)*(L360)^2)/2+(G360)*(L360)^3/3+(ABS(K360)^2)/($I$5*MAX(((F360)+(G360)*(L360))*(L360),0.000001)))&gt;=(((F360)*(U360)^2)/2+(G360)*(U360)^3/3+(ABS(K360)^2)/($I$5*MAX(((F360)+(G360)*(U360))*(U360),0.000001))),L360,U360),IF(T360=1,L360,IF(AC360=1,U360,MAX($D$16,POWER((ABS(K360)^2)/($I$5*MAX(F360,0.1)^2),1/3)))))))</f>
        <v>51800.26683766341</v>
      </c>
      <c r="AE360">
        <f t="shared" ca="1" si="170"/>
        <v>52432.723837663412</v>
      </c>
      <c r="AF360">
        <f t="shared" ca="1" si="171"/>
        <v>52432.723837665239</v>
      </c>
      <c r="AI360">
        <v>0</v>
      </c>
      <c r="AJ360">
        <v>0</v>
      </c>
      <c r="AK360">
        <f t="shared" si="172"/>
        <v>0</v>
      </c>
      <c r="AL360">
        <f t="shared" si="181"/>
        <v>0</v>
      </c>
      <c r="AM360">
        <f t="shared" ca="1" si="173"/>
        <v>2.6560383008097266E-7</v>
      </c>
      <c r="AN360" t="str">
        <f t="shared" ca="1" si="174"/>
        <v>Subcritical</v>
      </c>
      <c r="AO360">
        <f t="shared" ca="1" si="175"/>
        <v>2.2562304480281055E-12</v>
      </c>
    </row>
    <row r="361" spans="1:41" x14ac:dyDescent="0.35">
      <c r="A361">
        <v>212</v>
      </c>
      <c r="B361">
        <v>210.94800000000001</v>
      </c>
      <c r="C361">
        <v>616372.95600000001</v>
      </c>
      <c r="D361">
        <v>3097690.6809999999</v>
      </c>
      <c r="E361">
        <v>632.45650000000001</v>
      </c>
      <c r="F361">
        <v>5.2</v>
      </c>
      <c r="G361">
        <v>0</v>
      </c>
      <c r="H361" t="s">
        <v>186</v>
      </c>
      <c r="I361">
        <v>0</v>
      </c>
      <c r="J361">
        <f t="shared" si="176"/>
        <v>1</v>
      </c>
      <c r="K361">
        <f t="shared" si="177"/>
        <v>51</v>
      </c>
      <c r="L361">
        <f t="shared" ca="1" si="178"/>
        <v>51797.997489179383</v>
      </c>
      <c r="M361">
        <f t="shared" ca="1" si="155"/>
        <v>269349.58694373281</v>
      </c>
      <c r="N361">
        <f t="shared" ca="1" si="156"/>
        <v>2.5998694995747607</v>
      </c>
      <c r="O361">
        <f t="shared" ca="1" si="157"/>
        <v>1.8934500913362793E-4</v>
      </c>
      <c r="P361">
        <f t="shared" ca="1" si="158"/>
        <v>52430.453989179383</v>
      </c>
      <c r="Q361">
        <f t="shared" ca="1" si="159"/>
        <v>52430.453989181209</v>
      </c>
      <c r="R361">
        <f t="shared" ca="1" si="160"/>
        <v>2.2564281566999938E-12</v>
      </c>
      <c r="S361">
        <f t="shared" ca="1" si="179"/>
        <v>5.0000000192085281E-4</v>
      </c>
      <c r="T361">
        <f t="shared" ca="1" si="180"/>
        <v>1</v>
      </c>
      <c r="U361">
        <f t="shared" ca="1" si="161"/>
        <v>51800.26683766341</v>
      </c>
      <c r="V361">
        <f t="shared" ca="1" si="162"/>
        <v>269361.38755584974</v>
      </c>
      <c r="W361">
        <f t="shared" ca="1" si="163"/>
        <v>2.5998695052916441</v>
      </c>
      <c r="X361">
        <f t="shared" ca="1" si="164"/>
        <v>1.8933671400629237E-4</v>
      </c>
      <c r="Y361">
        <f t="shared" ca="1" si="165"/>
        <v>52432.72333766341</v>
      </c>
      <c r="Z361">
        <f t="shared" ca="1" si="166"/>
        <v>52432.723337665237</v>
      </c>
      <c r="AA361">
        <f t="shared" ca="1" si="167"/>
        <v>2.2562304480281055E-12</v>
      </c>
      <c r="AB361">
        <f t="shared" ca="1" si="168"/>
        <v>-5.0000000192085281E-4</v>
      </c>
      <c r="AC361">
        <f t="shared" ca="1" si="169"/>
        <v>1</v>
      </c>
      <c r="AD361">
        <f ca="1">IF(V32="Supercritical",L361,IF(V32="Subcritical",U361,IF(AND(T361=1,AC361=1),IF((((F361)*(L361)^2)/2+(G361)*(L361)^3/3+(ABS(K361)^2)/($I$5*MAX(((F361)+(G361)*(L361))*(L361),0.000001)))&gt;=(((F361)*(U361)^2)/2+(G361)*(U361)^3/3+(ABS(K361)^2)/($I$5*MAX(((F361)+(G361)*(U361))*(U361),0.000001))),L361,U361),IF(T361=1,L361,IF(AC361=1,U361,MAX($D$16,POWER((ABS(K361)^2)/($I$5*MAX(F361,0.1)^2),1/3)))))))</f>
        <v>51800.26683766341</v>
      </c>
      <c r="AE361">
        <f t="shared" ca="1" si="170"/>
        <v>52432.72333766341</v>
      </c>
      <c r="AF361">
        <f t="shared" ca="1" si="171"/>
        <v>52432.723337665237</v>
      </c>
      <c r="AI361">
        <v>0</v>
      </c>
      <c r="AJ361">
        <v>0</v>
      </c>
      <c r="AK361">
        <f t="shared" si="172"/>
        <v>0</v>
      </c>
      <c r="AL361">
        <f t="shared" si="181"/>
        <v>0</v>
      </c>
      <c r="AM361">
        <f t="shared" ca="1" si="173"/>
        <v>2.6560383008097266E-7</v>
      </c>
      <c r="AN361" t="str">
        <f t="shared" ca="1" si="174"/>
        <v>Subcritical</v>
      </c>
      <c r="AO361">
        <f t="shared" ca="1" si="175"/>
        <v>2.2562304480281055E-12</v>
      </c>
    </row>
    <row r="362" spans="1:41" x14ac:dyDescent="0.35">
      <c r="A362">
        <v>213</v>
      </c>
      <c r="B362">
        <v>211.94800000000001</v>
      </c>
      <c r="C362">
        <v>616371.95700000005</v>
      </c>
      <c r="D362">
        <v>3097690.6329999999</v>
      </c>
      <c r="E362">
        <v>632.45600000000002</v>
      </c>
      <c r="F362">
        <v>5.2</v>
      </c>
      <c r="G362">
        <v>0</v>
      </c>
      <c r="H362" t="s">
        <v>186</v>
      </c>
      <c r="I362">
        <v>5.7000000000000002E-2</v>
      </c>
      <c r="J362">
        <f t="shared" si="176"/>
        <v>1</v>
      </c>
      <c r="K362">
        <f t="shared" si="177"/>
        <v>51</v>
      </c>
      <c r="L362">
        <f t="shared" ca="1" si="178"/>
        <v>51797.985705955536</v>
      </c>
      <c r="M362">
        <f t="shared" ca="1" si="155"/>
        <v>269349.52567096881</v>
      </c>
      <c r="N362">
        <f t="shared" ca="1" si="156"/>
        <v>2.5998694995450755</v>
      </c>
      <c r="O362">
        <f t="shared" ca="1" si="157"/>
        <v>1.8934505220662772E-4</v>
      </c>
      <c r="P362">
        <f t="shared" ca="1" si="158"/>
        <v>52430.441705955534</v>
      </c>
      <c r="Q362">
        <f t="shared" ca="1" si="159"/>
        <v>52430.441705957361</v>
      </c>
      <c r="R362">
        <f t="shared" ca="1" si="160"/>
        <v>2.2564291833380139E-12</v>
      </c>
      <c r="S362">
        <f t="shared" ca="1" si="179"/>
        <v>1.2283223848498892E-2</v>
      </c>
      <c r="T362">
        <f t="shared" ca="1" si="180"/>
        <v>0</v>
      </c>
      <c r="U362">
        <f t="shared" ca="1" si="161"/>
        <v>51800.26683766341</v>
      </c>
      <c r="V362">
        <f t="shared" ca="1" si="162"/>
        <v>269361.38755584974</v>
      </c>
      <c r="W362">
        <f t="shared" ca="1" si="163"/>
        <v>2.5998695052916441</v>
      </c>
      <c r="X362">
        <f t="shared" ca="1" si="164"/>
        <v>1.8933671400629237E-4</v>
      </c>
      <c r="Y362">
        <f t="shared" ca="1" si="165"/>
        <v>52432.722837663408</v>
      </c>
      <c r="Z362">
        <f t="shared" ca="1" si="166"/>
        <v>52432.722837665235</v>
      </c>
      <c r="AA362">
        <f t="shared" ca="1" si="167"/>
        <v>2.2562304480281055E-12</v>
      </c>
      <c r="AB362">
        <f t="shared" ca="1" si="168"/>
        <v>-5.0000000192085281E-4</v>
      </c>
      <c r="AC362">
        <f t="shared" ca="1" si="169"/>
        <v>1</v>
      </c>
      <c r="AD362">
        <f ca="1">IF(V32="Supercritical",L362,IF(V32="Subcritical",U362,IF(AND(T362=1,AC362=1),IF((((F362)*(L362)^2)/2+(G362)*(L362)^3/3+(ABS(K362)^2)/($I$5*MAX(((F362)+(G362)*(L362))*(L362),0.000001)))&gt;=(((F362)*(U362)^2)/2+(G362)*(U362)^3/3+(ABS(K362)^2)/($I$5*MAX(((F362)+(G362)*(U362))*(U362),0.000001))),L362,U362),IF(T362=1,L362,IF(AC362=1,U362,MAX($D$16,POWER((ABS(K362)^2)/($I$5*MAX(F362,0.1)^2),1/3)))))))</f>
        <v>51800.26683766341</v>
      </c>
      <c r="AE362">
        <f t="shared" ca="1" si="170"/>
        <v>52432.722837663408</v>
      </c>
      <c r="AF362">
        <f t="shared" ca="1" si="171"/>
        <v>52432.722837665235</v>
      </c>
      <c r="AI362">
        <v>0</v>
      </c>
      <c r="AJ362">
        <v>0</v>
      </c>
      <c r="AK362">
        <f t="shared" si="172"/>
        <v>0</v>
      </c>
      <c r="AL362">
        <f t="shared" si="181"/>
        <v>0</v>
      </c>
      <c r="AM362">
        <f t="shared" ca="1" si="173"/>
        <v>2.6560383008097266E-7</v>
      </c>
      <c r="AN362" t="str">
        <f t="shared" ca="1" si="174"/>
        <v>Subcritical</v>
      </c>
      <c r="AO362">
        <f t="shared" ca="1" si="175"/>
        <v>2.2562304480281055E-12</v>
      </c>
    </row>
    <row r="363" spans="1:41" x14ac:dyDescent="0.35">
      <c r="A363">
        <v>214</v>
      </c>
      <c r="B363">
        <v>212.94800000000001</v>
      </c>
      <c r="C363">
        <v>616370.95799999998</v>
      </c>
      <c r="D363">
        <v>3097690.5860000001</v>
      </c>
      <c r="E363">
        <v>632.45550000000003</v>
      </c>
      <c r="F363">
        <v>5.2</v>
      </c>
      <c r="G363">
        <v>0</v>
      </c>
      <c r="H363" t="s">
        <v>186</v>
      </c>
      <c r="I363">
        <v>5.7000000000000002E-2</v>
      </c>
      <c r="J363">
        <f t="shared" si="176"/>
        <v>1</v>
      </c>
      <c r="K363">
        <f t="shared" si="177"/>
        <v>51</v>
      </c>
      <c r="L363">
        <f t="shared" ca="1" si="178"/>
        <v>51797.985705955536</v>
      </c>
      <c r="M363">
        <f t="shared" ca="1" si="155"/>
        <v>269349.52567096881</v>
      </c>
      <c r="N363">
        <f t="shared" ca="1" si="156"/>
        <v>2.5998694995450755</v>
      </c>
      <c r="O363">
        <f t="shared" ca="1" si="157"/>
        <v>1.8934505220662772E-4</v>
      </c>
      <c r="P363">
        <f t="shared" ca="1" si="158"/>
        <v>52430.441205955532</v>
      </c>
      <c r="Q363">
        <f t="shared" ca="1" si="159"/>
        <v>52430.441205957359</v>
      </c>
      <c r="R363">
        <f t="shared" ca="1" si="160"/>
        <v>2.2564291833380139E-12</v>
      </c>
      <c r="S363">
        <f t="shared" ca="1" si="179"/>
        <v>5.0000000192085281E-4</v>
      </c>
      <c r="T363">
        <f t="shared" ca="1" si="180"/>
        <v>1</v>
      </c>
      <c r="U363">
        <f t="shared" ca="1" si="161"/>
        <v>51800.26683766341</v>
      </c>
      <c r="V363">
        <f t="shared" ca="1" si="162"/>
        <v>269361.38755584974</v>
      </c>
      <c r="W363">
        <f t="shared" ca="1" si="163"/>
        <v>2.5998695052916441</v>
      </c>
      <c r="X363">
        <f t="shared" ca="1" si="164"/>
        <v>1.8933671400629237E-4</v>
      </c>
      <c r="Y363">
        <f t="shared" ca="1" si="165"/>
        <v>52432.722337663407</v>
      </c>
      <c r="Z363">
        <f t="shared" ca="1" si="166"/>
        <v>52432.722337665233</v>
      </c>
      <c r="AA363">
        <f t="shared" ca="1" si="167"/>
        <v>2.2562304480281055E-12</v>
      </c>
      <c r="AB363">
        <f t="shared" ca="1" si="168"/>
        <v>-4.999999946448952E-4</v>
      </c>
      <c r="AC363">
        <f t="shared" ca="1" si="169"/>
        <v>1</v>
      </c>
      <c r="AD363">
        <f ca="1">IF(V32="Supercritical",L363,IF(V32="Subcritical",U363,IF(AND(T363=1,AC363=1),IF((((F363)*(L363)^2)/2+(G363)*(L363)^3/3+(ABS(K363)^2)/($I$5*MAX(((F363)+(G363)*(L363))*(L363),0.000001)))&gt;=(((F363)*(U363)^2)/2+(G363)*(U363)^3/3+(ABS(K363)^2)/($I$5*MAX(((F363)+(G363)*(U363))*(U363),0.000001))),L363,U363),IF(T363=1,L363,IF(AC363=1,U363,MAX($D$16,POWER((ABS(K363)^2)/($I$5*MAX(F363,0.1)^2),1/3)))))))</f>
        <v>51800.26683766341</v>
      </c>
      <c r="AE363">
        <f t="shared" ca="1" si="170"/>
        <v>52432.722337663407</v>
      </c>
      <c r="AF363">
        <f t="shared" ca="1" si="171"/>
        <v>52432.722337665233</v>
      </c>
      <c r="AI363">
        <v>0</v>
      </c>
      <c r="AJ363">
        <v>0</v>
      </c>
      <c r="AK363">
        <f t="shared" si="172"/>
        <v>0</v>
      </c>
      <c r="AL363">
        <f t="shared" si="181"/>
        <v>0</v>
      </c>
      <c r="AM363">
        <f t="shared" ca="1" si="173"/>
        <v>2.6560383008097266E-7</v>
      </c>
      <c r="AN363" t="str">
        <f t="shared" ca="1" si="174"/>
        <v>Subcritical</v>
      </c>
      <c r="AO363">
        <f t="shared" ca="1" si="175"/>
        <v>2.2562304480281055E-12</v>
      </c>
    </row>
    <row r="364" spans="1:41" x14ac:dyDescent="0.35">
      <c r="A364">
        <v>215</v>
      </c>
      <c r="B364">
        <v>213.94800000000001</v>
      </c>
      <c r="C364">
        <v>616369.95900000003</v>
      </c>
      <c r="D364">
        <v>3097690.5380000002</v>
      </c>
      <c r="E364">
        <v>632.45500000000004</v>
      </c>
      <c r="F364">
        <v>5.2</v>
      </c>
      <c r="G364">
        <v>0</v>
      </c>
      <c r="H364" t="s">
        <v>186</v>
      </c>
      <c r="I364">
        <v>5.7000000000000002E-2</v>
      </c>
      <c r="J364">
        <f t="shared" si="176"/>
        <v>1</v>
      </c>
      <c r="K364">
        <f t="shared" si="177"/>
        <v>51</v>
      </c>
      <c r="L364">
        <f t="shared" ca="1" si="178"/>
        <v>51797.974473564071</v>
      </c>
      <c r="M364">
        <f t="shared" ca="1" si="155"/>
        <v>269349.4672625332</v>
      </c>
      <c r="N364">
        <f t="shared" ca="1" si="156"/>
        <v>2.5998694995167781</v>
      </c>
      <c r="O364">
        <f t="shared" ca="1" si="157"/>
        <v>1.8934509326610482E-4</v>
      </c>
      <c r="P364">
        <f t="shared" ca="1" si="158"/>
        <v>52430.429473564072</v>
      </c>
      <c r="Q364">
        <f t="shared" ca="1" si="159"/>
        <v>52430.429473565899</v>
      </c>
      <c r="R364">
        <f t="shared" ca="1" si="160"/>
        <v>2.2564301619842642E-12</v>
      </c>
      <c r="S364">
        <f t="shared" ca="1" si="179"/>
        <v>1.1732391460100189E-2</v>
      </c>
      <c r="T364">
        <f t="shared" ca="1" si="180"/>
        <v>0</v>
      </c>
      <c r="U364">
        <f t="shared" ca="1" si="161"/>
        <v>51800.26683766341</v>
      </c>
      <c r="V364">
        <f t="shared" ca="1" si="162"/>
        <v>269361.38755584974</v>
      </c>
      <c r="W364">
        <f t="shared" ca="1" si="163"/>
        <v>2.5998695052916441</v>
      </c>
      <c r="X364">
        <f t="shared" ca="1" si="164"/>
        <v>1.8933671400629237E-4</v>
      </c>
      <c r="Y364">
        <f t="shared" ca="1" si="165"/>
        <v>52432.721837663412</v>
      </c>
      <c r="Z364">
        <f t="shared" ca="1" si="166"/>
        <v>52432.721837665238</v>
      </c>
      <c r="AA364">
        <f t="shared" ca="1" si="167"/>
        <v>2.2562304480281055E-12</v>
      </c>
      <c r="AB364">
        <f t="shared" ca="1" si="168"/>
        <v>-5.0000000192085281E-4</v>
      </c>
      <c r="AC364">
        <f t="shared" ca="1" si="169"/>
        <v>1</v>
      </c>
      <c r="AD364">
        <f ca="1">IF(V32="Supercritical",L364,IF(V32="Subcritical",U364,IF(AND(T364=1,AC364=1),IF((((F364)*(L364)^2)/2+(G364)*(L364)^3/3+(ABS(K364)^2)/($I$5*MAX(((F364)+(G364)*(L364))*(L364),0.000001)))&gt;=(((F364)*(U364)^2)/2+(G364)*(U364)^3/3+(ABS(K364)^2)/($I$5*MAX(((F364)+(G364)*(U364))*(U364),0.000001))),L364,U364),IF(T364=1,L364,IF(AC364=1,U364,MAX($D$16,POWER((ABS(K364)^2)/($I$5*MAX(F364,0.1)^2),1/3)))))))</f>
        <v>51800.26683766341</v>
      </c>
      <c r="AE364">
        <f t="shared" ca="1" si="170"/>
        <v>52432.721837663412</v>
      </c>
      <c r="AF364">
        <f t="shared" ca="1" si="171"/>
        <v>52432.721837665238</v>
      </c>
      <c r="AI364">
        <v>0</v>
      </c>
      <c r="AJ364">
        <v>0</v>
      </c>
      <c r="AK364">
        <f t="shared" si="172"/>
        <v>0</v>
      </c>
      <c r="AL364">
        <f t="shared" si="181"/>
        <v>0</v>
      </c>
      <c r="AM364">
        <f t="shared" ca="1" si="173"/>
        <v>2.6560383008097266E-7</v>
      </c>
      <c r="AN364" t="str">
        <f t="shared" ca="1" si="174"/>
        <v>Subcritical</v>
      </c>
      <c r="AO364">
        <f t="shared" ca="1" si="175"/>
        <v>2.2562304480281055E-12</v>
      </c>
    </row>
    <row r="365" spans="1:41" x14ac:dyDescent="0.35">
      <c r="A365">
        <v>216</v>
      </c>
      <c r="B365">
        <v>214.94900000000001</v>
      </c>
      <c r="C365">
        <v>616368.96</v>
      </c>
      <c r="D365">
        <v>3097690.4909999999</v>
      </c>
      <c r="E365">
        <v>632.45450000000005</v>
      </c>
      <c r="F365">
        <v>5.2</v>
      </c>
      <c r="G365">
        <v>0</v>
      </c>
      <c r="H365" t="s">
        <v>186</v>
      </c>
      <c r="I365">
        <v>5.7000000000000002E-2</v>
      </c>
      <c r="J365">
        <f t="shared" si="176"/>
        <v>1.0010000000000048</v>
      </c>
      <c r="K365">
        <f t="shared" si="177"/>
        <v>51</v>
      </c>
      <c r="L365">
        <f t="shared" ca="1" si="178"/>
        <v>51797.974473564071</v>
      </c>
      <c r="M365">
        <f t="shared" ca="1" si="155"/>
        <v>269349.4672625332</v>
      </c>
      <c r="N365">
        <f t="shared" ca="1" si="156"/>
        <v>2.5998694995167781</v>
      </c>
      <c r="O365">
        <f t="shared" ca="1" si="157"/>
        <v>1.8934509326610482E-4</v>
      </c>
      <c r="P365">
        <f t="shared" ca="1" si="158"/>
        <v>52430.42897356407</v>
      </c>
      <c r="Q365">
        <f t="shared" ca="1" si="159"/>
        <v>52430.428973565897</v>
      </c>
      <c r="R365">
        <f t="shared" ca="1" si="160"/>
        <v>2.2564301619842642E-12</v>
      </c>
      <c r="S365">
        <f t="shared" ca="1" si="179"/>
        <v>5.0000000192085281E-4</v>
      </c>
      <c r="T365">
        <f t="shared" ca="1" si="180"/>
        <v>1</v>
      </c>
      <c r="U365">
        <f t="shared" ca="1" si="161"/>
        <v>51800.26683766341</v>
      </c>
      <c r="V365">
        <f t="shared" ca="1" si="162"/>
        <v>269361.38755584974</v>
      </c>
      <c r="W365">
        <f t="shared" ca="1" si="163"/>
        <v>2.5998695052916441</v>
      </c>
      <c r="X365">
        <f t="shared" ca="1" si="164"/>
        <v>1.8933671400629237E-4</v>
      </c>
      <c r="Y365">
        <f t="shared" ca="1" si="165"/>
        <v>52432.72133766341</v>
      </c>
      <c r="Z365">
        <f t="shared" ca="1" si="166"/>
        <v>52432.721337665236</v>
      </c>
      <c r="AA365">
        <f t="shared" ca="1" si="167"/>
        <v>2.2562304480281055E-12</v>
      </c>
      <c r="AB365">
        <f t="shared" ca="1" si="168"/>
        <v>-5.0000000192085281E-4</v>
      </c>
      <c r="AC365">
        <f t="shared" ca="1" si="169"/>
        <v>1</v>
      </c>
      <c r="AD365">
        <f ca="1">IF(V32="Supercritical",L365,IF(V32="Subcritical",U365,IF(AND(T365=1,AC365=1),IF((((F365)*(L365)^2)/2+(G365)*(L365)^3/3+(ABS(K365)^2)/($I$5*MAX(((F365)+(G365)*(L365))*(L365),0.000001)))&gt;=(((F365)*(U365)^2)/2+(G365)*(U365)^3/3+(ABS(K365)^2)/($I$5*MAX(((F365)+(G365)*(U365))*(U365),0.000001))),L365,U365),IF(T365=1,L365,IF(AC365=1,U365,MAX($D$16,POWER((ABS(K365)^2)/($I$5*MAX(F365,0.1)^2),1/3)))))))</f>
        <v>51800.26683766341</v>
      </c>
      <c r="AE365">
        <f t="shared" ca="1" si="170"/>
        <v>52432.72133766341</v>
      </c>
      <c r="AF365">
        <f t="shared" ca="1" si="171"/>
        <v>52432.721337665236</v>
      </c>
      <c r="AI365">
        <v>0</v>
      </c>
      <c r="AJ365">
        <v>0</v>
      </c>
      <c r="AK365">
        <f t="shared" si="172"/>
        <v>0</v>
      </c>
      <c r="AL365">
        <f t="shared" si="181"/>
        <v>0</v>
      </c>
      <c r="AM365">
        <f t="shared" ca="1" si="173"/>
        <v>2.6560383008097266E-7</v>
      </c>
      <c r="AN365" t="str">
        <f t="shared" ca="1" si="174"/>
        <v>Subcritical</v>
      </c>
      <c r="AO365">
        <f t="shared" ca="1" si="175"/>
        <v>2.2562304480281055E-12</v>
      </c>
    </row>
    <row r="366" spans="1:41" x14ac:dyDescent="0.35">
      <c r="A366">
        <v>217</v>
      </c>
      <c r="B366">
        <v>215.94900000000001</v>
      </c>
      <c r="C366">
        <v>616367.96100000001</v>
      </c>
      <c r="D366">
        <v>3097690.443</v>
      </c>
      <c r="E366">
        <v>632.45399999999995</v>
      </c>
      <c r="F366">
        <v>5.2</v>
      </c>
      <c r="G366">
        <v>0</v>
      </c>
      <c r="H366" t="s">
        <v>186</v>
      </c>
      <c r="I366">
        <v>3.0000000000000001E-3</v>
      </c>
      <c r="J366">
        <f t="shared" si="176"/>
        <v>1</v>
      </c>
      <c r="K366">
        <f t="shared" si="177"/>
        <v>51</v>
      </c>
      <c r="L366">
        <f t="shared" ca="1" si="178"/>
        <v>51797.963874822985</v>
      </c>
      <c r="M366">
        <f t="shared" ca="1" si="155"/>
        <v>269349.41214907955</v>
      </c>
      <c r="N366">
        <f t="shared" ca="1" si="156"/>
        <v>2.5998694994900768</v>
      </c>
      <c r="O366">
        <f t="shared" ca="1" si="157"/>
        <v>1.8934513200931922E-4</v>
      </c>
      <c r="P366">
        <f t="shared" ca="1" si="158"/>
        <v>52430.417874822982</v>
      </c>
      <c r="Q366">
        <f t="shared" ca="1" si="159"/>
        <v>52430.417874824809</v>
      </c>
      <c r="R366">
        <f t="shared" ca="1" si="160"/>
        <v>2.2564310854229464E-12</v>
      </c>
      <c r="S366">
        <f t="shared" ca="1" si="179"/>
        <v>1.1098741088062525E-2</v>
      </c>
      <c r="T366">
        <f t="shared" ca="1" si="180"/>
        <v>0</v>
      </c>
      <c r="U366">
        <f t="shared" ca="1" si="161"/>
        <v>51800.26683766341</v>
      </c>
      <c r="V366">
        <f t="shared" ca="1" si="162"/>
        <v>269361.38755584974</v>
      </c>
      <c r="W366">
        <f t="shared" ca="1" si="163"/>
        <v>2.5998695052916441</v>
      </c>
      <c r="X366">
        <f t="shared" ca="1" si="164"/>
        <v>1.8933671400629237E-4</v>
      </c>
      <c r="Y366">
        <f t="shared" ca="1" si="165"/>
        <v>52432.720837663408</v>
      </c>
      <c r="Z366">
        <f t="shared" ca="1" si="166"/>
        <v>52432.720837665234</v>
      </c>
      <c r="AA366">
        <f t="shared" ca="1" si="167"/>
        <v>2.2562304480281055E-12</v>
      </c>
      <c r="AB366">
        <f t="shared" ca="1" si="168"/>
        <v>-4.999999946448952E-4</v>
      </c>
      <c r="AC366">
        <f t="shared" ca="1" si="169"/>
        <v>1</v>
      </c>
      <c r="AD366">
        <f ca="1">IF(V32="Supercritical",L366,IF(V32="Subcritical",U366,IF(AND(T366=1,AC366=1),IF((((F366)*(L366)^2)/2+(G366)*(L366)^3/3+(ABS(K366)^2)/($I$5*MAX(((F366)+(G366)*(L366))*(L366),0.000001)))&gt;=(((F366)*(U366)^2)/2+(G366)*(U366)^3/3+(ABS(K366)^2)/($I$5*MAX(((F366)+(G366)*(U366))*(U366),0.000001))),L366,U366),IF(T366=1,L366,IF(AC366=1,U366,MAX($D$16,POWER((ABS(K366)^2)/($I$5*MAX(F366,0.1)^2),1/3)))))))</f>
        <v>51800.26683766341</v>
      </c>
      <c r="AE366">
        <f t="shared" ca="1" si="170"/>
        <v>52432.720837663408</v>
      </c>
      <c r="AF366">
        <f t="shared" ca="1" si="171"/>
        <v>52432.720837665234</v>
      </c>
      <c r="AI366">
        <v>0</v>
      </c>
      <c r="AJ366">
        <v>0</v>
      </c>
      <c r="AK366">
        <f t="shared" si="172"/>
        <v>0</v>
      </c>
      <c r="AL366">
        <f t="shared" si="181"/>
        <v>0</v>
      </c>
      <c r="AM366">
        <f t="shared" ca="1" si="173"/>
        <v>2.6560383008097266E-7</v>
      </c>
      <c r="AN366" t="str">
        <f t="shared" ca="1" si="174"/>
        <v>Subcritical</v>
      </c>
      <c r="AO366">
        <f t="shared" ca="1" si="175"/>
        <v>2.2562304480281055E-12</v>
      </c>
    </row>
    <row r="367" spans="1:41" x14ac:dyDescent="0.35">
      <c r="A367">
        <v>218</v>
      </c>
      <c r="B367">
        <v>216.94800000000001</v>
      </c>
      <c r="C367">
        <v>616366.96299999999</v>
      </c>
      <c r="D367">
        <v>3097690.395</v>
      </c>
      <c r="E367">
        <v>632.45349999999996</v>
      </c>
      <c r="F367">
        <v>5.2</v>
      </c>
      <c r="G367">
        <v>0</v>
      </c>
      <c r="H367" t="s">
        <v>186</v>
      </c>
      <c r="I367">
        <v>0.06</v>
      </c>
      <c r="J367">
        <f t="shared" si="176"/>
        <v>0.99899999999999523</v>
      </c>
      <c r="K367">
        <f t="shared" si="177"/>
        <v>51</v>
      </c>
      <c r="L367">
        <f t="shared" ca="1" si="178"/>
        <v>51797.963874822985</v>
      </c>
      <c r="M367">
        <f t="shared" ca="1" si="155"/>
        <v>269349.41214907955</v>
      </c>
      <c r="N367">
        <f t="shared" ca="1" si="156"/>
        <v>2.5998694994900768</v>
      </c>
      <c r="O367">
        <f t="shared" ca="1" si="157"/>
        <v>1.8934513200931922E-4</v>
      </c>
      <c r="P367">
        <f t="shared" ca="1" si="158"/>
        <v>52430.417374822988</v>
      </c>
      <c r="Q367">
        <f t="shared" ca="1" si="159"/>
        <v>52430.417374824814</v>
      </c>
      <c r="R367">
        <f t="shared" ca="1" si="160"/>
        <v>2.2564310854229464E-12</v>
      </c>
      <c r="S367">
        <f t="shared" ca="1" si="179"/>
        <v>4.999999946448952E-4</v>
      </c>
      <c r="T367">
        <f t="shared" ca="1" si="180"/>
        <v>1</v>
      </c>
      <c r="U367">
        <f t="shared" ca="1" si="161"/>
        <v>51800.26683766341</v>
      </c>
      <c r="V367">
        <f t="shared" ca="1" si="162"/>
        <v>269361.38755584974</v>
      </c>
      <c r="W367">
        <f t="shared" ca="1" si="163"/>
        <v>2.5998695052916441</v>
      </c>
      <c r="X367">
        <f t="shared" ca="1" si="164"/>
        <v>1.8933671400629237E-4</v>
      </c>
      <c r="Y367">
        <f t="shared" ca="1" si="165"/>
        <v>52432.720337663413</v>
      </c>
      <c r="Z367">
        <f t="shared" ca="1" si="166"/>
        <v>52432.72033766524</v>
      </c>
      <c r="AA367">
        <f t="shared" ca="1" si="167"/>
        <v>2.2562304480281055E-12</v>
      </c>
      <c r="AB367">
        <f t="shared" ca="1" si="168"/>
        <v>-5.0000000192085281E-4</v>
      </c>
      <c r="AC367">
        <f t="shared" ca="1" si="169"/>
        <v>1</v>
      </c>
      <c r="AD367">
        <f ca="1">IF(V32="Supercritical",L367,IF(V32="Subcritical",U367,IF(AND(T367=1,AC367=1),IF((((F367)*(L367)^2)/2+(G367)*(L367)^3/3+(ABS(K367)^2)/($I$5*MAX(((F367)+(G367)*(L367))*(L367),0.000001)))&gt;=(((F367)*(U367)^2)/2+(G367)*(U367)^3/3+(ABS(K367)^2)/($I$5*MAX(((F367)+(G367)*(U367))*(U367),0.000001))),L367,U367),IF(T367=1,L367,IF(AC367=1,U367,MAX($D$16,POWER((ABS(K367)^2)/($I$5*MAX(F367,0.1)^2),1/3)))))))</f>
        <v>51800.26683766341</v>
      </c>
      <c r="AE367">
        <f t="shared" ca="1" si="170"/>
        <v>52432.720337663413</v>
      </c>
      <c r="AF367">
        <f t="shared" ca="1" si="171"/>
        <v>52432.72033766524</v>
      </c>
      <c r="AI367">
        <v>0</v>
      </c>
      <c r="AJ367">
        <v>0</v>
      </c>
      <c r="AK367">
        <f t="shared" si="172"/>
        <v>0</v>
      </c>
      <c r="AL367">
        <f t="shared" si="181"/>
        <v>0</v>
      </c>
      <c r="AM367">
        <f t="shared" ca="1" si="173"/>
        <v>2.6560383008097266E-7</v>
      </c>
      <c r="AN367" t="str">
        <f t="shared" ca="1" si="174"/>
        <v>Subcritical</v>
      </c>
      <c r="AO367">
        <f t="shared" ca="1" si="175"/>
        <v>2.2562304480281055E-12</v>
      </c>
    </row>
    <row r="368" spans="1:41" x14ac:dyDescent="0.35">
      <c r="A368">
        <v>219</v>
      </c>
      <c r="B368">
        <v>217.94800000000001</v>
      </c>
      <c r="C368">
        <v>616365.96400000004</v>
      </c>
      <c r="D368">
        <v>3097690.3480000002</v>
      </c>
      <c r="E368">
        <v>632.45299999999997</v>
      </c>
      <c r="F368">
        <v>5.2</v>
      </c>
      <c r="G368">
        <v>0</v>
      </c>
      <c r="H368" t="s">
        <v>186</v>
      </c>
      <c r="I368">
        <v>5.7000000000000002E-2</v>
      </c>
      <c r="J368">
        <f t="shared" si="176"/>
        <v>1</v>
      </c>
      <c r="K368">
        <f t="shared" si="177"/>
        <v>51</v>
      </c>
      <c r="L368">
        <f t="shared" ca="1" si="178"/>
        <v>51797.953977281795</v>
      </c>
      <c r="M368">
        <f t="shared" ca="1" si="155"/>
        <v>269349.36068186536</v>
      </c>
      <c r="N368">
        <f t="shared" ca="1" si="156"/>
        <v>2.5998694994651417</v>
      </c>
      <c r="O368">
        <f t="shared" ca="1" si="157"/>
        <v>1.8934516818934372E-4</v>
      </c>
      <c r="P368">
        <f t="shared" ca="1" si="158"/>
        <v>52430.406977281797</v>
      </c>
      <c r="Q368">
        <f t="shared" ca="1" si="159"/>
        <v>52430.406977283623</v>
      </c>
      <c r="R368">
        <f t="shared" ca="1" si="160"/>
        <v>2.2564319477685553E-12</v>
      </c>
      <c r="S368">
        <f t="shared" ca="1" si="179"/>
        <v>1.0397541191196069E-2</v>
      </c>
      <c r="T368">
        <f t="shared" ca="1" si="180"/>
        <v>0</v>
      </c>
      <c r="U368">
        <f t="shared" ca="1" si="161"/>
        <v>51800.26683766341</v>
      </c>
      <c r="V368">
        <f t="shared" ca="1" si="162"/>
        <v>269361.38755584974</v>
      </c>
      <c r="W368">
        <f t="shared" ca="1" si="163"/>
        <v>2.5998695052916441</v>
      </c>
      <c r="X368">
        <f t="shared" ca="1" si="164"/>
        <v>1.8933671400629237E-4</v>
      </c>
      <c r="Y368">
        <f t="shared" ca="1" si="165"/>
        <v>52432.719837663411</v>
      </c>
      <c r="Z368">
        <f t="shared" ca="1" si="166"/>
        <v>52432.719837665238</v>
      </c>
      <c r="AA368">
        <f t="shared" ca="1" si="167"/>
        <v>2.2562304480281055E-12</v>
      </c>
      <c r="AB368">
        <f t="shared" ca="1" si="168"/>
        <v>-5.0000000192085281E-4</v>
      </c>
      <c r="AC368">
        <f t="shared" ca="1" si="169"/>
        <v>1</v>
      </c>
      <c r="AD368">
        <f ca="1">IF(V32="Supercritical",L368,IF(V32="Subcritical",U368,IF(AND(T368=1,AC368=1),IF((((F368)*(L368)^2)/2+(G368)*(L368)^3/3+(ABS(K368)^2)/($I$5*MAX(((F368)+(G368)*(L368))*(L368),0.000001)))&gt;=(((F368)*(U368)^2)/2+(G368)*(U368)^3/3+(ABS(K368)^2)/($I$5*MAX(((F368)+(G368)*(U368))*(U368),0.000001))),L368,U368),IF(T368=1,L368,IF(AC368=1,U368,MAX($D$16,POWER((ABS(K368)^2)/($I$5*MAX(F368,0.1)^2),1/3)))))))</f>
        <v>51800.26683766341</v>
      </c>
      <c r="AE368">
        <f t="shared" ca="1" si="170"/>
        <v>52432.719837663411</v>
      </c>
      <c r="AF368">
        <f t="shared" ca="1" si="171"/>
        <v>52432.719837665238</v>
      </c>
      <c r="AI368">
        <v>0</v>
      </c>
      <c r="AJ368">
        <v>0</v>
      </c>
      <c r="AK368">
        <f t="shared" si="172"/>
        <v>0</v>
      </c>
      <c r="AL368">
        <f t="shared" si="181"/>
        <v>0</v>
      </c>
      <c r="AM368">
        <f t="shared" ca="1" si="173"/>
        <v>2.6560383008097266E-7</v>
      </c>
      <c r="AN368" t="str">
        <f t="shared" ca="1" si="174"/>
        <v>Subcritical</v>
      </c>
      <c r="AO368">
        <f t="shared" ca="1" si="175"/>
        <v>2.2562304480281055E-12</v>
      </c>
    </row>
    <row r="369" spans="1:41" x14ac:dyDescent="0.35">
      <c r="A369">
        <v>220</v>
      </c>
      <c r="B369">
        <v>218.94800000000001</v>
      </c>
      <c r="C369">
        <v>616364.96499999997</v>
      </c>
      <c r="D369">
        <v>3097690.3</v>
      </c>
      <c r="E369">
        <v>632.45249999999999</v>
      </c>
      <c r="F369">
        <v>5.2</v>
      </c>
      <c r="G369">
        <v>0</v>
      </c>
      <c r="H369" t="s">
        <v>186</v>
      </c>
      <c r="I369">
        <v>5.7000000000000002E-2</v>
      </c>
      <c r="J369">
        <f t="shared" si="176"/>
        <v>1</v>
      </c>
      <c r="K369">
        <f t="shared" si="177"/>
        <v>51</v>
      </c>
      <c r="L369">
        <f t="shared" ca="1" si="178"/>
        <v>51797.953977281795</v>
      </c>
      <c r="M369">
        <f t="shared" ca="1" si="155"/>
        <v>269349.36068186536</v>
      </c>
      <c r="N369">
        <f t="shared" ca="1" si="156"/>
        <v>2.5998694994651417</v>
      </c>
      <c r="O369">
        <f t="shared" ca="1" si="157"/>
        <v>1.8934516818934372E-4</v>
      </c>
      <c r="P369">
        <f t="shared" ca="1" si="158"/>
        <v>52430.406477281795</v>
      </c>
      <c r="Q369">
        <f t="shared" ca="1" si="159"/>
        <v>52430.406477283621</v>
      </c>
      <c r="R369">
        <f t="shared" ca="1" si="160"/>
        <v>2.2564319477685553E-12</v>
      </c>
      <c r="S369">
        <f t="shared" ca="1" si="179"/>
        <v>5.0000000192085281E-4</v>
      </c>
      <c r="T369">
        <f t="shared" ca="1" si="180"/>
        <v>1</v>
      </c>
      <c r="U369">
        <f t="shared" ca="1" si="161"/>
        <v>51800.26683766341</v>
      </c>
      <c r="V369">
        <f t="shared" ca="1" si="162"/>
        <v>269361.38755584974</v>
      </c>
      <c r="W369">
        <f t="shared" ca="1" si="163"/>
        <v>2.5998695052916441</v>
      </c>
      <c r="X369">
        <f t="shared" ca="1" si="164"/>
        <v>1.8933671400629237E-4</v>
      </c>
      <c r="Y369">
        <f t="shared" ca="1" si="165"/>
        <v>52432.71933766341</v>
      </c>
      <c r="Z369">
        <f t="shared" ca="1" si="166"/>
        <v>52432.719337665236</v>
      </c>
      <c r="AA369">
        <f t="shared" ca="1" si="167"/>
        <v>2.2562304480281055E-12</v>
      </c>
      <c r="AB369">
        <f t="shared" ca="1" si="168"/>
        <v>-5.0000000192085281E-4</v>
      </c>
      <c r="AC369">
        <f t="shared" ca="1" si="169"/>
        <v>1</v>
      </c>
      <c r="AD369">
        <f ca="1">IF(V32="Supercritical",L369,IF(V32="Subcritical",U369,IF(AND(T369=1,AC369=1),IF((((F369)*(L369)^2)/2+(G369)*(L369)^3/3+(ABS(K369)^2)/($I$5*MAX(((F369)+(G369)*(L369))*(L369),0.000001)))&gt;=(((F369)*(U369)^2)/2+(G369)*(U369)^3/3+(ABS(K369)^2)/($I$5*MAX(((F369)+(G369)*(U369))*(U369),0.000001))),L369,U369),IF(T369=1,L369,IF(AC369=1,U369,MAX($D$16,POWER((ABS(K369)^2)/($I$5*MAX(F369,0.1)^2),1/3)))))))</f>
        <v>51800.26683766341</v>
      </c>
      <c r="AE369">
        <f t="shared" ca="1" si="170"/>
        <v>52432.71933766341</v>
      </c>
      <c r="AF369">
        <f t="shared" ca="1" si="171"/>
        <v>52432.719337665236</v>
      </c>
      <c r="AI369">
        <v>0</v>
      </c>
      <c r="AJ369">
        <v>0</v>
      </c>
      <c r="AK369">
        <f t="shared" si="172"/>
        <v>0</v>
      </c>
      <c r="AL369">
        <f t="shared" si="181"/>
        <v>0</v>
      </c>
      <c r="AM369">
        <f t="shared" ca="1" si="173"/>
        <v>2.6560383008097266E-7</v>
      </c>
      <c r="AN369" t="str">
        <f t="shared" ca="1" si="174"/>
        <v>Subcritical</v>
      </c>
      <c r="AO369">
        <f t="shared" ca="1" si="175"/>
        <v>2.2562304480281055E-12</v>
      </c>
    </row>
    <row r="370" spans="1:41" x14ac:dyDescent="0.35">
      <c r="A370">
        <v>221</v>
      </c>
      <c r="B370">
        <v>219.94800000000001</v>
      </c>
      <c r="C370">
        <v>616363.96600000001</v>
      </c>
      <c r="D370">
        <v>3097690.253</v>
      </c>
      <c r="E370">
        <v>632.452</v>
      </c>
      <c r="F370">
        <v>5.2</v>
      </c>
      <c r="G370">
        <v>0</v>
      </c>
      <c r="H370" t="s">
        <v>186</v>
      </c>
      <c r="I370">
        <v>5.7000000000000002E-2</v>
      </c>
      <c r="J370">
        <f t="shared" si="176"/>
        <v>1</v>
      </c>
      <c r="K370">
        <f t="shared" si="177"/>
        <v>51</v>
      </c>
      <c r="L370">
        <f t="shared" ca="1" si="178"/>
        <v>51797.944830499247</v>
      </c>
      <c r="M370">
        <f t="shared" ca="1" si="155"/>
        <v>269349.3131185961</v>
      </c>
      <c r="N370">
        <f t="shared" ca="1" si="156"/>
        <v>2.5998694994420983</v>
      </c>
      <c r="O370">
        <f t="shared" ca="1" si="157"/>
        <v>1.8934520162501545E-4</v>
      </c>
      <c r="P370">
        <f t="shared" ca="1" si="158"/>
        <v>52430.396830499245</v>
      </c>
      <c r="Q370">
        <f t="shared" ca="1" si="159"/>
        <v>52430.396830501071</v>
      </c>
      <c r="R370">
        <f t="shared" ca="1" si="160"/>
        <v>2.256432744703062E-12</v>
      </c>
      <c r="S370">
        <f t="shared" ca="1" si="179"/>
        <v>9.6467825496802106E-3</v>
      </c>
      <c r="T370">
        <f t="shared" ca="1" si="180"/>
        <v>0</v>
      </c>
      <c r="U370">
        <f t="shared" ca="1" si="161"/>
        <v>51800.26683766341</v>
      </c>
      <c r="V370">
        <f t="shared" ca="1" si="162"/>
        <v>269361.38755584974</v>
      </c>
      <c r="W370">
        <f t="shared" ca="1" si="163"/>
        <v>2.5998695052916441</v>
      </c>
      <c r="X370">
        <f t="shared" ca="1" si="164"/>
        <v>1.8933671400629237E-4</v>
      </c>
      <c r="Y370">
        <f t="shared" ca="1" si="165"/>
        <v>52432.718837663408</v>
      </c>
      <c r="Z370">
        <f t="shared" ca="1" si="166"/>
        <v>52432.718837665234</v>
      </c>
      <c r="AA370">
        <f t="shared" ca="1" si="167"/>
        <v>2.2562304480281055E-12</v>
      </c>
      <c r="AB370">
        <f t="shared" ca="1" si="168"/>
        <v>-4.999999946448952E-4</v>
      </c>
      <c r="AC370">
        <f t="shared" ca="1" si="169"/>
        <v>1</v>
      </c>
      <c r="AD370">
        <f ca="1">IF(V32="Supercritical",L370,IF(V32="Subcritical",U370,IF(AND(T370=1,AC370=1),IF((((F370)*(L370)^2)/2+(G370)*(L370)^3/3+(ABS(K370)^2)/($I$5*MAX(((F370)+(G370)*(L370))*(L370),0.000001)))&gt;=(((F370)*(U370)^2)/2+(G370)*(U370)^3/3+(ABS(K370)^2)/($I$5*MAX(((F370)+(G370)*(U370))*(U370),0.000001))),L370,U370),IF(T370=1,L370,IF(AC370=1,U370,MAX($D$16,POWER((ABS(K370)^2)/($I$5*MAX(F370,0.1)^2),1/3)))))))</f>
        <v>51800.26683766341</v>
      </c>
      <c r="AE370">
        <f t="shared" ca="1" si="170"/>
        <v>52432.718837663408</v>
      </c>
      <c r="AF370">
        <f t="shared" ca="1" si="171"/>
        <v>52432.718837665234</v>
      </c>
      <c r="AI370">
        <v>0</v>
      </c>
      <c r="AJ370">
        <v>0</v>
      </c>
      <c r="AK370">
        <f t="shared" si="172"/>
        <v>0</v>
      </c>
      <c r="AL370">
        <f t="shared" si="181"/>
        <v>0</v>
      </c>
      <c r="AM370">
        <f t="shared" ca="1" si="173"/>
        <v>2.6560383008097266E-7</v>
      </c>
      <c r="AN370" t="str">
        <f t="shared" ca="1" si="174"/>
        <v>Subcritical</v>
      </c>
      <c r="AO370">
        <f t="shared" ca="1" si="175"/>
        <v>2.2562304480281055E-12</v>
      </c>
    </row>
    <row r="371" spans="1:41" x14ac:dyDescent="0.35">
      <c r="A371">
        <v>222</v>
      </c>
      <c r="B371">
        <v>220.94800000000001</v>
      </c>
      <c r="C371">
        <v>616362.96699999995</v>
      </c>
      <c r="D371">
        <v>3097690.2050000001</v>
      </c>
      <c r="E371">
        <v>632.45150000000001</v>
      </c>
      <c r="F371">
        <v>5.2</v>
      </c>
      <c r="G371">
        <v>0</v>
      </c>
      <c r="H371" t="s">
        <v>186</v>
      </c>
      <c r="I371">
        <v>0</v>
      </c>
      <c r="J371">
        <f t="shared" si="176"/>
        <v>1</v>
      </c>
      <c r="K371">
        <f t="shared" si="177"/>
        <v>51</v>
      </c>
      <c r="L371">
        <f t="shared" ca="1" si="178"/>
        <v>51797.944830499247</v>
      </c>
      <c r="M371">
        <f t="shared" ca="1" si="155"/>
        <v>269349.3131185961</v>
      </c>
      <c r="N371">
        <f t="shared" ca="1" si="156"/>
        <v>2.5998694994420983</v>
      </c>
      <c r="O371">
        <f t="shared" ca="1" si="157"/>
        <v>1.8934520162501545E-4</v>
      </c>
      <c r="P371">
        <f t="shared" ca="1" si="158"/>
        <v>52430.39633049925</v>
      </c>
      <c r="Q371">
        <f t="shared" ca="1" si="159"/>
        <v>52430.396330501077</v>
      </c>
      <c r="R371">
        <f t="shared" ca="1" si="160"/>
        <v>2.256432744703062E-12</v>
      </c>
      <c r="S371">
        <f t="shared" ca="1" si="179"/>
        <v>4.999999946448952E-4</v>
      </c>
      <c r="T371">
        <f t="shared" ca="1" si="180"/>
        <v>1</v>
      </c>
      <c r="U371">
        <f t="shared" ca="1" si="161"/>
        <v>51800.26683766341</v>
      </c>
      <c r="V371">
        <f t="shared" ca="1" si="162"/>
        <v>269361.38755584974</v>
      </c>
      <c r="W371">
        <f t="shared" ca="1" si="163"/>
        <v>2.5998695052916441</v>
      </c>
      <c r="X371">
        <f t="shared" ca="1" si="164"/>
        <v>1.8933671400629237E-4</v>
      </c>
      <c r="Y371">
        <f t="shared" ca="1" si="165"/>
        <v>52432.718337663413</v>
      </c>
      <c r="Z371">
        <f t="shared" ca="1" si="166"/>
        <v>52432.718337665239</v>
      </c>
      <c r="AA371">
        <f t="shared" ca="1" si="167"/>
        <v>2.2562304480281055E-12</v>
      </c>
      <c r="AB371">
        <f t="shared" ca="1" si="168"/>
        <v>-5.0000000192085281E-4</v>
      </c>
      <c r="AC371">
        <f t="shared" ca="1" si="169"/>
        <v>1</v>
      </c>
      <c r="AD371">
        <f ca="1">IF(V32="Supercritical",L371,IF(V32="Subcritical",U371,IF(AND(T371=1,AC371=1),IF((((F371)*(L371)^2)/2+(G371)*(L371)^3/3+(ABS(K371)^2)/($I$5*MAX(((F371)+(G371)*(L371))*(L371),0.000001)))&gt;=(((F371)*(U371)^2)/2+(G371)*(U371)^3/3+(ABS(K371)^2)/($I$5*MAX(((F371)+(G371)*(U371))*(U371),0.000001))),L371,U371),IF(T371=1,L371,IF(AC371=1,U371,MAX($D$16,POWER((ABS(K371)^2)/($I$5*MAX(F371,0.1)^2),1/3)))))))</f>
        <v>51800.26683766341</v>
      </c>
      <c r="AE371">
        <f t="shared" ca="1" si="170"/>
        <v>52432.718337663413</v>
      </c>
      <c r="AF371">
        <f t="shared" ca="1" si="171"/>
        <v>52432.718337665239</v>
      </c>
      <c r="AI371">
        <v>0</v>
      </c>
      <c r="AJ371">
        <v>0</v>
      </c>
      <c r="AK371">
        <f t="shared" si="172"/>
        <v>0</v>
      </c>
      <c r="AL371">
        <f t="shared" si="181"/>
        <v>0</v>
      </c>
      <c r="AM371">
        <f t="shared" ca="1" si="173"/>
        <v>2.6560383008097266E-7</v>
      </c>
      <c r="AN371" t="str">
        <f t="shared" ca="1" si="174"/>
        <v>Subcritical</v>
      </c>
      <c r="AO371">
        <f t="shared" ca="1" si="175"/>
        <v>2.2562304480281055E-12</v>
      </c>
    </row>
    <row r="372" spans="1:41" x14ac:dyDescent="0.35">
      <c r="A372">
        <v>223</v>
      </c>
      <c r="B372">
        <v>221.94800000000001</v>
      </c>
      <c r="C372">
        <v>616361.96799999999</v>
      </c>
      <c r="D372">
        <v>3097690.1570000001</v>
      </c>
      <c r="E372">
        <v>632.45100000000002</v>
      </c>
      <c r="F372">
        <v>5.2</v>
      </c>
      <c r="G372">
        <v>0</v>
      </c>
      <c r="H372" t="s">
        <v>186</v>
      </c>
      <c r="I372">
        <v>5.7000000000000002E-2</v>
      </c>
      <c r="J372">
        <f t="shared" si="176"/>
        <v>1</v>
      </c>
      <c r="K372">
        <f t="shared" si="177"/>
        <v>51</v>
      </c>
      <c r="L372">
        <f t="shared" ca="1" si="178"/>
        <v>51797.936464594481</v>
      </c>
      <c r="M372">
        <f t="shared" ca="1" si="155"/>
        <v>269349.26961589133</v>
      </c>
      <c r="N372">
        <f t="shared" ca="1" si="156"/>
        <v>2.5998694994210223</v>
      </c>
      <c r="O372">
        <f t="shared" ca="1" si="157"/>
        <v>1.8934523220623224E-4</v>
      </c>
      <c r="P372">
        <f t="shared" ca="1" si="158"/>
        <v>52430.387464594482</v>
      </c>
      <c r="Q372">
        <f t="shared" ca="1" si="159"/>
        <v>52430.387464596308</v>
      </c>
      <c r="R372">
        <f t="shared" ca="1" si="160"/>
        <v>2.2564334736021612E-12</v>
      </c>
      <c r="S372">
        <f t="shared" ca="1" si="179"/>
        <v>8.8659047687542625E-3</v>
      </c>
      <c r="T372">
        <f t="shared" ca="1" si="180"/>
        <v>0</v>
      </c>
      <c r="U372">
        <f t="shared" ca="1" si="161"/>
        <v>51800.26683766341</v>
      </c>
      <c r="V372">
        <f t="shared" ca="1" si="162"/>
        <v>269361.38755584974</v>
      </c>
      <c r="W372">
        <f t="shared" ca="1" si="163"/>
        <v>2.5998695052916441</v>
      </c>
      <c r="X372">
        <f t="shared" ca="1" si="164"/>
        <v>1.8933671400629237E-4</v>
      </c>
      <c r="Y372">
        <f t="shared" ca="1" si="165"/>
        <v>52432.717837663411</v>
      </c>
      <c r="Z372">
        <f t="shared" ca="1" si="166"/>
        <v>52432.717837665237</v>
      </c>
      <c r="AA372">
        <f t="shared" ca="1" si="167"/>
        <v>2.2562304480281055E-12</v>
      </c>
      <c r="AB372">
        <f t="shared" ca="1" si="168"/>
        <v>-5.0000000192085281E-4</v>
      </c>
      <c r="AC372">
        <f t="shared" ca="1" si="169"/>
        <v>1</v>
      </c>
      <c r="AD372">
        <f ca="1">IF(V32="Supercritical",L372,IF(V32="Subcritical",U372,IF(AND(T372=1,AC372=1),IF((((F372)*(L372)^2)/2+(G372)*(L372)^3/3+(ABS(K372)^2)/($I$5*MAX(((F372)+(G372)*(L372))*(L372),0.000001)))&gt;=(((F372)*(U372)^2)/2+(G372)*(U372)^3/3+(ABS(K372)^2)/($I$5*MAX(((F372)+(G372)*(U372))*(U372),0.000001))),L372,U372),IF(T372=1,L372,IF(AC372=1,U372,MAX($D$16,POWER((ABS(K372)^2)/($I$5*MAX(F372,0.1)^2),1/3)))))))</f>
        <v>51800.26683766341</v>
      </c>
      <c r="AE372">
        <f t="shared" ca="1" si="170"/>
        <v>52432.717837663411</v>
      </c>
      <c r="AF372">
        <f t="shared" ca="1" si="171"/>
        <v>52432.717837665237</v>
      </c>
      <c r="AI372">
        <v>0</v>
      </c>
      <c r="AJ372">
        <v>0</v>
      </c>
      <c r="AK372">
        <f t="shared" si="172"/>
        <v>0</v>
      </c>
      <c r="AL372">
        <f t="shared" si="181"/>
        <v>0</v>
      </c>
      <c r="AM372">
        <f t="shared" ca="1" si="173"/>
        <v>2.6560383008097266E-7</v>
      </c>
      <c r="AN372" t="str">
        <f t="shared" ca="1" si="174"/>
        <v>Subcritical</v>
      </c>
      <c r="AO372">
        <f t="shared" ca="1" si="175"/>
        <v>2.2562304480281055E-12</v>
      </c>
    </row>
    <row r="373" spans="1:41" x14ac:dyDescent="0.35">
      <c r="A373">
        <v>224</v>
      </c>
      <c r="B373">
        <v>222.94900000000001</v>
      </c>
      <c r="C373">
        <v>616360.96900000004</v>
      </c>
      <c r="D373">
        <v>3097690.11</v>
      </c>
      <c r="E373">
        <v>632.45050000000003</v>
      </c>
      <c r="F373">
        <v>5.2</v>
      </c>
      <c r="G373">
        <v>0</v>
      </c>
      <c r="H373" t="s">
        <v>186</v>
      </c>
      <c r="I373">
        <v>0.06</v>
      </c>
      <c r="J373">
        <f t="shared" si="176"/>
        <v>1.0010000000000048</v>
      </c>
      <c r="K373">
        <f t="shared" si="177"/>
        <v>51</v>
      </c>
      <c r="L373">
        <f t="shared" ca="1" si="178"/>
        <v>51797.936464594481</v>
      </c>
      <c r="M373">
        <f t="shared" ca="1" si="155"/>
        <v>269349.26961589133</v>
      </c>
      <c r="N373">
        <f t="shared" ca="1" si="156"/>
        <v>2.5998694994210223</v>
      </c>
      <c r="O373">
        <f t="shared" ca="1" si="157"/>
        <v>1.8934523220623224E-4</v>
      </c>
      <c r="P373">
        <f t="shared" ca="1" si="158"/>
        <v>52430.38696459448</v>
      </c>
      <c r="Q373">
        <f t="shared" ca="1" si="159"/>
        <v>52430.386964596306</v>
      </c>
      <c r="R373">
        <f t="shared" ca="1" si="160"/>
        <v>2.2564334736021612E-12</v>
      </c>
      <c r="S373">
        <f t="shared" ca="1" si="179"/>
        <v>5.0000000192085281E-4</v>
      </c>
      <c r="T373">
        <f t="shared" ca="1" si="180"/>
        <v>1</v>
      </c>
      <c r="U373">
        <f t="shared" ca="1" si="161"/>
        <v>51800.26683766341</v>
      </c>
      <c r="V373">
        <f t="shared" ca="1" si="162"/>
        <v>269361.38755584974</v>
      </c>
      <c r="W373">
        <f t="shared" ca="1" si="163"/>
        <v>2.5998695052916441</v>
      </c>
      <c r="X373">
        <f t="shared" ca="1" si="164"/>
        <v>1.8933671400629237E-4</v>
      </c>
      <c r="Y373">
        <f t="shared" ca="1" si="165"/>
        <v>52432.717337663409</v>
      </c>
      <c r="Z373">
        <f t="shared" ca="1" si="166"/>
        <v>52432.717337665235</v>
      </c>
      <c r="AA373">
        <f t="shared" ca="1" si="167"/>
        <v>2.2562304480281055E-12</v>
      </c>
      <c r="AB373">
        <f t="shared" ca="1" si="168"/>
        <v>-5.0000000192085281E-4</v>
      </c>
      <c r="AC373">
        <f t="shared" ca="1" si="169"/>
        <v>1</v>
      </c>
      <c r="AD373">
        <f ca="1">IF(V32="Supercritical",L373,IF(V32="Subcritical",U373,IF(AND(T373=1,AC373=1),IF((((F373)*(L373)^2)/2+(G373)*(L373)^3/3+(ABS(K373)^2)/($I$5*MAX(((F373)+(G373)*(L373))*(L373),0.000001)))&gt;=(((F373)*(U373)^2)/2+(G373)*(U373)^3/3+(ABS(K373)^2)/($I$5*MAX(((F373)+(G373)*(U373))*(U373),0.000001))),L373,U373),IF(T373=1,L373,IF(AC373=1,U373,MAX($D$16,POWER((ABS(K373)^2)/($I$5*MAX(F373,0.1)^2),1/3)))))))</f>
        <v>51800.26683766341</v>
      </c>
      <c r="AE373">
        <f t="shared" ca="1" si="170"/>
        <v>52432.717337663409</v>
      </c>
      <c r="AF373">
        <f t="shared" ca="1" si="171"/>
        <v>52432.717337665235</v>
      </c>
      <c r="AI373">
        <v>0</v>
      </c>
      <c r="AJ373">
        <v>0</v>
      </c>
      <c r="AK373">
        <f t="shared" si="172"/>
        <v>0</v>
      </c>
      <c r="AL373">
        <f t="shared" si="181"/>
        <v>0</v>
      </c>
      <c r="AM373">
        <f t="shared" ca="1" si="173"/>
        <v>2.6560383008097266E-7</v>
      </c>
      <c r="AN373" t="str">
        <f t="shared" ca="1" si="174"/>
        <v>Subcritical</v>
      </c>
      <c r="AO373">
        <f t="shared" ca="1" si="175"/>
        <v>2.2562304480281055E-12</v>
      </c>
    </row>
    <row r="374" spans="1:41" x14ac:dyDescent="0.35">
      <c r="A374">
        <v>225</v>
      </c>
      <c r="B374">
        <v>223.94800000000001</v>
      </c>
      <c r="C374">
        <v>616359.97100000002</v>
      </c>
      <c r="D374">
        <v>3097690.0619999999</v>
      </c>
      <c r="E374">
        <v>632.45000000000005</v>
      </c>
      <c r="F374">
        <v>5.2</v>
      </c>
      <c r="G374">
        <v>0</v>
      </c>
      <c r="H374" t="s">
        <v>186</v>
      </c>
      <c r="I374">
        <v>3.0000000000000001E-3</v>
      </c>
      <c r="J374">
        <f t="shared" si="176"/>
        <v>0.99899999999999523</v>
      </c>
      <c r="K374">
        <f t="shared" si="177"/>
        <v>51</v>
      </c>
      <c r="L374">
        <f t="shared" ca="1" si="178"/>
        <v>51797.92889004387</v>
      </c>
      <c r="M374">
        <f t="shared" ca="1" si="155"/>
        <v>269349.23022822815</v>
      </c>
      <c r="N374">
        <f t="shared" ca="1" si="156"/>
        <v>2.5998694994019398</v>
      </c>
      <c r="O374">
        <f t="shared" ca="1" si="157"/>
        <v>1.8934525989469539E-4</v>
      </c>
      <c r="P374">
        <f t="shared" ca="1" si="158"/>
        <v>52430.378890043867</v>
      </c>
      <c r="Q374">
        <f t="shared" ca="1" si="159"/>
        <v>52430.378890045693</v>
      </c>
      <c r="R374">
        <f t="shared" ca="1" si="160"/>
        <v>2.2564341335529771E-12</v>
      </c>
      <c r="S374">
        <f t="shared" ca="1" si="179"/>
        <v>8.0745506129460409E-3</v>
      </c>
      <c r="T374">
        <f t="shared" ca="1" si="180"/>
        <v>0</v>
      </c>
      <c r="U374">
        <f t="shared" ca="1" si="161"/>
        <v>51800.26683766341</v>
      </c>
      <c r="V374">
        <f t="shared" ca="1" si="162"/>
        <v>269361.38755584974</v>
      </c>
      <c r="W374">
        <f t="shared" ca="1" si="163"/>
        <v>2.5998695052916441</v>
      </c>
      <c r="X374">
        <f t="shared" ca="1" si="164"/>
        <v>1.8933671400629237E-4</v>
      </c>
      <c r="Y374">
        <f t="shared" ca="1" si="165"/>
        <v>52432.716837663407</v>
      </c>
      <c r="Z374">
        <f t="shared" ca="1" si="166"/>
        <v>52432.716837665233</v>
      </c>
      <c r="AA374">
        <f t="shared" ca="1" si="167"/>
        <v>2.2562304480281055E-12</v>
      </c>
      <c r="AB374">
        <f t="shared" ca="1" si="168"/>
        <v>-4.999999946448952E-4</v>
      </c>
      <c r="AC374">
        <f t="shared" ca="1" si="169"/>
        <v>1</v>
      </c>
      <c r="AD374">
        <f ca="1">IF(V32="Supercritical",L374,IF(V32="Subcritical",U374,IF(AND(T374=1,AC374=1),IF((((F374)*(L374)^2)/2+(G374)*(L374)^3/3+(ABS(K374)^2)/($I$5*MAX(((F374)+(G374)*(L374))*(L374),0.000001)))&gt;=(((F374)*(U374)^2)/2+(G374)*(U374)^3/3+(ABS(K374)^2)/($I$5*MAX(((F374)+(G374)*(U374))*(U374),0.000001))),L374,U374),IF(T374=1,L374,IF(AC374=1,U374,MAX($D$16,POWER((ABS(K374)^2)/($I$5*MAX(F374,0.1)^2),1/3)))))))</f>
        <v>51800.26683766341</v>
      </c>
      <c r="AE374">
        <f t="shared" ca="1" si="170"/>
        <v>52432.716837663407</v>
      </c>
      <c r="AF374">
        <f t="shared" ca="1" si="171"/>
        <v>52432.716837665233</v>
      </c>
      <c r="AI374">
        <v>0</v>
      </c>
      <c r="AJ374">
        <v>0</v>
      </c>
      <c r="AK374">
        <f t="shared" si="172"/>
        <v>0</v>
      </c>
      <c r="AL374">
        <f t="shared" si="181"/>
        <v>0</v>
      </c>
      <c r="AM374">
        <f t="shared" ca="1" si="173"/>
        <v>2.6560383008097266E-7</v>
      </c>
      <c r="AN374" t="str">
        <f t="shared" ca="1" si="174"/>
        <v>Subcritical</v>
      </c>
      <c r="AO374">
        <f t="shared" ca="1" si="175"/>
        <v>2.2562304480281055E-12</v>
      </c>
    </row>
    <row r="375" spans="1:41" x14ac:dyDescent="0.35">
      <c r="A375">
        <v>226</v>
      </c>
      <c r="B375">
        <v>224.94800000000001</v>
      </c>
      <c r="C375">
        <v>616358.97199999995</v>
      </c>
      <c r="D375">
        <v>3097690.014</v>
      </c>
      <c r="E375">
        <v>632.44949999999994</v>
      </c>
      <c r="F375">
        <v>5.2</v>
      </c>
      <c r="G375">
        <v>0</v>
      </c>
      <c r="H375" t="s">
        <v>186</v>
      </c>
      <c r="I375">
        <v>5.7000000000000002E-2</v>
      </c>
      <c r="J375">
        <f t="shared" si="176"/>
        <v>1</v>
      </c>
      <c r="K375">
        <f t="shared" si="177"/>
        <v>51</v>
      </c>
      <c r="L375">
        <f t="shared" ca="1" si="178"/>
        <v>51797.92889004387</v>
      </c>
      <c r="M375">
        <f t="shared" ca="1" si="155"/>
        <v>269349.23022822815</v>
      </c>
      <c r="N375">
        <f t="shared" ca="1" si="156"/>
        <v>2.5998694994019398</v>
      </c>
      <c r="O375">
        <f t="shared" ca="1" si="157"/>
        <v>1.8934525989469539E-4</v>
      </c>
      <c r="P375">
        <f t="shared" ca="1" si="158"/>
        <v>52430.378390043872</v>
      </c>
      <c r="Q375">
        <f t="shared" ca="1" si="159"/>
        <v>52430.378390045698</v>
      </c>
      <c r="R375">
        <f t="shared" ca="1" si="160"/>
        <v>2.2564341335529771E-12</v>
      </c>
      <c r="S375">
        <f t="shared" ca="1" si="179"/>
        <v>4.999999946448952E-4</v>
      </c>
      <c r="T375">
        <f t="shared" ca="1" si="180"/>
        <v>1</v>
      </c>
      <c r="U375">
        <f t="shared" ca="1" si="161"/>
        <v>51800.26683766341</v>
      </c>
      <c r="V375">
        <f t="shared" ca="1" si="162"/>
        <v>269361.38755584974</v>
      </c>
      <c r="W375">
        <f t="shared" ca="1" si="163"/>
        <v>2.5998695052916441</v>
      </c>
      <c r="X375">
        <f t="shared" ca="1" si="164"/>
        <v>1.8933671400629237E-4</v>
      </c>
      <c r="Y375">
        <f t="shared" ca="1" si="165"/>
        <v>52432.716337663413</v>
      </c>
      <c r="Z375">
        <f t="shared" ca="1" si="166"/>
        <v>52432.716337665239</v>
      </c>
      <c r="AA375">
        <f t="shared" ca="1" si="167"/>
        <v>2.2562304480281055E-12</v>
      </c>
      <c r="AB375">
        <f t="shared" ca="1" si="168"/>
        <v>-5.0000000192085281E-4</v>
      </c>
      <c r="AC375">
        <f t="shared" ca="1" si="169"/>
        <v>1</v>
      </c>
      <c r="AD375">
        <f ca="1">IF(V32="Supercritical",L375,IF(V32="Subcritical",U375,IF(AND(T375=1,AC375=1),IF((((F375)*(L375)^2)/2+(G375)*(L375)^3/3+(ABS(K375)^2)/($I$5*MAX(((F375)+(G375)*(L375))*(L375),0.000001)))&gt;=(((F375)*(U375)^2)/2+(G375)*(U375)^3/3+(ABS(K375)^2)/($I$5*MAX(((F375)+(G375)*(U375))*(U375),0.000001))),L375,U375),IF(T375=1,L375,IF(AC375=1,U375,MAX($D$16,POWER((ABS(K375)^2)/($I$5*MAX(F375,0.1)^2),1/3)))))))</f>
        <v>51800.26683766341</v>
      </c>
      <c r="AE375">
        <f t="shared" ca="1" si="170"/>
        <v>52432.716337663413</v>
      </c>
      <c r="AF375">
        <f t="shared" ca="1" si="171"/>
        <v>52432.716337665239</v>
      </c>
      <c r="AI375">
        <v>0</v>
      </c>
      <c r="AJ375">
        <v>0</v>
      </c>
      <c r="AK375">
        <f t="shared" si="172"/>
        <v>0</v>
      </c>
      <c r="AL375">
        <f t="shared" si="181"/>
        <v>0</v>
      </c>
      <c r="AM375">
        <f t="shared" ca="1" si="173"/>
        <v>2.6560383008097266E-7</v>
      </c>
      <c r="AN375" t="str">
        <f t="shared" ca="1" si="174"/>
        <v>Subcritical</v>
      </c>
      <c r="AO375">
        <f t="shared" ca="1" si="175"/>
        <v>2.2562304480281055E-12</v>
      </c>
    </row>
    <row r="376" spans="1:41" x14ac:dyDescent="0.35">
      <c r="A376">
        <v>227</v>
      </c>
      <c r="B376">
        <v>225.94800000000001</v>
      </c>
      <c r="C376">
        <v>616357.973</v>
      </c>
      <c r="D376">
        <v>3097689.9670000002</v>
      </c>
      <c r="E376">
        <v>632.44899999999996</v>
      </c>
      <c r="F376">
        <v>5.2</v>
      </c>
      <c r="G376">
        <v>0</v>
      </c>
      <c r="H376" t="s">
        <v>186</v>
      </c>
      <c r="I376">
        <v>5.7000000000000002E-2</v>
      </c>
      <c r="J376">
        <f t="shared" si="176"/>
        <v>1</v>
      </c>
      <c r="K376">
        <f t="shared" si="177"/>
        <v>51</v>
      </c>
      <c r="L376">
        <f t="shared" ca="1" si="178"/>
        <v>51797.922098612158</v>
      </c>
      <c r="M376">
        <f t="shared" ca="1" si="155"/>
        <v>269349.19491278322</v>
      </c>
      <c r="N376">
        <f t="shared" ca="1" si="156"/>
        <v>2.5998694993848299</v>
      </c>
      <c r="O376">
        <f t="shared" ca="1" si="157"/>
        <v>1.8934528472050599E-4</v>
      </c>
      <c r="P376">
        <f t="shared" ca="1" si="158"/>
        <v>52430.371098612159</v>
      </c>
      <c r="Q376">
        <f t="shared" ca="1" si="159"/>
        <v>52430.371098613985</v>
      </c>
      <c r="R376">
        <f t="shared" ca="1" si="160"/>
        <v>2.2564347252729343E-12</v>
      </c>
      <c r="S376">
        <f t="shared" ca="1" si="179"/>
        <v>7.2914317133836448E-3</v>
      </c>
      <c r="T376">
        <f t="shared" ca="1" si="180"/>
        <v>0</v>
      </c>
      <c r="U376">
        <f t="shared" ca="1" si="161"/>
        <v>51800.26683766341</v>
      </c>
      <c r="V376">
        <f t="shared" ca="1" si="162"/>
        <v>269361.38755584974</v>
      </c>
      <c r="W376">
        <f t="shared" ca="1" si="163"/>
        <v>2.5998695052916441</v>
      </c>
      <c r="X376">
        <f t="shared" ca="1" si="164"/>
        <v>1.8933671400629237E-4</v>
      </c>
      <c r="Y376">
        <f t="shared" ca="1" si="165"/>
        <v>52432.715837663411</v>
      </c>
      <c r="Z376">
        <f t="shared" ca="1" si="166"/>
        <v>52432.715837665237</v>
      </c>
      <c r="AA376">
        <f t="shared" ca="1" si="167"/>
        <v>2.2562304480281055E-12</v>
      </c>
      <c r="AB376">
        <f t="shared" ca="1" si="168"/>
        <v>-5.0000000192085281E-4</v>
      </c>
      <c r="AC376">
        <f t="shared" ca="1" si="169"/>
        <v>1</v>
      </c>
      <c r="AD376">
        <f ca="1">IF(V32="Supercritical",L376,IF(V32="Subcritical",U376,IF(AND(T376=1,AC376=1),IF((((F376)*(L376)^2)/2+(G376)*(L376)^3/3+(ABS(K376)^2)/($I$5*MAX(((F376)+(G376)*(L376))*(L376),0.000001)))&gt;=(((F376)*(U376)^2)/2+(G376)*(U376)^3/3+(ABS(K376)^2)/($I$5*MAX(((F376)+(G376)*(U376))*(U376),0.000001))),L376,U376),IF(T376=1,L376,IF(AC376=1,U376,MAX($D$16,POWER((ABS(K376)^2)/($I$5*MAX(F376,0.1)^2),1/3)))))))</f>
        <v>51800.26683766341</v>
      </c>
      <c r="AE376">
        <f t="shared" ca="1" si="170"/>
        <v>52432.715837663411</v>
      </c>
      <c r="AF376">
        <f t="shared" ca="1" si="171"/>
        <v>52432.715837665237</v>
      </c>
      <c r="AI376">
        <v>0</v>
      </c>
      <c r="AJ376">
        <v>0</v>
      </c>
      <c r="AK376">
        <f t="shared" si="172"/>
        <v>0</v>
      </c>
      <c r="AL376">
        <f t="shared" si="181"/>
        <v>0</v>
      </c>
      <c r="AM376">
        <f t="shared" ca="1" si="173"/>
        <v>2.6560383008097266E-7</v>
      </c>
      <c r="AN376" t="str">
        <f t="shared" ca="1" si="174"/>
        <v>Subcritical</v>
      </c>
      <c r="AO376">
        <f t="shared" ca="1" si="175"/>
        <v>2.2562304480281055E-12</v>
      </c>
    </row>
    <row r="377" spans="1:41" x14ac:dyDescent="0.35">
      <c r="A377">
        <v>228</v>
      </c>
      <c r="B377">
        <v>226.94800000000001</v>
      </c>
      <c r="C377">
        <v>616356.97400000005</v>
      </c>
      <c r="D377">
        <v>3097689.9190000002</v>
      </c>
      <c r="E377">
        <v>632.44849999999997</v>
      </c>
      <c r="F377">
        <v>5.2</v>
      </c>
      <c r="G377">
        <v>0</v>
      </c>
      <c r="H377" t="s">
        <v>186</v>
      </c>
      <c r="I377">
        <v>5.7000000000000002E-2</v>
      </c>
      <c r="J377">
        <f t="shared" si="176"/>
        <v>1</v>
      </c>
      <c r="K377">
        <f t="shared" si="177"/>
        <v>51</v>
      </c>
      <c r="L377">
        <f t="shared" ca="1" si="178"/>
        <v>51797.922098612158</v>
      </c>
      <c r="M377">
        <f t="shared" ca="1" si="155"/>
        <v>269349.19491278322</v>
      </c>
      <c r="N377">
        <f t="shared" ca="1" si="156"/>
        <v>2.5998694993848299</v>
      </c>
      <c r="O377">
        <f t="shared" ca="1" si="157"/>
        <v>1.8934528472050599E-4</v>
      </c>
      <c r="P377">
        <f t="shared" ca="1" si="158"/>
        <v>52430.370598612157</v>
      </c>
      <c r="Q377">
        <f t="shared" ca="1" si="159"/>
        <v>52430.370598613983</v>
      </c>
      <c r="R377">
        <f t="shared" ca="1" si="160"/>
        <v>2.2564347252729343E-12</v>
      </c>
      <c r="S377">
        <f t="shared" ca="1" si="179"/>
        <v>5.0000000192085281E-4</v>
      </c>
      <c r="T377">
        <f t="shared" ca="1" si="180"/>
        <v>1</v>
      </c>
      <c r="U377">
        <f t="shared" ca="1" si="161"/>
        <v>51800.26683766341</v>
      </c>
      <c r="V377">
        <f t="shared" ca="1" si="162"/>
        <v>269361.38755584974</v>
      </c>
      <c r="W377">
        <f t="shared" ca="1" si="163"/>
        <v>2.5998695052916441</v>
      </c>
      <c r="X377">
        <f t="shared" ca="1" si="164"/>
        <v>1.8933671400629237E-4</v>
      </c>
      <c r="Y377">
        <f t="shared" ca="1" si="165"/>
        <v>52432.715337663409</v>
      </c>
      <c r="Z377">
        <f t="shared" ca="1" si="166"/>
        <v>52432.715337665235</v>
      </c>
      <c r="AA377">
        <f t="shared" ca="1" si="167"/>
        <v>2.2562304480281055E-12</v>
      </c>
      <c r="AB377">
        <f t="shared" ca="1" si="168"/>
        <v>-5.0000000192085281E-4</v>
      </c>
      <c r="AC377">
        <f t="shared" ca="1" si="169"/>
        <v>1</v>
      </c>
      <c r="AD377">
        <f ca="1">IF(V32="Supercritical",L377,IF(V32="Subcritical",U377,IF(AND(T377=1,AC377=1),IF((((F377)*(L377)^2)/2+(G377)*(L377)^3/3+(ABS(K377)^2)/($I$5*MAX(((F377)+(G377)*(L377))*(L377),0.000001)))&gt;=(((F377)*(U377)^2)/2+(G377)*(U377)^3/3+(ABS(K377)^2)/($I$5*MAX(((F377)+(G377)*(U377))*(U377),0.000001))),L377,U377),IF(T377=1,L377,IF(AC377=1,U377,MAX($D$16,POWER((ABS(K377)^2)/($I$5*MAX(F377,0.1)^2),1/3)))))))</f>
        <v>51800.26683766341</v>
      </c>
      <c r="AE377">
        <f t="shared" ca="1" si="170"/>
        <v>52432.715337663409</v>
      </c>
      <c r="AF377">
        <f t="shared" ca="1" si="171"/>
        <v>52432.715337665235</v>
      </c>
      <c r="AI377">
        <v>0</v>
      </c>
      <c r="AJ377">
        <v>0</v>
      </c>
      <c r="AK377">
        <f t="shared" si="172"/>
        <v>0</v>
      </c>
      <c r="AL377">
        <f t="shared" si="181"/>
        <v>0</v>
      </c>
      <c r="AM377">
        <f t="shared" ca="1" si="173"/>
        <v>2.6560383008097266E-7</v>
      </c>
      <c r="AN377" t="str">
        <f t="shared" ca="1" si="174"/>
        <v>Subcritical</v>
      </c>
      <c r="AO377">
        <f t="shared" ca="1" si="175"/>
        <v>2.2562304480281055E-12</v>
      </c>
    </row>
    <row r="378" spans="1:41" x14ac:dyDescent="0.35">
      <c r="A378">
        <v>229</v>
      </c>
      <c r="B378">
        <v>227.94800000000001</v>
      </c>
      <c r="C378">
        <v>616355.97499999998</v>
      </c>
      <c r="D378">
        <v>3097689.872</v>
      </c>
      <c r="E378">
        <v>632.44799999999998</v>
      </c>
      <c r="F378">
        <v>5.2</v>
      </c>
      <c r="G378">
        <v>0</v>
      </c>
      <c r="H378" t="s">
        <v>186</v>
      </c>
      <c r="I378">
        <v>5.7000000000000002E-2</v>
      </c>
      <c r="J378">
        <f t="shared" si="176"/>
        <v>1</v>
      </c>
      <c r="K378">
        <f t="shared" si="177"/>
        <v>51</v>
      </c>
      <c r="L378">
        <f t="shared" ca="1" si="178"/>
        <v>51797.916065238605</v>
      </c>
      <c r="M378">
        <f t="shared" ca="1" si="155"/>
        <v>269349.16353924078</v>
      </c>
      <c r="N378">
        <f t="shared" ca="1" si="156"/>
        <v>2.5998694993696305</v>
      </c>
      <c r="O378">
        <f t="shared" ca="1" si="157"/>
        <v>1.8934530677527033E-4</v>
      </c>
      <c r="P378">
        <f t="shared" ca="1" si="158"/>
        <v>52430.364065238602</v>
      </c>
      <c r="Q378">
        <f t="shared" ca="1" si="159"/>
        <v>52430.364065240428</v>
      </c>
      <c r="R378">
        <f t="shared" ca="1" si="160"/>
        <v>2.2564352509454308E-12</v>
      </c>
      <c r="S378">
        <f t="shared" ca="1" si="179"/>
        <v>6.5333735547028482E-3</v>
      </c>
      <c r="T378">
        <f t="shared" ca="1" si="180"/>
        <v>0</v>
      </c>
      <c r="U378">
        <f t="shared" ca="1" si="161"/>
        <v>51800.26683766341</v>
      </c>
      <c r="V378">
        <f t="shared" ca="1" si="162"/>
        <v>269361.38755584974</v>
      </c>
      <c r="W378">
        <f t="shared" ca="1" si="163"/>
        <v>2.5998695052916441</v>
      </c>
      <c r="X378">
        <f t="shared" ca="1" si="164"/>
        <v>1.8933671400629237E-4</v>
      </c>
      <c r="Y378">
        <f t="shared" ca="1" si="165"/>
        <v>52432.714837663407</v>
      </c>
      <c r="Z378">
        <f t="shared" ca="1" si="166"/>
        <v>52432.714837665233</v>
      </c>
      <c r="AA378">
        <f t="shared" ca="1" si="167"/>
        <v>2.2562304480281055E-12</v>
      </c>
      <c r="AB378">
        <f t="shared" ca="1" si="168"/>
        <v>-4.999999946448952E-4</v>
      </c>
      <c r="AC378">
        <f t="shared" ca="1" si="169"/>
        <v>1</v>
      </c>
      <c r="AD378">
        <f ca="1">IF(V32="Supercritical",L378,IF(V32="Subcritical",U378,IF(AND(T378=1,AC378=1),IF((((F378)*(L378)^2)/2+(G378)*(L378)^3/3+(ABS(K378)^2)/($I$5*MAX(((F378)+(G378)*(L378))*(L378),0.000001)))&gt;=(((F378)*(U378)^2)/2+(G378)*(U378)^3/3+(ABS(K378)^2)/($I$5*MAX(((F378)+(G378)*(U378))*(U378),0.000001))),L378,U378),IF(T378=1,L378,IF(AC378=1,U378,MAX($D$16,POWER((ABS(K378)^2)/($I$5*MAX(F378,0.1)^2),1/3)))))))</f>
        <v>51800.26683766341</v>
      </c>
      <c r="AE378">
        <f t="shared" ca="1" si="170"/>
        <v>52432.714837663407</v>
      </c>
      <c r="AF378">
        <f t="shared" ca="1" si="171"/>
        <v>52432.714837665233</v>
      </c>
      <c r="AI378">
        <v>0</v>
      </c>
      <c r="AJ378">
        <v>0</v>
      </c>
      <c r="AK378">
        <f t="shared" si="172"/>
        <v>0</v>
      </c>
      <c r="AL378">
        <f t="shared" si="181"/>
        <v>0</v>
      </c>
      <c r="AM378">
        <f t="shared" ca="1" si="173"/>
        <v>2.6560383008097266E-7</v>
      </c>
      <c r="AN378" t="str">
        <f t="shared" ca="1" si="174"/>
        <v>Subcritical</v>
      </c>
      <c r="AO378">
        <f t="shared" ca="1" si="175"/>
        <v>2.2562304480281055E-12</v>
      </c>
    </row>
    <row r="379" spans="1:41" x14ac:dyDescent="0.35">
      <c r="A379">
        <v>230</v>
      </c>
      <c r="B379">
        <v>228.94800000000001</v>
      </c>
      <c r="C379">
        <v>616354.97600000002</v>
      </c>
      <c r="D379">
        <v>3097689.824</v>
      </c>
      <c r="E379">
        <v>632.44749999999999</v>
      </c>
      <c r="F379">
        <v>5.2</v>
      </c>
      <c r="G379">
        <v>0</v>
      </c>
      <c r="H379" t="s">
        <v>186</v>
      </c>
      <c r="I379">
        <v>0</v>
      </c>
      <c r="J379">
        <f t="shared" si="176"/>
        <v>1</v>
      </c>
      <c r="K379">
        <f t="shared" si="177"/>
        <v>51</v>
      </c>
      <c r="L379">
        <f t="shared" ca="1" si="178"/>
        <v>51797.916065238605</v>
      </c>
      <c r="M379">
        <f t="shared" ca="1" si="155"/>
        <v>269349.16353924078</v>
      </c>
      <c r="N379">
        <f t="shared" ca="1" si="156"/>
        <v>2.5998694993696305</v>
      </c>
      <c r="O379">
        <f t="shared" ca="1" si="157"/>
        <v>1.8934530677527033E-4</v>
      </c>
      <c r="P379">
        <f t="shared" ca="1" si="158"/>
        <v>52430.363565238607</v>
      </c>
      <c r="Q379">
        <f t="shared" ca="1" si="159"/>
        <v>52430.363565240434</v>
      </c>
      <c r="R379">
        <f t="shared" ca="1" si="160"/>
        <v>2.2564352509454308E-12</v>
      </c>
      <c r="S379">
        <f t="shared" ca="1" si="179"/>
        <v>4.999999946448952E-4</v>
      </c>
      <c r="T379">
        <f t="shared" ca="1" si="180"/>
        <v>1</v>
      </c>
      <c r="U379">
        <f t="shared" ca="1" si="161"/>
        <v>51800.26683766341</v>
      </c>
      <c r="V379">
        <f t="shared" ca="1" si="162"/>
        <v>269361.38755584974</v>
      </c>
      <c r="W379">
        <f t="shared" ca="1" si="163"/>
        <v>2.5998695052916441</v>
      </c>
      <c r="X379">
        <f t="shared" ca="1" si="164"/>
        <v>1.8933671400629237E-4</v>
      </c>
      <c r="Y379">
        <f t="shared" ca="1" si="165"/>
        <v>52432.714337663412</v>
      </c>
      <c r="Z379">
        <f t="shared" ca="1" si="166"/>
        <v>52432.714337665238</v>
      </c>
      <c r="AA379">
        <f t="shared" ca="1" si="167"/>
        <v>2.2562304480281055E-12</v>
      </c>
      <c r="AB379">
        <f t="shared" ca="1" si="168"/>
        <v>-5.0000000192085281E-4</v>
      </c>
      <c r="AC379">
        <f t="shared" ca="1" si="169"/>
        <v>1</v>
      </c>
      <c r="AD379">
        <f ca="1">IF(V32="Supercritical",L379,IF(V32="Subcritical",U379,IF(AND(T379=1,AC379=1),IF((((F379)*(L379)^2)/2+(G379)*(L379)^3/3+(ABS(K379)^2)/($I$5*MAX(((F379)+(G379)*(L379))*(L379),0.000001)))&gt;=(((F379)*(U379)^2)/2+(G379)*(U379)^3/3+(ABS(K379)^2)/($I$5*MAX(((F379)+(G379)*(U379))*(U379),0.000001))),L379,U379),IF(T379=1,L379,IF(AC379=1,U379,MAX($D$16,POWER((ABS(K379)^2)/($I$5*MAX(F379,0.1)^2),1/3)))))))</f>
        <v>51800.26683766341</v>
      </c>
      <c r="AE379">
        <f t="shared" ca="1" si="170"/>
        <v>52432.714337663412</v>
      </c>
      <c r="AF379">
        <f t="shared" ca="1" si="171"/>
        <v>52432.714337665238</v>
      </c>
      <c r="AI379">
        <v>0</v>
      </c>
      <c r="AJ379">
        <v>0</v>
      </c>
      <c r="AK379">
        <f t="shared" si="172"/>
        <v>0</v>
      </c>
      <c r="AL379">
        <f t="shared" si="181"/>
        <v>0</v>
      </c>
      <c r="AM379">
        <f t="shared" ca="1" si="173"/>
        <v>2.6560383008097266E-7</v>
      </c>
      <c r="AN379" t="str">
        <f t="shared" ca="1" si="174"/>
        <v>Subcritical</v>
      </c>
      <c r="AO379">
        <f t="shared" ca="1" si="175"/>
        <v>2.2562304480281055E-12</v>
      </c>
    </row>
    <row r="380" spans="1:41" x14ac:dyDescent="0.35">
      <c r="A380">
        <v>231</v>
      </c>
      <c r="B380">
        <v>229.94900000000001</v>
      </c>
      <c r="C380">
        <v>616353.97699999996</v>
      </c>
      <c r="D380">
        <v>3097689.7760000001</v>
      </c>
      <c r="E380">
        <v>632.447</v>
      </c>
      <c r="F380">
        <v>5.2</v>
      </c>
      <c r="G380">
        <v>0</v>
      </c>
      <c r="H380" t="s">
        <v>186</v>
      </c>
      <c r="I380">
        <v>5.7000000000000002E-2</v>
      </c>
      <c r="J380">
        <f t="shared" si="176"/>
        <v>1.0010000000000048</v>
      </c>
      <c r="K380">
        <f t="shared" si="177"/>
        <v>51</v>
      </c>
      <c r="L380">
        <f t="shared" ca="1" si="178"/>
        <v>51797.910750649491</v>
      </c>
      <c r="M380">
        <f t="shared" ca="1" si="155"/>
        <v>269349.13590337738</v>
      </c>
      <c r="N380">
        <f t="shared" ca="1" si="156"/>
        <v>2.5998694993562412</v>
      </c>
      <c r="O380">
        <f t="shared" ca="1" si="157"/>
        <v>1.8934532620255013E-4</v>
      </c>
      <c r="P380">
        <f t="shared" ca="1" si="158"/>
        <v>52430.357750649491</v>
      </c>
      <c r="Q380">
        <f t="shared" ca="1" si="159"/>
        <v>52430.357750651317</v>
      </c>
      <c r="R380">
        <f t="shared" ca="1" si="160"/>
        <v>2.2564357139922189E-12</v>
      </c>
      <c r="S380">
        <f t="shared" ca="1" si="179"/>
        <v>5.8145891161984764E-3</v>
      </c>
      <c r="T380">
        <f t="shared" ca="1" si="180"/>
        <v>0</v>
      </c>
      <c r="U380">
        <f t="shared" ca="1" si="161"/>
        <v>51800.26683766341</v>
      </c>
      <c r="V380">
        <f t="shared" ca="1" si="162"/>
        <v>269361.38755584974</v>
      </c>
      <c r="W380">
        <f t="shared" ca="1" si="163"/>
        <v>2.5998695052916441</v>
      </c>
      <c r="X380">
        <f t="shared" ca="1" si="164"/>
        <v>1.8933671400629237E-4</v>
      </c>
      <c r="Y380">
        <f t="shared" ca="1" si="165"/>
        <v>52432.71383766341</v>
      </c>
      <c r="Z380">
        <f t="shared" ca="1" si="166"/>
        <v>52432.713837665236</v>
      </c>
      <c r="AA380">
        <f t="shared" ca="1" si="167"/>
        <v>2.2562304480281055E-12</v>
      </c>
      <c r="AB380">
        <f t="shared" ca="1" si="168"/>
        <v>-5.0000000192085281E-4</v>
      </c>
      <c r="AC380">
        <f t="shared" ca="1" si="169"/>
        <v>1</v>
      </c>
      <c r="AD380">
        <f ca="1">IF(V32="Supercritical",L380,IF(V32="Subcritical",U380,IF(AND(T380=1,AC380=1),IF((((F380)*(L380)^2)/2+(G380)*(L380)^3/3+(ABS(K380)^2)/($I$5*MAX(((F380)+(G380)*(L380))*(L380),0.000001)))&gt;=(((F380)*(U380)^2)/2+(G380)*(U380)^3/3+(ABS(K380)^2)/($I$5*MAX(((F380)+(G380)*(U380))*(U380),0.000001))),L380,U380),IF(T380=1,L380,IF(AC380=1,U380,MAX($D$16,POWER((ABS(K380)^2)/($I$5*MAX(F380,0.1)^2),1/3)))))))</f>
        <v>51800.26683766341</v>
      </c>
      <c r="AE380">
        <f t="shared" ca="1" si="170"/>
        <v>52432.71383766341</v>
      </c>
      <c r="AF380">
        <f t="shared" ca="1" si="171"/>
        <v>52432.713837665236</v>
      </c>
      <c r="AI380">
        <v>0</v>
      </c>
      <c r="AJ380">
        <v>0</v>
      </c>
      <c r="AK380">
        <f t="shared" si="172"/>
        <v>0</v>
      </c>
      <c r="AL380">
        <f t="shared" si="181"/>
        <v>0</v>
      </c>
      <c r="AM380">
        <f t="shared" ca="1" si="173"/>
        <v>2.6560383008097266E-7</v>
      </c>
      <c r="AN380" t="str">
        <f t="shared" ca="1" si="174"/>
        <v>Subcritical</v>
      </c>
      <c r="AO380">
        <f t="shared" ca="1" si="175"/>
        <v>2.2562304480281055E-12</v>
      </c>
    </row>
    <row r="381" spans="1:41" x14ac:dyDescent="0.35">
      <c r="A381">
        <v>232</v>
      </c>
      <c r="B381">
        <v>230.94900000000001</v>
      </c>
      <c r="C381">
        <v>616352.978</v>
      </c>
      <c r="D381">
        <v>3097689.7289999998</v>
      </c>
      <c r="E381">
        <v>632.44650000000001</v>
      </c>
      <c r="F381">
        <v>5.2</v>
      </c>
      <c r="G381">
        <v>0</v>
      </c>
      <c r="H381" t="s">
        <v>186</v>
      </c>
      <c r="I381">
        <v>0.06</v>
      </c>
      <c r="J381">
        <f t="shared" si="176"/>
        <v>1</v>
      </c>
      <c r="K381">
        <f t="shared" si="177"/>
        <v>51</v>
      </c>
      <c r="L381">
        <f t="shared" ca="1" si="178"/>
        <v>51797.910750649491</v>
      </c>
      <c r="M381">
        <f t="shared" ca="1" si="155"/>
        <v>269349.13590337738</v>
      </c>
      <c r="N381">
        <f t="shared" ca="1" si="156"/>
        <v>2.5998694993562412</v>
      </c>
      <c r="O381">
        <f t="shared" ca="1" si="157"/>
        <v>1.8934532620255013E-4</v>
      </c>
      <c r="P381">
        <f t="shared" ca="1" si="158"/>
        <v>52430.357250649489</v>
      </c>
      <c r="Q381">
        <f t="shared" ca="1" si="159"/>
        <v>52430.357250651316</v>
      </c>
      <c r="R381">
        <f t="shared" ca="1" si="160"/>
        <v>2.2564357139922189E-12</v>
      </c>
      <c r="S381">
        <f t="shared" ca="1" si="179"/>
        <v>5.0000000192085281E-4</v>
      </c>
      <c r="T381">
        <f t="shared" ca="1" si="180"/>
        <v>1</v>
      </c>
      <c r="U381">
        <f t="shared" ca="1" si="161"/>
        <v>51800.26683766341</v>
      </c>
      <c r="V381">
        <f t="shared" ca="1" si="162"/>
        <v>269361.38755584974</v>
      </c>
      <c r="W381">
        <f t="shared" ca="1" si="163"/>
        <v>2.5998695052916441</v>
      </c>
      <c r="X381">
        <f t="shared" ca="1" si="164"/>
        <v>1.8933671400629237E-4</v>
      </c>
      <c r="Y381">
        <f t="shared" ca="1" si="165"/>
        <v>52432.713337663408</v>
      </c>
      <c r="Z381">
        <f t="shared" ca="1" si="166"/>
        <v>52432.713337665235</v>
      </c>
      <c r="AA381">
        <f t="shared" ca="1" si="167"/>
        <v>2.2562304480281055E-12</v>
      </c>
      <c r="AB381">
        <f t="shared" ca="1" si="168"/>
        <v>-4.999999946448952E-4</v>
      </c>
      <c r="AC381">
        <f t="shared" ca="1" si="169"/>
        <v>1</v>
      </c>
      <c r="AD381">
        <f ca="1">IF(V32="Supercritical",L381,IF(V32="Subcritical",U381,IF(AND(T381=1,AC381=1),IF((((F381)*(L381)^2)/2+(G381)*(L381)^3/3+(ABS(K381)^2)/($I$5*MAX(((F381)+(G381)*(L381))*(L381),0.000001)))&gt;=(((F381)*(U381)^2)/2+(G381)*(U381)^3/3+(ABS(K381)^2)/($I$5*MAX(((F381)+(G381)*(U381))*(U381),0.000001))),L381,U381),IF(T381=1,L381,IF(AC381=1,U381,MAX($D$16,POWER((ABS(K381)^2)/($I$5*MAX(F381,0.1)^2),1/3)))))))</f>
        <v>51800.26683766341</v>
      </c>
      <c r="AE381">
        <f t="shared" ca="1" si="170"/>
        <v>52432.713337663408</v>
      </c>
      <c r="AF381">
        <f t="shared" ca="1" si="171"/>
        <v>52432.713337665235</v>
      </c>
      <c r="AI381">
        <v>0</v>
      </c>
      <c r="AJ381">
        <v>0</v>
      </c>
      <c r="AK381">
        <f t="shared" si="172"/>
        <v>0</v>
      </c>
      <c r="AL381">
        <f t="shared" si="181"/>
        <v>0</v>
      </c>
      <c r="AM381">
        <f t="shared" ca="1" si="173"/>
        <v>2.6560383008097266E-7</v>
      </c>
      <c r="AN381" t="str">
        <f t="shared" ca="1" si="174"/>
        <v>Subcritical</v>
      </c>
      <c r="AO381">
        <f t="shared" ca="1" si="175"/>
        <v>2.2562304480281055E-12</v>
      </c>
    </row>
    <row r="382" spans="1:41" x14ac:dyDescent="0.35">
      <c r="A382">
        <v>233</v>
      </c>
      <c r="B382">
        <v>231.94800000000001</v>
      </c>
      <c r="C382">
        <v>616351.98</v>
      </c>
      <c r="D382">
        <v>3097689.6809999999</v>
      </c>
      <c r="E382">
        <v>632.44600000000003</v>
      </c>
      <c r="F382">
        <v>5.2</v>
      </c>
      <c r="G382">
        <v>0</v>
      </c>
      <c r="H382" t="s">
        <v>186</v>
      </c>
      <c r="I382">
        <v>3.0000000000000001E-3</v>
      </c>
      <c r="J382">
        <f t="shared" si="176"/>
        <v>0.99899999999999523</v>
      </c>
      <c r="K382">
        <f t="shared" si="177"/>
        <v>51</v>
      </c>
      <c r="L382">
        <f t="shared" ca="1" si="178"/>
        <v>51797.906104439367</v>
      </c>
      <c r="M382">
        <f t="shared" ca="1" si="155"/>
        <v>269349.11174308474</v>
      </c>
      <c r="N382">
        <f t="shared" ca="1" si="156"/>
        <v>2.5998694993445364</v>
      </c>
      <c r="O382">
        <f t="shared" ca="1" si="157"/>
        <v>1.8934534318659906E-4</v>
      </c>
      <c r="P382">
        <f t="shared" ca="1" si="158"/>
        <v>52430.352104439371</v>
      </c>
      <c r="Q382">
        <f t="shared" ca="1" si="159"/>
        <v>52430.352104441197</v>
      </c>
      <c r="R382">
        <f t="shared" ca="1" si="160"/>
        <v>2.2564361188049429E-12</v>
      </c>
      <c r="S382">
        <f t="shared" ca="1" si="179"/>
        <v>5.1462101182551123E-3</v>
      </c>
      <c r="T382">
        <f t="shared" ca="1" si="180"/>
        <v>0</v>
      </c>
      <c r="U382">
        <f t="shared" ca="1" si="161"/>
        <v>51800.26683766341</v>
      </c>
      <c r="V382">
        <f t="shared" ca="1" si="162"/>
        <v>269361.38755584974</v>
      </c>
      <c r="W382">
        <f t="shared" ca="1" si="163"/>
        <v>2.5998695052916441</v>
      </c>
      <c r="X382">
        <f t="shared" ca="1" si="164"/>
        <v>1.8933671400629237E-4</v>
      </c>
      <c r="Y382">
        <f t="shared" ca="1" si="165"/>
        <v>52432.712837663414</v>
      </c>
      <c r="Z382">
        <f t="shared" ca="1" si="166"/>
        <v>52432.71283766524</v>
      </c>
      <c r="AA382">
        <f t="shared" ca="1" si="167"/>
        <v>2.2562304480281055E-12</v>
      </c>
      <c r="AB382">
        <f t="shared" ca="1" si="168"/>
        <v>-5.0000000192085281E-4</v>
      </c>
      <c r="AC382">
        <f t="shared" ca="1" si="169"/>
        <v>1</v>
      </c>
      <c r="AD382">
        <f ca="1">IF(V32="Supercritical",L382,IF(V32="Subcritical",U382,IF(AND(T382=1,AC382=1),IF((((F382)*(L382)^2)/2+(G382)*(L382)^3/3+(ABS(K382)^2)/($I$5*MAX(((F382)+(G382)*(L382))*(L382),0.000001)))&gt;=(((F382)*(U382)^2)/2+(G382)*(U382)^3/3+(ABS(K382)^2)/($I$5*MAX(((F382)+(G382)*(U382))*(U382),0.000001))),L382,U382),IF(T382=1,L382,IF(AC382=1,U382,MAX($D$16,POWER((ABS(K382)^2)/($I$5*MAX(F382,0.1)^2),1/3)))))))</f>
        <v>51800.26683766341</v>
      </c>
      <c r="AE382">
        <f t="shared" ca="1" si="170"/>
        <v>52432.712837663414</v>
      </c>
      <c r="AF382">
        <f t="shared" ca="1" si="171"/>
        <v>52432.71283766524</v>
      </c>
      <c r="AI382">
        <v>0</v>
      </c>
      <c r="AJ382">
        <v>0</v>
      </c>
      <c r="AK382">
        <f t="shared" si="172"/>
        <v>0</v>
      </c>
      <c r="AL382">
        <f t="shared" si="181"/>
        <v>0</v>
      </c>
      <c r="AM382">
        <f t="shared" ca="1" si="173"/>
        <v>2.6560383008097266E-7</v>
      </c>
      <c r="AN382" t="str">
        <f t="shared" ca="1" si="174"/>
        <v>Subcritical</v>
      </c>
      <c r="AO382">
        <f t="shared" ca="1" si="175"/>
        <v>2.2562304480281055E-12</v>
      </c>
    </row>
    <row r="383" spans="1:41" x14ac:dyDescent="0.35">
      <c r="A383">
        <v>234</v>
      </c>
      <c r="B383">
        <v>232.94800000000001</v>
      </c>
      <c r="C383">
        <v>616350.98100000003</v>
      </c>
      <c r="D383">
        <v>3097689.6329999999</v>
      </c>
      <c r="E383">
        <v>632.44550000000004</v>
      </c>
      <c r="F383">
        <v>5.2</v>
      </c>
      <c r="G383">
        <v>0</v>
      </c>
      <c r="H383" t="s">
        <v>186</v>
      </c>
      <c r="I383">
        <v>5.7000000000000002E-2</v>
      </c>
      <c r="J383">
        <f t="shared" si="176"/>
        <v>1</v>
      </c>
      <c r="K383">
        <f t="shared" si="177"/>
        <v>51</v>
      </c>
      <c r="L383">
        <f t="shared" ca="1" si="178"/>
        <v>51797.906104439367</v>
      </c>
      <c r="M383">
        <f t="shared" ca="1" si="155"/>
        <v>269349.11174308474</v>
      </c>
      <c r="N383">
        <f t="shared" ca="1" si="156"/>
        <v>2.5998694993445364</v>
      </c>
      <c r="O383">
        <f t="shared" ca="1" si="157"/>
        <v>1.8934534318659906E-4</v>
      </c>
      <c r="P383">
        <f t="shared" ca="1" si="158"/>
        <v>52430.351604439369</v>
      </c>
      <c r="Q383">
        <f t="shared" ca="1" si="159"/>
        <v>52430.351604441195</v>
      </c>
      <c r="R383">
        <f t="shared" ca="1" si="160"/>
        <v>2.2564361188049429E-12</v>
      </c>
      <c r="S383">
        <f t="shared" ca="1" si="179"/>
        <v>5.0000000192085281E-4</v>
      </c>
      <c r="T383">
        <f t="shared" ca="1" si="180"/>
        <v>1</v>
      </c>
      <c r="U383">
        <f t="shared" ca="1" si="161"/>
        <v>51800.26683766341</v>
      </c>
      <c r="V383">
        <f t="shared" ca="1" si="162"/>
        <v>269361.38755584974</v>
      </c>
      <c r="W383">
        <f t="shared" ca="1" si="163"/>
        <v>2.5998695052916441</v>
      </c>
      <c r="X383">
        <f t="shared" ca="1" si="164"/>
        <v>1.8933671400629237E-4</v>
      </c>
      <c r="Y383">
        <f t="shared" ca="1" si="165"/>
        <v>52432.712337663412</v>
      </c>
      <c r="Z383">
        <f t="shared" ca="1" si="166"/>
        <v>52432.712337665238</v>
      </c>
      <c r="AA383">
        <f t="shared" ca="1" si="167"/>
        <v>2.2562304480281055E-12</v>
      </c>
      <c r="AB383">
        <f t="shared" ca="1" si="168"/>
        <v>-5.0000000192085281E-4</v>
      </c>
      <c r="AC383">
        <f t="shared" ca="1" si="169"/>
        <v>1</v>
      </c>
      <c r="AD383">
        <f ca="1">IF(V32="Supercritical",L383,IF(V32="Subcritical",U383,IF(AND(T383=1,AC383=1),IF((((F383)*(L383)^2)/2+(G383)*(L383)^3/3+(ABS(K383)^2)/($I$5*MAX(((F383)+(G383)*(L383))*(L383),0.000001)))&gt;=(((F383)*(U383)^2)/2+(G383)*(U383)^3/3+(ABS(K383)^2)/($I$5*MAX(((F383)+(G383)*(U383))*(U383),0.000001))),L383,U383),IF(T383=1,L383,IF(AC383=1,U383,MAX($D$16,POWER((ABS(K383)^2)/($I$5*MAX(F383,0.1)^2),1/3)))))))</f>
        <v>51800.26683766341</v>
      </c>
      <c r="AE383">
        <f t="shared" ca="1" si="170"/>
        <v>52432.712337663412</v>
      </c>
      <c r="AF383">
        <f t="shared" ca="1" si="171"/>
        <v>52432.712337665238</v>
      </c>
      <c r="AI383">
        <v>0</v>
      </c>
      <c r="AJ383">
        <v>0</v>
      </c>
      <c r="AK383">
        <f t="shared" si="172"/>
        <v>0</v>
      </c>
      <c r="AL383">
        <f t="shared" si="181"/>
        <v>0</v>
      </c>
      <c r="AM383">
        <f t="shared" ca="1" si="173"/>
        <v>2.6560383008097266E-7</v>
      </c>
      <c r="AN383" t="str">
        <f t="shared" ca="1" si="174"/>
        <v>Subcritical</v>
      </c>
      <c r="AO383">
        <f t="shared" ca="1" si="175"/>
        <v>2.2562304480281055E-12</v>
      </c>
    </row>
    <row r="384" spans="1:41" x14ac:dyDescent="0.35">
      <c r="A384">
        <v>235</v>
      </c>
      <c r="B384">
        <v>233.94800000000001</v>
      </c>
      <c r="C384">
        <v>616349.98199999996</v>
      </c>
      <c r="D384">
        <v>3097689.5860000001</v>
      </c>
      <c r="E384">
        <v>632.44500000000005</v>
      </c>
      <c r="F384">
        <v>5.2</v>
      </c>
      <c r="G384">
        <v>0</v>
      </c>
      <c r="H384" t="s">
        <v>186</v>
      </c>
      <c r="I384">
        <v>5.7000000000000002E-2</v>
      </c>
      <c r="J384">
        <f t="shared" si="176"/>
        <v>1</v>
      </c>
      <c r="K384">
        <f t="shared" si="177"/>
        <v>51</v>
      </c>
      <c r="L384">
        <f t="shared" ca="1" si="178"/>
        <v>51797.902068359072</v>
      </c>
      <c r="M384">
        <f t="shared" ca="1" si="155"/>
        <v>269349.09075546719</v>
      </c>
      <c r="N384">
        <f t="shared" ca="1" si="156"/>
        <v>2.5998694993343681</v>
      </c>
      <c r="O384">
        <f t="shared" ca="1" si="157"/>
        <v>1.8934535794034349E-4</v>
      </c>
      <c r="P384">
        <f t="shared" ca="1" si="158"/>
        <v>52430.347068359071</v>
      </c>
      <c r="Q384">
        <f t="shared" ca="1" si="159"/>
        <v>52430.347068360898</v>
      </c>
      <c r="R384">
        <f t="shared" ca="1" si="160"/>
        <v>2.2564364704586633E-12</v>
      </c>
      <c r="S384">
        <f t="shared" ca="1" si="179"/>
        <v>4.5360802978393622E-3</v>
      </c>
      <c r="T384">
        <f t="shared" ca="1" si="180"/>
        <v>0</v>
      </c>
      <c r="U384">
        <f t="shared" ca="1" si="161"/>
        <v>51800.26683766341</v>
      </c>
      <c r="V384">
        <f t="shared" ca="1" si="162"/>
        <v>269361.38755584974</v>
      </c>
      <c r="W384">
        <f t="shared" ca="1" si="163"/>
        <v>2.5998695052916441</v>
      </c>
      <c r="X384">
        <f t="shared" ca="1" si="164"/>
        <v>1.8933671400629237E-4</v>
      </c>
      <c r="Y384">
        <f t="shared" ca="1" si="165"/>
        <v>52432.71183766341</v>
      </c>
      <c r="Z384">
        <f t="shared" ca="1" si="166"/>
        <v>52432.711837665236</v>
      </c>
      <c r="AA384">
        <f t="shared" ca="1" si="167"/>
        <v>2.2562304480281055E-12</v>
      </c>
      <c r="AB384">
        <f t="shared" ca="1" si="168"/>
        <v>-5.0000000192085281E-4</v>
      </c>
      <c r="AC384">
        <f t="shared" ca="1" si="169"/>
        <v>1</v>
      </c>
      <c r="AD384">
        <f ca="1">IF(V32="Supercritical",L384,IF(V32="Subcritical",U384,IF(AND(T384=1,AC384=1),IF((((F384)*(L384)^2)/2+(G384)*(L384)^3/3+(ABS(K384)^2)/($I$5*MAX(((F384)+(G384)*(L384))*(L384),0.000001)))&gt;=(((F384)*(U384)^2)/2+(G384)*(U384)^3/3+(ABS(K384)^2)/($I$5*MAX(((F384)+(G384)*(U384))*(U384),0.000001))),L384,U384),IF(T384=1,L384,IF(AC384=1,U384,MAX($D$16,POWER((ABS(K384)^2)/($I$5*MAX(F384,0.1)^2),1/3)))))))</f>
        <v>51800.26683766341</v>
      </c>
      <c r="AE384">
        <f t="shared" ca="1" si="170"/>
        <v>52432.71183766341</v>
      </c>
      <c r="AF384">
        <f t="shared" ca="1" si="171"/>
        <v>52432.711837665236</v>
      </c>
      <c r="AI384">
        <v>0</v>
      </c>
      <c r="AJ384">
        <v>0</v>
      </c>
      <c r="AK384">
        <f t="shared" si="172"/>
        <v>0</v>
      </c>
      <c r="AL384">
        <f t="shared" si="181"/>
        <v>0</v>
      </c>
      <c r="AM384">
        <f t="shared" ca="1" si="173"/>
        <v>2.6560383008097266E-7</v>
      </c>
      <c r="AN384" t="str">
        <f t="shared" ca="1" si="174"/>
        <v>Subcritical</v>
      </c>
      <c r="AO384">
        <f t="shared" ca="1" si="175"/>
        <v>2.2562304480281055E-12</v>
      </c>
    </row>
    <row r="385" spans="1:41" x14ac:dyDescent="0.35">
      <c r="A385">
        <v>236</v>
      </c>
      <c r="B385">
        <v>234.94800000000001</v>
      </c>
      <c r="C385">
        <v>616348.98300000001</v>
      </c>
      <c r="D385">
        <v>3097689.5380000002</v>
      </c>
      <c r="E385">
        <v>632.44449999999995</v>
      </c>
      <c r="F385">
        <v>5.2</v>
      </c>
      <c r="G385">
        <v>0</v>
      </c>
      <c r="H385" t="s">
        <v>186</v>
      </c>
      <c r="I385">
        <v>5.7000000000000002E-2</v>
      </c>
      <c r="J385">
        <f t="shared" si="176"/>
        <v>1</v>
      </c>
      <c r="K385">
        <f t="shared" si="177"/>
        <v>51</v>
      </c>
      <c r="L385">
        <f t="shared" ca="1" si="178"/>
        <v>51797.902068359072</v>
      </c>
      <c r="M385">
        <f t="shared" ca="1" si="155"/>
        <v>269349.09075546719</v>
      </c>
      <c r="N385">
        <f t="shared" ca="1" si="156"/>
        <v>2.5998694993343681</v>
      </c>
      <c r="O385">
        <f t="shared" ca="1" si="157"/>
        <v>1.8934535794034349E-4</v>
      </c>
      <c r="P385">
        <f t="shared" ca="1" si="158"/>
        <v>52430.346568359069</v>
      </c>
      <c r="Q385">
        <f t="shared" ca="1" si="159"/>
        <v>52430.346568360896</v>
      </c>
      <c r="R385">
        <f t="shared" ca="1" si="160"/>
        <v>2.2564364704586633E-12</v>
      </c>
      <c r="S385">
        <f t="shared" ca="1" si="179"/>
        <v>5.0000000192085281E-4</v>
      </c>
      <c r="T385">
        <f t="shared" ca="1" si="180"/>
        <v>1</v>
      </c>
      <c r="U385">
        <f t="shared" ca="1" si="161"/>
        <v>51800.26683766341</v>
      </c>
      <c r="V385">
        <f t="shared" ca="1" si="162"/>
        <v>269361.38755584974</v>
      </c>
      <c r="W385">
        <f t="shared" ca="1" si="163"/>
        <v>2.5998695052916441</v>
      </c>
      <c r="X385">
        <f t="shared" ca="1" si="164"/>
        <v>1.8933671400629237E-4</v>
      </c>
      <c r="Y385">
        <f t="shared" ca="1" si="165"/>
        <v>52432.711337663408</v>
      </c>
      <c r="Z385">
        <f t="shared" ca="1" si="166"/>
        <v>52432.711337665234</v>
      </c>
      <c r="AA385">
        <f t="shared" ca="1" si="167"/>
        <v>2.2562304480281055E-12</v>
      </c>
      <c r="AB385">
        <f t="shared" ca="1" si="168"/>
        <v>-4.999999946448952E-4</v>
      </c>
      <c r="AC385">
        <f t="shared" ca="1" si="169"/>
        <v>1</v>
      </c>
      <c r="AD385">
        <f ca="1">IF(V32="Supercritical",L385,IF(V32="Subcritical",U385,IF(AND(T385=1,AC385=1),IF((((F385)*(L385)^2)/2+(G385)*(L385)^3/3+(ABS(K385)^2)/($I$5*MAX(((F385)+(G385)*(L385))*(L385),0.000001)))&gt;=(((F385)*(U385)^2)/2+(G385)*(U385)^3/3+(ABS(K385)^2)/($I$5*MAX(((F385)+(G385)*(U385))*(U385),0.000001))),L385,U385),IF(T385=1,L385,IF(AC385=1,U385,MAX($D$16,POWER((ABS(K385)^2)/($I$5*MAX(F385,0.1)^2),1/3)))))))</f>
        <v>51800.26683766341</v>
      </c>
      <c r="AE385">
        <f t="shared" ca="1" si="170"/>
        <v>52432.711337663408</v>
      </c>
      <c r="AF385">
        <f t="shared" ca="1" si="171"/>
        <v>52432.711337665234</v>
      </c>
      <c r="AI385">
        <v>0</v>
      </c>
      <c r="AJ385">
        <v>0</v>
      </c>
      <c r="AK385">
        <f t="shared" si="172"/>
        <v>0</v>
      </c>
      <c r="AL385">
        <f t="shared" si="181"/>
        <v>0</v>
      </c>
      <c r="AM385">
        <f t="shared" ca="1" si="173"/>
        <v>2.6560383008097266E-7</v>
      </c>
      <c r="AN385" t="str">
        <f t="shared" ca="1" si="174"/>
        <v>Subcritical</v>
      </c>
      <c r="AO385">
        <f t="shared" ca="1" si="175"/>
        <v>2.2562304480281055E-12</v>
      </c>
    </row>
    <row r="386" spans="1:41" x14ac:dyDescent="0.35">
      <c r="A386">
        <v>237</v>
      </c>
      <c r="B386">
        <v>235.94800000000001</v>
      </c>
      <c r="C386">
        <v>616347.98400000005</v>
      </c>
      <c r="D386">
        <v>3097689.4909999999</v>
      </c>
      <c r="E386">
        <v>632.44399999999996</v>
      </c>
      <c r="F386">
        <v>5.2</v>
      </c>
      <c r="G386">
        <v>0</v>
      </c>
      <c r="H386" t="s">
        <v>186</v>
      </c>
      <c r="I386">
        <v>5.7000000000000002E-2</v>
      </c>
      <c r="J386">
        <f t="shared" si="176"/>
        <v>1</v>
      </c>
      <c r="K386">
        <f t="shared" si="177"/>
        <v>51</v>
      </c>
      <c r="L386">
        <f t="shared" ca="1" si="178"/>
        <v>51797.898579564324</v>
      </c>
      <c r="M386">
        <f t="shared" ca="1" si="155"/>
        <v>269349.07261373452</v>
      </c>
      <c r="N386">
        <f t="shared" ca="1" si="156"/>
        <v>2.5998694993255791</v>
      </c>
      <c r="O386">
        <f t="shared" ca="1" si="157"/>
        <v>1.8934537069350738E-4</v>
      </c>
      <c r="P386">
        <f t="shared" ca="1" si="158"/>
        <v>52430.342579564327</v>
      </c>
      <c r="Q386">
        <f t="shared" ca="1" si="159"/>
        <v>52430.342579566153</v>
      </c>
      <c r="R386">
        <f t="shared" ca="1" si="160"/>
        <v>2.2564367744288077E-12</v>
      </c>
      <c r="S386">
        <f t="shared" ca="1" si="179"/>
        <v>3.9887947423267178E-3</v>
      </c>
      <c r="T386">
        <f t="shared" ca="1" si="180"/>
        <v>0</v>
      </c>
      <c r="U386">
        <f t="shared" ca="1" si="161"/>
        <v>51800.26683766341</v>
      </c>
      <c r="V386">
        <f t="shared" ca="1" si="162"/>
        <v>269361.38755584974</v>
      </c>
      <c r="W386">
        <f t="shared" ca="1" si="163"/>
        <v>2.5998695052916441</v>
      </c>
      <c r="X386">
        <f t="shared" ca="1" si="164"/>
        <v>1.8933671400629237E-4</v>
      </c>
      <c r="Y386">
        <f t="shared" ca="1" si="165"/>
        <v>52432.710837663413</v>
      </c>
      <c r="Z386">
        <f t="shared" ca="1" si="166"/>
        <v>52432.71083766524</v>
      </c>
      <c r="AA386">
        <f t="shared" ca="1" si="167"/>
        <v>2.2562304480281055E-12</v>
      </c>
      <c r="AB386">
        <f t="shared" ca="1" si="168"/>
        <v>-5.0000000192085281E-4</v>
      </c>
      <c r="AC386">
        <f t="shared" ca="1" si="169"/>
        <v>1</v>
      </c>
      <c r="AD386">
        <f ca="1">IF(V32="Supercritical",L386,IF(V32="Subcritical",U386,IF(AND(T386=1,AC386=1),IF((((F386)*(L386)^2)/2+(G386)*(L386)^3/3+(ABS(K386)^2)/($I$5*MAX(((F386)+(G386)*(L386))*(L386),0.000001)))&gt;=(((F386)*(U386)^2)/2+(G386)*(U386)^3/3+(ABS(K386)^2)/($I$5*MAX(((F386)+(G386)*(U386))*(U386),0.000001))),L386,U386),IF(T386=1,L386,IF(AC386=1,U386,MAX($D$16,POWER((ABS(K386)^2)/($I$5*MAX(F386,0.1)^2),1/3)))))))</f>
        <v>51800.26683766341</v>
      </c>
      <c r="AE386">
        <f t="shared" ca="1" si="170"/>
        <v>52432.710837663413</v>
      </c>
      <c r="AF386">
        <f t="shared" ca="1" si="171"/>
        <v>52432.71083766524</v>
      </c>
      <c r="AI386">
        <v>0</v>
      </c>
      <c r="AJ386">
        <v>0</v>
      </c>
      <c r="AK386">
        <f t="shared" si="172"/>
        <v>0</v>
      </c>
      <c r="AL386">
        <f t="shared" si="181"/>
        <v>0</v>
      </c>
      <c r="AM386">
        <f t="shared" ca="1" si="173"/>
        <v>2.6560383008097266E-7</v>
      </c>
      <c r="AN386" t="str">
        <f t="shared" ca="1" si="174"/>
        <v>Subcritical</v>
      </c>
      <c r="AO386">
        <f t="shared" ca="1" si="175"/>
        <v>2.2562304480281055E-12</v>
      </c>
    </row>
    <row r="387" spans="1:41" x14ac:dyDescent="0.35">
      <c r="A387">
        <v>238</v>
      </c>
      <c r="B387">
        <v>236.94800000000001</v>
      </c>
      <c r="C387">
        <v>616346.98499999999</v>
      </c>
      <c r="D387">
        <v>3097689.443</v>
      </c>
      <c r="E387">
        <v>632.44349999999997</v>
      </c>
      <c r="F387">
        <v>5.2</v>
      </c>
      <c r="G387">
        <v>0</v>
      </c>
      <c r="H387" t="s">
        <v>186</v>
      </c>
      <c r="I387">
        <v>0</v>
      </c>
      <c r="J387">
        <f t="shared" si="176"/>
        <v>1</v>
      </c>
      <c r="K387">
        <f t="shared" si="177"/>
        <v>51</v>
      </c>
      <c r="L387">
        <f t="shared" ca="1" si="178"/>
        <v>51797.898579564324</v>
      </c>
      <c r="M387">
        <f t="shared" ca="1" si="155"/>
        <v>269349.07261373452</v>
      </c>
      <c r="N387">
        <f t="shared" ca="1" si="156"/>
        <v>2.5998694993255791</v>
      </c>
      <c r="O387">
        <f t="shared" ca="1" si="157"/>
        <v>1.8934537069350738E-4</v>
      </c>
      <c r="P387">
        <f t="shared" ca="1" si="158"/>
        <v>52430.342079564325</v>
      </c>
      <c r="Q387">
        <f t="shared" ca="1" si="159"/>
        <v>52430.342079566151</v>
      </c>
      <c r="R387">
        <f t="shared" ca="1" si="160"/>
        <v>2.2564367744288077E-12</v>
      </c>
      <c r="S387">
        <f t="shared" ca="1" si="179"/>
        <v>5.0000000192085281E-4</v>
      </c>
      <c r="T387">
        <f t="shared" ca="1" si="180"/>
        <v>1</v>
      </c>
      <c r="U387">
        <f t="shared" ca="1" si="161"/>
        <v>51800.26683766341</v>
      </c>
      <c r="V387">
        <f t="shared" ca="1" si="162"/>
        <v>269361.38755584974</v>
      </c>
      <c r="W387">
        <f t="shared" ca="1" si="163"/>
        <v>2.5998695052916441</v>
      </c>
      <c r="X387">
        <f t="shared" ca="1" si="164"/>
        <v>1.8933671400629237E-4</v>
      </c>
      <c r="Y387">
        <f t="shared" ca="1" si="165"/>
        <v>52432.710337663411</v>
      </c>
      <c r="Z387">
        <f t="shared" ca="1" si="166"/>
        <v>52432.710337665238</v>
      </c>
      <c r="AA387">
        <f t="shared" ca="1" si="167"/>
        <v>2.2562304480281055E-12</v>
      </c>
      <c r="AB387">
        <f t="shared" ca="1" si="168"/>
        <v>-5.0000000192085281E-4</v>
      </c>
      <c r="AC387">
        <f t="shared" ca="1" si="169"/>
        <v>1</v>
      </c>
      <c r="AD387">
        <f ca="1">IF(V32="Supercritical",L387,IF(V32="Subcritical",U387,IF(AND(T387=1,AC387=1),IF((((F387)*(L387)^2)/2+(G387)*(L387)^3/3+(ABS(K387)^2)/($I$5*MAX(((F387)+(G387)*(L387))*(L387),0.000001)))&gt;=(((F387)*(U387)^2)/2+(G387)*(U387)^3/3+(ABS(K387)^2)/($I$5*MAX(((F387)+(G387)*(U387))*(U387),0.000001))),L387,U387),IF(T387=1,L387,IF(AC387=1,U387,MAX($D$16,POWER((ABS(K387)^2)/($I$5*MAX(F387,0.1)^2),1/3)))))))</f>
        <v>51800.26683766341</v>
      </c>
      <c r="AE387">
        <f t="shared" ca="1" si="170"/>
        <v>52432.710337663411</v>
      </c>
      <c r="AF387">
        <f t="shared" ca="1" si="171"/>
        <v>52432.710337665238</v>
      </c>
      <c r="AI387">
        <v>0</v>
      </c>
      <c r="AJ387">
        <v>0</v>
      </c>
      <c r="AK387">
        <f t="shared" si="172"/>
        <v>0</v>
      </c>
      <c r="AL387">
        <f t="shared" si="181"/>
        <v>0</v>
      </c>
      <c r="AM387">
        <f t="shared" ca="1" si="173"/>
        <v>2.6560383008097266E-7</v>
      </c>
      <c r="AN387" t="str">
        <f t="shared" ca="1" si="174"/>
        <v>Subcritical</v>
      </c>
      <c r="AO387">
        <f t="shared" ca="1" si="175"/>
        <v>2.2562304480281055E-12</v>
      </c>
    </row>
    <row r="388" spans="1:41" x14ac:dyDescent="0.35">
      <c r="A388">
        <v>239</v>
      </c>
      <c r="B388">
        <v>237.94900000000001</v>
      </c>
      <c r="C388">
        <v>616345.98600000003</v>
      </c>
      <c r="D388">
        <v>3097689.395</v>
      </c>
      <c r="E388">
        <v>632.44299999999998</v>
      </c>
      <c r="F388">
        <v>5.2</v>
      </c>
      <c r="G388">
        <v>0</v>
      </c>
      <c r="H388" t="s">
        <v>186</v>
      </c>
      <c r="I388">
        <v>5.5E-2</v>
      </c>
      <c r="J388">
        <f t="shared" si="176"/>
        <v>1.0010000000000048</v>
      </c>
      <c r="K388">
        <f t="shared" si="177"/>
        <v>51</v>
      </c>
      <c r="L388">
        <f t="shared" ca="1" si="178"/>
        <v>51797.895573615664</v>
      </c>
      <c r="M388">
        <f t="shared" ca="1" si="155"/>
        <v>269349.05698280147</v>
      </c>
      <c r="N388">
        <f t="shared" ca="1" si="156"/>
        <v>2.599869499318006</v>
      </c>
      <c r="O388">
        <f t="shared" ca="1" si="157"/>
        <v>1.8934538168164614E-4</v>
      </c>
      <c r="P388">
        <f t="shared" ca="1" si="158"/>
        <v>52430.338573615663</v>
      </c>
      <c r="Q388">
        <f t="shared" ca="1" si="159"/>
        <v>52430.33857361749</v>
      </c>
      <c r="R388">
        <f t="shared" ca="1" si="160"/>
        <v>2.2564370363298051E-12</v>
      </c>
      <c r="S388">
        <f t="shared" ca="1" si="179"/>
        <v>3.5059486617683433E-3</v>
      </c>
      <c r="T388">
        <f t="shared" ca="1" si="180"/>
        <v>0</v>
      </c>
      <c r="U388">
        <f t="shared" ca="1" si="161"/>
        <v>51800.26683766341</v>
      </c>
      <c r="V388">
        <f t="shared" ca="1" si="162"/>
        <v>269361.38755584974</v>
      </c>
      <c r="W388">
        <f t="shared" ca="1" si="163"/>
        <v>2.5998695052916441</v>
      </c>
      <c r="X388">
        <f t="shared" ca="1" si="164"/>
        <v>1.8933671400629237E-4</v>
      </c>
      <c r="Y388">
        <f t="shared" ca="1" si="165"/>
        <v>52432.709837663409</v>
      </c>
      <c r="Z388">
        <f t="shared" ca="1" si="166"/>
        <v>52432.709837665236</v>
      </c>
      <c r="AA388">
        <f t="shared" ca="1" si="167"/>
        <v>2.2562304480281055E-12</v>
      </c>
      <c r="AB388">
        <f t="shared" ca="1" si="168"/>
        <v>-5.0000000192085281E-4</v>
      </c>
      <c r="AC388">
        <f t="shared" ca="1" si="169"/>
        <v>1</v>
      </c>
      <c r="AD388">
        <f ca="1">IF(V32="Supercritical",L388,IF(V32="Subcritical",U388,IF(AND(T388=1,AC388=1),IF((((F388)*(L388)^2)/2+(G388)*(L388)^3/3+(ABS(K388)^2)/($I$5*MAX(((F388)+(G388)*(L388))*(L388),0.000001)))&gt;=(((F388)*(U388)^2)/2+(G388)*(U388)^3/3+(ABS(K388)^2)/($I$5*MAX(((F388)+(G388)*(U388))*(U388),0.000001))),L388,U388),IF(T388=1,L388,IF(AC388=1,U388,MAX($D$16,POWER((ABS(K388)^2)/($I$5*MAX(F388,0.1)^2),1/3)))))))</f>
        <v>51800.26683766341</v>
      </c>
      <c r="AE388">
        <f t="shared" ca="1" si="170"/>
        <v>52432.709837663409</v>
      </c>
      <c r="AF388">
        <f t="shared" ca="1" si="171"/>
        <v>52432.709837665236</v>
      </c>
      <c r="AI388">
        <v>0</v>
      </c>
      <c r="AJ388">
        <v>0</v>
      </c>
      <c r="AK388">
        <f t="shared" si="172"/>
        <v>0</v>
      </c>
      <c r="AL388">
        <f t="shared" si="181"/>
        <v>0</v>
      </c>
      <c r="AM388">
        <f t="shared" ca="1" si="173"/>
        <v>2.6560383008097266E-7</v>
      </c>
      <c r="AN388" t="str">
        <f t="shared" ca="1" si="174"/>
        <v>Subcritical</v>
      </c>
      <c r="AO388">
        <f t="shared" ca="1" si="175"/>
        <v>2.2562304480281055E-12</v>
      </c>
    </row>
    <row r="389" spans="1:41" x14ac:dyDescent="0.35">
      <c r="A389">
        <v>240</v>
      </c>
      <c r="B389">
        <v>238.94800000000001</v>
      </c>
      <c r="C389">
        <v>616344.98800000001</v>
      </c>
      <c r="D389">
        <v>3097689.3480000002</v>
      </c>
      <c r="E389">
        <v>632.4425</v>
      </c>
      <c r="F389">
        <v>5.2</v>
      </c>
      <c r="G389">
        <v>0</v>
      </c>
      <c r="H389" t="s">
        <v>186</v>
      </c>
      <c r="I389">
        <v>5.5E-2</v>
      </c>
      <c r="J389">
        <f t="shared" si="176"/>
        <v>0.99899999999999523</v>
      </c>
      <c r="K389">
        <f t="shared" si="177"/>
        <v>51</v>
      </c>
      <c r="L389">
        <f t="shared" ca="1" si="178"/>
        <v>51797.895573615664</v>
      </c>
      <c r="M389">
        <f t="shared" ca="1" si="155"/>
        <v>269349.05698280147</v>
      </c>
      <c r="N389">
        <f t="shared" ca="1" si="156"/>
        <v>2.599869499318006</v>
      </c>
      <c r="O389">
        <f t="shared" ca="1" si="157"/>
        <v>1.8934538168164614E-4</v>
      </c>
      <c r="P389">
        <f t="shared" ca="1" si="158"/>
        <v>52430.338073615661</v>
      </c>
      <c r="Q389">
        <f t="shared" ca="1" si="159"/>
        <v>52430.338073617488</v>
      </c>
      <c r="R389">
        <f t="shared" ca="1" si="160"/>
        <v>2.2564370363298051E-12</v>
      </c>
      <c r="S389">
        <f t="shared" ca="1" si="179"/>
        <v>5.0000000192085281E-4</v>
      </c>
      <c r="T389">
        <f t="shared" ca="1" si="180"/>
        <v>1</v>
      </c>
      <c r="U389">
        <f t="shared" ca="1" si="161"/>
        <v>51800.26683766341</v>
      </c>
      <c r="V389">
        <f t="shared" ca="1" si="162"/>
        <v>269361.38755584974</v>
      </c>
      <c r="W389">
        <f t="shared" ca="1" si="163"/>
        <v>2.5998695052916441</v>
      </c>
      <c r="X389">
        <f t="shared" ca="1" si="164"/>
        <v>1.8933671400629237E-4</v>
      </c>
      <c r="Y389">
        <f t="shared" ca="1" si="165"/>
        <v>52432.709337663407</v>
      </c>
      <c r="Z389">
        <f t="shared" ca="1" si="166"/>
        <v>52432.709337665234</v>
      </c>
      <c r="AA389">
        <f t="shared" ca="1" si="167"/>
        <v>2.2562304480281055E-12</v>
      </c>
      <c r="AB389">
        <f t="shared" ca="1" si="168"/>
        <v>-4.999999946448952E-4</v>
      </c>
      <c r="AC389">
        <f t="shared" ca="1" si="169"/>
        <v>1</v>
      </c>
      <c r="AD389">
        <f ca="1">IF(V32="Supercritical",L389,IF(V32="Subcritical",U389,IF(AND(T389=1,AC389=1),IF((((F389)*(L389)^2)/2+(G389)*(L389)^3/3+(ABS(K389)^2)/($I$5*MAX(((F389)+(G389)*(L389))*(L389),0.000001)))&gt;=(((F389)*(U389)^2)/2+(G389)*(U389)^3/3+(ABS(K389)^2)/($I$5*MAX(((F389)+(G389)*(U389))*(U389),0.000001))),L389,U389),IF(T389=1,L389,IF(AC389=1,U389,MAX($D$16,POWER((ABS(K389)^2)/($I$5*MAX(F389,0.1)^2),1/3)))))))</f>
        <v>51800.26683766341</v>
      </c>
      <c r="AE389">
        <f t="shared" ca="1" si="170"/>
        <v>52432.709337663407</v>
      </c>
      <c r="AF389">
        <f t="shared" ca="1" si="171"/>
        <v>52432.709337665234</v>
      </c>
      <c r="AI389">
        <v>0</v>
      </c>
      <c r="AJ389">
        <v>0</v>
      </c>
      <c r="AK389">
        <f t="shared" si="172"/>
        <v>0</v>
      </c>
      <c r="AL389">
        <f t="shared" si="181"/>
        <v>0</v>
      </c>
      <c r="AM389">
        <f t="shared" ca="1" si="173"/>
        <v>2.6560383008097266E-7</v>
      </c>
      <c r="AN389" t="str">
        <f t="shared" ca="1" si="174"/>
        <v>Subcritical</v>
      </c>
      <c r="AO389">
        <f t="shared" ca="1" si="175"/>
        <v>2.2562304480281055E-12</v>
      </c>
    </row>
    <row r="390" spans="1:41" x14ac:dyDescent="0.35">
      <c r="A390">
        <v>241</v>
      </c>
      <c r="B390">
        <v>239.94800000000001</v>
      </c>
      <c r="C390">
        <v>616343.98899999994</v>
      </c>
      <c r="D390">
        <v>3097689.3</v>
      </c>
      <c r="E390">
        <v>632.44200000000001</v>
      </c>
      <c r="F390">
        <v>5.2</v>
      </c>
      <c r="G390">
        <v>0</v>
      </c>
      <c r="H390" t="s">
        <v>186</v>
      </c>
      <c r="I390">
        <v>5.7000000000000002E-2</v>
      </c>
      <c r="J390">
        <f t="shared" si="176"/>
        <v>1</v>
      </c>
      <c r="K390">
        <f t="shared" si="177"/>
        <v>51</v>
      </c>
      <c r="L390">
        <f t="shared" ca="1" si="178"/>
        <v>51797.892987070009</v>
      </c>
      <c r="M390">
        <f t="shared" ca="1" si="155"/>
        <v>269349.04353276407</v>
      </c>
      <c r="N390">
        <f t="shared" ca="1" si="156"/>
        <v>2.5998694993114899</v>
      </c>
      <c r="O390">
        <f t="shared" ca="1" si="157"/>
        <v>1.893453911366731E-4</v>
      </c>
      <c r="P390">
        <f t="shared" ca="1" si="158"/>
        <v>52430.334987070011</v>
      </c>
      <c r="Q390">
        <f t="shared" ca="1" si="159"/>
        <v>52430.334987071838</v>
      </c>
      <c r="R390">
        <f t="shared" ca="1" si="160"/>
        <v>2.2564372616892754E-12</v>
      </c>
      <c r="S390">
        <f t="shared" ca="1" si="179"/>
        <v>3.0865456501487643E-3</v>
      </c>
      <c r="T390">
        <f t="shared" ca="1" si="180"/>
        <v>0</v>
      </c>
      <c r="U390">
        <f t="shared" ca="1" si="161"/>
        <v>51800.26683766341</v>
      </c>
      <c r="V390">
        <f t="shared" ca="1" si="162"/>
        <v>269361.38755584974</v>
      </c>
      <c r="W390">
        <f t="shared" ca="1" si="163"/>
        <v>2.5998695052916441</v>
      </c>
      <c r="X390">
        <f t="shared" ca="1" si="164"/>
        <v>1.8933671400629237E-4</v>
      </c>
      <c r="Y390">
        <f t="shared" ca="1" si="165"/>
        <v>52432.708837663413</v>
      </c>
      <c r="Z390">
        <f t="shared" ca="1" si="166"/>
        <v>52432.708837665239</v>
      </c>
      <c r="AA390">
        <f t="shared" ca="1" si="167"/>
        <v>2.2562304480281055E-12</v>
      </c>
      <c r="AB390">
        <f t="shared" ca="1" si="168"/>
        <v>-5.0000000192085281E-4</v>
      </c>
      <c r="AC390">
        <f t="shared" ca="1" si="169"/>
        <v>1</v>
      </c>
      <c r="AD390">
        <f ca="1">IF(V32="Supercritical",L390,IF(V32="Subcritical",U390,IF(AND(T390=1,AC390=1),IF((((F390)*(L390)^2)/2+(G390)*(L390)^3/3+(ABS(K390)^2)/($I$5*MAX(((F390)+(G390)*(L390))*(L390),0.000001)))&gt;=(((F390)*(U390)^2)/2+(G390)*(U390)^3/3+(ABS(K390)^2)/($I$5*MAX(((F390)+(G390)*(U390))*(U390),0.000001))),L390,U390),IF(T390=1,L390,IF(AC390=1,U390,MAX($D$16,POWER((ABS(K390)^2)/($I$5*MAX(F390,0.1)^2),1/3)))))))</f>
        <v>51800.26683766341</v>
      </c>
      <c r="AE390">
        <f t="shared" ca="1" si="170"/>
        <v>52432.708837663413</v>
      </c>
      <c r="AF390">
        <f t="shared" ca="1" si="171"/>
        <v>52432.708837665239</v>
      </c>
      <c r="AI390">
        <v>0</v>
      </c>
      <c r="AJ390">
        <v>0</v>
      </c>
      <c r="AK390">
        <f t="shared" si="172"/>
        <v>0</v>
      </c>
      <c r="AL390">
        <f t="shared" si="181"/>
        <v>0</v>
      </c>
      <c r="AM390">
        <f t="shared" ca="1" si="173"/>
        <v>2.6560383008097266E-7</v>
      </c>
      <c r="AN390" t="str">
        <f t="shared" ca="1" si="174"/>
        <v>Subcritical</v>
      </c>
      <c r="AO390">
        <f t="shared" ca="1" si="175"/>
        <v>2.2562304480281055E-12</v>
      </c>
    </row>
    <row r="391" spans="1:41" x14ac:dyDescent="0.35">
      <c r="A391">
        <v>242</v>
      </c>
      <c r="B391">
        <v>240.94800000000001</v>
      </c>
      <c r="C391">
        <v>616342.99</v>
      </c>
      <c r="D391">
        <v>3097689.253</v>
      </c>
      <c r="E391">
        <v>632.44150000000002</v>
      </c>
      <c r="F391">
        <v>5.2</v>
      </c>
      <c r="G391">
        <v>0</v>
      </c>
      <c r="H391" t="s">
        <v>186</v>
      </c>
      <c r="I391">
        <v>5.7000000000000002E-2</v>
      </c>
      <c r="J391">
        <f t="shared" si="176"/>
        <v>1</v>
      </c>
      <c r="K391">
        <f t="shared" si="177"/>
        <v>51</v>
      </c>
      <c r="L391">
        <f t="shared" ca="1" si="178"/>
        <v>51797.892987070009</v>
      </c>
      <c r="M391">
        <f t="shared" ca="1" si="155"/>
        <v>269349.04353276407</v>
      </c>
      <c r="N391">
        <f t="shared" ca="1" si="156"/>
        <v>2.5998694993114899</v>
      </c>
      <c r="O391">
        <f t="shared" ca="1" si="157"/>
        <v>1.893453911366731E-4</v>
      </c>
      <c r="P391">
        <f t="shared" ca="1" si="158"/>
        <v>52430.334487070009</v>
      </c>
      <c r="Q391">
        <f t="shared" ca="1" si="159"/>
        <v>52430.334487071836</v>
      </c>
      <c r="R391">
        <f t="shared" ca="1" si="160"/>
        <v>2.2564372616892754E-12</v>
      </c>
      <c r="S391">
        <f t="shared" ca="1" si="179"/>
        <v>5.0000000192085281E-4</v>
      </c>
      <c r="T391">
        <f t="shared" ca="1" si="180"/>
        <v>1</v>
      </c>
      <c r="U391">
        <f t="shared" ca="1" si="161"/>
        <v>51800.26683766341</v>
      </c>
      <c r="V391">
        <f t="shared" ca="1" si="162"/>
        <v>269361.38755584974</v>
      </c>
      <c r="W391">
        <f t="shared" ca="1" si="163"/>
        <v>2.5998695052916441</v>
      </c>
      <c r="X391">
        <f t="shared" ca="1" si="164"/>
        <v>1.8933671400629237E-4</v>
      </c>
      <c r="Y391">
        <f t="shared" ca="1" si="165"/>
        <v>52432.708337663411</v>
      </c>
      <c r="Z391">
        <f t="shared" ca="1" si="166"/>
        <v>52432.708337665237</v>
      </c>
      <c r="AA391">
        <f t="shared" ca="1" si="167"/>
        <v>2.2562304480281055E-12</v>
      </c>
      <c r="AB391">
        <f t="shared" ca="1" si="168"/>
        <v>-5.0000000192085281E-4</v>
      </c>
      <c r="AC391">
        <f t="shared" ca="1" si="169"/>
        <v>1</v>
      </c>
      <c r="AD391">
        <f ca="1">IF(V32="Supercritical",L391,IF(V32="Subcritical",U391,IF(AND(T391=1,AC391=1),IF((((F391)*(L391)^2)/2+(G391)*(L391)^3/3+(ABS(K391)^2)/($I$5*MAX(((F391)+(G391)*(L391))*(L391),0.000001)))&gt;=(((F391)*(U391)^2)/2+(G391)*(U391)^3/3+(ABS(K391)^2)/($I$5*MAX(((F391)+(G391)*(U391))*(U391),0.000001))),L391,U391),IF(T391=1,L391,IF(AC391=1,U391,MAX($D$16,POWER((ABS(K391)^2)/($I$5*MAX(F391,0.1)^2),1/3)))))))</f>
        <v>51800.26683766341</v>
      </c>
      <c r="AE391">
        <f t="shared" ca="1" si="170"/>
        <v>52432.708337663411</v>
      </c>
      <c r="AF391">
        <f t="shared" ca="1" si="171"/>
        <v>52432.708337665237</v>
      </c>
      <c r="AI391">
        <v>0</v>
      </c>
      <c r="AJ391">
        <v>0</v>
      </c>
      <c r="AK391">
        <f t="shared" si="172"/>
        <v>0</v>
      </c>
      <c r="AL391">
        <f t="shared" si="181"/>
        <v>0</v>
      </c>
      <c r="AM391">
        <f t="shared" ca="1" si="173"/>
        <v>2.6560383008097266E-7</v>
      </c>
      <c r="AN391" t="str">
        <f t="shared" ca="1" si="174"/>
        <v>Subcritical</v>
      </c>
      <c r="AO391">
        <f t="shared" ca="1" si="175"/>
        <v>2.2562304480281055E-12</v>
      </c>
    </row>
    <row r="392" spans="1:41" x14ac:dyDescent="0.35">
      <c r="A392">
        <v>243</v>
      </c>
      <c r="B392">
        <v>241.94800000000001</v>
      </c>
      <c r="C392">
        <v>616341.99100000004</v>
      </c>
      <c r="D392">
        <v>3097689.2050000001</v>
      </c>
      <c r="E392">
        <v>632.44100000000003</v>
      </c>
      <c r="F392">
        <v>5.2</v>
      </c>
      <c r="G392">
        <v>0</v>
      </c>
      <c r="H392" t="s">
        <v>186</v>
      </c>
      <c r="I392">
        <v>0</v>
      </c>
      <c r="J392">
        <f t="shared" si="176"/>
        <v>1</v>
      </c>
      <c r="K392">
        <f t="shared" si="177"/>
        <v>51</v>
      </c>
      <c r="L392">
        <f t="shared" ca="1" si="178"/>
        <v>51797.89075956188</v>
      </c>
      <c r="M392">
        <f t="shared" ca="1" si="155"/>
        <v>269349.0319497218</v>
      </c>
      <c r="N392">
        <f t="shared" ca="1" si="156"/>
        <v>2.599869499305878</v>
      </c>
      <c r="O392">
        <f t="shared" ca="1" si="157"/>
        <v>1.8934539927925172E-4</v>
      </c>
      <c r="P392">
        <f t="shared" ca="1" si="158"/>
        <v>52430.331759561879</v>
      </c>
      <c r="Q392">
        <f t="shared" ca="1" si="159"/>
        <v>52430.331759563705</v>
      </c>
      <c r="R392">
        <f t="shared" ca="1" si="160"/>
        <v>2.2564374557667003E-12</v>
      </c>
      <c r="S392">
        <f t="shared" ca="1" si="179"/>
        <v>2.727508130192291E-3</v>
      </c>
      <c r="T392">
        <f t="shared" ca="1" si="180"/>
        <v>0</v>
      </c>
      <c r="U392">
        <f t="shared" ca="1" si="161"/>
        <v>51800.26683766341</v>
      </c>
      <c r="V392">
        <f t="shared" ca="1" si="162"/>
        <v>269361.38755584974</v>
      </c>
      <c r="W392">
        <f t="shared" ca="1" si="163"/>
        <v>2.5998695052916441</v>
      </c>
      <c r="X392">
        <f t="shared" ca="1" si="164"/>
        <v>1.8933671400629237E-4</v>
      </c>
      <c r="Y392">
        <f t="shared" ca="1" si="165"/>
        <v>52432.707837663409</v>
      </c>
      <c r="Z392">
        <f t="shared" ca="1" si="166"/>
        <v>52432.707837665235</v>
      </c>
      <c r="AA392">
        <f t="shared" ca="1" si="167"/>
        <v>2.2562304480281055E-12</v>
      </c>
      <c r="AB392">
        <f t="shared" ca="1" si="168"/>
        <v>-4.9999992916127667E-4</v>
      </c>
      <c r="AC392">
        <f t="shared" ca="1" si="169"/>
        <v>1</v>
      </c>
      <c r="AD392">
        <f ca="1">IF(V32="Supercritical",L392,IF(V32="Subcritical",U392,IF(AND(T392=1,AC392=1),IF((((F392)*(L392)^2)/2+(G392)*(L392)^3/3+(ABS(K392)^2)/($I$5*MAX(((F392)+(G392)*(L392))*(L392),0.000001)))&gt;=(((F392)*(U392)^2)/2+(G392)*(U392)^3/3+(ABS(K392)^2)/($I$5*MAX(((F392)+(G392)*(U392))*(U392),0.000001))),L392,U392),IF(T392=1,L392,IF(AC392=1,U392,MAX($D$16,POWER((ABS(K392)^2)/($I$5*MAX(F392,0.1)^2),1/3)))))))</f>
        <v>51800.26683766341</v>
      </c>
      <c r="AE392">
        <f t="shared" ca="1" si="170"/>
        <v>52432.707837663409</v>
      </c>
      <c r="AF392">
        <f t="shared" ca="1" si="171"/>
        <v>52432.707837665235</v>
      </c>
      <c r="AI392">
        <v>0</v>
      </c>
      <c r="AJ392">
        <v>0</v>
      </c>
      <c r="AK392">
        <f t="shared" si="172"/>
        <v>0</v>
      </c>
      <c r="AL392">
        <f t="shared" si="181"/>
        <v>0</v>
      </c>
      <c r="AM392">
        <f t="shared" ca="1" si="173"/>
        <v>2.6560383008097266E-7</v>
      </c>
      <c r="AN392" t="str">
        <f t="shared" ca="1" si="174"/>
        <v>Subcritical</v>
      </c>
      <c r="AO392">
        <f t="shared" ca="1" si="175"/>
        <v>2.2562304480281055E-12</v>
      </c>
    </row>
    <row r="393" spans="1:41" x14ac:dyDescent="0.35">
      <c r="A393">
        <v>244</v>
      </c>
      <c r="B393">
        <v>242.94800000000001</v>
      </c>
      <c r="C393">
        <v>616340.99199999997</v>
      </c>
      <c r="D393">
        <v>3097689.1570000001</v>
      </c>
      <c r="E393">
        <v>632.44050000000004</v>
      </c>
      <c r="F393">
        <v>5.2</v>
      </c>
      <c r="G393">
        <v>0</v>
      </c>
      <c r="H393" t="s">
        <v>186</v>
      </c>
      <c r="I393">
        <v>23.762</v>
      </c>
      <c r="J393">
        <f t="shared" si="176"/>
        <v>1</v>
      </c>
      <c r="K393">
        <f t="shared" si="177"/>
        <v>51</v>
      </c>
      <c r="L393">
        <f t="shared" ca="1" si="178"/>
        <v>51797.89075956188</v>
      </c>
      <c r="M393">
        <f t="shared" ca="1" si="155"/>
        <v>269349.0319497218</v>
      </c>
      <c r="N393">
        <f t="shared" ca="1" si="156"/>
        <v>2.599869499305878</v>
      </c>
      <c r="O393">
        <f t="shared" ca="1" si="157"/>
        <v>1.8934539927925172E-4</v>
      </c>
      <c r="P393">
        <f t="shared" ca="1" si="158"/>
        <v>52430.331259561877</v>
      </c>
      <c r="Q393">
        <f t="shared" ca="1" si="159"/>
        <v>52430.331259563703</v>
      </c>
      <c r="R393">
        <f t="shared" ca="1" si="160"/>
        <v>2.2564374557667003E-12</v>
      </c>
      <c r="S393">
        <f t="shared" ca="1" si="179"/>
        <v>4.9999992916127667E-4</v>
      </c>
      <c r="T393">
        <f t="shared" ca="1" si="180"/>
        <v>1</v>
      </c>
      <c r="U393">
        <f t="shared" ca="1" si="161"/>
        <v>51800.26683766341</v>
      </c>
      <c r="V393">
        <f t="shared" ca="1" si="162"/>
        <v>269361.38755584974</v>
      </c>
      <c r="W393">
        <f t="shared" ca="1" si="163"/>
        <v>2.5998695052916441</v>
      </c>
      <c r="X393">
        <f t="shared" ca="1" si="164"/>
        <v>1.8933671400629237E-4</v>
      </c>
      <c r="Y393">
        <f t="shared" ca="1" si="165"/>
        <v>52432.707337663407</v>
      </c>
      <c r="Z393">
        <f t="shared" ca="1" si="166"/>
        <v>52432.707337665233</v>
      </c>
      <c r="AA393">
        <f t="shared" ca="1" si="167"/>
        <v>2.2562304480281055E-12</v>
      </c>
      <c r="AB393">
        <f t="shared" ca="1" si="168"/>
        <v>-4.9999962357105687E-4</v>
      </c>
      <c r="AC393">
        <f t="shared" ca="1" si="169"/>
        <v>1</v>
      </c>
      <c r="AD393">
        <f ca="1">IF(V32="Supercritical",L393,IF(V32="Subcritical",U393,IF(AND(T393=1,AC393=1),IF((((F393)*(L393)^2)/2+(G393)*(L393)^3/3+(ABS(K393)^2)/($I$5*MAX(((F393)+(G393)*(L393))*(L393),0.000001)))&gt;=(((F393)*(U393)^2)/2+(G393)*(U393)^3/3+(ABS(K393)^2)/($I$5*MAX(((F393)+(G393)*(U393))*(U393),0.000001))),L393,U393),IF(T393=1,L393,IF(AC393=1,U393,MAX($D$16,POWER((ABS(K393)^2)/($I$5*MAX(F393,0.1)^2),1/3)))))))</f>
        <v>51800.26683766341</v>
      </c>
      <c r="AE393">
        <f t="shared" ca="1" si="170"/>
        <v>52432.707337663407</v>
      </c>
      <c r="AF393">
        <f t="shared" ca="1" si="171"/>
        <v>52432.707337665233</v>
      </c>
      <c r="AI393">
        <v>0</v>
      </c>
      <c r="AJ393">
        <v>0</v>
      </c>
      <c r="AK393">
        <f t="shared" si="172"/>
        <v>0</v>
      </c>
      <c r="AL393">
        <f t="shared" si="181"/>
        <v>0</v>
      </c>
      <c r="AM393">
        <f t="shared" ca="1" si="173"/>
        <v>2.6560383008097266E-7</v>
      </c>
      <c r="AN393" t="str">
        <f t="shared" ca="1" si="174"/>
        <v>Subcritical</v>
      </c>
      <c r="AO393">
        <f t="shared" ca="1" si="175"/>
        <v>2.2562304480281055E-12</v>
      </c>
    </row>
    <row r="394" spans="1:41" x14ac:dyDescent="0.35">
      <c r="A394">
        <v>245</v>
      </c>
      <c r="B394">
        <v>243.92699999999999</v>
      </c>
      <c r="C394">
        <v>616340.11600000004</v>
      </c>
      <c r="D394">
        <v>3097688.72</v>
      </c>
      <c r="E394">
        <v>632.44000000000005</v>
      </c>
      <c r="F394">
        <v>4.7960000000000003</v>
      </c>
      <c r="G394">
        <v>0</v>
      </c>
      <c r="H394" t="s">
        <v>186</v>
      </c>
      <c r="I394">
        <v>5.6989999999999998</v>
      </c>
      <c r="J394">
        <f t="shared" si="176"/>
        <v>0.97899999999998499</v>
      </c>
      <c r="K394">
        <f t="shared" si="177"/>
        <v>51</v>
      </c>
      <c r="L394">
        <f t="shared" ca="1" si="178"/>
        <v>51797.888835329912</v>
      </c>
      <c r="M394">
        <f t="shared" ca="1" si="155"/>
        <v>248422.67485424227</v>
      </c>
      <c r="N394">
        <f t="shared" ca="1" si="156"/>
        <v>2.3978889889544766</v>
      </c>
      <c r="O394">
        <f t="shared" ca="1" si="157"/>
        <v>2.0529526956395333E-4</v>
      </c>
      <c r="P394">
        <f t="shared" ca="1" si="158"/>
        <v>52430.328835329914</v>
      </c>
      <c r="Q394">
        <f t="shared" ca="1" si="159"/>
        <v>52430.32883533206</v>
      </c>
      <c r="R394">
        <f t="shared" ca="1" si="160"/>
        <v>2.9546200348906606E-12</v>
      </c>
      <c r="S394">
        <f t="shared" ca="1" si="179"/>
        <v>2.4242315921583213E-3</v>
      </c>
      <c r="T394">
        <f t="shared" ca="1" si="180"/>
        <v>0</v>
      </c>
      <c r="U394">
        <f t="shared" ca="1" si="161"/>
        <v>51800.26683766341</v>
      </c>
      <c r="V394">
        <f t="shared" ca="1" si="162"/>
        <v>248434.07975343373</v>
      </c>
      <c r="W394">
        <f t="shared" ca="1" si="163"/>
        <v>2.3978889940504411</v>
      </c>
      <c r="X394">
        <f t="shared" ca="1" si="164"/>
        <v>2.0528584504435368E-4</v>
      </c>
      <c r="Y394">
        <f t="shared" ca="1" si="165"/>
        <v>52432.706837663412</v>
      </c>
      <c r="Z394">
        <f t="shared" ca="1" si="166"/>
        <v>52432.706837665559</v>
      </c>
      <c r="AA394">
        <f t="shared" ca="1" si="167"/>
        <v>2.9543487564084113E-12</v>
      </c>
      <c r="AB394">
        <f t="shared" ca="1" si="168"/>
        <v>-4.9999971088254824E-4</v>
      </c>
      <c r="AC394">
        <f t="shared" ca="1" si="169"/>
        <v>1</v>
      </c>
      <c r="AD394">
        <f ca="1">IF(V32="Supercritical",L394,IF(V32="Subcritical",U394,IF(AND(T394=1,AC394=1),IF((((F394)*(L394)^2)/2+(G394)*(L394)^3/3+(ABS(K394)^2)/($I$5*MAX(((F394)+(G394)*(L394))*(L394),0.000001)))&gt;=(((F394)*(U394)^2)/2+(G394)*(U394)^3/3+(ABS(K394)^2)/($I$5*MAX(((F394)+(G394)*(U394))*(U394),0.000001))),L394,U394),IF(T394=1,L394,IF(AC394=1,U394,MAX($D$16,POWER((ABS(K394)^2)/($I$5*MAX(F394,0.1)^2),1/3)))))))</f>
        <v>51800.26683766341</v>
      </c>
      <c r="AE394">
        <f t="shared" ca="1" si="170"/>
        <v>52432.706837663412</v>
      </c>
      <c r="AF394">
        <f t="shared" ca="1" si="171"/>
        <v>52432.706837665559</v>
      </c>
      <c r="AI394">
        <v>0</v>
      </c>
      <c r="AJ394">
        <v>0</v>
      </c>
      <c r="AK394">
        <f t="shared" si="172"/>
        <v>0</v>
      </c>
      <c r="AL394">
        <f t="shared" si="181"/>
        <v>0</v>
      </c>
      <c r="AM394">
        <f t="shared" ca="1" si="173"/>
        <v>2.8797746380756002E-7</v>
      </c>
      <c r="AN394" t="str">
        <f t="shared" ca="1" si="174"/>
        <v>Subcritical</v>
      </c>
      <c r="AO394">
        <f t="shared" ca="1" si="175"/>
        <v>2.9543487564084113E-12</v>
      </c>
    </row>
    <row r="395" spans="1:41" x14ac:dyDescent="0.35">
      <c r="A395">
        <v>246</v>
      </c>
      <c r="B395">
        <v>244.92699999999999</v>
      </c>
      <c r="C395">
        <v>616339.27</v>
      </c>
      <c r="D395">
        <v>3097688.1869999999</v>
      </c>
      <c r="E395">
        <v>632.43949999999995</v>
      </c>
      <c r="F395">
        <v>4.5270000000000001</v>
      </c>
      <c r="G395">
        <v>0</v>
      </c>
      <c r="H395" t="s">
        <v>186</v>
      </c>
      <c r="I395">
        <v>0</v>
      </c>
      <c r="J395">
        <f t="shared" si="176"/>
        <v>1</v>
      </c>
      <c r="K395">
        <f t="shared" si="177"/>
        <v>51</v>
      </c>
      <c r="L395">
        <f t="shared" ca="1" si="178"/>
        <v>51797.888835329912</v>
      </c>
      <c r="M395">
        <f t="shared" ca="1" si="155"/>
        <v>234489.04275753853</v>
      </c>
      <c r="N395">
        <f t="shared" ca="1" si="156"/>
        <v>2.2634010923323773</v>
      </c>
      <c r="O395">
        <f t="shared" ca="1" si="157"/>
        <v>2.1749417115721675E-4</v>
      </c>
      <c r="P395">
        <f t="shared" ca="1" si="158"/>
        <v>52430.328335329912</v>
      </c>
      <c r="Q395">
        <f t="shared" ca="1" si="159"/>
        <v>52430.32833533232</v>
      </c>
      <c r="R395">
        <f t="shared" ca="1" si="160"/>
        <v>3.5814789363439674E-12</v>
      </c>
      <c r="S395">
        <f t="shared" ca="1" si="179"/>
        <v>4.9999971088254824E-4</v>
      </c>
      <c r="T395">
        <f t="shared" ca="1" si="180"/>
        <v>1</v>
      </c>
      <c r="U395">
        <f t="shared" ca="1" si="161"/>
        <v>51800.26683766341</v>
      </c>
      <c r="V395">
        <f t="shared" ca="1" si="162"/>
        <v>234499.80797410227</v>
      </c>
      <c r="W395">
        <f t="shared" ca="1" si="163"/>
        <v>2.2634010968727472</v>
      </c>
      <c r="X395">
        <f t="shared" ca="1" si="164"/>
        <v>2.1748418662087923E-4</v>
      </c>
      <c r="Y395">
        <f t="shared" ca="1" si="165"/>
        <v>52432.706337663411</v>
      </c>
      <c r="Z395">
        <f t="shared" ca="1" si="166"/>
        <v>52432.706337665819</v>
      </c>
      <c r="AA395">
        <f t="shared" ca="1" si="167"/>
        <v>3.5811501033715345E-12</v>
      </c>
      <c r="AB395">
        <f t="shared" ca="1" si="168"/>
        <v>-5.0000000192085281E-4</v>
      </c>
      <c r="AC395">
        <f t="shared" ca="1" si="169"/>
        <v>1</v>
      </c>
      <c r="AD395">
        <f ca="1">IF(V32="Supercritical",L395,IF(V32="Subcritical",U395,IF(AND(T395=1,AC395=1),IF((((F395)*(L395)^2)/2+(G395)*(L395)^3/3+(ABS(K395)^2)/($I$5*MAX(((F395)+(G395)*(L395))*(L395),0.000001)))&gt;=(((F395)*(U395)^2)/2+(G395)*(U395)^3/3+(ABS(K395)^2)/($I$5*MAX(((F395)+(G395)*(U395))*(U395),0.000001))),L395,U395),IF(T395=1,L395,IF(AC395=1,U395,MAX($D$16,POWER((ABS(K395)^2)/($I$5*MAX(F395,0.1)^2),1/3)))))))</f>
        <v>51800.26683766341</v>
      </c>
      <c r="AE395">
        <f t="shared" ca="1" si="170"/>
        <v>52432.706337663411</v>
      </c>
      <c r="AF395">
        <f t="shared" ca="1" si="171"/>
        <v>52432.706337665819</v>
      </c>
      <c r="AI395">
        <v>0</v>
      </c>
      <c r="AJ395">
        <v>0</v>
      </c>
      <c r="AK395">
        <f t="shared" si="172"/>
        <v>0</v>
      </c>
      <c r="AL395">
        <f t="shared" si="181"/>
        <v>0</v>
      </c>
      <c r="AM395">
        <f t="shared" ca="1" si="173"/>
        <v>3.0508944475835165E-7</v>
      </c>
      <c r="AN395" t="str">
        <f t="shared" ca="1" si="174"/>
        <v>Subcritical</v>
      </c>
      <c r="AO395">
        <f t="shared" ca="1" si="175"/>
        <v>3.5811501033715345E-12</v>
      </c>
    </row>
    <row r="396" spans="1:41" x14ac:dyDescent="0.35">
      <c r="A396">
        <v>247</v>
      </c>
      <c r="B396">
        <v>245.92699999999999</v>
      </c>
      <c r="C396">
        <v>616338.424</v>
      </c>
      <c r="D396">
        <v>3097687.6540000001</v>
      </c>
      <c r="E396">
        <v>632.43899999999996</v>
      </c>
      <c r="F396">
        <v>4.5270000000000001</v>
      </c>
      <c r="G396">
        <v>0</v>
      </c>
      <c r="H396" t="s">
        <v>186</v>
      </c>
      <c r="I396">
        <v>4.8000000000000001E-2</v>
      </c>
      <c r="J396">
        <f t="shared" si="176"/>
        <v>1</v>
      </c>
      <c r="K396">
        <f t="shared" si="177"/>
        <v>51</v>
      </c>
      <c r="L396">
        <f t="shared" ca="1" si="178"/>
        <v>51797.887164199135</v>
      </c>
      <c r="M396">
        <f t="shared" ca="1" si="155"/>
        <v>234489.03519232949</v>
      </c>
      <c r="N396">
        <f t="shared" ca="1" si="156"/>
        <v>2.2634010923291861</v>
      </c>
      <c r="O396">
        <f t="shared" ca="1" si="157"/>
        <v>2.1749417817412852E-4</v>
      </c>
      <c r="P396">
        <f t="shared" ca="1" si="158"/>
        <v>52430.326164199134</v>
      </c>
      <c r="Q396">
        <f t="shared" ca="1" si="159"/>
        <v>52430.326164201542</v>
      </c>
      <c r="R396">
        <f t="shared" ca="1" si="160"/>
        <v>3.5814791674458305E-12</v>
      </c>
      <c r="S396">
        <f t="shared" ca="1" si="179"/>
        <v>2.1711307781515643E-3</v>
      </c>
      <c r="T396">
        <f t="shared" ca="1" si="180"/>
        <v>0</v>
      </c>
      <c r="U396">
        <f t="shared" ca="1" si="161"/>
        <v>51800.26683766341</v>
      </c>
      <c r="V396">
        <f t="shared" ca="1" si="162"/>
        <v>234499.80797410227</v>
      </c>
      <c r="W396">
        <f t="shared" ca="1" si="163"/>
        <v>2.2634010968727472</v>
      </c>
      <c r="X396">
        <f t="shared" ca="1" si="164"/>
        <v>2.1748418662087923E-4</v>
      </c>
      <c r="Y396">
        <f t="shared" ca="1" si="165"/>
        <v>52432.705837663409</v>
      </c>
      <c r="Z396">
        <f t="shared" ca="1" si="166"/>
        <v>52432.705837665817</v>
      </c>
      <c r="AA396">
        <f t="shared" ca="1" si="167"/>
        <v>3.5811501033715345E-12</v>
      </c>
      <c r="AB396">
        <f t="shared" ca="1" si="168"/>
        <v>-5.0000000192085281E-4</v>
      </c>
      <c r="AC396">
        <f t="shared" ca="1" si="169"/>
        <v>1</v>
      </c>
      <c r="AD396">
        <f ca="1">IF(V32="Supercritical",L396,IF(V32="Subcritical",U396,IF(AND(T396=1,AC396=1),IF((((F396)*(L396)^2)/2+(G396)*(L396)^3/3+(ABS(K396)^2)/($I$5*MAX(((F396)+(G396)*(L396))*(L396),0.000001)))&gt;=(((F396)*(U396)^2)/2+(G396)*(U396)^3/3+(ABS(K396)^2)/($I$5*MAX(((F396)+(G396)*(U396))*(U396),0.000001))),L396,U396),IF(T396=1,L396,IF(AC396=1,U396,MAX($D$16,POWER((ABS(K396)^2)/($I$5*MAX(F396,0.1)^2),1/3)))))))</f>
        <v>51800.26683766341</v>
      </c>
      <c r="AE396">
        <f t="shared" ca="1" si="170"/>
        <v>52432.705837663409</v>
      </c>
      <c r="AF396">
        <f t="shared" ca="1" si="171"/>
        <v>52432.705837665817</v>
      </c>
      <c r="AI396">
        <v>0</v>
      </c>
      <c r="AJ396">
        <v>0</v>
      </c>
      <c r="AK396">
        <f t="shared" si="172"/>
        <v>0</v>
      </c>
      <c r="AL396">
        <f t="shared" si="181"/>
        <v>0</v>
      </c>
      <c r="AM396">
        <f t="shared" ca="1" si="173"/>
        <v>3.0508944475835165E-7</v>
      </c>
      <c r="AN396" t="str">
        <f t="shared" ca="1" si="174"/>
        <v>Subcritical</v>
      </c>
      <c r="AO396">
        <f t="shared" ca="1" si="175"/>
        <v>3.5811501033715345E-12</v>
      </c>
    </row>
    <row r="397" spans="1:41" x14ac:dyDescent="0.35">
      <c r="A397">
        <v>248</v>
      </c>
      <c r="B397">
        <v>246.92699999999999</v>
      </c>
      <c r="C397">
        <v>616337.57799999998</v>
      </c>
      <c r="D397">
        <v>3097687.12</v>
      </c>
      <c r="E397">
        <v>632.43849999999998</v>
      </c>
      <c r="F397">
        <v>4.5270000000000001</v>
      </c>
      <c r="G397">
        <v>0</v>
      </c>
      <c r="H397" t="s">
        <v>186</v>
      </c>
      <c r="I397">
        <v>4.8000000000000001E-2</v>
      </c>
      <c r="J397">
        <f t="shared" si="176"/>
        <v>1</v>
      </c>
      <c r="K397">
        <f t="shared" si="177"/>
        <v>51</v>
      </c>
      <c r="L397">
        <f t="shared" ca="1" si="178"/>
        <v>51797.887164199135</v>
      </c>
      <c r="M397">
        <f t="shared" ca="1" si="155"/>
        <v>234489.03519232949</v>
      </c>
      <c r="N397">
        <f t="shared" ca="1" si="156"/>
        <v>2.2634010923291861</v>
      </c>
      <c r="O397">
        <f t="shared" ca="1" si="157"/>
        <v>2.1749417817412852E-4</v>
      </c>
      <c r="P397">
        <f t="shared" ca="1" si="158"/>
        <v>52430.325664199132</v>
      </c>
      <c r="Q397">
        <f t="shared" ca="1" si="159"/>
        <v>52430.32566420154</v>
      </c>
      <c r="R397">
        <f t="shared" ca="1" si="160"/>
        <v>3.5814791674458305E-12</v>
      </c>
      <c r="S397">
        <f t="shared" ca="1" si="179"/>
        <v>5.0000000192085281E-4</v>
      </c>
      <c r="T397">
        <f t="shared" ca="1" si="180"/>
        <v>1</v>
      </c>
      <c r="U397">
        <f t="shared" ca="1" si="161"/>
        <v>51800.26683766341</v>
      </c>
      <c r="V397">
        <f t="shared" ca="1" si="162"/>
        <v>234499.80797410227</v>
      </c>
      <c r="W397">
        <f t="shared" ca="1" si="163"/>
        <v>2.2634010968727472</v>
      </c>
      <c r="X397">
        <f t="shared" ca="1" si="164"/>
        <v>2.1748418662087923E-4</v>
      </c>
      <c r="Y397">
        <f t="shared" ca="1" si="165"/>
        <v>52432.705337663407</v>
      </c>
      <c r="Z397">
        <f t="shared" ca="1" si="166"/>
        <v>52432.705337665815</v>
      </c>
      <c r="AA397">
        <f t="shared" ca="1" si="167"/>
        <v>3.5811501033715345E-12</v>
      </c>
      <c r="AB397">
        <f t="shared" ca="1" si="168"/>
        <v>-4.999999946448952E-4</v>
      </c>
      <c r="AC397">
        <f t="shared" ca="1" si="169"/>
        <v>1</v>
      </c>
      <c r="AD397">
        <f ca="1">IF(V32="Supercritical",L397,IF(V32="Subcritical",U397,IF(AND(T397=1,AC397=1),IF((((F397)*(L397)^2)/2+(G397)*(L397)^3/3+(ABS(K397)^2)/($I$5*MAX(((F397)+(G397)*(L397))*(L397),0.000001)))&gt;=(((F397)*(U397)^2)/2+(G397)*(U397)^3/3+(ABS(K397)^2)/($I$5*MAX(((F397)+(G397)*(U397))*(U397),0.000001))),L397,U397),IF(T397=1,L397,IF(AC397=1,U397,MAX($D$16,POWER((ABS(K397)^2)/($I$5*MAX(F397,0.1)^2),1/3)))))))</f>
        <v>51800.26683766341</v>
      </c>
      <c r="AE397">
        <f t="shared" ca="1" si="170"/>
        <v>52432.705337663407</v>
      </c>
      <c r="AF397">
        <f t="shared" ca="1" si="171"/>
        <v>52432.705337665815</v>
      </c>
      <c r="AI397">
        <v>0</v>
      </c>
      <c r="AJ397">
        <v>0</v>
      </c>
      <c r="AK397">
        <f t="shared" si="172"/>
        <v>0</v>
      </c>
      <c r="AL397">
        <f t="shared" si="181"/>
        <v>0</v>
      </c>
      <c r="AM397">
        <f t="shared" ca="1" si="173"/>
        <v>3.0508944475835165E-7</v>
      </c>
      <c r="AN397" t="str">
        <f t="shared" ca="1" si="174"/>
        <v>Subcritical</v>
      </c>
      <c r="AO397">
        <f t="shared" ca="1" si="175"/>
        <v>3.5811501033715345E-12</v>
      </c>
    </row>
    <row r="398" spans="1:41" x14ac:dyDescent="0.35">
      <c r="A398">
        <v>249</v>
      </c>
      <c r="B398">
        <v>247.92699999999999</v>
      </c>
      <c r="C398">
        <v>616336.73199999996</v>
      </c>
      <c r="D398">
        <v>3097686.5869999998</v>
      </c>
      <c r="E398">
        <v>632.43799999999999</v>
      </c>
      <c r="F398">
        <v>4.5270000000000001</v>
      </c>
      <c r="G398">
        <v>0</v>
      </c>
      <c r="H398" t="s">
        <v>186</v>
      </c>
      <c r="I398">
        <v>3.1E-2</v>
      </c>
      <c r="J398">
        <f t="shared" si="176"/>
        <v>1</v>
      </c>
      <c r="K398">
        <f t="shared" si="177"/>
        <v>51</v>
      </c>
      <c r="L398">
        <f t="shared" ca="1" si="178"/>
        <v>51797.885702063621</v>
      </c>
      <c r="M398">
        <f t="shared" ca="1" si="155"/>
        <v>234489.02857324202</v>
      </c>
      <c r="N398">
        <f t="shared" ca="1" si="156"/>
        <v>2.2634010923263945</v>
      </c>
      <c r="O398">
        <f t="shared" ca="1" si="157"/>
        <v>2.1749418431349032E-4</v>
      </c>
      <c r="P398">
        <f t="shared" ca="1" si="158"/>
        <v>52430.323702063622</v>
      </c>
      <c r="Q398">
        <f t="shared" ca="1" si="159"/>
        <v>52430.323702066031</v>
      </c>
      <c r="R398">
        <f t="shared" ca="1" si="160"/>
        <v>3.5814793696456088E-12</v>
      </c>
      <c r="S398">
        <f t="shared" ca="1" si="179"/>
        <v>1.9621355095296167E-3</v>
      </c>
      <c r="T398">
        <f t="shared" ca="1" si="180"/>
        <v>0</v>
      </c>
      <c r="U398">
        <f t="shared" ca="1" si="161"/>
        <v>51800.26683766341</v>
      </c>
      <c r="V398">
        <f t="shared" ca="1" si="162"/>
        <v>234499.80797410227</v>
      </c>
      <c r="W398">
        <f t="shared" ca="1" si="163"/>
        <v>2.2634010968727472</v>
      </c>
      <c r="X398">
        <f t="shared" ca="1" si="164"/>
        <v>2.1748418662087923E-4</v>
      </c>
      <c r="Y398">
        <f t="shared" ca="1" si="165"/>
        <v>52432.704837663412</v>
      </c>
      <c r="Z398">
        <f t="shared" ca="1" si="166"/>
        <v>52432.70483766582</v>
      </c>
      <c r="AA398">
        <f t="shared" ca="1" si="167"/>
        <v>3.5811501033715345E-12</v>
      </c>
      <c r="AB398">
        <f t="shared" ca="1" si="168"/>
        <v>-5.0000000192085281E-4</v>
      </c>
      <c r="AC398">
        <f t="shared" ca="1" si="169"/>
        <v>1</v>
      </c>
      <c r="AD398">
        <f ca="1">IF(V32="Supercritical",L398,IF(V32="Subcritical",U398,IF(AND(T398=1,AC398=1),IF((((F398)*(L398)^2)/2+(G398)*(L398)^3/3+(ABS(K398)^2)/($I$5*MAX(((F398)+(G398)*(L398))*(L398),0.000001)))&gt;=(((F398)*(U398)^2)/2+(G398)*(U398)^3/3+(ABS(K398)^2)/($I$5*MAX(((F398)+(G398)*(U398))*(U398),0.000001))),L398,U398),IF(T398=1,L398,IF(AC398=1,U398,MAX($D$16,POWER((ABS(K398)^2)/($I$5*MAX(F398,0.1)^2),1/3)))))))</f>
        <v>51800.26683766341</v>
      </c>
      <c r="AE398">
        <f t="shared" ca="1" si="170"/>
        <v>52432.704837663412</v>
      </c>
      <c r="AF398">
        <f t="shared" ca="1" si="171"/>
        <v>52432.70483766582</v>
      </c>
      <c r="AI398">
        <v>0</v>
      </c>
      <c r="AJ398">
        <v>0</v>
      </c>
      <c r="AK398">
        <f t="shared" si="172"/>
        <v>0</v>
      </c>
      <c r="AL398">
        <f t="shared" si="181"/>
        <v>0</v>
      </c>
      <c r="AM398">
        <f t="shared" ca="1" si="173"/>
        <v>3.0508944475835165E-7</v>
      </c>
      <c r="AN398" t="str">
        <f t="shared" ca="1" si="174"/>
        <v>Subcritical</v>
      </c>
      <c r="AO398">
        <f t="shared" ca="1" si="175"/>
        <v>3.5811501033715345E-12</v>
      </c>
    </row>
    <row r="399" spans="1:41" x14ac:dyDescent="0.35">
      <c r="A399">
        <v>250</v>
      </c>
      <c r="B399">
        <v>248.928</v>
      </c>
      <c r="C399">
        <v>616335.88500000001</v>
      </c>
      <c r="D399">
        <v>3097686.054</v>
      </c>
      <c r="E399">
        <v>632.4375</v>
      </c>
      <c r="F399">
        <v>4.5270000000000001</v>
      </c>
      <c r="G399">
        <v>0</v>
      </c>
      <c r="H399" t="s">
        <v>186</v>
      </c>
      <c r="I399">
        <v>3.1E-2</v>
      </c>
      <c r="J399">
        <f t="shared" si="176"/>
        <v>1.0010000000000048</v>
      </c>
      <c r="K399">
        <f t="shared" si="177"/>
        <v>51</v>
      </c>
      <c r="L399">
        <f t="shared" ca="1" si="178"/>
        <v>51797.885702063621</v>
      </c>
      <c r="M399">
        <f t="shared" ca="1" si="155"/>
        <v>234489.02857324202</v>
      </c>
      <c r="N399">
        <f t="shared" ca="1" si="156"/>
        <v>2.2634010923263945</v>
      </c>
      <c r="O399">
        <f t="shared" ca="1" si="157"/>
        <v>2.1749418431349032E-4</v>
      </c>
      <c r="P399">
        <f t="shared" ca="1" si="158"/>
        <v>52430.323202063621</v>
      </c>
      <c r="Q399">
        <f t="shared" ca="1" si="159"/>
        <v>52430.323202066029</v>
      </c>
      <c r="R399">
        <f t="shared" ca="1" si="160"/>
        <v>3.5814793696456088E-12</v>
      </c>
      <c r="S399">
        <f t="shared" ca="1" si="179"/>
        <v>5.0000000192085281E-4</v>
      </c>
      <c r="T399">
        <f t="shared" ca="1" si="180"/>
        <v>1</v>
      </c>
      <c r="U399">
        <f t="shared" ca="1" si="161"/>
        <v>51800.26683766341</v>
      </c>
      <c r="V399">
        <f t="shared" ca="1" si="162"/>
        <v>234499.80797410227</v>
      </c>
      <c r="W399">
        <f t="shared" ca="1" si="163"/>
        <v>2.2634010968727472</v>
      </c>
      <c r="X399">
        <f t="shared" ca="1" si="164"/>
        <v>2.1748418662087923E-4</v>
      </c>
      <c r="Y399">
        <f t="shared" ca="1" si="165"/>
        <v>52432.70433766341</v>
      </c>
      <c r="Z399">
        <f t="shared" ca="1" si="166"/>
        <v>52432.704337665818</v>
      </c>
      <c r="AA399">
        <f t="shared" ca="1" si="167"/>
        <v>3.5811501033715345E-12</v>
      </c>
      <c r="AB399">
        <f t="shared" ca="1" si="168"/>
        <v>-5.0000000192085281E-4</v>
      </c>
      <c r="AC399">
        <f t="shared" ca="1" si="169"/>
        <v>1</v>
      </c>
      <c r="AD399">
        <f ca="1">IF(V32="Supercritical",L399,IF(V32="Subcritical",U399,IF(AND(T399=1,AC399=1),IF((((F399)*(L399)^2)/2+(G399)*(L399)^3/3+(ABS(K399)^2)/($I$5*MAX(((F399)+(G399)*(L399))*(L399),0.000001)))&gt;=(((F399)*(U399)^2)/2+(G399)*(U399)^3/3+(ABS(K399)^2)/($I$5*MAX(((F399)+(G399)*(U399))*(U399),0.000001))),L399,U399),IF(T399=1,L399,IF(AC399=1,U399,MAX($D$16,POWER((ABS(K399)^2)/($I$5*MAX(F399,0.1)^2),1/3)))))))</f>
        <v>51800.26683766341</v>
      </c>
      <c r="AE399">
        <f t="shared" ca="1" si="170"/>
        <v>52432.70433766341</v>
      </c>
      <c r="AF399">
        <f t="shared" ca="1" si="171"/>
        <v>52432.704337665818</v>
      </c>
      <c r="AI399">
        <v>0</v>
      </c>
      <c r="AJ399">
        <v>0</v>
      </c>
      <c r="AK399">
        <f t="shared" si="172"/>
        <v>0</v>
      </c>
      <c r="AL399">
        <f t="shared" si="181"/>
        <v>0</v>
      </c>
      <c r="AM399">
        <f t="shared" ca="1" si="173"/>
        <v>3.0508944475835165E-7</v>
      </c>
      <c r="AN399" t="str">
        <f t="shared" ca="1" si="174"/>
        <v>Subcritical</v>
      </c>
      <c r="AO399">
        <f t="shared" ca="1" si="175"/>
        <v>3.5811501033715345E-12</v>
      </c>
    </row>
    <row r="400" spans="1:41" x14ac:dyDescent="0.35">
      <c r="A400">
        <v>251</v>
      </c>
      <c r="B400">
        <v>249.928</v>
      </c>
      <c r="C400">
        <v>616335.03899999999</v>
      </c>
      <c r="D400">
        <v>3097685.5210000002</v>
      </c>
      <c r="E400">
        <v>632.43700000000001</v>
      </c>
      <c r="F400">
        <v>4.5270000000000001</v>
      </c>
      <c r="G400">
        <v>0</v>
      </c>
      <c r="H400" t="s">
        <v>186</v>
      </c>
      <c r="I400">
        <v>0</v>
      </c>
      <c r="J400">
        <f t="shared" si="176"/>
        <v>1</v>
      </c>
      <c r="K400">
        <f t="shared" si="177"/>
        <v>51</v>
      </c>
      <c r="L400">
        <f t="shared" ca="1" si="178"/>
        <v>51797.884410955994</v>
      </c>
      <c r="M400">
        <f t="shared" ca="1" si="155"/>
        <v>234489.0227283978</v>
      </c>
      <c r="N400">
        <f t="shared" ca="1" si="156"/>
        <v>2.2634010923239294</v>
      </c>
      <c r="O400">
        <f t="shared" ca="1" si="157"/>
        <v>2.1749418973472331E-4</v>
      </c>
      <c r="P400">
        <f t="shared" ca="1" si="158"/>
        <v>52430.321410955992</v>
      </c>
      <c r="Q400">
        <f t="shared" ca="1" si="159"/>
        <v>52430.321410958401</v>
      </c>
      <c r="R400">
        <f t="shared" ca="1" si="160"/>
        <v>3.5814795481938301E-12</v>
      </c>
      <c r="S400">
        <f t="shared" ca="1" si="179"/>
        <v>1.7911076283780858E-3</v>
      </c>
      <c r="T400">
        <f t="shared" ca="1" si="180"/>
        <v>0</v>
      </c>
      <c r="U400">
        <f t="shared" ca="1" si="161"/>
        <v>51800.26683766341</v>
      </c>
      <c r="V400">
        <f t="shared" ca="1" si="162"/>
        <v>234499.80797410227</v>
      </c>
      <c r="W400">
        <f t="shared" ca="1" si="163"/>
        <v>2.2634010968727472</v>
      </c>
      <c r="X400">
        <f t="shared" ca="1" si="164"/>
        <v>2.1748418662087923E-4</v>
      </c>
      <c r="Y400">
        <f t="shared" ca="1" si="165"/>
        <v>52432.703837663408</v>
      </c>
      <c r="Z400">
        <f t="shared" ca="1" si="166"/>
        <v>52432.703837665817</v>
      </c>
      <c r="AA400">
        <f t="shared" ca="1" si="167"/>
        <v>3.5811501033715345E-12</v>
      </c>
      <c r="AB400">
        <f t="shared" ca="1" si="168"/>
        <v>-4.999999946448952E-4</v>
      </c>
      <c r="AC400">
        <f t="shared" ca="1" si="169"/>
        <v>1</v>
      </c>
      <c r="AD400">
        <f ca="1">IF(V32="Supercritical",L400,IF(V32="Subcritical",U400,IF(AND(T400=1,AC400=1),IF((((F400)*(L400)^2)/2+(G400)*(L400)^3/3+(ABS(K400)^2)/($I$5*MAX(((F400)+(G400)*(L400))*(L400),0.000001)))&gt;=(((F400)*(U400)^2)/2+(G400)*(U400)^3/3+(ABS(K400)^2)/($I$5*MAX(((F400)+(G400)*(U400))*(U400),0.000001))),L400,U400),IF(T400=1,L400,IF(AC400=1,U400,MAX($D$16,POWER((ABS(K400)^2)/($I$5*MAX(F400,0.1)^2),1/3)))))))</f>
        <v>51800.26683766341</v>
      </c>
      <c r="AE400">
        <f t="shared" ca="1" si="170"/>
        <v>52432.703837663408</v>
      </c>
      <c r="AF400">
        <f t="shared" ca="1" si="171"/>
        <v>52432.703837665817</v>
      </c>
      <c r="AI400">
        <v>0</v>
      </c>
      <c r="AJ400">
        <v>0</v>
      </c>
      <c r="AK400">
        <f t="shared" si="172"/>
        <v>0</v>
      </c>
      <c r="AL400">
        <f t="shared" si="181"/>
        <v>0</v>
      </c>
      <c r="AM400">
        <f t="shared" ca="1" si="173"/>
        <v>3.0508944475835165E-7</v>
      </c>
      <c r="AN400" t="str">
        <f t="shared" ca="1" si="174"/>
        <v>Subcritical</v>
      </c>
      <c r="AO400">
        <f t="shared" ca="1" si="175"/>
        <v>3.5811501033715345E-12</v>
      </c>
    </row>
    <row r="401" spans="1:41" x14ac:dyDescent="0.35">
      <c r="A401">
        <v>252</v>
      </c>
      <c r="B401">
        <v>250.928</v>
      </c>
      <c r="C401">
        <v>616334.19299999997</v>
      </c>
      <c r="D401">
        <v>3097684.9879999999</v>
      </c>
      <c r="E401">
        <v>632.43650000000002</v>
      </c>
      <c r="F401">
        <v>4.5270000000000001</v>
      </c>
      <c r="G401">
        <v>0</v>
      </c>
      <c r="H401" t="s">
        <v>186</v>
      </c>
      <c r="I401">
        <v>0</v>
      </c>
      <c r="J401">
        <f t="shared" si="176"/>
        <v>1</v>
      </c>
      <c r="K401">
        <f t="shared" si="177"/>
        <v>51</v>
      </c>
      <c r="L401">
        <f t="shared" ca="1" si="178"/>
        <v>51797.884410955994</v>
      </c>
      <c r="M401">
        <f t="shared" ca="1" si="155"/>
        <v>234489.0227283978</v>
      </c>
      <c r="N401">
        <f t="shared" ca="1" si="156"/>
        <v>2.2634010923239294</v>
      </c>
      <c r="O401">
        <f t="shared" ca="1" si="157"/>
        <v>2.1749418973472331E-4</v>
      </c>
      <c r="P401">
        <f t="shared" ca="1" si="158"/>
        <v>52430.320910955998</v>
      </c>
      <c r="Q401">
        <f t="shared" ca="1" si="159"/>
        <v>52430.320910958406</v>
      </c>
      <c r="R401">
        <f t="shared" ca="1" si="160"/>
        <v>3.5814795481938301E-12</v>
      </c>
      <c r="S401">
        <f t="shared" ca="1" si="179"/>
        <v>4.999999946448952E-4</v>
      </c>
      <c r="T401">
        <f t="shared" ca="1" si="180"/>
        <v>1</v>
      </c>
      <c r="U401">
        <f t="shared" ca="1" si="161"/>
        <v>51800.26683766341</v>
      </c>
      <c r="V401">
        <f t="shared" ca="1" si="162"/>
        <v>234499.80797410227</v>
      </c>
      <c r="W401">
        <f t="shared" ca="1" si="163"/>
        <v>2.2634010968727472</v>
      </c>
      <c r="X401">
        <f t="shared" ca="1" si="164"/>
        <v>2.1748418662087923E-4</v>
      </c>
      <c r="Y401">
        <f t="shared" ca="1" si="165"/>
        <v>52432.703337663414</v>
      </c>
      <c r="Z401">
        <f t="shared" ca="1" si="166"/>
        <v>52432.703337665822</v>
      </c>
      <c r="AA401">
        <f t="shared" ca="1" si="167"/>
        <v>3.5811501033715345E-12</v>
      </c>
      <c r="AB401">
        <f t="shared" ca="1" si="168"/>
        <v>-5.0000000192085281E-4</v>
      </c>
      <c r="AC401">
        <f t="shared" ca="1" si="169"/>
        <v>1</v>
      </c>
      <c r="AD401">
        <f ca="1">IF(V32="Supercritical",L401,IF(V32="Subcritical",U401,IF(AND(T401=1,AC401=1),IF((((F401)*(L401)^2)/2+(G401)*(L401)^3/3+(ABS(K401)^2)/($I$5*MAX(((F401)+(G401)*(L401))*(L401),0.000001)))&gt;=(((F401)*(U401)^2)/2+(G401)*(U401)^3/3+(ABS(K401)^2)/($I$5*MAX(((F401)+(G401)*(U401))*(U401),0.000001))),L401,U401),IF(T401=1,L401,IF(AC401=1,U401,MAX($D$16,POWER((ABS(K401)^2)/($I$5*MAX(F401,0.1)^2),1/3)))))))</f>
        <v>51800.26683766341</v>
      </c>
      <c r="AE401">
        <f t="shared" ca="1" si="170"/>
        <v>52432.703337663414</v>
      </c>
      <c r="AF401">
        <f t="shared" ca="1" si="171"/>
        <v>52432.703337665822</v>
      </c>
      <c r="AI401">
        <v>0</v>
      </c>
      <c r="AJ401">
        <v>0</v>
      </c>
      <c r="AK401">
        <f t="shared" si="172"/>
        <v>0</v>
      </c>
      <c r="AL401">
        <f t="shared" si="181"/>
        <v>0</v>
      </c>
      <c r="AM401">
        <f t="shared" ca="1" si="173"/>
        <v>3.0508944475835165E-7</v>
      </c>
      <c r="AN401" t="str">
        <f t="shared" ca="1" si="174"/>
        <v>Subcritical</v>
      </c>
      <c r="AO401">
        <f t="shared" ca="1" si="175"/>
        <v>3.5811501033715345E-12</v>
      </c>
    </row>
    <row r="402" spans="1:41" x14ac:dyDescent="0.35">
      <c r="A402">
        <v>253</v>
      </c>
      <c r="B402">
        <v>251.928</v>
      </c>
      <c r="C402">
        <v>616333.34699999995</v>
      </c>
      <c r="D402">
        <v>3097684.4550000001</v>
      </c>
      <c r="E402">
        <v>632.43600000000004</v>
      </c>
      <c r="F402">
        <v>4.5270000000000001</v>
      </c>
      <c r="G402">
        <v>0</v>
      </c>
      <c r="H402" t="s">
        <v>186</v>
      </c>
      <c r="I402">
        <v>0</v>
      </c>
      <c r="J402">
        <f t="shared" si="176"/>
        <v>1</v>
      </c>
      <c r="K402">
        <f t="shared" si="177"/>
        <v>51</v>
      </c>
      <c r="L402">
        <f t="shared" ca="1" si="178"/>
        <v>51797.883258792957</v>
      </c>
      <c r="M402">
        <f t="shared" ca="1" si="155"/>
        <v>234489.01751255573</v>
      </c>
      <c r="N402">
        <f t="shared" ca="1" si="156"/>
        <v>2.2634010923217294</v>
      </c>
      <c r="O402">
        <f t="shared" ca="1" si="157"/>
        <v>2.1749419457254199E-4</v>
      </c>
      <c r="P402">
        <f t="shared" ca="1" si="158"/>
        <v>52430.319258792959</v>
      </c>
      <c r="Q402">
        <f t="shared" ca="1" si="159"/>
        <v>52430.319258795367</v>
      </c>
      <c r="R402">
        <f t="shared" ca="1" si="160"/>
        <v>3.5814797075273157E-12</v>
      </c>
      <c r="S402">
        <f t="shared" ca="1" si="179"/>
        <v>1.652163038670551E-3</v>
      </c>
      <c r="T402">
        <f t="shared" ca="1" si="180"/>
        <v>0</v>
      </c>
      <c r="U402">
        <f t="shared" ca="1" si="161"/>
        <v>51800.26683766341</v>
      </c>
      <c r="V402">
        <f t="shared" ca="1" si="162"/>
        <v>234499.80797410227</v>
      </c>
      <c r="W402">
        <f t="shared" ca="1" si="163"/>
        <v>2.2634010968727472</v>
      </c>
      <c r="X402">
        <f t="shared" ca="1" si="164"/>
        <v>2.1748418662087923E-4</v>
      </c>
      <c r="Y402">
        <f t="shared" ca="1" si="165"/>
        <v>52432.702837663412</v>
      </c>
      <c r="Z402">
        <f t="shared" ca="1" si="166"/>
        <v>52432.70283766582</v>
      </c>
      <c r="AA402">
        <f t="shared" ca="1" si="167"/>
        <v>3.5811501033715345E-12</v>
      </c>
      <c r="AB402">
        <f t="shared" ca="1" si="168"/>
        <v>-5.0000000192085281E-4</v>
      </c>
      <c r="AC402">
        <f t="shared" ca="1" si="169"/>
        <v>1</v>
      </c>
      <c r="AD402">
        <f ca="1">IF(V32="Supercritical",L402,IF(V32="Subcritical",U402,IF(AND(T402=1,AC402=1),IF((((F402)*(L402)^2)/2+(G402)*(L402)^3/3+(ABS(K402)^2)/($I$5*MAX(((F402)+(G402)*(L402))*(L402),0.000001)))&gt;=(((F402)*(U402)^2)/2+(G402)*(U402)^3/3+(ABS(K402)^2)/($I$5*MAX(((F402)+(G402)*(U402))*(U402),0.000001))),L402,U402),IF(T402=1,L402,IF(AC402=1,U402,MAX($D$16,POWER((ABS(K402)^2)/($I$5*MAX(F402,0.1)^2),1/3)))))))</f>
        <v>51800.26683766341</v>
      </c>
      <c r="AE402">
        <f t="shared" ca="1" si="170"/>
        <v>52432.702837663412</v>
      </c>
      <c r="AF402">
        <f t="shared" ca="1" si="171"/>
        <v>52432.70283766582</v>
      </c>
      <c r="AI402">
        <v>0</v>
      </c>
      <c r="AJ402">
        <v>0</v>
      </c>
      <c r="AK402">
        <f t="shared" si="172"/>
        <v>0</v>
      </c>
      <c r="AL402">
        <f t="shared" si="181"/>
        <v>0</v>
      </c>
      <c r="AM402">
        <f t="shared" ca="1" si="173"/>
        <v>3.0508944475835165E-7</v>
      </c>
      <c r="AN402" t="str">
        <f t="shared" ca="1" si="174"/>
        <v>Subcritical</v>
      </c>
      <c r="AO402">
        <f t="shared" ca="1" si="175"/>
        <v>3.5811501033715345E-12</v>
      </c>
    </row>
    <row r="403" spans="1:41" x14ac:dyDescent="0.35">
      <c r="A403">
        <v>254</v>
      </c>
      <c r="B403">
        <v>252.928</v>
      </c>
      <c r="C403">
        <v>616332.50100000005</v>
      </c>
      <c r="D403">
        <v>3097683.9219999998</v>
      </c>
      <c r="E403">
        <v>632.43550000000005</v>
      </c>
      <c r="F403">
        <v>4.5270000000000001</v>
      </c>
      <c r="G403">
        <v>0</v>
      </c>
      <c r="H403" t="s">
        <v>186</v>
      </c>
      <c r="I403">
        <v>0</v>
      </c>
      <c r="J403">
        <f t="shared" si="176"/>
        <v>1</v>
      </c>
      <c r="K403">
        <f t="shared" si="177"/>
        <v>51</v>
      </c>
      <c r="L403">
        <f t="shared" ca="1" si="178"/>
        <v>51797.883258792957</v>
      </c>
      <c r="M403">
        <f t="shared" ca="1" si="155"/>
        <v>234489.01751255573</v>
      </c>
      <c r="N403">
        <f t="shared" ca="1" si="156"/>
        <v>2.2634010923217294</v>
      </c>
      <c r="O403">
        <f t="shared" ca="1" si="157"/>
        <v>2.1749419457254199E-4</v>
      </c>
      <c r="P403">
        <f t="shared" ca="1" si="158"/>
        <v>52430.318758792957</v>
      </c>
      <c r="Q403">
        <f t="shared" ca="1" si="159"/>
        <v>52430.318758795365</v>
      </c>
      <c r="R403">
        <f t="shared" ca="1" si="160"/>
        <v>3.5814797075273157E-12</v>
      </c>
      <c r="S403">
        <f t="shared" ca="1" si="179"/>
        <v>5.0000000192085281E-4</v>
      </c>
      <c r="T403">
        <f t="shared" ca="1" si="180"/>
        <v>1</v>
      </c>
      <c r="U403">
        <f t="shared" ca="1" si="161"/>
        <v>51800.26683766341</v>
      </c>
      <c r="V403">
        <f t="shared" ca="1" si="162"/>
        <v>234499.80797410227</v>
      </c>
      <c r="W403">
        <f t="shared" ca="1" si="163"/>
        <v>2.2634010968727472</v>
      </c>
      <c r="X403">
        <f t="shared" ca="1" si="164"/>
        <v>2.1748418662087923E-4</v>
      </c>
      <c r="Y403">
        <f t="shared" ca="1" si="165"/>
        <v>52432.70233766341</v>
      </c>
      <c r="Z403">
        <f t="shared" ca="1" si="166"/>
        <v>52432.702337665818</v>
      </c>
      <c r="AA403">
        <f t="shared" ca="1" si="167"/>
        <v>3.5811501033715345E-12</v>
      </c>
      <c r="AB403">
        <f t="shared" ca="1" si="168"/>
        <v>-5.0000000192085281E-4</v>
      </c>
      <c r="AC403">
        <f t="shared" ca="1" si="169"/>
        <v>1</v>
      </c>
      <c r="AD403">
        <f ca="1">IF(V32="Supercritical",L403,IF(V32="Subcritical",U403,IF(AND(T403=1,AC403=1),IF((((F403)*(L403)^2)/2+(G403)*(L403)^3/3+(ABS(K403)^2)/($I$5*MAX(((F403)+(G403)*(L403))*(L403),0.000001)))&gt;=(((F403)*(U403)^2)/2+(G403)*(U403)^3/3+(ABS(K403)^2)/($I$5*MAX(((F403)+(G403)*(U403))*(U403),0.000001))),L403,U403),IF(T403=1,L403,IF(AC403=1,U403,MAX($D$16,POWER((ABS(K403)^2)/($I$5*MAX(F403,0.1)^2),1/3)))))))</f>
        <v>51800.26683766341</v>
      </c>
      <c r="AE403">
        <f t="shared" ca="1" si="170"/>
        <v>52432.70233766341</v>
      </c>
      <c r="AF403">
        <f t="shared" ca="1" si="171"/>
        <v>52432.702337665818</v>
      </c>
      <c r="AI403">
        <v>0</v>
      </c>
      <c r="AJ403">
        <v>0</v>
      </c>
      <c r="AK403">
        <f t="shared" si="172"/>
        <v>0</v>
      </c>
      <c r="AL403">
        <f t="shared" si="181"/>
        <v>0</v>
      </c>
      <c r="AM403">
        <f t="shared" ca="1" si="173"/>
        <v>3.0508944475835165E-7</v>
      </c>
      <c r="AN403" t="str">
        <f t="shared" ca="1" si="174"/>
        <v>Subcritical</v>
      </c>
      <c r="AO403">
        <f t="shared" ca="1" si="175"/>
        <v>3.5811501033715345E-12</v>
      </c>
    </row>
    <row r="404" spans="1:41" x14ac:dyDescent="0.35">
      <c r="A404">
        <v>255</v>
      </c>
      <c r="B404">
        <v>253.928</v>
      </c>
      <c r="C404">
        <v>616331.65500000003</v>
      </c>
      <c r="D404">
        <v>3097683.389</v>
      </c>
      <c r="E404">
        <v>632.43499999999995</v>
      </c>
      <c r="F404">
        <v>4.5270000000000001</v>
      </c>
      <c r="G404">
        <v>0</v>
      </c>
      <c r="H404" t="s">
        <v>186</v>
      </c>
      <c r="I404">
        <v>0</v>
      </c>
      <c r="J404">
        <f t="shared" si="176"/>
        <v>1</v>
      </c>
      <c r="K404">
        <f t="shared" si="177"/>
        <v>51</v>
      </c>
      <c r="L404">
        <f t="shared" ca="1" si="178"/>
        <v>51797.882218896601</v>
      </c>
      <c r="M404">
        <f t="shared" ca="1" si="155"/>
        <v>234489.01280494491</v>
      </c>
      <c r="N404">
        <f t="shared" ca="1" si="156"/>
        <v>2.2634010923197434</v>
      </c>
      <c r="O404">
        <f t="shared" ca="1" si="157"/>
        <v>2.1749419893896414E-4</v>
      </c>
      <c r="P404">
        <f t="shared" ca="1" si="158"/>
        <v>52430.317218896598</v>
      </c>
      <c r="Q404">
        <f t="shared" ca="1" si="159"/>
        <v>52430.317218899007</v>
      </c>
      <c r="R404">
        <f t="shared" ca="1" si="160"/>
        <v>3.5814798513353669E-12</v>
      </c>
      <c r="S404">
        <f t="shared" ca="1" si="179"/>
        <v>1.5398963587358594E-3</v>
      </c>
      <c r="T404">
        <f t="shared" ca="1" si="180"/>
        <v>0</v>
      </c>
      <c r="U404">
        <f t="shared" ca="1" si="161"/>
        <v>51800.26683766341</v>
      </c>
      <c r="V404">
        <f t="shared" ca="1" si="162"/>
        <v>234499.80797410227</v>
      </c>
      <c r="W404">
        <f t="shared" ca="1" si="163"/>
        <v>2.2634010968727472</v>
      </c>
      <c r="X404">
        <f t="shared" ca="1" si="164"/>
        <v>2.1748418662087923E-4</v>
      </c>
      <c r="Y404">
        <f t="shared" ca="1" si="165"/>
        <v>52432.701837663408</v>
      </c>
      <c r="Z404">
        <f t="shared" ca="1" si="166"/>
        <v>52432.701837665816</v>
      </c>
      <c r="AA404">
        <f t="shared" ca="1" si="167"/>
        <v>3.5811501033715345E-12</v>
      </c>
      <c r="AB404">
        <f t="shared" ca="1" si="168"/>
        <v>-4.999999946448952E-4</v>
      </c>
      <c r="AC404">
        <f t="shared" ca="1" si="169"/>
        <v>1</v>
      </c>
      <c r="AD404">
        <f ca="1">IF(V32="Supercritical",L404,IF(V32="Subcritical",U404,IF(AND(T404=1,AC404=1),IF((((F404)*(L404)^2)/2+(G404)*(L404)^3/3+(ABS(K404)^2)/($I$5*MAX(((F404)+(G404)*(L404))*(L404),0.000001)))&gt;=(((F404)*(U404)^2)/2+(G404)*(U404)^3/3+(ABS(K404)^2)/($I$5*MAX(((F404)+(G404)*(U404))*(U404),0.000001))),L404,U404),IF(T404=1,L404,IF(AC404=1,U404,MAX($D$16,POWER((ABS(K404)^2)/($I$5*MAX(F404,0.1)^2),1/3)))))))</f>
        <v>51800.26683766341</v>
      </c>
      <c r="AE404">
        <f t="shared" ca="1" si="170"/>
        <v>52432.701837663408</v>
      </c>
      <c r="AF404">
        <f t="shared" ca="1" si="171"/>
        <v>52432.701837665816</v>
      </c>
      <c r="AI404">
        <v>0</v>
      </c>
      <c r="AJ404">
        <v>0</v>
      </c>
      <c r="AK404">
        <f t="shared" si="172"/>
        <v>0</v>
      </c>
      <c r="AL404">
        <f t="shared" si="181"/>
        <v>0</v>
      </c>
      <c r="AM404">
        <f t="shared" ca="1" si="173"/>
        <v>3.0508944475835165E-7</v>
      </c>
      <c r="AN404" t="str">
        <f t="shared" ca="1" si="174"/>
        <v>Subcritical</v>
      </c>
      <c r="AO404">
        <f t="shared" ca="1" si="175"/>
        <v>3.5811501033715345E-12</v>
      </c>
    </row>
    <row r="405" spans="1:41" x14ac:dyDescent="0.35">
      <c r="A405">
        <v>256</v>
      </c>
      <c r="B405">
        <v>254.928</v>
      </c>
      <c r="C405">
        <v>616330.80900000001</v>
      </c>
      <c r="D405">
        <v>3097682.8560000001</v>
      </c>
      <c r="E405">
        <v>632.43449999999996</v>
      </c>
      <c r="F405">
        <v>4.5270000000000001</v>
      </c>
      <c r="G405">
        <v>0</v>
      </c>
      <c r="H405" t="s">
        <v>186</v>
      </c>
      <c r="I405">
        <v>0</v>
      </c>
      <c r="J405">
        <f t="shared" si="176"/>
        <v>1</v>
      </c>
      <c r="K405">
        <f t="shared" si="177"/>
        <v>51</v>
      </c>
      <c r="L405">
        <f t="shared" ca="1" si="178"/>
        <v>51797.882218896601</v>
      </c>
      <c r="M405">
        <f t="shared" ca="1" si="155"/>
        <v>234489.01280494491</v>
      </c>
      <c r="N405">
        <f t="shared" ca="1" si="156"/>
        <v>2.2634010923197434</v>
      </c>
      <c r="O405">
        <f t="shared" ca="1" si="157"/>
        <v>2.1749419893896414E-4</v>
      </c>
      <c r="P405">
        <f t="shared" ca="1" si="158"/>
        <v>52430.316718896604</v>
      </c>
      <c r="Q405">
        <f t="shared" ca="1" si="159"/>
        <v>52430.316718899012</v>
      </c>
      <c r="R405">
        <f t="shared" ca="1" si="160"/>
        <v>3.5814798513353669E-12</v>
      </c>
      <c r="S405">
        <f t="shared" ca="1" si="179"/>
        <v>4.999999946448952E-4</v>
      </c>
      <c r="T405">
        <f t="shared" ca="1" si="180"/>
        <v>1</v>
      </c>
      <c r="U405">
        <f t="shared" ca="1" si="161"/>
        <v>51800.26683766341</v>
      </c>
      <c r="V405">
        <f t="shared" ca="1" si="162"/>
        <v>234499.80797410227</v>
      </c>
      <c r="W405">
        <f t="shared" ca="1" si="163"/>
        <v>2.2634010968727472</v>
      </c>
      <c r="X405">
        <f t="shared" ca="1" si="164"/>
        <v>2.1748418662087923E-4</v>
      </c>
      <c r="Y405">
        <f t="shared" ca="1" si="165"/>
        <v>52432.701337663413</v>
      </c>
      <c r="Z405">
        <f t="shared" ca="1" si="166"/>
        <v>52432.701337665821</v>
      </c>
      <c r="AA405">
        <f t="shared" ca="1" si="167"/>
        <v>3.5811501033715345E-12</v>
      </c>
      <c r="AB405">
        <f t="shared" ca="1" si="168"/>
        <v>-5.0000000192085281E-4</v>
      </c>
      <c r="AC405">
        <f t="shared" ca="1" si="169"/>
        <v>1</v>
      </c>
      <c r="AD405">
        <f ca="1">IF(V32="Supercritical",L405,IF(V32="Subcritical",U405,IF(AND(T405=1,AC405=1),IF((((F405)*(L405)^2)/2+(G405)*(L405)^3/3+(ABS(K405)^2)/($I$5*MAX(((F405)+(G405)*(L405))*(L405),0.000001)))&gt;=(((F405)*(U405)^2)/2+(G405)*(U405)^3/3+(ABS(K405)^2)/($I$5*MAX(((F405)+(G405)*(U405))*(U405),0.000001))),L405,U405),IF(T405=1,L405,IF(AC405=1,U405,MAX($D$16,POWER((ABS(K405)^2)/($I$5*MAX(F405,0.1)^2),1/3)))))))</f>
        <v>51800.26683766341</v>
      </c>
      <c r="AE405">
        <f t="shared" ca="1" si="170"/>
        <v>52432.701337663413</v>
      </c>
      <c r="AF405">
        <f t="shared" ca="1" si="171"/>
        <v>52432.701337665821</v>
      </c>
      <c r="AI405">
        <v>0</v>
      </c>
      <c r="AJ405">
        <v>0</v>
      </c>
      <c r="AK405">
        <f t="shared" si="172"/>
        <v>0</v>
      </c>
      <c r="AL405">
        <f t="shared" si="181"/>
        <v>0</v>
      </c>
      <c r="AM405">
        <f t="shared" ca="1" si="173"/>
        <v>3.0508944475835165E-7</v>
      </c>
      <c r="AN405" t="str">
        <f t="shared" ca="1" si="174"/>
        <v>Subcritical</v>
      </c>
      <c r="AO405">
        <f t="shared" ca="1" si="175"/>
        <v>3.5811501033715345E-12</v>
      </c>
    </row>
    <row r="406" spans="1:41" x14ac:dyDescent="0.35">
      <c r="A406">
        <v>257</v>
      </c>
      <c r="B406">
        <v>255.92699999999999</v>
      </c>
      <c r="C406">
        <v>616329.96299999999</v>
      </c>
      <c r="D406">
        <v>3097682.3229999999</v>
      </c>
      <c r="E406">
        <v>632.43399999999997</v>
      </c>
      <c r="F406">
        <v>4.5270000000000001</v>
      </c>
      <c r="G406">
        <v>0</v>
      </c>
      <c r="H406" t="s">
        <v>186</v>
      </c>
      <c r="I406">
        <v>0</v>
      </c>
      <c r="J406">
        <f t="shared" si="176"/>
        <v>0.99899999999999523</v>
      </c>
      <c r="K406">
        <f t="shared" si="177"/>
        <v>51</v>
      </c>
      <c r="L406">
        <f t="shared" ca="1" si="178"/>
        <v>51797.881269382007</v>
      </c>
      <c r="M406">
        <f t="shared" ref="M406:M469" ca="1" si="182">((F406)+(G406)*(L406))*(L406)</f>
        <v>234489.00850649236</v>
      </c>
      <c r="N406">
        <f t="shared" ref="N406:N469" ca="1" si="183">(((F406)+(G406)*(L406))*(L406))/MAX((F406)+2*(L406)*SQRT(1+(G406)^2),0.000001)</f>
        <v>2.2634010923179306</v>
      </c>
      <c r="O406">
        <f t="shared" ref="O406:O469" ca="1" si="184">ABS(K406)/MAX(((F406)+(G406)*(L406))*(L406),0.000001)</f>
        <v>2.1749420292588233E-4</v>
      </c>
      <c r="P406">
        <f t="shared" ref="P406:P469" ca="1" si="185">E406+L406</f>
        <v>52430.315269382008</v>
      </c>
      <c r="Q406">
        <f t="shared" ref="Q406:Q469" ca="1" si="186">P406+((ABS(K406)/MAX(((F406)+(G406)*(L406))*(L406),0.000001))^2)/(2*$I$5)</f>
        <v>52430.315269384417</v>
      </c>
      <c r="R406">
        <f t="shared" ref="R406:R469" ca="1" si="187">((ABS(K406)*$D$6)/(MAX(((F406)+(G406)*(L406))*(L406),0.000001)*MAX(((((F406)+(G406)*(L406))*(L406))/MAX((F406)+2*(L406)*SQRT(1+(G406)^2),0.000001))^(2/3),0.000001)))^2</f>
        <v>3.5814799826444625E-12</v>
      </c>
      <c r="S406">
        <f t="shared" ca="1" si="179"/>
        <v>1.4495145951514132E-3</v>
      </c>
      <c r="T406">
        <f t="shared" ca="1" si="180"/>
        <v>0</v>
      </c>
      <c r="U406">
        <f t="shared" ref="U406:U469" ca="1" si="188">IF($D$20=0,U407,IF(AC407=0,U407,IF(U406=0,U407,IF(ABS(AB406)&gt;$D$19,MAX($D$16,U406+((AB406)*$D$18*IF((ABS(ABS(K406)/MAX(((F406)+(G406)*(U406))*(U406),0.000001))/SQRT($I$5*MAX((((F406)+(G406)*(U406))*(U406))/MAX((F406)+2*(G406)*(U406),0.000001),0.000001)))&lt;1,1,-1))),U406))))</f>
        <v>51800.26683766341</v>
      </c>
      <c r="V406">
        <f t="shared" ref="V406:V469" ca="1" si="189">((F406)+(G406)*(U406))*(U406)</f>
        <v>234499.80797410227</v>
      </c>
      <c r="W406">
        <f t="shared" ref="W406:W469" ca="1" si="190">(((F406)+(G406)*(U406))*(U406))/MAX((F406)+2*(U406)*SQRT(1+(G406)^2),0.000001)</f>
        <v>2.2634010968727472</v>
      </c>
      <c r="X406">
        <f t="shared" ref="X406:X469" ca="1" si="191">ABS(K406)/MAX(((F406)+(G406)*(U406))*(U406),0.000001)</f>
        <v>2.1748418662087923E-4</v>
      </c>
      <c r="Y406">
        <f t="shared" ref="Y406:Y469" ca="1" si="192">E406+U406</f>
        <v>52432.700837663411</v>
      </c>
      <c r="Z406">
        <f t="shared" ref="Z406:Z469" ca="1" si="193">Y406+((ABS(K406)/MAX(((F406)+(G406)*(U406))*(U406),0.000001))^2)/(2*$I$5)</f>
        <v>52432.70083766582</v>
      </c>
      <c r="AA406">
        <f t="shared" ref="AA406:AA469" ca="1" si="194">((ABS(K406)*$D$6)/(MAX(((F406)+(G406)*(U406))*(U406),0.000001)*MAX(((((F406)+(G406)*(U406))*(U406))/MAX((F406)+2*(U406)*SQRT(1+(G406)^2),0.000001))^(2/3),0.000001)))^2</f>
        <v>3.5811501033715345E-12</v>
      </c>
      <c r="AB406">
        <f t="shared" ref="AB406:AB469" ca="1" si="195">Z407+(((AA406+AA407)/2)*J407)+(IF(X406&gt;X407,$D$8*((X406^2-X407^2)/(2*$I$5)),$D$9*((X407^2-X406^2)/(2*$I$5)))+($D$10*(ABS(I407)/90)*(MAX(X406^2,X407^2)/(2*$I$5))))-Z406</f>
        <v>-5.0000000192085281E-4</v>
      </c>
      <c r="AC406">
        <f t="shared" ref="AC406:AC469" ca="1" si="196">IF(ABS(AB406)&lt;$D$19,1,0)</f>
        <v>1</v>
      </c>
      <c r="AD406">
        <f ca="1">IF(V32="Supercritical",L406,IF(V32="Subcritical",U406,IF(AND(T406=1,AC406=1),IF((((F406)*(L406)^2)/2+(G406)*(L406)^3/3+(ABS(K406)^2)/($I$5*MAX(((F406)+(G406)*(L406))*(L406),0.000001)))&gt;=(((F406)*(U406)^2)/2+(G406)*(U406)^3/3+(ABS(K406)^2)/($I$5*MAX(((F406)+(G406)*(U406))*(U406),0.000001))),L406,U406),IF(T406=1,L406,IF(AC406=1,U406,MAX($D$16,POWER((ABS(K406)^2)/($I$5*MAX(F406,0.1)^2),1/3)))))))</f>
        <v>51800.26683766341</v>
      </c>
      <c r="AE406">
        <f t="shared" ref="AE406:AE469" ca="1" si="197">E406+AD406</f>
        <v>52432.700837663411</v>
      </c>
      <c r="AF406">
        <f t="shared" ref="AF406:AF469" ca="1" si="198">AE406+((ABS(K406)/MAX(((F406)+(G406)*(AD406))*(AD406),0.000001))^2)/(2*$I$5)</f>
        <v>52432.70083766582</v>
      </c>
      <c r="AI406">
        <v>0</v>
      </c>
      <c r="AJ406">
        <v>0</v>
      </c>
      <c r="AK406">
        <f t="shared" ref="AK406:AK469" si="199">AI406+AJ406</f>
        <v>0</v>
      </c>
      <c r="AL406">
        <f t="shared" si="181"/>
        <v>0</v>
      </c>
      <c r="AM406">
        <f t="shared" ref="AM406:AM469" ca="1" si="200">ABS(ABS(K406)/MAX(((F406)+(G406)*(AD406))*(AD406),0.000001))/SQRT($I$5*MAX((((F406)+(G406)*(AD406))*(AD406))/MAX((F406)+2*(G406)*(AD406),0.000001),0.000001))</f>
        <v>3.0508944475835165E-7</v>
      </c>
      <c r="AN406" t="str">
        <f t="shared" ref="AN406:AN469" ca="1" si="201">IF(AM406&lt;1,"Subcritical","Supercritical")</f>
        <v>Subcritical</v>
      </c>
      <c r="AO406">
        <f t="shared" ref="AO406:AO469" ca="1" si="202">((ABS(K406)*$D$6)/(MAX(((F406)+(G406)*(AD406))*(AD406),0.000001)*MAX(((((F406)+(G406)*(AD406))*(AD406))/MAX((F406)+2*(AD406)*SQRT(1+(G406)^2),0.000001))^(2/3),0.000001)))^2</f>
        <v>3.5811501033715345E-12</v>
      </c>
    </row>
    <row r="407" spans="1:41" x14ac:dyDescent="0.35">
      <c r="A407">
        <v>258</v>
      </c>
      <c r="B407">
        <v>256.92700000000002</v>
      </c>
      <c r="C407">
        <v>616329.11699999997</v>
      </c>
      <c r="D407">
        <v>3097681.79</v>
      </c>
      <c r="E407">
        <v>632.43349999999998</v>
      </c>
      <c r="F407">
        <v>4.5270000000000001</v>
      </c>
      <c r="G407">
        <v>0</v>
      </c>
      <c r="H407" t="s">
        <v>186</v>
      </c>
      <c r="I407">
        <v>0</v>
      </c>
      <c r="J407">
        <f t="shared" ref="J407:J470" si="203">B407-B406</f>
        <v>1.0000000000000284</v>
      </c>
      <c r="K407">
        <f t="shared" ref="K407:K470" si="204">MAX(0,K406-AK406)</f>
        <v>51</v>
      </c>
      <c r="L407">
        <f t="shared" ref="L407:L470" ca="1" si="205">IF($D$20=0,L406,IF(T406=0,L406,IF(L407=0,L406,IF(ABS(S407)&gt;$D$19,MAX($D$16,L407+((S407)*$D$18*IF((ABS(ABS(K407)/MAX(((F407)+(G407)*(L407))*(L407),0.000001))/SQRT($I$5*MAX((((F407)+(G407)*(L407))*(L407))/MAX((F407)+2*(G407)*(L407),0.000001),0.000001)))&lt;1,1,-1))),L407))))</f>
        <v>51797.881269382007</v>
      </c>
      <c r="M407">
        <f t="shared" ca="1" si="182"/>
        <v>234489.00850649236</v>
      </c>
      <c r="N407">
        <f t="shared" ca="1" si="183"/>
        <v>2.2634010923179306</v>
      </c>
      <c r="O407">
        <f t="shared" ca="1" si="184"/>
        <v>2.1749420292588233E-4</v>
      </c>
      <c r="P407">
        <f t="shared" ca="1" si="185"/>
        <v>52430.314769382006</v>
      </c>
      <c r="Q407">
        <f t="shared" ca="1" si="186"/>
        <v>52430.314769384415</v>
      </c>
      <c r="R407">
        <f t="shared" ca="1" si="187"/>
        <v>3.5814799826444625E-12</v>
      </c>
      <c r="S407">
        <f t="shared" ref="S407:S470" ca="1" si="206">Q406-(((R406+R407)/2)*J407)-(IF(O406&gt;O407,$D$8*((O406^2-O407^2)/(2*$I$5)),$D$9*((O407^2-O406^2)/(2*$I$5)))+($D$10*(ABS(I407)/90)*(MAX(O406^2,O407^2)/(2*$I$5))))-Q407</f>
        <v>5.0000000192085281E-4</v>
      </c>
      <c r="T407">
        <f t="shared" ref="T407:T470" ca="1" si="207">IF(ABS(S407)&lt;$D$19,1,0)</f>
        <v>1</v>
      </c>
      <c r="U407">
        <f t="shared" ca="1" si="188"/>
        <v>51800.26683766341</v>
      </c>
      <c r="V407">
        <f t="shared" ca="1" si="189"/>
        <v>234499.80797410227</v>
      </c>
      <c r="W407">
        <f t="shared" ca="1" si="190"/>
        <v>2.2634010968727472</v>
      </c>
      <c r="X407">
        <f t="shared" ca="1" si="191"/>
        <v>2.1748418662087923E-4</v>
      </c>
      <c r="Y407">
        <f t="shared" ca="1" si="192"/>
        <v>52432.700337663409</v>
      </c>
      <c r="Z407">
        <f t="shared" ca="1" si="193"/>
        <v>52432.700337665818</v>
      </c>
      <c r="AA407">
        <f t="shared" ca="1" si="194"/>
        <v>3.5811501033715345E-12</v>
      </c>
      <c r="AB407">
        <f t="shared" ca="1" si="195"/>
        <v>-5.0000000192085281E-4</v>
      </c>
      <c r="AC407">
        <f t="shared" ca="1" si="196"/>
        <v>1</v>
      </c>
      <c r="AD407">
        <f ca="1">IF(V32="Supercritical",L407,IF(V32="Subcritical",U407,IF(AND(T407=1,AC407=1),IF((((F407)*(L407)^2)/2+(G407)*(L407)^3/3+(ABS(K407)^2)/($I$5*MAX(((F407)+(G407)*(L407))*(L407),0.000001)))&gt;=(((F407)*(U407)^2)/2+(G407)*(U407)^3/3+(ABS(K407)^2)/($I$5*MAX(((F407)+(G407)*(U407))*(U407),0.000001))),L407,U407),IF(T407=1,L407,IF(AC407=1,U407,MAX($D$16,POWER((ABS(K407)^2)/($I$5*MAX(F407,0.1)^2),1/3)))))))</f>
        <v>51800.26683766341</v>
      </c>
      <c r="AE407">
        <f t="shared" ca="1" si="197"/>
        <v>52432.700337663409</v>
      </c>
      <c r="AF407">
        <f t="shared" ca="1" si="198"/>
        <v>52432.700337665818</v>
      </c>
      <c r="AI407">
        <v>0</v>
      </c>
      <c r="AJ407">
        <v>0</v>
      </c>
      <c r="AK407">
        <f t="shared" si="199"/>
        <v>0</v>
      </c>
      <c r="AL407">
        <f t="shared" ref="AL407:AL470" si="208">AL406+AK407</f>
        <v>0</v>
      </c>
      <c r="AM407">
        <f t="shared" ca="1" si="200"/>
        <v>3.0508944475835165E-7</v>
      </c>
      <c r="AN407" t="str">
        <f t="shared" ca="1" si="201"/>
        <v>Subcritical</v>
      </c>
      <c r="AO407">
        <f t="shared" ca="1" si="202"/>
        <v>3.5811501033715345E-12</v>
      </c>
    </row>
    <row r="408" spans="1:41" x14ac:dyDescent="0.35">
      <c r="A408">
        <v>259</v>
      </c>
      <c r="B408">
        <v>257.92700000000002</v>
      </c>
      <c r="C408">
        <v>616328.27099999995</v>
      </c>
      <c r="D408">
        <v>3097681.2570000002</v>
      </c>
      <c r="E408">
        <v>632.43299999999999</v>
      </c>
      <c r="F408">
        <v>4.5270000000000001</v>
      </c>
      <c r="G408">
        <v>0</v>
      </c>
      <c r="H408" t="s">
        <v>186</v>
      </c>
      <c r="I408">
        <v>3.1E-2</v>
      </c>
      <c r="J408">
        <f t="shared" si="203"/>
        <v>1</v>
      </c>
      <c r="K408">
        <f t="shared" si="204"/>
        <v>51</v>
      </c>
      <c r="L408">
        <f t="shared" ca="1" si="205"/>
        <v>51797.880392488434</v>
      </c>
      <c r="M408">
        <f t="shared" ca="1" si="182"/>
        <v>234489.00453679514</v>
      </c>
      <c r="N408">
        <f t="shared" ca="1" si="183"/>
        <v>2.263401092316256</v>
      </c>
      <c r="O408">
        <f t="shared" ca="1" si="184"/>
        <v>2.1749420660787218E-4</v>
      </c>
      <c r="P408">
        <f t="shared" ca="1" si="185"/>
        <v>52430.313392488431</v>
      </c>
      <c r="Q408">
        <f t="shared" ca="1" si="186"/>
        <v>52430.31339249084</v>
      </c>
      <c r="R408">
        <f t="shared" ca="1" si="187"/>
        <v>3.5814801039107503E-12</v>
      </c>
      <c r="S408">
        <f t="shared" ca="1" si="206"/>
        <v>1.3768935750704259E-3</v>
      </c>
      <c r="T408">
        <f t="shared" ca="1" si="207"/>
        <v>0</v>
      </c>
      <c r="U408">
        <f t="shared" ca="1" si="188"/>
        <v>51800.26683766341</v>
      </c>
      <c r="V408">
        <f t="shared" ca="1" si="189"/>
        <v>234499.80797410227</v>
      </c>
      <c r="W408">
        <f t="shared" ca="1" si="190"/>
        <v>2.2634010968727472</v>
      </c>
      <c r="X408">
        <f t="shared" ca="1" si="191"/>
        <v>2.1748418662087923E-4</v>
      </c>
      <c r="Y408">
        <f t="shared" ca="1" si="192"/>
        <v>52432.699837663407</v>
      </c>
      <c r="Z408">
        <f t="shared" ca="1" si="193"/>
        <v>52432.699837665816</v>
      </c>
      <c r="AA408">
        <f t="shared" ca="1" si="194"/>
        <v>3.5811501033715345E-12</v>
      </c>
      <c r="AB408">
        <f t="shared" ca="1" si="195"/>
        <v>-4.999999946448952E-4</v>
      </c>
      <c r="AC408">
        <f t="shared" ca="1" si="196"/>
        <v>1</v>
      </c>
      <c r="AD408">
        <f ca="1">IF(V32="Supercritical",L408,IF(V32="Subcritical",U408,IF(AND(T408=1,AC408=1),IF((((F408)*(L408)^2)/2+(G408)*(L408)^3/3+(ABS(K408)^2)/($I$5*MAX(((F408)+(G408)*(L408))*(L408),0.000001)))&gt;=(((F408)*(U408)^2)/2+(G408)*(U408)^3/3+(ABS(K408)^2)/($I$5*MAX(((F408)+(G408)*(U408))*(U408),0.000001))),L408,U408),IF(T408=1,L408,IF(AC408=1,U408,MAX($D$16,POWER((ABS(K408)^2)/($I$5*MAX(F408,0.1)^2),1/3)))))))</f>
        <v>51800.26683766341</v>
      </c>
      <c r="AE408">
        <f t="shared" ca="1" si="197"/>
        <v>52432.699837663407</v>
      </c>
      <c r="AF408">
        <f t="shared" ca="1" si="198"/>
        <v>52432.699837665816</v>
      </c>
      <c r="AI408">
        <v>0</v>
      </c>
      <c r="AJ408">
        <v>0</v>
      </c>
      <c r="AK408">
        <f t="shared" si="199"/>
        <v>0</v>
      </c>
      <c r="AL408">
        <f t="shared" si="208"/>
        <v>0</v>
      </c>
      <c r="AM408">
        <f t="shared" ca="1" si="200"/>
        <v>3.0508944475835165E-7</v>
      </c>
      <c r="AN408" t="str">
        <f t="shared" ca="1" si="201"/>
        <v>Subcritical</v>
      </c>
      <c r="AO408">
        <f t="shared" ca="1" si="202"/>
        <v>3.5811501033715345E-12</v>
      </c>
    </row>
    <row r="409" spans="1:41" x14ac:dyDescent="0.35">
      <c r="A409">
        <v>260</v>
      </c>
      <c r="B409">
        <v>258.928</v>
      </c>
      <c r="C409">
        <v>616327.424</v>
      </c>
      <c r="D409">
        <v>3097680.7239999999</v>
      </c>
      <c r="E409">
        <v>632.4325</v>
      </c>
      <c r="F409">
        <v>4.5270000000000001</v>
      </c>
      <c r="G409">
        <v>0</v>
      </c>
      <c r="H409" t="s">
        <v>186</v>
      </c>
      <c r="I409">
        <v>3.1E-2</v>
      </c>
      <c r="J409">
        <f t="shared" si="203"/>
        <v>1.0009999999999764</v>
      </c>
      <c r="K409">
        <f t="shared" si="204"/>
        <v>51</v>
      </c>
      <c r="L409">
        <f t="shared" ca="1" si="205"/>
        <v>51797.880392488434</v>
      </c>
      <c r="M409">
        <f t="shared" ca="1" si="182"/>
        <v>234489.00453679514</v>
      </c>
      <c r="N409">
        <f t="shared" ca="1" si="183"/>
        <v>2.263401092316256</v>
      </c>
      <c r="O409">
        <f t="shared" ca="1" si="184"/>
        <v>2.1749420660787218E-4</v>
      </c>
      <c r="P409">
        <f t="shared" ca="1" si="185"/>
        <v>52430.312892488437</v>
      </c>
      <c r="Q409">
        <f t="shared" ca="1" si="186"/>
        <v>52430.312892490845</v>
      </c>
      <c r="R409">
        <f t="shared" ca="1" si="187"/>
        <v>3.5814801039107503E-12</v>
      </c>
      <c r="S409">
        <f t="shared" ca="1" si="206"/>
        <v>4.999999946448952E-4</v>
      </c>
      <c r="T409">
        <f t="shared" ca="1" si="207"/>
        <v>1</v>
      </c>
      <c r="U409">
        <f t="shared" ca="1" si="188"/>
        <v>51800.26683766341</v>
      </c>
      <c r="V409">
        <f t="shared" ca="1" si="189"/>
        <v>234499.80797410227</v>
      </c>
      <c r="W409">
        <f t="shared" ca="1" si="190"/>
        <v>2.2634010968727472</v>
      </c>
      <c r="X409">
        <f t="shared" ca="1" si="191"/>
        <v>2.1748418662087923E-4</v>
      </c>
      <c r="Y409">
        <f t="shared" ca="1" si="192"/>
        <v>52432.699337663413</v>
      </c>
      <c r="Z409">
        <f t="shared" ca="1" si="193"/>
        <v>52432.699337665821</v>
      </c>
      <c r="AA409">
        <f t="shared" ca="1" si="194"/>
        <v>3.5811501033715345E-12</v>
      </c>
      <c r="AB409">
        <f t="shared" ca="1" si="195"/>
        <v>-5.0000000192085281E-4</v>
      </c>
      <c r="AC409">
        <f t="shared" ca="1" si="196"/>
        <v>1</v>
      </c>
      <c r="AD409">
        <f ca="1">IF(V32="Supercritical",L409,IF(V32="Subcritical",U409,IF(AND(T409=1,AC409=1),IF((((F409)*(L409)^2)/2+(G409)*(L409)^3/3+(ABS(K409)^2)/($I$5*MAX(((F409)+(G409)*(L409))*(L409),0.000001)))&gt;=(((F409)*(U409)^2)/2+(G409)*(U409)^3/3+(ABS(K409)^2)/($I$5*MAX(((F409)+(G409)*(U409))*(U409),0.000001))),L409,U409),IF(T409=1,L409,IF(AC409=1,U409,MAX($D$16,POWER((ABS(K409)^2)/($I$5*MAX(F409,0.1)^2),1/3)))))))</f>
        <v>51800.26683766341</v>
      </c>
      <c r="AE409">
        <f t="shared" ca="1" si="197"/>
        <v>52432.699337663413</v>
      </c>
      <c r="AF409">
        <f t="shared" ca="1" si="198"/>
        <v>52432.699337665821</v>
      </c>
      <c r="AI409">
        <v>0</v>
      </c>
      <c r="AJ409">
        <v>0</v>
      </c>
      <c r="AK409">
        <f t="shared" si="199"/>
        <v>0</v>
      </c>
      <c r="AL409">
        <f t="shared" si="208"/>
        <v>0</v>
      </c>
      <c r="AM409">
        <f t="shared" ca="1" si="200"/>
        <v>3.0508944475835165E-7</v>
      </c>
      <c r="AN409" t="str">
        <f t="shared" ca="1" si="201"/>
        <v>Subcritical</v>
      </c>
      <c r="AO409">
        <f t="shared" ca="1" si="202"/>
        <v>3.5811501033715345E-12</v>
      </c>
    </row>
    <row r="410" spans="1:41" x14ac:dyDescent="0.35">
      <c r="A410">
        <v>261</v>
      </c>
      <c r="B410">
        <v>259.928</v>
      </c>
      <c r="C410">
        <v>616326.57799999998</v>
      </c>
      <c r="D410">
        <v>3097680.1910000001</v>
      </c>
      <c r="E410">
        <v>632.43200000000002</v>
      </c>
      <c r="F410">
        <v>4.5270000000000001</v>
      </c>
      <c r="G410">
        <v>0</v>
      </c>
      <c r="H410" t="s">
        <v>186</v>
      </c>
      <c r="I410">
        <v>0</v>
      </c>
      <c r="J410">
        <f t="shared" si="203"/>
        <v>1</v>
      </c>
      <c r="K410">
        <f t="shared" si="204"/>
        <v>51</v>
      </c>
      <c r="L410">
        <f t="shared" ca="1" si="205"/>
        <v>51797.879573914113</v>
      </c>
      <c r="M410">
        <f t="shared" ca="1" si="182"/>
        <v>234489.00083110921</v>
      </c>
      <c r="N410">
        <f t="shared" ca="1" si="183"/>
        <v>2.2634010923146932</v>
      </c>
      <c r="O410">
        <f t="shared" ca="1" si="184"/>
        <v>2.174942100449853E-4</v>
      </c>
      <c r="P410">
        <f t="shared" ca="1" si="185"/>
        <v>52430.311573914114</v>
      </c>
      <c r="Q410">
        <f t="shared" ca="1" si="186"/>
        <v>52430.311573916522</v>
      </c>
      <c r="R410">
        <f t="shared" ca="1" si="187"/>
        <v>3.5814802171120258E-12</v>
      </c>
      <c r="S410">
        <f t="shared" ca="1" si="206"/>
        <v>1.3185743227950297E-3</v>
      </c>
      <c r="T410">
        <f t="shared" ca="1" si="207"/>
        <v>0</v>
      </c>
      <c r="U410">
        <f t="shared" ca="1" si="188"/>
        <v>51800.26683766341</v>
      </c>
      <c r="V410">
        <f t="shared" ca="1" si="189"/>
        <v>234499.80797410227</v>
      </c>
      <c r="W410">
        <f t="shared" ca="1" si="190"/>
        <v>2.2634010968727472</v>
      </c>
      <c r="X410">
        <f t="shared" ca="1" si="191"/>
        <v>2.1748418662087923E-4</v>
      </c>
      <c r="Y410">
        <f t="shared" ca="1" si="192"/>
        <v>52432.698837663411</v>
      </c>
      <c r="Z410">
        <f t="shared" ca="1" si="193"/>
        <v>52432.698837665819</v>
      </c>
      <c r="AA410">
        <f t="shared" ca="1" si="194"/>
        <v>3.5811501033715345E-12</v>
      </c>
      <c r="AB410">
        <f t="shared" ca="1" si="195"/>
        <v>-5.0000000192085281E-4</v>
      </c>
      <c r="AC410">
        <f t="shared" ca="1" si="196"/>
        <v>1</v>
      </c>
      <c r="AD410">
        <f ca="1">IF(V32="Supercritical",L410,IF(V32="Subcritical",U410,IF(AND(T410=1,AC410=1),IF((((F410)*(L410)^2)/2+(G410)*(L410)^3/3+(ABS(K410)^2)/($I$5*MAX(((F410)+(G410)*(L410))*(L410),0.000001)))&gt;=(((F410)*(U410)^2)/2+(G410)*(U410)^3/3+(ABS(K410)^2)/($I$5*MAX(((F410)+(G410)*(U410))*(U410),0.000001))),L410,U410),IF(T410=1,L410,IF(AC410=1,U410,MAX($D$16,POWER((ABS(K410)^2)/($I$5*MAX(F410,0.1)^2),1/3)))))))</f>
        <v>51800.26683766341</v>
      </c>
      <c r="AE410">
        <f t="shared" ca="1" si="197"/>
        <v>52432.698837663411</v>
      </c>
      <c r="AF410">
        <f t="shared" ca="1" si="198"/>
        <v>52432.698837665819</v>
      </c>
      <c r="AI410">
        <v>0</v>
      </c>
      <c r="AJ410">
        <v>0</v>
      </c>
      <c r="AK410">
        <f t="shared" si="199"/>
        <v>0</v>
      </c>
      <c r="AL410">
        <f t="shared" si="208"/>
        <v>0</v>
      </c>
      <c r="AM410">
        <f t="shared" ca="1" si="200"/>
        <v>3.0508944475835165E-7</v>
      </c>
      <c r="AN410" t="str">
        <f t="shared" ca="1" si="201"/>
        <v>Subcritical</v>
      </c>
      <c r="AO410">
        <f t="shared" ca="1" si="202"/>
        <v>3.5811501033715345E-12</v>
      </c>
    </row>
    <row r="411" spans="1:41" x14ac:dyDescent="0.35">
      <c r="A411">
        <v>262</v>
      </c>
      <c r="B411">
        <v>260.928</v>
      </c>
      <c r="C411">
        <v>616325.73199999996</v>
      </c>
      <c r="D411">
        <v>3097679.6579999998</v>
      </c>
      <c r="E411">
        <v>632.43150000000003</v>
      </c>
      <c r="F411">
        <v>4.5270000000000001</v>
      </c>
      <c r="G411">
        <v>0</v>
      </c>
      <c r="H411" t="s">
        <v>186</v>
      </c>
      <c r="I411">
        <v>0</v>
      </c>
      <c r="J411">
        <f t="shared" si="203"/>
        <v>1</v>
      </c>
      <c r="K411">
        <f t="shared" si="204"/>
        <v>51</v>
      </c>
      <c r="L411">
        <f t="shared" ca="1" si="205"/>
        <v>51797.879573914113</v>
      </c>
      <c r="M411">
        <f t="shared" ca="1" si="182"/>
        <v>234489.00083110921</v>
      </c>
      <c r="N411">
        <f t="shared" ca="1" si="183"/>
        <v>2.2634010923146932</v>
      </c>
      <c r="O411">
        <f t="shared" ca="1" si="184"/>
        <v>2.174942100449853E-4</v>
      </c>
      <c r="P411">
        <f t="shared" ca="1" si="185"/>
        <v>52430.311073914112</v>
      </c>
      <c r="Q411">
        <f t="shared" ca="1" si="186"/>
        <v>52430.31107391652</v>
      </c>
      <c r="R411">
        <f t="shared" ca="1" si="187"/>
        <v>3.5814802171120258E-12</v>
      </c>
      <c r="S411">
        <f t="shared" ca="1" si="206"/>
        <v>5.0000000192085281E-4</v>
      </c>
      <c r="T411">
        <f t="shared" ca="1" si="207"/>
        <v>1</v>
      </c>
      <c r="U411">
        <f t="shared" ca="1" si="188"/>
        <v>51800.26683766341</v>
      </c>
      <c r="V411">
        <f t="shared" ca="1" si="189"/>
        <v>234499.80797410227</v>
      </c>
      <c r="W411">
        <f t="shared" ca="1" si="190"/>
        <v>2.2634010968727472</v>
      </c>
      <c r="X411">
        <f t="shared" ca="1" si="191"/>
        <v>2.1748418662087923E-4</v>
      </c>
      <c r="Y411">
        <f t="shared" ca="1" si="192"/>
        <v>52432.698337663409</v>
      </c>
      <c r="Z411">
        <f t="shared" ca="1" si="193"/>
        <v>52432.698337665817</v>
      </c>
      <c r="AA411">
        <f t="shared" ca="1" si="194"/>
        <v>3.5811501033715345E-12</v>
      </c>
      <c r="AB411">
        <f t="shared" ca="1" si="195"/>
        <v>-5.0000000192085281E-4</v>
      </c>
      <c r="AC411">
        <f t="shared" ca="1" si="196"/>
        <v>1</v>
      </c>
      <c r="AD411">
        <f ca="1">IF(V32="Supercritical",L411,IF(V32="Subcritical",U411,IF(AND(T411=1,AC411=1),IF((((F411)*(L411)^2)/2+(G411)*(L411)^3/3+(ABS(K411)^2)/($I$5*MAX(((F411)+(G411)*(L411))*(L411),0.000001)))&gt;=(((F411)*(U411)^2)/2+(G411)*(U411)^3/3+(ABS(K411)^2)/($I$5*MAX(((F411)+(G411)*(U411))*(U411),0.000001))),L411,U411),IF(T411=1,L411,IF(AC411=1,U411,MAX($D$16,POWER((ABS(K411)^2)/($I$5*MAX(F411,0.1)^2),1/3)))))))</f>
        <v>51800.26683766341</v>
      </c>
      <c r="AE411">
        <f t="shared" ca="1" si="197"/>
        <v>52432.698337663409</v>
      </c>
      <c r="AF411">
        <f t="shared" ca="1" si="198"/>
        <v>52432.698337665817</v>
      </c>
      <c r="AI411">
        <v>0</v>
      </c>
      <c r="AJ411">
        <v>0</v>
      </c>
      <c r="AK411">
        <f t="shared" si="199"/>
        <v>0</v>
      </c>
      <c r="AL411">
        <f t="shared" si="208"/>
        <v>0</v>
      </c>
      <c r="AM411">
        <f t="shared" ca="1" si="200"/>
        <v>3.0508944475835165E-7</v>
      </c>
      <c r="AN411" t="str">
        <f t="shared" ca="1" si="201"/>
        <v>Subcritical</v>
      </c>
      <c r="AO411">
        <f t="shared" ca="1" si="202"/>
        <v>3.5811501033715345E-12</v>
      </c>
    </row>
    <row r="412" spans="1:41" x14ac:dyDescent="0.35">
      <c r="A412">
        <v>263</v>
      </c>
      <c r="B412">
        <v>261.928</v>
      </c>
      <c r="C412">
        <v>616324.88600000006</v>
      </c>
      <c r="D412">
        <v>3097679.125</v>
      </c>
      <c r="E412">
        <v>632.43100000000004</v>
      </c>
      <c r="F412">
        <v>4.5270000000000001</v>
      </c>
      <c r="G412">
        <v>0</v>
      </c>
      <c r="H412" t="s">
        <v>186</v>
      </c>
      <c r="I412">
        <v>0</v>
      </c>
      <c r="J412">
        <f t="shared" si="203"/>
        <v>1</v>
      </c>
      <c r="K412">
        <f t="shared" si="204"/>
        <v>51</v>
      </c>
      <c r="L412">
        <f t="shared" ca="1" si="205"/>
        <v>51797.878802196828</v>
      </c>
      <c r="M412">
        <f t="shared" ca="1" si="182"/>
        <v>234488.99733754504</v>
      </c>
      <c r="N412">
        <f t="shared" ca="1" si="183"/>
        <v>2.2634010923132197</v>
      </c>
      <c r="O412">
        <f t="shared" ca="1" si="184"/>
        <v>2.1749421328535047E-4</v>
      </c>
      <c r="P412">
        <f t="shared" ca="1" si="185"/>
        <v>52430.309802196825</v>
      </c>
      <c r="Q412">
        <f t="shared" ca="1" si="186"/>
        <v>52430.309802199234</v>
      </c>
      <c r="R412">
        <f t="shared" ca="1" si="187"/>
        <v>3.5814803238334132E-12</v>
      </c>
      <c r="S412">
        <f t="shared" ca="1" si="206"/>
        <v>1.2717172867269255E-3</v>
      </c>
      <c r="T412">
        <f t="shared" ca="1" si="207"/>
        <v>0</v>
      </c>
      <c r="U412">
        <f t="shared" ca="1" si="188"/>
        <v>51800.26683766341</v>
      </c>
      <c r="V412">
        <f t="shared" ca="1" si="189"/>
        <v>234499.80797410227</v>
      </c>
      <c r="W412">
        <f t="shared" ca="1" si="190"/>
        <v>2.2634010968727472</v>
      </c>
      <c r="X412">
        <f t="shared" ca="1" si="191"/>
        <v>2.1748418662087923E-4</v>
      </c>
      <c r="Y412">
        <f t="shared" ca="1" si="192"/>
        <v>52432.697837663407</v>
      </c>
      <c r="Z412">
        <f t="shared" ca="1" si="193"/>
        <v>52432.697837665815</v>
      </c>
      <c r="AA412">
        <f t="shared" ca="1" si="194"/>
        <v>3.5811501033715345E-12</v>
      </c>
      <c r="AB412">
        <f t="shared" ca="1" si="195"/>
        <v>-4.999999946448952E-4</v>
      </c>
      <c r="AC412">
        <f t="shared" ca="1" si="196"/>
        <v>1</v>
      </c>
      <c r="AD412">
        <f ca="1">IF(V32="Supercritical",L412,IF(V32="Subcritical",U412,IF(AND(T412=1,AC412=1),IF((((F412)*(L412)^2)/2+(G412)*(L412)^3/3+(ABS(K412)^2)/($I$5*MAX(((F412)+(G412)*(L412))*(L412),0.000001)))&gt;=(((F412)*(U412)^2)/2+(G412)*(U412)^3/3+(ABS(K412)^2)/($I$5*MAX(((F412)+(G412)*(U412))*(U412),0.000001))),L412,U412),IF(T412=1,L412,IF(AC412=1,U412,MAX($D$16,POWER((ABS(K412)^2)/($I$5*MAX(F412,0.1)^2),1/3)))))))</f>
        <v>51800.26683766341</v>
      </c>
      <c r="AE412">
        <f t="shared" ca="1" si="197"/>
        <v>52432.697837663407</v>
      </c>
      <c r="AF412">
        <f t="shared" ca="1" si="198"/>
        <v>52432.697837665815</v>
      </c>
      <c r="AI412">
        <v>0</v>
      </c>
      <c r="AJ412">
        <v>0</v>
      </c>
      <c r="AK412">
        <f t="shared" si="199"/>
        <v>0</v>
      </c>
      <c r="AL412">
        <f t="shared" si="208"/>
        <v>0</v>
      </c>
      <c r="AM412">
        <f t="shared" ca="1" si="200"/>
        <v>3.0508944475835165E-7</v>
      </c>
      <c r="AN412" t="str">
        <f t="shared" ca="1" si="201"/>
        <v>Subcritical</v>
      </c>
      <c r="AO412">
        <f t="shared" ca="1" si="202"/>
        <v>3.5811501033715345E-12</v>
      </c>
    </row>
    <row r="413" spans="1:41" x14ac:dyDescent="0.35">
      <c r="A413">
        <v>264</v>
      </c>
      <c r="B413">
        <v>262.928</v>
      </c>
      <c r="C413">
        <v>616324.04</v>
      </c>
      <c r="D413">
        <v>3097678.5920000002</v>
      </c>
      <c r="E413">
        <v>632.43050000000005</v>
      </c>
      <c r="F413">
        <v>4.5270000000000001</v>
      </c>
      <c r="G413">
        <v>0</v>
      </c>
      <c r="H413" t="s">
        <v>186</v>
      </c>
      <c r="I413">
        <v>0</v>
      </c>
      <c r="J413">
        <f t="shared" si="203"/>
        <v>1</v>
      </c>
      <c r="K413">
        <f t="shared" si="204"/>
        <v>51</v>
      </c>
      <c r="L413">
        <f t="shared" ca="1" si="205"/>
        <v>51797.878802196828</v>
      </c>
      <c r="M413">
        <f t="shared" ca="1" si="182"/>
        <v>234488.99733754504</v>
      </c>
      <c r="N413">
        <f t="shared" ca="1" si="183"/>
        <v>2.2634010923132197</v>
      </c>
      <c r="O413">
        <f t="shared" ca="1" si="184"/>
        <v>2.1749421328535047E-4</v>
      </c>
      <c r="P413">
        <f t="shared" ca="1" si="185"/>
        <v>52430.309302196831</v>
      </c>
      <c r="Q413">
        <f t="shared" ca="1" si="186"/>
        <v>52430.309302199239</v>
      </c>
      <c r="R413">
        <f t="shared" ca="1" si="187"/>
        <v>3.5814803238334132E-12</v>
      </c>
      <c r="S413">
        <f t="shared" ca="1" si="206"/>
        <v>4.999999946448952E-4</v>
      </c>
      <c r="T413">
        <f t="shared" ca="1" si="207"/>
        <v>1</v>
      </c>
      <c r="U413">
        <f t="shared" ca="1" si="188"/>
        <v>51800.26683766341</v>
      </c>
      <c r="V413">
        <f t="shared" ca="1" si="189"/>
        <v>234499.80797410227</v>
      </c>
      <c r="W413">
        <f t="shared" ca="1" si="190"/>
        <v>2.2634010968727472</v>
      </c>
      <c r="X413">
        <f t="shared" ca="1" si="191"/>
        <v>2.1748418662087923E-4</v>
      </c>
      <c r="Y413">
        <f t="shared" ca="1" si="192"/>
        <v>52432.697337663412</v>
      </c>
      <c r="Z413">
        <f t="shared" ca="1" si="193"/>
        <v>52432.697337665821</v>
      </c>
      <c r="AA413">
        <f t="shared" ca="1" si="194"/>
        <v>3.5811501033715345E-12</v>
      </c>
      <c r="AB413">
        <f t="shared" ca="1" si="195"/>
        <v>-5.0000000192085281E-4</v>
      </c>
      <c r="AC413">
        <f t="shared" ca="1" si="196"/>
        <v>1</v>
      </c>
      <c r="AD413">
        <f ca="1">IF(V32="Supercritical",L413,IF(V32="Subcritical",U413,IF(AND(T413=1,AC413=1),IF((((F413)*(L413)^2)/2+(G413)*(L413)^3/3+(ABS(K413)^2)/($I$5*MAX(((F413)+(G413)*(L413))*(L413),0.000001)))&gt;=(((F413)*(U413)^2)/2+(G413)*(U413)^3/3+(ABS(K413)^2)/($I$5*MAX(((F413)+(G413)*(U413))*(U413),0.000001))),L413,U413),IF(T413=1,L413,IF(AC413=1,U413,MAX($D$16,POWER((ABS(K413)^2)/($I$5*MAX(F413,0.1)^2),1/3)))))))</f>
        <v>51800.26683766341</v>
      </c>
      <c r="AE413">
        <f t="shared" ca="1" si="197"/>
        <v>52432.697337663412</v>
      </c>
      <c r="AF413">
        <f t="shared" ca="1" si="198"/>
        <v>52432.697337665821</v>
      </c>
      <c r="AI413">
        <v>0</v>
      </c>
      <c r="AJ413">
        <v>0</v>
      </c>
      <c r="AK413">
        <f t="shared" si="199"/>
        <v>0</v>
      </c>
      <c r="AL413">
        <f t="shared" si="208"/>
        <v>0</v>
      </c>
      <c r="AM413">
        <f t="shared" ca="1" si="200"/>
        <v>3.0508944475835165E-7</v>
      </c>
      <c r="AN413" t="str">
        <f t="shared" ca="1" si="201"/>
        <v>Subcritical</v>
      </c>
      <c r="AO413">
        <f t="shared" ca="1" si="202"/>
        <v>3.5811501033715345E-12</v>
      </c>
    </row>
    <row r="414" spans="1:41" x14ac:dyDescent="0.35">
      <c r="A414">
        <v>265</v>
      </c>
      <c r="B414">
        <v>263.928</v>
      </c>
      <c r="C414">
        <v>616323.19400000002</v>
      </c>
      <c r="D414">
        <v>3097678.0589999999</v>
      </c>
      <c r="E414">
        <v>632.42999999999995</v>
      </c>
      <c r="F414">
        <v>4.5270000000000001</v>
      </c>
      <c r="G414">
        <v>0</v>
      </c>
      <c r="H414" t="s">
        <v>186</v>
      </c>
      <c r="I414">
        <v>0</v>
      </c>
      <c r="J414">
        <f t="shared" si="203"/>
        <v>1</v>
      </c>
      <c r="K414">
        <f t="shared" si="204"/>
        <v>51</v>
      </c>
      <c r="L414">
        <f t="shared" ca="1" si="205"/>
        <v>51797.878068165679</v>
      </c>
      <c r="M414">
        <f t="shared" ca="1" si="182"/>
        <v>234488.99401458603</v>
      </c>
      <c r="N414">
        <f t="shared" ca="1" si="183"/>
        <v>2.2634010923118182</v>
      </c>
      <c r="O414">
        <f t="shared" ca="1" si="184"/>
        <v>2.1749421636747533E-4</v>
      </c>
      <c r="P414">
        <f t="shared" ca="1" si="185"/>
        <v>52430.308068165679</v>
      </c>
      <c r="Q414">
        <f t="shared" ca="1" si="186"/>
        <v>52430.308068168088</v>
      </c>
      <c r="R414">
        <f t="shared" ca="1" si="187"/>
        <v>3.5814804253431588E-12</v>
      </c>
      <c r="S414">
        <f t="shared" ca="1" si="206"/>
        <v>1.2340311513980851E-3</v>
      </c>
      <c r="T414">
        <f t="shared" ca="1" si="207"/>
        <v>0</v>
      </c>
      <c r="U414">
        <f t="shared" ca="1" si="188"/>
        <v>51800.26683766341</v>
      </c>
      <c r="V414">
        <f t="shared" ca="1" si="189"/>
        <v>234499.80797410227</v>
      </c>
      <c r="W414">
        <f t="shared" ca="1" si="190"/>
        <v>2.2634010968727472</v>
      </c>
      <c r="X414">
        <f t="shared" ca="1" si="191"/>
        <v>2.1748418662087923E-4</v>
      </c>
      <c r="Y414">
        <f t="shared" ca="1" si="192"/>
        <v>52432.69683766341</v>
      </c>
      <c r="Z414">
        <f t="shared" ca="1" si="193"/>
        <v>52432.696837665819</v>
      </c>
      <c r="AA414">
        <f t="shared" ca="1" si="194"/>
        <v>3.5811501033715345E-12</v>
      </c>
      <c r="AB414">
        <f t="shared" ca="1" si="195"/>
        <v>-5.0000000192085281E-4</v>
      </c>
      <c r="AC414">
        <f t="shared" ca="1" si="196"/>
        <v>1</v>
      </c>
      <c r="AD414">
        <f ca="1">IF(V32="Supercritical",L414,IF(V32="Subcritical",U414,IF(AND(T414=1,AC414=1),IF((((F414)*(L414)^2)/2+(G414)*(L414)^3/3+(ABS(K414)^2)/($I$5*MAX(((F414)+(G414)*(L414))*(L414),0.000001)))&gt;=(((F414)*(U414)^2)/2+(G414)*(U414)^3/3+(ABS(K414)^2)/($I$5*MAX(((F414)+(G414)*(U414))*(U414),0.000001))),L414,U414),IF(T414=1,L414,IF(AC414=1,U414,MAX($D$16,POWER((ABS(K414)^2)/($I$5*MAX(F414,0.1)^2),1/3)))))))</f>
        <v>51800.26683766341</v>
      </c>
      <c r="AE414">
        <f t="shared" ca="1" si="197"/>
        <v>52432.69683766341</v>
      </c>
      <c r="AF414">
        <f t="shared" ca="1" si="198"/>
        <v>52432.696837665819</v>
      </c>
      <c r="AI414">
        <v>0</v>
      </c>
      <c r="AJ414">
        <v>0</v>
      </c>
      <c r="AK414">
        <f t="shared" si="199"/>
        <v>0</v>
      </c>
      <c r="AL414">
        <f t="shared" si="208"/>
        <v>0</v>
      </c>
      <c r="AM414">
        <f t="shared" ca="1" si="200"/>
        <v>3.0508944475835165E-7</v>
      </c>
      <c r="AN414" t="str">
        <f t="shared" ca="1" si="201"/>
        <v>Subcritical</v>
      </c>
      <c r="AO414">
        <f t="shared" ca="1" si="202"/>
        <v>3.5811501033715345E-12</v>
      </c>
    </row>
    <row r="415" spans="1:41" x14ac:dyDescent="0.35">
      <c r="A415">
        <v>266</v>
      </c>
      <c r="B415">
        <v>264.92700000000002</v>
      </c>
      <c r="C415">
        <v>616322.348</v>
      </c>
      <c r="D415">
        <v>3097677.5260000001</v>
      </c>
      <c r="E415">
        <v>632.42949999999996</v>
      </c>
      <c r="F415">
        <v>4.5270000000000001</v>
      </c>
      <c r="G415">
        <v>0</v>
      </c>
      <c r="H415" t="s">
        <v>186</v>
      </c>
      <c r="I415">
        <v>0</v>
      </c>
      <c r="J415">
        <f t="shared" si="203"/>
        <v>0.99900000000002365</v>
      </c>
      <c r="K415">
        <f t="shared" si="204"/>
        <v>51</v>
      </c>
      <c r="L415">
        <f t="shared" ca="1" si="205"/>
        <v>51797.878068165679</v>
      </c>
      <c r="M415">
        <f t="shared" ca="1" si="182"/>
        <v>234488.99401458603</v>
      </c>
      <c r="N415">
        <f t="shared" ca="1" si="183"/>
        <v>2.2634010923118182</v>
      </c>
      <c r="O415">
        <f t="shared" ca="1" si="184"/>
        <v>2.1749421636747533E-4</v>
      </c>
      <c r="P415">
        <f t="shared" ca="1" si="185"/>
        <v>52430.307568165677</v>
      </c>
      <c r="Q415">
        <f t="shared" ca="1" si="186"/>
        <v>52430.307568168086</v>
      </c>
      <c r="R415">
        <f t="shared" ca="1" si="187"/>
        <v>3.5814804253431588E-12</v>
      </c>
      <c r="S415">
        <f t="shared" ca="1" si="206"/>
        <v>5.0000000192085281E-4</v>
      </c>
      <c r="T415">
        <f t="shared" ca="1" si="207"/>
        <v>1</v>
      </c>
      <c r="U415">
        <f t="shared" ca="1" si="188"/>
        <v>51800.26683766341</v>
      </c>
      <c r="V415">
        <f t="shared" ca="1" si="189"/>
        <v>234499.80797410227</v>
      </c>
      <c r="W415">
        <f t="shared" ca="1" si="190"/>
        <v>2.2634010968727472</v>
      </c>
      <c r="X415">
        <f t="shared" ca="1" si="191"/>
        <v>2.1748418662087923E-4</v>
      </c>
      <c r="Y415">
        <f t="shared" ca="1" si="192"/>
        <v>52432.696337663408</v>
      </c>
      <c r="Z415">
        <f t="shared" ca="1" si="193"/>
        <v>52432.696337665817</v>
      </c>
      <c r="AA415">
        <f t="shared" ca="1" si="194"/>
        <v>3.5811501033715345E-12</v>
      </c>
      <c r="AB415">
        <f t="shared" ca="1" si="195"/>
        <v>-5.0000000192085281E-4</v>
      </c>
      <c r="AC415">
        <f t="shared" ca="1" si="196"/>
        <v>1</v>
      </c>
      <c r="AD415">
        <f ca="1">IF(V32="Supercritical",L415,IF(V32="Subcritical",U415,IF(AND(T415=1,AC415=1),IF((((F415)*(L415)^2)/2+(G415)*(L415)^3/3+(ABS(K415)^2)/($I$5*MAX(((F415)+(G415)*(L415))*(L415),0.000001)))&gt;=(((F415)*(U415)^2)/2+(G415)*(U415)^3/3+(ABS(K415)^2)/($I$5*MAX(((F415)+(G415)*(U415))*(U415),0.000001))),L415,U415),IF(T415=1,L415,IF(AC415=1,U415,MAX($D$16,POWER((ABS(K415)^2)/($I$5*MAX(F415,0.1)^2),1/3)))))))</f>
        <v>51800.26683766341</v>
      </c>
      <c r="AE415">
        <f t="shared" ca="1" si="197"/>
        <v>52432.696337663408</v>
      </c>
      <c r="AF415">
        <f t="shared" ca="1" si="198"/>
        <v>52432.696337665817</v>
      </c>
      <c r="AI415">
        <v>0</v>
      </c>
      <c r="AJ415">
        <v>0</v>
      </c>
      <c r="AK415">
        <f t="shared" si="199"/>
        <v>0</v>
      </c>
      <c r="AL415">
        <f t="shared" si="208"/>
        <v>0</v>
      </c>
      <c r="AM415">
        <f t="shared" ca="1" si="200"/>
        <v>3.0508944475835165E-7</v>
      </c>
      <c r="AN415" t="str">
        <f t="shared" ca="1" si="201"/>
        <v>Subcritical</v>
      </c>
      <c r="AO415">
        <f t="shared" ca="1" si="202"/>
        <v>3.5811501033715345E-12</v>
      </c>
    </row>
    <row r="416" spans="1:41" x14ac:dyDescent="0.35">
      <c r="A416">
        <v>267</v>
      </c>
      <c r="B416">
        <v>265.92700000000002</v>
      </c>
      <c r="C416">
        <v>616321.50199999998</v>
      </c>
      <c r="D416">
        <v>3097676.9929999998</v>
      </c>
      <c r="E416">
        <v>632.42899999999997</v>
      </c>
      <c r="F416">
        <v>4.5270000000000001</v>
      </c>
      <c r="G416">
        <v>0</v>
      </c>
      <c r="H416" t="s">
        <v>186</v>
      </c>
      <c r="I416">
        <v>0</v>
      </c>
      <c r="J416">
        <f t="shared" si="203"/>
        <v>1</v>
      </c>
      <c r="K416">
        <f t="shared" si="204"/>
        <v>51</v>
      </c>
      <c r="L416">
        <f t="shared" ca="1" si="205"/>
        <v>51797.877364475513</v>
      </c>
      <c r="M416">
        <f t="shared" ca="1" si="182"/>
        <v>234488.99082898066</v>
      </c>
      <c r="N416">
        <f t="shared" ca="1" si="183"/>
        <v>2.2634010923104748</v>
      </c>
      <c r="O416">
        <f t="shared" ca="1" si="184"/>
        <v>2.1749421932220142E-4</v>
      </c>
      <c r="P416">
        <f t="shared" ca="1" si="185"/>
        <v>52430.306364475509</v>
      </c>
      <c r="Q416">
        <f t="shared" ca="1" si="186"/>
        <v>52430.306364477918</v>
      </c>
      <c r="R416">
        <f t="shared" ca="1" si="187"/>
        <v>3.5814805226570288E-12</v>
      </c>
      <c r="S416">
        <f t="shared" ca="1" si="206"/>
        <v>1.2036901680403389E-3</v>
      </c>
      <c r="T416">
        <f t="shared" ca="1" si="207"/>
        <v>0</v>
      </c>
      <c r="U416">
        <f t="shared" ca="1" si="188"/>
        <v>51800.26683766341</v>
      </c>
      <c r="V416">
        <f t="shared" ca="1" si="189"/>
        <v>234499.80797410227</v>
      </c>
      <c r="W416">
        <f t="shared" ca="1" si="190"/>
        <v>2.2634010968727472</v>
      </c>
      <c r="X416">
        <f t="shared" ca="1" si="191"/>
        <v>2.1748418662087923E-4</v>
      </c>
      <c r="Y416">
        <f t="shared" ca="1" si="192"/>
        <v>52432.695837663407</v>
      </c>
      <c r="Z416">
        <f t="shared" ca="1" si="193"/>
        <v>52432.695837665815</v>
      </c>
      <c r="AA416">
        <f t="shared" ca="1" si="194"/>
        <v>3.5811501033715345E-12</v>
      </c>
      <c r="AB416">
        <f t="shared" ca="1" si="195"/>
        <v>-4.999999946448952E-4</v>
      </c>
      <c r="AC416">
        <f t="shared" ca="1" si="196"/>
        <v>1</v>
      </c>
      <c r="AD416">
        <f ca="1">IF(V32="Supercritical",L416,IF(V32="Subcritical",U416,IF(AND(T416=1,AC416=1),IF((((F416)*(L416)^2)/2+(G416)*(L416)^3/3+(ABS(K416)^2)/($I$5*MAX(((F416)+(G416)*(L416))*(L416),0.000001)))&gt;=(((F416)*(U416)^2)/2+(G416)*(U416)^3/3+(ABS(K416)^2)/($I$5*MAX(((F416)+(G416)*(U416))*(U416),0.000001))),L416,U416),IF(T416=1,L416,IF(AC416=1,U416,MAX($D$16,POWER((ABS(K416)^2)/($I$5*MAX(F416,0.1)^2),1/3)))))))</f>
        <v>51800.26683766341</v>
      </c>
      <c r="AE416">
        <f t="shared" ca="1" si="197"/>
        <v>52432.695837663407</v>
      </c>
      <c r="AF416">
        <f t="shared" ca="1" si="198"/>
        <v>52432.695837665815</v>
      </c>
      <c r="AI416">
        <v>0</v>
      </c>
      <c r="AJ416">
        <v>0</v>
      </c>
      <c r="AK416">
        <f t="shared" si="199"/>
        <v>0</v>
      </c>
      <c r="AL416">
        <f t="shared" si="208"/>
        <v>0</v>
      </c>
      <c r="AM416">
        <f t="shared" ca="1" si="200"/>
        <v>3.0508944475835165E-7</v>
      </c>
      <c r="AN416" t="str">
        <f t="shared" ca="1" si="201"/>
        <v>Subcritical</v>
      </c>
      <c r="AO416">
        <f t="shared" ca="1" si="202"/>
        <v>3.5811501033715345E-12</v>
      </c>
    </row>
    <row r="417" spans="1:41" x14ac:dyDescent="0.35">
      <c r="A417">
        <v>268</v>
      </c>
      <c r="B417">
        <v>266.92700000000002</v>
      </c>
      <c r="C417">
        <v>616320.65599999996</v>
      </c>
      <c r="D417">
        <v>3097676.46</v>
      </c>
      <c r="E417">
        <v>632.42849999999999</v>
      </c>
      <c r="F417">
        <v>4.5270000000000001</v>
      </c>
      <c r="G417">
        <v>0</v>
      </c>
      <c r="H417" t="s">
        <v>186</v>
      </c>
      <c r="I417">
        <v>0</v>
      </c>
      <c r="J417">
        <f t="shared" si="203"/>
        <v>1</v>
      </c>
      <c r="K417">
        <f t="shared" si="204"/>
        <v>51</v>
      </c>
      <c r="L417">
        <f t="shared" ca="1" si="205"/>
        <v>51797.877364475513</v>
      </c>
      <c r="M417">
        <f t="shared" ca="1" si="182"/>
        <v>234488.99082898066</v>
      </c>
      <c r="N417">
        <f t="shared" ca="1" si="183"/>
        <v>2.2634010923104748</v>
      </c>
      <c r="O417">
        <f t="shared" ca="1" si="184"/>
        <v>2.1749421932220142E-4</v>
      </c>
      <c r="P417">
        <f t="shared" ca="1" si="185"/>
        <v>52430.305864475515</v>
      </c>
      <c r="Q417">
        <f t="shared" ca="1" si="186"/>
        <v>52430.305864477923</v>
      </c>
      <c r="R417">
        <f t="shared" ca="1" si="187"/>
        <v>3.5814805226570288E-12</v>
      </c>
      <c r="S417">
        <f t="shared" ca="1" si="206"/>
        <v>4.999999946448952E-4</v>
      </c>
      <c r="T417">
        <f t="shared" ca="1" si="207"/>
        <v>1</v>
      </c>
      <c r="U417">
        <f t="shared" ca="1" si="188"/>
        <v>51800.26683766341</v>
      </c>
      <c r="V417">
        <f t="shared" ca="1" si="189"/>
        <v>234499.80797410227</v>
      </c>
      <c r="W417">
        <f t="shared" ca="1" si="190"/>
        <v>2.2634010968727472</v>
      </c>
      <c r="X417">
        <f t="shared" ca="1" si="191"/>
        <v>2.1748418662087923E-4</v>
      </c>
      <c r="Y417">
        <f t="shared" ca="1" si="192"/>
        <v>52432.695337663412</v>
      </c>
      <c r="Z417">
        <f t="shared" ca="1" si="193"/>
        <v>52432.69533766582</v>
      </c>
      <c r="AA417">
        <f t="shared" ca="1" si="194"/>
        <v>3.5811501033715345E-12</v>
      </c>
      <c r="AB417">
        <f t="shared" ca="1" si="195"/>
        <v>-5.0000000192085281E-4</v>
      </c>
      <c r="AC417">
        <f t="shared" ca="1" si="196"/>
        <v>1</v>
      </c>
      <c r="AD417">
        <f ca="1">IF(V32="Supercritical",L417,IF(V32="Subcritical",U417,IF(AND(T417=1,AC417=1),IF((((F417)*(L417)^2)/2+(G417)*(L417)^3/3+(ABS(K417)^2)/($I$5*MAX(((F417)+(G417)*(L417))*(L417),0.000001)))&gt;=(((F417)*(U417)^2)/2+(G417)*(U417)^3/3+(ABS(K417)^2)/($I$5*MAX(((F417)+(G417)*(U417))*(U417),0.000001))),L417,U417),IF(T417=1,L417,IF(AC417=1,U417,MAX($D$16,POWER((ABS(K417)^2)/($I$5*MAX(F417,0.1)^2),1/3)))))))</f>
        <v>51800.26683766341</v>
      </c>
      <c r="AE417">
        <f t="shared" ca="1" si="197"/>
        <v>52432.695337663412</v>
      </c>
      <c r="AF417">
        <f t="shared" ca="1" si="198"/>
        <v>52432.69533766582</v>
      </c>
      <c r="AI417">
        <v>0</v>
      </c>
      <c r="AJ417">
        <v>0</v>
      </c>
      <c r="AK417">
        <f t="shared" si="199"/>
        <v>0</v>
      </c>
      <c r="AL417">
        <f t="shared" si="208"/>
        <v>0</v>
      </c>
      <c r="AM417">
        <f t="shared" ca="1" si="200"/>
        <v>3.0508944475835165E-7</v>
      </c>
      <c r="AN417" t="str">
        <f t="shared" ca="1" si="201"/>
        <v>Subcritical</v>
      </c>
      <c r="AO417">
        <f t="shared" ca="1" si="202"/>
        <v>3.5811501033715345E-12</v>
      </c>
    </row>
    <row r="418" spans="1:41" x14ac:dyDescent="0.35">
      <c r="A418">
        <v>269</v>
      </c>
      <c r="B418">
        <v>267.92700000000002</v>
      </c>
      <c r="C418">
        <v>616319.81000000006</v>
      </c>
      <c r="D418">
        <v>3097675.9270000001</v>
      </c>
      <c r="E418">
        <v>632.428</v>
      </c>
      <c r="F418">
        <v>4.5270000000000001</v>
      </c>
      <c r="G418">
        <v>0</v>
      </c>
      <c r="H418" t="s">
        <v>186</v>
      </c>
      <c r="I418">
        <v>0</v>
      </c>
      <c r="J418">
        <f t="shared" si="203"/>
        <v>1</v>
      </c>
      <c r="K418">
        <f t="shared" si="204"/>
        <v>51</v>
      </c>
      <c r="L418">
        <f t="shared" ca="1" si="205"/>
        <v>51797.876685224786</v>
      </c>
      <c r="M418">
        <f t="shared" ca="1" si="182"/>
        <v>234488.9877540126</v>
      </c>
      <c r="N418">
        <f t="shared" ca="1" si="183"/>
        <v>2.2634010923091776</v>
      </c>
      <c r="O418">
        <f t="shared" ca="1" si="184"/>
        <v>2.1749422217430883E-4</v>
      </c>
      <c r="P418">
        <f t="shared" ca="1" si="185"/>
        <v>52430.304685224786</v>
      </c>
      <c r="Q418">
        <f t="shared" ca="1" si="186"/>
        <v>52430.304685227195</v>
      </c>
      <c r="R418">
        <f t="shared" ca="1" si="187"/>
        <v>3.5814806165911563E-12</v>
      </c>
      <c r="S418">
        <f t="shared" ca="1" si="206"/>
        <v>1.1792507284553722E-3</v>
      </c>
      <c r="T418">
        <f t="shared" ca="1" si="207"/>
        <v>0</v>
      </c>
      <c r="U418">
        <f t="shared" ca="1" si="188"/>
        <v>51800.26683766341</v>
      </c>
      <c r="V418">
        <f t="shared" ca="1" si="189"/>
        <v>234499.80797410227</v>
      </c>
      <c r="W418">
        <f t="shared" ca="1" si="190"/>
        <v>2.2634010968727472</v>
      </c>
      <c r="X418">
        <f t="shared" ca="1" si="191"/>
        <v>2.1748418662087923E-4</v>
      </c>
      <c r="Y418">
        <f t="shared" ca="1" si="192"/>
        <v>52432.69483766341</v>
      </c>
      <c r="Z418">
        <f t="shared" ca="1" si="193"/>
        <v>52432.694837665818</v>
      </c>
      <c r="AA418">
        <f t="shared" ca="1" si="194"/>
        <v>3.5811501033715345E-12</v>
      </c>
      <c r="AB418">
        <f t="shared" ca="1" si="195"/>
        <v>-5.0000000192085281E-4</v>
      </c>
      <c r="AC418">
        <f t="shared" ca="1" si="196"/>
        <v>1</v>
      </c>
      <c r="AD418">
        <f ca="1">IF(V32="Supercritical",L418,IF(V32="Subcritical",U418,IF(AND(T418=1,AC418=1),IF((((F418)*(L418)^2)/2+(G418)*(L418)^3/3+(ABS(K418)^2)/($I$5*MAX(((F418)+(G418)*(L418))*(L418),0.000001)))&gt;=(((F418)*(U418)^2)/2+(G418)*(U418)^3/3+(ABS(K418)^2)/($I$5*MAX(((F418)+(G418)*(U418))*(U418),0.000001))),L418,U418),IF(T418=1,L418,IF(AC418=1,U418,MAX($D$16,POWER((ABS(K418)^2)/($I$5*MAX(F418,0.1)^2),1/3)))))))</f>
        <v>51800.26683766341</v>
      </c>
      <c r="AE418">
        <f t="shared" ca="1" si="197"/>
        <v>52432.69483766341</v>
      </c>
      <c r="AF418">
        <f t="shared" ca="1" si="198"/>
        <v>52432.694837665818</v>
      </c>
      <c r="AI418">
        <v>0</v>
      </c>
      <c r="AJ418">
        <v>0</v>
      </c>
      <c r="AK418">
        <f t="shared" si="199"/>
        <v>0</v>
      </c>
      <c r="AL418">
        <f t="shared" si="208"/>
        <v>0</v>
      </c>
      <c r="AM418">
        <f t="shared" ca="1" si="200"/>
        <v>3.0508944475835165E-7</v>
      </c>
      <c r="AN418" t="str">
        <f t="shared" ca="1" si="201"/>
        <v>Subcritical</v>
      </c>
      <c r="AO418">
        <f t="shared" ca="1" si="202"/>
        <v>3.5811501033715345E-12</v>
      </c>
    </row>
    <row r="419" spans="1:41" x14ac:dyDescent="0.35">
      <c r="A419">
        <v>270</v>
      </c>
      <c r="B419">
        <v>268.92700000000002</v>
      </c>
      <c r="C419">
        <v>616318.96400000004</v>
      </c>
      <c r="D419">
        <v>3097675.3939999999</v>
      </c>
      <c r="E419">
        <v>632.42750000000001</v>
      </c>
      <c r="F419">
        <v>4.5270000000000001</v>
      </c>
      <c r="G419">
        <v>0</v>
      </c>
      <c r="H419" t="s">
        <v>186</v>
      </c>
      <c r="I419">
        <v>3.1E-2</v>
      </c>
      <c r="J419">
        <f t="shared" si="203"/>
        <v>1</v>
      </c>
      <c r="K419">
        <f t="shared" si="204"/>
        <v>51</v>
      </c>
      <c r="L419">
        <f t="shared" ca="1" si="205"/>
        <v>51797.876685224786</v>
      </c>
      <c r="M419">
        <f t="shared" ca="1" si="182"/>
        <v>234488.9877540126</v>
      </c>
      <c r="N419">
        <f t="shared" ca="1" si="183"/>
        <v>2.2634010923091776</v>
      </c>
      <c r="O419">
        <f t="shared" ca="1" si="184"/>
        <v>2.1749422217430883E-4</v>
      </c>
      <c r="P419">
        <f t="shared" ca="1" si="185"/>
        <v>52430.304185224784</v>
      </c>
      <c r="Q419">
        <f t="shared" ca="1" si="186"/>
        <v>52430.304185227193</v>
      </c>
      <c r="R419">
        <f t="shared" ca="1" si="187"/>
        <v>3.5814806165911563E-12</v>
      </c>
      <c r="S419">
        <f t="shared" ca="1" si="206"/>
        <v>5.0000000192085281E-4</v>
      </c>
      <c r="T419">
        <f t="shared" ca="1" si="207"/>
        <v>1</v>
      </c>
      <c r="U419">
        <f t="shared" ca="1" si="188"/>
        <v>51800.26683766341</v>
      </c>
      <c r="V419">
        <f t="shared" ca="1" si="189"/>
        <v>234499.80797410227</v>
      </c>
      <c r="W419">
        <f t="shared" ca="1" si="190"/>
        <v>2.2634010968727472</v>
      </c>
      <c r="X419">
        <f t="shared" ca="1" si="191"/>
        <v>2.1748418662087923E-4</v>
      </c>
      <c r="Y419">
        <f t="shared" ca="1" si="192"/>
        <v>52432.694337663408</v>
      </c>
      <c r="Z419">
        <f t="shared" ca="1" si="193"/>
        <v>52432.694337665816</v>
      </c>
      <c r="AA419">
        <f t="shared" ca="1" si="194"/>
        <v>3.5811501033715345E-12</v>
      </c>
      <c r="AB419">
        <f t="shared" ca="1" si="195"/>
        <v>-4.999999946448952E-4</v>
      </c>
      <c r="AC419">
        <f t="shared" ca="1" si="196"/>
        <v>1</v>
      </c>
      <c r="AD419">
        <f ca="1">IF(V32="Supercritical",L419,IF(V32="Subcritical",U419,IF(AND(T419=1,AC419=1),IF((((F419)*(L419)^2)/2+(G419)*(L419)^3/3+(ABS(K419)^2)/($I$5*MAX(((F419)+(G419)*(L419))*(L419),0.000001)))&gt;=(((F419)*(U419)^2)/2+(G419)*(U419)^3/3+(ABS(K419)^2)/($I$5*MAX(((F419)+(G419)*(U419))*(U419),0.000001))),L419,U419),IF(T419=1,L419,IF(AC419=1,U419,MAX($D$16,POWER((ABS(K419)^2)/($I$5*MAX(F419,0.1)^2),1/3)))))))</f>
        <v>51800.26683766341</v>
      </c>
      <c r="AE419">
        <f t="shared" ca="1" si="197"/>
        <v>52432.694337663408</v>
      </c>
      <c r="AF419">
        <f t="shared" ca="1" si="198"/>
        <v>52432.694337665816</v>
      </c>
      <c r="AI419">
        <v>0</v>
      </c>
      <c r="AJ419">
        <v>0</v>
      </c>
      <c r="AK419">
        <f t="shared" si="199"/>
        <v>0</v>
      </c>
      <c r="AL419">
        <f t="shared" si="208"/>
        <v>0</v>
      </c>
      <c r="AM419">
        <f t="shared" ca="1" si="200"/>
        <v>3.0508944475835165E-7</v>
      </c>
      <c r="AN419" t="str">
        <f t="shared" ca="1" si="201"/>
        <v>Subcritical</v>
      </c>
      <c r="AO419">
        <f t="shared" ca="1" si="202"/>
        <v>3.5811501033715345E-12</v>
      </c>
    </row>
    <row r="420" spans="1:41" x14ac:dyDescent="0.35">
      <c r="A420">
        <v>271</v>
      </c>
      <c r="B420">
        <v>269.928</v>
      </c>
      <c r="C420">
        <v>616318.11699999997</v>
      </c>
      <c r="D420">
        <v>3097674.861</v>
      </c>
      <c r="E420">
        <v>632.42700000000002</v>
      </c>
      <c r="F420">
        <v>4.5270000000000001</v>
      </c>
      <c r="G420">
        <v>0</v>
      </c>
      <c r="H420" t="s">
        <v>186</v>
      </c>
      <c r="I420">
        <v>3.1E-2</v>
      </c>
      <c r="J420">
        <f t="shared" si="203"/>
        <v>1.0009999999999764</v>
      </c>
      <c r="K420">
        <f t="shared" si="204"/>
        <v>51</v>
      </c>
      <c r="L420">
        <f t="shared" ca="1" si="205"/>
        <v>51797.876025650789</v>
      </c>
      <c r="M420">
        <f t="shared" ca="1" si="182"/>
        <v>234488.98476812112</v>
      </c>
      <c r="N420">
        <f t="shared" ca="1" si="183"/>
        <v>2.2634010923079182</v>
      </c>
      <c r="O420">
        <f t="shared" ca="1" si="184"/>
        <v>2.1749422494379562E-4</v>
      </c>
      <c r="P420">
        <f t="shared" ca="1" si="185"/>
        <v>52430.303025650792</v>
      </c>
      <c r="Q420">
        <f t="shared" ca="1" si="186"/>
        <v>52430.3030256532</v>
      </c>
      <c r="R420">
        <f t="shared" ca="1" si="187"/>
        <v>3.5814807078041746E-12</v>
      </c>
      <c r="S420">
        <f t="shared" ca="1" si="206"/>
        <v>1.1595739924814552E-3</v>
      </c>
      <c r="T420">
        <f t="shared" ca="1" si="207"/>
        <v>0</v>
      </c>
      <c r="U420">
        <f t="shared" ca="1" si="188"/>
        <v>51800.26683766341</v>
      </c>
      <c r="V420">
        <f t="shared" ca="1" si="189"/>
        <v>234499.80797410227</v>
      </c>
      <c r="W420">
        <f t="shared" ca="1" si="190"/>
        <v>2.2634010968727472</v>
      </c>
      <c r="X420">
        <f t="shared" ca="1" si="191"/>
        <v>2.1748418662087923E-4</v>
      </c>
      <c r="Y420">
        <f t="shared" ca="1" si="192"/>
        <v>52432.693837663413</v>
      </c>
      <c r="Z420">
        <f t="shared" ca="1" si="193"/>
        <v>52432.693837665822</v>
      </c>
      <c r="AA420">
        <f t="shared" ca="1" si="194"/>
        <v>3.5811501033715345E-12</v>
      </c>
      <c r="AB420">
        <f t="shared" ca="1" si="195"/>
        <v>-5.0000000192085281E-4</v>
      </c>
      <c r="AC420">
        <f t="shared" ca="1" si="196"/>
        <v>1</v>
      </c>
      <c r="AD420">
        <f ca="1">IF(V32="Supercritical",L420,IF(V32="Subcritical",U420,IF(AND(T420=1,AC420=1),IF((((F420)*(L420)^2)/2+(G420)*(L420)^3/3+(ABS(K420)^2)/($I$5*MAX(((F420)+(G420)*(L420))*(L420),0.000001)))&gt;=(((F420)*(U420)^2)/2+(G420)*(U420)^3/3+(ABS(K420)^2)/($I$5*MAX(((F420)+(G420)*(U420))*(U420),0.000001))),L420,U420),IF(T420=1,L420,IF(AC420=1,U420,MAX($D$16,POWER((ABS(K420)^2)/($I$5*MAX(F420,0.1)^2),1/3)))))))</f>
        <v>51800.26683766341</v>
      </c>
      <c r="AE420">
        <f t="shared" ca="1" si="197"/>
        <v>52432.693837663413</v>
      </c>
      <c r="AF420">
        <f t="shared" ca="1" si="198"/>
        <v>52432.693837665822</v>
      </c>
      <c r="AI420">
        <v>0</v>
      </c>
      <c r="AJ420">
        <v>0</v>
      </c>
      <c r="AK420">
        <f t="shared" si="199"/>
        <v>0</v>
      </c>
      <c r="AL420">
        <f t="shared" si="208"/>
        <v>0</v>
      </c>
      <c r="AM420">
        <f t="shared" ca="1" si="200"/>
        <v>3.0508944475835165E-7</v>
      </c>
      <c r="AN420" t="str">
        <f t="shared" ca="1" si="201"/>
        <v>Subcritical</v>
      </c>
      <c r="AO420">
        <f t="shared" ca="1" si="202"/>
        <v>3.5811501033715345E-12</v>
      </c>
    </row>
    <row r="421" spans="1:41" x14ac:dyDescent="0.35">
      <c r="A421">
        <v>272</v>
      </c>
      <c r="B421">
        <v>270.928</v>
      </c>
      <c r="C421">
        <v>616317.27099999995</v>
      </c>
      <c r="D421">
        <v>3097674.3280000002</v>
      </c>
      <c r="E421">
        <v>632.42650000000003</v>
      </c>
      <c r="F421">
        <v>4.5270000000000001</v>
      </c>
      <c r="G421">
        <v>0</v>
      </c>
      <c r="H421" t="s">
        <v>186</v>
      </c>
      <c r="I421">
        <v>0</v>
      </c>
      <c r="J421">
        <f t="shared" si="203"/>
        <v>1</v>
      </c>
      <c r="K421">
        <f t="shared" si="204"/>
        <v>51</v>
      </c>
      <c r="L421">
        <f t="shared" ca="1" si="205"/>
        <v>51797.876025650789</v>
      </c>
      <c r="M421">
        <f t="shared" ca="1" si="182"/>
        <v>234488.98476812112</v>
      </c>
      <c r="N421">
        <f t="shared" ca="1" si="183"/>
        <v>2.2634010923079182</v>
      </c>
      <c r="O421">
        <f t="shared" ca="1" si="184"/>
        <v>2.1749422494379562E-4</v>
      </c>
      <c r="P421">
        <f t="shared" ca="1" si="185"/>
        <v>52430.30252565079</v>
      </c>
      <c r="Q421">
        <f t="shared" ca="1" si="186"/>
        <v>52430.302525653198</v>
      </c>
      <c r="R421">
        <f t="shared" ca="1" si="187"/>
        <v>3.5814807078041746E-12</v>
      </c>
      <c r="S421">
        <f t="shared" ca="1" si="206"/>
        <v>5.0000000192085281E-4</v>
      </c>
      <c r="T421">
        <f t="shared" ca="1" si="207"/>
        <v>1</v>
      </c>
      <c r="U421">
        <f t="shared" ca="1" si="188"/>
        <v>51800.26683766341</v>
      </c>
      <c r="V421">
        <f t="shared" ca="1" si="189"/>
        <v>234499.80797410227</v>
      </c>
      <c r="W421">
        <f t="shared" ca="1" si="190"/>
        <v>2.2634010968727472</v>
      </c>
      <c r="X421">
        <f t="shared" ca="1" si="191"/>
        <v>2.1748418662087923E-4</v>
      </c>
      <c r="Y421">
        <f t="shared" ca="1" si="192"/>
        <v>52432.693337663412</v>
      </c>
      <c r="Z421">
        <f t="shared" ca="1" si="193"/>
        <v>52432.69333766582</v>
      </c>
      <c r="AA421">
        <f t="shared" ca="1" si="194"/>
        <v>3.5811501033715345E-12</v>
      </c>
      <c r="AB421">
        <f t="shared" ca="1" si="195"/>
        <v>-5.0000000192085281E-4</v>
      </c>
      <c r="AC421">
        <f t="shared" ca="1" si="196"/>
        <v>1</v>
      </c>
      <c r="AD421">
        <f ca="1">IF(V32="Supercritical",L421,IF(V32="Subcritical",U421,IF(AND(T421=1,AC421=1),IF((((F421)*(L421)^2)/2+(G421)*(L421)^3/3+(ABS(K421)^2)/($I$5*MAX(((F421)+(G421)*(L421))*(L421),0.000001)))&gt;=(((F421)*(U421)^2)/2+(G421)*(U421)^3/3+(ABS(K421)^2)/($I$5*MAX(((F421)+(G421)*(U421))*(U421),0.000001))),L421,U421),IF(T421=1,L421,IF(AC421=1,U421,MAX($D$16,POWER((ABS(K421)^2)/($I$5*MAX(F421,0.1)^2),1/3)))))))</f>
        <v>51800.26683766341</v>
      </c>
      <c r="AE421">
        <f t="shared" ca="1" si="197"/>
        <v>52432.693337663412</v>
      </c>
      <c r="AF421">
        <f t="shared" ca="1" si="198"/>
        <v>52432.69333766582</v>
      </c>
      <c r="AI421">
        <v>0</v>
      </c>
      <c r="AJ421">
        <v>0</v>
      </c>
      <c r="AK421">
        <f t="shared" si="199"/>
        <v>0</v>
      </c>
      <c r="AL421">
        <f t="shared" si="208"/>
        <v>0</v>
      </c>
      <c r="AM421">
        <f t="shared" ca="1" si="200"/>
        <v>3.0508944475835165E-7</v>
      </c>
      <c r="AN421" t="str">
        <f t="shared" ca="1" si="201"/>
        <v>Subcritical</v>
      </c>
      <c r="AO421">
        <f t="shared" ca="1" si="202"/>
        <v>3.5811501033715345E-12</v>
      </c>
    </row>
    <row r="422" spans="1:41" x14ac:dyDescent="0.35">
      <c r="A422">
        <v>273</v>
      </c>
      <c r="B422">
        <v>271.928</v>
      </c>
      <c r="C422">
        <v>616316.42500000005</v>
      </c>
      <c r="D422">
        <v>3097673.7949999999</v>
      </c>
      <c r="E422">
        <v>632.42600000000004</v>
      </c>
      <c r="F422">
        <v>4.5270000000000001</v>
      </c>
      <c r="G422">
        <v>0</v>
      </c>
      <c r="H422" t="s">
        <v>186</v>
      </c>
      <c r="I422">
        <v>0</v>
      </c>
      <c r="J422">
        <f t="shared" si="203"/>
        <v>1</v>
      </c>
      <c r="K422">
        <f t="shared" si="204"/>
        <v>51</v>
      </c>
      <c r="L422">
        <f t="shared" ca="1" si="205"/>
        <v>51797.875381891732</v>
      </c>
      <c r="M422">
        <f t="shared" ca="1" si="182"/>
        <v>234488.98185382388</v>
      </c>
      <c r="N422">
        <f t="shared" ca="1" si="183"/>
        <v>2.263401092306689</v>
      </c>
      <c r="O422">
        <f t="shared" ca="1" si="184"/>
        <v>2.1749422764687709E-4</v>
      </c>
      <c r="P422">
        <f t="shared" ca="1" si="185"/>
        <v>52430.301381891732</v>
      </c>
      <c r="Q422">
        <f t="shared" ca="1" si="186"/>
        <v>52430.30138189414</v>
      </c>
      <c r="R422">
        <f t="shared" ca="1" si="187"/>
        <v>3.5814807968301363E-12</v>
      </c>
      <c r="S422">
        <f t="shared" ca="1" si="206"/>
        <v>1.1437590583227575E-3</v>
      </c>
      <c r="T422">
        <f t="shared" ca="1" si="207"/>
        <v>0</v>
      </c>
      <c r="U422">
        <f t="shared" ca="1" si="188"/>
        <v>51800.26683766341</v>
      </c>
      <c r="V422">
        <f t="shared" ca="1" si="189"/>
        <v>234499.80797410227</v>
      </c>
      <c r="W422">
        <f t="shared" ca="1" si="190"/>
        <v>2.2634010968727472</v>
      </c>
      <c r="X422">
        <f t="shared" ca="1" si="191"/>
        <v>2.1748418662087923E-4</v>
      </c>
      <c r="Y422">
        <f t="shared" ca="1" si="192"/>
        <v>52432.69283766341</v>
      </c>
      <c r="Z422">
        <f t="shared" ca="1" si="193"/>
        <v>52432.692837665818</v>
      </c>
      <c r="AA422">
        <f t="shared" ca="1" si="194"/>
        <v>3.5811501033715345E-12</v>
      </c>
      <c r="AB422">
        <f t="shared" ca="1" si="195"/>
        <v>-5.0000000192085281E-4</v>
      </c>
      <c r="AC422">
        <f t="shared" ca="1" si="196"/>
        <v>1</v>
      </c>
      <c r="AD422">
        <f ca="1">IF(V32="Supercritical",L422,IF(V32="Subcritical",U422,IF(AND(T422=1,AC422=1),IF((((F422)*(L422)^2)/2+(G422)*(L422)^3/3+(ABS(K422)^2)/($I$5*MAX(((F422)+(G422)*(L422))*(L422),0.000001)))&gt;=(((F422)*(U422)^2)/2+(G422)*(U422)^3/3+(ABS(K422)^2)/($I$5*MAX(((F422)+(G422)*(U422))*(U422),0.000001))),L422,U422),IF(T422=1,L422,IF(AC422=1,U422,MAX($D$16,POWER((ABS(K422)^2)/($I$5*MAX(F422,0.1)^2),1/3)))))))</f>
        <v>51800.26683766341</v>
      </c>
      <c r="AE422">
        <f t="shared" ca="1" si="197"/>
        <v>52432.69283766341</v>
      </c>
      <c r="AF422">
        <f t="shared" ca="1" si="198"/>
        <v>52432.692837665818</v>
      </c>
      <c r="AI422">
        <v>0</v>
      </c>
      <c r="AJ422">
        <v>0</v>
      </c>
      <c r="AK422">
        <f t="shared" si="199"/>
        <v>0</v>
      </c>
      <c r="AL422">
        <f t="shared" si="208"/>
        <v>0</v>
      </c>
      <c r="AM422">
        <f t="shared" ca="1" si="200"/>
        <v>3.0508944475835165E-7</v>
      </c>
      <c r="AN422" t="str">
        <f t="shared" ca="1" si="201"/>
        <v>Subcritical</v>
      </c>
      <c r="AO422">
        <f t="shared" ca="1" si="202"/>
        <v>3.5811501033715345E-12</v>
      </c>
    </row>
    <row r="423" spans="1:41" x14ac:dyDescent="0.35">
      <c r="A423">
        <v>274</v>
      </c>
      <c r="B423">
        <v>272.92700000000002</v>
      </c>
      <c r="C423">
        <v>616315.57900000003</v>
      </c>
      <c r="D423">
        <v>3097673.2620000001</v>
      </c>
      <c r="E423">
        <v>632.42550000000006</v>
      </c>
      <c r="F423">
        <v>4.5270000000000001</v>
      </c>
      <c r="G423">
        <v>0</v>
      </c>
      <c r="H423" t="s">
        <v>186</v>
      </c>
      <c r="I423">
        <v>0</v>
      </c>
      <c r="J423">
        <f t="shared" si="203"/>
        <v>0.99900000000002365</v>
      </c>
      <c r="K423">
        <f t="shared" si="204"/>
        <v>51</v>
      </c>
      <c r="L423">
        <f t="shared" ca="1" si="205"/>
        <v>51797.875381891732</v>
      </c>
      <c r="M423">
        <f t="shared" ca="1" si="182"/>
        <v>234488.98185382388</v>
      </c>
      <c r="N423">
        <f t="shared" ca="1" si="183"/>
        <v>2.263401092306689</v>
      </c>
      <c r="O423">
        <f t="shared" ca="1" si="184"/>
        <v>2.1749422764687709E-4</v>
      </c>
      <c r="P423">
        <f t="shared" ca="1" si="185"/>
        <v>52430.30088189173</v>
      </c>
      <c r="Q423">
        <f t="shared" ca="1" si="186"/>
        <v>52430.300881894138</v>
      </c>
      <c r="R423">
        <f t="shared" ca="1" si="187"/>
        <v>3.5814807968301363E-12</v>
      </c>
      <c r="S423">
        <f t="shared" ca="1" si="206"/>
        <v>5.0000000192085281E-4</v>
      </c>
      <c r="T423">
        <f t="shared" ca="1" si="207"/>
        <v>1</v>
      </c>
      <c r="U423">
        <f t="shared" ca="1" si="188"/>
        <v>51800.26683766341</v>
      </c>
      <c r="V423">
        <f t="shared" ca="1" si="189"/>
        <v>234499.80797410227</v>
      </c>
      <c r="W423">
        <f t="shared" ca="1" si="190"/>
        <v>2.2634010968727472</v>
      </c>
      <c r="X423">
        <f t="shared" ca="1" si="191"/>
        <v>2.1748418662087923E-4</v>
      </c>
      <c r="Y423">
        <f t="shared" ca="1" si="192"/>
        <v>52432.692337663408</v>
      </c>
      <c r="Z423">
        <f t="shared" ca="1" si="193"/>
        <v>52432.692337665816</v>
      </c>
      <c r="AA423">
        <f t="shared" ca="1" si="194"/>
        <v>3.5811501033715345E-12</v>
      </c>
      <c r="AB423">
        <f t="shared" ca="1" si="195"/>
        <v>-4.999999946448952E-4</v>
      </c>
      <c r="AC423">
        <f t="shared" ca="1" si="196"/>
        <v>1</v>
      </c>
      <c r="AD423">
        <f ca="1">IF(V32="Supercritical",L423,IF(V32="Subcritical",U423,IF(AND(T423=1,AC423=1),IF((((F423)*(L423)^2)/2+(G423)*(L423)^3/3+(ABS(K423)^2)/($I$5*MAX(((F423)+(G423)*(L423))*(L423),0.000001)))&gt;=(((F423)*(U423)^2)/2+(G423)*(U423)^3/3+(ABS(K423)^2)/($I$5*MAX(((F423)+(G423)*(U423))*(U423),0.000001))),L423,U423),IF(T423=1,L423,IF(AC423=1,U423,MAX($D$16,POWER((ABS(K423)^2)/($I$5*MAX(F423,0.1)^2),1/3)))))))</f>
        <v>51800.26683766341</v>
      </c>
      <c r="AE423">
        <f t="shared" ca="1" si="197"/>
        <v>52432.692337663408</v>
      </c>
      <c r="AF423">
        <f t="shared" ca="1" si="198"/>
        <v>52432.692337665816</v>
      </c>
      <c r="AI423">
        <v>0</v>
      </c>
      <c r="AJ423">
        <v>0</v>
      </c>
      <c r="AK423">
        <f t="shared" si="199"/>
        <v>0</v>
      </c>
      <c r="AL423">
        <f t="shared" si="208"/>
        <v>0</v>
      </c>
      <c r="AM423">
        <f t="shared" ca="1" si="200"/>
        <v>3.0508944475835165E-7</v>
      </c>
      <c r="AN423" t="str">
        <f t="shared" ca="1" si="201"/>
        <v>Subcritical</v>
      </c>
      <c r="AO423">
        <f t="shared" ca="1" si="202"/>
        <v>3.5811501033715345E-12</v>
      </c>
    </row>
    <row r="424" spans="1:41" x14ac:dyDescent="0.35">
      <c r="A424">
        <v>275</v>
      </c>
      <c r="B424">
        <v>273.92700000000002</v>
      </c>
      <c r="C424">
        <v>616314.73300000001</v>
      </c>
      <c r="D424">
        <v>3097672.7289999998</v>
      </c>
      <c r="E424">
        <v>632.42499999999995</v>
      </c>
      <c r="F424">
        <v>4.5270000000000001</v>
      </c>
      <c r="G424">
        <v>0</v>
      </c>
      <c r="H424" t="s">
        <v>186</v>
      </c>
      <c r="I424">
        <v>0</v>
      </c>
      <c r="J424">
        <f t="shared" si="203"/>
        <v>1</v>
      </c>
      <c r="K424">
        <f t="shared" si="204"/>
        <v>51</v>
      </c>
      <c r="L424">
        <f t="shared" ca="1" si="205"/>
        <v>51797.874750803778</v>
      </c>
      <c r="M424">
        <f t="shared" ca="1" si="182"/>
        <v>234488.97899688871</v>
      </c>
      <c r="N424">
        <f t="shared" ca="1" si="183"/>
        <v>2.2634010923054841</v>
      </c>
      <c r="O424">
        <f t="shared" ca="1" si="184"/>
        <v>2.174942302967539E-4</v>
      </c>
      <c r="P424">
        <f t="shared" ca="1" si="185"/>
        <v>52430.299750803781</v>
      </c>
      <c r="Q424">
        <f t="shared" ca="1" si="186"/>
        <v>52430.299750806189</v>
      </c>
      <c r="R424">
        <f t="shared" ca="1" si="187"/>
        <v>3.5814808841038031E-12</v>
      </c>
      <c r="S424">
        <f t="shared" ca="1" si="206"/>
        <v>1.1310879490338266E-3</v>
      </c>
      <c r="T424">
        <f t="shared" ca="1" si="207"/>
        <v>0</v>
      </c>
      <c r="U424">
        <f t="shared" ca="1" si="188"/>
        <v>51800.26683766341</v>
      </c>
      <c r="V424">
        <f t="shared" ca="1" si="189"/>
        <v>234499.80797410227</v>
      </c>
      <c r="W424">
        <f t="shared" ca="1" si="190"/>
        <v>2.2634010968727472</v>
      </c>
      <c r="X424">
        <f t="shared" ca="1" si="191"/>
        <v>2.1748418662087923E-4</v>
      </c>
      <c r="Y424">
        <f t="shared" ca="1" si="192"/>
        <v>52432.691837663413</v>
      </c>
      <c r="Z424">
        <f t="shared" ca="1" si="193"/>
        <v>52432.691837665821</v>
      </c>
      <c r="AA424">
        <f t="shared" ca="1" si="194"/>
        <v>3.5811501033715345E-12</v>
      </c>
      <c r="AB424">
        <f t="shared" ca="1" si="195"/>
        <v>-5.0000000192085281E-4</v>
      </c>
      <c r="AC424">
        <f t="shared" ca="1" si="196"/>
        <v>1</v>
      </c>
      <c r="AD424">
        <f ca="1">IF(V32="Supercritical",L424,IF(V32="Subcritical",U424,IF(AND(T424=1,AC424=1),IF((((F424)*(L424)^2)/2+(G424)*(L424)^3/3+(ABS(K424)^2)/($I$5*MAX(((F424)+(G424)*(L424))*(L424),0.000001)))&gt;=(((F424)*(U424)^2)/2+(G424)*(U424)^3/3+(ABS(K424)^2)/($I$5*MAX(((F424)+(G424)*(U424))*(U424),0.000001))),L424,U424),IF(T424=1,L424,IF(AC424=1,U424,MAX($D$16,POWER((ABS(K424)^2)/($I$5*MAX(F424,0.1)^2),1/3)))))))</f>
        <v>51800.26683766341</v>
      </c>
      <c r="AE424">
        <f t="shared" ca="1" si="197"/>
        <v>52432.691837663413</v>
      </c>
      <c r="AF424">
        <f t="shared" ca="1" si="198"/>
        <v>52432.691837665821</v>
      </c>
      <c r="AI424">
        <v>0</v>
      </c>
      <c r="AJ424">
        <v>0</v>
      </c>
      <c r="AK424">
        <f t="shared" si="199"/>
        <v>0</v>
      </c>
      <c r="AL424">
        <f t="shared" si="208"/>
        <v>0</v>
      </c>
      <c r="AM424">
        <f t="shared" ca="1" si="200"/>
        <v>3.0508944475835165E-7</v>
      </c>
      <c r="AN424" t="str">
        <f t="shared" ca="1" si="201"/>
        <v>Subcritical</v>
      </c>
      <c r="AO424">
        <f t="shared" ca="1" si="202"/>
        <v>3.5811501033715345E-12</v>
      </c>
    </row>
    <row r="425" spans="1:41" x14ac:dyDescent="0.35">
      <c r="A425">
        <v>276</v>
      </c>
      <c r="B425">
        <v>274.92700000000002</v>
      </c>
      <c r="C425">
        <v>616313.88699999999</v>
      </c>
      <c r="D425">
        <v>3097672.196</v>
      </c>
      <c r="E425">
        <v>632.42449999999997</v>
      </c>
      <c r="F425">
        <v>4.5270000000000001</v>
      </c>
      <c r="G425">
        <v>0</v>
      </c>
      <c r="H425" t="s">
        <v>186</v>
      </c>
      <c r="I425">
        <v>0</v>
      </c>
      <c r="J425">
        <f t="shared" si="203"/>
        <v>1</v>
      </c>
      <c r="K425">
        <f t="shared" si="204"/>
        <v>51</v>
      </c>
      <c r="L425">
        <f t="shared" ca="1" si="205"/>
        <v>51797.874750803778</v>
      </c>
      <c r="M425">
        <f t="shared" ca="1" si="182"/>
        <v>234488.97899688871</v>
      </c>
      <c r="N425">
        <f t="shared" ca="1" si="183"/>
        <v>2.2634010923054841</v>
      </c>
      <c r="O425">
        <f t="shared" ca="1" si="184"/>
        <v>2.174942302967539E-4</v>
      </c>
      <c r="P425">
        <f t="shared" ca="1" si="185"/>
        <v>52430.299250803779</v>
      </c>
      <c r="Q425">
        <f t="shared" ca="1" si="186"/>
        <v>52430.299250806187</v>
      </c>
      <c r="R425">
        <f t="shared" ca="1" si="187"/>
        <v>3.5814808841038031E-12</v>
      </c>
      <c r="S425">
        <f t="shared" ca="1" si="206"/>
        <v>5.0000000192085281E-4</v>
      </c>
      <c r="T425">
        <f t="shared" ca="1" si="207"/>
        <v>1</v>
      </c>
      <c r="U425">
        <f t="shared" ca="1" si="188"/>
        <v>51800.26683766341</v>
      </c>
      <c r="V425">
        <f t="shared" ca="1" si="189"/>
        <v>234499.80797410227</v>
      </c>
      <c r="W425">
        <f t="shared" ca="1" si="190"/>
        <v>2.2634010968727472</v>
      </c>
      <c r="X425">
        <f t="shared" ca="1" si="191"/>
        <v>2.1748418662087923E-4</v>
      </c>
      <c r="Y425">
        <f t="shared" ca="1" si="192"/>
        <v>52432.691337663411</v>
      </c>
      <c r="Z425">
        <f t="shared" ca="1" si="193"/>
        <v>52432.691337665819</v>
      </c>
      <c r="AA425">
        <f t="shared" ca="1" si="194"/>
        <v>3.5811501033715345E-12</v>
      </c>
      <c r="AB425">
        <f t="shared" ca="1" si="195"/>
        <v>-5.0000000192085281E-4</v>
      </c>
      <c r="AC425">
        <f t="shared" ca="1" si="196"/>
        <v>1</v>
      </c>
      <c r="AD425">
        <f ca="1">IF(V32="Supercritical",L425,IF(V32="Subcritical",U425,IF(AND(T425=1,AC425=1),IF((((F425)*(L425)^2)/2+(G425)*(L425)^3/3+(ABS(K425)^2)/($I$5*MAX(((F425)+(G425)*(L425))*(L425),0.000001)))&gt;=(((F425)*(U425)^2)/2+(G425)*(U425)^3/3+(ABS(K425)^2)/($I$5*MAX(((F425)+(G425)*(U425))*(U425),0.000001))),L425,U425),IF(T425=1,L425,IF(AC425=1,U425,MAX($D$16,POWER((ABS(K425)^2)/($I$5*MAX(F425,0.1)^2),1/3)))))))</f>
        <v>51800.26683766341</v>
      </c>
      <c r="AE425">
        <f t="shared" ca="1" si="197"/>
        <v>52432.691337663411</v>
      </c>
      <c r="AF425">
        <f t="shared" ca="1" si="198"/>
        <v>52432.691337665819</v>
      </c>
      <c r="AI425">
        <v>0</v>
      </c>
      <c r="AJ425">
        <v>0</v>
      </c>
      <c r="AK425">
        <f t="shared" si="199"/>
        <v>0</v>
      </c>
      <c r="AL425">
        <f t="shared" si="208"/>
        <v>0</v>
      </c>
      <c r="AM425">
        <f t="shared" ca="1" si="200"/>
        <v>3.0508944475835165E-7</v>
      </c>
      <c r="AN425" t="str">
        <f t="shared" ca="1" si="201"/>
        <v>Subcritical</v>
      </c>
      <c r="AO425">
        <f t="shared" ca="1" si="202"/>
        <v>3.5811501033715345E-12</v>
      </c>
    </row>
    <row r="426" spans="1:41" x14ac:dyDescent="0.35">
      <c r="A426">
        <v>277</v>
      </c>
      <c r="B426">
        <v>275.92700000000002</v>
      </c>
      <c r="C426">
        <v>616313.04099999997</v>
      </c>
      <c r="D426">
        <v>3097671.6630000002</v>
      </c>
      <c r="E426">
        <v>632.42399999999998</v>
      </c>
      <c r="F426">
        <v>4.5270000000000001</v>
      </c>
      <c r="G426">
        <v>0</v>
      </c>
      <c r="H426" t="s">
        <v>186</v>
      </c>
      <c r="I426">
        <v>0</v>
      </c>
      <c r="J426">
        <f t="shared" si="203"/>
        <v>1</v>
      </c>
      <c r="K426">
        <f t="shared" si="204"/>
        <v>51</v>
      </c>
      <c r="L426">
        <f t="shared" ca="1" si="205"/>
        <v>51797.874129821284</v>
      </c>
      <c r="M426">
        <f t="shared" ca="1" si="182"/>
        <v>234488.97618570097</v>
      </c>
      <c r="N426">
        <f t="shared" ca="1" si="183"/>
        <v>2.2634010923042984</v>
      </c>
      <c r="O426">
        <f t="shared" ca="1" si="184"/>
        <v>2.1749423290419893E-4</v>
      </c>
      <c r="P426">
        <f t="shared" ca="1" si="185"/>
        <v>52430.298129821284</v>
      </c>
      <c r="Q426">
        <f t="shared" ca="1" si="186"/>
        <v>52430.298129823692</v>
      </c>
      <c r="R426">
        <f t="shared" ca="1" si="187"/>
        <v>3.5814809699799806E-12</v>
      </c>
      <c r="S426">
        <f t="shared" ca="1" si="206"/>
        <v>1.1209824951947667E-3</v>
      </c>
      <c r="T426">
        <f t="shared" ca="1" si="207"/>
        <v>0</v>
      </c>
      <c r="U426">
        <f t="shared" ca="1" si="188"/>
        <v>51800.26683766341</v>
      </c>
      <c r="V426">
        <f t="shared" ca="1" si="189"/>
        <v>234499.80797410227</v>
      </c>
      <c r="W426">
        <f t="shared" ca="1" si="190"/>
        <v>2.2634010968727472</v>
      </c>
      <c r="X426">
        <f t="shared" ca="1" si="191"/>
        <v>2.1748418662087923E-4</v>
      </c>
      <c r="Y426">
        <f t="shared" ca="1" si="192"/>
        <v>52432.690837663409</v>
      </c>
      <c r="Z426">
        <f t="shared" ca="1" si="193"/>
        <v>52432.690837665818</v>
      </c>
      <c r="AA426">
        <f t="shared" ca="1" si="194"/>
        <v>3.5811501033715345E-12</v>
      </c>
      <c r="AB426">
        <f t="shared" ca="1" si="195"/>
        <v>-5.0000000192085281E-4</v>
      </c>
      <c r="AC426">
        <f t="shared" ca="1" si="196"/>
        <v>1</v>
      </c>
      <c r="AD426">
        <f ca="1">IF(V32="Supercritical",L426,IF(V32="Subcritical",U426,IF(AND(T426=1,AC426=1),IF((((F426)*(L426)^2)/2+(G426)*(L426)^3/3+(ABS(K426)^2)/($I$5*MAX(((F426)+(G426)*(L426))*(L426),0.000001)))&gt;=(((F426)*(U426)^2)/2+(G426)*(U426)^3/3+(ABS(K426)^2)/($I$5*MAX(((F426)+(G426)*(U426))*(U426),0.000001))),L426,U426),IF(T426=1,L426,IF(AC426=1,U426,MAX($D$16,POWER((ABS(K426)^2)/($I$5*MAX(F426,0.1)^2),1/3)))))))</f>
        <v>51800.26683766341</v>
      </c>
      <c r="AE426">
        <f t="shared" ca="1" si="197"/>
        <v>52432.690837663409</v>
      </c>
      <c r="AF426">
        <f t="shared" ca="1" si="198"/>
        <v>52432.690837665818</v>
      </c>
      <c r="AI426">
        <v>0</v>
      </c>
      <c r="AJ426">
        <v>0</v>
      </c>
      <c r="AK426">
        <f t="shared" si="199"/>
        <v>0</v>
      </c>
      <c r="AL426">
        <f t="shared" si="208"/>
        <v>0</v>
      </c>
      <c r="AM426">
        <f t="shared" ca="1" si="200"/>
        <v>3.0508944475835165E-7</v>
      </c>
      <c r="AN426" t="str">
        <f t="shared" ca="1" si="201"/>
        <v>Subcritical</v>
      </c>
      <c r="AO426">
        <f t="shared" ca="1" si="202"/>
        <v>3.5811501033715345E-12</v>
      </c>
    </row>
    <row r="427" spans="1:41" x14ac:dyDescent="0.35">
      <c r="A427">
        <v>278</v>
      </c>
      <c r="B427">
        <v>276.92700000000002</v>
      </c>
      <c r="C427">
        <v>616312.19499999995</v>
      </c>
      <c r="D427">
        <v>3097671.13</v>
      </c>
      <c r="E427">
        <v>632.42349999999999</v>
      </c>
      <c r="F427">
        <v>4.5270000000000001</v>
      </c>
      <c r="G427">
        <v>0</v>
      </c>
      <c r="H427" t="s">
        <v>186</v>
      </c>
      <c r="I427">
        <v>0</v>
      </c>
      <c r="J427">
        <f t="shared" si="203"/>
        <v>1</v>
      </c>
      <c r="K427">
        <f t="shared" si="204"/>
        <v>51</v>
      </c>
      <c r="L427">
        <f t="shared" ca="1" si="205"/>
        <v>51797.874129821284</v>
      </c>
      <c r="M427">
        <f t="shared" ca="1" si="182"/>
        <v>234488.97618570097</v>
      </c>
      <c r="N427">
        <f t="shared" ca="1" si="183"/>
        <v>2.2634010923042984</v>
      </c>
      <c r="O427">
        <f t="shared" ca="1" si="184"/>
        <v>2.1749423290419893E-4</v>
      </c>
      <c r="P427">
        <f t="shared" ca="1" si="185"/>
        <v>52430.297629821282</v>
      </c>
      <c r="Q427">
        <f t="shared" ca="1" si="186"/>
        <v>52430.29762982369</v>
      </c>
      <c r="R427">
        <f t="shared" ca="1" si="187"/>
        <v>3.5814809699799806E-12</v>
      </c>
      <c r="S427">
        <f t="shared" ca="1" si="206"/>
        <v>5.0000000192085281E-4</v>
      </c>
      <c r="T427">
        <f t="shared" ca="1" si="207"/>
        <v>1</v>
      </c>
      <c r="U427">
        <f t="shared" ca="1" si="188"/>
        <v>51800.26683766341</v>
      </c>
      <c r="V427">
        <f t="shared" ca="1" si="189"/>
        <v>234499.80797410227</v>
      </c>
      <c r="W427">
        <f t="shared" ca="1" si="190"/>
        <v>2.2634010968727472</v>
      </c>
      <c r="X427">
        <f t="shared" ca="1" si="191"/>
        <v>2.1748418662087923E-4</v>
      </c>
      <c r="Y427">
        <f t="shared" ca="1" si="192"/>
        <v>52432.690337663407</v>
      </c>
      <c r="Z427">
        <f t="shared" ca="1" si="193"/>
        <v>52432.690337665816</v>
      </c>
      <c r="AA427">
        <f t="shared" ca="1" si="194"/>
        <v>3.5811501033715345E-12</v>
      </c>
      <c r="AB427">
        <f t="shared" ca="1" si="195"/>
        <v>-4.999999946448952E-4</v>
      </c>
      <c r="AC427">
        <f t="shared" ca="1" si="196"/>
        <v>1</v>
      </c>
      <c r="AD427">
        <f ca="1">IF(V32="Supercritical",L427,IF(V32="Subcritical",U427,IF(AND(T427=1,AC427=1),IF((((F427)*(L427)^2)/2+(G427)*(L427)^3/3+(ABS(K427)^2)/($I$5*MAX(((F427)+(G427)*(L427))*(L427),0.000001)))&gt;=(((F427)*(U427)^2)/2+(G427)*(U427)^3/3+(ABS(K427)^2)/($I$5*MAX(((F427)+(G427)*(U427))*(U427),0.000001))),L427,U427),IF(T427=1,L427,IF(AC427=1,U427,MAX($D$16,POWER((ABS(K427)^2)/($I$5*MAX(F427,0.1)^2),1/3)))))))</f>
        <v>51800.26683766341</v>
      </c>
      <c r="AE427">
        <f t="shared" ca="1" si="197"/>
        <v>52432.690337663407</v>
      </c>
      <c r="AF427">
        <f t="shared" ca="1" si="198"/>
        <v>52432.690337665816</v>
      </c>
      <c r="AI427">
        <v>0</v>
      </c>
      <c r="AJ427">
        <v>0</v>
      </c>
      <c r="AK427">
        <f t="shared" si="199"/>
        <v>0</v>
      </c>
      <c r="AL427">
        <f t="shared" si="208"/>
        <v>0</v>
      </c>
      <c r="AM427">
        <f t="shared" ca="1" si="200"/>
        <v>3.0508944475835165E-7</v>
      </c>
      <c r="AN427" t="str">
        <f t="shared" ca="1" si="201"/>
        <v>Subcritical</v>
      </c>
      <c r="AO427">
        <f t="shared" ca="1" si="202"/>
        <v>3.5811501033715345E-12</v>
      </c>
    </row>
    <row r="428" spans="1:41" x14ac:dyDescent="0.35">
      <c r="A428">
        <v>279</v>
      </c>
      <c r="B428">
        <v>277.92700000000002</v>
      </c>
      <c r="C428">
        <v>616311.34900000005</v>
      </c>
      <c r="D428">
        <v>3097670.5970000001</v>
      </c>
      <c r="E428">
        <v>632.423</v>
      </c>
      <c r="F428">
        <v>4.5270000000000001</v>
      </c>
      <c r="G428">
        <v>0</v>
      </c>
      <c r="H428" t="s">
        <v>186</v>
      </c>
      <c r="I428">
        <v>0</v>
      </c>
      <c r="J428">
        <f t="shared" si="203"/>
        <v>1</v>
      </c>
      <c r="K428">
        <f t="shared" si="204"/>
        <v>51</v>
      </c>
      <c r="L428">
        <f t="shared" ca="1" si="205"/>
        <v>51797.873516849635</v>
      </c>
      <c r="M428">
        <f t="shared" ca="1" si="182"/>
        <v>234488.9734107783</v>
      </c>
      <c r="N428">
        <f t="shared" ca="1" si="183"/>
        <v>2.2634010923031278</v>
      </c>
      <c r="O428">
        <f t="shared" ca="1" si="184"/>
        <v>2.1749423547800725E-4</v>
      </c>
      <c r="P428">
        <f t="shared" ca="1" si="185"/>
        <v>52430.296516849638</v>
      </c>
      <c r="Q428">
        <f t="shared" ca="1" si="186"/>
        <v>52430.296516852046</v>
      </c>
      <c r="R428">
        <f t="shared" ca="1" si="187"/>
        <v>3.5814810547483358E-12</v>
      </c>
      <c r="S428">
        <f t="shared" ca="1" si="206"/>
        <v>1.1129716440336779E-3</v>
      </c>
      <c r="T428">
        <f t="shared" ca="1" si="207"/>
        <v>0</v>
      </c>
      <c r="U428">
        <f t="shared" ca="1" si="188"/>
        <v>51800.26683766341</v>
      </c>
      <c r="V428">
        <f t="shared" ca="1" si="189"/>
        <v>234499.80797410227</v>
      </c>
      <c r="W428">
        <f t="shared" ca="1" si="190"/>
        <v>2.2634010968727472</v>
      </c>
      <c r="X428">
        <f t="shared" ca="1" si="191"/>
        <v>2.1748418662087923E-4</v>
      </c>
      <c r="Y428">
        <f t="shared" ca="1" si="192"/>
        <v>52432.689837663413</v>
      </c>
      <c r="Z428">
        <f t="shared" ca="1" si="193"/>
        <v>52432.689837665821</v>
      </c>
      <c r="AA428">
        <f t="shared" ca="1" si="194"/>
        <v>3.5811501033715345E-12</v>
      </c>
      <c r="AB428">
        <f t="shared" ca="1" si="195"/>
        <v>-5.0000000192085281E-4</v>
      </c>
      <c r="AC428">
        <f t="shared" ca="1" si="196"/>
        <v>1</v>
      </c>
      <c r="AD428">
        <f ca="1">IF(V32="Supercritical",L428,IF(V32="Subcritical",U428,IF(AND(T428=1,AC428=1),IF((((F428)*(L428)^2)/2+(G428)*(L428)^3/3+(ABS(K428)^2)/($I$5*MAX(((F428)+(G428)*(L428))*(L428),0.000001)))&gt;=(((F428)*(U428)^2)/2+(G428)*(U428)^3/3+(ABS(K428)^2)/($I$5*MAX(((F428)+(G428)*(U428))*(U428),0.000001))),L428,U428),IF(T428=1,L428,IF(AC428=1,U428,MAX($D$16,POWER((ABS(K428)^2)/($I$5*MAX(F428,0.1)^2),1/3)))))))</f>
        <v>51800.26683766341</v>
      </c>
      <c r="AE428">
        <f t="shared" ca="1" si="197"/>
        <v>52432.689837663413</v>
      </c>
      <c r="AF428">
        <f t="shared" ca="1" si="198"/>
        <v>52432.689837665821</v>
      </c>
      <c r="AI428">
        <v>0</v>
      </c>
      <c r="AJ428">
        <v>0</v>
      </c>
      <c r="AK428">
        <f t="shared" si="199"/>
        <v>0</v>
      </c>
      <c r="AL428">
        <f t="shared" si="208"/>
        <v>0</v>
      </c>
      <c r="AM428">
        <f t="shared" ca="1" si="200"/>
        <v>3.0508944475835165E-7</v>
      </c>
      <c r="AN428" t="str">
        <f t="shared" ca="1" si="201"/>
        <v>Subcritical</v>
      </c>
      <c r="AO428">
        <f t="shared" ca="1" si="202"/>
        <v>3.5811501033715345E-12</v>
      </c>
    </row>
    <row r="429" spans="1:41" x14ac:dyDescent="0.35">
      <c r="A429">
        <v>280</v>
      </c>
      <c r="B429">
        <v>278.92700000000002</v>
      </c>
      <c r="C429">
        <v>616310.50300000003</v>
      </c>
      <c r="D429">
        <v>3097670.0639999998</v>
      </c>
      <c r="E429">
        <v>632.42250000000001</v>
      </c>
      <c r="F429">
        <v>4.5270000000000001</v>
      </c>
      <c r="G429">
        <v>0</v>
      </c>
      <c r="H429" t="s">
        <v>186</v>
      </c>
      <c r="I429">
        <v>3.1E-2</v>
      </c>
      <c r="J429">
        <f t="shared" si="203"/>
        <v>1</v>
      </c>
      <c r="K429">
        <f t="shared" si="204"/>
        <v>51</v>
      </c>
      <c r="L429">
        <f t="shared" ca="1" si="205"/>
        <v>51797.873516849635</v>
      </c>
      <c r="M429">
        <f t="shared" ca="1" si="182"/>
        <v>234488.9734107783</v>
      </c>
      <c r="N429">
        <f t="shared" ca="1" si="183"/>
        <v>2.2634010923031278</v>
      </c>
      <c r="O429">
        <f t="shared" ca="1" si="184"/>
        <v>2.1749423547800725E-4</v>
      </c>
      <c r="P429">
        <f t="shared" ca="1" si="185"/>
        <v>52430.296016849636</v>
      </c>
      <c r="Q429">
        <f t="shared" ca="1" si="186"/>
        <v>52430.296016852044</v>
      </c>
      <c r="R429">
        <f t="shared" ca="1" si="187"/>
        <v>3.5814810547483358E-12</v>
      </c>
      <c r="S429">
        <f t="shared" ca="1" si="206"/>
        <v>5.0000000192085281E-4</v>
      </c>
      <c r="T429">
        <f t="shared" ca="1" si="207"/>
        <v>1</v>
      </c>
      <c r="U429">
        <f t="shared" ca="1" si="188"/>
        <v>51800.26683766341</v>
      </c>
      <c r="V429">
        <f t="shared" ca="1" si="189"/>
        <v>234499.80797410227</v>
      </c>
      <c r="W429">
        <f t="shared" ca="1" si="190"/>
        <v>2.2634010968727472</v>
      </c>
      <c r="X429">
        <f t="shared" ca="1" si="191"/>
        <v>2.1748418662087923E-4</v>
      </c>
      <c r="Y429">
        <f t="shared" ca="1" si="192"/>
        <v>52432.689337663411</v>
      </c>
      <c r="Z429">
        <f t="shared" ca="1" si="193"/>
        <v>52432.689337665819</v>
      </c>
      <c r="AA429">
        <f t="shared" ca="1" si="194"/>
        <v>3.5811501033715345E-12</v>
      </c>
      <c r="AB429">
        <f t="shared" ca="1" si="195"/>
        <v>-5.0000000192085281E-4</v>
      </c>
      <c r="AC429">
        <f t="shared" ca="1" si="196"/>
        <v>1</v>
      </c>
      <c r="AD429">
        <f ca="1">IF(V32="Supercritical",L429,IF(V32="Subcritical",U429,IF(AND(T429=1,AC429=1),IF((((F429)*(L429)^2)/2+(G429)*(L429)^3/3+(ABS(K429)^2)/($I$5*MAX(((F429)+(G429)*(L429))*(L429),0.000001)))&gt;=(((F429)*(U429)^2)/2+(G429)*(U429)^3/3+(ABS(K429)^2)/($I$5*MAX(((F429)+(G429)*(U429))*(U429),0.000001))),L429,U429),IF(T429=1,L429,IF(AC429=1,U429,MAX($D$16,POWER((ABS(K429)^2)/($I$5*MAX(F429,0.1)^2),1/3)))))))</f>
        <v>51800.26683766341</v>
      </c>
      <c r="AE429">
        <f t="shared" ca="1" si="197"/>
        <v>52432.689337663411</v>
      </c>
      <c r="AF429">
        <f t="shared" ca="1" si="198"/>
        <v>52432.689337665819</v>
      </c>
      <c r="AI429">
        <v>0</v>
      </c>
      <c r="AJ429">
        <v>0</v>
      </c>
      <c r="AK429">
        <f t="shared" si="199"/>
        <v>0</v>
      </c>
      <c r="AL429">
        <f t="shared" si="208"/>
        <v>0</v>
      </c>
      <c r="AM429">
        <f t="shared" ca="1" si="200"/>
        <v>3.0508944475835165E-7</v>
      </c>
      <c r="AN429" t="str">
        <f t="shared" ca="1" si="201"/>
        <v>Subcritical</v>
      </c>
      <c r="AO429">
        <f t="shared" ca="1" si="202"/>
        <v>3.5811501033715345E-12</v>
      </c>
    </row>
    <row r="430" spans="1:41" x14ac:dyDescent="0.35">
      <c r="A430">
        <v>281</v>
      </c>
      <c r="B430">
        <v>279.928</v>
      </c>
      <c r="C430">
        <v>616309.65599999996</v>
      </c>
      <c r="D430">
        <v>3097669.531</v>
      </c>
      <c r="E430">
        <v>632.42200000000003</v>
      </c>
      <c r="F430">
        <v>4.5270000000000001</v>
      </c>
      <c r="G430">
        <v>0</v>
      </c>
      <c r="H430" t="s">
        <v>186</v>
      </c>
      <c r="I430">
        <v>3.1E-2</v>
      </c>
      <c r="J430">
        <f t="shared" si="203"/>
        <v>1.0009999999999764</v>
      </c>
      <c r="K430">
        <f t="shared" si="204"/>
        <v>51</v>
      </c>
      <c r="L430">
        <f t="shared" ca="1" si="205"/>
        <v>51797.872910182137</v>
      </c>
      <c r="M430">
        <f t="shared" ca="1" si="182"/>
        <v>234488.97066439455</v>
      </c>
      <c r="N430">
        <f t="shared" ca="1" si="183"/>
        <v>2.2634010923019696</v>
      </c>
      <c r="O430">
        <f t="shared" ca="1" si="184"/>
        <v>2.1749423802534514E-4</v>
      </c>
      <c r="P430">
        <f t="shared" ca="1" si="185"/>
        <v>52430.294910182136</v>
      </c>
      <c r="Q430">
        <f t="shared" ca="1" si="186"/>
        <v>52430.294910184544</v>
      </c>
      <c r="R430">
        <f t="shared" ca="1" si="187"/>
        <v>3.5814811386448867E-12</v>
      </c>
      <c r="S430">
        <f t="shared" ca="1" si="206"/>
        <v>1.1066674996982329E-3</v>
      </c>
      <c r="T430">
        <f t="shared" ca="1" si="207"/>
        <v>0</v>
      </c>
      <c r="U430">
        <f t="shared" ca="1" si="188"/>
        <v>51800.26683766341</v>
      </c>
      <c r="V430">
        <f t="shared" ca="1" si="189"/>
        <v>234499.80797410227</v>
      </c>
      <c r="W430">
        <f t="shared" ca="1" si="190"/>
        <v>2.2634010968727472</v>
      </c>
      <c r="X430">
        <f t="shared" ca="1" si="191"/>
        <v>2.1748418662087923E-4</v>
      </c>
      <c r="Y430">
        <f t="shared" ca="1" si="192"/>
        <v>52432.688837663409</v>
      </c>
      <c r="Z430">
        <f t="shared" ca="1" si="193"/>
        <v>52432.688837665817</v>
      </c>
      <c r="AA430">
        <f t="shared" ca="1" si="194"/>
        <v>3.5811501033715345E-12</v>
      </c>
      <c r="AB430">
        <f t="shared" ca="1" si="195"/>
        <v>-5.0000000192085281E-4</v>
      </c>
      <c r="AC430">
        <f t="shared" ca="1" si="196"/>
        <v>1</v>
      </c>
      <c r="AD430">
        <f ca="1">IF(V32="Supercritical",L430,IF(V32="Subcritical",U430,IF(AND(T430=1,AC430=1),IF((((F430)*(L430)^2)/2+(G430)*(L430)^3/3+(ABS(K430)^2)/($I$5*MAX(((F430)+(G430)*(L430))*(L430),0.000001)))&gt;=(((F430)*(U430)^2)/2+(G430)*(U430)^3/3+(ABS(K430)^2)/($I$5*MAX(((F430)+(G430)*(U430))*(U430),0.000001))),L430,U430),IF(T430=1,L430,IF(AC430=1,U430,MAX($D$16,POWER((ABS(K430)^2)/($I$5*MAX(F430,0.1)^2),1/3)))))))</f>
        <v>51800.26683766341</v>
      </c>
      <c r="AE430">
        <f t="shared" ca="1" si="197"/>
        <v>52432.688837663409</v>
      </c>
      <c r="AF430">
        <f t="shared" ca="1" si="198"/>
        <v>52432.688837665817</v>
      </c>
      <c r="AI430">
        <v>0</v>
      </c>
      <c r="AJ430">
        <v>0</v>
      </c>
      <c r="AK430">
        <f t="shared" si="199"/>
        <v>0</v>
      </c>
      <c r="AL430">
        <f t="shared" si="208"/>
        <v>0</v>
      </c>
      <c r="AM430">
        <f t="shared" ca="1" si="200"/>
        <v>3.0508944475835165E-7</v>
      </c>
      <c r="AN430" t="str">
        <f t="shared" ca="1" si="201"/>
        <v>Subcritical</v>
      </c>
      <c r="AO430">
        <f t="shared" ca="1" si="202"/>
        <v>3.5811501033715345E-12</v>
      </c>
    </row>
    <row r="431" spans="1:41" x14ac:dyDescent="0.35">
      <c r="A431">
        <v>282</v>
      </c>
      <c r="B431">
        <v>280.928</v>
      </c>
      <c r="C431">
        <v>616308.81000000006</v>
      </c>
      <c r="D431">
        <v>3097668.9980000001</v>
      </c>
      <c r="E431">
        <v>632.42150000000004</v>
      </c>
      <c r="F431">
        <v>4.5270000000000001</v>
      </c>
      <c r="G431">
        <v>0</v>
      </c>
      <c r="H431" t="s">
        <v>186</v>
      </c>
      <c r="I431">
        <v>0</v>
      </c>
      <c r="J431">
        <f t="shared" si="203"/>
        <v>1</v>
      </c>
      <c r="K431">
        <f t="shared" si="204"/>
        <v>51</v>
      </c>
      <c r="L431">
        <f t="shared" ca="1" si="205"/>
        <v>51797.872910182137</v>
      </c>
      <c r="M431">
        <f t="shared" ca="1" si="182"/>
        <v>234488.97066439455</v>
      </c>
      <c r="N431">
        <f t="shared" ca="1" si="183"/>
        <v>2.2634010923019696</v>
      </c>
      <c r="O431">
        <f t="shared" ca="1" si="184"/>
        <v>2.1749423802534514E-4</v>
      </c>
      <c r="P431">
        <f t="shared" ca="1" si="185"/>
        <v>52430.294410182134</v>
      </c>
      <c r="Q431">
        <f t="shared" ca="1" si="186"/>
        <v>52430.294410184542</v>
      </c>
      <c r="R431">
        <f t="shared" ca="1" si="187"/>
        <v>3.5814811386448867E-12</v>
      </c>
      <c r="S431">
        <f t="shared" ca="1" si="206"/>
        <v>5.0000000192085281E-4</v>
      </c>
      <c r="T431">
        <f t="shared" ca="1" si="207"/>
        <v>1</v>
      </c>
      <c r="U431">
        <f t="shared" ca="1" si="188"/>
        <v>51800.26683766341</v>
      </c>
      <c r="V431">
        <f t="shared" ca="1" si="189"/>
        <v>234499.80797410227</v>
      </c>
      <c r="W431">
        <f t="shared" ca="1" si="190"/>
        <v>2.2634010968727472</v>
      </c>
      <c r="X431">
        <f t="shared" ca="1" si="191"/>
        <v>2.1748418662087923E-4</v>
      </c>
      <c r="Y431">
        <f t="shared" ca="1" si="192"/>
        <v>52432.688337663407</v>
      </c>
      <c r="Z431">
        <f t="shared" ca="1" si="193"/>
        <v>52432.688337665815</v>
      </c>
      <c r="AA431">
        <f t="shared" ca="1" si="194"/>
        <v>3.5811501033715345E-12</v>
      </c>
      <c r="AB431">
        <f t="shared" ca="1" si="195"/>
        <v>-5.0000020564766601E-4</v>
      </c>
      <c r="AC431">
        <f t="shared" ca="1" si="196"/>
        <v>1</v>
      </c>
      <c r="AD431">
        <f ca="1">IF(V32="Supercritical",L431,IF(V32="Subcritical",U431,IF(AND(T431=1,AC431=1),IF((((F431)*(L431)^2)/2+(G431)*(L431)^3/3+(ABS(K431)^2)/($I$5*MAX(((F431)+(G431)*(L431))*(L431),0.000001)))&gt;=(((F431)*(U431)^2)/2+(G431)*(U431)^3/3+(ABS(K431)^2)/($I$5*MAX(((F431)+(G431)*(U431))*(U431),0.000001))),L431,U431),IF(T431=1,L431,IF(AC431=1,U431,MAX($D$16,POWER((ABS(K431)^2)/($I$5*MAX(F431,0.1)^2),1/3)))))))</f>
        <v>51800.26683766341</v>
      </c>
      <c r="AE431">
        <f t="shared" ca="1" si="197"/>
        <v>52432.688337663407</v>
      </c>
      <c r="AF431">
        <f t="shared" ca="1" si="198"/>
        <v>52432.688337665815</v>
      </c>
      <c r="AI431">
        <v>0</v>
      </c>
      <c r="AJ431">
        <v>0</v>
      </c>
      <c r="AK431">
        <f t="shared" si="199"/>
        <v>0</v>
      </c>
      <c r="AL431">
        <f t="shared" si="208"/>
        <v>0</v>
      </c>
      <c r="AM431">
        <f t="shared" ca="1" si="200"/>
        <v>3.0508944475835165E-7</v>
      </c>
      <c r="AN431" t="str">
        <f t="shared" ca="1" si="201"/>
        <v>Subcritical</v>
      </c>
      <c r="AO431">
        <f t="shared" ca="1" si="202"/>
        <v>3.5811501033715345E-12</v>
      </c>
    </row>
    <row r="432" spans="1:41" x14ac:dyDescent="0.35">
      <c r="A432">
        <v>283</v>
      </c>
      <c r="B432">
        <v>281.92700000000002</v>
      </c>
      <c r="C432">
        <v>616307.96400000004</v>
      </c>
      <c r="D432">
        <v>3097668.4649999999</v>
      </c>
      <c r="E432">
        <v>632.42100000000005</v>
      </c>
      <c r="F432">
        <v>4.93</v>
      </c>
      <c r="G432">
        <v>0</v>
      </c>
      <c r="H432" t="s">
        <v>186</v>
      </c>
      <c r="I432">
        <v>12.746</v>
      </c>
      <c r="J432">
        <f t="shared" si="203"/>
        <v>0.99900000000002365</v>
      </c>
      <c r="K432">
        <f t="shared" si="204"/>
        <v>51</v>
      </c>
      <c r="L432">
        <f t="shared" ca="1" si="205"/>
        <v>51797.872308434198</v>
      </c>
      <c r="M432">
        <f t="shared" ca="1" si="182"/>
        <v>255363.51048058059</v>
      </c>
      <c r="N432">
        <f t="shared" ca="1" si="183"/>
        <v>2.4648826991229069</v>
      </c>
      <c r="O432">
        <f t="shared" ca="1" si="184"/>
        <v>1.9971529959006556E-4</v>
      </c>
      <c r="P432">
        <f t="shared" ca="1" si="185"/>
        <v>52430.2933084342</v>
      </c>
      <c r="Q432">
        <f t="shared" ca="1" si="186"/>
        <v>52430.29330843623</v>
      </c>
      <c r="R432">
        <f t="shared" ca="1" si="187"/>
        <v>2.695319055302011E-12</v>
      </c>
      <c r="S432">
        <f t="shared" ca="1" si="206"/>
        <v>1.1017481447197497E-3</v>
      </c>
      <c r="T432">
        <f t="shared" ca="1" si="207"/>
        <v>0</v>
      </c>
      <c r="U432">
        <f t="shared" ca="1" si="188"/>
        <v>51800.26683766341</v>
      </c>
      <c r="V432">
        <f t="shared" ca="1" si="189"/>
        <v>255375.3155096806</v>
      </c>
      <c r="W432">
        <f t="shared" ca="1" si="190"/>
        <v>2.4648827045450221</v>
      </c>
      <c r="X432">
        <f t="shared" ca="1" si="191"/>
        <v>1.9970606751170799E-4</v>
      </c>
      <c r="Y432">
        <f t="shared" ca="1" si="192"/>
        <v>52432.687837663412</v>
      </c>
      <c r="Z432">
        <f t="shared" ca="1" si="193"/>
        <v>52432.687837665442</v>
      </c>
      <c r="AA432">
        <f t="shared" ca="1" si="194"/>
        <v>2.6950698644691282E-12</v>
      </c>
      <c r="AB432">
        <f t="shared" ca="1" si="195"/>
        <v>-5.0000008923234418E-4</v>
      </c>
      <c r="AC432">
        <f t="shared" ca="1" si="196"/>
        <v>1</v>
      </c>
      <c r="AD432">
        <f ca="1">IF(V32="Supercritical",L432,IF(V32="Subcritical",U432,IF(AND(T432=1,AC432=1),IF((((F432)*(L432)^2)/2+(G432)*(L432)^3/3+(ABS(K432)^2)/($I$5*MAX(((F432)+(G432)*(L432))*(L432),0.000001)))&gt;=(((F432)*(U432)^2)/2+(G432)*(U432)^3/3+(ABS(K432)^2)/($I$5*MAX(((F432)+(G432)*(U432))*(U432),0.000001))),L432,U432),IF(T432=1,L432,IF(AC432=1,U432,MAX($D$16,POWER((ABS(K432)^2)/($I$5*MAX(F432,0.1)^2),1/3)))))))</f>
        <v>51800.26683766341</v>
      </c>
      <c r="AE432">
        <f t="shared" ca="1" si="197"/>
        <v>52432.687837663412</v>
      </c>
      <c r="AF432">
        <f t="shared" ca="1" si="198"/>
        <v>52432.687837665442</v>
      </c>
      <c r="AI432">
        <v>0</v>
      </c>
      <c r="AJ432">
        <v>0</v>
      </c>
      <c r="AK432">
        <f t="shared" si="199"/>
        <v>0</v>
      </c>
      <c r="AL432">
        <f t="shared" si="208"/>
        <v>0</v>
      </c>
      <c r="AM432">
        <f t="shared" ca="1" si="200"/>
        <v>2.8015008446674604E-7</v>
      </c>
      <c r="AN432" t="str">
        <f t="shared" ca="1" si="201"/>
        <v>Subcritical</v>
      </c>
      <c r="AO432">
        <f t="shared" ca="1" si="202"/>
        <v>2.6950698644691282E-12</v>
      </c>
    </row>
    <row r="433" spans="1:41" x14ac:dyDescent="0.35">
      <c r="A433">
        <v>284</v>
      </c>
      <c r="B433">
        <v>282.89499999999998</v>
      </c>
      <c r="C433">
        <v>616307.27899999998</v>
      </c>
      <c r="D433">
        <v>3097667.781</v>
      </c>
      <c r="E433">
        <v>632.42049999999995</v>
      </c>
      <c r="F433">
        <v>5.2</v>
      </c>
      <c r="G433">
        <v>0</v>
      </c>
      <c r="H433" t="s">
        <v>186</v>
      </c>
      <c r="I433">
        <v>16.733000000000001</v>
      </c>
      <c r="J433">
        <f t="shared" si="203"/>
        <v>0.96799999999996089</v>
      </c>
      <c r="K433">
        <f t="shared" si="204"/>
        <v>51</v>
      </c>
      <c r="L433">
        <f t="shared" ca="1" si="205"/>
        <v>51797.872308434198</v>
      </c>
      <c r="M433">
        <f t="shared" ca="1" si="182"/>
        <v>269348.93600385782</v>
      </c>
      <c r="N433">
        <f t="shared" ca="1" si="183"/>
        <v>2.5998694992593938</v>
      </c>
      <c r="O433">
        <f t="shared" ca="1" si="184"/>
        <v>1.8934546672673525E-4</v>
      </c>
      <c r="P433">
        <f t="shared" ca="1" si="185"/>
        <v>52430.292808434198</v>
      </c>
      <c r="Q433">
        <f t="shared" ca="1" si="186"/>
        <v>52430.292808436025</v>
      </c>
      <c r="R433">
        <f t="shared" ca="1" si="187"/>
        <v>2.2564390633700376E-12</v>
      </c>
      <c r="S433">
        <f t="shared" ca="1" si="206"/>
        <v>5.0000008923234418E-4</v>
      </c>
      <c r="T433">
        <f t="shared" ca="1" si="207"/>
        <v>1</v>
      </c>
      <c r="U433">
        <f t="shared" ca="1" si="188"/>
        <v>51800.26683766341</v>
      </c>
      <c r="V433">
        <f t="shared" ca="1" si="189"/>
        <v>269361.38755584974</v>
      </c>
      <c r="W433">
        <f t="shared" ca="1" si="190"/>
        <v>2.5998695052916441</v>
      </c>
      <c r="X433">
        <f t="shared" ca="1" si="191"/>
        <v>1.8933671400629237E-4</v>
      </c>
      <c r="Y433">
        <f t="shared" ca="1" si="192"/>
        <v>52432.68733766341</v>
      </c>
      <c r="Z433">
        <f t="shared" ca="1" si="193"/>
        <v>52432.687337665237</v>
      </c>
      <c r="AA433">
        <f t="shared" ca="1" si="194"/>
        <v>2.2562304480281055E-12</v>
      </c>
      <c r="AB433">
        <f t="shared" ca="1" si="195"/>
        <v>-5.0000000192085281E-4</v>
      </c>
      <c r="AC433">
        <f t="shared" ca="1" si="196"/>
        <v>1</v>
      </c>
      <c r="AD433">
        <f ca="1">IF(V32="Supercritical",L433,IF(V32="Subcritical",U433,IF(AND(T433=1,AC433=1),IF((((F433)*(L433)^2)/2+(G433)*(L433)^3/3+(ABS(K433)^2)/($I$5*MAX(((F433)+(G433)*(L433))*(L433),0.000001)))&gt;=(((F433)*(U433)^2)/2+(G433)*(U433)^3/3+(ABS(K433)^2)/($I$5*MAX(((F433)+(G433)*(U433))*(U433),0.000001))),L433,U433),IF(T433=1,L433,IF(AC433=1,U433,MAX($D$16,POWER((ABS(K433)^2)/($I$5*MAX(F433,0.1)^2),1/3)))))))</f>
        <v>51800.26683766341</v>
      </c>
      <c r="AE433">
        <f t="shared" ca="1" si="197"/>
        <v>52432.68733766341</v>
      </c>
      <c r="AF433">
        <f t="shared" ca="1" si="198"/>
        <v>52432.687337665237</v>
      </c>
      <c r="AI433">
        <v>0</v>
      </c>
      <c r="AJ433">
        <v>0</v>
      </c>
      <c r="AK433">
        <f t="shared" si="199"/>
        <v>0</v>
      </c>
      <c r="AL433">
        <f t="shared" si="208"/>
        <v>0</v>
      </c>
      <c r="AM433">
        <f t="shared" ca="1" si="200"/>
        <v>2.6560383008097266E-7</v>
      </c>
      <c r="AN433" t="str">
        <f t="shared" ca="1" si="201"/>
        <v>Subcritical</v>
      </c>
      <c r="AO433">
        <f t="shared" ca="1" si="202"/>
        <v>2.2562304480281055E-12</v>
      </c>
    </row>
    <row r="434" spans="1:41" x14ac:dyDescent="0.35">
      <c r="A434">
        <v>285</v>
      </c>
      <c r="B434">
        <v>283.89499999999998</v>
      </c>
      <c r="C434">
        <v>616306.80500000005</v>
      </c>
      <c r="D434">
        <v>3097666.9010000001</v>
      </c>
      <c r="E434">
        <v>632.41999999999996</v>
      </c>
      <c r="F434">
        <v>5.2</v>
      </c>
      <c r="G434">
        <v>0</v>
      </c>
      <c r="H434" t="s">
        <v>186</v>
      </c>
      <c r="I434">
        <v>2.7E-2</v>
      </c>
      <c r="J434">
        <f t="shared" si="203"/>
        <v>1</v>
      </c>
      <c r="K434">
        <f t="shared" si="204"/>
        <v>51</v>
      </c>
      <c r="L434">
        <f t="shared" ca="1" si="205"/>
        <v>51797.871710488951</v>
      </c>
      <c r="M434">
        <f t="shared" ca="1" si="182"/>
        <v>269348.93289454258</v>
      </c>
      <c r="N434">
        <f t="shared" ca="1" si="183"/>
        <v>2.5998694992578879</v>
      </c>
      <c r="O434">
        <f t="shared" ca="1" si="184"/>
        <v>1.8934546891250496E-4</v>
      </c>
      <c r="P434">
        <f t="shared" ca="1" si="185"/>
        <v>52430.291710488949</v>
      </c>
      <c r="Q434">
        <f t="shared" ca="1" si="186"/>
        <v>52430.291710490776</v>
      </c>
      <c r="R434">
        <f t="shared" ca="1" si="187"/>
        <v>2.2564391154676275E-12</v>
      </c>
      <c r="S434">
        <f t="shared" ca="1" si="206"/>
        <v>1.0979452490573749E-3</v>
      </c>
      <c r="T434">
        <f t="shared" ca="1" si="207"/>
        <v>0</v>
      </c>
      <c r="U434">
        <f t="shared" ca="1" si="188"/>
        <v>51800.26683766341</v>
      </c>
      <c r="V434">
        <f t="shared" ca="1" si="189"/>
        <v>269361.38755584974</v>
      </c>
      <c r="W434">
        <f t="shared" ca="1" si="190"/>
        <v>2.5998695052916441</v>
      </c>
      <c r="X434">
        <f t="shared" ca="1" si="191"/>
        <v>1.8933671400629237E-4</v>
      </c>
      <c r="Y434">
        <f t="shared" ca="1" si="192"/>
        <v>52432.686837663408</v>
      </c>
      <c r="Z434">
        <f t="shared" ca="1" si="193"/>
        <v>52432.686837665235</v>
      </c>
      <c r="AA434">
        <f t="shared" ca="1" si="194"/>
        <v>2.2562304480281055E-12</v>
      </c>
      <c r="AB434">
        <f t="shared" ca="1" si="195"/>
        <v>-4.999999946448952E-4</v>
      </c>
      <c r="AC434">
        <f t="shared" ca="1" si="196"/>
        <v>1</v>
      </c>
      <c r="AD434">
        <f ca="1">IF(V32="Supercritical",L434,IF(V32="Subcritical",U434,IF(AND(T434=1,AC434=1),IF((((F434)*(L434)^2)/2+(G434)*(L434)^3/3+(ABS(K434)^2)/($I$5*MAX(((F434)+(G434)*(L434))*(L434),0.000001)))&gt;=(((F434)*(U434)^2)/2+(G434)*(U434)^3/3+(ABS(K434)^2)/($I$5*MAX(((F434)+(G434)*(U434))*(U434),0.000001))),L434,U434),IF(T434=1,L434,IF(AC434=1,U434,MAX($D$16,POWER((ABS(K434)^2)/($I$5*MAX(F434,0.1)^2),1/3)))))))</f>
        <v>51800.26683766341</v>
      </c>
      <c r="AE434">
        <f t="shared" ca="1" si="197"/>
        <v>52432.686837663408</v>
      </c>
      <c r="AF434">
        <f t="shared" ca="1" si="198"/>
        <v>52432.686837665235</v>
      </c>
      <c r="AI434">
        <v>0</v>
      </c>
      <c r="AJ434">
        <v>0</v>
      </c>
      <c r="AK434">
        <f t="shared" si="199"/>
        <v>0</v>
      </c>
      <c r="AL434">
        <f t="shared" si="208"/>
        <v>0</v>
      </c>
      <c r="AM434">
        <f t="shared" ca="1" si="200"/>
        <v>2.6560383008097266E-7</v>
      </c>
      <c r="AN434" t="str">
        <f t="shared" ca="1" si="201"/>
        <v>Subcritical</v>
      </c>
      <c r="AO434">
        <f t="shared" ca="1" si="202"/>
        <v>2.2562304480281055E-12</v>
      </c>
    </row>
    <row r="435" spans="1:41" x14ac:dyDescent="0.35">
      <c r="A435">
        <v>286</v>
      </c>
      <c r="B435">
        <v>284.89499999999998</v>
      </c>
      <c r="C435">
        <v>616306.33100000001</v>
      </c>
      <c r="D435">
        <v>3097666.02</v>
      </c>
      <c r="E435">
        <v>632.41949999999997</v>
      </c>
      <c r="F435">
        <v>5.2</v>
      </c>
      <c r="G435">
        <v>0</v>
      </c>
      <c r="H435" t="s">
        <v>186</v>
      </c>
      <c r="I435">
        <v>2.7E-2</v>
      </c>
      <c r="J435">
        <f t="shared" si="203"/>
        <v>1</v>
      </c>
      <c r="K435">
        <f t="shared" si="204"/>
        <v>51</v>
      </c>
      <c r="L435">
        <f t="shared" ca="1" si="205"/>
        <v>51797.871710488951</v>
      </c>
      <c r="M435">
        <f t="shared" ca="1" si="182"/>
        <v>269348.93289454258</v>
      </c>
      <c r="N435">
        <f t="shared" ca="1" si="183"/>
        <v>2.5998694992578879</v>
      </c>
      <c r="O435">
        <f t="shared" ca="1" si="184"/>
        <v>1.8934546891250496E-4</v>
      </c>
      <c r="P435">
        <f t="shared" ca="1" si="185"/>
        <v>52430.291210488955</v>
      </c>
      <c r="Q435">
        <f t="shared" ca="1" si="186"/>
        <v>52430.291210490781</v>
      </c>
      <c r="R435">
        <f t="shared" ca="1" si="187"/>
        <v>2.2564391154676275E-12</v>
      </c>
      <c r="S435">
        <f t="shared" ca="1" si="206"/>
        <v>4.999999946448952E-4</v>
      </c>
      <c r="T435">
        <f t="shared" ca="1" si="207"/>
        <v>1</v>
      </c>
      <c r="U435">
        <f t="shared" ca="1" si="188"/>
        <v>51800.26683766341</v>
      </c>
      <c r="V435">
        <f t="shared" ca="1" si="189"/>
        <v>269361.38755584974</v>
      </c>
      <c r="W435">
        <f t="shared" ca="1" si="190"/>
        <v>2.5998695052916441</v>
      </c>
      <c r="X435">
        <f t="shared" ca="1" si="191"/>
        <v>1.8933671400629237E-4</v>
      </c>
      <c r="Y435">
        <f t="shared" ca="1" si="192"/>
        <v>52432.686337663414</v>
      </c>
      <c r="Z435">
        <f t="shared" ca="1" si="193"/>
        <v>52432.68633766524</v>
      </c>
      <c r="AA435">
        <f t="shared" ca="1" si="194"/>
        <v>2.2562304480281055E-12</v>
      </c>
      <c r="AB435">
        <f t="shared" ca="1" si="195"/>
        <v>-5.0000000192085281E-4</v>
      </c>
      <c r="AC435">
        <f t="shared" ca="1" si="196"/>
        <v>1</v>
      </c>
      <c r="AD435">
        <f ca="1">IF(V32="Supercritical",L435,IF(V32="Subcritical",U435,IF(AND(T435=1,AC435=1),IF((((F435)*(L435)^2)/2+(G435)*(L435)^3/3+(ABS(K435)^2)/($I$5*MAX(((F435)+(G435)*(L435))*(L435),0.000001)))&gt;=(((F435)*(U435)^2)/2+(G435)*(U435)^3/3+(ABS(K435)^2)/($I$5*MAX(((F435)+(G435)*(U435))*(U435),0.000001))),L435,U435),IF(T435=1,L435,IF(AC435=1,U435,MAX($D$16,POWER((ABS(K435)^2)/($I$5*MAX(F435,0.1)^2),1/3)))))))</f>
        <v>51800.26683766341</v>
      </c>
      <c r="AE435">
        <f t="shared" ca="1" si="197"/>
        <v>52432.686337663414</v>
      </c>
      <c r="AF435">
        <f t="shared" ca="1" si="198"/>
        <v>52432.68633766524</v>
      </c>
      <c r="AI435">
        <v>0</v>
      </c>
      <c r="AJ435">
        <v>0</v>
      </c>
      <c r="AK435">
        <f t="shared" si="199"/>
        <v>0</v>
      </c>
      <c r="AL435">
        <f t="shared" si="208"/>
        <v>0</v>
      </c>
      <c r="AM435">
        <f t="shared" ca="1" si="200"/>
        <v>2.6560383008097266E-7</v>
      </c>
      <c r="AN435" t="str">
        <f t="shared" ca="1" si="201"/>
        <v>Subcritical</v>
      </c>
      <c r="AO435">
        <f t="shared" ca="1" si="202"/>
        <v>2.2562304480281055E-12</v>
      </c>
    </row>
    <row r="436" spans="1:41" x14ac:dyDescent="0.35">
      <c r="A436">
        <v>287</v>
      </c>
      <c r="B436">
        <v>285.89499999999998</v>
      </c>
      <c r="C436">
        <v>616305.85699999996</v>
      </c>
      <c r="D436">
        <v>3097665.14</v>
      </c>
      <c r="E436">
        <v>632.41899999999998</v>
      </c>
      <c r="F436">
        <v>5.2</v>
      </c>
      <c r="G436">
        <v>0</v>
      </c>
      <c r="H436" t="s">
        <v>186</v>
      </c>
      <c r="I436">
        <v>2.3E-2</v>
      </c>
      <c r="J436">
        <f t="shared" si="203"/>
        <v>1</v>
      </c>
      <c r="K436">
        <f t="shared" si="204"/>
        <v>51</v>
      </c>
      <c r="L436">
        <f t="shared" ca="1" si="205"/>
        <v>51797.87111545381</v>
      </c>
      <c r="M436">
        <f t="shared" ca="1" si="182"/>
        <v>269348.92980035982</v>
      </c>
      <c r="N436">
        <f t="shared" ca="1" si="183"/>
        <v>2.5998694992563887</v>
      </c>
      <c r="O436">
        <f t="shared" ca="1" si="184"/>
        <v>1.89345471087637E-4</v>
      </c>
      <c r="P436">
        <f t="shared" ca="1" si="185"/>
        <v>52430.290115453812</v>
      </c>
      <c r="Q436">
        <f t="shared" ca="1" si="186"/>
        <v>52430.290115455638</v>
      </c>
      <c r="R436">
        <f t="shared" ca="1" si="187"/>
        <v>2.2564391673116696E-12</v>
      </c>
      <c r="S436">
        <f t="shared" ca="1" si="206"/>
        <v>1.0950351424980909E-3</v>
      </c>
      <c r="T436">
        <f t="shared" ca="1" si="207"/>
        <v>0</v>
      </c>
      <c r="U436">
        <f t="shared" ca="1" si="188"/>
        <v>51800.26683766341</v>
      </c>
      <c r="V436">
        <f t="shared" ca="1" si="189"/>
        <v>269361.38755584974</v>
      </c>
      <c r="W436">
        <f t="shared" ca="1" si="190"/>
        <v>2.5998695052916441</v>
      </c>
      <c r="X436">
        <f t="shared" ca="1" si="191"/>
        <v>1.8933671400629237E-4</v>
      </c>
      <c r="Y436">
        <f t="shared" ca="1" si="192"/>
        <v>52432.685837663412</v>
      </c>
      <c r="Z436">
        <f t="shared" ca="1" si="193"/>
        <v>52432.685837665238</v>
      </c>
      <c r="AA436">
        <f t="shared" ca="1" si="194"/>
        <v>2.2562304480281055E-12</v>
      </c>
      <c r="AB436">
        <f t="shared" ca="1" si="195"/>
        <v>-5.0000000192085281E-4</v>
      </c>
      <c r="AC436">
        <f t="shared" ca="1" si="196"/>
        <v>1</v>
      </c>
      <c r="AD436">
        <f ca="1">IF(V32="Supercritical",L436,IF(V32="Subcritical",U436,IF(AND(T436=1,AC436=1),IF((((F436)*(L436)^2)/2+(G436)*(L436)^3/3+(ABS(K436)^2)/($I$5*MAX(((F436)+(G436)*(L436))*(L436),0.000001)))&gt;=(((F436)*(U436)^2)/2+(G436)*(U436)^3/3+(ABS(K436)^2)/($I$5*MAX(((F436)+(G436)*(U436))*(U436),0.000001))),L436,U436),IF(T436=1,L436,IF(AC436=1,U436,MAX($D$16,POWER((ABS(K436)^2)/($I$5*MAX(F436,0.1)^2),1/3)))))))</f>
        <v>51800.26683766341</v>
      </c>
      <c r="AE436">
        <f t="shared" ca="1" si="197"/>
        <v>52432.685837663412</v>
      </c>
      <c r="AF436">
        <f t="shared" ca="1" si="198"/>
        <v>52432.685837665238</v>
      </c>
      <c r="AI436">
        <v>0</v>
      </c>
      <c r="AJ436">
        <v>0</v>
      </c>
      <c r="AK436">
        <f t="shared" si="199"/>
        <v>0</v>
      </c>
      <c r="AL436">
        <f t="shared" si="208"/>
        <v>0</v>
      </c>
      <c r="AM436">
        <f t="shared" ca="1" si="200"/>
        <v>2.6560383008097266E-7</v>
      </c>
      <c r="AN436" t="str">
        <f t="shared" ca="1" si="201"/>
        <v>Subcritical</v>
      </c>
      <c r="AO436">
        <f t="shared" ca="1" si="202"/>
        <v>2.2562304480281055E-12</v>
      </c>
    </row>
    <row r="437" spans="1:41" x14ac:dyDescent="0.35">
      <c r="A437">
        <v>288</v>
      </c>
      <c r="B437">
        <v>286.89600000000002</v>
      </c>
      <c r="C437">
        <v>616305.38199999998</v>
      </c>
      <c r="D437">
        <v>3097664.2590000001</v>
      </c>
      <c r="E437">
        <v>632.41849999999999</v>
      </c>
      <c r="F437">
        <v>5.2</v>
      </c>
      <c r="G437">
        <v>0</v>
      </c>
      <c r="H437" t="s">
        <v>186</v>
      </c>
      <c r="I437">
        <v>2.3E-2</v>
      </c>
      <c r="J437">
        <f t="shared" si="203"/>
        <v>1.0010000000000332</v>
      </c>
      <c r="K437">
        <f t="shared" si="204"/>
        <v>51</v>
      </c>
      <c r="L437">
        <f t="shared" ca="1" si="205"/>
        <v>51797.87111545381</v>
      </c>
      <c r="M437">
        <f t="shared" ca="1" si="182"/>
        <v>269348.92980035982</v>
      </c>
      <c r="N437">
        <f t="shared" ca="1" si="183"/>
        <v>2.5998694992563887</v>
      </c>
      <c r="O437">
        <f t="shared" ca="1" si="184"/>
        <v>1.89345471087637E-4</v>
      </c>
      <c r="P437">
        <f t="shared" ca="1" si="185"/>
        <v>52430.28961545381</v>
      </c>
      <c r="Q437">
        <f t="shared" ca="1" si="186"/>
        <v>52430.289615455637</v>
      </c>
      <c r="R437">
        <f t="shared" ca="1" si="187"/>
        <v>2.2564391673116696E-12</v>
      </c>
      <c r="S437">
        <f t="shared" ca="1" si="206"/>
        <v>5.0000000192085281E-4</v>
      </c>
      <c r="T437">
        <f t="shared" ca="1" si="207"/>
        <v>1</v>
      </c>
      <c r="U437">
        <f t="shared" ca="1" si="188"/>
        <v>51800.26683766341</v>
      </c>
      <c r="V437">
        <f t="shared" ca="1" si="189"/>
        <v>269361.38755584974</v>
      </c>
      <c r="W437">
        <f t="shared" ca="1" si="190"/>
        <v>2.5998695052916441</v>
      </c>
      <c r="X437">
        <f t="shared" ca="1" si="191"/>
        <v>1.8933671400629237E-4</v>
      </c>
      <c r="Y437">
        <f t="shared" ca="1" si="192"/>
        <v>52432.68533766341</v>
      </c>
      <c r="Z437">
        <f t="shared" ca="1" si="193"/>
        <v>52432.685337665236</v>
      </c>
      <c r="AA437">
        <f t="shared" ca="1" si="194"/>
        <v>2.2562304480281055E-12</v>
      </c>
      <c r="AB437">
        <f t="shared" ca="1" si="195"/>
        <v>-5.0000000192085281E-4</v>
      </c>
      <c r="AC437">
        <f t="shared" ca="1" si="196"/>
        <v>1</v>
      </c>
      <c r="AD437">
        <f ca="1">IF(V32="Supercritical",L437,IF(V32="Subcritical",U437,IF(AND(T437=1,AC437=1),IF((((F437)*(L437)^2)/2+(G437)*(L437)^3/3+(ABS(K437)^2)/($I$5*MAX(((F437)+(G437)*(L437))*(L437),0.000001)))&gt;=(((F437)*(U437)^2)/2+(G437)*(U437)^3/3+(ABS(K437)^2)/($I$5*MAX(((F437)+(G437)*(U437))*(U437),0.000001))),L437,U437),IF(T437=1,L437,IF(AC437=1,U437,MAX($D$16,POWER((ABS(K437)^2)/($I$5*MAX(F437,0.1)^2),1/3)))))))</f>
        <v>51800.26683766341</v>
      </c>
      <c r="AE437">
        <f t="shared" ca="1" si="197"/>
        <v>52432.68533766341</v>
      </c>
      <c r="AF437">
        <f t="shared" ca="1" si="198"/>
        <v>52432.685337665236</v>
      </c>
      <c r="AI437">
        <v>0</v>
      </c>
      <c r="AJ437">
        <v>0</v>
      </c>
      <c r="AK437">
        <f t="shared" si="199"/>
        <v>0</v>
      </c>
      <c r="AL437">
        <f t="shared" si="208"/>
        <v>0</v>
      </c>
      <c r="AM437">
        <f t="shared" ca="1" si="200"/>
        <v>2.6560383008097266E-7</v>
      </c>
      <c r="AN437" t="str">
        <f t="shared" ca="1" si="201"/>
        <v>Subcritical</v>
      </c>
      <c r="AO437">
        <f t="shared" ca="1" si="202"/>
        <v>2.2562304480281055E-12</v>
      </c>
    </row>
    <row r="438" spans="1:41" x14ac:dyDescent="0.35">
      <c r="A438">
        <v>289</v>
      </c>
      <c r="B438">
        <v>287.89499999999998</v>
      </c>
      <c r="C438">
        <v>616304.90800000005</v>
      </c>
      <c r="D438">
        <v>3097663.3790000002</v>
      </c>
      <c r="E438">
        <v>632.41800000000001</v>
      </c>
      <c r="F438">
        <v>5.2</v>
      </c>
      <c r="G438">
        <v>0</v>
      </c>
      <c r="H438" t="s">
        <v>186</v>
      </c>
      <c r="I438">
        <v>0</v>
      </c>
      <c r="J438">
        <f t="shared" si="203"/>
        <v>0.9989999999999668</v>
      </c>
      <c r="K438">
        <f t="shared" si="204"/>
        <v>51</v>
      </c>
      <c r="L438">
        <f t="shared" ca="1" si="205"/>
        <v>51797.870522621699</v>
      </c>
      <c r="M438">
        <f t="shared" ca="1" si="182"/>
        <v>269348.92671763286</v>
      </c>
      <c r="N438">
        <f t="shared" ca="1" si="183"/>
        <v>2.5998694992548952</v>
      </c>
      <c r="O438">
        <f t="shared" ca="1" si="184"/>
        <v>1.8934547325471596E-4</v>
      </c>
      <c r="P438">
        <f t="shared" ca="1" si="185"/>
        <v>52430.288522621697</v>
      </c>
      <c r="Q438">
        <f t="shared" ca="1" si="186"/>
        <v>52430.288522623523</v>
      </c>
      <c r="R438">
        <f t="shared" ca="1" si="187"/>
        <v>2.2564392189637682E-12</v>
      </c>
      <c r="S438">
        <f t="shared" ca="1" si="206"/>
        <v>1.0928321134997532E-3</v>
      </c>
      <c r="T438">
        <f t="shared" ca="1" si="207"/>
        <v>0</v>
      </c>
      <c r="U438">
        <f t="shared" ca="1" si="188"/>
        <v>51800.26683766341</v>
      </c>
      <c r="V438">
        <f t="shared" ca="1" si="189"/>
        <v>269361.38755584974</v>
      </c>
      <c r="W438">
        <f t="shared" ca="1" si="190"/>
        <v>2.5998695052916441</v>
      </c>
      <c r="X438">
        <f t="shared" ca="1" si="191"/>
        <v>1.8933671400629237E-4</v>
      </c>
      <c r="Y438">
        <f t="shared" ca="1" si="192"/>
        <v>52432.684837663408</v>
      </c>
      <c r="Z438">
        <f t="shared" ca="1" si="193"/>
        <v>52432.684837665234</v>
      </c>
      <c r="AA438">
        <f t="shared" ca="1" si="194"/>
        <v>2.2562304480281055E-12</v>
      </c>
      <c r="AB438">
        <f t="shared" ca="1" si="195"/>
        <v>-4.999999946448952E-4</v>
      </c>
      <c r="AC438">
        <f t="shared" ca="1" si="196"/>
        <v>1</v>
      </c>
      <c r="AD438">
        <f ca="1">IF(V32="Supercritical",L438,IF(V32="Subcritical",U438,IF(AND(T438=1,AC438=1),IF((((F438)*(L438)^2)/2+(G438)*(L438)^3/3+(ABS(K438)^2)/($I$5*MAX(((F438)+(G438)*(L438))*(L438),0.000001)))&gt;=(((F438)*(U438)^2)/2+(G438)*(U438)^3/3+(ABS(K438)^2)/($I$5*MAX(((F438)+(G438)*(U438))*(U438),0.000001))),L438,U438),IF(T438=1,L438,IF(AC438=1,U438,MAX($D$16,POWER((ABS(K438)^2)/($I$5*MAX(F438,0.1)^2),1/3)))))))</f>
        <v>51800.26683766341</v>
      </c>
      <c r="AE438">
        <f t="shared" ca="1" si="197"/>
        <v>52432.684837663408</v>
      </c>
      <c r="AF438">
        <f t="shared" ca="1" si="198"/>
        <v>52432.684837665234</v>
      </c>
      <c r="AI438">
        <v>0</v>
      </c>
      <c r="AJ438">
        <v>0</v>
      </c>
      <c r="AK438">
        <f t="shared" si="199"/>
        <v>0</v>
      </c>
      <c r="AL438">
        <f t="shared" si="208"/>
        <v>0</v>
      </c>
      <c r="AM438">
        <f t="shared" ca="1" si="200"/>
        <v>2.6560383008097266E-7</v>
      </c>
      <c r="AN438" t="str">
        <f t="shared" ca="1" si="201"/>
        <v>Subcritical</v>
      </c>
      <c r="AO438">
        <f t="shared" ca="1" si="202"/>
        <v>2.2562304480281055E-12</v>
      </c>
    </row>
    <row r="439" spans="1:41" x14ac:dyDescent="0.35">
      <c r="A439">
        <v>290</v>
      </c>
      <c r="B439">
        <v>288.89499999999998</v>
      </c>
      <c r="C439">
        <v>616304.43400000001</v>
      </c>
      <c r="D439">
        <v>3097662.4989999998</v>
      </c>
      <c r="E439">
        <v>632.41750000000002</v>
      </c>
      <c r="F439">
        <v>5.2</v>
      </c>
      <c r="G439">
        <v>0</v>
      </c>
      <c r="H439" t="s">
        <v>186</v>
      </c>
      <c r="I439">
        <v>2.7E-2</v>
      </c>
      <c r="J439">
        <f t="shared" si="203"/>
        <v>1</v>
      </c>
      <c r="K439">
        <f t="shared" si="204"/>
        <v>51</v>
      </c>
      <c r="L439">
        <f t="shared" ca="1" si="205"/>
        <v>51797.870522621699</v>
      </c>
      <c r="M439">
        <f t="shared" ca="1" si="182"/>
        <v>269348.92671763286</v>
      </c>
      <c r="N439">
        <f t="shared" ca="1" si="183"/>
        <v>2.5998694992548952</v>
      </c>
      <c r="O439">
        <f t="shared" ca="1" si="184"/>
        <v>1.8934547325471596E-4</v>
      </c>
      <c r="P439">
        <f t="shared" ca="1" si="185"/>
        <v>52430.288022621702</v>
      </c>
      <c r="Q439">
        <f t="shared" ca="1" si="186"/>
        <v>52430.288022623528</v>
      </c>
      <c r="R439">
        <f t="shared" ca="1" si="187"/>
        <v>2.2564392189637682E-12</v>
      </c>
      <c r="S439">
        <f t="shared" ca="1" si="206"/>
        <v>4.999999946448952E-4</v>
      </c>
      <c r="T439">
        <f t="shared" ca="1" si="207"/>
        <v>1</v>
      </c>
      <c r="U439">
        <f t="shared" ca="1" si="188"/>
        <v>51800.26683766341</v>
      </c>
      <c r="V439">
        <f t="shared" ca="1" si="189"/>
        <v>269361.38755584974</v>
      </c>
      <c r="W439">
        <f t="shared" ca="1" si="190"/>
        <v>2.5998695052916441</v>
      </c>
      <c r="X439">
        <f t="shared" ca="1" si="191"/>
        <v>1.8933671400629237E-4</v>
      </c>
      <c r="Y439">
        <f t="shared" ca="1" si="192"/>
        <v>52432.684337663413</v>
      </c>
      <c r="Z439">
        <f t="shared" ca="1" si="193"/>
        <v>52432.68433766524</v>
      </c>
      <c r="AA439">
        <f t="shared" ca="1" si="194"/>
        <v>2.2562304480281055E-12</v>
      </c>
      <c r="AB439">
        <f t="shared" ca="1" si="195"/>
        <v>-5.0000000192085281E-4</v>
      </c>
      <c r="AC439">
        <f t="shared" ca="1" si="196"/>
        <v>1</v>
      </c>
      <c r="AD439">
        <f ca="1">IF(V32="Supercritical",L439,IF(V32="Subcritical",U439,IF(AND(T439=1,AC439=1),IF((((F439)*(L439)^2)/2+(G439)*(L439)^3/3+(ABS(K439)^2)/($I$5*MAX(((F439)+(G439)*(L439))*(L439),0.000001)))&gt;=(((F439)*(U439)^2)/2+(G439)*(U439)^3/3+(ABS(K439)^2)/($I$5*MAX(((F439)+(G439)*(U439))*(U439),0.000001))),L439,U439),IF(T439=1,L439,IF(AC439=1,U439,MAX($D$16,POWER((ABS(K439)^2)/($I$5*MAX(F439,0.1)^2),1/3)))))))</f>
        <v>51800.26683766341</v>
      </c>
      <c r="AE439">
        <f t="shared" ca="1" si="197"/>
        <v>52432.684337663413</v>
      </c>
      <c r="AF439">
        <f t="shared" ca="1" si="198"/>
        <v>52432.68433766524</v>
      </c>
      <c r="AI439">
        <v>0</v>
      </c>
      <c r="AJ439">
        <v>0</v>
      </c>
      <c r="AK439">
        <f t="shared" si="199"/>
        <v>0</v>
      </c>
      <c r="AL439">
        <f t="shared" si="208"/>
        <v>0</v>
      </c>
      <c r="AM439">
        <f t="shared" ca="1" si="200"/>
        <v>2.6560383008097266E-7</v>
      </c>
      <c r="AN439" t="str">
        <f t="shared" ca="1" si="201"/>
        <v>Subcritical</v>
      </c>
      <c r="AO439">
        <f t="shared" ca="1" si="202"/>
        <v>2.2562304480281055E-12</v>
      </c>
    </row>
    <row r="440" spans="1:41" x14ac:dyDescent="0.35">
      <c r="A440">
        <v>291</v>
      </c>
      <c r="B440">
        <v>289.89499999999998</v>
      </c>
      <c r="C440">
        <v>616303.96</v>
      </c>
      <c r="D440">
        <v>3097661.6179999998</v>
      </c>
      <c r="E440">
        <v>632.41700000000003</v>
      </c>
      <c r="F440">
        <v>5.2</v>
      </c>
      <c r="G440">
        <v>0</v>
      </c>
      <c r="H440" t="s">
        <v>186</v>
      </c>
      <c r="I440">
        <v>7.8E-2</v>
      </c>
      <c r="J440">
        <f t="shared" si="203"/>
        <v>1</v>
      </c>
      <c r="K440">
        <f t="shared" si="204"/>
        <v>51</v>
      </c>
      <c r="L440">
        <f t="shared" ca="1" si="205"/>
        <v>51797.869931438647</v>
      </c>
      <c r="M440">
        <f t="shared" ca="1" si="182"/>
        <v>269348.92364348099</v>
      </c>
      <c r="N440">
        <f t="shared" ca="1" si="183"/>
        <v>2.5998694992534057</v>
      </c>
      <c r="O440">
        <f t="shared" ca="1" si="184"/>
        <v>1.8934547541576689E-4</v>
      </c>
      <c r="P440">
        <f t="shared" ca="1" si="185"/>
        <v>52430.286931438648</v>
      </c>
      <c r="Q440">
        <f t="shared" ca="1" si="186"/>
        <v>52430.286931440474</v>
      </c>
      <c r="R440">
        <f t="shared" ca="1" si="187"/>
        <v>2.2564392704721902E-12</v>
      </c>
      <c r="S440">
        <f t="shared" ca="1" si="206"/>
        <v>1.0911830540862866E-3</v>
      </c>
      <c r="T440">
        <f t="shared" ca="1" si="207"/>
        <v>0</v>
      </c>
      <c r="U440">
        <f t="shared" ca="1" si="188"/>
        <v>51800.26683766341</v>
      </c>
      <c r="V440">
        <f t="shared" ca="1" si="189"/>
        <v>269361.38755584974</v>
      </c>
      <c r="W440">
        <f t="shared" ca="1" si="190"/>
        <v>2.5998695052916441</v>
      </c>
      <c r="X440">
        <f t="shared" ca="1" si="191"/>
        <v>1.8933671400629237E-4</v>
      </c>
      <c r="Y440">
        <f t="shared" ca="1" si="192"/>
        <v>52432.683837663411</v>
      </c>
      <c r="Z440">
        <f t="shared" ca="1" si="193"/>
        <v>52432.683837665238</v>
      </c>
      <c r="AA440">
        <f t="shared" ca="1" si="194"/>
        <v>2.2562304480281055E-12</v>
      </c>
      <c r="AB440">
        <f t="shared" ca="1" si="195"/>
        <v>-5.0000000192085281E-4</v>
      </c>
      <c r="AC440">
        <f t="shared" ca="1" si="196"/>
        <v>1</v>
      </c>
      <c r="AD440">
        <f ca="1">IF(V32="Supercritical",L440,IF(V32="Subcritical",U440,IF(AND(T440=1,AC440=1),IF((((F440)*(L440)^2)/2+(G440)*(L440)^3/3+(ABS(K440)^2)/($I$5*MAX(((F440)+(G440)*(L440))*(L440),0.000001)))&gt;=(((F440)*(U440)^2)/2+(G440)*(U440)^3/3+(ABS(K440)^2)/($I$5*MAX(((F440)+(G440)*(U440))*(U440),0.000001))),L440,U440),IF(T440=1,L440,IF(AC440=1,U440,MAX($D$16,POWER((ABS(K440)^2)/($I$5*MAX(F440,0.1)^2),1/3)))))))</f>
        <v>51800.26683766341</v>
      </c>
      <c r="AE440">
        <f t="shared" ca="1" si="197"/>
        <v>52432.683837663411</v>
      </c>
      <c r="AF440">
        <f t="shared" ca="1" si="198"/>
        <v>52432.683837665238</v>
      </c>
      <c r="AI440">
        <v>0</v>
      </c>
      <c r="AJ440">
        <v>0</v>
      </c>
      <c r="AK440">
        <f t="shared" si="199"/>
        <v>0</v>
      </c>
      <c r="AL440">
        <f t="shared" si="208"/>
        <v>0</v>
      </c>
      <c r="AM440">
        <f t="shared" ca="1" si="200"/>
        <v>2.6560383008097266E-7</v>
      </c>
      <c r="AN440" t="str">
        <f t="shared" ca="1" si="201"/>
        <v>Subcritical</v>
      </c>
      <c r="AO440">
        <f t="shared" ca="1" si="202"/>
        <v>2.2562304480281055E-12</v>
      </c>
    </row>
    <row r="441" spans="1:41" x14ac:dyDescent="0.35">
      <c r="A441">
        <v>292</v>
      </c>
      <c r="B441">
        <v>290.89499999999998</v>
      </c>
      <c r="C441">
        <v>616303.48499999999</v>
      </c>
      <c r="D441">
        <v>3097660.7379999999</v>
      </c>
      <c r="E441">
        <v>632.41650000000004</v>
      </c>
      <c r="F441">
        <v>5.2</v>
      </c>
      <c r="G441">
        <v>0</v>
      </c>
      <c r="H441" t="s">
        <v>186</v>
      </c>
      <c r="I441">
        <v>7.8E-2</v>
      </c>
      <c r="J441">
        <f t="shared" si="203"/>
        <v>1</v>
      </c>
      <c r="K441">
        <f t="shared" si="204"/>
        <v>51</v>
      </c>
      <c r="L441">
        <f t="shared" ca="1" si="205"/>
        <v>51797.869931438647</v>
      </c>
      <c r="M441">
        <f t="shared" ca="1" si="182"/>
        <v>269348.92364348099</v>
      </c>
      <c r="N441">
        <f t="shared" ca="1" si="183"/>
        <v>2.5998694992534057</v>
      </c>
      <c r="O441">
        <f t="shared" ca="1" si="184"/>
        <v>1.8934547541576689E-4</v>
      </c>
      <c r="P441">
        <f t="shared" ca="1" si="185"/>
        <v>52430.286431438646</v>
      </c>
      <c r="Q441">
        <f t="shared" ca="1" si="186"/>
        <v>52430.286431440472</v>
      </c>
      <c r="R441">
        <f t="shared" ca="1" si="187"/>
        <v>2.2564392704721902E-12</v>
      </c>
      <c r="S441">
        <f t="shared" ca="1" si="206"/>
        <v>5.0000000192085281E-4</v>
      </c>
      <c r="T441">
        <f t="shared" ca="1" si="207"/>
        <v>1</v>
      </c>
      <c r="U441">
        <f t="shared" ca="1" si="188"/>
        <v>51800.26683766341</v>
      </c>
      <c r="V441">
        <f t="shared" ca="1" si="189"/>
        <v>269361.38755584974</v>
      </c>
      <c r="W441">
        <f t="shared" ca="1" si="190"/>
        <v>2.5998695052916441</v>
      </c>
      <c r="X441">
        <f t="shared" ca="1" si="191"/>
        <v>1.8933671400629237E-4</v>
      </c>
      <c r="Y441">
        <f t="shared" ca="1" si="192"/>
        <v>52432.683337663409</v>
      </c>
      <c r="Z441">
        <f t="shared" ca="1" si="193"/>
        <v>52432.683337665236</v>
      </c>
      <c r="AA441">
        <f t="shared" ca="1" si="194"/>
        <v>2.2562304480281055E-12</v>
      </c>
      <c r="AB441">
        <f t="shared" ca="1" si="195"/>
        <v>-5.0000000192085281E-4</v>
      </c>
      <c r="AC441">
        <f t="shared" ca="1" si="196"/>
        <v>1</v>
      </c>
      <c r="AD441">
        <f ca="1">IF(V32="Supercritical",L441,IF(V32="Subcritical",U441,IF(AND(T441=1,AC441=1),IF((((F441)*(L441)^2)/2+(G441)*(L441)^3/3+(ABS(K441)^2)/($I$5*MAX(((F441)+(G441)*(L441))*(L441),0.000001)))&gt;=(((F441)*(U441)^2)/2+(G441)*(U441)^3/3+(ABS(K441)^2)/($I$5*MAX(((F441)+(G441)*(U441))*(U441),0.000001))),L441,U441),IF(T441=1,L441,IF(AC441=1,U441,MAX($D$16,POWER((ABS(K441)^2)/($I$5*MAX(F441,0.1)^2),1/3)))))))</f>
        <v>51800.26683766341</v>
      </c>
      <c r="AE441">
        <f t="shared" ca="1" si="197"/>
        <v>52432.683337663409</v>
      </c>
      <c r="AF441">
        <f t="shared" ca="1" si="198"/>
        <v>52432.683337665236</v>
      </c>
      <c r="AI441">
        <v>0</v>
      </c>
      <c r="AJ441">
        <v>0</v>
      </c>
      <c r="AK441">
        <f t="shared" si="199"/>
        <v>0</v>
      </c>
      <c r="AL441">
        <f t="shared" si="208"/>
        <v>0</v>
      </c>
      <c r="AM441">
        <f t="shared" ca="1" si="200"/>
        <v>2.6560383008097266E-7</v>
      </c>
      <c r="AN441" t="str">
        <f t="shared" ca="1" si="201"/>
        <v>Subcritical</v>
      </c>
      <c r="AO441">
        <f t="shared" ca="1" si="202"/>
        <v>2.2562304480281055E-12</v>
      </c>
    </row>
    <row r="442" spans="1:41" x14ac:dyDescent="0.35">
      <c r="A442">
        <v>293</v>
      </c>
      <c r="B442">
        <v>291.89600000000002</v>
      </c>
      <c r="C442">
        <v>616303.01100000006</v>
      </c>
      <c r="D442">
        <v>3097659.8569999998</v>
      </c>
      <c r="E442">
        <v>632.41600000000005</v>
      </c>
      <c r="F442">
        <v>5.2</v>
      </c>
      <c r="G442">
        <v>0</v>
      </c>
      <c r="H442" t="s">
        <v>186</v>
      </c>
      <c r="I442">
        <v>2.7E-2</v>
      </c>
      <c r="J442">
        <f t="shared" si="203"/>
        <v>1.0010000000000332</v>
      </c>
      <c r="K442">
        <f t="shared" si="204"/>
        <v>51</v>
      </c>
      <c r="L442">
        <f t="shared" ca="1" si="205"/>
        <v>51797.869341475664</v>
      </c>
      <c r="M442">
        <f t="shared" ca="1" si="182"/>
        <v>269348.92057567346</v>
      </c>
      <c r="N442">
        <f t="shared" ca="1" si="183"/>
        <v>2.5998694992519193</v>
      </c>
      <c r="O442">
        <f t="shared" ca="1" si="184"/>
        <v>1.8934547757235793E-4</v>
      </c>
      <c r="P442">
        <f t="shared" ca="1" si="185"/>
        <v>52430.285341475661</v>
      </c>
      <c r="Q442">
        <f t="shared" ca="1" si="186"/>
        <v>52430.285341477487</v>
      </c>
      <c r="R442">
        <f t="shared" ca="1" si="187"/>
        <v>2.2564393218743127E-12</v>
      </c>
      <c r="S442">
        <f t="shared" ca="1" si="206"/>
        <v>1.0899629851337522E-3</v>
      </c>
      <c r="T442">
        <f t="shared" ca="1" si="207"/>
        <v>0</v>
      </c>
      <c r="U442">
        <f t="shared" ca="1" si="188"/>
        <v>51800.26683766341</v>
      </c>
      <c r="V442">
        <f t="shared" ca="1" si="189"/>
        <v>269361.38755584974</v>
      </c>
      <c r="W442">
        <f t="shared" ca="1" si="190"/>
        <v>2.5998695052916441</v>
      </c>
      <c r="X442">
        <f t="shared" ca="1" si="191"/>
        <v>1.8933671400629237E-4</v>
      </c>
      <c r="Y442">
        <f t="shared" ca="1" si="192"/>
        <v>52432.682837663408</v>
      </c>
      <c r="Z442">
        <f t="shared" ca="1" si="193"/>
        <v>52432.682837665234</v>
      </c>
      <c r="AA442">
        <f t="shared" ca="1" si="194"/>
        <v>2.2562304480281055E-12</v>
      </c>
      <c r="AB442">
        <f t="shared" ca="1" si="195"/>
        <v>-4.999999946448952E-4</v>
      </c>
      <c r="AC442">
        <f t="shared" ca="1" si="196"/>
        <v>1</v>
      </c>
      <c r="AD442">
        <f ca="1">IF(V32="Supercritical",L442,IF(V32="Subcritical",U442,IF(AND(T442=1,AC442=1),IF((((F442)*(L442)^2)/2+(G442)*(L442)^3/3+(ABS(K442)^2)/($I$5*MAX(((F442)+(G442)*(L442))*(L442),0.000001)))&gt;=(((F442)*(U442)^2)/2+(G442)*(U442)^3/3+(ABS(K442)^2)/($I$5*MAX(((F442)+(G442)*(U442))*(U442),0.000001))),L442,U442),IF(T442=1,L442,IF(AC442=1,U442,MAX($D$16,POWER((ABS(K442)^2)/($I$5*MAX(F442,0.1)^2),1/3)))))))</f>
        <v>51800.26683766341</v>
      </c>
      <c r="AE442">
        <f t="shared" ca="1" si="197"/>
        <v>52432.682837663408</v>
      </c>
      <c r="AF442">
        <f t="shared" ca="1" si="198"/>
        <v>52432.682837665234</v>
      </c>
      <c r="AI442">
        <v>0</v>
      </c>
      <c r="AJ442">
        <v>0</v>
      </c>
      <c r="AK442">
        <f t="shared" si="199"/>
        <v>0</v>
      </c>
      <c r="AL442">
        <f t="shared" si="208"/>
        <v>0</v>
      </c>
      <c r="AM442">
        <f t="shared" ca="1" si="200"/>
        <v>2.6560383008097266E-7</v>
      </c>
      <c r="AN442" t="str">
        <f t="shared" ca="1" si="201"/>
        <v>Subcritical</v>
      </c>
      <c r="AO442">
        <f t="shared" ca="1" si="202"/>
        <v>2.2562304480281055E-12</v>
      </c>
    </row>
    <row r="443" spans="1:41" x14ac:dyDescent="0.35">
      <c r="A443">
        <v>294</v>
      </c>
      <c r="B443">
        <v>292.89499999999998</v>
      </c>
      <c r="C443">
        <v>616302.53700000001</v>
      </c>
      <c r="D443">
        <v>3097658.977</v>
      </c>
      <c r="E443">
        <v>632.41549999999995</v>
      </c>
      <c r="F443">
        <v>5.2</v>
      </c>
      <c r="G443">
        <v>0</v>
      </c>
      <c r="H443" t="s">
        <v>186</v>
      </c>
      <c r="I443">
        <v>0</v>
      </c>
      <c r="J443">
        <f t="shared" si="203"/>
        <v>0.9989999999999668</v>
      </c>
      <c r="K443">
        <f t="shared" si="204"/>
        <v>51</v>
      </c>
      <c r="L443">
        <f t="shared" ca="1" si="205"/>
        <v>51797.869341475664</v>
      </c>
      <c r="M443">
        <f t="shared" ca="1" si="182"/>
        <v>269348.92057567346</v>
      </c>
      <c r="N443">
        <f t="shared" ca="1" si="183"/>
        <v>2.5998694992519193</v>
      </c>
      <c r="O443">
        <f t="shared" ca="1" si="184"/>
        <v>1.8934547757235793E-4</v>
      </c>
      <c r="P443">
        <f t="shared" ca="1" si="185"/>
        <v>52430.284841475666</v>
      </c>
      <c r="Q443">
        <f t="shared" ca="1" si="186"/>
        <v>52430.284841477493</v>
      </c>
      <c r="R443">
        <f t="shared" ca="1" si="187"/>
        <v>2.2564393218743127E-12</v>
      </c>
      <c r="S443">
        <f t="shared" ca="1" si="206"/>
        <v>4.999999946448952E-4</v>
      </c>
      <c r="T443">
        <f t="shared" ca="1" si="207"/>
        <v>1</v>
      </c>
      <c r="U443">
        <f t="shared" ca="1" si="188"/>
        <v>51800.26683766341</v>
      </c>
      <c r="V443">
        <f t="shared" ca="1" si="189"/>
        <v>269361.38755584974</v>
      </c>
      <c r="W443">
        <f t="shared" ca="1" si="190"/>
        <v>2.5998695052916441</v>
      </c>
      <c r="X443">
        <f t="shared" ca="1" si="191"/>
        <v>1.8933671400629237E-4</v>
      </c>
      <c r="Y443">
        <f t="shared" ca="1" si="192"/>
        <v>52432.682337663413</v>
      </c>
      <c r="Z443">
        <f t="shared" ca="1" si="193"/>
        <v>52432.682337665239</v>
      </c>
      <c r="AA443">
        <f t="shared" ca="1" si="194"/>
        <v>2.2562304480281055E-12</v>
      </c>
      <c r="AB443">
        <f t="shared" ca="1" si="195"/>
        <v>-5.0000000192085281E-4</v>
      </c>
      <c r="AC443">
        <f t="shared" ca="1" si="196"/>
        <v>1</v>
      </c>
      <c r="AD443">
        <f ca="1">IF(V32="Supercritical",L443,IF(V32="Subcritical",U443,IF(AND(T443=1,AC443=1),IF((((F443)*(L443)^2)/2+(G443)*(L443)^3/3+(ABS(K443)^2)/($I$5*MAX(((F443)+(G443)*(L443))*(L443),0.000001)))&gt;=(((F443)*(U443)^2)/2+(G443)*(U443)^3/3+(ABS(K443)^2)/($I$5*MAX(((F443)+(G443)*(U443))*(U443),0.000001))),L443,U443),IF(T443=1,L443,IF(AC443=1,U443,MAX($D$16,POWER((ABS(K443)^2)/($I$5*MAX(F443,0.1)^2),1/3)))))))</f>
        <v>51800.26683766341</v>
      </c>
      <c r="AE443">
        <f t="shared" ca="1" si="197"/>
        <v>52432.682337663413</v>
      </c>
      <c r="AF443">
        <f t="shared" ca="1" si="198"/>
        <v>52432.682337665239</v>
      </c>
      <c r="AI443">
        <v>0</v>
      </c>
      <c r="AJ443">
        <v>0</v>
      </c>
      <c r="AK443">
        <f t="shared" si="199"/>
        <v>0</v>
      </c>
      <c r="AL443">
        <f t="shared" si="208"/>
        <v>0</v>
      </c>
      <c r="AM443">
        <f t="shared" ca="1" si="200"/>
        <v>2.6560383008097266E-7</v>
      </c>
      <c r="AN443" t="str">
        <f t="shared" ca="1" si="201"/>
        <v>Subcritical</v>
      </c>
      <c r="AO443">
        <f t="shared" ca="1" si="202"/>
        <v>2.2562304480281055E-12</v>
      </c>
    </row>
    <row r="444" spans="1:41" x14ac:dyDescent="0.35">
      <c r="A444">
        <v>295</v>
      </c>
      <c r="B444">
        <v>293.89499999999998</v>
      </c>
      <c r="C444">
        <v>616302.06299999997</v>
      </c>
      <c r="D444">
        <v>3097658.0970000001</v>
      </c>
      <c r="E444">
        <v>632.41499999999996</v>
      </c>
      <c r="F444">
        <v>5.2</v>
      </c>
      <c r="G444">
        <v>0</v>
      </c>
      <c r="H444" t="s">
        <v>186</v>
      </c>
      <c r="I444">
        <v>2.3E-2</v>
      </c>
      <c r="J444">
        <f t="shared" si="203"/>
        <v>1</v>
      </c>
      <c r="K444">
        <f t="shared" si="204"/>
        <v>51</v>
      </c>
      <c r="L444">
        <f t="shared" ca="1" si="205"/>
        <v>51797.868752404713</v>
      </c>
      <c r="M444">
        <f t="shared" ca="1" si="182"/>
        <v>269348.9175125045</v>
      </c>
      <c r="N444">
        <f t="shared" ca="1" si="183"/>
        <v>2.5998694992504352</v>
      </c>
      <c r="O444">
        <f t="shared" ca="1" si="184"/>
        <v>1.8934547972568826E-4</v>
      </c>
      <c r="P444">
        <f t="shared" ca="1" si="185"/>
        <v>52430.283752404714</v>
      </c>
      <c r="Q444">
        <f t="shared" ca="1" si="186"/>
        <v>52430.28375240654</v>
      </c>
      <c r="R444">
        <f t="shared" ca="1" si="187"/>
        <v>2.2564393731987157E-12</v>
      </c>
      <c r="S444">
        <f t="shared" ca="1" si="206"/>
        <v>1.0890709527302533E-3</v>
      </c>
      <c r="T444">
        <f t="shared" ca="1" si="207"/>
        <v>0</v>
      </c>
      <c r="U444">
        <f t="shared" ca="1" si="188"/>
        <v>51800.26683766341</v>
      </c>
      <c r="V444">
        <f t="shared" ca="1" si="189"/>
        <v>269361.38755584974</v>
      </c>
      <c r="W444">
        <f t="shared" ca="1" si="190"/>
        <v>2.5998695052916441</v>
      </c>
      <c r="X444">
        <f t="shared" ca="1" si="191"/>
        <v>1.8933671400629237E-4</v>
      </c>
      <c r="Y444">
        <f t="shared" ca="1" si="192"/>
        <v>52432.681837663411</v>
      </c>
      <c r="Z444">
        <f t="shared" ca="1" si="193"/>
        <v>52432.681837665237</v>
      </c>
      <c r="AA444">
        <f t="shared" ca="1" si="194"/>
        <v>2.2562304480281055E-12</v>
      </c>
      <c r="AB444">
        <f t="shared" ca="1" si="195"/>
        <v>-5.0000000192085281E-4</v>
      </c>
      <c r="AC444">
        <f t="shared" ca="1" si="196"/>
        <v>1</v>
      </c>
      <c r="AD444">
        <f ca="1">IF(V32="Supercritical",L444,IF(V32="Subcritical",U444,IF(AND(T444=1,AC444=1),IF((((F444)*(L444)^2)/2+(G444)*(L444)^3/3+(ABS(K444)^2)/($I$5*MAX(((F444)+(G444)*(L444))*(L444),0.000001)))&gt;=(((F444)*(U444)^2)/2+(G444)*(U444)^3/3+(ABS(K444)^2)/($I$5*MAX(((F444)+(G444)*(U444))*(U444),0.000001))),L444,U444),IF(T444=1,L444,IF(AC444=1,U444,MAX($D$16,POWER((ABS(K444)^2)/($I$5*MAX(F444,0.1)^2),1/3)))))))</f>
        <v>51800.26683766341</v>
      </c>
      <c r="AE444">
        <f t="shared" ca="1" si="197"/>
        <v>52432.681837663411</v>
      </c>
      <c r="AF444">
        <f t="shared" ca="1" si="198"/>
        <v>52432.681837665237</v>
      </c>
      <c r="AI444">
        <v>0</v>
      </c>
      <c r="AJ444">
        <v>0</v>
      </c>
      <c r="AK444">
        <f t="shared" si="199"/>
        <v>0</v>
      </c>
      <c r="AL444">
        <f t="shared" si="208"/>
        <v>0</v>
      </c>
      <c r="AM444">
        <f t="shared" ca="1" si="200"/>
        <v>2.6560383008097266E-7</v>
      </c>
      <c r="AN444" t="str">
        <f t="shared" ca="1" si="201"/>
        <v>Subcritical</v>
      </c>
      <c r="AO444">
        <f t="shared" ca="1" si="202"/>
        <v>2.2562304480281055E-12</v>
      </c>
    </row>
    <row r="445" spans="1:41" x14ac:dyDescent="0.35">
      <c r="A445">
        <v>296</v>
      </c>
      <c r="B445">
        <v>294.89600000000002</v>
      </c>
      <c r="C445">
        <v>616301.58799999999</v>
      </c>
      <c r="D445">
        <v>3097657.216</v>
      </c>
      <c r="E445">
        <v>632.41449999999998</v>
      </c>
      <c r="F445">
        <v>5.2</v>
      </c>
      <c r="G445">
        <v>0</v>
      </c>
      <c r="H445" t="s">
        <v>186</v>
      </c>
      <c r="I445">
        <v>2.3E-2</v>
      </c>
      <c r="J445">
        <f t="shared" si="203"/>
        <v>1.0010000000000332</v>
      </c>
      <c r="K445">
        <f t="shared" si="204"/>
        <v>51</v>
      </c>
      <c r="L445">
        <f t="shared" ca="1" si="205"/>
        <v>51797.868752404713</v>
      </c>
      <c r="M445">
        <f t="shared" ca="1" si="182"/>
        <v>269348.9175125045</v>
      </c>
      <c r="N445">
        <f t="shared" ca="1" si="183"/>
        <v>2.5998694992504352</v>
      </c>
      <c r="O445">
        <f t="shared" ca="1" si="184"/>
        <v>1.8934547972568826E-4</v>
      </c>
      <c r="P445">
        <f t="shared" ca="1" si="185"/>
        <v>52430.283252404712</v>
      </c>
      <c r="Q445">
        <f t="shared" ca="1" si="186"/>
        <v>52430.283252406538</v>
      </c>
      <c r="R445">
        <f t="shared" ca="1" si="187"/>
        <v>2.2564393731987157E-12</v>
      </c>
      <c r="S445">
        <f t="shared" ca="1" si="206"/>
        <v>5.0000000192085281E-4</v>
      </c>
      <c r="T445">
        <f t="shared" ca="1" si="207"/>
        <v>1</v>
      </c>
      <c r="U445">
        <f t="shared" ca="1" si="188"/>
        <v>51800.26683766341</v>
      </c>
      <c r="V445">
        <f t="shared" ca="1" si="189"/>
        <v>269361.38755584974</v>
      </c>
      <c r="W445">
        <f t="shared" ca="1" si="190"/>
        <v>2.5998695052916441</v>
      </c>
      <c r="X445">
        <f t="shared" ca="1" si="191"/>
        <v>1.8933671400629237E-4</v>
      </c>
      <c r="Y445">
        <f t="shared" ca="1" si="192"/>
        <v>52432.681337663409</v>
      </c>
      <c r="Z445">
        <f t="shared" ca="1" si="193"/>
        <v>52432.681337665235</v>
      </c>
      <c r="AA445">
        <f t="shared" ca="1" si="194"/>
        <v>2.2562304480281055E-12</v>
      </c>
      <c r="AB445">
        <f t="shared" ca="1" si="195"/>
        <v>-5.0000000192085281E-4</v>
      </c>
      <c r="AC445">
        <f t="shared" ca="1" si="196"/>
        <v>1</v>
      </c>
      <c r="AD445">
        <f ca="1">IF(V32="Supercritical",L445,IF(V32="Subcritical",U445,IF(AND(T445=1,AC445=1),IF((((F445)*(L445)^2)/2+(G445)*(L445)^3/3+(ABS(K445)^2)/($I$5*MAX(((F445)+(G445)*(L445))*(L445),0.000001)))&gt;=(((F445)*(U445)^2)/2+(G445)*(U445)^3/3+(ABS(K445)^2)/($I$5*MAX(((F445)+(G445)*(U445))*(U445),0.000001))),L445,U445),IF(T445=1,L445,IF(AC445=1,U445,MAX($D$16,POWER((ABS(K445)^2)/($I$5*MAX(F445,0.1)^2),1/3)))))))</f>
        <v>51800.26683766341</v>
      </c>
      <c r="AE445">
        <f t="shared" ca="1" si="197"/>
        <v>52432.681337663409</v>
      </c>
      <c r="AF445">
        <f t="shared" ca="1" si="198"/>
        <v>52432.681337665235</v>
      </c>
      <c r="AI445">
        <v>0</v>
      </c>
      <c r="AJ445">
        <v>0</v>
      </c>
      <c r="AK445">
        <f t="shared" si="199"/>
        <v>0</v>
      </c>
      <c r="AL445">
        <f t="shared" si="208"/>
        <v>0</v>
      </c>
      <c r="AM445">
        <f t="shared" ca="1" si="200"/>
        <v>2.6560383008097266E-7</v>
      </c>
      <c r="AN445" t="str">
        <f t="shared" ca="1" si="201"/>
        <v>Subcritical</v>
      </c>
      <c r="AO445">
        <f t="shared" ca="1" si="202"/>
        <v>2.2562304480281055E-12</v>
      </c>
    </row>
    <row r="446" spans="1:41" x14ac:dyDescent="0.35">
      <c r="A446">
        <v>297</v>
      </c>
      <c r="B446">
        <v>295.89499999999998</v>
      </c>
      <c r="C446">
        <v>616301.11399999994</v>
      </c>
      <c r="D446">
        <v>3097656.3360000001</v>
      </c>
      <c r="E446">
        <v>632.41399999999999</v>
      </c>
      <c r="F446">
        <v>5.2</v>
      </c>
      <c r="G446">
        <v>0</v>
      </c>
      <c r="H446" t="s">
        <v>186</v>
      </c>
      <c r="I446">
        <v>2.7E-2</v>
      </c>
      <c r="J446">
        <f t="shared" si="203"/>
        <v>0.9989999999999668</v>
      </c>
      <c r="K446">
        <f t="shared" si="204"/>
        <v>51</v>
      </c>
      <c r="L446">
        <f t="shared" ca="1" si="205"/>
        <v>51797.868163978055</v>
      </c>
      <c r="M446">
        <f t="shared" ca="1" si="182"/>
        <v>269348.91445268592</v>
      </c>
      <c r="N446">
        <f t="shared" ca="1" si="183"/>
        <v>2.5998694992489533</v>
      </c>
      <c r="O446">
        <f t="shared" ca="1" si="184"/>
        <v>1.8934548187666341E-4</v>
      </c>
      <c r="P446">
        <f t="shared" ca="1" si="185"/>
        <v>52430.282163978052</v>
      </c>
      <c r="Q446">
        <f t="shared" ca="1" si="186"/>
        <v>52430.282163979879</v>
      </c>
      <c r="R446">
        <f t="shared" ca="1" si="187"/>
        <v>2.2564394244669828E-12</v>
      </c>
      <c r="S446">
        <f t="shared" ca="1" si="206"/>
        <v>1.0884266594075598E-3</v>
      </c>
      <c r="T446">
        <f t="shared" ca="1" si="207"/>
        <v>0</v>
      </c>
      <c r="U446">
        <f t="shared" ca="1" si="188"/>
        <v>51800.26683766341</v>
      </c>
      <c r="V446">
        <f t="shared" ca="1" si="189"/>
        <v>269361.38755584974</v>
      </c>
      <c r="W446">
        <f t="shared" ca="1" si="190"/>
        <v>2.5998695052916441</v>
      </c>
      <c r="X446">
        <f t="shared" ca="1" si="191"/>
        <v>1.8933671400629237E-4</v>
      </c>
      <c r="Y446">
        <f t="shared" ca="1" si="192"/>
        <v>52432.680837663407</v>
      </c>
      <c r="Z446">
        <f t="shared" ca="1" si="193"/>
        <v>52432.680837665233</v>
      </c>
      <c r="AA446">
        <f t="shared" ca="1" si="194"/>
        <v>2.2562304480281055E-12</v>
      </c>
      <c r="AB446">
        <f t="shared" ca="1" si="195"/>
        <v>-4.999999946448952E-4</v>
      </c>
      <c r="AC446">
        <f t="shared" ca="1" si="196"/>
        <v>1</v>
      </c>
      <c r="AD446">
        <f ca="1">IF(V32="Supercritical",L446,IF(V32="Subcritical",U446,IF(AND(T446=1,AC446=1),IF((((F446)*(L446)^2)/2+(G446)*(L446)^3/3+(ABS(K446)^2)/($I$5*MAX(((F446)+(G446)*(L446))*(L446),0.000001)))&gt;=(((F446)*(U446)^2)/2+(G446)*(U446)^3/3+(ABS(K446)^2)/($I$5*MAX(((F446)+(G446)*(U446))*(U446),0.000001))),L446,U446),IF(T446=1,L446,IF(AC446=1,U446,MAX($D$16,POWER((ABS(K446)^2)/($I$5*MAX(F446,0.1)^2),1/3)))))))</f>
        <v>51800.26683766341</v>
      </c>
      <c r="AE446">
        <f t="shared" ca="1" si="197"/>
        <v>52432.680837663407</v>
      </c>
      <c r="AF446">
        <f t="shared" ca="1" si="198"/>
        <v>52432.680837665233</v>
      </c>
      <c r="AI446">
        <v>0</v>
      </c>
      <c r="AJ446">
        <v>0</v>
      </c>
      <c r="AK446">
        <f t="shared" si="199"/>
        <v>0</v>
      </c>
      <c r="AL446">
        <f t="shared" si="208"/>
        <v>0</v>
      </c>
      <c r="AM446">
        <f t="shared" ca="1" si="200"/>
        <v>2.6560383008097266E-7</v>
      </c>
      <c r="AN446" t="str">
        <f t="shared" ca="1" si="201"/>
        <v>Subcritical</v>
      </c>
      <c r="AO446">
        <f t="shared" ca="1" si="202"/>
        <v>2.2562304480281055E-12</v>
      </c>
    </row>
    <row r="447" spans="1:41" x14ac:dyDescent="0.35">
      <c r="A447">
        <v>298</v>
      </c>
      <c r="B447">
        <v>296.89600000000002</v>
      </c>
      <c r="C447">
        <v>616300.64</v>
      </c>
      <c r="D447">
        <v>3097655.4550000001</v>
      </c>
      <c r="E447">
        <v>632.4135</v>
      </c>
      <c r="F447">
        <v>5.2</v>
      </c>
      <c r="G447">
        <v>0</v>
      </c>
      <c r="H447" t="s">
        <v>186</v>
      </c>
      <c r="I447">
        <v>2.7E-2</v>
      </c>
      <c r="J447">
        <f t="shared" si="203"/>
        <v>1.0010000000000332</v>
      </c>
      <c r="K447">
        <f t="shared" si="204"/>
        <v>51</v>
      </c>
      <c r="L447">
        <f t="shared" ca="1" si="205"/>
        <v>51797.868163978055</v>
      </c>
      <c r="M447">
        <f t="shared" ca="1" si="182"/>
        <v>269348.91445268592</v>
      </c>
      <c r="N447">
        <f t="shared" ca="1" si="183"/>
        <v>2.5998694992489533</v>
      </c>
      <c r="O447">
        <f t="shared" ca="1" si="184"/>
        <v>1.8934548187666341E-4</v>
      </c>
      <c r="P447">
        <f t="shared" ca="1" si="185"/>
        <v>52430.281663978058</v>
      </c>
      <c r="Q447">
        <f t="shared" ca="1" si="186"/>
        <v>52430.281663979884</v>
      </c>
      <c r="R447">
        <f t="shared" ca="1" si="187"/>
        <v>2.2564394244669828E-12</v>
      </c>
      <c r="S447">
        <f t="shared" ca="1" si="206"/>
        <v>4.999999946448952E-4</v>
      </c>
      <c r="T447">
        <f t="shared" ca="1" si="207"/>
        <v>1</v>
      </c>
      <c r="U447">
        <f t="shared" ca="1" si="188"/>
        <v>51800.26683766341</v>
      </c>
      <c r="V447">
        <f t="shared" ca="1" si="189"/>
        <v>269361.38755584974</v>
      </c>
      <c r="W447">
        <f t="shared" ca="1" si="190"/>
        <v>2.5998695052916441</v>
      </c>
      <c r="X447">
        <f t="shared" ca="1" si="191"/>
        <v>1.8933671400629237E-4</v>
      </c>
      <c r="Y447">
        <f t="shared" ca="1" si="192"/>
        <v>52432.680337663413</v>
      </c>
      <c r="Z447">
        <f t="shared" ca="1" si="193"/>
        <v>52432.680337665239</v>
      </c>
      <c r="AA447">
        <f t="shared" ca="1" si="194"/>
        <v>2.2562304480281055E-12</v>
      </c>
      <c r="AB447">
        <f t="shared" ca="1" si="195"/>
        <v>-5.0000000192085281E-4</v>
      </c>
      <c r="AC447">
        <f t="shared" ca="1" si="196"/>
        <v>1</v>
      </c>
      <c r="AD447">
        <f ca="1">IF(V32="Supercritical",L447,IF(V32="Subcritical",U447,IF(AND(T447=1,AC447=1),IF((((F447)*(L447)^2)/2+(G447)*(L447)^3/3+(ABS(K447)^2)/($I$5*MAX(((F447)+(G447)*(L447))*(L447),0.000001)))&gt;=(((F447)*(U447)^2)/2+(G447)*(U447)^3/3+(ABS(K447)^2)/($I$5*MAX(((F447)+(G447)*(U447))*(U447),0.000001))),L447,U447),IF(T447=1,L447,IF(AC447=1,U447,MAX($D$16,POWER((ABS(K447)^2)/($I$5*MAX(F447,0.1)^2),1/3)))))))</f>
        <v>51800.26683766341</v>
      </c>
      <c r="AE447">
        <f t="shared" ca="1" si="197"/>
        <v>52432.680337663413</v>
      </c>
      <c r="AF447">
        <f t="shared" ca="1" si="198"/>
        <v>52432.680337665239</v>
      </c>
      <c r="AI447">
        <v>0</v>
      </c>
      <c r="AJ447">
        <v>0</v>
      </c>
      <c r="AK447">
        <f t="shared" si="199"/>
        <v>0</v>
      </c>
      <c r="AL447">
        <f t="shared" si="208"/>
        <v>0</v>
      </c>
      <c r="AM447">
        <f t="shared" ca="1" si="200"/>
        <v>2.6560383008097266E-7</v>
      </c>
      <c r="AN447" t="str">
        <f t="shared" ca="1" si="201"/>
        <v>Subcritical</v>
      </c>
      <c r="AO447">
        <f t="shared" ca="1" si="202"/>
        <v>2.2562304480281055E-12</v>
      </c>
    </row>
    <row r="448" spans="1:41" x14ac:dyDescent="0.35">
      <c r="A448">
        <v>299</v>
      </c>
      <c r="B448">
        <v>297.89499999999998</v>
      </c>
      <c r="C448">
        <v>616300.16599999997</v>
      </c>
      <c r="D448">
        <v>3097654.5750000002</v>
      </c>
      <c r="E448">
        <v>632.41300000000001</v>
      </c>
      <c r="F448">
        <v>5.2</v>
      </c>
      <c r="G448">
        <v>0</v>
      </c>
      <c r="H448" t="s">
        <v>186</v>
      </c>
      <c r="I448">
        <v>0</v>
      </c>
      <c r="J448">
        <f t="shared" si="203"/>
        <v>0.9989999999999668</v>
      </c>
      <c r="K448">
        <f t="shared" si="204"/>
        <v>51</v>
      </c>
      <c r="L448">
        <f t="shared" ca="1" si="205"/>
        <v>51797.867576011115</v>
      </c>
      <c r="M448">
        <f t="shared" ca="1" si="182"/>
        <v>269348.9113952578</v>
      </c>
      <c r="N448">
        <f t="shared" ca="1" si="183"/>
        <v>2.5998694992474718</v>
      </c>
      <c r="O448">
        <f t="shared" ca="1" si="184"/>
        <v>1.8934548402595815E-4</v>
      </c>
      <c r="P448">
        <f t="shared" ca="1" si="185"/>
        <v>52430.280576011115</v>
      </c>
      <c r="Q448">
        <f t="shared" ca="1" si="186"/>
        <v>52430.280576012941</v>
      </c>
      <c r="R448">
        <f t="shared" ca="1" si="187"/>
        <v>2.256439475695201E-12</v>
      </c>
      <c r="S448">
        <f t="shared" ca="1" si="206"/>
        <v>1.0879669425776228E-3</v>
      </c>
      <c r="T448">
        <f t="shared" ca="1" si="207"/>
        <v>0</v>
      </c>
      <c r="U448">
        <f t="shared" ca="1" si="188"/>
        <v>51800.26683766341</v>
      </c>
      <c r="V448">
        <f t="shared" ca="1" si="189"/>
        <v>269361.38755584974</v>
      </c>
      <c r="W448">
        <f t="shared" ca="1" si="190"/>
        <v>2.5998695052916441</v>
      </c>
      <c r="X448">
        <f t="shared" ca="1" si="191"/>
        <v>1.8933671400629237E-4</v>
      </c>
      <c r="Y448">
        <f t="shared" ca="1" si="192"/>
        <v>52432.679837663411</v>
      </c>
      <c r="Z448">
        <f t="shared" ca="1" si="193"/>
        <v>52432.679837665237</v>
      </c>
      <c r="AA448">
        <f t="shared" ca="1" si="194"/>
        <v>2.2562304480281055E-12</v>
      </c>
      <c r="AB448">
        <f t="shared" ca="1" si="195"/>
        <v>-5.0000000192085281E-4</v>
      </c>
      <c r="AC448">
        <f t="shared" ca="1" si="196"/>
        <v>1</v>
      </c>
      <c r="AD448">
        <f ca="1">IF(V32="Supercritical",L448,IF(V32="Subcritical",U448,IF(AND(T448=1,AC448=1),IF((((F448)*(L448)^2)/2+(G448)*(L448)^3/3+(ABS(K448)^2)/($I$5*MAX(((F448)+(G448)*(L448))*(L448),0.000001)))&gt;=(((F448)*(U448)^2)/2+(G448)*(U448)^3/3+(ABS(K448)^2)/($I$5*MAX(((F448)+(G448)*(U448))*(U448),0.000001))),L448,U448),IF(T448=1,L448,IF(AC448=1,U448,MAX($D$16,POWER((ABS(K448)^2)/($I$5*MAX(F448,0.1)^2),1/3)))))))</f>
        <v>51800.26683766341</v>
      </c>
      <c r="AE448">
        <f t="shared" ca="1" si="197"/>
        <v>52432.679837663411</v>
      </c>
      <c r="AF448">
        <f t="shared" ca="1" si="198"/>
        <v>52432.679837665237</v>
      </c>
      <c r="AI448">
        <v>0</v>
      </c>
      <c r="AJ448">
        <v>0</v>
      </c>
      <c r="AK448">
        <f t="shared" si="199"/>
        <v>0</v>
      </c>
      <c r="AL448">
        <f t="shared" si="208"/>
        <v>0</v>
      </c>
      <c r="AM448">
        <f t="shared" ca="1" si="200"/>
        <v>2.6560383008097266E-7</v>
      </c>
      <c r="AN448" t="str">
        <f t="shared" ca="1" si="201"/>
        <v>Subcritical</v>
      </c>
      <c r="AO448">
        <f t="shared" ca="1" si="202"/>
        <v>2.2562304480281055E-12</v>
      </c>
    </row>
    <row r="449" spans="1:41" x14ac:dyDescent="0.35">
      <c r="A449">
        <v>300</v>
      </c>
      <c r="B449">
        <v>298.89499999999998</v>
      </c>
      <c r="C449">
        <v>616299.69200000004</v>
      </c>
      <c r="D449">
        <v>3097653.6949999998</v>
      </c>
      <c r="E449">
        <v>632.41250000000002</v>
      </c>
      <c r="F449">
        <v>5.2</v>
      </c>
      <c r="G449">
        <v>0</v>
      </c>
      <c r="H449" t="s">
        <v>186</v>
      </c>
      <c r="I449">
        <v>2.3E-2</v>
      </c>
      <c r="J449">
        <f t="shared" si="203"/>
        <v>1</v>
      </c>
      <c r="K449">
        <f t="shared" si="204"/>
        <v>51</v>
      </c>
      <c r="L449">
        <f t="shared" ca="1" si="205"/>
        <v>51797.867576011115</v>
      </c>
      <c r="M449">
        <f t="shared" ca="1" si="182"/>
        <v>269348.9113952578</v>
      </c>
      <c r="N449">
        <f t="shared" ca="1" si="183"/>
        <v>2.5998694992474718</v>
      </c>
      <c r="O449">
        <f t="shared" ca="1" si="184"/>
        <v>1.8934548402595815E-4</v>
      </c>
      <c r="P449">
        <f t="shared" ca="1" si="185"/>
        <v>52430.280076011113</v>
      </c>
      <c r="Q449">
        <f t="shared" ca="1" si="186"/>
        <v>52430.280076012939</v>
      </c>
      <c r="R449">
        <f t="shared" ca="1" si="187"/>
        <v>2.256439475695201E-12</v>
      </c>
      <c r="S449">
        <f t="shared" ca="1" si="206"/>
        <v>5.0000000192085281E-4</v>
      </c>
      <c r="T449">
        <f t="shared" ca="1" si="207"/>
        <v>1</v>
      </c>
      <c r="U449">
        <f t="shared" ca="1" si="188"/>
        <v>51800.26683766341</v>
      </c>
      <c r="V449">
        <f t="shared" ca="1" si="189"/>
        <v>269361.38755584974</v>
      </c>
      <c r="W449">
        <f t="shared" ca="1" si="190"/>
        <v>2.5998695052916441</v>
      </c>
      <c r="X449">
        <f t="shared" ca="1" si="191"/>
        <v>1.8933671400629237E-4</v>
      </c>
      <c r="Y449">
        <f t="shared" ca="1" si="192"/>
        <v>52432.679337663409</v>
      </c>
      <c r="Z449">
        <f t="shared" ca="1" si="193"/>
        <v>52432.679337665235</v>
      </c>
      <c r="AA449">
        <f t="shared" ca="1" si="194"/>
        <v>2.2562304480281055E-12</v>
      </c>
      <c r="AB449">
        <f t="shared" ca="1" si="195"/>
        <v>-5.0000000192085281E-4</v>
      </c>
      <c r="AC449">
        <f t="shared" ca="1" si="196"/>
        <v>1</v>
      </c>
      <c r="AD449">
        <f ca="1">IF(V32="Supercritical",L449,IF(V32="Subcritical",U449,IF(AND(T449=1,AC449=1),IF((((F449)*(L449)^2)/2+(G449)*(L449)^3/3+(ABS(K449)^2)/($I$5*MAX(((F449)+(G449)*(L449))*(L449),0.000001)))&gt;=(((F449)*(U449)^2)/2+(G449)*(U449)^3/3+(ABS(K449)^2)/($I$5*MAX(((F449)+(G449)*(U449))*(U449),0.000001))),L449,U449),IF(T449=1,L449,IF(AC449=1,U449,MAX($D$16,POWER((ABS(K449)^2)/($I$5*MAX(F449,0.1)^2),1/3)))))))</f>
        <v>51800.26683766341</v>
      </c>
      <c r="AE449">
        <f t="shared" ca="1" si="197"/>
        <v>52432.679337663409</v>
      </c>
      <c r="AF449">
        <f t="shared" ca="1" si="198"/>
        <v>52432.679337665235</v>
      </c>
      <c r="AI449">
        <v>0</v>
      </c>
      <c r="AJ449">
        <v>0</v>
      </c>
      <c r="AK449">
        <f t="shared" si="199"/>
        <v>0</v>
      </c>
      <c r="AL449">
        <f t="shared" si="208"/>
        <v>0</v>
      </c>
      <c r="AM449">
        <f t="shared" ca="1" si="200"/>
        <v>2.6560383008097266E-7</v>
      </c>
      <c r="AN449" t="str">
        <f t="shared" ca="1" si="201"/>
        <v>Subcritical</v>
      </c>
      <c r="AO449">
        <f t="shared" ca="1" si="202"/>
        <v>2.2562304480281055E-12</v>
      </c>
    </row>
    <row r="450" spans="1:41" x14ac:dyDescent="0.35">
      <c r="A450">
        <v>301</v>
      </c>
      <c r="B450">
        <v>299.89600000000002</v>
      </c>
      <c r="C450">
        <v>616299.21699999995</v>
      </c>
      <c r="D450">
        <v>3097652.8139999998</v>
      </c>
      <c r="E450">
        <v>632.41200000000003</v>
      </c>
      <c r="F450">
        <v>5.2</v>
      </c>
      <c r="G450">
        <v>0</v>
      </c>
      <c r="H450" t="s">
        <v>186</v>
      </c>
      <c r="I450">
        <v>2.3E-2</v>
      </c>
      <c r="J450">
        <f t="shared" si="203"/>
        <v>1.0010000000000332</v>
      </c>
      <c r="K450">
        <f t="shared" si="204"/>
        <v>51</v>
      </c>
      <c r="L450">
        <f t="shared" ca="1" si="205"/>
        <v>51797.866988368136</v>
      </c>
      <c r="M450">
        <f t="shared" ca="1" si="182"/>
        <v>269348.90833951434</v>
      </c>
      <c r="N450">
        <f t="shared" ca="1" si="183"/>
        <v>2.5998694992459912</v>
      </c>
      <c r="O450">
        <f t="shared" ca="1" si="184"/>
        <v>1.8934548617406867E-4</v>
      </c>
      <c r="P450">
        <f t="shared" ca="1" si="185"/>
        <v>52430.278988368133</v>
      </c>
      <c r="Q450">
        <f t="shared" ca="1" si="186"/>
        <v>52430.278988369959</v>
      </c>
      <c r="R450">
        <f t="shared" ca="1" si="187"/>
        <v>2.2564395268951933E-12</v>
      </c>
      <c r="S450">
        <f t="shared" ca="1" si="206"/>
        <v>1.0876429805648513E-3</v>
      </c>
      <c r="T450">
        <f t="shared" ca="1" si="207"/>
        <v>0</v>
      </c>
      <c r="U450">
        <f t="shared" ca="1" si="188"/>
        <v>51800.26683766341</v>
      </c>
      <c r="V450">
        <f t="shared" ca="1" si="189"/>
        <v>269361.38755584974</v>
      </c>
      <c r="W450">
        <f t="shared" ca="1" si="190"/>
        <v>2.5998695052916441</v>
      </c>
      <c r="X450">
        <f t="shared" ca="1" si="191"/>
        <v>1.8933671400629237E-4</v>
      </c>
      <c r="Y450">
        <f t="shared" ca="1" si="192"/>
        <v>52432.678837663407</v>
      </c>
      <c r="Z450">
        <f t="shared" ca="1" si="193"/>
        <v>52432.678837665233</v>
      </c>
      <c r="AA450">
        <f t="shared" ca="1" si="194"/>
        <v>2.2562304480281055E-12</v>
      </c>
      <c r="AB450">
        <f t="shared" ca="1" si="195"/>
        <v>-4.999999946448952E-4</v>
      </c>
      <c r="AC450">
        <f t="shared" ca="1" si="196"/>
        <v>1</v>
      </c>
      <c r="AD450">
        <f ca="1">IF(V32="Supercritical",L450,IF(V32="Subcritical",U450,IF(AND(T450=1,AC450=1),IF((((F450)*(L450)^2)/2+(G450)*(L450)^3/3+(ABS(K450)^2)/($I$5*MAX(((F450)+(G450)*(L450))*(L450),0.000001)))&gt;=(((F450)*(U450)^2)/2+(G450)*(U450)^3/3+(ABS(K450)^2)/($I$5*MAX(((F450)+(G450)*(U450))*(U450),0.000001))),L450,U450),IF(T450=1,L450,IF(AC450=1,U450,MAX($D$16,POWER((ABS(K450)^2)/($I$5*MAX(F450,0.1)^2),1/3)))))))</f>
        <v>51800.26683766341</v>
      </c>
      <c r="AE450">
        <f t="shared" ca="1" si="197"/>
        <v>52432.678837663407</v>
      </c>
      <c r="AF450">
        <f t="shared" ca="1" si="198"/>
        <v>52432.678837665233</v>
      </c>
      <c r="AI450">
        <v>0</v>
      </c>
      <c r="AJ450">
        <v>0</v>
      </c>
      <c r="AK450">
        <f t="shared" si="199"/>
        <v>0</v>
      </c>
      <c r="AL450">
        <f t="shared" si="208"/>
        <v>0</v>
      </c>
      <c r="AM450">
        <f t="shared" ca="1" si="200"/>
        <v>2.6560383008097266E-7</v>
      </c>
      <c r="AN450" t="str">
        <f t="shared" ca="1" si="201"/>
        <v>Subcritical</v>
      </c>
      <c r="AO450">
        <f t="shared" ca="1" si="202"/>
        <v>2.2562304480281055E-12</v>
      </c>
    </row>
    <row r="451" spans="1:41" x14ac:dyDescent="0.35">
      <c r="A451">
        <v>302</v>
      </c>
      <c r="B451">
        <v>300.89499999999998</v>
      </c>
      <c r="C451">
        <v>616298.74300000002</v>
      </c>
      <c r="D451">
        <v>3097651.9339999999</v>
      </c>
      <c r="E451">
        <v>632.41150000000005</v>
      </c>
      <c r="F451">
        <v>5.2</v>
      </c>
      <c r="G451">
        <v>0</v>
      </c>
      <c r="H451" t="s">
        <v>186</v>
      </c>
      <c r="I451">
        <v>2.7E-2</v>
      </c>
      <c r="J451">
        <f t="shared" si="203"/>
        <v>0.9989999999999668</v>
      </c>
      <c r="K451">
        <f t="shared" si="204"/>
        <v>51</v>
      </c>
      <c r="L451">
        <f t="shared" ca="1" si="205"/>
        <v>51797.866988368136</v>
      </c>
      <c r="M451">
        <f t="shared" ca="1" si="182"/>
        <v>269348.90833951434</v>
      </c>
      <c r="N451">
        <f t="shared" ca="1" si="183"/>
        <v>2.5998694992459912</v>
      </c>
      <c r="O451">
        <f t="shared" ca="1" si="184"/>
        <v>1.8934548617406867E-4</v>
      </c>
      <c r="P451">
        <f t="shared" ca="1" si="185"/>
        <v>52430.278488368138</v>
      </c>
      <c r="Q451">
        <f t="shared" ca="1" si="186"/>
        <v>52430.278488369964</v>
      </c>
      <c r="R451">
        <f t="shared" ca="1" si="187"/>
        <v>2.2564395268951933E-12</v>
      </c>
      <c r="S451">
        <f t="shared" ca="1" si="206"/>
        <v>4.999999946448952E-4</v>
      </c>
      <c r="T451">
        <f t="shared" ca="1" si="207"/>
        <v>1</v>
      </c>
      <c r="U451">
        <f t="shared" ca="1" si="188"/>
        <v>51800.26683766341</v>
      </c>
      <c r="V451">
        <f t="shared" ca="1" si="189"/>
        <v>269361.38755584974</v>
      </c>
      <c r="W451">
        <f t="shared" ca="1" si="190"/>
        <v>2.5998695052916441</v>
      </c>
      <c r="X451">
        <f t="shared" ca="1" si="191"/>
        <v>1.8933671400629237E-4</v>
      </c>
      <c r="Y451">
        <f t="shared" ca="1" si="192"/>
        <v>52432.678337663412</v>
      </c>
      <c r="Z451">
        <f t="shared" ca="1" si="193"/>
        <v>52432.678337665238</v>
      </c>
      <c r="AA451">
        <f t="shared" ca="1" si="194"/>
        <v>2.2562304480281055E-12</v>
      </c>
      <c r="AB451">
        <f t="shared" ca="1" si="195"/>
        <v>-5.0000000192085281E-4</v>
      </c>
      <c r="AC451">
        <f t="shared" ca="1" si="196"/>
        <v>1</v>
      </c>
      <c r="AD451">
        <f ca="1">IF(V32="Supercritical",L451,IF(V32="Subcritical",U451,IF(AND(T451=1,AC451=1),IF((((F451)*(L451)^2)/2+(G451)*(L451)^3/3+(ABS(K451)^2)/($I$5*MAX(((F451)+(G451)*(L451))*(L451),0.000001)))&gt;=(((F451)*(U451)^2)/2+(G451)*(U451)^3/3+(ABS(K451)^2)/($I$5*MAX(((F451)+(G451)*(U451))*(U451),0.000001))),L451,U451),IF(T451=1,L451,IF(AC451=1,U451,MAX($D$16,POWER((ABS(K451)^2)/($I$5*MAX(F451,0.1)^2),1/3)))))))</f>
        <v>51800.26683766341</v>
      </c>
      <c r="AE451">
        <f t="shared" ca="1" si="197"/>
        <v>52432.678337663412</v>
      </c>
      <c r="AF451">
        <f t="shared" ca="1" si="198"/>
        <v>52432.678337665238</v>
      </c>
      <c r="AI451">
        <v>0</v>
      </c>
      <c r="AJ451">
        <v>0</v>
      </c>
      <c r="AK451">
        <f t="shared" si="199"/>
        <v>0</v>
      </c>
      <c r="AL451">
        <f t="shared" si="208"/>
        <v>0</v>
      </c>
      <c r="AM451">
        <f t="shared" ca="1" si="200"/>
        <v>2.6560383008097266E-7</v>
      </c>
      <c r="AN451" t="str">
        <f t="shared" ca="1" si="201"/>
        <v>Subcritical</v>
      </c>
      <c r="AO451">
        <f t="shared" ca="1" si="202"/>
        <v>2.2562304480281055E-12</v>
      </c>
    </row>
    <row r="452" spans="1:41" x14ac:dyDescent="0.35">
      <c r="A452">
        <v>303</v>
      </c>
      <c r="B452">
        <v>301.89600000000002</v>
      </c>
      <c r="C452">
        <v>616298.26899999997</v>
      </c>
      <c r="D452">
        <v>3097651.0529999998</v>
      </c>
      <c r="E452">
        <v>632.41099999999994</v>
      </c>
      <c r="F452">
        <v>5.2</v>
      </c>
      <c r="G452">
        <v>0</v>
      </c>
      <c r="H452" t="s">
        <v>186</v>
      </c>
      <c r="I452">
        <v>2.7E-2</v>
      </c>
      <c r="J452">
        <f t="shared" si="203"/>
        <v>1.0010000000000332</v>
      </c>
      <c r="K452">
        <f t="shared" si="204"/>
        <v>51</v>
      </c>
      <c r="L452">
        <f t="shared" ca="1" si="205"/>
        <v>51797.866400950661</v>
      </c>
      <c r="M452">
        <f t="shared" ca="1" si="182"/>
        <v>269348.90528494347</v>
      </c>
      <c r="N452">
        <f t="shared" ca="1" si="183"/>
        <v>2.5998694992445115</v>
      </c>
      <c r="O452">
        <f t="shared" ca="1" si="184"/>
        <v>1.8934548832135495E-4</v>
      </c>
      <c r="P452">
        <f t="shared" ca="1" si="185"/>
        <v>52430.277400950661</v>
      </c>
      <c r="Q452">
        <f t="shared" ca="1" si="186"/>
        <v>52430.277400952487</v>
      </c>
      <c r="R452">
        <f t="shared" ca="1" si="187"/>
        <v>2.2564395780755393E-12</v>
      </c>
      <c r="S452">
        <f t="shared" ca="1" si="206"/>
        <v>1.0874174768105149E-3</v>
      </c>
      <c r="T452">
        <f t="shared" ca="1" si="207"/>
        <v>0</v>
      </c>
      <c r="U452">
        <f t="shared" ca="1" si="188"/>
        <v>51800.26683766341</v>
      </c>
      <c r="V452">
        <f t="shared" ca="1" si="189"/>
        <v>269361.38755584974</v>
      </c>
      <c r="W452">
        <f t="shared" ca="1" si="190"/>
        <v>2.5998695052916441</v>
      </c>
      <c r="X452">
        <f t="shared" ca="1" si="191"/>
        <v>1.8933671400629237E-4</v>
      </c>
      <c r="Y452">
        <f t="shared" ca="1" si="192"/>
        <v>52432.67783766341</v>
      </c>
      <c r="Z452">
        <f t="shared" ca="1" si="193"/>
        <v>52432.677837665236</v>
      </c>
      <c r="AA452">
        <f t="shared" ca="1" si="194"/>
        <v>2.2562304480281055E-12</v>
      </c>
      <c r="AB452">
        <f t="shared" ca="1" si="195"/>
        <v>-5.0000000192085281E-4</v>
      </c>
      <c r="AC452">
        <f t="shared" ca="1" si="196"/>
        <v>1</v>
      </c>
      <c r="AD452">
        <f ca="1">IF(V32="Supercritical",L452,IF(V32="Subcritical",U452,IF(AND(T452=1,AC452=1),IF((((F452)*(L452)^2)/2+(G452)*(L452)^3/3+(ABS(K452)^2)/($I$5*MAX(((F452)+(G452)*(L452))*(L452),0.000001)))&gt;=(((F452)*(U452)^2)/2+(G452)*(U452)^3/3+(ABS(K452)^2)/($I$5*MAX(((F452)+(G452)*(U452))*(U452),0.000001))),L452,U452),IF(T452=1,L452,IF(AC452=1,U452,MAX($D$16,POWER((ABS(K452)^2)/($I$5*MAX(F452,0.1)^2),1/3)))))))</f>
        <v>51800.26683766341</v>
      </c>
      <c r="AE452">
        <f t="shared" ca="1" si="197"/>
        <v>52432.67783766341</v>
      </c>
      <c r="AF452">
        <f t="shared" ca="1" si="198"/>
        <v>52432.677837665236</v>
      </c>
      <c r="AI452">
        <v>0</v>
      </c>
      <c r="AJ452">
        <v>0</v>
      </c>
      <c r="AK452">
        <f t="shared" si="199"/>
        <v>0</v>
      </c>
      <c r="AL452">
        <f t="shared" si="208"/>
        <v>0</v>
      </c>
      <c r="AM452">
        <f t="shared" ca="1" si="200"/>
        <v>2.6560383008097266E-7</v>
      </c>
      <c r="AN452" t="str">
        <f t="shared" ca="1" si="201"/>
        <v>Subcritical</v>
      </c>
      <c r="AO452">
        <f t="shared" ca="1" si="202"/>
        <v>2.2562304480281055E-12</v>
      </c>
    </row>
    <row r="453" spans="1:41" x14ac:dyDescent="0.35">
      <c r="A453">
        <v>304</v>
      </c>
      <c r="B453">
        <v>302.89499999999998</v>
      </c>
      <c r="C453">
        <v>616297.79500000004</v>
      </c>
      <c r="D453">
        <v>3097650.173</v>
      </c>
      <c r="E453">
        <v>632.41049999999996</v>
      </c>
      <c r="F453">
        <v>5.2</v>
      </c>
      <c r="G453">
        <v>0</v>
      </c>
      <c r="H453" t="s">
        <v>186</v>
      </c>
      <c r="I453">
        <v>0.05</v>
      </c>
      <c r="J453">
        <f t="shared" si="203"/>
        <v>0.9989999999999668</v>
      </c>
      <c r="K453">
        <f t="shared" si="204"/>
        <v>51</v>
      </c>
      <c r="L453">
        <f t="shared" ca="1" si="205"/>
        <v>51797.866400950661</v>
      </c>
      <c r="M453">
        <f t="shared" ca="1" si="182"/>
        <v>269348.90528494347</v>
      </c>
      <c r="N453">
        <f t="shared" ca="1" si="183"/>
        <v>2.5998694992445115</v>
      </c>
      <c r="O453">
        <f t="shared" ca="1" si="184"/>
        <v>1.8934548832135495E-4</v>
      </c>
      <c r="P453">
        <f t="shared" ca="1" si="185"/>
        <v>52430.276900950659</v>
      </c>
      <c r="Q453">
        <f t="shared" ca="1" si="186"/>
        <v>52430.276900952485</v>
      </c>
      <c r="R453">
        <f t="shared" ca="1" si="187"/>
        <v>2.2564395780755393E-12</v>
      </c>
      <c r="S453">
        <f t="shared" ca="1" si="206"/>
        <v>5.0000000192085281E-4</v>
      </c>
      <c r="T453">
        <f t="shared" ca="1" si="207"/>
        <v>1</v>
      </c>
      <c r="U453">
        <f t="shared" ca="1" si="188"/>
        <v>51800.26683766341</v>
      </c>
      <c r="V453">
        <f t="shared" ca="1" si="189"/>
        <v>269361.38755584974</v>
      </c>
      <c r="W453">
        <f t="shared" ca="1" si="190"/>
        <v>2.5998695052916441</v>
      </c>
      <c r="X453">
        <f t="shared" ca="1" si="191"/>
        <v>1.8933671400629237E-4</v>
      </c>
      <c r="Y453">
        <f t="shared" ca="1" si="192"/>
        <v>52432.677337663408</v>
      </c>
      <c r="Z453">
        <f t="shared" ca="1" si="193"/>
        <v>52432.677337665235</v>
      </c>
      <c r="AA453">
        <f t="shared" ca="1" si="194"/>
        <v>2.2562304480281055E-12</v>
      </c>
      <c r="AB453">
        <f t="shared" ca="1" si="195"/>
        <v>-4.999999946448952E-4</v>
      </c>
      <c r="AC453">
        <f t="shared" ca="1" si="196"/>
        <v>1</v>
      </c>
      <c r="AD453">
        <f ca="1">IF(V32="Supercritical",L453,IF(V32="Subcritical",U453,IF(AND(T453=1,AC453=1),IF((((F453)*(L453)^2)/2+(G453)*(L453)^3/3+(ABS(K453)^2)/($I$5*MAX(((F453)+(G453)*(L453))*(L453),0.000001)))&gt;=(((F453)*(U453)^2)/2+(G453)*(U453)^3/3+(ABS(K453)^2)/($I$5*MAX(((F453)+(G453)*(U453))*(U453),0.000001))),L453,U453),IF(T453=1,L453,IF(AC453=1,U453,MAX($D$16,POWER((ABS(K453)^2)/($I$5*MAX(F453,0.1)^2),1/3)))))))</f>
        <v>51800.26683766341</v>
      </c>
      <c r="AE453">
        <f t="shared" ca="1" si="197"/>
        <v>52432.677337663408</v>
      </c>
      <c r="AF453">
        <f t="shared" ca="1" si="198"/>
        <v>52432.677337665235</v>
      </c>
      <c r="AI453">
        <v>0</v>
      </c>
      <c r="AJ453">
        <v>0</v>
      </c>
      <c r="AK453">
        <f t="shared" si="199"/>
        <v>0</v>
      </c>
      <c r="AL453">
        <f t="shared" si="208"/>
        <v>0</v>
      </c>
      <c r="AM453">
        <f t="shared" ca="1" si="200"/>
        <v>2.6560383008097266E-7</v>
      </c>
      <c r="AN453" t="str">
        <f t="shared" ca="1" si="201"/>
        <v>Subcritical</v>
      </c>
      <c r="AO453">
        <f t="shared" ca="1" si="202"/>
        <v>2.2562304480281055E-12</v>
      </c>
    </row>
    <row r="454" spans="1:41" x14ac:dyDescent="0.35">
      <c r="A454">
        <v>305</v>
      </c>
      <c r="B454">
        <v>303.89499999999998</v>
      </c>
      <c r="C454">
        <v>616297.31999999995</v>
      </c>
      <c r="D454">
        <v>3097649.2930000001</v>
      </c>
      <c r="E454">
        <v>632.41</v>
      </c>
      <c r="F454">
        <v>5.2</v>
      </c>
      <c r="G454">
        <v>0</v>
      </c>
      <c r="H454" t="s">
        <v>186</v>
      </c>
      <c r="I454">
        <v>7.8E-2</v>
      </c>
      <c r="J454">
        <f t="shared" si="203"/>
        <v>1</v>
      </c>
      <c r="K454">
        <f t="shared" si="204"/>
        <v>51</v>
      </c>
      <c r="L454">
        <f t="shared" ca="1" si="205"/>
        <v>51797.8658136882</v>
      </c>
      <c r="M454">
        <f t="shared" ca="1" si="182"/>
        <v>269348.90223117865</v>
      </c>
      <c r="N454">
        <f t="shared" ca="1" si="183"/>
        <v>2.5998694992430318</v>
      </c>
      <c r="O454">
        <f t="shared" ca="1" si="184"/>
        <v>1.8934549046807463E-4</v>
      </c>
      <c r="P454">
        <f t="shared" ca="1" si="185"/>
        <v>52430.275813688204</v>
      </c>
      <c r="Q454">
        <f t="shared" ca="1" si="186"/>
        <v>52430.27581369003</v>
      </c>
      <c r="R454">
        <f t="shared" ca="1" si="187"/>
        <v>2.2564396292423814E-12</v>
      </c>
      <c r="S454">
        <f t="shared" ca="1" si="206"/>
        <v>1.0872624552575871E-3</v>
      </c>
      <c r="T454">
        <f t="shared" ca="1" si="207"/>
        <v>0</v>
      </c>
      <c r="U454">
        <f t="shared" ca="1" si="188"/>
        <v>51800.26683766341</v>
      </c>
      <c r="V454">
        <f t="shared" ca="1" si="189"/>
        <v>269361.38755584974</v>
      </c>
      <c r="W454">
        <f t="shared" ca="1" si="190"/>
        <v>2.5998695052916441</v>
      </c>
      <c r="X454">
        <f t="shared" ca="1" si="191"/>
        <v>1.8933671400629237E-4</v>
      </c>
      <c r="Y454">
        <f t="shared" ca="1" si="192"/>
        <v>52432.676837663414</v>
      </c>
      <c r="Z454">
        <f t="shared" ca="1" si="193"/>
        <v>52432.67683766524</v>
      </c>
      <c r="AA454">
        <f t="shared" ca="1" si="194"/>
        <v>2.2562304480281055E-12</v>
      </c>
      <c r="AB454">
        <f t="shared" ca="1" si="195"/>
        <v>-5.0000000192085281E-4</v>
      </c>
      <c r="AC454">
        <f t="shared" ca="1" si="196"/>
        <v>1</v>
      </c>
      <c r="AD454">
        <f ca="1">IF(V32="Supercritical",L454,IF(V32="Subcritical",U454,IF(AND(T454=1,AC454=1),IF((((F454)*(L454)^2)/2+(G454)*(L454)^3/3+(ABS(K454)^2)/($I$5*MAX(((F454)+(G454)*(L454))*(L454),0.000001)))&gt;=(((F454)*(U454)^2)/2+(G454)*(U454)^3/3+(ABS(K454)^2)/($I$5*MAX(((F454)+(G454)*(U454))*(U454),0.000001))),L454,U454),IF(T454=1,L454,IF(AC454=1,U454,MAX($D$16,POWER((ABS(K454)^2)/($I$5*MAX(F454,0.1)^2),1/3)))))))</f>
        <v>51800.26683766341</v>
      </c>
      <c r="AE454">
        <f t="shared" ca="1" si="197"/>
        <v>52432.676837663414</v>
      </c>
      <c r="AF454">
        <f t="shared" ca="1" si="198"/>
        <v>52432.67683766524</v>
      </c>
      <c r="AI454">
        <v>0</v>
      </c>
      <c r="AJ454">
        <v>0</v>
      </c>
      <c r="AK454">
        <f t="shared" si="199"/>
        <v>0</v>
      </c>
      <c r="AL454">
        <f t="shared" si="208"/>
        <v>0</v>
      </c>
      <c r="AM454">
        <f t="shared" ca="1" si="200"/>
        <v>2.6560383008097266E-7</v>
      </c>
      <c r="AN454" t="str">
        <f t="shared" ca="1" si="201"/>
        <v>Subcritical</v>
      </c>
      <c r="AO454">
        <f t="shared" ca="1" si="202"/>
        <v>2.2562304480281055E-12</v>
      </c>
    </row>
    <row r="455" spans="1:41" x14ac:dyDescent="0.35">
      <c r="A455">
        <v>306</v>
      </c>
      <c r="B455">
        <v>304.89600000000002</v>
      </c>
      <c r="C455">
        <v>616296.84600000002</v>
      </c>
      <c r="D455">
        <v>3097648.412</v>
      </c>
      <c r="E455">
        <v>632.40949999999998</v>
      </c>
      <c r="F455">
        <v>5.2</v>
      </c>
      <c r="G455">
        <v>0</v>
      </c>
      <c r="H455" t="s">
        <v>186</v>
      </c>
      <c r="I455">
        <v>2.7E-2</v>
      </c>
      <c r="J455">
        <f t="shared" si="203"/>
        <v>1.0010000000000332</v>
      </c>
      <c r="K455">
        <f t="shared" si="204"/>
        <v>51</v>
      </c>
      <c r="L455">
        <f t="shared" ca="1" si="205"/>
        <v>51797.8658136882</v>
      </c>
      <c r="M455">
        <f t="shared" ca="1" si="182"/>
        <v>269348.90223117865</v>
      </c>
      <c r="N455">
        <f t="shared" ca="1" si="183"/>
        <v>2.5998694992430318</v>
      </c>
      <c r="O455">
        <f t="shared" ca="1" si="184"/>
        <v>1.8934549046807463E-4</v>
      </c>
      <c r="P455">
        <f t="shared" ca="1" si="185"/>
        <v>52430.275313688202</v>
      </c>
      <c r="Q455">
        <f t="shared" ca="1" si="186"/>
        <v>52430.275313690028</v>
      </c>
      <c r="R455">
        <f t="shared" ca="1" si="187"/>
        <v>2.2564396292423814E-12</v>
      </c>
      <c r="S455">
        <f t="shared" ca="1" si="206"/>
        <v>5.0000000192085281E-4</v>
      </c>
      <c r="T455">
        <f t="shared" ca="1" si="207"/>
        <v>1</v>
      </c>
      <c r="U455">
        <f t="shared" ca="1" si="188"/>
        <v>51800.26683766341</v>
      </c>
      <c r="V455">
        <f t="shared" ca="1" si="189"/>
        <v>269361.38755584974</v>
      </c>
      <c r="W455">
        <f t="shared" ca="1" si="190"/>
        <v>2.5998695052916441</v>
      </c>
      <c r="X455">
        <f t="shared" ca="1" si="191"/>
        <v>1.8933671400629237E-4</v>
      </c>
      <c r="Y455">
        <f t="shared" ca="1" si="192"/>
        <v>52432.676337663412</v>
      </c>
      <c r="Z455">
        <f t="shared" ca="1" si="193"/>
        <v>52432.676337665238</v>
      </c>
      <c r="AA455">
        <f t="shared" ca="1" si="194"/>
        <v>2.2562304480281055E-12</v>
      </c>
      <c r="AB455">
        <f t="shared" ca="1" si="195"/>
        <v>-5.0000000192085281E-4</v>
      </c>
      <c r="AC455">
        <f t="shared" ca="1" si="196"/>
        <v>1</v>
      </c>
      <c r="AD455">
        <f ca="1">IF(V32="Supercritical",L455,IF(V32="Subcritical",U455,IF(AND(T455=1,AC455=1),IF((((F455)*(L455)^2)/2+(G455)*(L455)^3/3+(ABS(K455)^2)/($I$5*MAX(((F455)+(G455)*(L455))*(L455),0.000001)))&gt;=(((F455)*(U455)^2)/2+(G455)*(U455)^3/3+(ABS(K455)^2)/($I$5*MAX(((F455)+(G455)*(U455))*(U455),0.000001))),L455,U455),IF(T455=1,L455,IF(AC455=1,U455,MAX($D$16,POWER((ABS(K455)^2)/($I$5*MAX(F455,0.1)^2),1/3)))))))</f>
        <v>51800.26683766341</v>
      </c>
      <c r="AE455">
        <f t="shared" ca="1" si="197"/>
        <v>52432.676337663412</v>
      </c>
      <c r="AF455">
        <f t="shared" ca="1" si="198"/>
        <v>52432.676337665238</v>
      </c>
      <c r="AI455">
        <v>0</v>
      </c>
      <c r="AJ455">
        <v>0</v>
      </c>
      <c r="AK455">
        <f t="shared" si="199"/>
        <v>0</v>
      </c>
      <c r="AL455">
        <f t="shared" si="208"/>
        <v>0</v>
      </c>
      <c r="AM455">
        <f t="shared" ca="1" si="200"/>
        <v>2.6560383008097266E-7</v>
      </c>
      <c r="AN455" t="str">
        <f t="shared" ca="1" si="201"/>
        <v>Subcritical</v>
      </c>
      <c r="AO455">
        <f t="shared" ca="1" si="202"/>
        <v>2.2562304480281055E-12</v>
      </c>
    </row>
    <row r="456" spans="1:41" x14ac:dyDescent="0.35">
      <c r="A456">
        <v>307</v>
      </c>
      <c r="B456">
        <v>305.89499999999998</v>
      </c>
      <c r="C456">
        <v>616296.37199999997</v>
      </c>
      <c r="D456">
        <v>3097647.5320000001</v>
      </c>
      <c r="E456">
        <v>632.40899999999999</v>
      </c>
      <c r="F456">
        <v>5.2</v>
      </c>
      <c r="G456">
        <v>0</v>
      </c>
      <c r="H456" t="s">
        <v>186</v>
      </c>
      <c r="I456">
        <v>2.7E-2</v>
      </c>
      <c r="J456">
        <f t="shared" si="203"/>
        <v>0.9989999999999668</v>
      </c>
      <c r="K456">
        <f t="shared" si="204"/>
        <v>51</v>
      </c>
      <c r="L456">
        <f t="shared" ca="1" si="205"/>
        <v>51797.865226530987</v>
      </c>
      <c r="M456">
        <f t="shared" ca="1" si="182"/>
        <v>269348.89917796117</v>
      </c>
      <c r="N456">
        <f t="shared" ca="1" si="183"/>
        <v>2.599869499241553</v>
      </c>
      <c r="O456">
        <f t="shared" ca="1" si="184"/>
        <v>1.893454926144096E-4</v>
      </c>
      <c r="P456">
        <f t="shared" ca="1" si="185"/>
        <v>52430.274226530986</v>
      </c>
      <c r="Q456">
        <f t="shared" ca="1" si="186"/>
        <v>52430.274226532812</v>
      </c>
      <c r="R456">
        <f t="shared" ca="1" si="187"/>
        <v>2.2564396804000542E-12</v>
      </c>
      <c r="S456">
        <f t="shared" ca="1" si="206"/>
        <v>1.0871572158066556E-3</v>
      </c>
      <c r="T456">
        <f t="shared" ca="1" si="207"/>
        <v>0</v>
      </c>
      <c r="U456">
        <f t="shared" ca="1" si="188"/>
        <v>51800.26683766341</v>
      </c>
      <c r="V456">
        <f t="shared" ca="1" si="189"/>
        <v>269361.38755584974</v>
      </c>
      <c r="W456">
        <f t="shared" ca="1" si="190"/>
        <v>2.5998695052916441</v>
      </c>
      <c r="X456">
        <f t="shared" ca="1" si="191"/>
        <v>1.8933671400629237E-4</v>
      </c>
      <c r="Y456">
        <f t="shared" ca="1" si="192"/>
        <v>52432.67583766341</v>
      </c>
      <c r="Z456">
        <f t="shared" ca="1" si="193"/>
        <v>52432.675837665236</v>
      </c>
      <c r="AA456">
        <f t="shared" ca="1" si="194"/>
        <v>2.2562304480281055E-12</v>
      </c>
      <c r="AB456">
        <f t="shared" ca="1" si="195"/>
        <v>-5.0000000192085281E-4</v>
      </c>
      <c r="AC456">
        <f t="shared" ca="1" si="196"/>
        <v>1</v>
      </c>
      <c r="AD456">
        <f ca="1">IF(V32="Supercritical",L456,IF(V32="Subcritical",U456,IF(AND(T456=1,AC456=1),IF((((F456)*(L456)^2)/2+(G456)*(L456)^3/3+(ABS(K456)^2)/($I$5*MAX(((F456)+(G456)*(L456))*(L456),0.000001)))&gt;=(((F456)*(U456)^2)/2+(G456)*(U456)^3/3+(ABS(K456)^2)/($I$5*MAX(((F456)+(G456)*(U456))*(U456),0.000001))),L456,U456),IF(T456=1,L456,IF(AC456=1,U456,MAX($D$16,POWER((ABS(K456)^2)/($I$5*MAX(F456,0.1)^2),1/3)))))))</f>
        <v>51800.26683766341</v>
      </c>
      <c r="AE456">
        <f t="shared" ca="1" si="197"/>
        <v>52432.67583766341</v>
      </c>
      <c r="AF456">
        <f t="shared" ca="1" si="198"/>
        <v>52432.675837665236</v>
      </c>
      <c r="AI456">
        <v>0</v>
      </c>
      <c r="AJ456">
        <v>0</v>
      </c>
      <c r="AK456">
        <f t="shared" si="199"/>
        <v>0</v>
      </c>
      <c r="AL456">
        <f t="shared" si="208"/>
        <v>0</v>
      </c>
      <c r="AM456">
        <f t="shared" ca="1" si="200"/>
        <v>2.6560383008097266E-7</v>
      </c>
      <c r="AN456" t="str">
        <f t="shared" ca="1" si="201"/>
        <v>Subcritical</v>
      </c>
      <c r="AO456">
        <f t="shared" ca="1" si="202"/>
        <v>2.2562304480281055E-12</v>
      </c>
    </row>
    <row r="457" spans="1:41" x14ac:dyDescent="0.35">
      <c r="A457">
        <v>308</v>
      </c>
      <c r="B457">
        <v>306.89600000000002</v>
      </c>
      <c r="C457">
        <v>616295.89800000004</v>
      </c>
      <c r="D457">
        <v>3097646.6510000001</v>
      </c>
      <c r="E457">
        <v>632.4085</v>
      </c>
      <c r="F457">
        <v>5.2</v>
      </c>
      <c r="G457">
        <v>0</v>
      </c>
      <c r="H457" t="s">
        <v>186</v>
      </c>
      <c r="I457">
        <v>7.8E-2</v>
      </c>
      <c r="J457">
        <f t="shared" si="203"/>
        <v>1.0010000000000332</v>
      </c>
      <c r="K457">
        <f t="shared" si="204"/>
        <v>51</v>
      </c>
      <c r="L457">
        <f t="shared" ca="1" si="205"/>
        <v>51797.865226530987</v>
      </c>
      <c r="M457">
        <f t="shared" ca="1" si="182"/>
        <v>269348.89917796117</v>
      </c>
      <c r="N457">
        <f t="shared" ca="1" si="183"/>
        <v>2.599869499241553</v>
      </c>
      <c r="O457">
        <f t="shared" ca="1" si="184"/>
        <v>1.893454926144096E-4</v>
      </c>
      <c r="P457">
        <f t="shared" ca="1" si="185"/>
        <v>52430.273726530984</v>
      </c>
      <c r="Q457">
        <f t="shared" ca="1" si="186"/>
        <v>52430.273726532811</v>
      </c>
      <c r="R457">
        <f t="shared" ca="1" si="187"/>
        <v>2.2564396804000542E-12</v>
      </c>
      <c r="S457">
        <f t="shared" ca="1" si="206"/>
        <v>5.0000000192085281E-4</v>
      </c>
      <c r="T457">
        <f t="shared" ca="1" si="207"/>
        <v>1</v>
      </c>
      <c r="U457">
        <f t="shared" ca="1" si="188"/>
        <v>51800.26683766341</v>
      </c>
      <c r="V457">
        <f t="shared" ca="1" si="189"/>
        <v>269361.38755584974</v>
      </c>
      <c r="W457">
        <f t="shared" ca="1" si="190"/>
        <v>2.5998695052916441</v>
      </c>
      <c r="X457">
        <f t="shared" ca="1" si="191"/>
        <v>1.8933671400629237E-4</v>
      </c>
      <c r="Y457">
        <f t="shared" ca="1" si="192"/>
        <v>52432.675337663408</v>
      </c>
      <c r="Z457">
        <f t="shared" ca="1" si="193"/>
        <v>52432.675337665234</v>
      </c>
      <c r="AA457">
        <f t="shared" ca="1" si="194"/>
        <v>2.2562304480281055E-12</v>
      </c>
      <c r="AB457">
        <f t="shared" ca="1" si="195"/>
        <v>-4.999999946448952E-4</v>
      </c>
      <c r="AC457">
        <f t="shared" ca="1" si="196"/>
        <v>1</v>
      </c>
      <c r="AD457">
        <f ca="1">IF(V32="Supercritical",L457,IF(V32="Subcritical",U457,IF(AND(T457=1,AC457=1),IF((((F457)*(L457)^2)/2+(G457)*(L457)^3/3+(ABS(K457)^2)/($I$5*MAX(((F457)+(G457)*(L457))*(L457),0.000001)))&gt;=(((F457)*(U457)^2)/2+(G457)*(U457)^3/3+(ABS(K457)^2)/($I$5*MAX(((F457)+(G457)*(U457))*(U457),0.000001))),L457,U457),IF(T457=1,L457,IF(AC457=1,U457,MAX($D$16,POWER((ABS(K457)^2)/($I$5*MAX(F457,0.1)^2),1/3)))))))</f>
        <v>51800.26683766341</v>
      </c>
      <c r="AE457">
        <f t="shared" ca="1" si="197"/>
        <v>52432.675337663408</v>
      </c>
      <c r="AF457">
        <f t="shared" ca="1" si="198"/>
        <v>52432.675337665234</v>
      </c>
      <c r="AI457">
        <v>0</v>
      </c>
      <c r="AJ457">
        <v>0</v>
      </c>
      <c r="AK457">
        <f t="shared" si="199"/>
        <v>0</v>
      </c>
      <c r="AL457">
        <f t="shared" si="208"/>
        <v>0</v>
      </c>
      <c r="AM457">
        <f t="shared" ca="1" si="200"/>
        <v>2.6560383008097266E-7</v>
      </c>
      <c r="AN457" t="str">
        <f t="shared" ca="1" si="201"/>
        <v>Subcritical</v>
      </c>
      <c r="AO457">
        <f t="shared" ca="1" si="202"/>
        <v>2.2562304480281055E-12</v>
      </c>
    </row>
    <row r="458" spans="1:41" x14ac:dyDescent="0.35">
      <c r="A458">
        <v>309</v>
      </c>
      <c r="B458">
        <v>307.89600000000002</v>
      </c>
      <c r="C458">
        <v>616295.42299999995</v>
      </c>
      <c r="D458">
        <v>3097645.7710000002</v>
      </c>
      <c r="E458">
        <v>632.40800000000002</v>
      </c>
      <c r="F458">
        <v>5.2</v>
      </c>
      <c r="G458">
        <v>0</v>
      </c>
      <c r="H458" t="s">
        <v>186</v>
      </c>
      <c r="I458">
        <v>0.05</v>
      </c>
      <c r="J458">
        <f t="shared" si="203"/>
        <v>1</v>
      </c>
      <c r="K458">
        <f t="shared" si="204"/>
        <v>51</v>
      </c>
      <c r="L458">
        <f t="shared" ca="1" si="205"/>
        <v>51797.864639444342</v>
      </c>
      <c r="M458">
        <f t="shared" ca="1" si="182"/>
        <v>269348.89612511056</v>
      </c>
      <c r="N458">
        <f t="shared" ca="1" si="183"/>
        <v>2.5998694992400733</v>
      </c>
      <c r="O458">
        <f t="shared" ca="1" si="184"/>
        <v>1.893454947604867E-4</v>
      </c>
      <c r="P458">
        <f t="shared" ca="1" si="185"/>
        <v>52430.272639444345</v>
      </c>
      <c r="Q458">
        <f t="shared" ca="1" si="186"/>
        <v>52430.272639446172</v>
      </c>
      <c r="R458">
        <f t="shared" ca="1" si="187"/>
        <v>2.2564397315515825E-12</v>
      </c>
      <c r="S458">
        <f t="shared" ca="1" si="206"/>
        <v>1.087086639017798E-3</v>
      </c>
      <c r="T458">
        <f t="shared" ca="1" si="207"/>
        <v>0</v>
      </c>
      <c r="U458">
        <f t="shared" ca="1" si="188"/>
        <v>51800.26683766341</v>
      </c>
      <c r="V458">
        <f t="shared" ca="1" si="189"/>
        <v>269361.38755584974</v>
      </c>
      <c r="W458">
        <f t="shared" ca="1" si="190"/>
        <v>2.5998695052916441</v>
      </c>
      <c r="X458">
        <f t="shared" ca="1" si="191"/>
        <v>1.8933671400629237E-4</v>
      </c>
      <c r="Y458">
        <f t="shared" ca="1" si="192"/>
        <v>52432.674837663413</v>
      </c>
      <c r="Z458">
        <f t="shared" ca="1" si="193"/>
        <v>52432.674837665239</v>
      </c>
      <c r="AA458">
        <f t="shared" ca="1" si="194"/>
        <v>2.2562304480281055E-12</v>
      </c>
      <c r="AB458">
        <f t="shared" ca="1" si="195"/>
        <v>-5.0000000192085281E-4</v>
      </c>
      <c r="AC458">
        <f t="shared" ca="1" si="196"/>
        <v>1</v>
      </c>
      <c r="AD458">
        <f ca="1">IF(V32="Supercritical",L458,IF(V32="Subcritical",U458,IF(AND(T458=1,AC458=1),IF((((F458)*(L458)^2)/2+(G458)*(L458)^3/3+(ABS(K458)^2)/($I$5*MAX(((F458)+(G458)*(L458))*(L458),0.000001)))&gt;=(((F458)*(U458)^2)/2+(G458)*(U458)^3/3+(ABS(K458)^2)/($I$5*MAX(((F458)+(G458)*(U458))*(U458),0.000001))),L458,U458),IF(T458=1,L458,IF(AC458=1,U458,MAX($D$16,POWER((ABS(K458)^2)/($I$5*MAX(F458,0.1)^2),1/3)))))))</f>
        <v>51800.26683766341</v>
      </c>
      <c r="AE458">
        <f t="shared" ca="1" si="197"/>
        <v>52432.674837663413</v>
      </c>
      <c r="AF458">
        <f t="shared" ca="1" si="198"/>
        <v>52432.674837665239</v>
      </c>
      <c r="AI458">
        <v>0</v>
      </c>
      <c r="AJ458">
        <v>0</v>
      </c>
      <c r="AK458">
        <f t="shared" si="199"/>
        <v>0</v>
      </c>
      <c r="AL458">
        <f t="shared" si="208"/>
        <v>0</v>
      </c>
      <c r="AM458">
        <f t="shared" ca="1" si="200"/>
        <v>2.6560383008097266E-7</v>
      </c>
      <c r="AN458" t="str">
        <f t="shared" ca="1" si="201"/>
        <v>Subcritical</v>
      </c>
      <c r="AO458">
        <f t="shared" ca="1" si="202"/>
        <v>2.2562304480281055E-12</v>
      </c>
    </row>
    <row r="459" spans="1:41" x14ac:dyDescent="0.35">
      <c r="A459">
        <v>310</v>
      </c>
      <c r="B459">
        <v>308.89499999999998</v>
      </c>
      <c r="C459">
        <v>616294.94900000002</v>
      </c>
      <c r="D459">
        <v>3097644.8909999998</v>
      </c>
      <c r="E459">
        <v>632.40750000000003</v>
      </c>
      <c r="F459">
        <v>5.2</v>
      </c>
      <c r="G459">
        <v>0</v>
      </c>
      <c r="H459" t="s">
        <v>186</v>
      </c>
      <c r="I459">
        <v>2.7E-2</v>
      </c>
      <c r="J459">
        <f t="shared" si="203"/>
        <v>0.9989999999999668</v>
      </c>
      <c r="K459">
        <f t="shared" si="204"/>
        <v>51</v>
      </c>
      <c r="L459">
        <f t="shared" ca="1" si="205"/>
        <v>51797.864639444342</v>
      </c>
      <c r="M459">
        <f t="shared" ca="1" si="182"/>
        <v>269348.89612511056</v>
      </c>
      <c r="N459">
        <f t="shared" ca="1" si="183"/>
        <v>2.5998694992400733</v>
      </c>
      <c r="O459">
        <f t="shared" ca="1" si="184"/>
        <v>1.893454947604867E-4</v>
      </c>
      <c r="P459">
        <f t="shared" ca="1" si="185"/>
        <v>52430.272139444343</v>
      </c>
      <c r="Q459">
        <f t="shared" ca="1" si="186"/>
        <v>52430.27213944617</v>
      </c>
      <c r="R459">
        <f t="shared" ca="1" si="187"/>
        <v>2.2564397315515825E-12</v>
      </c>
      <c r="S459">
        <f t="shared" ca="1" si="206"/>
        <v>5.0000000192085281E-4</v>
      </c>
      <c r="T459">
        <f t="shared" ca="1" si="207"/>
        <v>1</v>
      </c>
      <c r="U459">
        <f t="shared" ca="1" si="188"/>
        <v>51800.26683766341</v>
      </c>
      <c r="V459">
        <f t="shared" ca="1" si="189"/>
        <v>269361.38755584974</v>
      </c>
      <c r="W459">
        <f t="shared" ca="1" si="190"/>
        <v>2.5998695052916441</v>
      </c>
      <c r="X459">
        <f t="shared" ca="1" si="191"/>
        <v>1.8933671400629237E-4</v>
      </c>
      <c r="Y459">
        <f t="shared" ca="1" si="192"/>
        <v>52432.674337663411</v>
      </c>
      <c r="Z459">
        <f t="shared" ca="1" si="193"/>
        <v>52432.674337665238</v>
      </c>
      <c r="AA459">
        <f t="shared" ca="1" si="194"/>
        <v>2.2562304480281055E-12</v>
      </c>
      <c r="AB459">
        <f t="shared" ca="1" si="195"/>
        <v>-5.0000000192085281E-4</v>
      </c>
      <c r="AC459">
        <f t="shared" ca="1" si="196"/>
        <v>1</v>
      </c>
      <c r="AD459">
        <f ca="1">IF(V32="Supercritical",L459,IF(V32="Subcritical",U459,IF(AND(T459=1,AC459=1),IF((((F459)*(L459)^2)/2+(G459)*(L459)^3/3+(ABS(K459)^2)/($I$5*MAX(((F459)+(G459)*(L459))*(L459),0.000001)))&gt;=(((F459)*(U459)^2)/2+(G459)*(U459)^3/3+(ABS(K459)^2)/($I$5*MAX(((F459)+(G459)*(U459))*(U459),0.000001))),L459,U459),IF(T459=1,L459,IF(AC459=1,U459,MAX($D$16,POWER((ABS(K459)^2)/($I$5*MAX(F459,0.1)^2),1/3)))))))</f>
        <v>51800.26683766341</v>
      </c>
      <c r="AE459">
        <f t="shared" ca="1" si="197"/>
        <v>52432.674337663411</v>
      </c>
      <c r="AF459">
        <f t="shared" ca="1" si="198"/>
        <v>52432.674337665238</v>
      </c>
      <c r="AI459">
        <v>0</v>
      </c>
      <c r="AJ459">
        <v>0</v>
      </c>
      <c r="AK459">
        <f t="shared" si="199"/>
        <v>0</v>
      </c>
      <c r="AL459">
        <f t="shared" si="208"/>
        <v>0</v>
      </c>
      <c r="AM459">
        <f t="shared" ca="1" si="200"/>
        <v>2.6560383008097266E-7</v>
      </c>
      <c r="AN459" t="str">
        <f t="shared" ca="1" si="201"/>
        <v>Subcritical</v>
      </c>
      <c r="AO459">
        <f t="shared" ca="1" si="202"/>
        <v>2.2562304480281055E-12</v>
      </c>
    </row>
    <row r="460" spans="1:41" x14ac:dyDescent="0.35">
      <c r="A460">
        <v>311</v>
      </c>
      <c r="B460">
        <v>309.89600000000002</v>
      </c>
      <c r="C460">
        <v>616294.47499999998</v>
      </c>
      <c r="D460">
        <v>3097644.01</v>
      </c>
      <c r="E460">
        <v>632.40700000000004</v>
      </c>
      <c r="F460">
        <v>5.2</v>
      </c>
      <c r="G460">
        <v>0</v>
      </c>
      <c r="H460" t="s">
        <v>186</v>
      </c>
      <c r="I460">
        <v>2.7E-2</v>
      </c>
      <c r="J460">
        <f t="shared" si="203"/>
        <v>1.0010000000000332</v>
      </c>
      <c r="K460">
        <f t="shared" si="204"/>
        <v>51</v>
      </c>
      <c r="L460">
        <f t="shared" ca="1" si="205"/>
        <v>51797.86405240446</v>
      </c>
      <c r="M460">
        <f t="shared" ca="1" si="182"/>
        <v>269348.89307250321</v>
      </c>
      <c r="N460">
        <f t="shared" ca="1" si="183"/>
        <v>2.5998694992385949</v>
      </c>
      <c r="O460">
        <f t="shared" ca="1" si="184"/>
        <v>1.8934549690639287E-4</v>
      </c>
      <c r="P460">
        <f t="shared" ca="1" si="185"/>
        <v>52430.27105240446</v>
      </c>
      <c r="Q460">
        <f t="shared" ca="1" si="186"/>
        <v>52430.271052406286</v>
      </c>
      <c r="R460">
        <f t="shared" ca="1" si="187"/>
        <v>2.256439782699036E-12</v>
      </c>
      <c r="S460">
        <f t="shared" ca="1" si="206"/>
        <v>1.0870398837141693E-3</v>
      </c>
      <c r="T460">
        <f t="shared" ca="1" si="207"/>
        <v>0</v>
      </c>
      <c r="U460">
        <f t="shared" ca="1" si="188"/>
        <v>51800.26683766341</v>
      </c>
      <c r="V460">
        <f t="shared" ca="1" si="189"/>
        <v>269361.38755584974</v>
      </c>
      <c r="W460">
        <f t="shared" ca="1" si="190"/>
        <v>2.5998695052916441</v>
      </c>
      <c r="X460">
        <f t="shared" ca="1" si="191"/>
        <v>1.8933671400629237E-4</v>
      </c>
      <c r="Y460">
        <f t="shared" ca="1" si="192"/>
        <v>52432.673837663409</v>
      </c>
      <c r="Z460">
        <f t="shared" ca="1" si="193"/>
        <v>52432.673837665236</v>
      </c>
      <c r="AA460">
        <f t="shared" ca="1" si="194"/>
        <v>2.2562304480281055E-12</v>
      </c>
      <c r="AB460">
        <f t="shared" ca="1" si="195"/>
        <v>-5.0000000192085281E-4</v>
      </c>
      <c r="AC460">
        <f t="shared" ca="1" si="196"/>
        <v>1</v>
      </c>
      <c r="AD460">
        <f ca="1">IF(V32="Supercritical",L460,IF(V32="Subcritical",U460,IF(AND(T460=1,AC460=1),IF((((F460)*(L460)^2)/2+(G460)*(L460)^3/3+(ABS(K460)^2)/($I$5*MAX(((F460)+(G460)*(L460))*(L460),0.000001)))&gt;=(((F460)*(U460)^2)/2+(G460)*(U460)^3/3+(ABS(K460)^2)/($I$5*MAX(((F460)+(G460)*(U460))*(U460),0.000001))),L460,U460),IF(T460=1,L460,IF(AC460=1,U460,MAX($D$16,POWER((ABS(K460)^2)/($I$5*MAX(F460,0.1)^2),1/3)))))))</f>
        <v>51800.26683766341</v>
      </c>
      <c r="AE460">
        <f t="shared" ca="1" si="197"/>
        <v>52432.673837663409</v>
      </c>
      <c r="AF460">
        <f t="shared" ca="1" si="198"/>
        <v>52432.673837665236</v>
      </c>
      <c r="AI460">
        <v>0</v>
      </c>
      <c r="AJ460">
        <v>0</v>
      </c>
      <c r="AK460">
        <f t="shared" si="199"/>
        <v>0</v>
      </c>
      <c r="AL460">
        <f t="shared" si="208"/>
        <v>0</v>
      </c>
      <c r="AM460">
        <f t="shared" ca="1" si="200"/>
        <v>2.6560383008097266E-7</v>
      </c>
      <c r="AN460" t="str">
        <f t="shared" ca="1" si="201"/>
        <v>Subcritical</v>
      </c>
      <c r="AO460">
        <f t="shared" ca="1" si="202"/>
        <v>2.2562304480281055E-12</v>
      </c>
    </row>
    <row r="461" spans="1:41" x14ac:dyDescent="0.35">
      <c r="A461">
        <v>312</v>
      </c>
      <c r="B461">
        <v>310.89499999999998</v>
      </c>
      <c r="C461">
        <v>616294.00100000005</v>
      </c>
      <c r="D461">
        <v>3097643.13</v>
      </c>
      <c r="E461">
        <v>632.40650000000005</v>
      </c>
      <c r="F461">
        <v>5.2</v>
      </c>
      <c r="G461">
        <v>0</v>
      </c>
      <c r="H461" t="s">
        <v>186</v>
      </c>
      <c r="I461">
        <v>2.7E-2</v>
      </c>
      <c r="J461">
        <f t="shared" si="203"/>
        <v>0.9989999999999668</v>
      </c>
      <c r="K461">
        <f t="shared" si="204"/>
        <v>51</v>
      </c>
      <c r="L461">
        <f t="shared" ca="1" si="205"/>
        <v>51797.86405240446</v>
      </c>
      <c r="M461">
        <f t="shared" ca="1" si="182"/>
        <v>269348.89307250321</v>
      </c>
      <c r="N461">
        <f t="shared" ca="1" si="183"/>
        <v>2.5998694992385949</v>
      </c>
      <c r="O461">
        <f t="shared" ca="1" si="184"/>
        <v>1.8934549690639287E-4</v>
      </c>
      <c r="P461">
        <f t="shared" ca="1" si="185"/>
        <v>52430.270552404458</v>
      </c>
      <c r="Q461">
        <f t="shared" ca="1" si="186"/>
        <v>52430.270552406284</v>
      </c>
      <c r="R461">
        <f t="shared" ca="1" si="187"/>
        <v>2.256439782699036E-12</v>
      </c>
      <c r="S461">
        <f t="shared" ca="1" si="206"/>
        <v>5.0000000192085281E-4</v>
      </c>
      <c r="T461">
        <f t="shared" ca="1" si="207"/>
        <v>1</v>
      </c>
      <c r="U461">
        <f t="shared" ca="1" si="188"/>
        <v>51800.26683766341</v>
      </c>
      <c r="V461">
        <f t="shared" ca="1" si="189"/>
        <v>269361.38755584974</v>
      </c>
      <c r="W461">
        <f t="shared" ca="1" si="190"/>
        <v>2.5998695052916441</v>
      </c>
      <c r="X461">
        <f t="shared" ca="1" si="191"/>
        <v>1.8933671400629237E-4</v>
      </c>
      <c r="Y461">
        <f t="shared" ca="1" si="192"/>
        <v>52432.673337663407</v>
      </c>
      <c r="Z461">
        <f t="shared" ca="1" si="193"/>
        <v>52432.673337665234</v>
      </c>
      <c r="AA461">
        <f t="shared" ca="1" si="194"/>
        <v>2.2562304480281055E-12</v>
      </c>
      <c r="AB461">
        <f t="shared" ca="1" si="195"/>
        <v>-4.999999946448952E-4</v>
      </c>
      <c r="AC461">
        <f t="shared" ca="1" si="196"/>
        <v>1</v>
      </c>
      <c r="AD461">
        <f ca="1">IF(V32="Supercritical",L461,IF(V32="Subcritical",U461,IF(AND(T461=1,AC461=1),IF((((F461)*(L461)^2)/2+(G461)*(L461)^3/3+(ABS(K461)^2)/($I$5*MAX(((F461)+(G461)*(L461))*(L461),0.000001)))&gt;=(((F461)*(U461)^2)/2+(G461)*(U461)^3/3+(ABS(K461)^2)/($I$5*MAX(((F461)+(G461)*(U461))*(U461),0.000001))),L461,U461),IF(T461=1,L461,IF(AC461=1,U461,MAX($D$16,POWER((ABS(K461)^2)/($I$5*MAX(F461,0.1)^2),1/3)))))))</f>
        <v>51800.26683766341</v>
      </c>
      <c r="AE461">
        <f t="shared" ca="1" si="197"/>
        <v>52432.673337663407</v>
      </c>
      <c r="AF461">
        <f t="shared" ca="1" si="198"/>
        <v>52432.673337665234</v>
      </c>
      <c r="AI461">
        <v>0</v>
      </c>
      <c r="AJ461">
        <v>0</v>
      </c>
      <c r="AK461">
        <f t="shared" si="199"/>
        <v>0</v>
      </c>
      <c r="AL461">
        <f t="shared" si="208"/>
        <v>0</v>
      </c>
      <c r="AM461">
        <f t="shared" ca="1" si="200"/>
        <v>2.6560383008097266E-7</v>
      </c>
      <c r="AN461" t="str">
        <f t="shared" ca="1" si="201"/>
        <v>Subcritical</v>
      </c>
      <c r="AO461">
        <f t="shared" ca="1" si="202"/>
        <v>2.2562304480281055E-12</v>
      </c>
    </row>
    <row r="462" spans="1:41" x14ac:dyDescent="0.35">
      <c r="A462">
        <v>313</v>
      </c>
      <c r="B462">
        <v>311.89600000000002</v>
      </c>
      <c r="C462">
        <v>616293.527</v>
      </c>
      <c r="D462">
        <v>3097642.2489999998</v>
      </c>
      <c r="E462">
        <v>632.40599999999995</v>
      </c>
      <c r="F462">
        <v>5.2</v>
      </c>
      <c r="G462">
        <v>0</v>
      </c>
      <c r="H462" t="s">
        <v>186</v>
      </c>
      <c r="I462">
        <v>7.8E-2</v>
      </c>
      <c r="J462">
        <f t="shared" si="203"/>
        <v>1.0010000000000332</v>
      </c>
      <c r="K462">
        <f t="shared" si="204"/>
        <v>51</v>
      </c>
      <c r="L462">
        <f t="shared" ca="1" si="205"/>
        <v>51797.863465395152</v>
      </c>
      <c r="M462">
        <f t="shared" ca="1" si="182"/>
        <v>269348.89002005482</v>
      </c>
      <c r="N462">
        <f t="shared" ca="1" si="183"/>
        <v>2.5998694992371161</v>
      </c>
      <c r="O462">
        <f t="shared" ca="1" si="184"/>
        <v>1.8934549905218732E-4</v>
      </c>
      <c r="P462">
        <f t="shared" ca="1" si="185"/>
        <v>52430.269465395155</v>
      </c>
      <c r="Q462">
        <f t="shared" ca="1" si="186"/>
        <v>52430.269465396981</v>
      </c>
      <c r="R462">
        <f t="shared" ca="1" si="187"/>
        <v>2.2564398338438281E-12</v>
      </c>
      <c r="S462">
        <f t="shared" ca="1" si="206"/>
        <v>1.0870093028643169E-3</v>
      </c>
      <c r="T462">
        <f t="shared" ca="1" si="207"/>
        <v>0</v>
      </c>
      <c r="U462">
        <f t="shared" ca="1" si="188"/>
        <v>51800.26683766341</v>
      </c>
      <c r="V462">
        <f t="shared" ca="1" si="189"/>
        <v>269361.38755584974</v>
      </c>
      <c r="W462">
        <f t="shared" ca="1" si="190"/>
        <v>2.5998695052916441</v>
      </c>
      <c r="X462">
        <f t="shared" ca="1" si="191"/>
        <v>1.8933671400629237E-4</v>
      </c>
      <c r="Y462">
        <f t="shared" ca="1" si="192"/>
        <v>52432.672837663413</v>
      </c>
      <c r="Z462">
        <f t="shared" ca="1" si="193"/>
        <v>52432.672837665239</v>
      </c>
      <c r="AA462">
        <f t="shared" ca="1" si="194"/>
        <v>2.2562304480281055E-12</v>
      </c>
      <c r="AB462">
        <f t="shared" ca="1" si="195"/>
        <v>-5.0000000192085281E-4</v>
      </c>
      <c r="AC462">
        <f t="shared" ca="1" si="196"/>
        <v>1</v>
      </c>
      <c r="AD462">
        <f ca="1">IF(V32="Supercritical",L462,IF(V32="Subcritical",U462,IF(AND(T462=1,AC462=1),IF((((F462)*(L462)^2)/2+(G462)*(L462)^3/3+(ABS(K462)^2)/($I$5*MAX(((F462)+(G462)*(L462))*(L462),0.000001)))&gt;=(((F462)*(U462)^2)/2+(G462)*(U462)^3/3+(ABS(K462)^2)/($I$5*MAX(((F462)+(G462)*(U462))*(U462),0.000001))),L462,U462),IF(T462=1,L462,IF(AC462=1,U462,MAX($D$16,POWER((ABS(K462)^2)/($I$5*MAX(F462,0.1)^2),1/3)))))))</f>
        <v>51800.26683766341</v>
      </c>
      <c r="AE462">
        <f t="shared" ca="1" si="197"/>
        <v>52432.672837663413</v>
      </c>
      <c r="AF462">
        <f t="shared" ca="1" si="198"/>
        <v>52432.672837665239</v>
      </c>
      <c r="AI462">
        <v>0</v>
      </c>
      <c r="AJ462">
        <v>0</v>
      </c>
      <c r="AK462">
        <f t="shared" si="199"/>
        <v>0</v>
      </c>
      <c r="AL462">
        <f t="shared" si="208"/>
        <v>0</v>
      </c>
      <c r="AM462">
        <f t="shared" ca="1" si="200"/>
        <v>2.6560383008097266E-7</v>
      </c>
      <c r="AN462" t="str">
        <f t="shared" ca="1" si="201"/>
        <v>Subcritical</v>
      </c>
      <c r="AO462">
        <f t="shared" ca="1" si="202"/>
        <v>2.2562304480281055E-12</v>
      </c>
    </row>
    <row r="463" spans="1:41" x14ac:dyDescent="0.35">
      <c r="A463">
        <v>314</v>
      </c>
      <c r="B463">
        <v>312.89600000000002</v>
      </c>
      <c r="C463">
        <v>616293.05200000003</v>
      </c>
      <c r="D463">
        <v>3097641.3689999999</v>
      </c>
      <c r="E463">
        <v>632.40549999999996</v>
      </c>
      <c r="F463">
        <v>5.2</v>
      </c>
      <c r="G463">
        <v>0</v>
      </c>
      <c r="H463" t="s">
        <v>186</v>
      </c>
      <c r="I463">
        <v>0.05</v>
      </c>
      <c r="J463">
        <f t="shared" si="203"/>
        <v>1</v>
      </c>
      <c r="K463">
        <f t="shared" si="204"/>
        <v>51</v>
      </c>
      <c r="L463">
        <f t="shared" ca="1" si="205"/>
        <v>51797.863465395152</v>
      </c>
      <c r="M463">
        <f t="shared" ca="1" si="182"/>
        <v>269348.89002005482</v>
      </c>
      <c r="N463">
        <f t="shared" ca="1" si="183"/>
        <v>2.5998694992371161</v>
      </c>
      <c r="O463">
        <f t="shared" ca="1" si="184"/>
        <v>1.8934549905218732E-4</v>
      </c>
      <c r="P463">
        <f t="shared" ca="1" si="185"/>
        <v>52430.268965395153</v>
      </c>
      <c r="Q463">
        <f t="shared" ca="1" si="186"/>
        <v>52430.268965396979</v>
      </c>
      <c r="R463">
        <f t="shared" ca="1" si="187"/>
        <v>2.2564398338438281E-12</v>
      </c>
      <c r="S463">
        <f t="shared" ca="1" si="206"/>
        <v>5.0000000192085281E-4</v>
      </c>
      <c r="T463">
        <f t="shared" ca="1" si="207"/>
        <v>1</v>
      </c>
      <c r="U463">
        <f t="shared" ca="1" si="188"/>
        <v>51800.26683766341</v>
      </c>
      <c r="V463">
        <f t="shared" ca="1" si="189"/>
        <v>269361.38755584974</v>
      </c>
      <c r="W463">
        <f t="shared" ca="1" si="190"/>
        <v>2.5998695052916441</v>
      </c>
      <c r="X463">
        <f t="shared" ca="1" si="191"/>
        <v>1.8933671400629237E-4</v>
      </c>
      <c r="Y463">
        <f t="shared" ca="1" si="192"/>
        <v>52432.672337663411</v>
      </c>
      <c r="Z463">
        <f t="shared" ca="1" si="193"/>
        <v>52432.672337665237</v>
      </c>
      <c r="AA463">
        <f t="shared" ca="1" si="194"/>
        <v>2.2562304480281055E-12</v>
      </c>
      <c r="AB463">
        <f t="shared" ca="1" si="195"/>
        <v>-5.0000000192085281E-4</v>
      </c>
      <c r="AC463">
        <f t="shared" ca="1" si="196"/>
        <v>1</v>
      </c>
      <c r="AD463">
        <f ca="1">IF(V32="Supercritical",L463,IF(V32="Subcritical",U463,IF(AND(T463=1,AC463=1),IF((((F463)*(L463)^2)/2+(G463)*(L463)^3/3+(ABS(K463)^2)/($I$5*MAX(((F463)+(G463)*(L463))*(L463),0.000001)))&gt;=(((F463)*(U463)^2)/2+(G463)*(U463)^3/3+(ABS(K463)^2)/($I$5*MAX(((F463)+(G463)*(U463))*(U463),0.000001))),L463,U463),IF(T463=1,L463,IF(AC463=1,U463,MAX($D$16,POWER((ABS(K463)^2)/($I$5*MAX(F463,0.1)^2),1/3)))))))</f>
        <v>51800.26683766341</v>
      </c>
      <c r="AE463">
        <f t="shared" ca="1" si="197"/>
        <v>52432.672337663411</v>
      </c>
      <c r="AF463">
        <f t="shared" ca="1" si="198"/>
        <v>52432.672337665237</v>
      </c>
      <c r="AI463">
        <v>0</v>
      </c>
      <c r="AJ463">
        <v>0</v>
      </c>
      <c r="AK463">
        <f t="shared" si="199"/>
        <v>0</v>
      </c>
      <c r="AL463">
        <f t="shared" si="208"/>
        <v>0</v>
      </c>
      <c r="AM463">
        <f t="shared" ca="1" si="200"/>
        <v>2.6560383008097266E-7</v>
      </c>
      <c r="AN463" t="str">
        <f t="shared" ca="1" si="201"/>
        <v>Subcritical</v>
      </c>
      <c r="AO463">
        <f t="shared" ca="1" si="202"/>
        <v>2.2562304480281055E-12</v>
      </c>
    </row>
    <row r="464" spans="1:41" x14ac:dyDescent="0.35">
      <c r="A464">
        <v>315</v>
      </c>
      <c r="B464">
        <v>313.89499999999998</v>
      </c>
      <c r="C464">
        <v>616292.57799999998</v>
      </c>
      <c r="D464">
        <v>3097640.4890000001</v>
      </c>
      <c r="E464">
        <v>632.40499999999997</v>
      </c>
      <c r="F464">
        <v>5.2</v>
      </c>
      <c r="G464">
        <v>0</v>
      </c>
      <c r="H464" t="s">
        <v>186</v>
      </c>
      <c r="I464">
        <v>2.7E-2</v>
      </c>
      <c r="J464">
        <f t="shared" si="203"/>
        <v>0.9989999999999668</v>
      </c>
      <c r="K464">
        <f t="shared" si="204"/>
        <v>51</v>
      </c>
      <c r="L464">
        <f t="shared" ca="1" si="205"/>
        <v>51797.862878405591</v>
      </c>
      <c r="M464">
        <f t="shared" ca="1" si="182"/>
        <v>269348.88696770906</v>
      </c>
      <c r="N464">
        <f t="shared" ca="1" si="183"/>
        <v>2.5998694992356368</v>
      </c>
      <c r="O464">
        <f t="shared" ca="1" si="184"/>
        <v>1.893455011979097E-4</v>
      </c>
      <c r="P464">
        <f t="shared" ca="1" si="185"/>
        <v>52430.26787840559</v>
      </c>
      <c r="Q464">
        <f t="shared" ca="1" si="186"/>
        <v>52430.267878407416</v>
      </c>
      <c r="R464">
        <f t="shared" ca="1" si="187"/>
        <v>2.2564398849869025E-12</v>
      </c>
      <c r="S464">
        <f t="shared" ca="1" si="206"/>
        <v>1.0869895631913096E-3</v>
      </c>
      <c r="T464">
        <f t="shared" ca="1" si="207"/>
        <v>0</v>
      </c>
      <c r="U464">
        <f t="shared" ca="1" si="188"/>
        <v>51800.26683766341</v>
      </c>
      <c r="V464">
        <f t="shared" ca="1" si="189"/>
        <v>269361.38755584974</v>
      </c>
      <c r="W464">
        <f t="shared" ca="1" si="190"/>
        <v>2.5998695052916441</v>
      </c>
      <c r="X464">
        <f t="shared" ca="1" si="191"/>
        <v>1.8933671400629237E-4</v>
      </c>
      <c r="Y464">
        <f t="shared" ca="1" si="192"/>
        <v>52432.671837663409</v>
      </c>
      <c r="Z464">
        <f t="shared" ca="1" si="193"/>
        <v>52432.671837665235</v>
      </c>
      <c r="AA464">
        <f t="shared" ca="1" si="194"/>
        <v>2.2562304480281055E-12</v>
      </c>
      <c r="AB464">
        <f t="shared" ca="1" si="195"/>
        <v>-5.0000000192085281E-4</v>
      </c>
      <c r="AC464">
        <f t="shared" ca="1" si="196"/>
        <v>1</v>
      </c>
      <c r="AD464">
        <f ca="1">IF(V32="Supercritical",L464,IF(V32="Subcritical",U464,IF(AND(T464=1,AC464=1),IF((((F464)*(L464)^2)/2+(G464)*(L464)^3/3+(ABS(K464)^2)/($I$5*MAX(((F464)+(G464)*(L464))*(L464),0.000001)))&gt;=(((F464)*(U464)^2)/2+(G464)*(U464)^3/3+(ABS(K464)^2)/($I$5*MAX(((F464)+(G464)*(U464))*(U464),0.000001))),L464,U464),IF(T464=1,L464,IF(AC464=1,U464,MAX($D$16,POWER((ABS(K464)^2)/($I$5*MAX(F464,0.1)^2),1/3)))))))</f>
        <v>51800.26683766341</v>
      </c>
      <c r="AE464">
        <f t="shared" ca="1" si="197"/>
        <v>52432.671837663409</v>
      </c>
      <c r="AF464">
        <f t="shared" ca="1" si="198"/>
        <v>52432.671837665235</v>
      </c>
      <c r="AI464">
        <v>0</v>
      </c>
      <c r="AJ464">
        <v>0</v>
      </c>
      <c r="AK464">
        <f t="shared" si="199"/>
        <v>0</v>
      </c>
      <c r="AL464">
        <f t="shared" si="208"/>
        <v>0</v>
      </c>
      <c r="AM464">
        <f t="shared" ca="1" si="200"/>
        <v>2.6560383008097266E-7</v>
      </c>
      <c r="AN464" t="str">
        <f t="shared" ca="1" si="201"/>
        <v>Subcritical</v>
      </c>
      <c r="AO464">
        <f t="shared" ca="1" si="202"/>
        <v>2.2562304480281055E-12</v>
      </c>
    </row>
    <row r="465" spans="1:41" x14ac:dyDescent="0.35">
      <c r="A465">
        <v>316</v>
      </c>
      <c r="B465">
        <v>314.89499999999998</v>
      </c>
      <c r="C465">
        <v>616292.10400000005</v>
      </c>
      <c r="D465">
        <v>3097639.608</v>
      </c>
      <c r="E465">
        <v>632.40449999999998</v>
      </c>
      <c r="F465">
        <v>5.2</v>
      </c>
      <c r="G465">
        <v>0</v>
      </c>
      <c r="H465" t="s">
        <v>186</v>
      </c>
      <c r="I465">
        <v>2.7E-2</v>
      </c>
      <c r="J465">
        <f t="shared" si="203"/>
        <v>1</v>
      </c>
      <c r="K465">
        <f t="shared" si="204"/>
        <v>51</v>
      </c>
      <c r="L465">
        <f t="shared" ca="1" si="205"/>
        <v>51797.862878405591</v>
      </c>
      <c r="M465">
        <f t="shared" ca="1" si="182"/>
        <v>269348.88696770906</v>
      </c>
      <c r="N465">
        <f t="shared" ca="1" si="183"/>
        <v>2.5998694992356368</v>
      </c>
      <c r="O465">
        <f t="shared" ca="1" si="184"/>
        <v>1.893455011979097E-4</v>
      </c>
      <c r="P465">
        <f t="shared" ca="1" si="185"/>
        <v>52430.267378405588</v>
      </c>
      <c r="Q465">
        <f t="shared" ca="1" si="186"/>
        <v>52430.267378407414</v>
      </c>
      <c r="R465">
        <f t="shared" ca="1" si="187"/>
        <v>2.2564398849869025E-12</v>
      </c>
      <c r="S465">
        <f t="shared" ca="1" si="206"/>
        <v>5.0000000192085281E-4</v>
      </c>
      <c r="T465">
        <f t="shared" ca="1" si="207"/>
        <v>1</v>
      </c>
      <c r="U465">
        <f t="shared" ca="1" si="188"/>
        <v>51800.26683766341</v>
      </c>
      <c r="V465">
        <f t="shared" ca="1" si="189"/>
        <v>269361.38755584974</v>
      </c>
      <c r="W465">
        <f t="shared" ca="1" si="190"/>
        <v>2.5998695052916441</v>
      </c>
      <c r="X465">
        <f t="shared" ca="1" si="191"/>
        <v>1.8933671400629237E-4</v>
      </c>
      <c r="Y465">
        <f t="shared" ca="1" si="192"/>
        <v>52432.671337663407</v>
      </c>
      <c r="Z465">
        <f t="shared" ca="1" si="193"/>
        <v>52432.671337665233</v>
      </c>
      <c r="AA465">
        <f t="shared" ca="1" si="194"/>
        <v>2.2562304480281055E-12</v>
      </c>
      <c r="AB465">
        <f t="shared" ca="1" si="195"/>
        <v>-4.999999946448952E-4</v>
      </c>
      <c r="AC465">
        <f t="shared" ca="1" si="196"/>
        <v>1</v>
      </c>
      <c r="AD465">
        <f ca="1">IF(V32="Supercritical",L465,IF(V32="Subcritical",U465,IF(AND(T465=1,AC465=1),IF((((F465)*(L465)^2)/2+(G465)*(L465)^3/3+(ABS(K465)^2)/($I$5*MAX(((F465)+(G465)*(L465))*(L465),0.000001)))&gt;=(((F465)*(U465)^2)/2+(G465)*(U465)^3/3+(ABS(K465)^2)/($I$5*MAX(((F465)+(G465)*(U465))*(U465),0.000001))),L465,U465),IF(T465=1,L465,IF(AC465=1,U465,MAX($D$16,POWER((ABS(K465)^2)/($I$5*MAX(F465,0.1)^2),1/3)))))))</f>
        <v>51800.26683766341</v>
      </c>
      <c r="AE465">
        <f t="shared" ca="1" si="197"/>
        <v>52432.671337663407</v>
      </c>
      <c r="AF465">
        <f t="shared" ca="1" si="198"/>
        <v>52432.671337665233</v>
      </c>
      <c r="AI465">
        <v>0</v>
      </c>
      <c r="AJ465">
        <v>0</v>
      </c>
      <c r="AK465">
        <f t="shared" si="199"/>
        <v>0</v>
      </c>
      <c r="AL465">
        <f t="shared" si="208"/>
        <v>0</v>
      </c>
      <c r="AM465">
        <f t="shared" ca="1" si="200"/>
        <v>2.6560383008097266E-7</v>
      </c>
      <c r="AN465" t="str">
        <f t="shared" ca="1" si="201"/>
        <v>Subcritical</v>
      </c>
      <c r="AO465">
        <f t="shared" ca="1" si="202"/>
        <v>2.2562304480281055E-12</v>
      </c>
    </row>
    <row r="466" spans="1:41" x14ac:dyDescent="0.35">
      <c r="A466">
        <v>317</v>
      </c>
      <c r="B466">
        <v>315.89499999999998</v>
      </c>
      <c r="C466">
        <v>616291.63</v>
      </c>
      <c r="D466">
        <v>3097638.7280000001</v>
      </c>
      <c r="E466">
        <v>632.404</v>
      </c>
      <c r="F466">
        <v>5.2</v>
      </c>
      <c r="G466">
        <v>0</v>
      </c>
      <c r="H466" t="s">
        <v>186</v>
      </c>
      <c r="I466">
        <v>2.3E-2</v>
      </c>
      <c r="J466">
        <f t="shared" si="203"/>
        <v>1</v>
      </c>
      <c r="K466">
        <f t="shared" si="204"/>
        <v>51</v>
      </c>
      <c r="L466">
        <f t="shared" ca="1" si="205"/>
        <v>51797.862291428624</v>
      </c>
      <c r="M466">
        <f t="shared" ca="1" si="182"/>
        <v>269348.88391542883</v>
      </c>
      <c r="N466">
        <f t="shared" ca="1" si="183"/>
        <v>2.599869499234158</v>
      </c>
      <c r="O466">
        <f t="shared" ca="1" si="184"/>
        <v>1.8934550334358605E-4</v>
      </c>
      <c r="P466">
        <f t="shared" ca="1" si="185"/>
        <v>52430.266291428627</v>
      </c>
      <c r="Q466">
        <f t="shared" ca="1" si="186"/>
        <v>52430.266291430453</v>
      </c>
      <c r="R466">
        <f t="shared" ca="1" si="187"/>
        <v>2.2564399361288811E-12</v>
      </c>
      <c r="S466">
        <f t="shared" ca="1" si="206"/>
        <v>1.0869769612327218E-3</v>
      </c>
      <c r="T466">
        <f t="shared" ca="1" si="207"/>
        <v>0</v>
      </c>
      <c r="U466">
        <f t="shared" ca="1" si="188"/>
        <v>51800.26683766341</v>
      </c>
      <c r="V466">
        <f t="shared" ca="1" si="189"/>
        <v>269361.38755584974</v>
      </c>
      <c r="W466">
        <f t="shared" ca="1" si="190"/>
        <v>2.5998695052916441</v>
      </c>
      <c r="X466">
        <f t="shared" ca="1" si="191"/>
        <v>1.8933671400629237E-4</v>
      </c>
      <c r="Y466">
        <f t="shared" ca="1" si="192"/>
        <v>52432.670837663412</v>
      </c>
      <c r="Z466">
        <f t="shared" ca="1" si="193"/>
        <v>52432.670837665239</v>
      </c>
      <c r="AA466">
        <f t="shared" ca="1" si="194"/>
        <v>2.2562304480281055E-12</v>
      </c>
      <c r="AB466">
        <f t="shared" ca="1" si="195"/>
        <v>-5.0000000192085281E-4</v>
      </c>
      <c r="AC466">
        <f t="shared" ca="1" si="196"/>
        <v>1</v>
      </c>
      <c r="AD466">
        <f ca="1">IF(V32="Supercritical",L466,IF(V32="Subcritical",U466,IF(AND(T466=1,AC466=1),IF((((F466)*(L466)^2)/2+(G466)*(L466)^3/3+(ABS(K466)^2)/($I$5*MAX(((F466)+(G466)*(L466))*(L466),0.000001)))&gt;=(((F466)*(U466)^2)/2+(G466)*(U466)^3/3+(ABS(K466)^2)/($I$5*MAX(((F466)+(G466)*(U466))*(U466),0.000001))),L466,U466),IF(T466=1,L466,IF(AC466=1,U466,MAX($D$16,POWER((ABS(K466)^2)/($I$5*MAX(F466,0.1)^2),1/3)))))))</f>
        <v>51800.26683766341</v>
      </c>
      <c r="AE466">
        <f t="shared" ca="1" si="197"/>
        <v>52432.670837663412</v>
      </c>
      <c r="AF466">
        <f t="shared" ca="1" si="198"/>
        <v>52432.670837665239</v>
      </c>
      <c r="AI466">
        <v>0</v>
      </c>
      <c r="AJ466">
        <v>0</v>
      </c>
      <c r="AK466">
        <f t="shared" si="199"/>
        <v>0</v>
      </c>
      <c r="AL466">
        <f t="shared" si="208"/>
        <v>0</v>
      </c>
      <c r="AM466">
        <f t="shared" ca="1" si="200"/>
        <v>2.6560383008097266E-7</v>
      </c>
      <c r="AN466" t="str">
        <f t="shared" ca="1" si="201"/>
        <v>Subcritical</v>
      </c>
      <c r="AO466">
        <f t="shared" ca="1" si="202"/>
        <v>2.2562304480281055E-12</v>
      </c>
    </row>
    <row r="467" spans="1:41" x14ac:dyDescent="0.35">
      <c r="A467">
        <v>318</v>
      </c>
      <c r="B467">
        <v>316.89600000000002</v>
      </c>
      <c r="C467">
        <v>616291.15500000003</v>
      </c>
      <c r="D467">
        <v>3097637.8470000001</v>
      </c>
      <c r="E467">
        <v>632.40350000000001</v>
      </c>
      <c r="F467">
        <v>5.2</v>
      </c>
      <c r="G467">
        <v>0</v>
      </c>
      <c r="H467" t="s">
        <v>186</v>
      </c>
      <c r="I467">
        <v>2.3E-2</v>
      </c>
      <c r="J467">
        <f t="shared" si="203"/>
        <v>1.0010000000000332</v>
      </c>
      <c r="K467">
        <f t="shared" si="204"/>
        <v>51</v>
      </c>
      <c r="L467">
        <f t="shared" ca="1" si="205"/>
        <v>51797.862291428624</v>
      </c>
      <c r="M467">
        <f t="shared" ca="1" si="182"/>
        <v>269348.88391542883</v>
      </c>
      <c r="N467">
        <f t="shared" ca="1" si="183"/>
        <v>2.599869499234158</v>
      </c>
      <c r="O467">
        <f t="shared" ca="1" si="184"/>
        <v>1.8934550334358605E-4</v>
      </c>
      <c r="P467">
        <f t="shared" ca="1" si="185"/>
        <v>52430.265791428625</v>
      </c>
      <c r="Q467">
        <f t="shared" ca="1" si="186"/>
        <v>52430.265791430451</v>
      </c>
      <c r="R467">
        <f t="shared" ca="1" si="187"/>
        <v>2.2564399361288811E-12</v>
      </c>
      <c r="S467">
        <f t="shared" ca="1" si="206"/>
        <v>5.0000000192085281E-4</v>
      </c>
      <c r="T467">
        <f t="shared" ca="1" si="207"/>
        <v>1</v>
      </c>
      <c r="U467">
        <f t="shared" ca="1" si="188"/>
        <v>51800.26683766341</v>
      </c>
      <c r="V467">
        <f t="shared" ca="1" si="189"/>
        <v>269361.38755584974</v>
      </c>
      <c r="W467">
        <f t="shared" ca="1" si="190"/>
        <v>2.5998695052916441</v>
      </c>
      <c r="X467">
        <f t="shared" ca="1" si="191"/>
        <v>1.8933671400629237E-4</v>
      </c>
      <c r="Y467">
        <f t="shared" ca="1" si="192"/>
        <v>52432.67033766341</v>
      </c>
      <c r="Z467">
        <f t="shared" ca="1" si="193"/>
        <v>52432.670337665237</v>
      </c>
      <c r="AA467">
        <f t="shared" ca="1" si="194"/>
        <v>2.2562304480281055E-12</v>
      </c>
      <c r="AB467">
        <f t="shared" ca="1" si="195"/>
        <v>-5.0000000192085281E-4</v>
      </c>
      <c r="AC467">
        <f t="shared" ca="1" si="196"/>
        <v>1</v>
      </c>
      <c r="AD467">
        <f ca="1">IF(V32="Supercritical",L467,IF(V32="Subcritical",U467,IF(AND(T467=1,AC467=1),IF((((F467)*(L467)^2)/2+(G467)*(L467)^3/3+(ABS(K467)^2)/($I$5*MAX(((F467)+(G467)*(L467))*(L467),0.000001)))&gt;=(((F467)*(U467)^2)/2+(G467)*(U467)^3/3+(ABS(K467)^2)/($I$5*MAX(((F467)+(G467)*(U467))*(U467),0.000001))),L467,U467),IF(T467=1,L467,IF(AC467=1,U467,MAX($D$16,POWER((ABS(K467)^2)/($I$5*MAX(F467,0.1)^2),1/3)))))))</f>
        <v>51800.26683766341</v>
      </c>
      <c r="AE467">
        <f t="shared" ca="1" si="197"/>
        <v>52432.67033766341</v>
      </c>
      <c r="AF467">
        <f t="shared" ca="1" si="198"/>
        <v>52432.670337665237</v>
      </c>
      <c r="AI467">
        <v>0</v>
      </c>
      <c r="AJ467">
        <v>0</v>
      </c>
      <c r="AK467">
        <f t="shared" si="199"/>
        <v>0</v>
      </c>
      <c r="AL467">
        <f t="shared" si="208"/>
        <v>0</v>
      </c>
      <c r="AM467">
        <f t="shared" ca="1" si="200"/>
        <v>2.6560383008097266E-7</v>
      </c>
      <c r="AN467" t="str">
        <f t="shared" ca="1" si="201"/>
        <v>Subcritical</v>
      </c>
      <c r="AO467">
        <f t="shared" ca="1" si="202"/>
        <v>2.2562304480281055E-12</v>
      </c>
    </row>
    <row r="468" spans="1:41" x14ac:dyDescent="0.35">
      <c r="A468">
        <v>319</v>
      </c>
      <c r="B468">
        <v>317.89499999999998</v>
      </c>
      <c r="C468">
        <v>616290.68099999998</v>
      </c>
      <c r="D468">
        <v>3097636.9670000002</v>
      </c>
      <c r="E468">
        <v>632.40300000000002</v>
      </c>
      <c r="F468">
        <v>5.2</v>
      </c>
      <c r="G468">
        <v>0</v>
      </c>
      <c r="H468" t="s">
        <v>186</v>
      </c>
      <c r="I468">
        <v>0</v>
      </c>
      <c r="J468">
        <f t="shared" si="203"/>
        <v>0.9989999999999668</v>
      </c>
      <c r="K468">
        <f t="shared" si="204"/>
        <v>51</v>
      </c>
      <c r="L468">
        <f t="shared" ca="1" si="205"/>
        <v>51797.861704459618</v>
      </c>
      <c r="M468">
        <f t="shared" ca="1" si="182"/>
        <v>269348.88086319005</v>
      </c>
      <c r="N468">
        <f t="shared" ca="1" si="183"/>
        <v>2.5998694992326796</v>
      </c>
      <c r="O468">
        <f t="shared" ca="1" si="184"/>
        <v>1.8934550548923331E-4</v>
      </c>
      <c r="P468">
        <f t="shared" ca="1" si="185"/>
        <v>52430.264704459616</v>
      </c>
      <c r="Q468">
        <f t="shared" ca="1" si="186"/>
        <v>52430.264704461442</v>
      </c>
      <c r="R468">
        <f t="shared" ca="1" si="187"/>
        <v>2.2564399872701658E-12</v>
      </c>
      <c r="S468">
        <f t="shared" ca="1" si="206"/>
        <v>1.0869690086110495E-3</v>
      </c>
      <c r="T468">
        <f t="shared" ca="1" si="207"/>
        <v>0</v>
      </c>
      <c r="U468">
        <f t="shared" ca="1" si="188"/>
        <v>51800.26683766341</v>
      </c>
      <c r="V468">
        <f t="shared" ca="1" si="189"/>
        <v>269361.38755584974</v>
      </c>
      <c r="W468">
        <f t="shared" ca="1" si="190"/>
        <v>2.5998695052916441</v>
      </c>
      <c r="X468">
        <f t="shared" ca="1" si="191"/>
        <v>1.8933671400629237E-4</v>
      </c>
      <c r="Y468">
        <f t="shared" ca="1" si="192"/>
        <v>52432.669837663409</v>
      </c>
      <c r="Z468">
        <f t="shared" ca="1" si="193"/>
        <v>52432.669837665235</v>
      </c>
      <c r="AA468">
        <f t="shared" ca="1" si="194"/>
        <v>2.2562304480281055E-12</v>
      </c>
      <c r="AB468">
        <f t="shared" ca="1" si="195"/>
        <v>-5.0000000192085281E-4</v>
      </c>
      <c r="AC468">
        <f t="shared" ca="1" si="196"/>
        <v>1</v>
      </c>
      <c r="AD468">
        <f ca="1">IF(V32="Supercritical",L468,IF(V32="Subcritical",U468,IF(AND(T468=1,AC468=1),IF((((F468)*(L468)^2)/2+(G468)*(L468)^3/3+(ABS(K468)^2)/($I$5*MAX(((F468)+(G468)*(L468))*(L468),0.000001)))&gt;=(((F468)*(U468)^2)/2+(G468)*(U468)^3/3+(ABS(K468)^2)/($I$5*MAX(((F468)+(G468)*(U468))*(U468),0.000001))),L468,U468),IF(T468=1,L468,IF(AC468=1,U468,MAX($D$16,POWER((ABS(K468)^2)/($I$5*MAX(F468,0.1)^2),1/3)))))))</f>
        <v>51800.26683766341</v>
      </c>
      <c r="AE468">
        <f t="shared" ca="1" si="197"/>
        <v>52432.669837663409</v>
      </c>
      <c r="AF468">
        <f t="shared" ca="1" si="198"/>
        <v>52432.669837665235</v>
      </c>
      <c r="AI468">
        <v>0</v>
      </c>
      <c r="AJ468">
        <v>0</v>
      </c>
      <c r="AK468">
        <f t="shared" si="199"/>
        <v>0</v>
      </c>
      <c r="AL468">
        <f t="shared" si="208"/>
        <v>0</v>
      </c>
      <c r="AM468">
        <f t="shared" ca="1" si="200"/>
        <v>2.6560383008097266E-7</v>
      </c>
      <c r="AN468" t="str">
        <f t="shared" ca="1" si="201"/>
        <v>Subcritical</v>
      </c>
      <c r="AO468">
        <f t="shared" ca="1" si="202"/>
        <v>2.2562304480281055E-12</v>
      </c>
    </row>
    <row r="469" spans="1:41" x14ac:dyDescent="0.35">
      <c r="A469">
        <v>320</v>
      </c>
      <c r="B469">
        <v>318.89499999999998</v>
      </c>
      <c r="C469">
        <v>616290.20700000005</v>
      </c>
      <c r="D469">
        <v>3097636.0869999998</v>
      </c>
      <c r="E469">
        <v>632.40250000000003</v>
      </c>
      <c r="F469">
        <v>5.2</v>
      </c>
      <c r="G469">
        <v>0</v>
      </c>
      <c r="H469" t="s">
        <v>186</v>
      </c>
      <c r="I469">
        <v>2.7E-2</v>
      </c>
      <c r="J469">
        <f t="shared" si="203"/>
        <v>1</v>
      </c>
      <c r="K469">
        <f t="shared" si="204"/>
        <v>51</v>
      </c>
      <c r="L469">
        <f t="shared" ca="1" si="205"/>
        <v>51797.861704459618</v>
      </c>
      <c r="M469">
        <f t="shared" ca="1" si="182"/>
        <v>269348.88086319005</v>
      </c>
      <c r="N469">
        <f t="shared" ca="1" si="183"/>
        <v>2.5998694992326796</v>
      </c>
      <c r="O469">
        <f t="shared" ca="1" si="184"/>
        <v>1.8934550548923331E-4</v>
      </c>
      <c r="P469">
        <f t="shared" ca="1" si="185"/>
        <v>52430.264204459614</v>
      </c>
      <c r="Q469">
        <f t="shared" ca="1" si="186"/>
        <v>52430.26420446144</v>
      </c>
      <c r="R469">
        <f t="shared" ca="1" si="187"/>
        <v>2.2564399872701658E-12</v>
      </c>
      <c r="S469">
        <f t="shared" ca="1" si="206"/>
        <v>5.0000000192085281E-4</v>
      </c>
      <c r="T469">
        <f t="shared" ca="1" si="207"/>
        <v>1</v>
      </c>
      <c r="U469">
        <f t="shared" ca="1" si="188"/>
        <v>51800.26683766341</v>
      </c>
      <c r="V469">
        <f t="shared" ca="1" si="189"/>
        <v>269361.38755584974</v>
      </c>
      <c r="W469">
        <f t="shared" ca="1" si="190"/>
        <v>2.5998695052916441</v>
      </c>
      <c r="X469">
        <f t="shared" ca="1" si="191"/>
        <v>1.8933671400629237E-4</v>
      </c>
      <c r="Y469">
        <f t="shared" ca="1" si="192"/>
        <v>52432.669337663407</v>
      </c>
      <c r="Z469">
        <f t="shared" ca="1" si="193"/>
        <v>52432.669337665233</v>
      </c>
      <c r="AA469">
        <f t="shared" ca="1" si="194"/>
        <v>2.2562304480281055E-12</v>
      </c>
      <c r="AB469">
        <f t="shared" ca="1" si="195"/>
        <v>-4.999999946448952E-4</v>
      </c>
      <c r="AC469">
        <f t="shared" ca="1" si="196"/>
        <v>1</v>
      </c>
      <c r="AD469">
        <f ca="1">IF(V32="Supercritical",L469,IF(V32="Subcritical",U469,IF(AND(T469=1,AC469=1),IF((((F469)*(L469)^2)/2+(G469)*(L469)^3/3+(ABS(K469)^2)/($I$5*MAX(((F469)+(G469)*(L469))*(L469),0.000001)))&gt;=(((F469)*(U469)^2)/2+(G469)*(U469)^3/3+(ABS(K469)^2)/($I$5*MAX(((F469)+(G469)*(U469))*(U469),0.000001))),L469,U469),IF(T469=1,L469,IF(AC469=1,U469,MAX($D$16,POWER((ABS(K469)^2)/($I$5*MAX(F469,0.1)^2),1/3)))))))</f>
        <v>51800.26683766341</v>
      </c>
      <c r="AE469">
        <f t="shared" ca="1" si="197"/>
        <v>52432.669337663407</v>
      </c>
      <c r="AF469">
        <f t="shared" ca="1" si="198"/>
        <v>52432.669337665233</v>
      </c>
      <c r="AI469">
        <v>0</v>
      </c>
      <c r="AJ469">
        <v>0</v>
      </c>
      <c r="AK469">
        <f t="shared" si="199"/>
        <v>0</v>
      </c>
      <c r="AL469">
        <f t="shared" si="208"/>
        <v>0</v>
      </c>
      <c r="AM469">
        <f t="shared" ca="1" si="200"/>
        <v>2.6560383008097266E-7</v>
      </c>
      <c r="AN469" t="str">
        <f t="shared" ca="1" si="201"/>
        <v>Subcritical</v>
      </c>
      <c r="AO469">
        <f t="shared" ca="1" si="202"/>
        <v>2.2562304480281055E-12</v>
      </c>
    </row>
    <row r="470" spans="1:41" x14ac:dyDescent="0.35">
      <c r="A470">
        <v>321</v>
      </c>
      <c r="B470">
        <v>319.89499999999998</v>
      </c>
      <c r="C470">
        <v>616289.73300000001</v>
      </c>
      <c r="D470">
        <v>3097635.2059999998</v>
      </c>
      <c r="E470">
        <v>632.40200000000004</v>
      </c>
      <c r="F470">
        <v>5.2</v>
      </c>
      <c r="G470">
        <v>0</v>
      </c>
      <c r="H470" t="s">
        <v>186</v>
      </c>
      <c r="I470">
        <v>7.8E-2</v>
      </c>
      <c r="J470">
        <f t="shared" si="203"/>
        <v>1</v>
      </c>
      <c r="K470">
        <f t="shared" si="204"/>
        <v>51</v>
      </c>
      <c r="L470">
        <f t="shared" ca="1" si="205"/>
        <v>51797.861117495544</v>
      </c>
      <c r="M470">
        <f t="shared" ref="M470:M533" ca="1" si="209">((F470)+(G470)*(L470))*(L470)</f>
        <v>269348.87781097682</v>
      </c>
      <c r="N470">
        <f t="shared" ref="N470:N533" ca="1" si="210">(((F470)+(G470)*(L470))*(L470))/MAX((F470)+2*(L470)*SQRT(1+(G470)^2),0.000001)</f>
        <v>2.5998694992312004</v>
      </c>
      <c r="O470">
        <f t="shared" ref="O470:O533" ca="1" si="211">ABS(K470)/MAX(((F470)+(G470)*(L470))*(L470),0.000001)</f>
        <v>1.8934550763486266E-4</v>
      </c>
      <c r="P470">
        <f t="shared" ref="P470:P533" ca="1" si="212">E470+L470</f>
        <v>52430.263117495546</v>
      </c>
      <c r="Q470">
        <f t="shared" ref="Q470:Q533" ca="1" si="213">P470+((ABS(K470)/MAX(((F470)+(G470)*(L470))*(L470),0.000001))^2)/(2*$I$5)</f>
        <v>52430.263117497372</v>
      </c>
      <c r="R470">
        <f t="shared" ref="R470:R533" ca="1" si="214">((ABS(K470)*$D$6)/(MAX(((F470)+(G470)*(L470))*(L470),0.000001)*MAX(((((F470)+(G470)*(L470))*(L470))/MAX((F470)+2*(L470)*SQRT(1+(G470)^2),0.000001))^(2/3),0.000001)))^2</f>
        <v>2.2564400384110256E-12</v>
      </c>
      <c r="S470">
        <f t="shared" ca="1" si="206"/>
        <v>1.0869640682358295E-3</v>
      </c>
      <c r="T470">
        <f t="shared" ca="1" si="207"/>
        <v>0</v>
      </c>
      <c r="U470">
        <f t="shared" ref="U470:U533" ca="1" si="215">IF($D$20=0,U471,IF(AC471=0,U471,IF(U470=0,U471,IF(ABS(AB470)&gt;$D$19,MAX($D$16,U470+((AB470)*$D$18*IF((ABS(ABS(K470)/MAX(((F470)+(G470)*(U470))*(U470),0.000001))/SQRT($I$5*MAX((((F470)+(G470)*(U470))*(U470))/MAX((F470)+2*(G470)*(U470),0.000001),0.000001)))&lt;1,1,-1))),U470))))</f>
        <v>51800.26683766341</v>
      </c>
      <c r="V470">
        <f t="shared" ref="V470:V533" ca="1" si="216">((F470)+(G470)*(U470))*(U470)</f>
        <v>269361.38755584974</v>
      </c>
      <c r="W470">
        <f t="shared" ref="W470:W533" ca="1" si="217">(((F470)+(G470)*(U470))*(U470))/MAX((F470)+2*(U470)*SQRT(1+(G470)^2),0.000001)</f>
        <v>2.5998695052916441</v>
      </c>
      <c r="X470">
        <f t="shared" ref="X470:X533" ca="1" si="218">ABS(K470)/MAX(((F470)+(G470)*(U470))*(U470),0.000001)</f>
        <v>1.8933671400629237E-4</v>
      </c>
      <c r="Y470">
        <f t="shared" ref="Y470:Y533" ca="1" si="219">E470+U470</f>
        <v>52432.668837663412</v>
      </c>
      <c r="Z470">
        <f t="shared" ref="Z470:Z533" ca="1" si="220">Y470+((ABS(K470)/MAX(((F470)+(G470)*(U470))*(U470),0.000001))^2)/(2*$I$5)</f>
        <v>52432.668837665238</v>
      </c>
      <c r="AA470">
        <f t="shared" ref="AA470:AA533" ca="1" si="221">((ABS(K470)*$D$6)/(MAX(((F470)+(G470)*(U470))*(U470),0.000001)*MAX(((((F470)+(G470)*(U470))*(U470))/MAX((F470)+2*(U470)*SQRT(1+(G470)^2),0.000001))^(2/3),0.000001)))^2</f>
        <v>2.2562304480281055E-12</v>
      </c>
      <c r="AB470">
        <f t="shared" ref="AB470:AB533" ca="1" si="222">Z471+(((AA470+AA471)/2)*J471)+(IF(X470&gt;X471,$D$8*((X470^2-X471^2)/(2*$I$5)),$D$9*((X471^2-X470^2)/(2*$I$5)))+($D$10*(ABS(I471)/90)*(MAX(X470^2,X471^2)/(2*$I$5))))-Z470</f>
        <v>-5.0000000192085281E-4</v>
      </c>
      <c r="AC470">
        <f t="shared" ref="AC470:AC533" ca="1" si="223">IF(ABS(AB470)&lt;$D$19,1,0)</f>
        <v>1</v>
      </c>
      <c r="AD470">
        <f ca="1">IF(V32="Supercritical",L470,IF(V32="Subcritical",U470,IF(AND(T470=1,AC470=1),IF((((F470)*(L470)^2)/2+(G470)*(L470)^3/3+(ABS(K470)^2)/($I$5*MAX(((F470)+(G470)*(L470))*(L470),0.000001)))&gt;=(((F470)*(U470)^2)/2+(G470)*(U470)^3/3+(ABS(K470)^2)/($I$5*MAX(((F470)+(G470)*(U470))*(U470),0.000001))),L470,U470),IF(T470=1,L470,IF(AC470=1,U470,MAX($D$16,POWER((ABS(K470)^2)/($I$5*MAX(F470,0.1)^2),1/3)))))))</f>
        <v>51800.26683766341</v>
      </c>
      <c r="AE470">
        <f t="shared" ref="AE470:AE533" ca="1" si="224">E470+AD470</f>
        <v>52432.668837663412</v>
      </c>
      <c r="AF470">
        <f t="shared" ref="AF470:AF533" ca="1" si="225">AE470+((ABS(K470)/MAX(((F470)+(G470)*(AD470))*(AD470),0.000001))^2)/(2*$I$5)</f>
        <v>52432.668837665238</v>
      </c>
      <c r="AI470">
        <v>0</v>
      </c>
      <c r="AJ470">
        <v>0</v>
      </c>
      <c r="AK470">
        <f t="shared" ref="AK470:AK533" si="226">AI470+AJ470</f>
        <v>0</v>
      </c>
      <c r="AL470">
        <f t="shared" si="208"/>
        <v>0</v>
      </c>
      <c r="AM470">
        <f t="shared" ref="AM470:AM533" ca="1" si="227">ABS(ABS(K470)/MAX(((F470)+(G470)*(AD470))*(AD470),0.000001))/SQRT($I$5*MAX((((F470)+(G470)*(AD470))*(AD470))/MAX((F470)+2*(G470)*(AD470),0.000001),0.000001))</f>
        <v>2.6560383008097266E-7</v>
      </c>
      <c r="AN470" t="str">
        <f t="shared" ref="AN470:AN533" ca="1" si="228">IF(AM470&lt;1,"Subcritical","Supercritical")</f>
        <v>Subcritical</v>
      </c>
      <c r="AO470">
        <f t="shared" ref="AO470:AO533" ca="1" si="229">((ABS(K470)*$D$6)/(MAX(((F470)+(G470)*(AD470))*(AD470),0.000001)*MAX(((((F470)+(G470)*(AD470))*(AD470))/MAX((F470)+2*(AD470)*SQRT(1+(G470)^2),0.000001))^(2/3),0.000001)))^2</f>
        <v>2.2562304480281055E-12</v>
      </c>
    </row>
    <row r="471" spans="1:41" x14ac:dyDescent="0.35">
      <c r="A471">
        <v>322</v>
      </c>
      <c r="B471">
        <v>320.89499999999998</v>
      </c>
      <c r="C471">
        <v>616289.25800000003</v>
      </c>
      <c r="D471">
        <v>3097634.3259999999</v>
      </c>
      <c r="E471">
        <v>632.40150000000006</v>
      </c>
      <c r="F471">
        <v>5.2</v>
      </c>
      <c r="G471">
        <v>0</v>
      </c>
      <c r="H471" t="s">
        <v>186</v>
      </c>
      <c r="I471">
        <v>7.8E-2</v>
      </c>
      <c r="J471">
        <f t="shared" ref="J471:J534" si="230">B471-B470</f>
        <v>1</v>
      </c>
      <c r="K471">
        <f t="shared" ref="K471:K534" si="231">MAX(0,K470-AK470)</f>
        <v>51</v>
      </c>
      <c r="L471">
        <f t="shared" ref="L471:L534" ca="1" si="232">IF($D$20=0,L470,IF(T470=0,L470,IF(L471=0,L470,IF(ABS(S471)&gt;$D$19,MAX($D$16,L471+((S471)*$D$18*IF((ABS(ABS(K471)/MAX(((F471)+(G471)*(L471))*(L471),0.000001))/SQRT($I$5*MAX((((F471)+(G471)*(L471))*(L471))/MAX((F471)+2*(G471)*(L471),0.000001),0.000001)))&lt;1,1,-1))),L471))))</f>
        <v>51797.861117495544</v>
      </c>
      <c r="M471">
        <f t="shared" ca="1" si="209"/>
        <v>269348.87781097682</v>
      </c>
      <c r="N471">
        <f t="shared" ca="1" si="210"/>
        <v>2.5998694992312004</v>
      </c>
      <c r="O471">
        <f t="shared" ca="1" si="211"/>
        <v>1.8934550763486266E-4</v>
      </c>
      <c r="P471">
        <f t="shared" ca="1" si="212"/>
        <v>52430.262617495544</v>
      </c>
      <c r="Q471">
        <f t="shared" ca="1" si="213"/>
        <v>52430.26261749737</v>
      </c>
      <c r="R471">
        <f t="shared" ca="1" si="214"/>
        <v>2.2564400384110256E-12</v>
      </c>
      <c r="S471">
        <f t="shared" ref="S471:S534" ca="1" si="233">Q470-(((R470+R471)/2)*J471)-(IF(O470&gt;O471,$D$8*((O470^2-O471^2)/(2*$I$5)),$D$9*((O471^2-O470^2)/(2*$I$5)))+($D$10*(ABS(I471)/90)*(MAX(O470^2,O471^2)/(2*$I$5))))-Q471</f>
        <v>5.0000000192085281E-4</v>
      </c>
      <c r="T471">
        <f t="shared" ref="T471:T534" ca="1" si="234">IF(ABS(S471)&lt;$D$19,1,0)</f>
        <v>1</v>
      </c>
      <c r="U471">
        <f t="shared" ca="1" si="215"/>
        <v>51800.26683766341</v>
      </c>
      <c r="V471">
        <f t="shared" ca="1" si="216"/>
        <v>269361.38755584974</v>
      </c>
      <c r="W471">
        <f t="shared" ca="1" si="217"/>
        <v>2.5998695052916441</v>
      </c>
      <c r="X471">
        <f t="shared" ca="1" si="218"/>
        <v>1.8933671400629237E-4</v>
      </c>
      <c r="Y471">
        <f t="shared" ca="1" si="219"/>
        <v>52432.66833766341</v>
      </c>
      <c r="Z471">
        <f t="shared" ca="1" si="220"/>
        <v>52432.668337665236</v>
      </c>
      <c r="AA471">
        <f t="shared" ca="1" si="221"/>
        <v>2.2562304480281055E-12</v>
      </c>
      <c r="AB471">
        <f t="shared" ca="1" si="222"/>
        <v>-5.0000000192085281E-4</v>
      </c>
      <c r="AC471">
        <f t="shared" ca="1" si="223"/>
        <v>1</v>
      </c>
      <c r="AD471">
        <f ca="1">IF(V32="Supercritical",L471,IF(V32="Subcritical",U471,IF(AND(T471=1,AC471=1),IF((((F471)*(L471)^2)/2+(G471)*(L471)^3/3+(ABS(K471)^2)/($I$5*MAX(((F471)+(G471)*(L471))*(L471),0.000001)))&gt;=(((F471)*(U471)^2)/2+(G471)*(U471)^3/3+(ABS(K471)^2)/($I$5*MAX(((F471)+(G471)*(U471))*(U471),0.000001))),L471,U471),IF(T471=1,L471,IF(AC471=1,U471,MAX($D$16,POWER((ABS(K471)^2)/($I$5*MAX(F471,0.1)^2),1/3)))))))</f>
        <v>51800.26683766341</v>
      </c>
      <c r="AE471">
        <f t="shared" ca="1" si="224"/>
        <v>52432.66833766341</v>
      </c>
      <c r="AF471">
        <f t="shared" ca="1" si="225"/>
        <v>52432.668337665236</v>
      </c>
      <c r="AI471">
        <v>0</v>
      </c>
      <c r="AJ471">
        <v>0</v>
      </c>
      <c r="AK471">
        <f t="shared" si="226"/>
        <v>0</v>
      </c>
      <c r="AL471">
        <f t="shared" ref="AL471:AL534" si="235">AL470+AK471</f>
        <v>0</v>
      </c>
      <c r="AM471">
        <f t="shared" ca="1" si="227"/>
        <v>2.6560383008097266E-7</v>
      </c>
      <c r="AN471" t="str">
        <f t="shared" ca="1" si="228"/>
        <v>Subcritical</v>
      </c>
      <c r="AO471">
        <f t="shared" ca="1" si="229"/>
        <v>2.2562304480281055E-12</v>
      </c>
    </row>
    <row r="472" spans="1:41" x14ac:dyDescent="0.35">
      <c r="A472">
        <v>323</v>
      </c>
      <c r="B472">
        <v>321.89600000000002</v>
      </c>
      <c r="C472">
        <v>616288.78399999999</v>
      </c>
      <c r="D472">
        <v>3097633.4449999998</v>
      </c>
      <c r="E472">
        <v>632.40099999999995</v>
      </c>
      <c r="F472">
        <v>5.2</v>
      </c>
      <c r="G472">
        <v>0</v>
      </c>
      <c r="H472" t="s">
        <v>186</v>
      </c>
      <c r="I472">
        <v>2.7E-2</v>
      </c>
      <c r="J472">
        <f t="shared" si="230"/>
        <v>1.0010000000000332</v>
      </c>
      <c r="K472">
        <f t="shared" si="231"/>
        <v>51</v>
      </c>
      <c r="L472">
        <f t="shared" ca="1" si="232"/>
        <v>51797.860530534519</v>
      </c>
      <c r="M472">
        <f t="shared" ca="1" si="209"/>
        <v>269348.87475877954</v>
      </c>
      <c r="N472">
        <f t="shared" ca="1" si="210"/>
        <v>2.5998694992297224</v>
      </c>
      <c r="O472">
        <f t="shared" ca="1" si="211"/>
        <v>1.8934550978048085E-4</v>
      </c>
      <c r="P472">
        <f t="shared" ca="1" si="212"/>
        <v>52430.261530534517</v>
      </c>
      <c r="Q472">
        <f t="shared" ca="1" si="213"/>
        <v>52430.261530536343</v>
      </c>
      <c r="R472">
        <f t="shared" ca="1" si="214"/>
        <v>2.2564400895516176E-12</v>
      </c>
      <c r="S472">
        <f t="shared" ca="1" si="233"/>
        <v>1.0869610268855467E-3</v>
      </c>
      <c r="T472">
        <f t="shared" ca="1" si="234"/>
        <v>0</v>
      </c>
      <c r="U472">
        <f t="shared" ca="1" si="215"/>
        <v>51800.26683766341</v>
      </c>
      <c r="V472">
        <f t="shared" ca="1" si="216"/>
        <v>269361.38755584974</v>
      </c>
      <c r="W472">
        <f t="shared" ca="1" si="217"/>
        <v>2.5998695052916441</v>
      </c>
      <c r="X472">
        <f t="shared" ca="1" si="218"/>
        <v>1.8933671400629237E-4</v>
      </c>
      <c r="Y472">
        <f t="shared" ca="1" si="219"/>
        <v>52432.667837663408</v>
      </c>
      <c r="Z472">
        <f t="shared" ca="1" si="220"/>
        <v>52432.667837665234</v>
      </c>
      <c r="AA472">
        <f t="shared" ca="1" si="221"/>
        <v>2.2562304480281055E-12</v>
      </c>
      <c r="AB472">
        <f t="shared" ca="1" si="222"/>
        <v>-4.999999946448952E-4</v>
      </c>
      <c r="AC472">
        <f t="shared" ca="1" si="223"/>
        <v>1</v>
      </c>
      <c r="AD472">
        <f ca="1">IF(V32="Supercritical",L472,IF(V32="Subcritical",U472,IF(AND(T472=1,AC472=1),IF((((F472)*(L472)^2)/2+(G472)*(L472)^3/3+(ABS(K472)^2)/($I$5*MAX(((F472)+(G472)*(L472))*(L472),0.000001)))&gt;=(((F472)*(U472)^2)/2+(G472)*(U472)^3/3+(ABS(K472)^2)/($I$5*MAX(((F472)+(G472)*(U472))*(U472),0.000001))),L472,U472),IF(T472=1,L472,IF(AC472=1,U472,MAX($D$16,POWER((ABS(K472)^2)/($I$5*MAX(F472,0.1)^2),1/3)))))))</f>
        <v>51800.26683766341</v>
      </c>
      <c r="AE472">
        <f t="shared" ca="1" si="224"/>
        <v>52432.667837663408</v>
      </c>
      <c r="AF472">
        <f t="shared" ca="1" si="225"/>
        <v>52432.667837665234</v>
      </c>
      <c r="AI472">
        <v>0</v>
      </c>
      <c r="AJ472">
        <v>0</v>
      </c>
      <c r="AK472">
        <f t="shared" si="226"/>
        <v>0</v>
      </c>
      <c r="AL472">
        <f t="shared" si="235"/>
        <v>0</v>
      </c>
      <c r="AM472">
        <f t="shared" ca="1" si="227"/>
        <v>2.6560383008097266E-7</v>
      </c>
      <c r="AN472" t="str">
        <f t="shared" ca="1" si="228"/>
        <v>Subcritical</v>
      </c>
      <c r="AO472">
        <f t="shared" ca="1" si="229"/>
        <v>2.2562304480281055E-12</v>
      </c>
    </row>
    <row r="473" spans="1:41" x14ac:dyDescent="0.35">
      <c r="A473">
        <v>324</v>
      </c>
      <c r="B473">
        <v>322.89499999999998</v>
      </c>
      <c r="C473">
        <v>616288.31000000006</v>
      </c>
      <c r="D473">
        <v>3097632.5649999999</v>
      </c>
      <c r="E473">
        <v>632.40049999999997</v>
      </c>
      <c r="F473">
        <v>5.2</v>
      </c>
      <c r="G473">
        <v>0</v>
      </c>
      <c r="H473" t="s">
        <v>186</v>
      </c>
      <c r="I473">
        <v>0</v>
      </c>
      <c r="J473">
        <f t="shared" si="230"/>
        <v>0.9989999999999668</v>
      </c>
      <c r="K473">
        <f t="shared" si="231"/>
        <v>51</v>
      </c>
      <c r="L473">
        <f t="shared" ca="1" si="232"/>
        <v>51797.860530534519</v>
      </c>
      <c r="M473">
        <f t="shared" ca="1" si="209"/>
        <v>269348.87475877954</v>
      </c>
      <c r="N473">
        <f t="shared" ca="1" si="210"/>
        <v>2.5998694992297224</v>
      </c>
      <c r="O473">
        <f t="shared" ca="1" si="211"/>
        <v>1.8934550978048085E-4</v>
      </c>
      <c r="P473">
        <f t="shared" ca="1" si="212"/>
        <v>52430.261030534522</v>
      </c>
      <c r="Q473">
        <f t="shared" ca="1" si="213"/>
        <v>52430.261030536349</v>
      </c>
      <c r="R473">
        <f t="shared" ca="1" si="214"/>
        <v>2.2564400895516176E-12</v>
      </c>
      <c r="S473">
        <f t="shared" ca="1" si="233"/>
        <v>4.999999946448952E-4</v>
      </c>
      <c r="T473">
        <f t="shared" ca="1" si="234"/>
        <v>1</v>
      </c>
      <c r="U473">
        <f t="shared" ca="1" si="215"/>
        <v>51800.26683766341</v>
      </c>
      <c r="V473">
        <f t="shared" ca="1" si="216"/>
        <v>269361.38755584974</v>
      </c>
      <c r="W473">
        <f t="shared" ca="1" si="217"/>
        <v>2.5998695052916441</v>
      </c>
      <c r="X473">
        <f t="shared" ca="1" si="218"/>
        <v>1.8933671400629237E-4</v>
      </c>
      <c r="Y473">
        <f t="shared" ca="1" si="219"/>
        <v>52432.667337663413</v>
      </c>
      <c r="Z473">
        <f t="shared" ca="1" si="220"/>
        <v>52432.66733766524</v>
      </c>
      <c r="AA473">
        <f t="shared" ca="1" si="221"/>
        <v>2.2562304480281055E-12</v>
      </c>
      <c r="AB473">
        <f t="shared" ca="1" si="222"/>
        <v>-5.0000000192085281E-4</v>
      </c>
      <c r="AC473">
        <f t="shared" ca="1" si="223"/>
        <v>1</v>
      </c>
      <c r="AD473">
        <f ca="1">IF(V32="Supercritical",L473,IF(V32="Subcritical",U473,IF(AND(T473=1,AC473=1),IF((((F473)*(L473)^2)/2+(G473)*(L473)^3/3+(ABS(K473)^2)/($I$5*MAX(((F473)+(G473)*(L473))*(L473),0.000001)))&gt;=(((F473)*(U473)^2)/2+(G473)*(U473)^3/3+(ABS(K473)^2)/($I$5*MAX(((F473)+(G473)*(U473))*(U473),0.000001))),L473,U473),IF(T473=1,L473,IF(AC473=1,U473,MAX($D$16,POWER((ABS(K473)^2)/($I$5*MAX(F473,0.1)^2),1/3)))))))</f>
        <v>51800.26683766341</v>
      </c>
      <c r="AE473">
        <f t="shared" ca="1" si="224"/>
        <v>52432.667337663413</v>
      </c>
      <c r="AF473">
        <f t="shared" ca="1" si="225"/>
        <v>52432.66733766524</v>
      </c>
      <c r="AI473">
        <v>0</v>
      </c>
      <c r="AJ473">
        <v>0</v>
      </c>
      <c r="AK473">
        <f t="shared" si="226"/>
        <v>0</v>
      </c>
      <c r="AL473">
        <f t="shared" si="235"/>
        <v>0</v>
      </c>
      <c r="AM473">
        <f t="shared" ca="1" si="227"/>
        <v>2.6560383008097266E-7</v>
      </c>
      <c r="AN473" t="str">
        <f t="shared" ca="1" si="228"/>
        <v>Subcritical</v>
      </c>
      <c r="AO473">
        <f t="shared" ca="1" si="229"/>
        <v>2.2562304480281055E-12</v>
      </c>
    </row>
    <row r="474" spans="1:41" x14ac:dyDescent="0.35">
      <c r="A474">
        <v>325</v>
      </c>
      <c r="B474">
        <v>323.89499999999998</v>
      </c>
      <c r="C474">
        <v>616287.83600000001</v>
      </c>
      <c r="D474">
        <v>3097631.6850000001</v>
      </c>
      <c r="E474">
        <v>632.4</v>
      </c>
      <c r="F474">
        <v>5.2</v>
      </c>
      <c r="G474">
        <v>0</v>
      </c>
      <c r="H474" t="s">
        <v>186</v>
      </c>
      <c r="I474">
        <v>2.7E-2</v>
      </c>
      <c r="J474">
        <f t="shared" si="230"/>
        <v>1</v>
      </c>
      <c r="K474">
        <f t="shared" si="231"/>
        <v>51</v>
      </c>
      <c r="L474">
        <f t="shared" ca="1" si="232"/>
        <v>51797.859943575349</v>
      </c>
      <c r="M474">
        <f t="shared" ca="1" si="209"/>
        <v>269348.8717065918</v>
      </c>
      <c r="N474">
        <f t="shared" ca="1" si="210"/>
        <v>2.5998694992282432</v>
      </c>
      <c r="O474">
        <f t="shared" ca="1" si="211"/>
        <v>1.8934551192609236E-4</v>
      </c>
      <c r="P474">
        <f t="shared" ca="1" si="212"/>
        <v>52430.259943575351</v>
      </c>
      <c r="Q474">
        <f t="shared" ca="1" si="213"/>
        <v>52430.259943577177</v>
      </c>
      <c r="R474">
        <f t="shared" ca="1" si="214"/>
        <v>2.2564401406920537E-12</v>
      </c>
      <c r="S474">
        <f t="shared" ca="1" si="233"/>
        <v>1.0869591715163551E-3</v>
      </c>
      <c r="T474">
        <f t="shared" ca="1" si="234"/>
        <v>0</v>
      </c>
      <c r="U474">
        <f t="shared" ca="1" si="215"/>
        <v>51800.26683766341</v>
      </c>
      <c r="V474">
        <f t="shared" ca="1" si="216"/>
        <v>269361.38755584974</v>
      </c>
      <c r="W474">
        <f t="shared" ca="1" si="217"/>
        <v>2.5998695052916441</v>
      </c>
      <c r="X474">
        <f t="shared" ca="1" si="218"/>
        <v>1.8933671400629237E-4</v>
      </c>
      <c r="Y474">
        <f t="shared" ca="1" si="219"/>
        <v>52432.666837663412</v>
      </c>
      <c r="Z474">
        <f t="shared" ca="1" si="220"/>
        <v>52432.666837665238</v>
      </c>
      <c r="AA474">
        <f t="shared" ca="1" si="221"/>
        <v>2.2562304480281055E-12</v>
      </c>
      <c r="AB474">
        <f t="shared" ca="1" si="222"/>
        <v>-5.0000000192085281E-4</v>
      </c>
      <c r="AC474">
        <f t="shared" ca="1" si="223"/>
        <v>1</v>
      </c>
      <c r="AD474">
        <f ca="1">IF(V32="Supercritical",L474,IF(V32="Subcritical",U474,IF(AND(T474=1,AC474=1),IF((((F474)*(L474)^2)/2+(G474)*(L474)^3/3+(ABS(K474)^2)/($I$5*MAX(((F474)+(G474)*(L474))*(L474),0.000001)))&gt;=(((F474)*(U474)^2)/2+(G474)*(U474)^3/3+(ABS(K474)^2)/($I$5*MAX(((F474)+(G474)*(U474))*(U474),0.000001))),L474,U474),IF(T474=1,L474,IF(AC474=1,U474,MAX($D$16,POWER((ABS(K474)^2)/($I$5*MAX(F474,0.1)^2),1/3)))))))</f>
        <v>51800.26683766341</v>
      </c>
      <c r="AE474">
        <f t="shared" ca="1" si="224"/>
        <v>52432.666837663412</v>
      </c>
      <c r="AF474">
        <f t="shared" ca="1" si="225"/>
        <v>52432.666837665238</v>
      </c>
      <c r="AI474">
        <v>0</v>
      </c>
      <c r="AJ474">
        <v>0</v>
      </c>
      <c r="AK474">
        <f t="shared" si="226"/>
        <v>0</v>
      </c>
      <c r="AL474">
        <f t="shared" si="235"/>
        <v>0</v>
      </c>
      <c r="AM474">
        <f t="shared" ca="1" si="227"/>
        <v>2.6560383008097266E-7</v>
      </c>
      <c r="AN474" t="str">
        <f t="shared" ca="1" si="228"/>
        <v>Subcritical</v>
      </c>
      <c r="AO474">
        <f t="shared" ca="1" si="229"/>
        <v>2.2562304480281055E-12</v>
      </c>
    </row>
    <row r="475" spans="1:41" x14ac:dyDescent="0.35">
      <c r="A475">
        <v>326</v>
      </c>
      <c r="B475">
        <v>324.89499999999998</v>
      </c>
      <c r="C475">
        <v>616287.36199999996</v>
      </c>
      <c r="D475">
        <v>3097630.804</v>
      </c>
      <c r="E475">
        <v>632.39949999999999</v>
      </c>
      <c r="F475">
        <v>5.2</v>
      </c>
      <c r="G475">
        <v>0</v>
      </c>
      <c r="H475" t="s">
        <v>186</v>
      </c>
      <c r="I475">
        <v>7.8E-2</v>
      </c>
      <c r="J475">
        <f t="shared" si="230"/>
        <v>1</v>
      </c>
      <c r="K475">
        <f t="shared" si="231"/>
        <v>51</v>
      </c>
      <c r="L475">
        <f t="shared" ca="1" si="232"/>
        <v>51797.859943575349</v>
      </c>
      <c r="M475">
        <f t="shared" ca="1" si="209"/>
        <v>269348.8717065918</v>
      </c>
      <c r="N475">
        <f t="shared" ca="1" si="210"/>
        <v>2.5998694992282432</v>
      </c>
      <c r="O475">
        <f t="shared" ca="1" si="211"/>
        <v>1.8934551192609236E-4</v>
      </c>
      <c r="P475">
        <f t="shared" ca="1" si="212"/>
        <v>52430.259443575349</v>
      </c>
      <c r="Q475">
        <f t="shared" ca="1" si="213"/>
        <v>52430.259443577175</v>
      </c>
      <c r="R475">
        <f t="shared" ca="1" si="214"/>
        <v>2.2564401406920537E-12</v>
      </c>
      <c r="S475">
        <f t="shared" ca="1" si="233"/>
        <v>5.0000000192085281E-4</v>
      </c>
      <c r="T475">
        <f t="shared" ca="1" si="234"/>
        <v>1</v>
      </c>
      <c r="U475">
        <f t="shared" ca="1" si="215"/>
        <v>51800.26683766341</v>
      </c>
      <c r="V475">
        <f t="shared" ca="1" si="216"/>
        <v>269361.38755584974</v>
      </c>
      <c r="W475">
        <f t="shared" ca="1" si="217"/>
        <v>2.5998695052916441</v>
      </c>
      <c r="X475">
        <f t="shared" ca="1" si="218"/>
        <v>1.8933671400629237E-4</v>
      </c>
      <c r="Y475">
        <f t="shared" ca="1" si="219"/>
        <v>52432.66633766341</v>
      </c>
      <c r="Z475">
        <f t="shared" ca="1" si="220"/>
        <v>52432.666337665236</v>
      </c>
      <c r="AA475">
        <f t="shared" ca="1" si="221"/>
        <v>2.2562304480281055E-12</v>
      </c>
      <c r="AB475">
        <f t="shared" ca="1" si="222"/>
        <v>-5.0000000192085281E-4</v>
      </c>
      <c r="AC475">
        <f t="shared" ca="1" si="223"/>
        <v>1</v>
      </c>
      <c r="AD475">
        <f ca="1">IF(V32="Supercritical",L475,IF(V32="Subcritical",U475,IF(AND(T475=1,AC475=1),IF((((F475)*(L475)^2)/2+(G475)*(L475)^3/3+(ABS(K475)^2)/($I$5*MAX(((F475)+(G475)*(L475))*(L475),0.000001)))&gt;=(((F475)*(U475)^2)/2+(G475)*(U475)^3/3+(ABS(K475)^2)/($I$5*MAX(((F475)+(G475)*(U475))*(U475),0.000001))),L475,U475),IF(T475=1,L475,IF(AC475=1,U475,MAX($D$16,POWER((ABS(K475)^2)/($I$5*MAX(F475,0.1)^2),1/3)))))))</f>
        <v>51800.26683766341</v>
      </c>
      <c r="AE475">
        <f t="shared" ca="1" si="224"/>
        <v>52432.66633766341</v>
      </c>
      <c r="AF475">
        <f t="shared" ca="1" si="225"/>
        <v>52432.666337665236</v>
      </c>
      <c r="AI475">
        <v>0</v>
      </c>
      <c r="AJ475">
        <v>0</v>
      </c>
      <c r="AK475">
        <f t="shared" si="226"/>
        <v>0</v>
      </c>
      <c r="AL475">
        <f t="shared" si="235"/>
        <v>0</v>
      </c>
      <c r="AM475">
        <f t="shared" ca="1" si="227"/>
        <v>2.6560383008097266E-7</v>
      </c>
      <c r="AN475" t="str">
        <f t="shared" ca="1" si="228"/>
        <v>Subcritical</v>
      </c>
      <c r="AO475">
        <f t="shared" ca="1" si="229"/>
        <v>2.2562304480281055E-12</v>
      </c>
    </row>
    <row r="476" spans="1:41" x14ac:dyDescent="0.35">
      <c r="A476">
        <v>327</v>
      </c>
      <c r="B476">
        <v>325.89499999999998</v>
      </c>
      <c r="C476">
        <v>616286.88699999999</v>
      </c>
      <c r="D476">
        <v>3097629.9240000001</v>
      </c>
      <c r="E476">
        <v>632.399</v>
      </c>
      <c r="F476">
        <v>5.2</v>
      </c>
      <c r="G476">
        <v>0</v>
      </c>
      <c r="H476" t="s">
        <v>186</v>
      </c>
      <c r="I476">
        <v>7.8E-2</v>
      </c>
      <c r="J476">
        <f t="shared" si="230"/>
        <v>1</v>
      </c>
      <c r="K476">
        <f t="shared" si="231"/>
        <v>51</v>
      </c>
      <c r="L476">
        <f t="shared" ca="1" si="232"/>
        <v>51797.859356617264</v>
      </c>
      <c r="M476">
        <f t="shared" ca="1" si="209"/>
        <v>269348.86865440977</v>
      </c>
      <c r="N476">
        <f t="shared" ca="1" si="210"/>
        <v>2.5998694992267644</v>
      </c>
      <c r="O476">
        <f t="shared" ca="1" si="211"/>
        <v>1.8934551407169992E-4</v>
      </c>
      <c r="P476">
        <f t="shared" ca="1" si="212"/>
        <v>52430.258356617262</v>
      </c>
      <c r="Q476">
        <f t="shared" ca="1" si="213"/>
        <v>52430.258356619088</v>
      </c>
      <c r="R476">
        <f t="shared" ca="1" si="214"/>
        <v>2.2564401918323945E-12</v>
      </c>
      <c r="S476">
        <f t="shared" ca="1" si="233"/>
        <v>1.0869580873986706E-3</v>
      </c>
      <c r="T476">
        <f t="shared" ca="1" si="234"/>
        <v>0</v>
      </c>
      <c r="U476">
        <f t="shared" ca="1" si="215"/>
        <v>51800.26683766341</v>
      </c>
      <c r="V476">
        <f t="shared" ca="1" si="216"/>
        <v>269361.38755584974</v>
      </c>
      <c r="W476">
        <f t="shared" ca="1" si="217"/>
        <v>2.5998695052916441</v>
      </c>
      <c r="X476">
        <f t="shared" ca="1" si="218"/>
        <v>1.8933671400629237E-4</v>
      </c>
      <c r="Y476">
        <f t="shared" ca="1" si="219"/>
        <v>52432.665837663408</v>
      </c>
      <c r="Z476">
        <f t="shared" ca="1" si="220"/>
        <v>52432.665837665234</v>
      </c>
      <c r="AA476">
        <f t="shared" ca="1" si="221"/>
        <v>2.2562304480281055E-12</v>
      </c>
      <c r="AB476">
        <f t="shared" ca="1" si="222"/>
        <v>-4.999999946448952E-4</v>
      </c>
      <c r="AC476">
        <f t="shared" ca="1" si="223"/>
        <v>1</v>
      </c>
      <c r="AD476">
        <f ca="1">IF(V32="Supercritical",L476,IF(V32="Subcritical",U476,IF(AND(T476=1,AC476=1),IF((((F476)*(L476)^2)/2+(G476)*(L476)^3/3+(ABS(K476)^2)/($I$5*MAX(((F476)+(G476)*(L476))*(L476),0.000001)))&gt;=(((F476)*(U476)^2)/2+(G476)*(U476)^3/3+(ABS(K476)^2)/($I$5*MAX(((F476)+(G476)*(U476))*(U476),0.000001))),L476,U476),IF(T476=1,L476,IF(AC476=1,U476,MAX($D$16,POWER((ABS(K476)^2)/($I$5*MAX(F476,0.1)^2),1/3)))))))</f>
        <v>51800.26683766341</v>
      </c>
      <c r="AE476">
        <f t="shared" ca="1" si="224"/>
        <v>52432.665837663408</v>
      </c>
      <c r="AF476">
        <f t="shared" ca="1" si="225"/>
        <v>52432.665837665234</v>
      </c>
      <c r="AI476">
        <v>0</v>
      </c>
      <c r="AJ476">
        <v>0</v>
      </c>
      <c r="AK476">
        <f t="shared" si="226"/>
        <v>0</v>
      </c>
      <c r="AL476">
        <f t="shared" si="235"/>
        <v>0</v>
      </c>
      <c r="AM476">
        <f t="shared" ca="1" si="227"/>
        <v>2.6560383008097266E-7</v>
      </c>
      <c r="AN476" t="str">
        <f t="shared" ca="1" si="228"/>
        <v>Subcritical</v>
      </c>
      <c r="AO476">
        <f t="shared" ca="1" si="229"/>
        <v>2.2562304480281055E-12</v>
      </c>
    </row>
    <row r="477" spans="1:41" x14ac:dyDescent="0.35">
      <c r="A477">
        <v>328</v>
      </c>
      <c r="B477">
        <v>326.89600000000002</v>
      </c>
      <c r="C477">
        <v>616286.41299999994</v>
      </c>
      <c r="D477">
        <v>3097629.0430000001</v>
      </c>
      <c r="E477">
        <v>632.39850000000001</v>
      </c>
      <c r="F477">
        <v>5.2</v>
      </c>
      <c r="G477">
        <v>0</v>
      </c>
      <c r="H477" t="s">
        <v>186</v>
      </c>
      <c r="I477">
        <v>2.7E-2</v>
      </c>
      <c r="J477">
        <f t="shared" si="230"/>
        <v>1.0010000000000332</v>
      </c>
      <c r="K477">
        <f t="shared" si="231"/>
        <v>51</v>
      </c>
      <c r="L477">
        <f t="shared" ca="1" si="232"/>
        <v>51797.859356617264</v>
      </c>
      <c r="M477">
        <f t="shared" ca="1" si="209"/>
        <v>269348.86865440977</v>
      </c>
      <c r="N477">
        <f t="shared" ca="1" si="210"/>
        <v>2.5998694992267644</v>
      </c>
      <c r="O477">
        <f t="shared" ca="1" si="211"/>
        <v>1.8934551407169992E-4</v>
      </c>
      <c r="P477">
        <f t="shared" ca="1" si="212"/>
        <v>52430.257856617267</v>
      </c>
      <c r="Q477">
        <f t="shared" ca="1" si="213"/>
        <v>52430.257856619093</v>
      </c>
      <c r="R477">
        <f t="shared" ca="1" si="214"/>
        <v>2.2564401918323945E-12</v>
      </c>
      <c r="S477">
        <f t="shared" ca="1" si="233"/>
        <v>4.999999946448952E-4</v>
      </c>
      <c r="T477">
        <f t="shared" ca="1" si="234"/>
        <v>1</v>
      </c>
      <c r="U477">
        <f t="shared" ca="1" si="215"/>
        <v>51800.26683766341</v>
      </c>
      <c r="V477">
        <f t="shared" ca="1" si="216"/>
        <v>269361.38755584974</v>
      </c>
      <c r="W477">
        <f t="shared" ca="1" si="217"/>
        <v>2.5998695052916441</v>
      </c>
      <c r="X477">
        <f t="shared" ca="1" si="218"/>
        <v>1.8933671400629237E-4</v>
      </c>
      <c r="Y477">
        <f t="shared" ca="1" si="219"/>
        <v>52432.665337663413</v>
      </c>
      <c r="Z477">
        <f t="shared" ca="1" si="220"/>
        <v>52432.665337665239</v>
      </c>
      <c r="AA477">
        <f t="shared" ca="1" si="221"/>
        <v>2.2562304480281055E-12</v>
      </c>
      <c r="AB477">
        <f t="shared" ca="1" si="222"/>
        <v>-5.0000000192085281E-4</v>
      </c>
      <c r="AC477">
        <f t="shared" ca="1" si="223"/>
        <v>1</v>
      </c>
      <c r="AD477">
        <f ca="1">IF(V32="Supercritical",L477,IF(V32="Subcritical",U477,IF(AND(T477=1,AC477=1),IF((((F477)*(L477)^2)/2+(G477)*(L477)^3/3+(ABS(K477)^2)/($I$5*MAX(((F477)+(G477)*(L477))*(L477),0.000001)))&gt;=(((F477)*(U477)^2)/2+(G477)*(U477)^3/3+(ABS(K477)^2)/($I$5*MAX(((F477)+(G477)*(U477))*(U477),0.000001))),L477,U477),IF(T477=1,L477,IF(AC477=1,U477,MAX($D$16,POWER((ABS(K477)^2)/($I$5*MAX(F477,0.1)^2),1/3)))))))</f>
        <v>51800.26683766341</v>
      </c>
      <c r="AE477">
        <f t="shared" ca="1" si="224"/>
        <v>52432.665337663413</v>
      </c>
      <c r="AF477">
        <f t="shared" ca="1" si="225"/>
        <v>52432.665337665239</v>
      </c>
      <c r="AI477">
        <v>0</v>
      </c>
      <c r="AJ477">
        <v>0</v>
      </c>
      <c r="AK477">
        <f t="shared" si="226"/>
        <v>0</v>
      </c>
      <c r="AL477">
        <f t="shared" si="235"/>
        <v>0</v>
      </c>
      <c r="AM477">
        <f t="shared" ca="1" si="227"/>
        <v>2.6560383008097266E-7</v>
      </c>
      <c r="AN477" t="str">
        <f t="shared" ca="1" si="228"/>
        <v>Subcritical</v>
      </c>
      <c r="AO477">
        <f t="shared" ca="1" si="229"/>
        <v>2.2562304480281055E-12</v>
      </c>
    </row>
    <row r="478" spans="1:41" x14ac:dyDescent="0.35">
      <c r="A478">
        <v>329</v>
      </c>
      <c r="B478">
        <v>327.89499999999998</v>
      </c>
      <c r="C478">
        <v>616285.93900000001</v>
      </c>
      <c r="D478">
        <v>3097628.1630000002</v>
      </c>
      <c r="E478">
        <v>632.39800000000002</v>
      </c>
      <c r="F478">
        <v>5.2</v>
      </c>
      <c r="G478">
        <v>0</v>
      </c>
      <c r="H478" t="s">
        <v>186</v>
      </c>
      <c r="I478">
        <v>0</v>
      </c>
      <c r="J478">
        <f t="shared" si="230"/>
        <v>0.9989999999999668</v>
      </c>
      <c r="K478">
        <f t="shared" si="231"/>
        <v>51</v>
      </c>
      <c r="L478">
        <f t="shared" ca="1" si="232"/>
        <v>51797.858769659841</v>
      </c>
      <c r="M478">
        <f t="shared" ca="1" si="209"/>
        <v>269348.86560223118</v>
      </c>
      <c r="N478">
        <f t="shared" ca="1" si="210"/>
        <v>2.599869499225286</v>
      </c>
      <c r="O478">
        <f t="shared" ca="1" si="211"/>
        <v>1.8934551621730512E-4</v>
      </c>
      <c r="P478">
        <f t="shared" ca="1" si="212"/>
        <v>52430.256769659842</v>
      </c>
      <c r="Q478">
        <f t="shared" ca="1" si="213"/>
        <v>52430.256769661668</v>
      </c>
      <c r="R478">
        <f t="shared" ca="1" si="214"/>
        <v>2.2564402429726796E-12</v>
      </c>
      <c r="S478">
        <f t="shared" ca="1" si="233"/>
        <v>1.0869574252865277E-3</v>
      </c>
      <c r="T478">
        <f t="shared" ca="1" si="234"/>
        <v>0</v>
      </c>
      <c r="U478">
        <f t="shared" ca="1" si="215"/>
        <v>51800.26683766341</v>
      </c>
      <c r="V478">
        <f t="shared" ca="1" si="216"/>
        <v>269361.38755584974</v>
      </c>
      <c r="W478">
        <f t="shared" ca="1" si="217"/>
        <v>2.5998695052916441</v>
      </c>
      <c r="X478">
        <f t="shared" ca="1" si="218"/>
        <v>1.8933671400629237E-4</v>
      </c>
      <c r="Y478">
        <f t="shared" ca="1" si="219"/>
        <v>52432.664837663411</v>
      </c>
      <c r="Z478">
        <f t="shared" ca="1" si="220"/>
        <v>52432.664837665237</v>
      </c>
      <c r="AA478">
        <f t="shared" ca="1" si="221"/>
        <v>2.2562304480281055E-12</v>
      </c>
      <c r="AB478">
        <f t="shared" ca="1" si="222"/>
        <v>-5.0000000192085281E-4</v>
      </c>
      <c r="AC478">
        <f t="shared" ca="1" si="223"/>
        <v>1</v>
      </c>
      <c r="AD478">
        <f ca="1">IF(V32="Supercritical",L478,IF(V32="Subcritical",U478,IF(AND(T478=1,AC478=1),IF((((F478)*(L478)^2)/2+(G478)*(L478)^3/3+(ABS(K478)^2)/($I$5*MAX(((F478)+(G478)*(L478))*(L478),0.000001)))&gt;=(((F478)*(U478)^2)/2+(G478)*(U478)^3/3+(ABS(K478)^2)/($I$5*MAX(((F478)+(G478)*(U478))*(U478),0.000001))),L478,U478),IF(T478=1,L478,IF(AC478=1,U478,MAX($D$16,POWER((ABS(K478)^2)/($I$5*MAX(F478,0.1)^2),1/3)))))))</f>
        <v>51800.26683766341</v>
      </c>
      <c r="AE478">
        <f t="shared" ca="1" si="224"/>
        <v>52432.664837663411</v>
      </c>
      <c r="AF478">
        <f t="shared" ca="1" si="225"/>
        <v>52432.664837665237</v>
      </c>
      <c r="AI478">
        <v>0</v>
      </c>
      <c r="AJ478">
        <v>0</v>
      </c>
      <c r="AK478">
        <f t="shared" si="226"/>
        <v>0</v>
      </c>
      <c r="AL478">
        <f t="shared" si="235"/>
        <v>0</v>
      </c>
      <c r="AM478">
        <f t="shared" ca="1" si="227"/>
        <v>2.6560383008097266E-7</v>
      </c>
      <c r="AN478" t="str">
        <f t="shared" ca="1" si="228"/>
        <v>Subcritical</v>
      </c>
      <c r="AO478">
        <f t="shared" ca="1" si="229"/>
        <v>2.2562304480281055E-12</v>
      </c>
    </row>
    <row r="479" spans="1:41" x14ac:dyDescent="0.35">
      <c r="A479">
        <v>330</v>
      </c>
      <c r="B479">
        <v>328.89499999999998</v>
      </c>
      <c r="C479">
        <v>616285.46499999997</v>
      </c>
      <c r="D479">
        <v>3097627.2829999998</v>
      </c>
      <c r="E479">
        <v>632.39750000000004</v>
      </c>
      <c r="F479">
        <v>5.2</v>
      </c>
      <c r="G479">
        <v>0</v>
      </c>
      <c r="H479" t="s">
        <v>186</v>
      </c>
      <c r="I479">
        <v>2.3E-2</v>
      </c>
      <c r="J479">
        <f t="shared" si="230"/>
        <v>1</v>
      </c>
      <c r="K479">
        <f t="shared" si="231"/>
        <v>51</v>
      </c>
      <c r="L479">
        <f t="shared" ca="1" si="232"/>
        <v>51797.858769659841</v>
      </c>
      <c r="M479">
        <f t="shared" ca="1" si="209"/>
        <v>269348.86560223118</v>
      </c>
      <c r="N479">
        <f t="shared" ca="1" si="210"/>
        <v>2.599869499225286</v>
      </c>
      <c r="O479">
        <f t="shared" ca="1" si="211"/>
        <v>1.8934551621730512E-4</v>
      </c>
      <c r="P479">
        <f t="shared" ca="1" si="212"/>
        <v>52430.25626965984</v>
      </c>
      <c r="Q479">
        <f t="shared" ca="1" si="213"/>
        <v>52430.256269661666</v>
      </c>
      <c r="R479">
        <f t="shared" ca="1" si="214"/>
        <v>2.2564402429726796E-12</v>
      </c>
      <c r="S479">
        <f t="shared" ca="1" si="233"/>
        <v>5.0000000192085281E-4</v>
      </c>
      <c r="T479">
        <f t="shared" ca="1" si="234"/>
        <v>1</v>
      </c>
      <c r="U479">
        <f t="shared" ca="1" si="215"/>
        <v>51800.26683766341</v>
      </c>
      <c r="V479">
        <f t="shared" ca="1" si="216"/>
        <v>269361.38755584974</v>
      </c>
      <c r="W479">
        <f t="shared" ca="1" si="217"/>
        <v>2.5998695052916441</v>
      </c>
      <c r="X479">
        <f t="shared" ca="1" si="218"/>
        <v>1.8933671400629237E-4</v>
      </c>
      <c r="Y479">
        <f t="shared" ca="1" si="219"/>
        <v>52432.664337663409</v>
      </c>
      <c r="Z479">
        <f t="shared" ca="1" si="220"/>
        <v>52432.664337665236</v>
      </c>
      <c r="AA479">
        <f t="shared" ca="1" si="221"/>
        <v>2.2562304480281055E-12</v>
      </c>
      <c r="AB479">
        <f t="shared" ca="1" si="222"/>
        <v>-5.0000000192085281E-4</v>
      </c>
      <c r="AC479">
        <f t="shared" ca="1" si="223"/>
        <v>1</v>
      </c>
      <c r="AD479">
        <f ca="1">IF(V32="Supercritical",L479,IF(V32="Subcritical",U479,IF(AND(T479=1,AC479=1),IF((((F479)*(L479)^2)/2+(G479)*(L479)^3/3+(ABS(K479)^2)/($I$5*MAX(((F479)+(G479)*(L479))*(L479),0.000001)))&gt;=(((F479)*(U479)^2)/2+(G479)*(U479)^3/3+(ABS(K479)^2)/($I$5*MAX(((F479)+(G479)*(U479))*(U479),0.000001))),L479,U479),IF(T479=1,L479,IF(AC479=1,U479,MAX($D$16,POWER((ABS(K479)^2)/($I$5*MAX(F479,0.1)^2),1/3)))))))</f>
        <v>51800.26683766341</v>
      </c>
      <c r="AE479">
        <f t="shared" ca="1" si="224"/>
        <v>52432.664337663409</v>
      </c>
      <c r="AF479">
        <f t="shared" ca="1" si="225"/>
        <v>52432.664337665236</v>
      </c>
      <c r="AI479">
        <v>0</v>
      </c>
      <c r="AJ479">
        <v>0</v>
      </c>
      <c r="AK479">
        <f t="shared" si="226"/>
        <v>0</v>
      </c>
      <c r="AL479">
        <f t="shared" si="235"/>
        <v>0</v>
      </c>
      <c r="AM479">
        <f t="shared" ca="1" si="227"/>
        <v>2.6560383008097266E-7</v>
      </c>
      <c r="AN479" t="str">
        <f t="shared" ca="1" si="228"/>
        <v>Subcritical</v>
      </c>
      <c r="AO479">
        <f t="shared" ca="1" si="229"/>
        <v>2.2562304480281055E-12</v>
      </c>
    </row>
    <row r="480" spans="1:41" x14ac:dyDescent="0.35">
      <c r="A480">
        <v>331</v>
      </c>
      <c r="B480">
        <v>329.89600000000002</v>
      </c>
      <c r="C480">
        <v>616284.99</v>
      </c>
      <c r="D480">
        <v>3097626.4019999998</v>
      </c>
      <c r="E480">
        <v>632.39700000000005</v>
      </c>
      <c r="F480">
        <v>5.2</v>
      </c>
      <c r="G480">
        <v>0</v>
      </c>
      <c r="H480" t="s">
        <v>186</v>
      </c>
      <c r="I480">
        <v>2.3E-2</v>
      </c>
      <c r="J480">
        <f t="shared" si="230"/>
        <v>1.0010000000000332</v>
      </c>
      <c r="K480">
        <f t="shared" si="231"/>
        <v>51</v>
      </c>
      <c r="L480">
        <f t="shared" ca="1" si="232"/>
        <v>51797.858182702832</v>
      </c>
      <c r="M480">
        <f t="shared" ca="1" si="209"/>
        <v>269348.86255005474</v>
      </c>
      <c r="N480">
        <f t="shared" ca="1" si="210"/>
        <v>2.5998694992238072</v>
      </c>
      <c r="O480">
        <f t="shared" ca="1" si="211"/>
        <v>1.8934551836290885E-4</v>
      </c>
      <c r="P480">
        <f t="shared" ca="1" si="212"/>
        <v>52430.255182702829</v>
      </c>
      <c r="Q480">
        <f t="shared" ca="1" si="213"/>
        <v>52430.255182704655</v>
      </c>
      <c r="R480">
        <f t="shared" ca="1" si="214"/>
        <v>2.2564402941129319E-12</v>
      </c>
      <c r="S480">
        <f t="shared" ca="1" si="233"/>
        <v>1.0869570105569437E-3</v>
      </c>
      <c r="T480">
        <f t="shared" ca="1" si="234"/>
        <v>0</v>
      </c>
      <c r="U480">
        <f t="shared" ca="1" si="215"/>
        <v>51800.26683766341</v>
      </c>
      <c r="V480">
        <f t="shared" ca="1" si="216"/>
        <v>269361.38755584974</v>
      </c>
      <c r="W480">
        <f t="shared" ca="1" si="217"/>
        <v>2.5998695052916441</v>
      </c>
      <c r="X480">
        <f t="shared" ca="1" si="218"/>
        <v>1.8933671400629237E-4</v>
      </c>
      <c r="Y480">
        <f t="shared" ca="1" si="219"/>
        <v>52432.663837663407</v>
      </c>
      <c r="Z480">
        <f t="shared" ca="1" si="220"/>
        <v>52432.663837665234</v>
      </c>
      <c r="AA480">
        <f t="shared" ca="1" si="221"/>
        <v>2.2562304480281055E-12</v>
      </c>
      <c r="AB480">
        <f t="shared" ca="1" si="222"/>
        <v>-4.999999946448952E-4</v>
      </c>
      <c r="AC480">
        <f t="shared" ca="1" si="223"/>
        <v>1</v>
      </c>
      <c r="AD480">
        <f ca="1">IF(V32="Supercritical",L480,IF(V32="Subcritical",U480,IF(AND(T480=1,AC480=1),IF((((F480)*(L480)^2)/2+(G480)*(L480)^3/3+(ABS(K480)^2)/($I$5*MAX(((F480)+(G480)*(L480))*(L480),0.000001)))&gt;=(((F480)*(U480)^2)/2+(G480)*(U480)^3/3+(ABS(K480)^2)/($I$5*MAX(((F480)+(G480)*(U480))*(U480),0.000001))),L480,U480),IF(T480=1,L480,IF(AC480=1,U480,MAX($D$16,POWER((ABS(K480)^2)/($I$5*MAX(F480,0.1)^2),1/3)))))))</f>
        <v>51800.26683766341</v>
      </c>
      <c r="AE480">
        <f t="shared" ca="1" si="224"/>
        <v>52432.663837663407</v>
      </c>
      <c r="AF480">
        <f t="shared" ca="1" si="225"/>
        <v>52432.663837665234</v>
      </c>
      <c r="AI480">
        <v>0</v>
      </c>
      <c r="AJ480">
        <v>0</v>
      </c>
      <c r="AK480">
        <f t="shared" si="226"/>
        <v>0</v>
      </c>
      <c r="AL480">
        <f t="shared" si="235"/>
        <v>0</v>
      </c>
      <c r="AM480">
        <f t="shared" ca="1" si="227"/>
        <v>2.6560383008097266E-7</v>
      </c>
      <c r="AN480" t="str">
        <f t="shared" ca="1" si="228"/>
        <v>Subcritical</v>
      </c>
      <c r="AO480">
        <f t="shared" ca="1" si="229"/>
        <v>2.2562304480281055E-12</v>
      </c>
    </row>
    <row r="481" spans="1:41" x14ac:dyDescent="0.35">
      <c r="A481">
        <v>332</v>
      </c>
      <c r="B481">
        <v>330.89499999999998</v>
      </c>
      <c r="C481">
        <v>616284.51599999995</v>
      </c>
      <c r="D481">
        <v>3097625.5219999999</v>
      </c>
      <c r="E481">
        <v>632.39649999999995</v>
      </c>
      <c r="F481">
        <v>5.2</v>
      </c>
      <c r="G481">
        <v>0</v>
      </c>
      <c r="H481" t="s">
        <v>186</v>
      </c>
      <c r="I481">
        <v>2.7E-2</v>
      </c>
      <c r="J481">
        <f t="shared" si="230"/>
        <v>0.9989999999999668</v>
      </c>
      <c r="K481">
        <f t="shared" si="231"/>
        <v>51</v>
      </c>
      <c r="L481">
        <f t="shared" ca="1" si="232"/>
        <v>51797.858182702832</v>
      </c>
      <c r="M481">
        <f t="shared" ca="1" si="209"/>
        <v>269348.86255005474</v>
      </c>
      <c r="N481">
        <f t="shared" ca="1" si="210"/>
        <v>2.5998694992238072</v>
      </c>
      <c r="O481">
        <f t="shared" ca="1" si="211"/>
        <v>1.8934551836290885E-4</v>
      </c>
      <c r="P481">
        <f t="shared" ca="1" si="212"/>
        <v>52430.254682702835</v>
      </c>
      <c r="Q481">
        <f t="shared" ca="1" si="213"/>
        <v>52430.254682704661</v>
      </c>
      <c r="R481">
        <f t="shared" ca="1" si="214"/>
        <v>2.2564402941129319E-12</v>
      </c>
      <c r="S481">
        <f t="shared" ca="1" si="233"/>
        <v>4.999999946448952E-4</v>
      </c>
      <c r="T481">
        <f t="shared" ca="1" si="234"/>
        <v>1</v>
      </c>
      <c r="U481">
        <f t="shared" ca="1" si="215"/>
        <v>51800.26683766341</v>
      </c>
      <c r="V481">
        <f t="shared" ca="1" si="216"/>
        <v>269361.38755584974</v>
      </c>
      <c r="W481">
        <f t="shared" ca="1" si="217"/>
        <v>2.5998695052916441</v>
      </c>
      <c r="X481">
        <f t="shared" ca="1" si="218"/>
        <v>1.8933671400629237E-4</v>
      </c>
      <c r="Y481">
        <f t="shared" ca="1" si="219"/>
        <v>52432.663337663413</v>
      </c>
      <c r="Z481">
        <f t="shared" ca="1" si="220"/>
        <v>52432.663337665239</v>
      </c>
      <c r="AA481">
        <f t="shared" ca="1" si="221"/>
        <v>2.2562304480281055E-12</v>
      </c>
      <c r="AB481">
        <f t="shared" ca="1" si="222"/>
        <v>-5.0000000192085281E-4</v>
      </c>
      <c r="AC481">
        <f t="shared" ca="1" si="223"/>
        <v>1</v>
      </c>
      <c r="AD481">
        <f ca="1">IF(V32="Supercritical",L481,IF(V32="Subcritical",U481,IF(AND(T481=1,AC481=1),IF((((F481)*(L481)^2)/2+(G481)*(L481)^3/3+(ABS(K481)^2)/($I$5*MAX(((F481)+(G481)*(L481))*(L481),0.000001)))&gt;=(((F481)*(U481)^2)/2+(G481)*(U481)^3/3+(ABS(K481)^2)/($I$5*MAX(((F481)+(G481)*(U481))*(U481),0.000001))),L481,U481),IF(T481=1,L481,IF(AC481=1,U481,MAX($D$16,POWER((ABS(K481)^2)/($I$5*MAX(F481,0.1)^2),1/3)))))))</f>
        <v>51800.26683766341</v>
      </c>
      <c r="AE481">
        <f t="shared" ca="1" si="224"/>
        <v>52432.663337663413</v>
      </c>
      <c r="AF481">
        <f t="shared" ca="1" si="225"/>
        <v>52432.663337665239</v>
      </c>
      <c r="AI481">
        <v>0</v>
      </c>
      <c r="AJ481">
        <v>0</v>
      </c>
      <c r="AK481">
        <f t="shared" si="226"/>
        <v>0</v>
      </c>
      <c r="AL481">
        <f t="shared" si="235"/>
        <v>0</v>
      </c>
      <c r="AM481">
        <f t="shared" ca="1" si="227"/>
        <v>2.6560383008097266E-7</v>
      </c>
      <c r="AN481" t="str">
        <f t="shared" ca="1" si="228"/>
        <v>Subcritical</v>
      </c>
      <c r="AO481">
        <f t="shared" ca="1" si="229"/>
        <v>2.2562304480281055E-12</v>
      </c>
    </row>
    <row r="482" spans="1:41" x14ac:dyDescent="0.35">
      <c r="A482">
        <v>333</v>
      </c>
      <c r="B482">
        <v>331.89600000000002</v>
      </c>
      <c r="C482">
        <v>616284.04200000002</v>
      </c>
      <c r="D482">
        <v>3097624.6409999998</v>
      </c>
      <c r="E482">
        <v>632.39599999999996</v>
      </c>
      <c r="F482">
        <v>5.2</v>
      </c>
      <c r="G482">
        <v>0</v>
      </c>
      <c r="H482" t="s">
        <v>186</v>
      </c>
      <c r="I482">
        <v>2.7E-2</v>
      </c>
      <c r="J482">
        <f t="shared" si="230"/>
        <v>1.0010000000000332</v>
      </c>
      <c r="K482">
        <f t="shared" si="231"/>
        <v>51</v>
      </c>
      <c r="L482">
        <f t="shared" ca="1" si="232"/>
        <v>51797.857595746027</v>
      </c>
      <c r="M482">
        <f t="shared" ca="1" si="209"/>
        <v>269348.85949787934</v>
      </c>
      <c r="N482">
        <f t="shared" ca="1" si="210"/>
        <v>2.5998694992223284</v>
      </c>
      <c r="O482">
        <f t="shared" ca="1" si="211"/>
        <v>1.8934552050851189E-4</v>
      </c>
      <c r="P482">
        <f t="shared" ca="1" si="212"/>
        <v>52430.253595746028</v>
      </c>
      <c r="Q482">
        <f t="shared" ca="1" si="213"/>
        <v>52430.253595747854</v>
      </c>
      <c r="R482">
        <f t="shared" ca="1" si="214"/>
        <v>2.2564403452531673E-12</v>
      </c>
      <c r="S482">
        <f t="shared" ca="1" si="233"/>
        <v>1.0869568068301305E-3</v>
      </c>
      <c r="T482">
        <f t="shared" ca="1" si="234"/>
        <v>0</v>
      </c>
      <c r="U482">
        <f t="shared" ca="1" si="215"/>
        <v>51800.26683766341</v>
      </c>
      <c r="V482">
        <f t="shared" ca="1" si="216"/>
        <v>269361.38755584974</v>
      </c>
      <c r="W482">
        <f t="shared" ca="1" si="217"/>
        <v>2.5998695052916441</v>
      </c>
      <c r="X482">
        <f t="shared" ca="1" si="218"/>
        <v>1.8933671400629237E-4</v>
      </c>
      <c r="Y482">
        <f t="shared" ca="1" si="219"/>
        <v>52432.662837663411</v>
      </c>
      <c r="Z482">
        <f t="shared" ca="1" si="220"/>
        <v>52432.662837665237</v>
      </c>
      <c r="AA482">
        <f t="shared" ca="1" si="221"/>
        <v>2.2562304480281055E-12</v>
      </c>
      <c r="AB482">
        <f t="shared" ca="1" si="222"/>
        <v>-5.0000000192085281E-4</v>
      </c>
      <c r="AC482">
        <f t="shared" ca="1" si="223"/>
        <v>1</v>
      </c>
      <c r="AD482">
        <f ca="1">IF(V32="Supercritical",L482,IF(V32="Subcritical",U482,IF(AND(T482=1,AC482=1),IF((((F482)*(L482)^2)/2+(G482)*(L482)^3/3+(ABS(K482)^2)/($I$5*MAX(((F482)+(G482)*(L482))*(L482),0.000001)))&gt;=(((F482)*(U482)^2)/2+(G482)*(U482)^3/3+(ABS(K482)^2)/($I$5*MAX(((F482)+(G482)*(U482))*(U482),0.000001))),L482,U482),IF(T482=1,L482,IF(AC482=1,U482,MAX($D$16,POWER((ABS(K482)^2)/($I$5*MAX(F482,0.1)^2),1/3)))))))</f>
        <v>51800.26683766341</v>
      </c>
      <c r="AE482">
        <f t="shared" ca="1" si="224"/>
        <v>52432.662837663411</v>
      </c>
      <c r="AF482">
        <f t="shared" ca="1" si="225"/>
        <v>52432.662837665237</v>
      </c>
      <c r="AI482">
        <v>0</v>
      </c>
      <c r="AJ482">
        <v>0</v>
      </c>
      <c r="AK482">
        <f t="shared" si="226"/>
        <v>0</v>
      </c>
      <c r="AL482">
        <f t="shared" si="235"/>
        <v>0</v>
      </c>
      <c r="AM482">
        <f t="shared" ca="1" si="227"/>
        <v>2.6560383008097266E-7</v>
      </c>
      <c r="AN482" t="str">
        <f t="shared" ca="1" si="228"/>
        <v>Subcritical</v>
      </c>
      <c r="AO482">
        <f t="shared" ca="1" si="229"/>
        <v>2.2562304480281055E-12</v>
      </c>
    </row>
    <row r="483" spans="1:41" x14ac:dyDescent="0.35">
      <c r="A483">
        <v>334</v>
      </c>
      <c r="B483">
        <v>332.89499999999998</v>
      </c>
      <c r="C483">
        <v>616283.56799999997</v>
      </c>
      <c r="D483">
        <v>3097623.7609999999</v>
      </c>
      <c r="E483">
        <v>632.39549999999997</v>
      </c>
      <c r="F483">
        <v>5.2</v>
      </c>
      <c r="G483">
        <v>0</v>
      </c>
      <c r="H483" t="s">
        <v>186</v>
      </c>
      <c r="I483">
        <v>0.05</v>
      </c>
      <c r="J483">
        <f t="shared" si="230"/>
        <v>0.9989999999999668</v>
      </c>
      <c r="K483">
        <f t="shared" si="231"/>
        <v>51</v>
      </c>
      <c r="L483">
        <f t="shared" ca="1" si="232"/>
        <v>51797.857595746027</v>
      </c>
      <c r="M483">
        <f t="shared" ca="1" si="209"/>
        <v>269348.85949787934</v>
      </c>
      <c r="N483">
        <f t="shared" ca="1" si="210"/>
        <v>2.5998694992223284</v>
      </c>
      <c r="O483">
        <f t="shared" ca="1" si="211"/>
        <v>1.8934552050851189E-4</v>
      </c>
      <c r="P483">
        <f t="shared" ca="1" si="212"/>
        <v>52430.253095746026</v>
      </c>
      <c r="Q483">
        <f t="shared" ca="1" si="213"/>
        <v>52430.253095747852</v>
      </c>
      <c r="R483">
        <f t="shared" ca="1" si="214"/>
        <v>2.2564403452531673E-12</v>
      </c>
      <c r="S483">
        <f t="shared" ca="1" si="233"/>
        <v>5.0000000192085281E-4</v>
      </c>
      <c r="T483">
        <f t="shared" ca="1" si="234"/>
        <v>1</v>
      </c>
      <c r="U483">
        <f t="shared" ca="1" si="215"/>
        <v>51800.26683766341</v>
      </c>
      <c r="V483">
        <f t="shared" ca="1" si="216"/>
        <v>269361.38755584974</v>
      </c>
      <c r="W483">
        <f t="shared" ca="1" si="217"/>
        <v>2.5998695052916441</v>
      </c>
      <c r="X483">
        <f t="shared" ca="1" si="218"/>
        <v>1.8933671400629237E-4</v>
      </c>
      <c r="Y483">
        <f t="shared" ca="1" si="219"/>
        <v>52432.662337663409</v>
      </c>
      <c r="Z483">
        <f t="shared" ca="1" si="220"/>
        <v>52432.662337665235</v>
      </c>
      <c r="AA483">
        <f t="shared" ca="1" si="221"/>
        <v>2.2562304480281055E-12</v>
      </c>
      <c r="AB483">
        <f t="shared" ca="1" si="222"/>
        <v>-5.0000000192085281E-4</v>
      </c>
      <c r="AC483">
        <f t="shared" ca="1" si="223"/>
        <v>1</v>
      </c>
      <c r="AD483">
        <f ca="1">IF(V32="Supercritical",L483,IF(V32="Subcritical",U483,IF(AND(T483=1,AC483=1),IF((((F483)*(L483)^2)/2+(G483)*(L483)^3/3+(ABS(K483)^2)/($I$5*MAX(((F483)+(G483)*(L483))*(L483),0.000001)))&gt;=(((F483)*(U483)^2)/2+(G483)*(U483)^3/3+(ABS(K483)^2)/($I$5*MAX(((F483)+(G483)*(U483))*(U483),0.000001))),L483,U483),IF(T483=1,L483,IF(AC483=1,U483,MAX($D$16,POWER((ABS(K483)^2)/($I$5*MAX(F483,0.1)^2),1/3)))))))</f>
        <v>51800.26683766341</v>
      </c>
      <c r="AE483">
        <f t="shared" ca="1" si="224"/>
        <v>52432.662337663409</v>
      </c>
      <c r="AF483">
        <f t="shared" ca="1" si="225"/>
        <v>52432.662337665235</v>
      </c>
      <c r="AI483">
        <v>0</v>
      </c>
      <c r="AJ483">
        <v>0</v>
      </c>
      <c r="AK483">
        <f t="shared" si="226"/>
        <v>0</v>
      </c>
      <c r="AL483">
        <f t="shared" si="235"/>
        <v>0</v>
      </c>
      <c r="AM483">
        <f t="shared" ca="1" si="227"/>
        <v>2.6560383008097266E-7</v>
      </c>
      <c r="AN483" t="str">
        <f t="shared" ca="1" si="228"/>
        <v>Subcritical</v>
      </c>
      <c r="AO483">
        <f t="shared" ca="1" si="229"/>
        <v>2.2562304480281055E-12</v>
      </c>
    </row>
    <row r="484" spans="1:41" x14ac:dyDescent="0.35">
      <c r="A484">
        <v>335</v>
      </c>
      <c r="B484">
        <v>333.89499999999998</v>
      </c>
      <c r="C484">
        <v>616283.09299999999</v>
      </c>
      <c r="D484">
        <v>3097622.8810000001</v>
      </c>
      <c r="E484">
        <v>632.39499999999998</v>
      </c>
      <c r="F484">
        <v>5.2</v>
      </c>
      <c r="G484">
        <v>0</v>
      </c>
      <c r="H484" t="s">
        <v>186</v>
      </c>
      <c r="I484">
        <v>7.8E-2</v>
      </c>
      <c r="J484">
        <f t="shared" si="230"/>
        <v>1</v>
      </c>
      <c r="K484">
        <f t="shared" si="231"/>
        <v>51</v>
      </c>
      <c r="L484">
        <f t="shared" ca="1" si="232"/>
        <v>51797.857008789244</v>
      </c>
      <c r="M484">
        <f t="shared" ca="1" si="209"/>
        <v>269348.85644570406</v>
      </c>
      <c r="N484">
        <f t="shared" ca="1" si="210"/>
        <v>2.5998694992208495</v>
      </c>
      <c r="O484">
        <f t="shared" ca="1" si="211"/>
        <v>1.8934552265411489E-4</v>
      </c>
      <c r="P484">
        <f t="shared" ca="1" si="212"/>
        <v>52430.252008789241</v>
      </c>
      <c r="Q484">
        <f t="shared" ca="1" si="213"/>
        <v>52430.252008791067</v>
      </c>
      <c r="R484">
        <f t="shared" ca="1" si="214"/>
        <v>2.2564403963934019E-12</v>
      </c>
      <c r="S484">
        <f t="shared" ca="1" si="233"/>
        <v>1.0869567850022577E-3</v>
      </c>
      <c r="T484">
        <f t="shared" ca="1" si="234"/>
        <v>0</v>
      </c>
      <c r="U484">
        <f t="shared" ca="1" si="215"/>
        <v>51800.26683766341</v>
      </c>
      <c r="V484">
        <f t="shared" ca="1" si="216"/>
        <v>269361.38755584974</v>
      </c>
      <c r="W484">
        <f t="shared" ca="1" si="217"/>
        <v>2.5998695052916441</v>
      </c>
      <c r="X484">
        <f t="shared" ca="1" si="218"/>
        <v>1.8933671400629237E-4</v>
      </c>
      <c r="Y484">
        <f t="shared" ca="1" si="219"/>
        <v>52432.661837663407</v>
      </c>
      <c r="Z484">
        <f t="shared" ca="1" si="220"/>
        <v>52432.661837665233</v>
      </c>
      <c r="AA484">
        <f t="shared" ca="1" si="221"/>
        <v>2.2562304480281055E-12</v>
      </c>
      <c r="AB484">
        <f t="shared" ca="1" si="222"/>
        <v>-4.999999946448952E-4</v>
      </c>
      <c r="AC484">
        <f t="shared" ca="1" si="223"/>
        <v>1</v>
      </c>
      <c r="AD484">
        <f ca="1">IF(V32="Supercritical",L484,IF(V32="Subcritical",U484,IF(AND(T484=1,AC484=1),IF((((F484)*(L484)^2)/2+(G484)*(L484)^3/3+(ABS(K484)^2)/($I$5*MAX(((F484)+(G484)*(L484))*(L484),0.000001)))&gt;=(((F484)*(U484)^2)/2+(G484)*(U484)^3/3+(ABS(K484)^2)/($I$5*MAX(((F484)+(G484)*(U484))*(U484),0.000001))),L484,U484),IF(T484=1,L484,IF(AC484=1,U484,MAX($D$16,POWER((ABS(K484)^2)/($I$5*MAX(F484,0.1)^2),1/3)))))))</f>
        <v>51800.26683766341</v>
      </c>
      <c r="AE484">
        <f t="shared" ca="1" si="224"/>
        <v>52432.661837663407</v>
      </c>
      <c r="AF484">
        <f t="shared" ca="1" si="225"/>
        <v>52432.661837665233</v>
      </c>
      <c r="AI484">
        <v>0</v>
      </c>
      <c r="AJ484">
        <v>0</v>
      </c>
      <c r="AK484">
        <f t="shared" si="226"/>
        <v>0</v>
      </c>
      <c r="AL484">
        <f t="shared" si="235"/>
        <v>0</v>
      </c>
      <c r="AM484">
        <f t="shared" ca="1" si="227"/>
        <v>2.6560383008097266E-7</v>
      </c>
      <c r="AN484" t="str">
        <f t="shared" ca="1" si="228"/>
        <v>Subcritical</v>
      </c>
      <c r="AO484">
        <f t="shared" ca="1" si="229"/>
        <v>2.2562304480281055E-12</v>
      </c>
    </row>
    <row r="485" spans="1:41" x14ac:dyDescent="0.35">
      <c r="A485">
        <v>336</v>
      </c>
      <c r="B485">
        <v>334.89600000000002</v>
      </c>
      <c r="C485">
        <v>616282.61899999995</v>
      </c>
      <c r="D485">
        <v>3097622</v>
      </c>
      <c r="E485">
        <v>632.39449999999999</v>
      </c>
      <c r="F485">
        <v>5.2</v>
      </c>
      <c r="G485">
        <v>0</v>
      </c>
      <c r="H485" t="s">
        <v>186</v>
      </c>
      <c r="I485">
        <v>2.7E-2</v>
      </c>
      <c r="J485">
        <f t="shared" si="230"/>
        <v>1.0010000000000332</v>
      </c>
      <c r="K485">
        <f t="shared" si="231"/>
        <v>51</v>
      </c>
      <c r="L485">
        <f t="shared" ca="1" si="232"/>
        <v>51797.857008789244</v>
      </c>
      <c r="M485">
        <f t="shared" ca="1" si="209"/>
        <v>269348.85644570406</v>
      </c>
      <c r="N485">
        <f t="shared" ca="1" si="210"/>
        <v>2.5998694992208495</v>
      </c>
      <c r="O485">
        <f t="shared" ca="1" si="211"/>
        <v>1.8934552265411489E-4</v>
      </c>
      <c r="P485">
        <f t="shared" ca="1" si="212"/>
        <v>52430.251508789246</v>
      </c>
      <c r="Q485">
        <f t="shared" ca="1" si="213"/>
        <v>52430.251508791072</v>
      </c>
      <c r="R485">
        <f t="shared" ca="1" si="214"/>
        <v>2.2564403963934019E-12</v>
      </c>
      <c r="S485">
        <f t="shared" ca="1" si="233"/>
        <v>4.999999946448952E-4</v>
      </c>
      <c r="T485">
        <f t="shared" ca="1" si="234"/>
        <v>1</v>
      </c>
      <c r="U485">
        <f t="shared" ca="1" si="215"/>
        <v>51800.26683766341</v>
      </c>
      <c r="V485">
        <f t="shared" ca="1" si="216"/>
        <v>269361.38755584974</v>
      </c>
      <c r="W485">
        <f t="shared" ca="1" si="217"/>
        <v>2.5998695052916441</v>
      </c>
      <c r="X485">
        <f t="shared" ca="1" si="218"/>
        <v>1.8933671400629237E-4</v>
      </c>
      <c r="Y485">
        <f t="shared" ca="1" si="219"/>
        <v>52432.661337663412</v>
      </c>
      <c r="Z485">
        <f t="shared" ca="1" si="220"/>
        <v>52432.661337665239</v>
      </c>
      <c r="AA485">
        <f t="shared" ca="1" si="221"/>
        <v>2.2562304480281055E-12</v>
      </c>
      <c r="AB485">
        <f t="shared" ca="1" si="222"/>
        <v>-5.0000000192085281E-4</v>
      </c>
      <c r="AC485">
        <f t="shared" ca="1" si="223"/>
        <v>1</v>
      </c>
      <c r="AD485">
        <f ca="1">IF(V32="Supercritical",L485,IF(V32="Subcritical",U485,IF(AND(T485=1,AC485=1),IF((((F485)*(L485)^2)/2+(G485)*(L485)^3/3+(ABS(K485)^2)/($I$5*MAX(((F485)+(G485)*(L485))*(L485),0.000001)))&gt;=(((F485)*(U485)^2)/2+(G485)*(U485)^3/3+(ABS(K485)^2)/($I$5*MAX(((F485)+(G485)*(U485))*(U485),0.000001))),L485,U485),IF(T485=1,L485,IF(AC485=1,U485,MAX($D$16,POWER((ABS(K485)^2)/($I$5*MAX(F485,0.1)^2),1/3)))))))</f>
        <v>51800.26683766341</v>
      </c>
      <c r="AE485">
        <f t="shared" ca="1" si="224"/>
        <v>52432.661337663412</v>
      </c>
      <c r="AF485">
        <f t="shared" ca="1" si="225"/>
        <v>52432.661337665239</v>
      </c>
      <c r="AI485">
        <v>0</v>
      </c>
      <c r="AJ485">
        <v>0</v>
      </c>
      <c r="AK485">
        <f t="shared" si="226"/>
        <v>0</v>
      </c>
      <c r="AL485">
        <f t="shared" si="235"/>
        <v>0</v>
      </c>
      <c r="AM485">
        <f t="shared" ca="1" si="227"/>
        <v>2.6560383008097266E-7</v>
      </c>
      <c r="AN485" t="str">
        <f t="shared" ca="1" si="228"/>
        <v>Subcritical</v>
      </c>
      <c r="AO485">
        <f t="shared" ca="1" si="229"/>
        <v>2.2562304480281055E-12</v>
      </c>
    </row>
    <row r="486" spans="1:41" x14ac:dyDescent="0.35">
      <c r="A486">
        <v>337</v>
      </c>
      <c r="B486">
        <v>335.89499999999998</v>
      </c>
      <c r="C486">
        <v>616282.14500000002</v>
      </c>
      <c r="D486">
        <v>3097621.12</v>
      </c>
      <c r="E486">
        <v>632.39400000000001</v>
      </c>
      <c r="F486">
        <v>5.2</v>
      </c>
      <c r="G486">
        <v>0</v>
      </c>
      <c r="H486" t="s">
        <v>186</v>
      </c>
      <c r="I486">
        <v>2.7E-2</v>
      </c>
      <c r="J486">
        <f t="shared" si="230"/>
        <v>0.9989999999999668</v>
      </c>
      <c r="K486">
        <f t="shared" si="231"/>
        <v>51</v>
      </c>
      <c r="L486">
        <f t="shared" ca="1" si="232"/>
        <v>51797.856421832592</v>
      </c>
      <c r="M486">
        <f t="shared" ca="1" si="209"/>
        <v>269348.85339352948</v>
      </c>
      <c r="N486">
        <f t="shared" ca="1" si="210"/>
        <v>2.5998694992193707</v>
      </c>
      <c r="O486">
        <f t="shared" ca="1" si="211"/>
        <v>1.8934552479971746E-4</v>
      </c>
      <c r="P486">
        <f t="shared" ca="1" si="212"/>
        <v>52430.250421832592</v>
      </c>
      <c r="Q486">
        <f t="shared" ca="1" si="213"/>
        <v>52430.250421834418</v>
      </c>
      <c r="R486">
        <f t="shared" ca="1" si="214"/>
        <v>2.2564404475336276E-12</v>
      </c>
      <c r="S486">
        <f t="shared" ca="1" si="233"/>
        <v>1.0869566540350206E-3</v>
      </c>
      <c r="T486">
        <f t="shared" ca="1" si="234"/>
        <v>0</v>
      </c>
      <c r="U486">
        <f t="shared" ca="1" si="215"/>
        <v>51800.26683766341</v>
      </c>
      <c r="V486">
        <f t="shared" ca="1" si="216"/>
        <v>269361.38755584974</v>
      </c>
      <c r="W486">
        <f t="shared" ca="1" si="217"/>
        <v>2.5998695052916441</v>
      </c>
      <c r="X486">
        <f t="shared" ca="1" si="218"/>
        <v>1.8933671400629237E-4</v>
      </c>
      <c r="Y486">
        <f t="shared" ca="1" si="219"/>
        <v>52432.66083766341</v>
      </c>
      <c r="Z486">
        <f t="shared" ca="1" si="220"/>
        <v>52432.660837665237</v>
      </c>
      <c r="AA486">
        <f t="shared" ca="1" si="221"/>
        <v>2.2562304480281055E-12</v>
      </c>
      <c r="AB486">
        <f t="shared" ca="1" si="222"/>
        <v>-5.0000000192085281E-4</v>
      </c>
      <c r="AC486">
        <f t="shared" ca="1" si="223"/>
        <v>1</v>
      </c>
      <c r="AD486">
        <f ca="1">IF(V32="Supercritical",L486,IF(V32="Subcritical",U486,IF(AND(T486=1,AC486=1),IF((((F486)*(L486)^2)/2+(G486)*(L486)^3/3+(ABS(K486)^2)/($I$5*MAX(((F486)+(G486)*(L486))*(L486),0.000001)))&gt;=(((F486)*(U486)^2)/2+(G486)*(U486)^3/3+(ABS(K486)^2)/($I$5*MAX(((F486)+(G486)*(U486))*(U486),0.000001))),L486,U486),IF(T486=1,L486,IF(AC486=1,U486,MAX($D$16,POWER((ABS(K486)^2)/($I$5*MAX(F486,0.1)^2),1/3)))))))</f>
        <v>51800.26683766341</v>
      </c>
      <c r="AE486">
        <f t="shared" ca="1" si="224"/>
        <v>52432.66083766341</v>
      </c>
      <c r="AF486">
        <f t="shared" ca="1" si="225"/>
        <v>52432.660837665237</v>
      </c>
      <c r="AI486">
        <v>0</v>
      </c>
      <c r="AJ486">
        <v>0</v>
      </c>
      <c r="AK486">
        <f t="shared" si="226"/>
        <v>0</v>
      </c>
      <c r="AL486">
        <f t="shared" si="235"/>
        <v>0</v>
      </c>
      <c r="AM486">
        <f t="shared" ca="1" si="227"/>
        <v>2.6560383008097266E-7</v>
      </c>
      <c r="AN486" t="str">
        <f t="shared" ca="1" si="228"/>
        <v>Subcritical</v>
      </c>
      <c r="AO486">
        <f t="shared" ca="1" si="229"/>
        <v>2.2562304480281055E-12</v>
      </c>
    </row>
    <row r="487" spans="1:41" x14ac:dyDescent="0.35">
      <c r="A487">
        <v>338</v>
      </c>
      <c r="B487">
        <v>336.89600000000002</v>
      </c>
      <c r="C487">
        <v>616281.67099999997</v>
      </c>
      <c r="D487">
        <v>3097620.2390000001</v>
      </c>
      <c r="E487">
        <v>632.39350000000002</v>
      </c>
      <c r="F487">
        <v>5.2</v>
      </c>
      <c r="G487">
        <v>0</v>
      </c>
      <c r="H487" t="s">
        <v>186</v>
      </c>
      <c r="I487">
        <v>2.7E-2</v>
      </c>
      <c r="J487">
        <f t="shared" si="230"/>
        <v>1.0010000000000332</v>
      </c>
      <c r="K487">
        <f t="shared" si="231"/>
        <v>51</v>
      </c>
      <c r="L487">
        <f t="shared" ca="1" si="232"/>
        <v>51797.856421832592</v>
      </c>
      <c r="M487">
        <f t="shared" ca="1" si="209"/>
        <v>269348.85339352948</v>
      </c>
      <c r="N487">
        <f t="shared" ca="1" si="210"/>
        <v>2.5998694992193707</v>
      </c>
      <c r="O487">
        <f t="shared" ca="1" si="211"/>
        <v>1.8934552479971746E-4</v>
      </c>
      <c r="P487">
        <f t="shared" ca="1" si="212"/>
        <v>52430.24992183259</v>
      </c>
      <c r="Q487">
        <f t="shared" ca="1" si="213"/>
        <v>52430.249921834416</v>
      </c>
      <c r="R487">
        <f t="shared" ca="1" si="214"/>
        <v>2.2564404475336276E-12</v>
      </c>
      <c r="S487">
        <f t="shared" ca="1" si="233"/>
        <v>5.0000000192085281E-4</v>
      </c>
      <c r="T487">
        <f t="shared" ca="1" si="234"/>
        <v>1</v>
      </c>
      <c r="U487">
        <f t="shared" ca="1" si="215"/>
        <v>51800.26683766341</v>
      </c>
      <c r="V487">
        <f t="shared" ca="1" si="216"/>
        <v>269361.38755584974</v>
      </c>
      <c r="W487">
        <f t="shared" ca="1" si="217"/>
        <v>2.5998695052916441</v>
      </c>
      <c r="X487">
        <f t="shared" ca="1" si="218"/>
        <v>1.8933671400629237E-4</v>
      </c>
      <c r="Y487">
        <f t="shared" ca="1" si="219"/>
        <v>52432.660337663408</v>
      </c>
      <c r="Z487">
        <f t="shared" ca="1" si="220"/>
        <v>52432.660337665235</v>
      </c>
      <c r="AA487">
        <f t="shared" ca="1" si="221"/>
        <v>2.2562304480281055E-12</v>
      </c>
      <c r="AB487">
        <f t="shared" ca="1" si="222"/>
        <v>-5.0000000192085281E-4</v>
      </c>
      <c r="AC487">
        <f t="shared" ca="1" si="223"/>
        <v>1</v>
      </c>
      <c r="AD487">
        <f ca="1">IF(V32="Supercritical",L487,IF(V32="Subcritical",U487,IF(AND(T487=1,AC487=1),IF((((F487)*(L487)^2)/2+(G487)*(L487)^3/3+(ABS(K487)^2)/($I$5*MAX(((F487)+(G487)*(L487))*(L487),0.000001)))&gt;=(((F487)*(U487)^2)/2+(G487)*(U487)^3/3+(ABS(K487)^2)/($I$5*MAX(((F487)+(G487)*(U487))*(U487),0.000001))),L487,U487),IF(T487=1,L487,IF(AC487=1,U487,MAX($D$16,POWER((ABS(K487)^2)/($I$5*MAX(F487,0.1)^2),1/3)))))))</f>
        <v>51800.26683766341</v>
      </c>
      <c r="AE487">
        <f t="shared" ca="1" si="224"/>
        <v>52432.660337663408</v>
      </c>
      <c r="AF487">
        <f t="shared" ca="1" si="225"/>
        <v>52432.660337665235</v>
      </c>
      <c r="AI487">
        <v>0</v>
      </c>
      <c r="AJ487">
        <v>0</v>
      </c>
      <c r="AK487">
        <f t="shared" si="226"/>
        <v>0</v>
      </c>
      <c r="AL487">
        <f t="shared" si="235"/>
        <v>0</v>
      </c>
      <c r="AM487">
        <f t="shared" ca="1" si="227"/>
        <v>2.6560383008097266E-7</v>
      </c>
      <c r="AN487" t="str">
        <f t="shared" ca="1" si="228"/>
        <v>Subcritical</v>
      </c>
      <c r="AO487">
        <f t="shared" ca="1" si="229"/>
        <v>2.2562304480281055E-12</v>
      </c>
    </row>
    <row r="488" spans="1:41" x14ac:dyDescent="0.35">
      <c r="A488">
        <v>339</v>
      </c>
      <c r="B488">
        <v>337.89499999999998</v>
      </c>
      <c r="C488">
        <v>616281.19700000004</v>
      </c>
      <c r="D488">
        <v>3097619.3590000002</v>
      </c>
      <c r="E488">
        <v>632.39300000000003</v>
      </c>
      <c r="F488">
        <v>5.2</v>
      </c>
      <c r="G488">
        <v>0</v>
      </c>
      <c r="H488" t="s">
        <v>186</v>
      </c>
      <c r="I488">
        <v>0.05</v>
      </c>
      <c r="J488">
        <f t="shared" si="230"/>
        <v>0.9989999999999668</v>
      </c>
      <c r="K488">
        <f t="shared" si="231"/>
        <v>51</v>
      </c>
      <c r="L488">
        <f t="shared" ca="1" si="232"/>
        <v>51797.855834876274</v>
      </c>
      <c r="M488">
        <f t="shared" ca="1" si="209"/>
        <v>269348.85034135665</v>
      </c>
      <c r="N488">
        <f t="shared" ca="1" si="210"/>
        <v>2.5998694992178923</v>
      </c>
      <c r="O488">
        <f t="shared" ca="1" si="211"/>
        <v>1.8934552694531884E-4</v>
      </c>
      <c r="P488">
        <f t="shared" ca="1" si="212"/>
        <v>52430.248834876271</v>
      </c>
      <c r="Q488">
        <f t="shared" ca="1" si="213"/>
        <v>52430.248834878097</v>
      </c>
      <c r="R488">
        <f t="shared" ca="1" si="214"/>
        <v>2.2564404986738246E-12</v>
      </c>
      <c r="S488">
        <f t="shared" ca="1" si="233"/>
        <v>1.0869563193409704E-3</v>
      </c>
      <c r="T488">
        <f t="shared" ca="1" si="234"/>
        <v>0</v>
      </c>
      <c r="U488">
        <f t="shared" ca="1" si="215"/>
        <v>51800.26683766341</v>
      </c>
      <c r="V488">
        <f t="shared" ca="1" si="216"/>
        <v>269361.38755584974</v>
      </c>
      <c r="W488">
        <f t="shared" ca="1" si="217"/>
        <v>2.5998695052916441</v>
      </c>
      <c r="X488">
        <f t="shared" ca="1" si="218"/>
        <v>1.8933671400629237E-4</v>
      </c>
      <c r="Y488">
        <f t="shared" ca="1" si="219"/>
        <v>52432.659837663407</v>
      </c>
      <c r="Z488">
        <f t="shared" ca="1" si="220"/>
        <v>52432.659837665233</v>
      </c>
      <c r="AA488">
        <f t="shared" ca="1" si="221"/>
        <v>2.2562304480281055E-12</v>
      </c>
      <c r="AB488">
        <f t="shared" ca="1" si="222"/>
        <v>-4.999999946448952E-4</v>
      </c>
      <c r="AC488">
        <f t="shared" ca="1" si="223"/>
        <v>1</v>
      </c>
      <c r="AD488">
        <f ca="1">IF(V32="Supercritical",L488,IF(V32="Subcritical",U488,IF(AND(T488=1,AC488=1),IF((((F488)*(L488)^2)/2+(G488)*(L488)^3/3+(ABS(K488)^2)/($I$5*MAX(((F488)+(G488)*(L488))*(L488),0.000001)))&gt;=(((F488)*(U488)^2)/2+(G488)*(U488)^3/3+(ABS(K488)^2)/($I$5*MAX(((F488)+(G488)*(U488))*(U488),0.000001))),L488,U488),IF(T488=1,L488,IF(AC488=1,U488,MAX($D$16,POWER((ABS(K488)^2)/($I$5*MAX(F488,0.1)^2),1/3)))))))</f>
        <v>51800.26683766341</v>
      </c>
      <c r="AE488">
        <f t="shared" ca="1" si="224"/>
        <v>52432.659837663407</v>
      </c>
      <c r="AF488">
        <f t="shared" ca="1" si="225"/>
        <v>52432.659837665233</v>
      </c>
      <c r="AI488">
        <v>0</v>
      </c>
      <c r="AJ488">
        <v>0</v>
      </c>
      <c r="AK488">
        <f t="shared" si="226"/>
        <v>0</v>
      </c>
      <c r="AL488">
        <f t="shared" si="235"/>
        <v>0</v>
      </c>
      <c r="AM488">
        <f t="shared" ca="1" si="227"/>
        <v>2.6560383008097266E-7</v>
      </c>
      <c r="AN488" t="str">
        <f t="shared" ca="1" si="228"/>
        <v>Subcritical</v>
      </c>
      <c r="AO488">
        <f t="shared" ca="1" si="229"/>
        <v>2.2562304480281055E-12</v>
      </c>
    </row>
    <row r="489" spans="1:41" x14ac:dyDescent="0.35">
      <c r="A489">
        <v>340</v>
      </c>
      <c r="B489">
        <v>338.89499999999998</v>
      </c>
      <c r="C489">
        <v>616280.72199999995</v>
      </c>
      <c r="D489">
        <v>3097618.4789999998</v>
      </c>
      <c r="E489">
        <v>632.39250000000004</v>
      </c>
      <c r="F489">
        <v>5.2</v>
      </c>
      <c r="G489">
        <v>0</v>
      </c>
      <c r="H489" t="s">
        <v>186</v>
      </c>
      <c r="I489">
        <v>7.8E-2</v>
      </c>
      <c r="J489">
        <f t="shared" si="230"/>
        <v>1</v>
      </c>
      <c r="K489">
        <f t="shared" si="231"/>
        <v>51</v>
      </c>
      <c r="L489">
        <f t="shared" ca="1" si="232"/>
        <v>51797.855834876274</v>
      </c>
      <c r="M489">
        <f t="shared" ca="1" si="209"/>
        <v>269348.85034135665</v>
      </c>
      <c r="N489">
        <f t="shared" ca="1" si="210"/>
        <v>2.5998694992178923</v>
      </c>
      <c r="O489">
        <f t="shared" ca="1" si="211"/>
        <v>1.8934552694531884E-4</v>
      </c>
      <c r="P489">
        <f t="shared" ca="1" si="212"/>
        <v>52430.248334876276</v>
      </c>
      <c r="Q489">
        <f t="shared" ca="1" si="213"/>
        <v>52430.248334878102</v>
      </c>
      <c r="R489">
        <f t="shared" ca="1" si="214"/>
        <v>2.2564404986738246E-12</v>
      </c>
      <c r="S489">
        <f t="shared" ca="1" si="233"/>
        <v>4.999999946448952E-4</v>
      </c>
      <c r="T489">
        <f t="shared" ca="1" si="234"/>
        <v>1</v>
      </c>
      <c r="U489">
        <f t="shared" ca="1" si="215"/>
        <v>51800.26683766341</v>
      </c>
      <c r="V489">
        <f t="shared" ca="1" si="216"/>
        <v>269361.38755584974</v>
      </c>
      <c r="W489">
        <f t="shared" ca="1" si="217"/>
        <v>2.5998695052916441</v>
      </c>
      <c r="X489">
        <f t="shared" ca="1" si="218"/>
        <v>1.8933671400629237E-4</v>
      </c>
      <c r="Y489">
        <f t="shared" ca="1" si="219"/>
        <v>52432.659337663412</v>
      </c>
      <c r="Z489">
        <f t="shared" ca="1" si="220"/>
        <v>52432.659337665238</v>
      </c>
      <c r="AA489">
        <f t="shared" ca="1" si="221"/>
        <v>2.2562304480281055E-12</v>
      </c>
      <c r="AB489">
        <f t="shared" ca="1" si="222"/>
        <v>-5.0000000192085281E-4</v>
      </c>
      <c r="AC489">
        <f t="shared" ca="1" si="223"/>
        <v>1</v>
      </c>
      <c r="AD489">
        <f ca="1">IF(V32="Supercritical",L489,IF(V32="Subcritical",U489,IF(AND(T489=1,AC489=1),IF((((F489)*(L489)^2)/2+(G489)*(L489)^3/3+(ABS(K489)^2)/($I$5*MAX(((F489)+(G489)*(L489))*(L489),0.000001)))&gt;=(((F489)*(U489)^2)/2+(G489)*(U489)^3/3+(ABS(K489)^2)/($I$5*MAX(((F489)+(G489)*(U489))*(U489),0.000001))),L489,U489),IF(T489=1,L489,IF(AC489=1,U489,MAX($D$16,POWER((ABS(K489)^2)/($I$5*MAX(F489,0.1)^2),1/3)))))))</f>
        <v>51800.26683766341</v>
      </c>
      <c r="AE489">
        <f t="shared" ca="1" si="224"/>
        <v>52432.659337663412</v>
      </c>
      <c r="AF489">
        <f t="shared" ca="1" si="225"/>
        <v>52432.659337665238</v>
      </c>
      <c r="AI489">
        <v>0</v>
      </c>
      <c r="AJ489">
        <v>0</v>
      </c>
      <c r="AK489">
        <f t="shared" si="226"/>
        <v>0</v>
      </c>
      <c r="AL489">
        <f t="shared" si="235"/>
        <v>0</v>
      </c>
      <c r="AM489">
        <f t="shared" ca="1" si="227"/>
        <v>2.6560383008097266E-7</v>
      </c>
      <c r="AN489" t="str">
        <f t="shared" ca="1" si="228"/>
        <v>Subcritical</v>
      </c>
      <c r="AO489">
        <f t="shared" ca="1" si="229"/>
        <v>2.2562304480281055E-12</v>
      </c>
    </row>
    <row r="490" spans="1:41" x14ac:dyDescent="0.35">
      <c r="A490">
        <v>341</v>
      </c>
      <c r="B490">
        <v>339.89600000000002</v>
      </c>
      <c r="C490">
        <v>616280.24800000002</v>
      </c>
      <c r="D490">
        <v>3097617.5980000002</v>
      </c>
      <c r="E490">
        <v>632.39200000000005</v>
      </c>
      <c r="F490">
        <v>5.2</v>
      </c>
      <c r="G490">
        <v>0</v>
      </c>
      <c r="H490" t="s">
        <v>186</v>
      </c>
      <c r="I490">
        <v>2.7E-2</v>
      </c>
      <c r="J490">
        <f t="shared" si="230"/>
        <v>1.0010000000000332</v>
      </c>
      <c r="K490">
        <f t="shared" si="231"/>
        <v>51</v>
      </c>
      <c r="L490">
        <f t="shared" ca="1" si="232"/>
        <v>51797.85524791979</v>
      </c>
      <c r="M490">
        <f t="shared" ca="1" si="209"/>
        <v>269348.84728918294</v>
      </c>
      <c r="N490">
        <f t="shared" ca="1" si="210"/>
        <v>2.599869499216414</v>
      </c>
      <c r="O490">
        <f t="shared" ca="1" si="211"/>
        <v>1.8934552909092089E-4</v>
      </c>
      <c r="P490">
        <f t="shared" ca="1" si="212"/>
        <v>52430.24724791979</v>
      </c>
      <c r="Q490">
        <f t="shared" ca="1" si="213"/>
        <v>52430.247247921616</v>
      </c>
      <c r="R490">
        <f t="shared" ca="1" si="214"/>
        <v>2.2564405498140386E-12</v>
      </c>
      <c r="S490">
        <f t="shared" ca="1" si="233"/>
        <v>1.0869564866879955E-3</v>
      </c>
      <c r="T490">
        <f t="shared" ca="1" si="234"/>
        <v>0</v>
      </c>
      <c r="U490">
        <f t="shared" ca="1" si="215"/>
        <v>51800.26683766341</v>
      </c>
      <c r="V490">
        <f t="shared" ca="1" si="216"/>
        <v>269361.38755584974</v>
      </c>
      <c r="W490">
        <f t="shared" ca="1" si="217"/>
        <v>2.5998695052916441</v>
      </c>
      <c r="X490">
        <f t="shared" ca="1" si="218"/>
        <v>1.8933671400629237E-4</v>
      </c>
      <c r="Y490">
        <f t="shared" ca="1" si="219"/>
        <v>52432.65883766341</v>
      </c>
      <c r="Z490">
        <f t="shared" ca="1" si="220"/>
        <v>52432.658837665236</v>
      </c>
      <c r="AA490">
        <f t="shared" ca="1" si="221"/>
        <v>2.2562304480281055E-12</v>
      </c>
      <c r="AB490">
        <f t="shared" ca="1" si="222"/>
        <v>-5.0000000192085281E-4</v>
      </c>
      <c r="AC490">
        <f t="shared" ca="1" si="223"/>
        <v>1</v>
      </c>
      <c r="AD490">
        <f ca="1">IF(V32="Supercritical",L490,IF(V32="Subcritical",U490,IF(AND(T490=1,AC490=1),IF((((F490)*(L490)^2)/2+(G490)*(L490)^3/3+(ABS(K490)^2)/($I$5*MAX(((F490)+(G490)*(L490))*(L490),0.000001)))&gt;=(((F490)*(U490)^2)/2+(G490)*(U490)^3/3+(ABS(K490)^2)/($I$5*MAX(((F490)+(G490)*(U490))*(U490),0.000001))),L490,U490),IF(T490=1,L490,IF(AC490=1,U490,MAX($D$16,POWER((ABS(K490)^2)/($I$5*MAX(F490,0.1)^2),1/3)))))))</f>
        <v>51800.26683766341</v>
      </c>
      <c r="AE490">
        <f t="shared" ca="1" si="224"/>
        <v>52432.65883766341</v>
      </c>
      <c r="AF490">
        <f t="shared" ca="1" si="225"/>
        <v>52432.658837665236</v>
      </c>
      <c r="AI490">
        <v>0</v>
      </c>
      <c r="AJ490">
        <v>0</v>
      </c>
      <c r="AK490">
        <f t="shared" si="226"/>
        <v>0</v>
      </c>
      <c r="AL490">
        <f t="shared" si="235"/>
        <v>0</v>
      </c>
      <c r="AM490">
        <f t="shared" ca="1" si="227"/>
        <v>2.6560383008097266E-7</v>
      </c>
      <c r="AN490" t="str">
        <f t="shared" ca="1" si="228"/>
        <v>Subcritical</v>
      </c>
      <c r="AO490">
        <f t="shared" ca="1" si="229"/>
        <v>2.2562304480281055E-12</v>
      </c>
    </row>
    <row r="491" spans="1:41" x14ac:dyDescent="0.35">
      <c r="A491">
        <v>342</v>
      </c>
      <c r="B491">
        <v>340.89499999999998</v>
      </c>
      <c r="C491">
        <v>616279.77399999998</v>
      </c>
      <c r="D491">
        <v>3097616.7179999999</v>
      </c>
      <c r="E491">
        <v>632.39149999999995</v>
      </c>
      <c r="F491">
        <v>5.2</v>
      </c>
      <c r="G491">
        <v>0</v>
      </c>
      <c r="H491" t="s">
        <v>186</v>
      </c>
      <c r="I491">
        <v>2.7E-2</v>
      </c>
      <c r="J491">
        <f t="shared" si="230"/>
        <v>0.9989999999999668</v>
      </c>
      <c r="K491">
        <f t="shared" si="231"/>
        <v>51</v>
      </c>
      <c r="L491">
        <f t="shared" ca="1" si="232"/>
        <v>51797.85524791979</v>
      </c>
      <c r="M491">
        <f t="shared" ca="1" si="209"/>
        <v>269348.84728918294</v>
      </c>
      <c r="N491">
        <f t="shared" ca="1" si="210"/>
        <v>2.599869499216414</v>
      </c>
      <c r="O491">
        <f t="shared" ca="1" si="211"/>
        <v>1.8934552909092089E-4</v>
      </c>
      <c r="P491">
        <f t="shared" ca="1" si="212"/>
        <v>52430.246747919788</v>
      </c>
      <c r="Q491">
        <f t="shared" ca="1" si="213"/>
        <v>52430.246747921614</v>
      </c>
      <c r="R491">
        <f t="shared" ca="1" si="214"/>
        <v>2.2564405498140386E-12</v>
      </c>
      <c r="S491">
        <f t="shared" ca="1" si="233"/>
        <v>5.0000000192085281E-4</v>
      </c>
      <c r="T491">
        <f t="shared" ca="1" si="234"/>
        <v>1</v>
      </c>
      <c r="U491">
        <f t="shared" ca="1" si="215"/>
        <v>51800.26683766341</v>
      </c>
      <c r="V491">
        <f t="shared" ca="1" si="216"/>
        <v>269361.38755584974</v>
      </c>
      <c r="W491">
        <f t="shared" ca="1" si="217"/>
        <v>2.5998695052916441</v>
      </c>
      <c r="X491">
        <f t="shared" ca="1" si="218"/>
        <v>1.8933671400629237E-4</v>
      </c>
      <c r="Y491">
        <f t="shared" ca="1" si="219"/>
        <v>52432.658337663408</v>
      </c>
      <c r="Z491">
        <f t="shared" ca="1" si="220"/>
        <v>52432.658337665234</v>
      </c>
      <c r="AA491">
        <f t="shared" ca="1" si="221"/>
        <v>2.2562304480281055E-12</v>
      </c>
      <c r="AB491">
        <f t="shared" ca="1" si="222"/>
        <v>-4.999999946448952E-4</v>
      </c>
      <c r="AC491">
        <f t="shared" ca="1" si="223"/>
        <v>1</v>
      </c>
      <c r="AD491">
        <f ca="1">IF(V32="Supercritical",L491,IF(V32="Subcritical",U491,IF(AND(T491=1,AC491=1),IF((((F491)*(L491)^2)/2+(G491)*(L491)^3/3+(ABS(K491)^2)/($I$5*MAX(((F491)+(G491)*(L491))*(L491),0.000001)))&gt;=(((F491)*(U491)^2)/2+(G491)*(U491)^3/3+(ABS(K491)^2)/($I$5*MAX(((F491)+(G491)*(U491))*(U491),0.000001))),L491,U491),IF(T491=1,L491,IF(AC491=1,U491,MAX($D$16,POWER((ABS(K491)^2)/($I$5*MAX(F491,0.1)^2),1/3)))))))</f>
        <v>51800.26683766341</v>
      </c>
      <c r="AE491">
        <f t="shared" ca="1" si="224"/>
        <v>52432.658337663408</v>
      </c>
      <c r="AF491">
        <f t="shared" ca="1" si="225"/>
        <v>52432.658337665234</v>
      </c>
      <c r="AI491">
        <v>0</v>
      </c>
      <c r="AJ491">
        <v>0</v>
      </c>
      <c r="AK491">
        <f t="shared" si="226"/>
        <v>0</v>
      </c>
      <c r="AL491">
        <f t="shared" si="235"/>
        <v>0</v>
      </c>
      <c r="AM491">
        <f t="shared" ca="1" si="227"/>
        <v>2.6560383008097266E-7</v>
      </c>
      <c r="AN491" t="str">
        <f t="shared" ca="1" si="228"/>
        <v>Subcritical</v>
      </c>
      <c r="AO491">
        <f t="shared" ca="1" si="229"/>
        <v>2.2562304480281055E-12</v>
      </c>
    </row>
    <row r="492" spans="1:41" x14ac:dyDescent="0.35">
      <c r="A492">
        <v>343</v>
      </c>
      <c r="B492">
        <v>341.89600000000002</v>
      </c>
      <c r="C492">
        <v>616279.30000000005</v>
      </c>
      <c r="D492">
        <v>3097615.8369999998</v>
      </c>
      <c r="E492">
        <v>632.39099999999996</v>
      </c>
      <c r="F492">
        <v>5.2</v>
      </c>
      <c r="G492">
        <v>0</v>
      </c>
      <c r="H492" t="s">
        <v>186</v>
      </c>
      <c r="I492">
        <v>7.8E-2</v>
      </c>
      <c r="J492">
        <f t="shared" si="230"/>
        <v>1.0010000000000332</v>
      </c>
      <c r="K492">
        <f t="shared" si="231"/>
        <v>51</v>
      </c>
      <c r="L492">
        <f t="shared" ca="1" si="232"/>
        <v>51797.854660962374</v>
      </c>
      <c r="M492">
        <f t="shared" ca="1" si="209"/>
        <v>269348.84423700435</v>
      </c>
      <c r="N492">
        <f t="shared" ca="1" si="210"/>
        <v>2.5998694992149347</v>
      </c>
      <c r="O492">
        <f t="shared" ca="1" si="211"/>
        <v>1.8934553123652645E-4</v>
      </c>
      <c r="P492">
        <f t="shared" ca="1" si="212"/>
        <v>52430.245660962377</v>
      </c>
      <c r="Q492">
        <f t="shared" ca="1" si="213"/>
        <v>52430.245660964203</v>
      </c>
      <c r="R492">
        <f t="shared" ca="1" si="214"/>
        <v>2.2564406009543374E-12</v>
      </c>
      <c r="S492">
        <f t="shared" ca="1" si="233"/>
        <v>1.0869574107346125E-3</v>
      </c>
      <c r="T492">
        <f t="shared" ca="1" si="234"/>
        <v>0</v>
      </c>
      <c r="U492">
        <f t="shared" ca="1" si="215"/>
        <v>51800.26683766341</v>
      </c>
      <c r="V492">
        <f t="shared" ca="1" si="216"/>
        <v>269361.38755584974</v>
      </c>
      <c r="W492">
        <f t="shared" ca="1" si="217"/>
        <v>2.5998695052916441</v>
      </c>
      <c r="X492">
        <f t="shared" ca="1" si="218"/>
        <v>1.8933671400629237E-4</v>
      </c>
      <c r="Y492">
        <f t="shared" ca="1" si="219"/>
        <v>52432.657837663413</v>
      </c>
      <c r="Z492">
        <f t="shared" ca="1" si="220"/>
        <v>52432.65783766524</v>
      </c>
      <c r="AA492">
        <f t="shared" ca="1" si="221"/>
        <v>2.2562304480281055E-12</v>
      </c>
      <c r="AB492">
        <f t="shared" ca="1" si="222"/>
        <v>-5.0000000192085281E-4</v>
      </c>
      <c r="AC492">
        <f t="shared" ca="1" si="223"/>
        <v>1</v>
      </c>
      <c r="AD492">
        <f ca="1">IF(V32="Supercritical",L492,IF(V32="Subcritical",U492,IF(AND(T492=1,AC492=1),IF((((F492)*(L492)^2)/2+(G492)*(L492)^3/3+(ABS(K492)^2)/($I$5*MAX(((F492)+(G492)*(L492))*(L492),0.000001)))&gt;=(((F492)*(U492)^2)/2+(G492)*(U492)^3/3+(ABS(K492)^2)/($I$5*MAX(((F492)+(G492)*(U492))*(U492),0.000001))),L492,U492),IF(T492=1,L492,IF(AC492=1,U492,MAX($D$16,POWER((ABS(K492)^2)/($I$5*MAX(F492,0.1)^2),1/3)))))))</f>
        <v>51800.26683766341</v>
      </c>
      <c r="AE492">
        <f t="shared" ca="1" si="224"/>
        <v>52432.657837663413</v>
      </c>
      <c r="AF492">
        <f t="shared" ca="1" si="225"/>
        <v>52432.65783766524</v>
      </c>
      <c r="AI492">
        <v>0</v>
      </c>
      <c r="AJ492">
        <v>0</v>
      </c>
      <c r="AK492">
        <f t="shared" si="226"/>
        <v>0</v>
      </c>
      <c r="AL492">
        <f t="shared" si="235"/>
        <v>0</v>
      </c>
      <c r="AM492">
        <f t="shared" ca="1" si="227"/>
        <v>2.6560383008097266E-7</v>
      </c>
      <c r="AN492" t="str">
        <f t="shared" ca="1" si="228"/>
        <v>Subcritical</v>
      </c>
      <c r="AO492">
        <f t="shared" ca="1" si="229"/>
        <v>2.2562304480281055E-12</v>
      </c>
    </row>
    <row r="493" spans="1:41" x14ac:dyDescent="0.35">
      <c r="A493">
        <v>344</v>
      </c>
      <c r="B493">
        <v>342.89600000000002</v>
      </c>
      <c r="C493">
        <v>616278.82499999995</v>
      </c>
      <c r="D493">
        <v>3097614.9569999999</v>
      </c>
      <c r="E493">
        <v>632.39049999999997</v>
      </c>
      <c r="F493">
        <v>5.2</v>
      </c>
      <c r="G493">
        <v>0</v>
      </c>
      <c r="H493" t="s">
        <v>186</v>
      </c>
      <c r="I493">
        <v>0.05</v>
      </c>
      <c r="J493">
        <f t="shared" si="230"/>
        <v>1</v>
      </c>
      <c r="K493">
        <f t="shared" si="231"/>
        <v>51</v>
      </c>
      <c r="L493">
        <f t="shared" ca="1" si="232"/>
        <v>51797.854660962374</v>
      </c>
      <c r="M493">
        <f t="shared" ca="1" si="209"/>
        <v>269348.84423700435</v>
      </c>
      <c r="N493">
        <f t="shared" ca="1" si="210"/>
        <v>2.5998694992149347</v>
      </c>
      <c r="O493">
        <f t="shared" ca="1" si="211"/>
        <v>1.8934553123652645E-4</v>
      </c>
      <c r="P493">
        <f t="shared" ca="1" si="212"/>
        <v>52430.245160962375</v>
      </c>
      <c r="Q493">
        <f t="shared" ca="1" si="213"/>
        <v>52430.245160964201</v>
      </c>
      <c r="R493">
        <f t="shared" ca="1" si="214"/>
        <v>2.2564406009543374E-12</v>
      </c>
      <c r="S493">
        <f t="shared" ca="1" si="233"/>
        <v>5.0000000192085281E-4</v>
      </c>
      <c r="T493">
        <f t="shared" ca="1" si="234"/>
        <v>1</v>
      </c>
      <c r="U493">
        <f t="shared" ca="1" si="215"/>
        <v>51800.26683766341</v>
      </c>
      <c r="V493">
        <f t="shared" ca="1" si="216"/>
        <v>269361.38755584974</v>
      </c>
      <c r="W493">
        <f t="shared" ca="1" si="217"/>
        <v>2.5998695052916441</v>
      </c>
      <c r="X493">
        <f t="shared" ca="1" si="218"/>
        <v>1.8933671400629237E-4</v>
      </c>
      <c r="Y493">
        <f t="shared" ca="1" si="219"/>
        <v>52432.657337663411</v>
      </c>
      <c r="Z493">
        <f t="shared" ca="1" si="220"/>
        <v>52432.657337665238</v>
      </c>
      <c r="AA493">
        <f t="shared" ca="1" si="221"/>
        <v>2.2562304480281055E-12</v>
      </c>
      <c r="AB493">
        <f t="shared" ca="1" si="222"/>
        <v>-5.0000000192085281E-4</v>
      </c>
      <c r="AC493">
        <f t="shared" ca="1" si="223"/>
        <v>1</v>
      </c>
      <c r="AD493">
        <f ca="1">IF(V32="Supercritical",L493,IF(V32="Subcritical",U493,IF(AND(T493=1,AC493=1),IF((((F493)*(L493)^2)/2+(G493)*(L493)^3/3+(ABS(K493)^2)/($I$5*MAX(((F493)+(G493)*(L493))*(L493),0.000001)))&gt;=(((F493)*(U493)^2)/2+(G493)*(U493)^3/3+(ABS(K493)^2)/($I$5*MAX(((F493)+(G493)*(U493))*(U493),0.000001))),L493,U493),IF(T493=1,L493,IF(AC493=1,U493,MAX($D$16,POWER((ABS(K493)^2)/($I$5*MAX(F493,0.1)^2),1/3)))))))</f>
        <v>51800.26683766341</v>
      </c>
      <c r="AE493">
        <f t="shared" ca="1" si="224"/>
        <v>52432.657337663411</v>
      </c>
      <c r="AF493">
        <f t="shared" ca="1" si="225"/>
        <v>52432.657337665238</v>
      </c>
      <c r="AI493">
        <v>0</v>
      </c>
      <c r="AJ493">
        <v>0</v>
      </c>
      <c r="AK493">
        <f t="shared" si="226"/>
        <v>0</v>
      </c>
      <c r="AL493">
        <f t="shared" si="235"/>
        <v>0</v>
      </c>
      <c r="AM493">
        <f t="shared" ca="1" si="227"/>
        <v>2.6560383008097266E-7</v>
      </c>
      <c r="AN493" t="str">
        <f t="shared" ca="1" si="228"/>
        <v>Subcritical</v>
      </c>
      <c r="AO493">
        <f t="shared" ca="1" si="229"/>
        <v>2.2562304480281055E-12</v>
      </c>
    </row>
    <row r="494" spans="1:41" x14ac:dyDescent="0.35">
      <c r="A494">
        <v>345</v>
      </c>
      <c r="B494">
        <v>343.89499999999998</v>
      </c>
      <c r="C494">
        <v>616278.35100000002</v>
      </c>
      <c r="D494">
        <v>3097614.077</v>
      </c>
      <c r="E494">
        <v>632.39</v>
      </c>
      <c r="F494">
        <v>5.2</v>
      </c>
      <c r="G494">
        <v>0</v>
      </c>
      <c r="H494" t="s">
        <v>186</v>
      </c>
      <c r="I494">
        <v>2.7E-2</v>
      </c>
      <c r="J494">
        <f t="shared" si="230"/>
        <v>0.9989999999999668</v>
      </c>
      <c r="K494">
        <f t="shared" si="231"/>
        <v>51</v>
      </c>
      <c r="L494">
        <f t="shared" ca="1" si="232"/>
        <v>51797.854074005772</v>
      </c>
      <c r="M494">
        <f t="shared" ca="1" si="209"/>
        <v>269348.84118483</v>
      </c>
      <c r="N494">
        <f t="shared" ca="1" si="210"/>
        <v>2.5998694992134559</v>
      </c>
      <c r="O494">
        <f t="shared" ca="1" si="211"/>
        <v>1.8934553338212904E-4</v>
      </c>
      <c r="P494">
        <f t="shared" ca="1" si="212"/>
        <v>52430.244074005772</v>
      </c>
      <c r="Q494">
        <f t="shared" ca="1" si="213"/>
        <v>52430.244074007598</v>
      </c>
      <c r="R494">
        <f t="shared" ca="1" si="214"/>
        <v>2.2564406520945647E-12</v>
      </c>
      <c r="S494">
        <f t="shared" ca="1" si="233"/>
        <v>1.0869566031033173E-3</v>
      </c>
      <c r="T494">
        <f t="shared" ca="1" si="234"/>
        <v>0</v>
      </c>
      <c r="U494">
        <f t="shared" ca="1" si="215"/>
        <v>51800.26683766341</v>
      </c>
      <c r="V494">
        <f t="shared" ca="1" si="216"/>
        <v>269361.38755584974</v>
      </c>
      <c r="W494">
        <f t="shared" ca="1" si="217"/>
        <v>2.5998695052916441</v>
      </c>
      <c r="X494">
        <f t="shared" ca="1" si="218"/>
        <v>1.8933671400629237E-4</v>
      </c>
      <c r="Y494">
        <f t="shared" ca="1" si="219"/>
        <v>52432.65683766341</v>
      </c>
      <c r="Z494">
        <f t="shared" ca="1" si="220"/>
        <v>52432.656837665236</v>
      </c>
      <c r="AA494">
        <f t="shared" ca="1" si="221"/>
        <v>2.2562304480281055E-12</v>
      </c>
      <c r="AB494">
        <f t="shared" ca="1" si="222"/>
        <v>-5.0000000192085281E-4</v>
      </c>
      <c r="AC494">
        <f t="shared" ca="1" si="223"/>
        <v>1</v>
      </c>
      <c r="AD494">
        <f ca="1">IF(V32="Supercritical",L494,IF(V32="Subcritical",U494,IF(AND(T494=1,AC494=1),IF((((F494)*(L494)^2)/2+(G494)*(L494)^3/3+(ABS(K494)^2)/($I$5*MAX(((F494)+(G494)*(L494))*(L494),0.000001)))&gt;=(((F494)*(U494)^2)/2+(G494)*(U494)^3/3+(ABS(K494)^2)/($I$5*MAX(((F494)+(G494)*(U494))*(U494),0.000001))),L494,U494),IF(T494=1,L494,IF(AC494=1,U494,MAX($D$16,POWER((ABS(K494)^2)/($I$5*MAX(F494,0.1)^2),1/3)))))))</f>
        <v>51800.26683766341</v>
      </c>
      <c r="AE494">
        <f t="shared" ca="1" si="224"/>
        <v>52432.65683766341</v>
      </c>
      <c r="AF494">
        <f t="shared" ca="1" si="225"/>
        <v>52432.656837665236</v>
      </c>
      <c r="AI494">
        <v>0</v>
      </c>
      <c r="AJ494">
        <v>0</v>
      </c>
      <c r="AK494">
        <f t="shared" si="226"/>
        <v>0</v>
      </c>
      <c r="AL494">
        <f t="shared" si="235"/>
        <v>0</v>
      </c>
      <c r="AM494">
        <f t="shared" ca="1" si="227"/>
        <v>2.6560383008097266E-7</v>
      </c>
      <c r="AN494" t="str">
        <f t="shared" ca="1" si="228"/>
        <v>Subcritical</v>
      </c>
      <c r="AO494">
        <f t="shared" ca="1" si="229"/>
        <v>2.2562304480281055E-12</v>
      </c>
    </row>
    <row r="495" spans="1:41" x14ac:dyDescent="0.35">
      <c r="A495">
        <v>346</v>
      </c>
      <c r="B495">
        <v>344.89499999999998</v>
      </c>
      <c r="C495">
        <v>616277.87699999998</v>
      </c>
      <c r="D495">
        <v>3097613.196</v>
      </c>
      <c r="E495">
        <v>632.3895</v>
      </c>
      <c r="F495">
        <v>5.2</v>
      </c>
      <c r="G495">
        <v>0</v>
      </c>
      <c r="H495" t="s">
        <v>186</v>
      </c>
      <c r="I495">
        <v>2.7E-2</v>
      </c>
      <c r="J495">
        <f t="shared" si="230"/>
        <v>1</v>
      </c>
      <c r="K495">
        <f t="shared" si="231"/>
        <v>51</v>
      </c>
      <c r="L495">
        <f t="shared" ca="1" si="232"/>
        <v>51797.854074005772</v>
      </c>
      <c r="M495">
        <f t="shared" ca="1" si="209"/>
        <v>269348.84118483</v>
      </c>
      <c r="N495">
        <f t="shared" ca="1" si="210"/>
        <v>2.5998694992134559</v>
      </c>
      <c r="O495">
        <f t="shared" ca="1" si="211"/>
        <v>1.8934553338212904E-4</v>
      </c>
      <c r="P495">
        <f t="shared" ca="1" si="212"/>
        <v>52430.24357400577</v>
      </c>
      <c r="Q495">
        <f t="shared" ca="1" si="213"/>
        <v>52430.243574007596</v>
      </c>
      <c r="R495">
        <f t="shared" ca="1" si="214"/>
        <v>2.2564406520945647E-12</v>
      </c>
      <c r="S495">
        <f t="shared" ca="1" si="233"/>
        <v>5.0000000192085281E-4</v>
      </c>
      <c r="T495">
        <f t="shared" ca="1" si="234"/>
        <v>1</v>
      </c>
      <c r="U495">
        <f t="shared" ca="1" si="215"/>
        <v>51800.26683766341</v>
      </c>
      <c r="V495">
        <f t="shared" ca="1" si="216"/>
        <v>269361.38755584974</v>
      </c>
      <c r="W495">
        <f t="shared" ca="1" si="217"/>
        <v>2.5998695052916441</v>
      </c>
      <c r="X495">
        <f t="shared" ca="1" si="218"/>
        <v>1.8933671400629237E-4</v>
      </c>
      <c r="Y495">
        <f t="shared" ca="1" si="219"/>
        <v>52432.656337663408</v>
      </c>
      <c r="Z495">
        <f t="shared" ca="1" si="220"/>
        <v>52432.656337665234</v>
      </c>
      <c r="AA495">
        <f t="shared" ca="1" si="221"/>
        <v>2.2562304480281055E-12</v>
      </c>
      <c r="AB495">
        <f t="shared" ca="1" si="222"/>
        <v>-4.999999946448952E-4</v>
      </c>
      <c r="AC495">
        <f t="shared" ca="1" si="223"/>
        <v>1</v>
      </c>
      <c r="AD495">
        <f ca="1">IF(V32="Supercritical",L495,IF(V32="Subcritical",U495,IF(AND(T495=1,AC495=1),IF((((F495)*(L495)^2)/2+(G495)*(L495)^3/3+(ABS(K495)^2)/($I$5*MAX(((F495)+(G495)*(L495))*(L495),0.000001)))&gt;=(((F495)*(U495)^2)/2+(G495)*(U495)^3/3+(ABS(K495)^2)/($I$5*MAX(((F495)+(G495)*(U495))*(U495),0.000001))),L495,U495),IF(T495=1,L495,IF(AC495=1,U495,MAX($D$16,POWER((ABS(K495)^2)/($I$5*MAX(F495,0.1)^2),1/3)))))))</f>
        <v>51800.26683766341</v>
      </c>
      <c r="AE495">
        <f t="shared" ca="1" si="224"/>
        <v>52432.656337663408</v>
      </c>
      <c r="AF495">
        <f t="shared" ca="1" si="225"/>
        <v>52432.656337665234</v>
      </c>
      <c r="AI495">
        <v>0</v>
      </c>
      <c r="AJ495">
        <v>0</v>
      </c>
      <c r="AK495">
        <f t="shared" si="226"/>
        <v>0</v>
      </c>
      <c r="AL495">
        <f t="shared" si="235"/>
        <v>0</v>
      </c>
      <c r="AM495">
        <f t="shared" ca="1" si="227"/>
        <v>2.6560383008097266E-7</v>
      </c>
      <c r="AN495" t="str">
        <f t="shared" ca="1" si="228"/>
        <v>Subcritical</v>
      </c>
      <c r="AO495">
        <f t="shared" ca="1" si="229"/>
        <v>2.2562304480281055E-12</v>
      </c>
    </row>
    <row r="496" spans="1:41" x14ac:dyDescent="0.35">
      <c r="A496">
        <v>347</v>
      </c>
      <c r="B496">
        <v>345.89499999999998</v>
      </c>
      <c r="C496">
        <v>616277.40300000005</v>
      </c>
      <c r="D496">
        <v>3097612.3160000001</v>
      </c>
      <c r="E496">
        <v>632.38900000000001</v>
      </c>
      <c r="F496">
        <v>5.2</v>
      </c>
      <c r="G496">
        <v>0</v>
      </c>
      <c r="H496" t="s">
        <v>186</v>
      </c>
      <c r="I496">
        <v>2.3E-2</v>
      </c>
      <c r="J496">
        <f t="shared" si="230"/>
        <v>1</v>
      </c>
      <c r="K496">
        <f t="shared" si="231"/>
        <v>51</v>
      </c>
      <c r="L496">
        <f t="shared" ca="1" si="232"/>
        <v>51797.853487052089</v>
      </c>
      <c r="M496">
        <f t="shared" ca="1" si="209"/>
        <v>269348.83813267085</v>
      </c>
      <c r="N496">
        <f t="shared" ca="1" si="210"/>
        <v>2.5998694992119771</v>
      </c>
      <c r="O496">
        <f t="shared" ca="1" si="211"/>
        <v>1.8934553552772099E-4</v>
      </c>
      <c r="P496">
        <f t="shared" ca="1" si="212"/>
        <v>52430.242487052092</v>
      </c>
      <c r="Q496">
        <f t="shared" ca="1" si="213"/>
        <v>52430.242487053918</v>
      </c>
      <c r="R496">
        <f t="shared" ca="1" si="214"/>
        <v>2.2564407032345404E-12</v>
      </c>
      <c r="S496">
        <f t="shared" ca="1" si="233"/>
        <v>1.0869536781683564E-3</v>
      </c>
      <c r="T496">
        <f t="shared" ca="1" si="234"/>
        <v>0</v>
      </c>
      <c r="U496">
        <f t="shared" ca="1" si="215"/>
        <v>51800.26683766341</v>
      </c>
      <c r="V496">
        <f t="shared" ca="1" si="216"/>
        <v>269361.38755584974</v>
      </c>
      <c r="W496">
        <f t="shared" ca="1" si="217"/>
        <v>2.5998695052916441</v>
      </c>
      <c r="X496">
        <f t="shared" ca="1" si="218"/>
        <v>1.8933671400629237E-4</v>
      </c>
      <c r="Y496">
        <f t="shared" ca="1" si="219"/>
        <v>52432.655837663413</v>
      </c>
      <c r="Z496">
        <f t="shared" ca="1" si="220"/>
        <v>52432.655837665239</v>
      </c>
      <c r="AA496">
        <f t="shared" ca="1" si="221"/>
        <v>2.2562304480281055E-12</v>
      </c>
      <c r="AB496">
        <f t="shared" ca="1" si="222"/>
        <v>-5.0000000192085281E-4</v>
      </c>
      <c r="AC496">
        <f t="shared" ca="1" si="223"/>
        <v>1</v>
      </c>
      <c r="AD496">
        <f ca="1">IF(V32="Supercritical",L496,IF(V32="Subcritical",U496,IF(AND(T496=1,AC496=1),IF((((F496)*(L496)^2)/2+(G496)*(L496)^3/3+(ABS(K496)^2)/($I$5*MAX(((F496)+(G496)*(L496))*(L496),0.000001)))&gt;=(((F496)*(U496)^2)/2+(G496)*(U496)^3/3+(ABS(K496)^2)/($I$5*MAX(((F496)+(G496)*(U496))*(U496),0.000001))),L496,U496),IF(T496=1,L496,IF(AC496=1,U496,MAX($D$16,POWER((ABS(K496)^2)/($I$5*MAX(F496,0.1)^2),1/3)))))))</f>
        <v>51800.26683766341</v>
      </c>
      <c r="AE496">
        <f t="shared" ca="1" si="224"/>
        <v>52432.655837663413</v>
      </c>
      <c r="AF496">
        <f t="shared" ca="1" si="225"/>
        <v>52432.655837665239</v>
      </c>
      <c r="AI496">
        <v>0</v>
      </c>
      <c r="AJ496">
        <v>0</v>
      </c>
      <c r="AK496">
        <f t="shared" si="226"/>
        <v>0</v>
      </c>
      <c r="AL496">
        <f t="shared" si="235"/>
        <v>0</v>
      </c>
      <c r="AM496">
        <f t="shared" ca="1" si="227"/>
        <v>2.6560383008097266E-7</v>
      </c>
      <c r="AN496" t="str">
        <f t="shared" ca="1" si="228"/>
        <v>Subcritical</v>
      </c>
      <c r="AO496">
        <f t="shared" ca="1" si="229"/>
        <v>2.2562304480281055E-12</v>
      </c>
    </row>
    <row r="497" spans="1:41" x14ac:dyDescent="0.35">
      <c r="A497">
        <v>348</v>
      </c>
      <c r="B497">
        <v>346.89600000000002</v>
      </c>
      <c r="C497">
        <v>616276.92799999996</v>
      </c>
      <c r="D497">
        <v>3097611.4350000001</v>
      </c>
      <c r="E497">
        <v>632.38850000000002</v>
      </c>
      <c r="F497">
        <v>5.2</v>
      </c>
      <c r="G497">
        <v>0</v>
      </c>
      <c r="H497" t="s">
        <v>186</v>
      </c>
      <c r="I497">
        <v>2.3E-2</v>
      </c>
      <c r="J497">
        <f t="shared" si="230"/>
        <v>1.0010000000000332</v>
      </c>
      <c r="K497">
        <f t="shared" si="231"/>
        <v>51</v>
      </c>
      <c r="L497">
        <f t="shared" ca="1" si="232"/>
        <v>51797.853487052089</v>
      </c>
      <c r="M497">
        <f t="shared" ca="1" si="209"/>
        <v>269348.83813267085</v>
      </c>
      <c r="N497">
        <f t="shared" ca="1" si="210"/>
        <v>2.5998694992119771</v>
      </c>
      <c r="O497">
        <f t="shared" ca="1" si="211"/>
        <v>1.8934553552772099E-4</v>
      </c>
      <c r="P497">
        <f t="shared" ca="1" si="212"/>
        <v>52430.24198705209</v>
      </c>
      <c r="Q497">
        <f t="shared" ca="1" si="213"/>
        <v>52430.241987053916</v>
      </c>
      <c r="R497">
        <f t="shared" ca="1" si="214"/>
        <v>2.2564407032345404E-12</v>
      </c>
      <c r="S497">
        <f t="shared" ca="1" si="233"/>
        <v>5.0000000192085281E-4</v>
      </c>
      <c r="T497">
        <f t="shared" ca="1" si="234"/>
        <v>1</v>
      </c>
      <c r="U497">
        <f t="shared" ca="1" si="215"/>
        <v>51800.26683766341</v>
      </c>
      <c r="V497">
        <f t="shared" ca="1" si="216"/>
        <v>269361.38755584974</v>
      </c>
      <c r="W497">
        <f t="shared" ca="1" si="217"/>
        <v>2.5998695052916441</v>
      </c>
      <c r="X497">
        <f t="shared" ca="1" si="218"/>
        <v>1.8933671400629237E-4</v>
      </c>
      <c r="Y497">
        <f t="shared" ca="1" si="219"/>
        <v>52432.655337663411</v>
      </c>
      <c r="Z497">
        <f t="shared" ca="1" si="220"/>
        <v>52432.655337665237</v>
      </c>
      <c r="AA497">
        <f t="shared" ca="1" si="221"/>
        <v>2.2562304480281055E-12</v>
      </c>
      <c r="AB497">
        <f t="shared" ca="1" si="222"/>
        <v>-5.0000000192085281E-4</v>
      </c>
      <c r="AC497">
        <f t="shared" ca="1" si="223"/>
        <v>1</v>
      </c>
      <c r="AD497">
        <f ca="1">IF(V32="Supercritical",L497,IF(V32="Subcritical",U497,IF(AND(T497=1,AC497=1),IF((((F497)*(L497)^2)/2+(G497)*(L497)^3/3+(ABS(K497)^2)/($I$5*MAX(((F497)+(G497)*(L497))*(L497),0.000001)))&gt;=(((F497)*(U497)^2)/2+(G497)*(U497)^3/3+(ABS(K497)^2)/($I$5*MAX(((F497)+(G497)*(U497))*(U497),0.000001))),L497,U497),IF(T497=1,L497,IF(AC497=1,U497,MAX($D$16,POWER((ABS(K497)^2)/($I$5*MAX(F497,0.1)^2),1/3)))))))</f>
        <v>51800.26683766341</v>
      </c>
      <c r="AE497">
        <f t="shared" ca="1" si="224"/>
        <v>52432.655337663411</v>
      </c>
      <c r="AF497">
        <f t="shared" ca="1" si="225"/>
        <v>52432.655337665237</v>
      </c>
      <c r="AI497">
        <v>0</v>
      </c>
      <c r="AJ497">
        <v>0</v>
      </c>
      <c r="AK497">
        <f t="shared" si="226"/>
        <v>0</v>
      </c>
      <c r="AL497">
        <f t="shared" si="235"/>
        <v>0</v>
      </c>
      <c r="AM497">
        <f t="shared" ca="1" si="227"/>
        <v>2.6560383008097266E-7</v>
      </c>
      <c r="AN497" t="str">
        <f t="shared" ca="1" si="228"/>
        <v>Subcritical</v>
      </c>
      <c r="AO497">
        <f t="shared" ca="1" si="229"/>
        <v>2.2562304480281055E-12</v>
      </c>
    </row>
    <row r="498" spans="1:41" x14ac:dyDescent="0.35">
      <c r="A498">
        <v>349</v>
      </c>
      <c r="B498">
        <v>347.89499999999998</v>
      </c>
      <c r="C498">
        <v>616276.45400000003</v>
      </c>
      <c r="D498">
        <v>3097610.5550000002</v>
      </c>
      <c r="E498">
        <v>632.38800000000003</v>
      </c>
      <c r="F498">
        <v>5.2</v>
      </c>
      <c r="G498">
        <v>0</v>
      </c>
      <c r="H498" t="s">
        <v>186</v>
      </c>
      <c r="I498">
        <v>0</v>
      </c>
      <c r="J498">
        <f t="shared" si="230"/>
        <v>0.9989999999999668</v>
      </c>
      <c r="K498">
        <f t="shared" si="231"/>
        <v>51</v>
      </c>
      <c r="L498">
        <f t="shared" ca="1" si="232"/>
        <v>51797.852900095138</v>
      </c>
      <c r="M498">
        <f t="shared" ca="1" si="209"/>
        <v>269348.83508049475</v>
      </c>
      <c r="N498">
        <f t="shared" ca="1" si="210"/>
        <v>2.5998694992104987</v>
      </c>
      <c r="O498">
        <f t="shared" ca="1" si="211"/>
        <v>1.8934553767332491E-4</v>
      </c>
      <c r="P498">
        <f t="shared" ca="1" si="212"/>
        <v>52430.240900095137</v>
      </c>
      <c r="Q498">
        <f t="shared" ca="1" si="213"/>
        <v>52430.240900096964</v>
      </c>
      <c r="R498">
        <f t="shared" ca="1" si="214"/>
        <v>2.2564407543748012E-12</v>
      </c>
      <c r="S498">
        <f t="shared" ca="1" si="233"/>
        <v>1.0869569523492828E-3</v>
      </c>
      <c r="T498">
        <f t="shared" ca="1" si="234"/>
        <v>0</v>
      </c>
      <c r="U498">
        <f t="shared" ca="1" si="215"/>
        <v>51800.26683766341</v>
      </c>
      <c r="V498">
        <f t="shared" ca="1" si="216"/>
        <v>269361.38755584974</v>
      </c>
      <c r="W498">
        <f t="shared" ca="1" si="217"/>
        <v>2.5998695052916441</v>
      </c>
      <c r="X498">
        <f t="shared" ca="1" si="218"/>
        <v>1.8933671400629237E-4</v>
      </c>
      <c r="Y498">
        <f t="shared" ca="1" si="219"/>
        <v>52432.654837663409</v>
      </c>
      <c r="Z498">
        <f t="shared" ca="1" si="220"/>
        <v>52432.654837665235</v>
      </c>
      <c r="AA498">
        <f t="shared" ca="1" si="221"/>
        <v>2.2562304480281055E-12</v>
      </c>
      <c r="AB498">
        <f t="shared" ca="1" si="222"/>
        <v>-5.0000000192085281E-4</v>
      </c>
      <c r="AC498">
        <f t="shared" ca="1" si="223"/>
        <v>1</v>
      </c>
      <c r="AD498">
        <f ca="1">IF(V32="Supercritical",L498,IF(V32="Subcritical",U498,IF(AND(T498=1,AC498=1),IF((((F498)*(L498)^2)/2+(G498)*(L498)^3/3+(ABS(K498)^2)/($I$5*MAX(((F498)+(G498)*(L498))*(L498),0.000001)))&gt;=(((F498)*(U498)^2)/2+(G498)*(U498)^3/3+(ABS(K498)^2)/($I$5*MAX(((F498)+(G498)*(U498))*(U498),0.000001))),L498,U498),IF(T498=1,L498,IF(AC498=1,U498,MAX($D$16,POWER((ABS(K498)^2)/($I$5*MAX(F498,0.1)^2),1/3)))))))</f>
        <v>51800.26683766341</v>
      </c>
      <c r="AE498">
        <f t="shared" ca="1" si="224"/>
        <v>52432.654837663409</v>
      </c>
      <c r="AF498">
        <f t="shared" ca="1" si="225"/>
        <v>52432.654837665235</v>
      </c>
      <c r="AI498">
        <v>0</v>
      </c>
      <c r="AJ498">
        <v>0</v>
      </c>
      <c r="AK498">
        <f t="shared" si="226"/>
        <v>0</v>
      </c>
      <c r="AL498">
        <f t="shared" si="235"/>
        <v>0</v>
      </c>
      <c r="AM498">
        <f t="shared" ca="1" si="227"/>
        <v>2.6560383008097266E-7</v>
      </c>
      <c r="AN498" t="str">
        <f t="shared" ca="1" si="228"/>
        <v>Subcritical</v>
      </c>
      <c r="AO498">
        <f t="shared" ca="1" si="229"/>
        <v>2.2562304480281055E-12</v>
      </c>
    </row>
    <row r="499" spans="1:41" x14ac:dyDescent="0.35">
      <c r="A499">
        <v>350</v>
      </c>
      <c r="B499">
        <v>348.89499999999998</v>
      </c>
      <c r="C499">
        <v>616275.98</v>
      </c>
      <c r="D499">
        <v>3097609.6749999998</v>
      </c>
      <c r="E499">
        <v>632.38750000000005</v>
      </c>
      <c r="F499">
        <v>5.2</v>
      </c>
      <c r="G499">
        <v>0</v>
      </c>
      <c r="H499" t="s">
        <v>186</v>
      </c>
      <c r="I499">
        <v>2.7E-2</v>
      </c>
      <c r="J499">
        <f t="shared" si="230"/>
        <v>1</v>
      </c>
      <c r="K499">
        <f t="shared" si="231"/>
        <v>51</v>
      </c>
      <c r="L499">
        <f t="shared" ca="1" si="232"/>
        <v>51797.852900095138</v>
      </c>
      <c r="M499">
        <f t="shared" ca="1" si="209"/>
        <v>269348.83508049475</v>
      </c>
      <c r="N499">
        <f t="shared" ca="1" si="210"/>
        <v>2.5998694992104987</v>
      </c>
      <c r="O499">
        <f t="shared" ca="1" si="211"/>
        <v>1.8934553767332491E-4</v>
      </c>
      <c r="P499">
        <f t="shared" ca="1" si="212"/>
        <v>52430.240400095136</v>
      </c>
      <c r="Q499">
        <f t="shared" ca="1" si="213"/>
        <v>52430.240400096962</v>
      </c>
      <c r="R499">
        <f t="shared" ca="1" si="214"/>
        <v>2.2564407543748012E-12</v>
      </c>
      <c r="S499">
        <f t="shared" ca="1" si="233"/>
        <v>5.0000000192085281E-4</v>
      </c>
      <c r="T499">
        <f t="shared" ca="1" si="234"/>
        <v>1</v>
      </c>
      <c r="U499">
        <f t="shared" ca="1" si="215"/>
        <v>51800.26683766341</v>
      </c>
      <c r="V499">
        <f t="shared" ca="1" si="216"/>
        <v>269361.38755584974</v>
      </c>
      <c r="W499">
        <f t="shared" ca="1" si="217"/>
        <v>2.5998695052916441</v>
      </c>
      <c r="X499">
        <f t="shared" ca="1" si="218"/>
        <v>1.8933671400629237E-4</v>
      </c>
      <c r="Y499">
        <f t="shared" ca="1" si="219"/>
        <v>52432.654337663407</v>
      </c>
      <c r="Z499">
        <f t="shared" ca="1" si="220"/>
        <v>52432.654337665233</v>
      </c>
      <c r="AA499">
        <f t="shared" ca="1" si="221"/>
        <v>2.2562304480281055E-12</v>
      </c>
      <c r="AB499">
        <f t="shared" ca="1" si="222"/>
        <v>-4.999999946448952E-4</v>
      </c>
      <c r="AC499">
        <f t="shared" ca="1" si="223"/>
        <v>1</v>
      </c>
      <c r="AD499">
        <f ca="1">IF(V32="Supercritical",L499,IF(V32="Subcritical",U499,IF(AND(T499=1,AC499=1),IF((((F499)*(L499)^2)/2+(G499)*(L499)^3/3+(ABS(K499)^2)/($I$5*MAX(((F499)+(G499)*(L499))*(L499),0.000001)))&gt;=(((F499)*(U499)^2)/2+(G499)*(U499)^3/3+(ABS(K499)^2)/($I$5*MAX(((F499)+(G499)*(U499))*(U499),0.000001))),L499,U499),IF(T499=1,L499,IF(AC499=1,U499,MAX($D$16,POWER((ABS(K499)^2)/($I$5*MAX(F499,0.1)^2),1/3)))))))</f>
        <v>51800.26683766341</v>
      </c>
      <c r="AE499">
        <f t="shared" ca="1" si="224"/>
        <v>52432.654337663407</v>
      </c>
      <c r="AF499">
        <f t="shared" ca="1" si="225"/>
        <v>52432.654337665233</v>
      </c>
      <c r="AI499">
        <v>0</v>
      </c>
      <c r="AJ499">
        <v>0</v>
      </c>
      <c r="AK499">
        <f t="shared" si="226"/>
        <v>0</v>
      </c>
      <c r="AL499">
        <f t="shared" si="235"/>
        <v>0</v>
      </c>
      <c r="AM499">
        <f t="shared" ca="1" si="227"/>
        <v>2.6560383008097266E-7</v>
      </c>
      <c r="AN499" t="str">
        <f t="shared" ca="1" si="228"/>
        <v>Subcritical</v>
      </c>
      <c r="AO499">
        <f t="shared" ca="1" si="229"/>
        <v>2.2562304480281055E-12</v>
      </c>
    </row>
    <row r="500" spans="1:41" x14ac:dyDescent="0.35">
      <c r="A500">
        <v>351</v>
      </c>
      <c r="B500">
        <v>349.89499999999998</v>
      </c>
      <c r="C500">
        <v>616275.50600000005</v>
      </c>
      <c r="D500">
        <v>3097608.7940000002</v>
      </c>
      <c r="E500">
        <v>632.38699999999994</v>
      </c>
      <c r="F500">
        <v>5.2</v>
      </c>
      <c r="G500">
        <v>0</v>
      </c>
      <c r="H500" t="s">
        <v>186</v>
      </c>
      <c r="I500">
        <v>2.7E-2</v>
      </c>
      <c r="J500">
        <f t="shared" si="230"/>
        <v>1</v>
      </c>
      <c r="K500">
        <f t="shared" si="231"/>
        <v>51</v>
      </c>
      <c r="L500">
        <f t="shared" ca="1" si="232"/>
        <v>51797.852313130126</v>
      </c>
      <c r="M500">
        <f t="shared" ca="1" si="209"/>
        <v>269348.83202827669</v>
      </c>
      <c r="N500">
        <f t="shared" ca="1" si="210"/>
        <v>2.5998694992090203</v>
      </c>
      <c r="O500">
        <f t="shared" ca="1" si="211"/>
        <v>1.8934553981895838E-4</v>
      </c>
      <c r="P500">
        <f t="shared" ca="1" si="212"/>
        <v>52430.239313130129</v>
      </c>
      <c r="Q500">
        <f t="shared" ca="1" si="213"/>
        <v>52430.239313131955</v>
      </c>
      <c r="R500">
        <f t="shared" ca="1" si="214"/>
        <v>2.2564408055157672E-12</v>
      </c>
      <c r="S500">
        <f t="shared" ca="1" si="233"/>
        <v>1.0869650068343617E-3</v>
      </c>
      <c r="T500">
        <f t="shared" ca="1" si="234"/>
        <v>0</v>
      </c>
      <c r="U500">
        <f t="shared" ca="1" si="215"/>
        <v>51800.26683766341</v>
      </c>
      <c r="V500">
        <f t="shared" ca="1" si="216"/>
        <v>269361.38755584974</v>
      </c>
      <c r="W500">
        <f t="shared" ca="1" si="217"/>
        <v>2.5998695052916441</v>
      </c>
      <c r="X500">
        <f t="shared" ca="1" si="218"/>
        <v>1.8933671400629237E-4</v>
      </c>
      <c r="Y500">
        <f t="shared" ca="1" si="219"/>
        <v>52432.653837663413</v>
      </c>
      <c r="Z500">
        <f t="shared" ca="1" si="220"/>
        <v>52432.653837665239</v>
      </c>
      <c r="AA500">
        <f t="shared" ca="1" si="221"/>
        <v>2.2562304480281055E-12</v>
      </c>
      <c r="AB500">
        <f t="shared" ca="1" si="222"/>
        <v>-5.0000000192085281E-4</v>
      </c>
      <c r="AC500">
        <f t="shared" ca="1" si="223"/>
        <v>1</v>
      </c>
      <c r="AD500">
        <f ca="1">IF(V32="Supercritical",L500,IF(V32="Subcritical",U500,IF(AND(T500=1,AC500=1),IF((((F500)*(L500)^2)/2+(G500)*(L500)^3/3+(ABS(K500)^2)/($I$5*MAX(((F500)+(G500)*(L500))*(L500),0.000001)))&gt;=(((F500)*(U500)^2)/2+(G500)*(U500)^3/3+(ABS(K500)^2)/($I$5*MAX(((F500)+(G500)*(U500))*(U500),0.000001))),L500,U500),IF(T500=1,L500,IF(AC500=1,U500,MAX($D$16,POWER((ABS(K500)^2)/($I$5*MAX(F500,0.1)^2),1/3)))))))</f>
        <v>51800.26683766341</v>
      </c>
      <c r="AE500">
        <f t="shared" ca="1" si="224"/>
        <v>52432.653837663413</v>
      </c>
      <c r="AF500">
        <f t="shared" ca="1" si="225"/>
        <v>52432.653837665239</v>
      </c>
      <c r="AI500">
        <v>0</v>
      </c>
      <c r="AJ500">
        <v>0</v>
      </c>
      <c r="AK500">
        <f t="shared" si="226"/>
        <v>0</v>
      </c>
      <c r="AL500">
        <f t="shared" si="235"/>
        <v>0</v>
      </c>
      <c r="AM500">
        <f t="shared" ca="1" si="227"/>
        <v>2.6560383008097266E-7</v>
      </c>
      <c r="AN500" t="str">
        <f t="shared" ca="1" si="228"/>
        <v>Subcritical</v>
      </c>
      <c r="AO500">
        <f t="shared" ca="1" si="229"/>
        <v>2.2562304480281055E-12</v>
      </c>
    </row>
    <row r="501" spans="1:41" x14ac:dyDescent="0.35">
      <c r="A501">
        <v>352</v>
      </c>
      <c r="B501">
        <v>350.89499999999998</v>
      </c>
      <c r="C501">
        <v>616275.03200000001</v>
      </c>
      <c r="D501">
        <v>3097607.9139999999</v>
      </c>
      <c r="E501">
        <v>632.38649999999996</v>
      </c>
      <c r="F501">
        <v>5.2</v>
      </c>
      <c r="G501">
        <v>0</v>
      </c>
      <c r="H501" t="s">
        <v>186</v>
      </c>
      <c r="I501">
        <v>2.3E-2</v>
      </c>
      <c r="J501">
        <f t="shared" si="230"/>
        <v>1</v>
      </c>
      <c r="K501">
        <f t="shared" si="231"/>
        <v>51</v>
      </c>
      <c r="L501">
        <f t="shared" ca="1" si="232"/>
        <v>51797.852313130126</v>
      </c>
      <c r="M501">
        <f t="shared" ca="1" si="209"/>
        <v>269348.83202827669</v>
      </c>
      <c r="N501">
        <f t="shared" ca="1" si="210"/>
        <v>2.5998694992090203</v>
      </c>
      <c r="O501">
        <f t="shared" ca="1" si="211"/>
        <v>1.8934553981895838E-4</v>
      </c>
      <c r="P501">
        <f t="shared" ca="1" si="212"/>
        <v>52430.238813130127</v>
      </c>
      <c r="Q501">
        <f t="shared" ca="1" si="213"/>
        <v>52430.238813131953</v>
      </c>
      <c r="R501">
        <f t="shared" ca="1" si="214"/>
        <v>2.2564408055157672E-12</v>
      </c>
      <c r="S501">
        <f t="shared" ca="1" si="233"/>
        <v>5.0000000192085281E-4</v>
      </c>
      <c r="T501">
        <f t="shared" ca="1" si="234"/>
        <v>1</v>
      </c>
      <c r="U501">
        <f t="shared" ca="1" si="215"/>
        <v>51800.26683766341</v>
      </c>
      <c r="V501">
        <f t="shared" ca="1" si="216"/>
        <v>269361.38755584974</v>
      </c>
      <c r="W501">
        <f t="shared" ca="1" si="217"/>
        <v>2.5998695052916441</v>
      </c>
      <c r="X501">
        <f t="shared" ca="1" si="218"/>
        <v>1.8933671400629237E-4</v>
      </c>
      <c r="Y501">
        <f t="shared" ca="1" si="219"/>
        <v>52432.653337663411</v>
      </c>
      <c r="Z501">
        <f t="shared" ca="1" si="220"/>
        <v>52432.653337665237</v>
      </c>
      <c r="AA501">
        <f t="shared" ca="1" si="221"/>
        <v>2.2562304480281055E-12</v>
      </c>
      <c r="AB501">
        <f t="shared" ca="1" si="222"/>
        <v>-5.0000000192085281E-4</v>
      </c>
      <c r="AC501">
        <f t="shared" ca="1" si="223"/>
        <v>1</v>
      </c>
      <c r="AD501">
        <f ca="1">IF(V32="Supercritical",L501,IF(V32="Subcritical",U501,IF(AND(T501=1,AC501=1),IF((((F501)*(L501)^2)/2+(G501)*(L501)^3/3+(ABS(K501)^2)/($I$5*MAX(((F501)+(G501)*(L501))*(L501),0.000001)))&gt;=(((F501)*(U501)^2)/2+(G501)*(U501)^3/3+(ABS(K501)^2)/($I$5*MAX(((F501)+(G501)*(U501))*(U501),0.000001))),L501,U501),IF(T501=1,L501,IF(AC501=1,U501,MAX($D$16,POWER((ABS(K501)^2)/($I$5*MAX(F501,0.1)^2),1/3)))))))</f>
        <v>51800.26683766341</v>
      </c>
      <c r="AE501">
        <f t="shared" ca="1" si="224"/>
        <v>52432.653337663411</v>
      </c>
      <c r="AF501">
        <f t="shared" ca="1" si="225"/>
        <v>52432.653337665237</v>
      </c>
      <c r="AI501">
        <v>0</v>
      </c>
      <c r="AJ501">
        <v>0</v>
      </c>
      <c r="AK501">
        <f t="shared" si="226"/>
        <v>0</v>
      </c>
      <c r="AL501">
        <f t="shared" si="235"/>
        <v>0</v>
      </c>
      <c r="AM501">
        <f t="shared" ca="1" si="227"/>
        <v>2.6560383008097266E-7</v>
      </c>
      <c r="AN501" t="str">
        <f t="shared" ca="1" si="228"/>
        <v>Subcritical</v>
      </c>
      <c r="AO501">
        <f t="shared" ca="1" si="229"/>
        <v>2.2562304480281055E-12</v>
      </c>
    </row>
    <row r="502" spans="1:41" x14ac:dyDescent="0.35">
      <c r="A502">
        <v>353</v>
      </c>
      <c r="B502">
        <v>351.89600000000002</v>
      </c>
      <c r="C502">
        <v>616274.55700000003</v>
      </c>
      <c r="D502">
        <v>3097607.0329999998</v>
      </c>
      <c r="E502">
        <v>632.38599999999997</v>
      </c>
      <c r="F502">
        <v>5.2</v>
      </c>
      <c r="G502">
        <v>0</v>
      </c>
      <c r="H502" t="s">
        <v>186</v>
      </c>
      <c r="I502">
        <v>2.3E-2</v>
      </c>
      <c r="J502">
        <f t="shared" si="230"/>
        <v>1.0010000000000332</v>
      </c>
      <c r="K502">
        <f t="shared" si="231"/>
        <v>51</v>
      </c>
      <c r="L502">
        <f t="shared" ca="1" si="232"/>
        <v>51797.851726174966</v>
      </c>
      <c r="M502">
        <f t="shared" ca="1" si="209"/>
        <v>269348.82897610986</v>
      </c>
      <c r="N502">
        <f t="shared" ca="1" si="210"/>
        <v>2.5998694992075415</v>
      </c>
      <c r="O502">
        <f t="shared" ca="1" si="211"/>
        <v>1.8934554196455591E-4</v>
      </c>
      <c r="P502">
        <f t="shared" ca="1" si="212"/>
        <v>52430.237726174964</v>
      </c>
      <c r="Q502">
        <f t="shared" ca="1" si="213"/>
        <v>52430.237726176791</v>
      </c>
      <c r="R502">
        <f t="shared" ca="1" si="214"/>
        <v>2.2564408566558758E-12</v>
      </c>
      <c r="S502">
        <f t="shared" ca="1" si="233"/>
        <v>1.0869551624637097E-3</v>
      </c>
      <c r="T502">
        <f t="shared" ca="1" si="234"/>
        <v>0</v>
      </c>
      <c r="U502">
        <f t="shared" ca="1" si="215"/>
        <v>51800.26683766341</v>
      </c>
      <c r="V502">
        <f t="shared" ca="1" si="216"/>
        <v>269361.38755584974</v>
      </c>
      <c r="W502">
        <f t="shared" ca="1" si="217"/>
        <v>2.5998695052916441</v>
      </c>
      <c r="X502">
        <f t="shared" ca="1" si="218"/>
        <v>1.8933671400629237E-4</v>
      </c>
      <c r="Y502">
        <f t="shared" ca="1" si="219"/>
        <v>52432.652837663409</v>
      </c>
      <c r="Z502">
        <f t="shared" ca="1" si="220"/>
        <v>52432.652837665235</v>
      </c>
      <c r="AA502">
        <f t="shared" ca="1" si="221"/>
        <v>2.2562304480281055E-12</v>
      </c>
      <c r="AB502">
        <f t="shared" ca="1" si="222"/>
        <v>-5.0000000192085281E-4</v>
      </c>
      <c r="AC502">
        <f t="shared" ca="1" si="223"/>
        <v>1</v>
      </c>
      <c r="AD502">
        <f ca="1">IF(V32="Supercritical",L502,IF(V32="Subcritical",U502,IF(AND(T502=1,AC502=1),IF((((F502)*(L502)^2)/2+(G502)*(L502)^3/3+(ABS(K502)^2)/($I$5*MAX(((F502)+(G502)*(L502))*(L502),0.000001)))&gt;=(((F502)*(U502)^2)/2+(G502)*(U502)^3/3+(ABS(K502)^2)/($I$5*MAX(((F502)+(G502)*(U502))*(U502),0.000001))),L502,U502),IF(T502=1,L502,IF(AC502=1,U502,MAX($D$16,POWER((ABS(K502)^2)/($I$5*MAX(F502,0.1)^2),1/3)))))))</f>
        <v>51800.26683766341</v>
      </c>
      <c r="AE502">
        <f t="shared" ca="1" si="224"/>
        <v>52432.652837663409</v>
      </c>
      <c r="AF502">
        <f t="shared" ca="1" si="225"/>
        <v>52432.652837665235</v>
      </c>
      <c r="AI502">
        <v>0</v>
      </c>
      <c r="AJ502">
        <v>0</v>
      </c>
      <c r="AK502">
        <f t="shared" si="226"/>
        <v>0</v>
      </c>
      <c r="AL502">
        <f t="shared" si="235"/>
        <v>0</v>
      </c>
      <c r="AM502">
        <f t="shared" ca="1" si="227"/>
        <v>2.6560383008097266E-7</v>
      </c>
      <c r="AN502" t="str">
        <f t="shared" ca="1" si="228"/>
        <v>Subcritical</v>
      </c>
      <c r="AO502">
        <f t="shared" ca="1" si="229"/>
        <v>2.2562304480281055E-12</v>
      </c>
    </row>
    <row r="503" spans="1:41" x14ac:dyDescent="0.35">
      <c r="A503">
        <v>354</v>
      </c>
      <c r="B503">
        <v>352.89499999999998</v>
      </c>
      <c r="C503">
        <v>616274.08299999998</v>
      </c>
      <c r="D503">
        <v>3097606.1529999999</v>
      </c>
      <c r="E503">
        <v>632.38549999999998</v>
      </c>
      <c r="F503">
        <v>5.2</v>
      </c>
      <c r="G503">
        <v>0</v>
      </c>
      <c r="H503" t="s">
        <v>186</v>
      </c>
      <c r="I503">
        <v>0</v>
      </c>
      <c r="J503">
        <f t="shared" si="230"/>
        <v>0.9989999999999668</v>
      </c>
      <c r="K503">
        <f t="shared" si="231"/>
        <v>51</v>
      </c>
      <c r="L503">
        <f t="shared" ca="1" si="232"/>
        <v>51797.851726174966</v>
      </c>
      <c r="M503">
        <f t="shared" ca="1" si="209"/>
        <v>269348.82897610986</v>
      </c>
      <c r="N503">
        <f t="shared" ca="1" si="210"/>
        <v>2.5998694992075415</v>
      </c>
      <c r="O503">
        <f t="shared" ca="1" si="211"/>
        <v>1.8934554196455591E-4</v>
      </c>
      <c r="P503">
        <f t="shared" ca="1" si="212"/>
        <v>52430.237226174962</v>
      </c>
      <c r="Q503">
        <f t="shared" ca="1" si="213"/>
        <v>52430.237226176789</v>
      </c>
      <c r="R503">
        <f t="shared" ca="1" si="214"/>
        <v>2.2564408566558758E-12</v>
      </c>
      <c r="S503">
        <f t="shared" ca="1" si="233"/>
        <v>5.0000000192085281E-4</v>
      </c>
      <c r="T503">
        <f t="shared" ca="1" si="234"/>
        <v>1</v>
      </c>
      <c r="U503">
        <f t="shared" ca="1" si="215"/>
        <v>51800.26683766341</v>
      </c>
      <c r="V503">
        <f t="shared" ca="1" si="216"/>
        <v>269361.38755584974</v>
      </c>
      <c r="W503">
        <f t="shared" ca="1" si="217"/>
        <v>2.5998695052916441</v>
      </c>
      <c r="X503">
        <f t="shared" ca="1" si="218"/>
        <v>1.8933671400629237E-4</v>
      </c>
      <c r="Y503">
        <f t="shared" ca="1" si="219"/>
        <v>52432.652337663407</v>
      </c>
      <c r="Z503">
        <f t="shared" ca="1" si="220"/>
        <v>52432.652337665233</v>
      </c>
      <c r="AA503">
        <f t="shared" ca="1" si="221"/>
        <v>2.2562304480281055E-12</v>
      </c>
      <c r="AB503">
        <f t="shared" ca="1" si="222"/>
        <v>-4.999999946448952E-4</v>
      </c>
      <c r="AC503">
        <f t="shared" ca="1" si="223"/>
        <v>1</v>
      </c>
      <c r="AD503">
        <f ca="1">IF(V32="Supercritical",L503,IF(V32="Subcritical",U503,IF(AND(T503=1,AC503=1),IF((((F503)*(L503)^2)/2+(G503)*(L503)^3/3+(ABS(K503)^2)/($I$5*MAX(((F503)+(G503)*(L503))*(L503),0.000001)))&gt;=(((F503)*(U503)^2)/2+(G503)*(U503)^3/3+(ABS(K503)^2)/($I$5*MAX(((F503)+(G503)*(U503))*(U503),0.000001))),L503,U503),IF(T503=1,L503,IF(AC503=1,U503,MAX($D$16,POWER((ABS(K503)^2)/($I$5*MAX(F503,0.1)^2),1/3)))))))</f>
        <v>51800.26683766341</v>
      </c>
      <c r="AE503">
        <f t="shared" ca="1" si="224"/>
        <v>52432.652337663407</v>
      </c>
      <c r="AF503">
        <f t="shared" ca="1" si="225"/>
        <v>52432.652337665233</v>
      </c>
      <c r="AI503">
        <v>0</v>
      </c>
      <c r="AJ503">
        <v>0</v>
      </c>
      <c r="AK503">
        <f t="shared" si="226"/>
        <v>0</v>
      </c>
      <c r="AL503">
        <f t="shared" si="235"/>
        <v>0</v>
      </c>
      <c r="AM503">
        <f t="shared" ca="1" si="227"/>
        <v>2.6560383008097266E-7</v>
      </c>
      <c r="AN503" t="str">
        <f t="shared" ca="1" si="228"/>
        <v>Subcritical</v>
      </c>
      <c r="AO503">
        <f t="shared" ca="1" si="229"/>
        <v>2.2562304480281055E-12</v>
      </c>
    </row>
    <row r="504" spans="1:41" x14ac:dyDescent="0.35">
      <c r="A504">
        <v>355</v>
      </c>
      <c r="B504">
        <v>353.89499999999998</v>
      </c>
      <c r="C504">
        <v>616273.60900000005</v>
      </c>
      <c r="D504">
        <v>3097605.273</v>
      </c>
      <c r="E504">
        <v>632.38499999999999</v>
      </c>
      <c r="F504">
        <v>5.2</v>
      </c>
      <c r="G504">
        <v>0</v>
      </c>
      <c r="H504" t="s">
        <v>186</v>
      </c>
      <c r="I504">
        <v>2.7E-2</v>
      </c>
      <c r="J504">
        <f t="shared" si="230"/>
        <v>1</v>
      </c>
      <c r="K504">
        <f t="shared" si="231"/>
        <v>51</v>
      </c>
      <c r="L504">
        <f t="shared" ca="1" si="232"/>
        <v>51797.851139247228</v>
      </c>
      <c r="M504">
        <f t="shared" ca="1" si="209"/>
        <v>269348.82592408557</v>
      </c>
      <c r="N504">
        <f t="shared" ca="1" si="210"/>
        <v>2.5998694992060623</v>
      </c>
      <c r="O504">
        <f t="shared" ca="1" si="211"/>
        <v>1.8934554411005326E-4</v>
      </c>
      <c r="P504">
        <f t="shared" ca="1" si="212"/>
        <v>52430.23613924723</v>
      </c>
      <c r="Q504">
        <f t="shared" ca="1" si="213"/>
        <v>52430.236139249057</v>
      </c>
      <c r="R504">
        <f t="shared" ca="1" si="214"/>
        <v>2.2564409077935997E-12</v>
      </c>
      <c r="S504">
        <f t="shared" ca="1" si="233"/>
        <v>1.0869277321035042E-3</v>
      </c>
      <c r="T504">
        <f t="shared" ca="1" si="234"/>
        <v>0</v>
      </c>
      <c r="U504">
        <f t="shared" ca="1" si="215"/>
        <v>51800.26683766341</v>
      </c>
      <c r="V504">
        <f t="shared" ca="1" si="216"/>
        <v>269361.38755584974</v>
      </c>
      <c r="W504">
        <f t="shared" ca="1" si="217"/>
        <v>2.5998695052916441</v>
      </c>
      <c r="X504">
        <f t="shared" ca="1" si="218"/>
        <v>1.8933671400629237E-4</v>
      </c>
      <c r="Y504">
        <f t="shared" ca="1" si="219"/>
        <v>52432.651837663412</v>
      </c>
      <c r="Z504">
        <f t="shared" ca="1" si="220"/>
        <v>52432.651837665238</v>
      </c>
      <c r="AA504">
        <f t="shared" ca="1" si="221"/>
        <v>2.2562304480281055E-12</v>
      </c>
      <c r="AB504">
        <f t="shared" ca="1" si="222"/>
        <v>-5.0000000192085281E-4</v>
      </c>
      <c r="AC504">
        <f t="shared" ca="1" si="223"/>
        <v>1</v>
      </c>
      <c r="AD504">
        <f ca="1">IF(V32="Supercritical",L504,IF(V32="Subcritical",U504,IF(AND(T504=1,AC504=1),IF((((F504)*(L504)^2)/2+(G504)*(L504)^3/3+(ABS(K504)^2)/($I$5*MAX(((F504)+(G504)*(L504))*(L504),0.000001)))&gt;=(((F504)*(U504)^2)/2+(G504)*(U504)^3/3+(ABS(K504)^2)/($I$5*MAX(((F504)+(G504)*(U504))*(U504),0.000001))),L504,U504),IF(T504=1,L504,IF(AC504=1,U504,MAX($D$16,POWER((ABS(K504)^2)/($I$5*MAX(F504,0.1)^2),1/3)))))))</f>
        <v>51800.26683766341</v>
      </c>
      <c r="AE504">
        <f t="shared" ca="1" si="224"/>
        <v>52432.651837663412</v>
      </c>
      <c r="AF504">
        <f t="shared" ca="1" si="225"/>
        <v>52432.651837665238</v>
      </c>
      <c r="AI504">
        <v>0</v>
      </c>
      <c r="AJ504">
        <v>0</v>
      </c>
      <c r="AK504">
        <f t="shared" si="226"/>
        <v>0</v>
      </c>
      <c r="AL504">
        <f t="shared" si="235"/>
        <v>0</v>
      </c>
      <c r="AM504">
        <f t="shared" ca="1" si="227"/>
        <v>2.6560383008097266E-7</v>
      </c>
      <c r="AN504" t="str">
        <f t="shared" ca="1" si="228"/>
        <v>Subcritical</v>
      </c>
      <c r="AO504">
        <f t="shared" ca="1" si="229"/>
        <v>2.2562304480281055E-12</v>
      </c>
    </row>
    <row r="505" spans="1:41" x14ac:dyDescent="0.35">
      <c r="A505">
        <v>356</v>
      </c>
      <c r="B505">
        <v>354.89499999999998</v>
      </c>
      <c r="C505">
        <v>616273.13500000001</v>
      </c>
      <c r="D505">
        <v>3097604.392</v>
      </c>
      <c r="E505">
        <v>632.3845</v>
      </c>
      <c r="F505">
        <v>5.2</v>
      </c>
      <c r="G505">
        <v>0</v>
      </c>
      <c r="H505" t="s">
        <v>186</v>
      </c>
      <c r="I505">
        <v>7.8E-2</v>
      </c>
      <c r="J505">
        <f t="shared" si="230"/>
        <v>1</v>
      </c>
      <c r="K505">
        <f t="shared" si="231"/>
        <v>51</v>
      </c>
      <c r="L505">
        <f t="shared" ca="1" si="232"/>
        <v>51797.851139247228</v>
      </c>
      <c r="M505">
        <f t="shared" ca="1" si="209"/>
        <v>269348.82592408557</v>
      </c>
      <c r="N505">
        <f t="shared" ca="1" si="210"/>
        <v>2.5998694992060623</v>
      </c>
      <c r="O505">
        <f t="shared" ca="1" si="211"/>
        <v>1.8934554411005326E-4</v>
      </c>
      <c r="P505">
        <f t="shared" ca="1" si="212"/>
        <v>52430.235639247228</v>
      </c>
      <c r="Q505">
        <f t="shared" ca="1" si="213"/>
        <v>52430.235639249055</v>
      </c>
      <c r="R505">
        <f t="shared" ca="1" si="214"/>
        <v>2.2564409077935997E-12</v>
      </c>
      <c r="S505">
        <f t="shared" ca="1" si="233"/>
        <v>5.0000000192085281E-4</v>
      </c>
      <c r="T505">
        <f t="shared" ca="1" si="234"/>
        <v>1</v>
      </c>
      <c r="U505">
        <f t="shared" ca="1" si="215"/>
        <v>51800.26683766341</v>
      </c>
      <c r="V505">
        <f t="shared" ca="1" si="216"/>
        <v>269361.38755584974</v>
      </c>
      <c r="W505">
        <f t="shared" ca="1" si="217"/>
        <v>2.5998695052916441</v>
      </c>
      <c r="X505">
        <f t="shared" ca="1" si="218"/>
        <v>1.8933671400629237E-4</v>
      </c>
      <c r="Y505">
        <f t="shared" ca="1" si="219"/>
        <v>52432.65133766341</v>
      </c>
      <c r="Z505">
        <f t="shared" ca="1" si="220"/>
        <v>52432.651337665236</v>
      </c>
      <c r="AA505">
        <f t="shared" ca="1" si="221"/>
        <v>2.2562304480281055E-12</v>
      </c>
      <c r="AB505">
        <f t="shared" ca="1" si="222"/>
        <v>-5.0000000192085281E-4</v>
      </c>
      <c r="AC505">
        <f t="shared" ca="1" si="223"/>
        <v>1</v>
      </c>
      <c r="AD505">
        <f ca="1">IF(V32="Supercritical",L505,IF(V32="Subcritical",U505,IF(AND(T505=1,AC505=1),IF((((F505)*(L505)^2)/2+(G505)*(L505)^3/3+(ABS(K505)^2)/($I$5*MAX(((F505)+(G505)*(L505))*(L505),0.000001)))&gt;=(((F505)*(U505)^2)/2+(G505)*(U505)^3/3+(ABS(K505)^2)/($I$5*MAX(((F505)+(G505)*(U505))*(U505),0.000001))),L505,U505),IF(T505=1,L505,IF(AC505=1,U505,MAX($D$16,POWER((ABS(K505)^2)/($I$5*MAX(F505,0.1)^2),1/3)))))))</f>
        <v>51800.26683766341</v>
      </c>
      <c r="AE505">
        <f t="shared" ca="1" si="224"/>
        <v>52432.65133766341</v>
      </c>
      <c r="AF505">
        <f t="shared" ca="1" si="225"/>
        <v>52432.651337665236</v>
      </c>
      <c r="AI505">
        <v>0</v>
      </c>
      <c r="AJ505">
        <v>0</v>
      </c>
      <c r="AK505">
        <f t="shared" si="226"/>
        <v>0</v>
      </c>
      <c r="AL505">
        <f t="shared" si="235"/>
        <v>0</v>
      </c>
      <c r="AM505">
        <f t="shared" ca="1" si="227"/>
        <v>2.6560383008097266E-7</v>
      </c>
      <c r="AN505" t="str">
        <f t="shared" ca="1" si="228"/>
        <v>Subcritical</v>
      </c>
      <c r="AO505">
        <f t="shared" ca="1" si="229"/>
        <v>2.2562304480281055E-12</v>
      </c>
    </row>
    <row r="506" spans="1:41" x14ac:dyDescent="0.35">
      <c r="A506">
        <v>357</v>
      </c>
      <c r="B506">
        <v>355.89499999999998</v>
      </c>
      <c r="C506">
        <v>616272.66</v>
      </c>
      <c r="D506">
        <v>3097603.5120000001</v>
      </c>
      <c r="E506">
        <v>632.38400000000001</v>
      </c>
      <c r="F506">
        <v>5.2</v>
      </c>
      <c r="G506">
        <v>0</v>
      </c>
      <c r="H506" t="s">
        <v>186</v>
      </c>
      <c r="I506">
        <v>7.8E-2</v>
      </c>
      <c r="J506">
        <f t="shared" si="230"/>
        <v>1</v>
      </c>
      <c r="K506">
        <f t="shared" si="231"/>
        <v>51</v>
      </c>
      <c r="L506">
        <f t="shared" ca="1" si="232"/>
        <v>51797.850552281307</v>
      </c>
      <c r="M506">
        <f t="shared" ca="1" si="209"/>
        <v>269348.82287186279</v>
      </c>
      <c r="N506">
        <f t="shared" ca="1" si="210"/>
        <v>2.5998694992045839</v>
      </c>
      <c r="O506">
        <f t="shared" ca="1" si="211"/>
        <v>1.893455462556902E-4</v>
      </c>
      <c r="P506">
        <f t="shared" ca="1" si="212"/>
        <v>52430.234552281305</v>
      </c>
      <c r="Q506">
        <f t="shared" ca="1" si="213"/>
        <v>52430.234552283131</v>
      </c>
      <c r="R506">
        <f t="shared" ca="1" si="214"/>
        <v>2.2564409589346494E-12</v>
      </c>
      <c r="S506">
        <f t="shared" ca="1" si="233"/>
        <v>1.0869659236050211E-3</v>
      </c>
      <c r="T506">
        <f t="shared" ca="1" si="234"/>
        <v>0</v>
      </c>
      <c r="U506">
        <f t="shared" ca="1" si="215"/>
        <v>51800.26683766341</v>
      </c>
      <c r="V506">
        <f t="shared" ca="1" si="216"/>
        <v>269361.38755584974</v>
      </c>
      <c r="W506">
        <f t="shared" ca="1" si="217"/>
        <v>2.5998695052916441</v>
      </c>
      <c r="X506">
        <f t="shared" ca="1" si="218"/>
        <v>1.8933671400629237E-4</v>
      </c>
      <c r="Y506">
        <f t="shared" ca="1" si="219"/>
        <v>52432.650837663408</v>
      </c>
      <c r="Z506">
        <f t="shared" ca="1" si="220"/>
        <v>52432.650837665235</v>
      </c>
      <c r="AA506">
        <f t="shared" ca="1" si="221"/>
        <v>2.2562304480281055E-12</v>
      </c>
      <c r="AB506">
        <f t="shared" ca="1" si="222"/>
        <v>-4.999999946448952E-4</v>
      </c>
      <c r="AC506">
        <f t="shared" ca="1" si="223"/>
        <v>1</v>
      </c>
      <c r="AD506">
        <f ca="1">IF(V32="Supercritical",L506,IF(V32="Subcritical",U506,IF(AND(T506=1,AC506=1),IF((((F506)*(L506)^2)/2+(G506)*(L506)^3/3+(ABS(K506)^2)/($I$5*MAX(((F506)+(G506)*(L506))*(L506),0.000001)))&gt;=(((F506)*(U506)^2)/2+(G506)*(U506)^3/3+(ABS(K506)^2)/($I$5*MAX(((F506)+(G506)*(U506))*(U506),0.000001))),L506,U506),IF(T506=1,L506,IF(AC506=1,U506,MAX($D$16,POWER((ABS(K506)^2)/($I$5*MAX(F506,0.1)^2),1/3)))))))</f>
        <v>51800.26683766341</v>
      </c>
      <c r="AE506">
        <f t="shared" ca="1" si="224"/>
        <v>52432.650837663408</v>
      </c>
      <c r="AF506">
        <f t="shared" ca="1" si="225"/>
        <v>52432.650837665235</v>
      </c>
      <c r="AI506">
        <v>0</v>
      </c>
      <c r="AJ506">
        <v>0</v>
      </c>
      <c r="AK506">
        <f t="shared" si="226"/>
        <v>0</v>
      </c>
      <c r="AL506">
        <f t="shared" si="235"/>
        <v>0</v>
      </c>
      <c r="AM506">
        <f t="shared" ca="1" si="227"/>
        <v>2.6560383008097266E-7</v>
      </c>
      <c r="AN506" t="str">
        <f t="shared" ca="1" si="228"/>
        <v>Subcritical</v>
      </c>
      <c r="AO506">
        <f t="shared" ca="1" si="229"/>
        <v>2.2562304480281055E-12</v>
      </c>
    </row>
    <row r="507" spans="1:41" x14ac:dyDescent="0.35">
      <c r="A507">
        <v>358</v>
      </c>
      <c r="B507">
        <v>356.89600000000002</v>
      </c>
      <c r="C507">
        <v>616272.18599999999</v>
      </c>
      <c r="D507">
        <v>3097602.6310000001</v>
      </c>
      <c r="E507">
        <v>632.38350000000003</v>
      </c>
      <c r="F507">
        <v>5.2</v>
      </c>
      <c r="G507">
        <v>0</v>
      </c>
      <c r="H507" t="s">
        <v>186</v>
      </c>
      <c r="I507">
        <v>2.7E-2</v>
      </c>
      <c r="J507">
        <f t="shared" si="230"/>
        <v>1.0010000000000332</v>
      </c>
      <c r="K507">
        <f t="shared" si="231"/>
        <v>51</v>
      </c>
      <c r="L507">
        <f t="shared" ca="1" si="232"/>
        <v>51797.850552281307</v>
      </c>
      <c r="M507">
        <f t="shared" ca="1" si="209"/>
        <v>269348.82287186279</v>
      </c>
      <c r="N507">
        <f t="shared" ca="1" si="210"/>
        <v>2.5998694992045839</v>
      </c>
      <c r="O507">
        <f t="shared" ca="1" si="211"/>
        <v>1.893455462556902E-4</v>
      </c>
      <c r="P507">
        <f t="shared" ca="1" si="212"/>
        <v>52430.23405228131</v>
      </c>
      <c r="Q507">
        <f t="shared" ca="1" si="213"/>
        <v>52430.234052283136</v>
      </c>
      <c r="R507">
        <f t="shared" ca="1" si="214"/>
        <v>2.2564409589346494E-12</v>
      </c>
      <c r="S507">
        <f t="shared" ca="1" si="233"/>
        <v>4.999999946448952E-4</v>
      </c>
      <c r="T507">
        <f t="shared" ca="1" si="234"/>
        <v>1</v>
      </c>
      <c r="U507">
        <f t="shared" ca="1" si="215"/>
        <v>51800.26683766341</v>
      </c>
      <c r="V507">
        <f t="shared" ca="1" si="216"/>
        <v>269361.38755584974</v>
      </c>
      <c r="W507">
        <f t="shared" ca="1" si="217"/>
        <v>2.5998695052916441</v>
      </c>
      <c r="X507">
        <f t="shared" ca="1" si="218"/>
        <v>1.8933671400629237E-4</v>
      </c>
      <c r="Y507">
        <f t="shared" ca="1" si="219"/>
        <v>52432.650337663414</v>
      </c>
      <c r="Z507">
        <f t="shared" ca="1" si="220"/>
        <v>52432.65033766524</v>
      </c>
      <c r="AA507">
        <f t="shared" ca="1" si="221"/>
        <v>2.2562304480281055E-12</v>
      </c>
      <c r="AB507">
        <f t="shared" ca="1" si="222"/>
        <v>-5.0000000192085281E-4</v>
      </c>
      <c r="AC507">
        <f t="shared" ca="1" si="223"/>
        <v>1</v>
      </c>
      <c r="AD507">
        <f ca="1">IF(V32="Supercritical",L507,IF(V32="Subcritical",U507,IF(AND(T507=1,AC507=1),IF((((F507)*(L507)^2)/2+(G507)*(L507)^3/3+(ABS(K507)^2)/($I$5*MAX(((F507)+(G507)*(L507))*(L507),0.000001)))&gt;=(((F507)*(U507)^2)/2+(G507)*(U507)^3/3+(ABS(K507)^2)/($I$5*MAX(((F507)+(G507)*(U507))*(U507),0.000001))),L507,U507),IF(T507=1,L507,IF(AC507=1,U507,MAX($D$16,POWER((ABS(K507)^2)/($I$5*MAX(F507,0.1)^2),1/3)))))))</f>
        <v>51800.26683766341</v>
      </c>
      <c r="AE507">
        <f t="shared" ca="1" si="224"/>
        <v>52432.650337663414</v>
      </c>
      <c r="AF507">
        <f t="shared" ca="1" si="225"/>
        <v>52432.65033766524</v>
      </c>
      <c r="AI507">
        <v>0</v>
      </c>
      <c r="AJ507">
        <v>0</v>
      </c>
      <c r="AK507">
        <f t="shared" si="226"/>
        <v>0</v>
      </c>
      <c r="AL507">
        <f t="shared" si="235"/>
        <v>0</v>
      </c>
      <c r="AM507">
        <f t="shared" ca="1" si="227"/>
        <v>2.6560383008097266E-7</v>
      </c>
      <c r="AN507" t="str">
        <f t="shared" ca="1" si="228"/>
        <v>Subcritical</v>
      </c>
      <c r="AO507">
        <f t="shared" ca="1" si="229"/>
        <v>2.2562304480281055E-12</v>
      </c>
    </row>
    <row r="508" spans="1:41" x14ac:dyDescent="0.35">
      <c r="A508">
        <v>359</v>
      </c>
      <c r="B508">
        <v>357.89499999999998</v>
      </c>
      <c r="C508">
        <v>616271.71200000006</v>
      </c>
      <c r="D508">
        <v>3097601.7510000002</v>
      </c>
      <c r="E508">
        <v>632.38300000000004</v>
      </c>
      <c r="F508">
        <v>5.2</v>
      </c>
      <c r="G508">
        <v>0</v>
      </c>
      <c r="H508" t="s">
        <v>186</v>
      </c>
      <c r="I508">
        <v>0</v>
      </c>
      <c r="J508">
        <f t="shared" si="230"/>
        <v>0.9989999999999668</v>
      </c>
      <c r="K508">
        <f t="shared" si="231"/>
        <v>51</v>
      </c>
      <c r="L508">
        <f t="shared" ca="1" si="232"/>
        <v>51797.849965227579</v>
      </c>
      <c r="M508">
        <f t="shared" ca="1" si="209"/>
        <v>269348.81981918344</v>
      </c>
      <c r="N508">
        <f t="shared" ca="1" si="210"/>
        <v>2.5998694992031051</v>
      </c>
      <c r="O508">
        <f t="shared" ca="1" si="211"/>
        <v>1.8934554840164815E-4</v>
      </c>
      <c r="P508">
        <f t="shared" ca="1" si="212"/>
        <v>52430.23296522758</v>
      </c>
      <c r="Q508">
        <f t="shared" ca="1" si="213"/>
        <v>52430.232965229407</v>
      </c>
      <c r="R508">
        <f t="shared" ca="1" si="214"/>
        <v>2.2564410100833517E-12</v>
      </c>
      <c r="S508">
        <f t="shared" ca="1" si="233"/>
        <v>1.0870537298615091E-3</v>
      </c>
      <c r="T508">
        <f t="shared" ca="1" si="234"/>
        <v>0</v>
      </c>
      <c r="U508">
        <f t="shared" ca="1" si="215"/>
        <v>51800.26683766341</v>
      </c>
      <c r="V508">
        <f t="shared" ca="1" si="216"/>
        <v>269361.38755584974</v>
      </c>
      <c r="W508">
        <f t="shared" ca="1" si="217"/>
        <v>2.5998695052916441</v>
      </c>
      <c r="X508">
        <f t="shared" ca="1" si="218"/>
        <v>1.8933671400629237E-4</v>
      </c>
      <c r="Y508">
        <f t="shared" ca="1" si="219"/>
        <v>52432.649837663412</v>
      </c>
      <c r="Z508">
        <f t="shared" ca="1" si="220"/>
        <v>52432.649837665238</v>
      </c>
      <c r="AA508">
        <f t="shared" ca="1" si="221"/>
        <v>2.2562304480281055E-12</v>
      </c>
      <c r="AB508">
        <f t="shared" ca="1" si="222"/>
        <v>-5.0000000192085281E-4</v>
      </c>
      <c r="AC508">
        <f t="shared" ca="1" si="223"/>
        <v>1</v>
      </c>
      <c r="AD508">
        <f ca="1">IF(V32="Supercritical",L508,IF(V32="Subcritical",U508,IF(AND(T508=1,AC508=1),IF((((F508)*(L508)^2)/2+(G508)*(L508)^3/3+(ABS(K508)^2)/($I$5*MAX(((F508)+(G508)*(L508))*(L508),0.000001)))&gt;=(((F508)*(U508)^2)/2+(G508)*(U508)^3/3+(ABS(K508)^2)/($I$5*MAX(((F508)+(G508)*(U508))*(U508),0.000001))),L508,U508),IF(T508=1,L508,IF(AC508=1,U508,MAX($D$16,POWER((ABS(K508)^2)/($I$5*MAX(F508,0.1)^2),1/3)))))))</f>
        <v>51800.26683766341</v>
      </c>
      <c r="AE508">
        <f t="shared" ca="1" si="224"/>
        <v>52432.649837663412</v>
      </c>
      <c r="AF508">
        <f t="shared" ca="1" si="225"/>
        <v>52432.649837665238</v>
      </c>
      <c r="AI508">
        <v>0</v>
      </c>
      <c r="AJ508">
        <v>0</v>
      </c>
      <c r="AK508">
        <f t="shared" si="226"/>
        <v>0</v>
      </c>
      <c r="AL508">
        <f t="shared" si="235"/>
        <v>0</v>
      </c>
      <c r="AM508">
        <f t="shared" ca="1" si="227"/>
        <v>2.6560383008097266E-7</v>
      </c>
      <c r="AN508" t="str">
        <f t="shared" ca="1" si="228"/>
        <v>Subcritical</v>
      </c>
      <c r="AO508">
        <f t="shared" ca="1" si="229"/>
        <v>2.2562304480281055E-12</v>
      </c>
    </row>
    <row r="509" spans="1:41" x14ac:dyDescent="0.35">
      <c r="A509">
        <v>360</v>
      </c>
      <c r="B509">
        <v>358.89499999999998</v>
      </c>
      <c r="C509">
        <v>616271.23800000001</v>
      </c>
      <c r="D509">
        <v>3097600.8709999998</v>
      </c>
      <c r="E509">
        <v>632.38250000000005</v>
      </c>
      <c r="F509">
        <v>5.2</v>
      </c>
      <c r="G509">
        <v>0</v>
      </c>
      <c r="H509" t="s">
        <v>186</v>
      </c>
      <c r="I509">
        <v>2.3E-2</v>
      </c>
      <c r="J509">
        <f t="shared" si="230"/>
        <v>1</v>
      </c>
      <c r="K509">
        <f t="shared" si="231"/>
        <v>51</v>
      </c>
      <c r="L509">
        <f t="shared" ca="1" si="232"/>
        <v>51797.849965227579</v>
      </c>
      <c r="M509">
        <f t="shared" ca="1" si="209"/>
        <v>269348.81981918344</v>
      </c>
      <c r="N509">
        <f t="shared" ca="1" si="210"/>
        <v>2.5998694992031051</v>
      </c>
      <c r="O509">
        <f t="shared" ca="1" si="211"/>
        <v>1.8934554840164815E-4</v>
      </c>
      <c r="P509">
        <f t="shared" ca="1" si="212"/>
        <v>52430.232465227578</v>
      </c>
      <c r="Q509">
        <f t="shared" ca="1" si="213"/>
        <v>52430.232465229405</v>
      </c>
      <c r="R509">
        <f t="shared" ca="1" si="214"/>
        <v>2.2564410100833517E-12</v>
      </c>
      <c r="S509">
        <f t="shared" ca="1" si="233"/>
        <v>5.0000000192085281E-4</v>
      </c>
      <c r="T509">
        <f t="shared" ca="1" si="234"/>
        <v>1</v>
      </c>
      <c r="U509">
        <f t="shared" ca="1" si="215"/>
        <v>51800.26683766341</v>
      </c>
      <c r="V509">
        <f t="shared" ca="1" si="216"/>
        <v>269361.38755584974</v>
      </c>
      <c r="W509">
        <f t="shared" ca="1" si="217"/>
        <v>2.5998695052916441</v>
      </c>
      <c r="X509">
        <f t="shared" ca="1" si="218"/>
        <v>1.8933671400629237E-4</v>
      </c>
      <c r="Y509">
        <f t="shared" ca="1" si="219"/>
        <v>52432.64933766341</v>
      </c>
      <c r="Z509">
        <f t="shared" ca="1" si="220"/>
        <v>52432.649337665236</v>
      </c>
      <c r="AA509">
        <f t="shared" ca="1" si="221"/>
        <v>2.2562304480281055E-12</v>
      </c>
      <c r="AB509">
        <f t="shared" ca="1" si="222"/>
        <v>-5.0000000192085281E-4</v>
      </c>
      <c r="AC509">
        <f t="shared" ca="1" si="223"/>
        <v>1</v>
      </c>
      <c r="AD509">
        <f ca="1">IF(V32="Supercritical",L509,IF(V32="Subcritical",U509,IF(AND(T509=1,AC509=1),IF((((F509)*(L509)^2)/2+(G509)*(L509)^3/3+(ABS(K509)^2)/($I$5*MAX(((F509)+(G509)*(L509))*(L509),0.000001)))&gt;=(((F509)*(U509)^2)/2+(G509)*(U509)^3/3+(ABS(K509)^2)/($I$5*MAX(((F509)+(G509)*(U509))*(U509),0.000001))),L509,U509),IF(T509=1,L509,IF(AC509=1,U509,MAX($D$16,POWER((ABS(K509)^2)/($I$5*MAX(F509,0.1)^2),1/3)))))))</f>
        <v>51800.26683766341</v>
      </c>
      <c r="AE509">
        <f t="shared" ca="1" si="224"/>
        <v>52432.64933766341</v>
      </c>
      <c r="AF509">
        <f t="shared" ca="1" si="225"/>
        <v>52432.649337665236</v>
      </c>
      <c r="AI509">
        <v>0</v>
      </c>
      <c r="AJ509">
        <v>0</v>
      </c>
      <c r="AK509">
        <f t="shared" si="226"/>
        <v>0</v>
      </c>
      <c r="AL509">
        <f t="shared" si="235"/>
        <v>0</v>
      </c>
      <c r="AM509">
        <f t="shared" ca="1" si="227"/>
        <v>2.6560383008097266E-7</v>
      </c>
      <c r="AN509" t="str">
        <f t="shared" ca="1" si="228"/>
        <v>Subcritical</v>
      </c>
      <c r="AO509">
        <f t="shared" ca="1" si="229"/>
        <v>2.2562304480281055E-12</v>
      </c>
    </row>
    <row r="510" spans="1:41" x14ac:dyDescent="0.35">
      <c r="A510">
        <v>361</v>
      </c>
      <c r="B510">
        <v>359.89600000000002</v>
      </c>
      <c r="C510">
        <v>616270.76300000004</v>
      </c>
      <c r="D510">
        <v>3097599.99</v>
      </c>
      <c r="E510">
        <v>632.38199999999995</v>
      </c>
      <c r="F510">
        <v>5.2</v>
      </c>
      <c r="G510">
        <v>0</v>
      </c>
      <c r="H510" t="s">
        <v>186</v>
      </c>
      <c r="I510">
        <v>2.3E-2</v>
      </c>
      <c r="J510">
        <f t="shared" si="230"/>
        <v>1.0010000000000332</v>
      </c>
      <c r="K510">
        <f t="shared" si="231"/>
        <v>51</v>
      </c>
      <c r="L510">
        <f t="shared" ca="1" si="232"/>
        <v>51797.8493783456</v>
      </c>
      <c r="M510">
        <f t="shared" ca="1" si="209"/>
        <v>269348.8167673971</v>
      </c>
      <c r="N510">
        <f t="shared" ca="1" si="210"/>
        <v>2.5998694992016262</v>
      </c>
      <c r="O510">
        <f t="shared" ca="1" si="211"/>
        <v>1.8934555054697836E-4</v>
      </c>
      <c r="P510">
        <f t="shared" ca="1" si="212"/>
        <v>52430.231378345597</v>
      </c>
      <c r="Q510">
        <f t="shared" ca="1" si="213"/>
        <v>52430.231378347424</v>
      </c>
      <c r="R510">
        <f t="shared" ca="1" si="214"/>
        <v>2.2564410612170928E-12</v>
      </c>
      <c r="S510">
        <f t="shared" ca="1" si="233"/>
        <v>1.0868819808820263E-3</v>
      </c>
      <c r="T510">
        <f t="shared" ca="1" si="234"/>
        <v>0</v>
      </c>
      <c r="U510">
        <f t="shared" ca="1" si="215"/>
        <v>51800.26683766341</v>
      </c>
      <c r="V510">
        <f t="shared" ca="1" si="216"/>
        <v>269361.38755584974</v>
      </c>
      <c r="W510">
        <f t="shared" ca="1" si="217"/>
        <v>2.5998695052916441</v>
      </c>
      <c r="X510">
        <f t="shared" ca="1" si="218"/>
        <v>1.8933671400629237E-4</v>
      </c>
      <c r="Y510">
        <f t="shared" ca="1" si="219"/>
        <v>52432.648837663408</v>
      </c>
      <c r="Z510">
        <f t="shared" ca="1" si="220"/>
        <v>52432.648837665234</v>
      </c>
      <c r="AA510">
        <f t="shared" ca="1" si="221"/>
        <v>2.2562304480281055E-12</v>
      </c>
      <c r="AB510">
        <f t="shared" ca="1" si="222"/>
        <v>-4.999999946448952E-4</v>
      </c>
      <c r="AC510">
        <f t="shared" ca="1" si="223"/>
        <v>1</v>
      </c>
      <c r="AD510">
        <f ca="1">IF(V32="Supercritical",L510,IF(V32="Subcritical",U510,IF(AND(T510=1,AC510=1),IF((((F510)*(L510)^2)/2+(G510)*(L510)^3/3+(ABS(K510)^2)/($I$5*MAX(((F510)+(G510)*(L510))*(L510),0.000001)))&gt;=(((F510)*(U510)^2)/2+(G510)*(U510)^3/3+(ABS(K510)^2)/($I$5*MAX(((F510)+(G510)*(U510))*(U510),0.000001))),L510,U510),IF(T510=1,L510,IF(AC510=1,U510,MAX($D$16,POWER((ABS(K510)^2)/($I$5*MAX(F510,0.1)^2),1/3)))))))</f>
        <v>51800.26683766341</v>
      </c>
      <c r="AE510">
        <f t="shared" ca="1" si="224"/>
        <v>52432.648837663408</v>
      </c>
      <c r="AF510">
        <f t="shared" ca="1" si="225"/>
        <v>52432.648837665234</v>
      </c>
      <c r="AI510">
        <v>0</v>
      </c>
      <c r="AJ510">
        <v>0</v>
      </c>
      <c r="AK510">
        <f t="shared" si="226"/>
        <v>0</v>
      </c>
      <c r="AL510">
        <f t="shared" si="235"/>
        <v>0</v>
      </c>
      <c r="AM510">
        <f t="shared" ca="1" si="227"/>
        <v>2.6560383008097266E-7</v>
      </c>
      <c r="AN510" t="str">
        <f t="shared" ca="1" si="228"/>
        <v>Subcritical</v>
      </c>
      <c r="AO510">
        <f t="shared" ca="1" si="229"/>
        <v>2.2562304480281055E-12</v>
      </c>
    </row>
    <row r="511" spans="1:41" x14ac:dyDescent="0.35">
      <c r="A511">
        <v>362</v>
      </c>
      <c r="B511">
        <v>360.89499999999998</v>
      </c>
      <c r="C511">
        <v>616270.28899999999</v>
      </c>
      <c r="D511">
        <v>3097599.11</v>
      </c>
      <c r="E511">
        <v>632.38149999999996</v>
      </c>
      <c r="F511">
        <v>5.2</v>
      </c>
      <c r="G511">
        <v>0</v>
      </c>
      <c r="H511" t="s">
        <v>186</v>
      </c>
      <c r="I511">
        <v>2.7E-2</v>
      </c>
      <c r="J511">
        <f t="shared" si="230"/>
        <v>0.9989999999999668</v>
      </c>
      <c r="K511">
        <f t="shared" si="231"/>
        <v>51</v>
      </c>
      <c r="L511">
        <f t="shared" ca="1" si="232"/>
        <v>51797.8493783456</v>
      </c>
      <c r="M511">
        <f t="shared" ca="1" si="209"/>
        <v>269348.8167673971</v>
      </c>
      <c r="N511">
        <f t="shared" ca="1" si="210"/>
        <v>2.5998694992016262</v>
      </c>
      <c r="O511">
        <f t="shared" ca="1" si="211"/>
        <v>1.8934555054697836E-4</v>
      </c>
      <c r="P511">
        <f t="shared" ca="1" si="212"/>
        <v>52430.230878345603</v>
      </c>
      <c r="Q511">
        <f t="shared" ca="1" si="213"/>
        <v>52430.230878347429</v>
      </c>
      <c r="R511">
        <f t="shared" ca="1" si="214"/>
        <v>2.2564410612170928E-12</v>
      </c>
      <c r="S511">
        <f t="shared" ca="1" si="233"/>
        <v>4.999999946448952E-4</v>
      </c>
      <c r="T511">
        <f t="shared" ca="1" si="234"/>
        <v>1</v>
      </c>
      <c r="U511">
        <f t="shared" ca="1" si="215"/>
        <v>51800.26683766341</v>
      </c>
      <c r="V511">
        <f t="shared" ca="1" si="216"/>
        <v>269361.38755584974</v>
      </c>
      <c r="W511">
        <f t="shared" ca="1" si="217"/>
        <v>2.5998695052916441</v>
      </c>
      <c r="X511">
        <f t="shared" ca="1" si="218"/>
        <v>1.8933671400629237E-4</v>
      </c>
      <c r="Y511">
        <f t="shared" ca="1" si="219"/>
        <v>52432.648337663413</v>
      </c>
      <c r="Z511">
        <f t="shared" ca="1" si="220"/>
        <v>52432.64833766524</v>
      </c>
      <c r="AA511">
        <f t="shared" ca="1" si="221"/>
        <v>2.2562304480281055E-12</v>
      </c>
      <c r="AB511">
        <f t="shared" ca="1" si="222"/>
        <v>-5.0000000192085281E-4</v>
      </c>
      <c r="AC511">
        <f t="shared" ca="1" si="223"/>
        <v>1</v>
      </c>
      <c r="AD511">
        <f ca="1">IF(V32="Supercritical",L511,IF(V32="Subcritical",U511,IF(AND(T511=1,AC511=1),IF((((F511)*(L511)^2)/2+(G511)*(L511)^3/3+(ABS(K511)^2)/($I$5*MAX(((F511)+(G511)*(L511))*(L511),0.000001)))&gt;=(((F511)*(U511)^2)/2+(G511)*(U511)^3/3+(ABS(K511)^2)/($I$5*MAX(((F511)+(G511)*(U511))*(U511),0.000001))),L511,U511),IF(T511=1,L511,IF(AC511=1,U511,MAX($D$16,POWER((ABS(K511)^2)/($I$5*MAX(F511,0.1)^2),1/3)))))))</f>
        <v>51800.26683766341</v>
      </c>
      <c r="AE511">
        <f t="shared" ca="1" si="224"/>
        <v>52432.648337663413</v>
      </c>
      <c r="AF511">
        <f t="shared" ca="1" si="225"/>
        <v>52432.64833766524</v>
      </c>
      <c r="AI511">
        <v>0</v>
      </c>
      <c r="AJ511">
        <v>0</v>
      </c>
      <c r="AK511">
        <f t="shared" si="226"/>
        <v>0</v>
      </c>
      <c r="AL511">
        <f t="shared" si="235"/>
        <v>0</v>
      </c>
      <c r="AM511">
        <f t="shared" ca="1" si="227"/>
        <v>2.6560383008097266E-7</v>
      </c>
      <c r="AN511" t="str">
        <f t="shared" ca="1" si="228"/>
        <v>Subcritical</v>
      </c>
      <c r="AO511">
        <f t="shared" ca="1" si="229"/>
        <v>2.2562304480281055E-12</v>
      </c>
    </row>
    <row r="512" spans="1:41" x14ac:dyDescent="0.35">
      <c r="A512">
        <v>363</v>
      </c>
      <c r="B512">
        <v>361.89600000000002</v>
      </c>
      <c r="C512">
        <v>616269.81499999994</v>
      </c>
      <c r="D512">
        <v>3097598.2289999998</v>
      </c>
      <c r="E512">
        <v>632.38099999999997</v>
      </c>
      <c r="F512">
        <v>5.2</v>
      </c>
      <c r="G512">
        <v>0</v>
      </c>
      <c r="H512" t="s">
        <v>186</v>
      </c>
      <c r="I512">
        <v>2.7E-2</v>
      </c>
      <c r="J512">
        <f t="shared" si="230"/>
        <v>1.0010000000000332</v>
      </c>
      <c r="K512">
        <f t="shared" si="231"/>
        <v>51</v>
      </c>
      <c r="L512">
        <f t="shared" ca="1" si="232"/>
        <v>51797.848791600198</v>
      </c>
      <c r="M512">
        <f t="shared" ca="1" si="209"/>
        <v>269348.81371632102</v>
      </c>
      <c r="N512">
        <f t="shared" ca="1" si="210"/>
        <v>2.5998694992001479</v>
      </c>
      <c r="O512">
        <f t="shared" ca="1" si="211"/>
        <v>1.8934555269180934E-4</v>
      </c>
      <c r="P512">
        <f t="shared" ca="1" si="212"/>
        <v>52430.229791600199</v>
      </c>
      <c r="Q512">
        <f t="shared" ca="1" si="213"/>
        <v>52430.229791602025</v>
      </c>
      <c r="R512">
        <f t="shared" ca="1" si="214"/>
        <v>2.2564411123389351E-12</v>
      </c>
      <c r="S512">
        <f t="shared" ca="1" si="233"/>
        <v>1.0867454038816504E-3</v>
      </c>
      <c r="T512">
        <f t="shared" ca="1" si="234"/>
        <v>0</v>
      </c>
      <c r="U512">
        <f t="shared" ca="1" si="215"/>
        <v>51800.26683766341</v>
      </c>
      <c r="V512">
        <f t="shared" ca="1" si="216"/>
        <v>269361.38755584974</v>
      </c>
      <c r="W512">
        <f t="shared" ca="1" si="217"/>
        <v>2.5998695052916441</v>
      </c>
      <c r="X512">
        <f t="shared" ca="1" si="218"/>
        <v>1.8933671400629237E-4</v>
      </c>
      <c r="Y512">
        <f t="shared" ca="1" si="219"/>
        <v>52432.647837663411</v>
      </c>
      <c r="Z512">
        <f t="shared" ca="1" si="220"/>
        <v>52432.647837665238</v>
      </c>
      <c r="AA512">
        <f t="shared" ca="1" si="221"/>
        <v>2.2562304480281055E-12</v>
      </c>
      <c r="AB512">
        <f t="shared" ca="1" si="222"/>
        <v>-5.0000000192085281E-4</v>
      </c>
      <c r="AC512">
        <f t="shared" ca="1" si="223"/>
        <v>1</v>
      </c>
      <c r="AD512">
        <f ca="1">IF(V32="Supercritical",L512,IF(V32="Subcritical",U512,IF(AND(T512=1,AC512=1),IF((((F512)*(L512)^2)/2+(G512)*(L512)^3/3+(ABS(K512)^2)/($I$5*MAX(((F512)+(G512)*(L512))*(L512),0.000001)))&gt;=(((F512)*(U512)^2)/2+(G512)*(U512)^3/3+(ABS(K512)^2)/($I$5*MAX(((F512)+(G512)*(U512))*(U512),0.000001))),L512,U512),IF(T512=1,L512,IF(AC512=1,U512,MAX($D$16,POWER((ABS(K512)^2)/($I$5*MAX(F512,0.1)^2),1/3)))))))</f>
        <v>51800.26683766341</v>
      </c>
      <c r="AE512">
        <f t="shared" ca="1" si="224"/>
        <v>52432.647837663411</v>
      </c>
      <c r="AF512">
        <f t="shared" ca="1" si="225"/>
        <v>52432.647837665238</v>
      </c>
      <c r="AI512">
        <v>0</v>
      </c>
      <c r="AJ512">
        <v>0</v>
      </c>
      <c r="AK512">
        <f t="shared" si="226"/>
        <v>0</v>
      </c>
      <c r="AL512">
        <f t="shared" si="235"/>
        <v>0</v>
      </c>
      <c r="AM512">
        <f t="shared" ca="1" si="227"/>
        <v>2.6560383008097266E-7</v>
      </c>
      <c r="AN512" t="str">
        <f t="shared" ca="1" si="228"/>
        <v>Subcritical</v>
      </c>
      <c r="AO512">
        <f t="shared" ca="1" si="229"/>
        <v>2.2562304480281055E-12</v>
      </c>
    </row>
    <row r="513" spans="1:41" x14ac:dyDescent="0.35">
      <c r="A513">
        <v>364</v>
      </c>
      <c r="B513">
        <v>362.89499999999998</v>
      </c>
      <c r="C513">
        <v>616269.34100000001</v>
      </c>
      <c r="D513">
        <v>3097597.3489999999</v>
      </c>
      <c r="E513">
        <v>632.38049999999998</v>
      </c>
      <c r="F513">
        <v>5.2</v>
      </c>
      <c r="G513">
        <v>0</v>
      </c>
      <c r="H513" t="s">
        <v>186</v>
      </c>
      <c r="I513">
        <v>0</v>
      </c>
      <c r="J513">
        <f t="shared" si="230"/>
        <v>0.9989999999999668</v>
      </c>
      <c r="K513">
        <f t="shared" si="231"/>
        <v>51</v>
      </c>
      <c r="L513">
        <f t="shared" ca="1" si="232"/>
        <v>51797.848791600198</v>
      </c>
      <c r="M513">
        <f t="shared" ca="1" si="209"/>
        <v>269348.81371632102</v>
      </c>
      <c r="N513">
        <f t="shared" ca="1" si="210"/>
        <v>2.5998694992001479</v>
      </c>
      <c r="O513">
        <f t="shared" ca="1" si="211"/>
        <v>1.8934555269180934E-4</v>
      </c>
      <c r="P513">
        <f t="shared" ca="1" si="212"/>
        <v>52430.229291600197</v>
      </c>
      <c r="Q513">
        <f t="shared" ca="1" si="213"/>
        <v>52430.229291602023</v>
      </c>
      <c r="R513">
        <f t="shared" ca="1" si="214"/>
        <v>2.2564411123389351E-12</v>
      </c>
      <c r="S513">
        <f t="shared" ca="1" si="233"/>
        <v>5.0000000192085281E-4</v>
      </c>
      <c r="T513">
        <f t="shared" ca="1" si="234"/>
        <v>1</v>
      </c>
      <c r="U513">
        <f t="shared" ca="1" si="215"/>
        <v>51800.26683766341</v>
      </c>
      <c r="V513">
        <f t="shared" ca="1" si="216"/>
        <v>269361.38755584974</v>
      </c>
      <c r="W513">
        <f t="shared" ca="1" si="217"/>
        <v>2.5998695052916441</v>
      </c>
      <c r="X513">
        <f t="shared" ca="1" si="218"/>
        <v>1.8933671400629237E-4</v>
      </c>
      <c r="Y513">
        <f t="shared" ca="1" si="219"/>
        <v>52432.647337663409</v>
      </c>
      <c r="Z513">
        <f t="shared" ca="1" si="220"/>
        <v>52432.647337665236</v>
      </c>
      <c r="AA513">
        <f t="shared" ca="1" si="221"/>
        <v>2.2562304480281055E-12</v>
      </c>
      <c r="AB513">
        <f t="shared" ca="1" si="222"/>
        <v>-5.0000000192085281E-4</v>
      </c>
      <c r="AC513">
        <f t="shared" ca="1" si="223"/>
        <v>1</v>
      </c>
      <c r="AD513">
        <f ca="1">IF(V32="Supercritical",L513,IF(V32="Subcritical",U513,IF(AND(T513=1,AC513=1),IF((((F513)*(L513)^2)/2+(G513)*(L513)^3/3+(ABS(K513)^2)/($I$5*MAX(((F513)+(G513)*(L513))*(L513),0.000001)))&gt;=(((F513)*(U513)^2)/2+(G513)*(U513)^3/3+(ABS(K513)^2)/($I$5*MAX(((F513)+(G513)*(U513))*(U513),0.000001))),L513,U513),IF(T513=1,L513,IF(AC513=1,U513,MAX($D$16,POWER((ABS(K513)^2)/($I$5*MAX(F513,0.1)^2),1/3)))))))</f>
        <v>51800.26683766341</v>
      </c>
      <c r="AE513">
        <f t="shared" ca="1" si="224"/>
        <v>52432.647337663409</v>
      </c>
      <c r="AF513">
        <f t="shared" ca="1" si="225"/>
        <v>52432.647337665236</v>
      </c>
      <c r="AI513">
        <v>0</v>
      </c>
      <c r="AJ513">
        <v>0</v>
      </c>
      <c r="AK513">
        <f t="shared" si="226"/>
        <v>0</v>
      </c>
      <c r="AL513">
        <f t="shared" si="235"/>
        <v>0</v>
      </c>
      <c r="AM513">
        <f t="shared" ca="1" si="227"/>
        <v>2.6560383008097266E-7</v>
      </c>
      <c r="AN513" t="str">
        <f t="shared" ca="1" si="228"/>
        <v>Subcritical</v>
      </c>
      <c r="AO513">
        <f t="shared" ca="1" si="229"/>
        <v>2.2562304480281055E-12</v>
      </c>
    </row>
    <row r="514" spans="1:41" x14ac:dyDescent="0.35">
      <c r="A514">
        <v>365</v>
      </c>
      <c r="B514">
        <v>363.89499999999998</v>
      </c>
      <c r="C514">
        <v>616268.86699999997</v>
      </c>
      <c r="D514">
        <v>3097596.469</v>
      </c>
      <c r="E514">
        <v>632.38</v>
      </c>
      <c r="F514">
        <v>5.2</v>
      </c>
      <c r="G514">
        <v>0</v>
      </c>
      <c r="H514" t="s">
        <v>186</v>
      </c>
      <c r="I514">
        <v>2.3E-2</v>
      </c>
      <c r="J514">
        <f t="shared" si="230"/>
        <v>1</v>
      </c>
      <c r="K514">
        <f t="shared" si="231"/>
        <v>51</v>
      </c>
      <c r="L514">
        <f t="shared" ca="1" si="232"/>
        <v>51797.848204576956</v>
      </c>
      <c r="M514">
        <f t="shared" ca="1" si="209"/>
        <v>269348.81066380016</v>
      </c>
      <c r="N514">
        <f t="shared" ca="1" si="210"/>
        <v>2.5998694991986691</v>
      </c>
      <c r="O514">
        <f t="shared" ca="1" si="211"/>
        <v>1.8934555483765601E-4</v>
      </c>
      <c r="P514">
        <f t="shared" ca="1" si="212"/>
        <v>52430.228204576953</v>
      </c>
      <c r="Q514">
        <f t="shared" ca="1" si="213"/>
        <v>52430.22820457878</v>
      </c>
      <c r="R514">
        <f t="shared" ca="1" si="214"/>
        <v>2.2564411634849862E-12</v>
      </c>
      <c r="S514">
        <f t="shared" ca="1" si="233"/>
        <v>1.0870232435991056E-3</v>
      </c>
      <c r="T514">
        <f t="shared" ca="1" si="234"/>
        <v>0</v>
      </c>
      <c r="U514">
        <f t="shared" ca="1" si="215"/>
        <v>51800.26683766341</v>
      </c>
      <c r="V514">
        <f t="shared" ca="1" si="216"/>
        <v>269361.38755584974</v>
      </c>
      <c r="W514">
        <f t="shared" ca="1" si="217"/>
        <v>2.5998695052916441</v>
      </c>
      <c r="X514">
        <f t="shared" ca="1" si="218"/>
        <v>1.8933671400629237E-4</v>
      </c>
      <c r="Y514">
        <f t="shared" ca="1" si="219"/>
        <v>52432.646837663407</v>
      </c>
      <c r="Z514">
        <f t="shared" ca="1" si="220"/>
        <v>52432.646837665234</v>
      </c>
      <c r="AA514">
        <f t="shared" ca="1" si="221"/>
        <v>2.2562304480281055E-12</v>
      </c>
      <c r="AB514">
        <f t="shared" ca="1" si="222"/>
        <v>-4.999999946448952E-4</v>
      </c>
      <c r="AC514">
        <f t="shared" ca="1" si="223"/>
        <v>1</v>
      </c>
      <c r="AD514">
        <f ca="1">IF(V32="Supercritical",L514,IF(V32="Subcritical",U514,IF(AND(T514=1,AC514=1),IF((((F514)*(L514)^2)/2+(G514)*(L514)^3/3+(ABS(K514)^2)/($I$5*MAX(((F514)+(G514)*(L514))*(L514),0.000001)))&gt;=(((F514)*(U514)^2)/2+(G514)*(U514)^3/3+(ABS(K514)^2)/($I$5*MAX(((F514)+(G514)*(U514))*(U514),0.000001))),L514,U514),IF(T514=1,L514,IF(AC514=1,U514,MAX($D$16,POWER((ABS(K514)^2)/($I$5*MAX(F514,0.1)^2),1/3)))))))</f>
        <v>51800.26683766341</v>
      </c>
      <c r="AE514">
        <f t="shared" ca="1" si="224"/>
        <v>52432.646837663407</v>
      </c>
      <c r="AF514">
        <f t="shared" ca="1" si="225"/>
        <v>52432.646837665234</v>
      </c>
      <c r="AI514">
        <v>0</v>
      </c>
      <c r="AJ514">
        <v>0</v>
      </c>
      <c r="AK514">
        <f t="shared" si="226"/>
        <v>0</v>
      </c>
      <c r="AL514">
        <f t="shared" si="235"/>
        <v>0</v>
      </c>
      <c r="AM514">
        <f t="shared" ca="1" si="227"/>
        <v>2.6560383008097266E-7</v>
      </c>
      <c r="AN514" t="str">
        <f t="shared" ca="1" si="228"/>
        <v>Subcritical</v>
      </c>
      <c r="AO514">
        <f t="shared" ca="1" si="229"/>
        <v>2.2562304480281055E-12</v>
      </c>
    </row>
    <row r="515" spans="1:41" x14ac:dyDescent="0.35">
      <c r="A515">
        <v>366</v>
      </c>
      <c r="B515">
        <v>364.89600000000002</v>
      </c>
      <c r="C515">
        <v>616268.39199999999</v>
      </c>
      <c r="D515">
        <v>3097595.588</v>
      </c>
      <c r="E515">
        <v>632.37950000000001</v>
      </c>
      <c r="F515">
        <v>5.2</v>
      </c>
      <c r="G515">
        <v>0</v>
      </c>
      <c r="H515" t="s">
        <v>186</v>
      </c>
      <c r="I515">
        <v>2.3E-2</v>
      </c>
      <c r="J515">
        <f t="shared" si="230"/>
        <v>1.0010000000000332</v>
      </c>
      <c r="K515">
        <f t="shared" si="231"/>
        <v>51</v>
      </c>
      <c r="L515">
        <f t="shared" ca="1" si="232"/>
        <v>51797.848204576956</v>
      </c>
      <c r="M515">
        <f t="shared" ca="1" si="209"/>
        <v>269348.81066380016</v>
      </c>
      <c r="N515">
        <f t="shared" ca="1" si="210"/>
        <v>2.5998694991986691</v>
      </c>
      <c r="O515">
        <f t="shared" ca="1" si="211"/>
        <v>1.8934555483765601E-4</v>
      </c>
      <c r="P515">
        <f t="shared" ca="1" si="212"/>
        <v>52430.227704576959</v>
      </c>
      <c r="Q515">
        <f t="shared" ca="1" si="213"/>
        <v>52430.227704578785</v>
      </c>
      <c r="R515">
        <f t="shared" ca="1" si="214"/>
        <v>2.2564411634849862E-12</v>
      </c>
      <c r="S515">
        <f t="shared" ca="1" si="233"/>
        <v>4.999999946448952E-4</v>
      </c>
      <c r="T515">
        <f t="shared" ca="1" si="234"/>
        <v>1</v>
      </c>
      <c r="U515">
        <f t="shared" ca="1" si="215"/>
        <v>51800.26683766341</v>
      </c>
      <c r="V515">
        <f t="shared" ca="1" si="216"/>
        <v>269361.38755584974</v>
      </c>
      <c r="W515">
        <f t="shared" ca="1" si="217"/>
        <v>2.5998695052916441</v>
      </c>
      <c r="X515">
        <f t="shared" ca="1" si="218"/>
        <v>1.8933671400629237E-4</v>
      </c>
      <c r="Y515">
        <f t="shared" ca="1" si="219"/>
        <v>52432.646337663413</v>
      </c>
      <c r="Z515">
        <f t="shared" ca="1" si="220"/>
        <v>52432.646337665239</v>
      </c>
      <c r="AA515">
        <f t="shared" ca="1" si="221"/>
        <v>2.2562304480281055E-12</v>
      </c>
      <c r="AB515">
        <f t="shared" ca="1" si="222"/>
        <v>-5.0000000192085281E-4</v>
      </c>
      <c r="AC515">
        <f t="shared" ca="1" si="223"/>
        <v>1</v>
      </c>
      <c r="AD515">
        <f ca="1">IF(V32="Supercritical",L515,IF(V32="Subcritical",U515,IF(AND(T515=1,AC515=1),IF((((F515)*(L515)^2)/2+(G515)*(L515)^3/3+(ABS(K515)^2)/($I$5*MAX(((F515)+(G515)*(L515))*(L515),0.000001)))&gt;=(((F515)*(U515)^2)/2+(G515)*(U515)^3/3+(ABS(K515)^2)/($I$5*MAX(((F515)+(G515)*(U515))*(U515),0.000001))),L515,U515),IF(T515=1,L515,IF(AC515=1,U515,MAX($D$16,POWER((ABS(K515)^2)/($I$5*MAX(F515,0.1)^2),1/3)))))))</f>
        <v>51800.26683766341</v>
      </c>
      <c r="AE515">
        <f t="shared" ca="1" si="224"/>
        <v>52432.646337663413</v>
      </c>
      <c r="AF515">
        <f t="shared" ca="1" si="225"/>
        <v>52432.646337665239</v>
      </c>
      <c r="AI515">
        <v>0</v>
      </c>
      <c r="AJ515">
        <v>0</v>
      </c>
      <c r="AK515">
        <f t="shared" si="226"/>
        <v>0</v>
      </c>
      <c r="AL515">
        <f t="shared" si="235"/>
        <v>0</v>
      </c>
      <c r="AM515">
        <f t="shared" ca="1" si="227"/>
        <v>2.6560383008097266E-7</v>
      </c>
      <c r="AN515" t="str">
        <f t="shared" ca="1" si="228"/>
        <v>Subcritical</v>
      </c>
      <c r="AO515">
        <f t="shared" ca="1" si="229"/>
        <v>2.2562304480281055E-12</v>
      </c>
    </row>
    <row r="516" spans="1:41" x14ac:dyDescent="0.35">
      <c r="A516">
        <v>367</v>
      </c>
      <c r="B516">
        <v>365.89499999999998</v>
      </c>
      <c r="C516">
        <v>616267.91799999995</v>
      </c>
      <c r="D516">
        <v>3097594.7080000001</v>
      </c>
      <c r="E516">
        <v>632.37900000000002</v>
      </c>
      <c r="F516">
        <v>5.2</v>
      </c>
      <c r="G516">
        <v>0</v>
      </c>
      <c r="H516" t="s">
        <v>186</v>
      </c>
      <c r="I516">
        <v>2.7E-2</v>
      </c>
      <c r="J516">
        <f t="shared" si="230"/>
        <v>0.9989999999999668</v>
      </c>
      <c r="K516">
        <f t="shared" si="231"/>
        <v>51</v>
      </c>
      <c r="L516">
        <f t="shared" ca="1" si="232"/>
        <v>51797.847616603336</v>
      </c>
      <c r="M516">
        <f t="shared" ca="1" si="209"/>
        <v>269348.80760633736</v>
      </c>
      <c r="N516">
        <f t="shared" ca="1" si="210"/>
        <v>2.599869499197188</v>
      </c>
      <c r="O516">
        <f t="shared" ca="1" si="211"/>
        <v>1.893455569869768E-4</v>
      </c>
      <c r="P516">
        <f t="shared" ca="1" si="212"/>
        <v>52430.226616603337</v>
      </c>
      <c r="Q516">
        <f t="shared" ca="1" si="213"/>
        <v>52430.226616605163</v>
      </c>
      <c r="R516">
        <f t="shared" ca="1" si="214"/>
        <v>2.2564412147138434E-12</v>
      </c>
      <c r="S516">
        <f t="shared" ca="1" si="233"/>
        <v>1.0879736219067127E-3</v>
      </c>
      <c r="T516">
        <f t="shared" ca="1" si="234"/>
        <v>0</v>
      </c>
      <c r="U516">
        <f t="shared" ca="1" si="215"/>
        <v>51800.26683766341</v>
      </c>
      <c r="V516">
        <f t="shared" ca="1" si="216"/>
        <v>269361.38755584974</v>
      </c>
      <c r="W516">
        <f t="shared" ca="1" si="217"/>
        <v>2.5998695052916441</v>
      </c>
      <c r="X516">
        <f t="shared" ca="1" si="218"/>
        <v>1.8933671400629237E-4</v>
      </c>
      <c r="Y516">
        <f t="shared" ca="1" si="219"/>
        <v>52432.645837663411</v>
      </c>
      <c r="Z516">
        <f t="shared" ca="1" si="220"/>
        <v>52432.645837665237</v>
      </c>
      <c r="AA516">
        <f t="shared" ca="1" si="221"/>
        <v>2.2562304480281055E-12</v>
      </c>
      <c r="AB516">
        <f t="shared" ca="1" si="222"/>
        <v>-5.0000000192085281E-4</v>
      </c>
      <c r="AC516">
        <f t="shared" ca="1" si="223"/>
        <v>1</v>
      </c>
      <c r="AD516">
        <f ca="1">IF(V32="Supercritical",L516,IF(V32="Subcritical",U516,IF(AND(T516=1,AC516=1),IF((((F516)*(L516)^2)/2+(G516)*(L516)^3/3+(ABS(K516)^2)/($I$5*MAX(((F516)+(G516)*(L516))*(L516),0.000001)))&gt;=(((F516)*(U516)^2)/2+(G516)*(U516)^3/3+(ABS(K516)^2)/($I$5*MAX(((F516)+(G516)*(U516))*(U516),0.000001))),L516,U516),IF(T516=1,L516,IF(AC516=1,U516,MAX($D$16,POWER((ABS(K516)^2)/($I$5*MAX(F516,0.1)^2),1/3)))))))</f>
        <v>51800.26683766341</v>
      </c>
      <c r="AE516">
        <f t="shared" ca="1" si="224"/>
        <v>52432.645837663411</v>
      </c>
      <c r="AF516">
        <f t="shared" ca="1" si="225"/>
        <v>52432.645837665237</v>
      </c>
      <c r="AI516">
        <v>0</v>
      </c>
      <c r="AJ516">
        <v>0</v>
      </c>
      <c r="AK516">
        <f t="shared" si="226"/>
        <v>0</v>
      </c>
      <c r="AL516">
        <f t="shared" si="235"/>
        <v>0</v>
      </c>
      <c r="AM516">
        <f t="shared" ca="1" si="227"/>
        <v>2.6560383008097266E-7</v>
      </c>
      <c r="AN516" t="str">
        <f t="shared" ca="1" si="228"/>
        <v>Subcritical</v>
      </c>
      <c r="AO516">
        <f t="shared" ca="1" si="229"/>
        <v>2.2562304480281055E-12</v>
      </c>
    </row>
    <row r="517" spans="1:41" x14ac:dyDescent="0.35">
      <c r="A517">
        <v>368</v>
      </c>
      <c r="B517">
        <v>366.89600000000002</v>
      </c>
      <c r="C517">
        <v>616267.44400000002</v>
      </c>
      <c r="D517">
        <v>3097593.827</v>
      </c>
      <c r="E517">
        <v>632.37850000000003</v>
      </c>
      <c r="F517">
        <v>5.2</v>
      </c>
      <c r="G517">
        <v>0</v>
      </c>
      <c r="H517" t="s">
        <v>186</v>
      </c>
      <c r="I517">
        <v>2.7E-2</v>
      </c>
      <c r="J517">
        <f t="shared" si="230"/>
        <v>1.0010000000000332</v>
      </c>
      <c r="K517">
        <f t="shared" si="231"/>
        <v>51</v>
      </c>
      <c r="L517">
        <f t="shared" ca="1" si="232"/>
        <v>51797.847616603336</v>
      </c>
      <c r="M517">
        <f t="shared" ca="1" si="209"/>
        <v>269348.80760633736</v>
      </c>
      <c r="N517">
        <f t="shared" ca="1" si="210"/>
        <v>2.599869499197188</v>
      </c>
      <c r="O517">
        <f t="shared" ca="1" si="211"/>
        <v>1.893455569869768E-4</v>
      </c>
      <c r="P517">
        <f t="shared" ca="1" si="212"/>
        <v>52430.226116603335</v>
      </c>
      <c r="Q517">
        <f t="shared" ca="1" si="213"/>
        <v>52430.226116605161</v>
      </c>
      <c r="R517">
        <f t="shared" ca="1" si="214"/>
        <v>2.2564412147138434E-12</v>
      </c>
      <c r="S517">
        <f t="shared" ca="1" si="233"/>
        <v>5.0000000192085281E-4</v>
      </c>
      <c r="T517">
        <f t="shared" ca="1" si="234"/>
        <v>1</v>
      </c>
      <c r="U517">
        <f t="shared" ca="1" si="215"/>
        <v>51800.26683766341</v>
      </c>
      <c r="V517">
        <f t="shared" ca="1" si="216"/>
        <v>269361.38755584974</v>
      </c>
      <c r="W517">
        <f t="shared" ca="1" si="217"/>
        <v>2.5998695052916441</v>
      </c>
      <c r="X517">
        <f t="shared" ca="1" si="218"/>
        <v>1.8933671400629237E-4</v>
      </c>
      <c r="Y517">
        <f t="shared" ca="1" si="219"/>
        <v>52432.645337663409</v>
      </c>
      <c r="Z517">
        <f t="shared" ca="1" si="220"/>
        <v>52432.645337665235</v>
      </c>
      <c r="AA517">
        <f t="shared" ca="1" si="221"/>
        <v>2.2562304480281055E-12</v>
      </c>
      <c r="AB517">
        <f t="shared" ca="1" si="222"/>
        <v>-5.0000000192085281E-4</v>
      </c>
      <c r="AC517">
        <f t="shared" ca="1" si="223"/>
        <v>1</v>
      </c>
      <c r="AD517">
        <f ca="1">IF(V32="Supercritical",L517,IF(V32="Subcritical",U517,IF(AND(T517=1,AC517=1),IF((((F517)*(L517)^2)/2+(G517)*(L517)^3/3+(ABS(K517)^2)/($I$5*MAX(((F517)+(G517)*(L517))*(L517),0.000001)))&gt;=(((F517)*(U517)^2)/2+(G517)*(U517)^3/3+(ABS(K517)^2)/($I$5*MAX(((F517)+(G517)*(U517))*(U517),0.000001))),L517,U517),IF(T517=1,L517,IF(AC517=1,U517,MAX($D$16,POWER((ABS(K517)^2)/($I$5*MAX(F517,0.1)^2),1/3)))))))</f>
        <v>51800.26683766341</v>
      </c>
      <c r="AE517">
        <f t="shared" ca="1" si="224"/>
        <v>52432.645337663409</v>
      </c>
      <c r="AF517">
        <f t="shared" ca="1" si="225"/>
        <v>52432.645337665235</v>
      </c>
      <c r="AI517">
        <v>0</v>
      </c>
      <c r="AJ517">
        <v>0</v>
      </c>
      <c r="AK517">
        <f t="shared" si="226"/>
        <v>0</v>
      </c>
      <c r="AL517">
        <f t="shared" si="235"/>
        <v>0</v>
      </c>
      <c r="AM517">
        <f t="shared" ca="1" si="227"/>
        <v>2.6560383008097266E-7</v>
      </c>
      <c r="AN517" t="str">
        <f t="shared" ca="1" si="228"/>
        <v>Subcritical</v>
      </c>
      <c r="AO517">
        <f t="shared" ca="1" si="229"/>
        <v>2.2562304480281055E-12</v>
      </c>
    </row>
    <row r="518" spans="1:41" x14ac:dyDescent="0.35">
      <c r="A518">
        <v>369</v>
      </c>
      <c r="B518">
        <v>367.89499999999998</v>
      </c>
      <c r="C518">
        <v>616266.97</v>
      </c>
      <c r="D518">
        <v>3097592.9470000002</v>
      </c>
      <c r="E518">
        <v>632.37800000000004</v>
      </c>
      <c r="F518">
        <v>5.2</v>
      </c>
      <c r="G518">
        <v>0</v>
      </c>
      <c r="H518" t="s">
        <v>186</v>
      </c>
      <c r="I518">
        <v>0.05</v>
      </c>
      <c r="J518">
        <f t="shared" si="230"/>
        <v>0.9989999999999668</v>
      </c>
      <c r="K518">
        <f t="shared" si="231"/>
        <v>51</v>
      </c>
      <c r="L518">
        <f t="shared" ca="1" si="232"/>
        <v>51797.847030358556</v>
      </c>
      <c r="M518">
        <f t="shared" ca="1" si="209"/>
        <v>269348.8045578645</v>
      </c>
      <c r="N518">
        <f t="shared" ca="1" si="210"/>
        <v>2.599869499195711</v>
      </c>
      <c r="O518">
        <f t="shared" ca="1" si="211"/>
        <v>1.8934555912997794E-4</v>
      </c>
      <c r="P518">
        <f t="shared" ca="1" si="212"/>
        <v>52430.225030358553</v>
      </c>
      <c r="Q518">
        <f t="shared" ca="1" si="213"/>
        <v>52430.22503036038</v>
      </c>
      <c r="R518">
        <f t="shared" ca="1" si="214"/>
        <v>2.2564412657920734E-12</v>
      </c>
      <c r="S518">
        <f t="shared" ca="1" si="233"/>
        <v>1.0862447816180065E-3</v>
      </c>
      <c r="T518">
        <f t="shared" ca="1" si="234"/>
        <v>0</v>
      </c>
      <c r="U518">
        <f t="shared" ca="1" si="215"/>
        <v>51800.26683766341</v>
      </c>
      <c r="V518">
        <f t="shared" ca="1" si="216"/>
        <v>269361.38755584974</v>
      </c>
      <c r="W518">
        <f t="shared" ca="1" si="217"/>
        <v>2.5998695052916441</v>
      </c>
      <c r="X518">
        <f t="shared" ca="1" si="218"/>
        <v>1.8933671400629237E-4</v>
      </c>
      <c r="Y518">
        <f t="shared" ca="1" si="219"/>
        <v>52432.644837663407</v>
      </c>
      <c r="Z518">
        <f t="shared" ca="1" si="220"/>
        <v>52432.644837665233</v>
      </c>
      <c r="AA518">
        <f t="shared" ca="1" si="221"/>
        <v>2.2562304480281055E-12</v>
      </c>
      <c r="AB518">
        <f t="shared" ca="1" si="222"/>
        <v>-4.999999946448952E-4</v>
      </c>
      <c r="AC518">
        <f t="shared" ca="1" si="223"/>
        <v>1</v>
      </c>
      <c r="AD518">
        <f ca="1">IF(V32="Supercritical",L518,IF(V32="Subcritical",U518,IF(AND(T518=1,AC518=1),IF((((F518)*(L518)^2)/2+(G518)*(L518)^3/3+(ABS(K518)^2)/($I$5*MAX(((F518)+(G518)*(L518))*(L518),0.000001)))&gt;=(((F518)*(U518)^2)/2+(G518)*(U518)^3/3+(ABS(K518)^2)/($I$5*MAX(((F518)+(G518)*(U518))*(U518),0.000001))),L518,U518),IF(T518=1,L518,IF(AC518=1,U518,MAX($D$16,POWER((ABS(K518)^2)/($I$5*MAX(F518,0.1)^2),1/3)))))))</f>
        <v>51800.26683766341</v>
      </c>
      <c r="AE518">
        <f t="shared" ca="1" si="224"/>
        <v>52432.644837663407</v>
      </c>
      <c r="AF518">
        <f t="shared" ca="1" si="225"/>
        <v>52432.644837665233</v>
      </c>
      <c r="AI518">
        <v>0</v>
      </c>
      <c r="AJ518">
        <v>0</v>
      </c>
      <c r="AK518">
        <f t="shared" si="226"/>
        <v>0</v>
      </c>
      <c r="AL518">
        <f t="shared" si="235"/>
        <v>0</v>
      </c>
      <c r="AM518">
        <f t="shared" ca="1" si="227"/>
        <v>2.6560383008097266E-7</v>
      </c>
      <c r="AN518" t="str">
        <f t="shared" ca="1" si="228"/>
        <v>Subcritical</v>
      </c>
      <c r="AO518">
        <f t="shared" ca="1" si="229"/>
        <v>2.2562304480281055E-12</v>
      </c>
    </row>
    <row r="519" spans="1:41" x14ac:dyDescent="0.35">
      <c r="A519">
        <v>370</v>
      </c>
      <c r="B519">
        <v>368.89499999999998</v>
      </c>
      <c r="C519">
        <v>616266.495</v>
      </c>
      <c r="D519">
        <v>3097592.0669999998</v>
      </c>
      <c r="E519">
        <v>632.37750000000005</v>
      </c>
      <c r="F519">
        <v>5.2</v>
      </c>
      <c r="G519">
        <v>0</v>
      </c>
      <c r="H519" t="s">
        <v>186</v>
      </c>
      <c r="I519">
        <v>7.8E-2</v>
      </c>
      <c r="J519">
        <f t="shared" si="230"/>
        <v>1</v>
      </c>
      <c r="K519">
        <f t="shared" si="231"/>
        <v>51</v>
      </c>
      <c r="L519">
        <f t="shared" ca="1" si="232"/>
        <v>51797.847030358556</v>
      </c>
      <c r="M519">
        <f t="shared" ca="1" si="209"/>
        <v>269348.8045578645</v>
      </c>
      <c r="N519">
        <f t="shared" ca="1" si="210"/>
        <v>2.599869499195711</v>
      </c>
      <c r="O519">
        <f t="shared" ca="1" si="211"/>
        <v>1.8934555912997794E-4</v>
      </c>
      <c r="P519">
        <f t="shared" ca="1" si="212"/>
        <v>52430.224530358559</v>
      </c>
      <c r="Q519">
        <f t="shared" ca="1" si="213"/>
        <v>52430.224530360385</v>
      </c>
      <c r="R519">
        <f t="shared" ca="1" si="214"/>
        <v>2.2564412657920734E-12</v>
      </c>
      <c r="S519">
        <f t="shared" ca="1" si="233"/>
        <v>4.999999946448952E-4</v>
      </c>
      <c r="T519">
        <f t="shared" ca="1" si="234"/>
        <v>1</v>
      </c>
      <c r="U519">
        <f t="shared" ca="1" si="215"/>
        <v>51800.26683766341</v>
      </c>
      <c r="V519">
        <f t="shared" ca="1" si="216"/>
        <v>269361.38755584974</v>
      </c>
      <c r="W519">
        <f t="shared" ca="1" si="217"/>
        <v>2.5998695052916441</v>
      </c>
      <c r="X519">
        <f t="shared" ca="1" si="218"/>
        <v>1.8933671400629237E-4</v>
      </c>
      <c r="Y519">
        <f t="shared" ca="1" si="219"/>
        <v>52432.644337663412</v>
      </c>
      <c r="Z519">
        <f t="shared" ca="1" si="220"/>
        <v>52432.644337665239</v>
      </c>
      <c r="AA519">
        <f t="shared" ca="1" si="221"/>
        <v>2.2562304480281055E-12</v>
      </c>
      <c r="AB519">
        <f t="shared" ca="1" si="222"/>
        <v>-5.0000000192085281E-4</v>
      </c>
      <c r="AC519">
        <f t="shared" ca="1" si="223"/>
        <v>1</v>
      </c>
      <c r="AD519">
        <f ca="1">IF(V32="Supercritical",L519,IF(V32="Subcritical",U519,IF(AND(T519=1,AC519=1),IF((((F519)*(L519)^2)/2+(G519)*(L519)^3/3+(ABS(K519)^2)/($I$5*MAX(((F519)+(G519)*(L519))*(L519),0.000001)))&gt;=(((F519)*(U519)^2)/2+(G519)*(U519)^3/3+(ABS(K519)^2)/($I$5*MAX(((F519)+(G519)*(U519))*(U519),0.000001))),L519,U519),IF(T519=1,L519,IF(AC519=1,U519,MAX($D$16,POWER((ABS(K519)^2)/($I$5*MAX(F519,0.1)^2),1/3)))))))</f>
        <v>51800.26683766341</v>
      </c>
      <c r="AE519">
        <f t="shared" ca="1" si="224"/>
        <v>52432.644337663412</v>
      </c>
      <c r="AF519">
        <f t="shared" ca="1" si="225"/>
        <v>52432.644337665239</v>
      </c>
      <c r="AI519">
        <v>0</v>
      </c>
      <c r="AJ519">
        <v>0</v>
      </c>
      <c r="AK519">
        <f t="shared" si="226"/>
        <v>0</v>
      </c>
      <c r="AL519">
        <f t="shared" si="235"/>
        <v>0</v>
      </c>
      <c r="AM519">
        <f t="shared" ca="1" si="227"/>
        <v>2.6560383008097266E-7</v>
      </c>
      <c r="AN519" t="str">
        <f t="shared" ca="1" si="228"/>
        <v>Subcritical</v>
      </c>
      <c r="AO519">
        <f t="shared" ca="1" si="229"/>
        <v>2.2562304480281055E-12</v>
      </c>
    </row>
    <row r="520" spans="1:41" x14ac:dyDescent="0.35">
      <c r="A520">
        <v>371</v>
      </c>
      <c r="B520">
        <v>369.89600000000002</v>
      </c>
      <c r="C520">
        <v>616266.02099999995</v>
      </c>
      <c r="D520">
        <v>3097591.1860000002</v>
      </c>
      <c r="E520">
        <v>632.37699999999995</v>
      </c>
      <c r="F520">
        <v>5.2</v>
      </c>
      <c r="G520">
        <v>0</v>
      </c>
      <c r="H520" t="s">
        <v>186</v>
      </c>
      <c r="I520">
        <v>2.7E-2</v>
      </c>
      <c r="J520">
        <f t="shared" si="230"/>
        <v>1.0010000000000332</v>
      </c>
      <c r="K520">
        <f t="shared" si="231"/>
        <v>51</v>
      </c>
      <c r="L520">
        <f t="shared" ca="1" si="232"/>
        <v>51797.846446995027</v>
      </c>
      <c r="M520">
        <f t="shared" ca="1" si="209"/>
        <v>269348.80152437417</v>
      </c>
      <c r="N520">
        <f t="shared" ca="1" si="210"/>
        <v>2.5998694991942415</v>
      </c>
      <c r="O520">
        <f t="shared" ca="1" si="211"/>
        <v>1.8934556126244675E-4</v>
      </c>
      <c r="P520">
        <f t="shared" ca="1" si="212"/>
        <v>52430.223446995027</v>
      </c>
      <c r="Q520">
        <f t="shared" ca="1" si="213"/>
        <v>52430.223446996853</v>
      </c>
      <c r="R520">
        <f t="shared" ca="1" si="214"/>
        <v>2.2564413166192669E-12</v>
      </c>
      <c r="S520">
        <f t="shared" ca="1" si="233"/>
        <v>1.0833635315066203E-3</v>
      </c>
      <c r="T520">
        <f t="shared" ca="1" si="234"/>
        <v>0</v>
      </c>
      <c r="U520">
        <f t="shared" ca="1" si="215"/>
        <v>51800.26683766341</v>
      </c>
      <c r="V520">
        <f t="shared" ca="1" si="216"/>
        <v>269361.38755584974</v>
      </c>
      <c r="W520">
        <f t="shared" ca="1" si="217"/>
        <v>2.5998695052916441</v>
      </c>
      <c r="X520">
        <f t="shared" ca="1" si="218"/>
        <v>1.8933671400629237E-4</v>
      </c>
      <c r="Y520">
        <f t="shared" ca="1" si="219"/>
        <v>52432.643837663411</v>
      </c>
      <c r="Z520">
        <f t="shared" ca="1" si="220"/>
        <v>52432.643837665237</v>
      </c>
      <c r="AA520">
        <f t="shared" ca="1" si="221"/>
        <v>2.2562304480281055E-12</v>
      </c>
      <c r="AB520">
        <f t="shared" ca="1" si="222"/>
        <v>-5.0000000192085281E-4</v>
      </c>
      <c r="AC520">
        <f t="shared" ca="1" si="223"/>
        <v>1</v>
      </c>
      <c r="AD520">
        <f ca="1">IF(V32="Supercritical",L520,IF(V32="Subcritical",U520,IF(AND(T520=1,AC520=1),IF((((F520)*(L520)^2)/2+(G520)*(L520)^3/3+(ABS(K520)^2)/($I$5*MAX(((F520)+(G520)*(L520))*(L520),0.000001)))&gt;=(((F520)*(U520)^2)/2+(G520)*(U520)^3/3+(ABS(K520)^2)/($I$5*MAX(((F520)+(G520)*(U520))*(U520),0.000001))),L520,U520),IF(T520=1,L520,IF(AC520=1,U520,MAX($D$16,POWER((ABS(K520)^2)/($I$5*MAX(F520,0.1)^2),1/3)))))))</f>
        <v>51800.26683766341</v>
      </c>
      <c r="AE520">
        <f t="shared" ca="1" si="224"/>
        <v>52432.643837663411</v>
      </c>
      <c r="AF520">
        <f t="shared" ca="1" si="225"/>
        <v>52432.643837665237</v>
      </c>
      <c r="AI520">
        <v>0</v>
      </c>
      <c r="AJ520">
        <v>0</v>
      </c>
      <c r="AK520">
        <f t="shared" si="226"/>
        <v>0</v>
      </c>
      <c r="AL520">
        <f t="shared" si="235"/>
        <v>0</v>
      </c>
      <c r="AM520">
        <f t="shared" ca="1" si="227"/>
        <v>2.6560383008097266E-7</v>
      </c>
      <c r="AN520" t="str">
        <f t="shared" ca="1" si="228"/>
        <v>Subcritical</v>
      </c>
      <c r="AO520">
        <f t="shared" ca="1" si="229"/>
        <v>2.2562304480281055E-12</v>
      </c>
    </row>
    <row r="521" spans="1:41" x14ac:dyDescent="0.35">
      <c r="A521">
        <v>372</v>
      </c>
      <c r="B521">
        <v>370.89499999999998</v>
      </c>
      <c r="C521">
        <v>616265.54700000002</v>
      </c>
      <c r="D521">
        <v>3097590.3059999999</v>
      </c>
      <c r="E521">
        <v>632.37649999999996</v>
      </c>
      <c r="F521">
        <v>5.2</v>
      </c>
      <c r="G521">
        <v>0</v>
      </c>
      <c r="H521" t="s">
        <v>186</v>
      </c>
      <c r="I521">
        <v>2.7E-2</v>
      </c>
      <c r="J521">
        <f t="shared" si="230"/>
        <v>0.9989999999999668</v>
      </c>
      <c r="K521">
        <f t="shared" si="231"/>
        <v>51</v>
      </c>
      <c r="L521">
        <f t="shared" ca="1" si="232"/>
        <v>51797.846446995027</v>
      </c>
      <c r="M521">
        <f t="shared" ca="1" si="209"/>
        <v>269348.80152437417</v>
      </c>
      <c r="N521">
        <f t="shared" ca="1" si="210"/>
        <v>2.5998694991942415</v>
      </c>
      <c r="O521">
        <f t="shared" ca="1" si="211"/>
        <v>1.8934556126244675E-4</v>
      </c>
      <c r="P521">
        <f t="shared" ca="1" si="212"/>
        <v>52430.222946995025</v>
      </c>
      <c r="Q521">
        <f t="shared" ca="1" si="213"/>
        <v>52430.222946996852</v>
      </c>
      <c r="R521">
        <f t="shared" ca="1" si="214"/>
        <v>2.2564413166192669E-12</v>
      </c>
      <c r="S521">
        <f t="shared" ca="1" si="233"/>
        <v>5.0000000192085281E-4</v>
      </c>
      <c r="T521">
        <f t="shared" ca="1" si="234"/>
        <v>1</v>
      </c>
      <c r="U521">
        <f t="shared" ca="1" si="215"/>
        <v>51800.26683766341</v>
      </c>
      <c r="V521">
        <f t="shared" ca="1" si="216"/>
        <v>269361.38755584974</v>
      </c>
      <c r="W521">
        <f t="shared" ca="1" si="217"/>
        <v>2.5998695052916441</v>
      </c>
      <c r="X521">
        <f t="shared" ca="1" si="218"/>
        <v>1.8933671400629237E-4</v>
      </c>
      <c r="Y521">
        <f t="shared" ca="1" si="219"/>
        <v>52432.643337663409</v>
      </c>
      <c r="Z521">
        <f t="shared" ca="1" si="220"/>
        <v>52432.643337665235</v>
      </c>
      <c r="AA521">
        <f t="shared" ca="1" si="221"/>
        <v>2.2562304480281055E-12</v>
      </c>
      <c r="AB521">
        <f t="shared" ca="1" si="222"/>
        <v>-5.0000000192085281E-4</v>
      </c>
      <c r="AC521">
        <f t="shared" ca="1" si="223"/>
        <v>1</v>
      </c>
      <c r="AD521">
        <f ca="1">IF(V32="Supercritical",L521,IF(V32="Subcritical",U521,IF(AND(T521=1,AC521=1),IF((((F521)*(L521)^2)/2+(G521)*(L521)^3/3+(ABS(K521)^2)/($I$5*MAX(((F521)+(G521)*(L521))*(L521),0.000001)))&gt;=(((F521)*(U521)^2)/2+(G521)*(U521)^3/3+(ABS(K521)^2)/($I$5*MAX(((F521)+(G521)*(U521))*(U521),0.000001))),L521,U521),IF(T521=1,L521,IF(AC521=1,U521,MAX($D$16,POWER((ABS(K521)^2)/($I$5*MAX(F521,0.1)^2),1/3)))))))</f>
        <v>51800.26683766341</v>
      </c>
      <c r="AE521">
        <f t="shared" ca="1" si="224"/>
        <v>52432.643337663409</v>
      </c>
      <c r="AF521">
        <f t="shared" ca="1" si="225"/>
        <v>52432.643337665235</v>
      </c>
      <c r="AI521">
        <v>0</v>
      </c>
      <c r="AJ521">
        <v>0</v>
      </c>
      <c r="AK521">
        <f t="shared" si="226"/>
        <v>0</v>
      </c>
      <c r="AL521">
        <f t="shared" si="235"/>
        <v>0</v>
      </c>
      <c r="AM521">
        <f t="shared" ca="1" si="227"/>
        <v>2.6560383008097266E-7</v>
      </c>
      <c r="AN521" t="str">
        <f t="shared" ca="1" si="228"/>
        <v>Subcritical</v>
      </c>
      <c r="AO521">
        <f t="shared" ca="1" si="229"/>
        <v>2.2562304480281055E-12</v>
      </c>
    </row>
    <row r="522" spans="1:41" x14ac:dyDescent="0.35">
      <c r="A522">
        <v>373</v>
      </c>
      <c r="B522">
        <v>371.89600000000002</v>
      </c>
      <c r="C522">
        <v>616265.07299999997</v>
      </c>
      <c r="D522">
        <v>3097589.4249999998</v>
      </c>
      <c r="E522">
        <v>632.37599999999998</v>
      </c>
      <c r="F522">
        <v>5.2</v>
      </c>
      <c r="G522">
        <v>0</v>
      </c>
      <c r="H522" t="s">
        <v>186</v>
      </c>
      <c r="I522">
        <v>7.8E-2</v>
      </c>
      <c r="J522">
        <f t="shared" si="230"/>
        <v>1.0010000000000332</v>
      </c>
      <c r="K522">
        <f t="shared" si="231"/>
        <v>51</v>
      </c>
      <c r="L522">
        <f t="shared" ca="1" si="232"/>
        <v>51797.845853593906</v>
      </c>
      <c r="M522">
        <f t="shared" ca="1" si="209"/>
        <v>269348.79843868833</v>
      </c>
      <c r="N522">
        <f t="shared" ca="1" si="210"/>
        <v>2.5998694991927467</v>
      </c>
      <c r="O522">
        <f t="shared" ca="1" si="211"/>
        <v>1.8934556343160779E-4</v>
      </c>
      <c r="P522">
        <f t="shared" ca="1" si="212"/>
        <v>52430.221853593903</v>
      </c>
      <c r="Q522">
        <f t="shared" ca="1" si="213"/>
        <v>52430.221853595729</v>
      </c>
      <c r="R522">
        <f t="shared" ca="1" si="214"/>
        <v>2.2564413683210154E-12</v>
      </c>
      <c r="S522">
        <f t="shared" ca="1" si="233"/>
        <v>1.0934011224890128E-3</v>
      </c>
      <c r="T522">
        <f t="shared" ca="1" si="234"/>
        <v>0</v>
      </c>
      <c r="U522">
        <f t="shared" ca="1" si="215"/>
        <v>51800.26683766341</v>
      </c>
      <c r="V522">
        <f t="shared" ca="1" si="216"/>
        <v>269361.38755584974</v>
      </c>
      <c r="W522">
        <f t="shared" ca="1" si="217"/>
        <v>2.5998695052916441</v>
      </c>
      <c r="X522">
        <f t="shared" ca="1" si="218"/>
        <v>1.8933671400629237E-4</v>
      </c>
      <c r="Y522">
        <f t="shared" ca="1" si="219"/>
        <v>52432.642837663407</v>
      </c>
      <c r="Z522">
        <f t="shared" ca="1" si="220"/>
        <v>52432.642837665233</v>
      </c>
      <c r="AA522">
        <f t="shared" ca="1" si="221"/>
        <v>2.2562304480281055E-12</v>
      </c>
      <c r="AB522">
        <f t="shared" ca="1" si="222"/>
        <v>-4.999999946448952E-4</v>
      </c>
      <c r="AC522">
        <f t="shared" ca="1" si="223"/>
        <v>1</v>
      </c>
      <c r="AD522">
        <f ca="1">IF(V32="Supercritical",L522,IF(V32="Subcritical",U522,IF(AND(T522=1,AC522=1),IF((((F522)*(L522)^2)/2+(G522)*(L522)^3/3+(ABS(K522)^2)/($I$5*MAX(((F522)+(G522)*(L522))*(L522),0.000001)))&gt;=(((F522)*(U522)^2)/2+(G522)*(U522)^3/3+(ABS(K522)^2)/($I$5*MAX(((F522)+(G522)*(U522))*(U522),0.000001))),L522,U522),IF(T522=1,L522,IF(AC522=1,U522,MAX($D$16,POWER((ABS(K522)^2)/($I$5*MAX(F522,0.1)^2),1/3)))))))</f>
        <v>51800.26683766341</v>
      </c>
      <c r="AE522">
        <f t="shared" ca="1" si="224"/>
        <v>52432.642837663407</v>
      </c>
      <c r="AF522">
        <f t="shared" ca="1" si="225"/>
        <v>52432.642837665233</v>
      </c>
      <c r="AI522">
        <v>0</v>
      </c>
      <c r="AJ522">
        <v>0</v>
      </c>
      <c r="AK522">
        <f t="shared" si="226"/>
        <v>0</v>
      </c>
      <c r="AL522">
        <f t="shared" si="235"/>
        <v>0</v>
      </c>
      <c r="AM522">
        <f t="shared" ca="1" si="227"/>
        <v>2.6560383008097266E-7</v>
      </c>
      <c r="AN522" t="str">
        <f t="shared" ca="1" si="228"/>
        <v>Subcritical</v>
      </c>
      <c r="AO522">
        <f t="shared" ca="1" si="229"/>
        <v>2.2562304480281055E-12</v>
      </c>
    </row>
    <row r="523" spans="1:41" x14ac:dyDescent="0.35">
      <c r="A523">
        <v>374</v>
      </c>
      <c r="B523">
        <v>372.89600000000002</v>
      </c>
      <c r="C523">
        <v>616264.598</v>
      </c>
      <c r="D523">
        <v>3097588.5449999999</v>
      </c>
      <c r="E523">
        <v>632.37549999999999</v>
      </c>
      <c r="F523">
        <v>5.2</v>
      </c>
      <c r="G523">
        <v>0</v>
      </c>
      <c r="H523" t="s">
        <v>186</v>
      </c>
      <c r="I523">
        <v>0.05</v>
      </c>
      <c r="J523">
        <f t="shared" si="230"/>
        <v>1</v>
      </c>
      <c r="K523">
        <f t="shared" si="231"/>
        <v>51</v>
      </c>
      <c r="L523">
        <f t="shared" ca="1" si="232"/>
        <v>51797.845853593906</v>
      </c>
      <c r="M523">
        <f t="shared" ca="1" si="209"/>
        <v>269348.79843868833</v>
      </c>
      <c r="N523">
        <f t="shared" ca="1" si="210"/>
        <v>2.5998694991927467</v>
      </c>
      <c r="O523">
        <f t="shared" ca="1" si="211"/>
        <v>1.8934556343160779E-4</v>
      </c>
      <c r="P523">
        <f t="shared" ca="1" si="212"/>
        <v>52430.221353593908</v>
      </c>
      <c r="Q523">
        <f t="shared" ca="1" si="213"/>
        <v>52430.221353595734</v>
      </c>
      <c r="R523">
        <f t="shared" ca="1" si="214"/>
        <v>2.2564413683210154E-12</v>
      </c>
      <c r="S523">
        <f t="shared" ca="1" si="233"/>
        <v>4.999999946448952E-4</v>
      </c>
      <c r="T523">
        <f t="shared" ca="1" si="234"/>
        <v>1</v>
      </c>
      <c r="U523">
        <f t="shared" ca="1" si="215"/>
        <v>51800.26683766341</v>
      </c>
      <c r="V523">
        <f t="shared" ca="1" si="216"/>
        <v>269361.38755584974</v>
      </c>
      <c r="W523">
        <f t="shared" ca="1" si="217"/>
        <v>2.5998695052916441</v>
      </c>
      <c r="X523">
        <f t="shared" ca="1" si="218"/>
        <v>1.8933671400629237E-4</v>
      </c>
      <c r="Y523">
        <f t="shared" ca="1" si="219"/>
        <v>52432.642337663412</v>
      </c>
      <c r="Z523">
        <f t="shared" ca="1" si="220"/>
        <v>52432.642337665238</v>
      </c>
      <c r="AA523">
        <f t="shared" ca="1" si="221"/>
        <v>2.2562304480281055E-12</v>
      </c>
      <c r="AB523">
        <f t="shared" ca="1" si="222"/>
        <v>-5.0000000192085281E-4</v>
      </c>
      <c r="AC523">
        <f t="shared" ca="1" si="223"/>
        <v>1</v>
      </c>
      <c r="AD523">
        <f ca="1">IF(V32="Supercritical",L523,IF(V32="Subcritical",U523,IF(AND(T523=1,AC523=1),IF((((F523)*(L523)^2)/2+(G523)*(L523)^3/3+(ABS(K523)^2)/($I$5*MAX(((F523)+(G523)*(L523))*(L523),0.000001)))&gt;=(((F523)*(U523)^2)/2+(G523)*(U523)^3/3+(ABS(K523)^2)/($I$5*MAX(((F523)+(G523)*(U523))*(U523),0.000001))),L523,U523),IF(T523=1,L523,IF(AC523=1,U523,MAX($D$16,POWER((ABS(K523)^2)/($I$5*MAX(F523,0.1)^2),1/3)))))))</f>
        <v>51800.26683766341</v>
      </c>
      <c r="AE523">
        <f t="shared" ca="1" si="224"/>
        <v>52432.642337663412</v>
      </c>
      <c r="AF523">
        <f t="shared" ca="1" si="225"/>
        <v>52432.642337665238</v>
      </c>
      <c r="AI523">
        <v>0</v>
      </c>
      <c r="AJ523">
        <v>0</v>
      </c>
      <c r="AK523">
        <f t="shared" si="226"/>
        <v>0</v>
      </c>
      <c r="AL523">
        <f t="shared" si="235"/>
        <v>0</v>
      </c>
      <c r="AM523">
        <f t="shared" ca="1" si="227"/>
        <v>2.6560383008097266E-7</v>
      </c>
      <c r="AN523" t="str">
        <f t="shared" ca="1" si="228"/>
        <v>Subcritical</v>
      </c>
      <c r="AO523">
        <f t="shared" ca="1" si="229"/>
        <v>2.2562304480281055E-12</v>
      </c>
    </row>
    <row r="524" spans="1:41" x14ac:dyDescent="0.35">
      <c r="A524">
        <v>375</v>
      </c>
      <c r="B524">
        <v>373.89499999999998</v>
      </c>
      <c r="C524">
        <v>616264.12399999995</v>
      </c>
      <c r="D524">
        <v>3097587.665</v>
      </c>
      <c r="E524">
        <v>632.375</v>
      </c>
      <c r="F524">
        <v>5.2</v>
      </c>
      <c r="G524">
        <v>0</v>
      </c>
      <c r="H524" t="s">
        <v>186</v>
      </c>
      <c r="I524">
        <v>2.7E-2</v>
      </c>
      <c r="J524">
        <f t="shared" si="230"/>
        <v>0.9989999999999668</v>
      </c>
      <c r="K524">
        <f t="shared" si="231"/>
        <v>51</v>
      </c>
      <c r="L524">
        <f t="shared" ca="1" si="232"/>
        <v>51797.845268542689</v>
      </c>
      <c r="M524">
        <f t="shared" ca="1" si="209"/>
        <v>269348.79539642198</v>
      </c>
      <c r="N524">
        <f t="shared" ca="1" si="210"/>
        <v>2.5998694991912723</v>
      </c>
      <c r="O524">
        <f t="shared" ca="1" si="211"/>
        <v>1.8934556557024604E-4</v>
      </c>
      <c r="P524">
        <f t="shared" ca="1" si="212"/>
        <v>52430.220268542689</v>
      </c>
      <c r="Q524">
        <f t="shared" ca="1" si="213"/>
        <v>52430.220268544515</v>
      </c>
      <c r="R524">
        <f t="shared" ca="1" si="214"/>
        <v>2.2564414192952585E-12</v>
      </c>
      <c r="S524">
        <f t="shared" ca="1" si="233"/>
        <v>1.0850512189790606E-3</v>
      </c>
      <c r="T524">
        <f t="shared" ca="1" si="234"/>
        <v>0</v>
      </c>
      <c r="U524">
        <f t="shared" ca="1" si="215"/>
        <v>51800.26683766341</v>
      </c>
      <c r="V524">
        <f t="shared" ca="1" si="216"/>
        <v>269361.38755584974</v>
      </c>
      <c r="W524">
        <f t="shared" ca="1" si="217"/>
        <v>2.5998695052916441</v>
      </c>
      <c r="X524">
        <f t="shared" ca="1" si="218"/>
        <v>1.8933671400629237E-4</v>
      </c>
      <c r="Y524">
        <f t="shared" ca="1" si="219"/>
        <v>52432.64183766341</v>
      </c>
      <c r="Z524">
        <f t="shared" ca="1" si="220"/>
        <v>52432.641837665236</v>
      </c>
      <c r="AA524">
        <f t="shared" ca="1" si="221"/>
        <v>2.2562304480281055E-12</v>
      </c>
      <c r="AB524">
        <f t="shared" ca="1" si="222"/>
        <v>-5.0000000192085281E-4</v>
      </c>
      <c r="AC524">
        <f t="shared" ca="1" si="223"/>
        <v>1</v>
      </c>
      <c r="AD524">
        <f ca="1">IF(V32="Supercritical",L524,IF(V32="Subcritical",U524,IF(AND(T524=1,AC524=1),IF((((F524)*(L524)^2)/2+(G524)*(L524)^3/3+(ABS(K524)^2)/($I$5*MAX(((F524)+(G524)*(L524))*(L524),0.000001)))&gt;=(((F524)*(U524)^2)/2+(G524)*(U524)^3/3+(ABS(K524)^2)/($I$5*MAX(((F524)+(G524)*(U524))*(U524),0.000001))),L524,U524),IF(T524=1,L524,IF(AC524=1,U524,MAX($D$16,POWER((ABS(K524)^2)/($I$5*MAX(F524,0.1)^2),1/3)))))))</f>
        <v>51800.26683766341</v>
      </c>
      <c r="AE524">
        <f t="shared" ca="1" si="224"/>
        <v>52432.64183766341</v>
      </c>
      <c r="AF524">
        <f t="shared" ca="1" si="225"/>
        <v>52432.641837665236</v>
      </c>
      <c r="AI524">
        <v>0</v>
      </c>
      <c r="AJ524">
        <v>0</v>
      </c>
      <c r="AK524">
        <f t="shared" si="226"/>
        <v>0</v>
      </c>
      <c r="AL524">
        <f t="shared" si="235"/>
        <v>0</v>
      </c>
      <c r="AM524">
        <f t="shared" ca="1" si="227"/>
        <v>2.6560383008097266E-7</v>
      </c>
      <c r="AN524" t="str">
        <f t="shared" ca="1" si="228"/>
        <v>Subcritical</v>
      </c>
      <c r="AO524">
        <f t="shared" ca="1" si="229"/>
        <v>2.2562304480281055E-12</v>
      </c>
    </row>
    <row r="525" spans="1:41" x14ac:dyDescent="0.35">
      <c r="A525">
        <v>376</v>
      </c>
      <c r="B525">
        <v>374.89600000000002</v>
      </c>
      <c r="C525">
        <v>616263.65</v>
      </c>
      <c r="D525">
        <v>3097586.784</v>
      </c>
      <c r="E525">
        <v>632.37450000000001</v>
      </c>
      <c r="F525">
        <v>5.2</v>
      </c>
      <c r="G525">
        <v>0</v>
      </c>
      <c r="H525" t="s">
        <v>186</v>
      </c>
      <c r="I525">
        <v>2.7E-2</v>
      </c>
      <c r="J525">
        <f t="shared" si="230"/>
        <v>1.0010000000000332</v>
      </c>
      <c r="K525">
        <f t="shared" si="231"/>
        <v>51</v>
      </c>
      <c r="L525">
        <f t="shared" ca="1" si="232"/>
        <v>51797.845268542689</v>
      </c>
      <c r="M525">
        <f t="shared" ca="1" si="209"/>
        <v>269348.79539642198</v>
      </c>
      <c r="N525">
        <f t="shared" ca="1" si="210"/>
        <v>2.5998694991912723</v>
      </c>
      <c r="O525">
        <f t="shared" ca="1" si="211"/>
        <v>1.8934556557024604E-4</v>
      </c>
      <c r="P525">
        <f t="shared" ca="1" si="212"/>
        <v>52430.219768542687</v>
      </c>
      <c r="Q525">
        <f t="shared" ca="1" si="213"/>
        <v>52430.219768544513</v>
      </c>
      <c r="R525">
        <f t="shared" ca="1" si="214"/>
        <v>2.2564414192952585E-12</v>
      </c>
      <c r="S525">
        <f t="shared" ca="1" si="233"/>
        <v>5.0000000192085281E-4</v>
      </c>
      <c r="T525">
        <f t="shared" ca="1" si="234"/>
        <v>1</v>
      </c>
      <c r="U525">
        <f t="shared" ca="1" si="215"/>
        <v>51800.26683766341</v>
      </c>
      <c r="V525">
        <f t="shared" ca="1" si="216"/>
        <v>269361.38755584974</v>
      </c>
      <c r="W525">
        <f t="shared" ca="1" si="217"/>
        <v>2.5998695052916441</v>
      </c>
      <c r="X525">
        <f t="shared" ca="1" si="218"/>
        <v>1.8933671400629237E-4</v>
      </c>
      <c r="Y525">
        <f t="shared" ca="1" si="219"/>
        <v>52432.641337663408</v>
      </c>
      <c r="Z525">
        <f t="shared" ca="1" si="220"/>
        <v>52432.641337665234</v>
      </c>
      <c r="AA525">
        <f t="shared" ca="1" si="221"/>
        <v>2.2562304480281055E-12</v>
      </c>
      <c r="AB525">
        <f t="shared" ca="1" si="222"/>
        <v>-4.999999946448952E-4</v>
      </c>
      <c r="AC525">
        <f t="shared" ca="1" si="223"/>
        <v>1</v>
      </c>
      <c r="AD525">
        <f ca="1">IF(V32="Supercritical",L525,IF(V32="Subcritical",U525,IF(AND(T525=1,AC525=1),IF((((F525)*(L525)^2)/2+(G525)*(L525)^3/3+(ABS(K525)^2)/($I$5*MAX(((F525)+(G525)*(L525))*(L525),0.000001)))&gt;=(((F525)*(U525)^2)/2+(G525)*(U525)^3/3+(ABS(K525)^2)/($I$5*MAX(((F525)+(G525)*(U525))*(U525),0.000001))),L525,U525),IF(T525=1,L525,IF(AC525=1,U525,MAX($D$16,POWER((ABS(K525)^2)/($I$5*MAX(F525,0.1)^2),1/3)))))))</f>
        <v>51800.26683766341</v>
      </c>
      <c r="AE525">
        <f t="shared" ca="1" si="224"/>
        <v>52432.641337663408</v>
      </c>
      <c r="AF525">
        <f t="shared" ca="1" si="225"/>
        <v>52432.641337665234</v>
      </c>
      <c r="AI525">
        <v>0</v>
      </c>
      <c r="AJ525">
        <v>0</v>
      </c>
      <c r="AK525">
        <f t="shared" si="226"/>
        <v>0</v>
      </c>
      <c r="AL525">
        <f t="shared" si="235"/>
        <v>0</v>
      </c>
      <c r="AM525">
        <f t="shared" ca="1" si="227"/>
        <v>2.6560383008097266E-7</v>
      </c>
      <c r="AN525" t="str">
        <f t="shared" ca="1" si="228"/>
        <v>Subcritical</v>
      </c>
      <c r="AO525">
        <f t="shared" ca="1" si="229"/>
        <v>2.2562304480281055E-12</v>
      </c>
    </row>
    <row r="526" spans="1:41" x14ac:dyDescent="0.35">
      <c r="A526">
        <v>377</v>
      </c>
      <c r="B526">
        <v>375.89499999999998</v>
      </c>
      <c r="C526">
        <v>616263.17599999998</v>
      </c>
      <c r="D526">
        <v>3097585.9040000001</v>
      </c>
      <c r="E526">
        <v>632.37400000000002</v>
      </c>
      <c r="F526">
        <v>5.2</v>
      </c>
      <c r="G526">
        <v>0</v>
      </c>
      <c r="H526" t="s">
        <v>186</v>
      </c>
      <c r="I526">
        <v>2.7E-2</v>
      </c>
      <c r="J526">
        <f t="shared" si="230"/>
        <v>0.9989999999999668</v>
      </c>
      <c r="K526">
        <f t="shared" si="231"/>
        <v>51</v>
      </c>
      <c r="L526">
        <f t="shared" ca="1" si="232"/>
        <v>51797.844670547456</v>
      </c>
      <c r="M526">
        <f t="shared" ca="1" si="209"/>
        <v>269348.79228684679</v>
      </c>
      <c r="N526">
        <f t="shared" ca="1" si="210"/>
        <v>2.599869499189766</v>
      </c>
      <c r="O526">
        <f t="shared" ca="1" si="211"/>
        <v>1.8934556775620077E-4</v>
      </c>
      <c r="P526">
        <f t="shared" ca="1" si="212"/>
        <v>52430.21867054746</v>
      </c>
      <c r="Q526">
        <f t="shared" ca="1" si="213"/>
        <v>52430.218670549286</v>
      </c>
      <c r="R526">
        <f t="shared" ca="1" si="214"/>
        <v>2.2564414713972852E-12</v>
      </c>
      <c r="S526">
        <f t="shared" ca="1" si="233"/>
        <v>1.0979952276102267E-3</v>
      </c>
      <c r="T526">
        <f t="shared" ca="1" si="234"/>
        <v>0</v>
      </c>
      <c r="U526">
        <f t="shared" ca="1" si="215"/>
        <v>51800.26683766341</v>
      </c>
      <c r="V526">
        <f t="shared" ca="1" si="216"/>
        <v>269361.38755584974</v>
      </c>
      <c r="W526">
        <f t="shared" ca="1" si="217"/>
        <v>2.5998695052916441</v>
      </c>
      <c r="X526">
        <f t="shared" ca="1" si="218"/>
        <v>1.8933671400629237E-4</v>
      </c>
      <c r="Y526">
        <f t="shared" ca="1" si="219"/>
        <v>52432.640837663414</v>
      </c>
      <c r="Z526">
        <f t="shared" ca="1" si="220"/>
        <v>52432.64083766524</v>
      </c>
      <c r="AA526">
        <f t="shared" ca="1" si="221"/>
        <v>2.2562304480281055E-12</v>
      </c>
      <c r="AB526">
        <f t="shared" ca="1" si="222"/>
        <v>-5.0000000192085281E-4</v>
      </c>
      <c r="AC526">
        <f t="shared" ca="1" si="223"/>
        <v>1</v>
      </c>
      <c r="AD526">
        <f ca="1">IF(V32="Supercritical",L526,IF(V32="Subcritical",U526,IF(AND(T526=1,AC526=1),IF((((F526)*(L526)^2)/2+(G526)*(L526)^3/3+(ABS(K526)^2)/($I$5*MAX(((F526)+(G526)*(L526))*(L526),0.000001)))&gt;=(((F526)*(U526)^2)/2+(G526)*(U526)^3/3+(ABS(K526)^2)/($I$5*MAX(((F526)+(G526)*(U526))*(U526),0.000001))),L526,U526),IF(T526=1,L526,IF(AC526=1,U526,MAX($D$16,POWER((ABS(K526)^2)/($I$5*MAX(F526,0.1)^2),1/3)))))))</f>
        <v>51800.26683766341</v>
      </c>
      <c r="AE526">
        <f t="shared" ca="1" si="224"/>
        <v>52432.640837663414</v>
      </c>
      <c r="AF526">
        <f t="shared" ca="1" si="225"/>
        <v>52432.64083766524</v>
      </c>
      <c r="AI526">
        <v>0</v>
      </c>
      <c r="AJ526">
        <v>0</v>
      </c>
      <c r="AK526">
        <f t="shared" si="226"/>
        <v>0</v>
      </c>
      <c r="AL526">
        <f t="shared" si="235"/>
        <v>0</v>
      </c>
      <c r="AM526">
        <f t="shared" ca="1" si="227"/>
        <v>2.6560383008097266E-7</v>
      </c>
      <c r="AN526" t="str">
        <f t="shared" ca="1" si="228"/>
        <v>Subcritical</v>
      </c>
      <c r="AO526">
        <f t="shared" ca="1" si="229"/>
        <v>2.2562304480281055E-12</v>
      </c>
    </row>
    <row r="527" spans="1:41" x14ac:dyDescent="0.35">
      <c r="A527">
        <v>378</v>
      </c>
      <c r="B527">
        <v>376.89499999999998</v>
      </c>
      <c r="C527">
        <v>616262.70200000005</v>
      </c>
      <c r="D527">
        <v>3097585.023</v>
      </c>
      <c r="E527">
        <v>632.37350000000004</v>
      </c>
      <c r="F527">
        <v>5.2</v>
      </c>
      <c r="G527">
        <v>0</v>
      </c>
      <c r="H527" t="s">
        <v>186</v>
      </c>
      <c r="I527">
        <v>7.8E-2</v>
      </c>
      <c r="J527">
        <f t="shared" si="230"/>
        <v>1</v>
      </c>
      <c r="K527">
        <f t="shared" si="231"/>
        <v>51</v>
      </c>
      <c r="L527">
        <f t="shared" ca="1" si="232"/>
        <v>51797.844670547456</v>
      </c>
      <c r="M527">
        <f t="shared" ca="1" si="209"/>
        <v>269348.79228684679</v>
      </c>
      <c r="N527">
        <f t="shared" ca="1" si="210"/>
        <v>2.599869499189766</v>
      </c>
      <c r="O527">
        <f t="shared" ca="1" si="211"/>
        <v>1.8934556775620077E-4</v>
      </c>
      <c r="P527">
        <f t="shared" ca="1" si="212"/>
        <v>52430.218170547458</v>
      </c>
      <c r="Q527">
        <f t="shared" ca="1" si="213"/>
        <v>52430.218170549284</v>
      </c>
      <c r="R527">
        <f t="shared" ca="1" si="214"/>
        <v>2.2564414713972852E-12</v>
      </c>
      <c r="S527">
        <f t="shared" ca="1" si="233"/>
        <v>5.0000000192085281E-4</v>
      </c>
      <c r="T527">
        <f t="shared" ca="1" si="234"/>
        <v>1</v>
      </c>
      <c r="U527">
        <f t="shared" ca="1" si="215"/>
        <v>51800.26683766341</v>
      </c>
      <c r="V527">
        <f t="shared" ca="1" si="216"/>
        <v>269361.38755584974</v>
      </c>
      <c r="W527">
        <f t="shared" ca="1" si="217"/>
        <v>2.5998695052916441</v>
      </c>
      <c r="X527">
        <f t="shared" ca="1" si="218"/>
        <v>1.8933671400629237E-4</v>
      </c>
      <c r="Y527">
        <f t="shared" ca="1" si="219"/>
        <v>52432.640337663412</v>
      </c>
      <c r="Z527">
        <f t="shared" ca="1" si="220"/>
        <v>52432.640337665238</v>
      </c>
      <c r="AA527">
        <f t="shared" ca="1" si="221"/>
        <v>2.2562304480281055E-12</v>
      </c>
      <c r="AB527">
        <f t="shared" ca="1" si="222"/>
        <v>-5.0000000192085281E-4</v>
      </c>
      <c r="AC527">
        <f t="shared" ca="1" si="223"/>
        <v>1</v>
      </c>
      <c r="AD527">
        <f ca="1">IF(V32="Supercritical",L527,IF(V32="Subcritical",U527,IF(AND(T527=1,AC527=1),IF((((F527)*(L527)^2)/2+(G527)*(L527)^3/3+(ABS(K527)^2)/($I$5*MAX(((F527)+(G527)*(L527))*(L527),0.000001)))&gt;=(((F527)*(U527)^2)/2+(G527)*(U527)^3/3+(ABS(K527)^2)/($I$5*MAX(((F527)+(G527)*(U527))*(U527),0.000001))),L527,U527),IF(T527=1,L527,IF(AC527=1,U527,MAX($D$16,POWER((ABS(K527)^2)/($I$5*MAX(F527,0.1)^2),1/3)))))))</f>
        <v>51800.26683766341</v>
      </c>
      <c r="AE527">
        <f t="shared" ca="1" si="224"/>
        <v>52432.640337663412</v>
      </c>
      <c r="AF527">
        <f t="shared" ca="1" si="225"/>
        <v>52432.640337665238</v>
      </c>
      <c r="AI527">
        <v>0</v>
      </c>
      <c r="AJ527">
        <v>0</v>
      </c>
      <c r="AK527">
        <f t="shared" si="226"/>
        <v>0</v>
      </c>
      <c r="AL527">
        <f t="shared" si="235"/>
        <v>0</v>
      </c>
      <c r="AM527">
        <f t="shared" ca="1" si="227"/>
        <v>2.6560383008097266E-7</v>
      </c>
      <c r="AN527" t="str">
        <f t="shared" ca="1" si="228"/>
        <v>Subcritical</v>
      </c>
      <c r="AO527">
        <f t="shared" ca="1" si="229"/>
        <v>2.2562304480281055E-12</v>
      </c>
    </row>
    <row r="528" spans="1:41" x14ac:dyDescent="0.35">
      <c r="A528">
        <v>379</v>
      </c>
      <c r="B528">
        <v>377.89499999999998</v>
      </c>
      <c r="C528">
        <v>616262.22699999996</v>
      </c>
      <c r="D528">
        <v>3097584.1430000002</v>
      </c>
      <c r="E528">
        <v>632.37300000000005</v>
      </c>
      <c r="F528">
        <v>5.2</v>
      </c>
      <c r="G528">
        <v>0</v>
      </c>
      <c r="H528" t="s">
        <v>186</v>
      </c>
      <c r="I528">
        <v>0.05</v>
      </c>
      <c r="J528">
        <f t="shared" si="230"/>
        <v>1</v>
      </c>
      <c r="K528">
        <f t="shared" si="231"/>
        <v>51</v>
      </c>
      <c r="L528">
        <f t="shared" ca="1" si="232"/>
        <v>51797.844140610578</v>
      </c>
      <c r="M528">
        <f t="shared" ca="1" si="209"/>
        <v>269348.78953117499</v>
      </c>
      <c r="N528">
        <f t="shared" ca="1" si="210"/>
        <v>2.5998694991884306</v>
      </c>
      <c r="O528">
        <f t="shared" ca="1" si="211"/>
        <v>1.8934556969337022E-4</v>
      </c>
      <c r="P528">
        <f t="shared" ca="1" si="212"/>
        <v>52430.217140610577</v>
      </c>
      <c r="Q528">
        <f t="shared" ca="1" si="213"/>
        <v>52430.217140612403</v>
      </c>
      <c r="R528">
        <f t="shared" ca="1" si="214"/>
        <v>2.2564415175695392E-12</v>
      </c>
      <c r="S528">
        <f t="shared" ca="1" si="233"/>
        <v>1.02993688051356E-3</v>
      </c>
      <c r="T528">
        <f t="shared" ca="1" si="234"/>
        <v>0</v>
      </c>
      <c r="U528">
        <f t="shared" ca="1" si="215"/>
        <v>51800.26683766341</v>
      </c>
      <c r="V528">
        <f t="shared" ca="1" si="216"/>
        <v>269361.38755584974</v>
      </c>
      <c r="W528">
        <f t="shared" ca="1" si="217"/>
        <v>2.5998695052916441</v>
      </c>
      <c r="X528">
        <f t="shared" ca="1" si="218"/>
        <v>1.8933671400629237E-4</v>
      </c>
      <c r="Y528">
        <f t="shared" ca="1" si="219"/>
        <v>52432.63983766341</v>
      </c>
      <c r="Z528">
        <f t="shared" ca="1" si="220"/>
        <v>52432.639837665236</v>
      </c>
      <c r="AA528">
        <f t="shared" ca="1" si="221"/>
        <v>2.2562304480281055E-12</v>
      </c>
      <c r="AB528">
        <f t="shared" ca="1" si="222"/>
        <v>-5.0000000192085281E-4</v>
      </c>
      <c r="AC528">
        <f t="shared" ca="1" si="223"/>
        <v>1</v>
      </c>
      <c r="AD528">
        <f ca="1">IF(V32="Supercritical",L528,IF(V32="Subcritical",U528,IF(AND(T528=1,AC528=1),IF((((F528)*(L528)^2)/2+(G528)*(L528)^3/3+(ABS(K528)^2)/($I$5*MAX(((F528)+(G528)*(L528))*(L528),0.000001)))&gt;=(((F528)*(U528)^2)/2+(G528)*(U528)^3/3+(ABS(K528)^2)/($I$5*MAX(((F528)+(G528)*(U528))*(U528),0.000001))),L528,U528),IF(T528=1,L528,IF(AC528=1,U528,MAX($D$16,POWER((ABS(K528)^2)/($I$5*MAX(F528,0.1)^2),1/3)))))))</f>
        <v>51800.26683766341</v>
      </c>
      <c r="AE528">
        <f t="shared" ca="1" si="224"/>
        <v>52432.63983766341</v>
      </c>
      <c r="AF528">
        <f t="shared" ca="1" si="225"/>
        <v>52432.639837665236</v>
      </c>
      <c r="AI528">
        <v>0</v>
      </c>
      <c r="AJ528">
        <v>0</v>
      </c>
      <c r="AK528">
        <f t="shared" si="226"/>
        <v>0</v>
      </c>
      <c r="AL528">
        <f t="shared" si="235"/>
        <v>0</v>
      </c>
      <c r="AM528">
        <f t="shared" ca="1" si="227"/>
        <v>2.6560383008097266E-7</v>
      </c>
      <c r="AN528" t="str">
        <f t="shared" ca="1" si="228"/>
        <v>Subcritical</v>
      </c>
      <c r="AO528">
        <f t="shared" ca="1" si="229"/>
        <v>2.2562304480281055E-12</v>
      </c>
    </row>
    <row r="529" spans="1:41" x14ac:dyDescent="0.35">
      <c r="A529">
        <v>380</v>
      </c>
      <c r="B529">
        <v>378.89499999999998</v>
      </c>
      <c r="C529">
        <v>616261.75300000003</v>
      </c>
      <c r="D529">
        <v>3097583.2629999998</v>
      </c>
      <c r="E529">
        <v>632.37249999999995</v>
      </c>
      <c r="F529">
        <v>5.2</v>
      </c>
      <c r="G529">
        <v>0</v>
      </c>
      <c r="H529" t="s">
        <v>186</v>
      </c>
      <c r="I529">
        <v>2.7E-2</v>
      </c>
      <c r="J529">
        <f t="shared" si="230"/>
        <v>1</v>
      </c>
      <c r="K529">
        <f t="shared" si="231"/>
        <v>51</v>
      </c>
      <c r="L529">
        <f t="shared" ca="1" si="232"/>
        <v>51797.844140610578</v>
      </c>
      <c r="M529">
        <f t="shared" ca="1" si="209"/>
        <v>269348.78953117499</v>
      </c>
      <c r="N529">
        <f t="shared" ca="1" si="210"/>
        <v>2.5998694991884306</v>
      </c>
      <c r="O529">
        <f t="shared" ca="1" si="211"/>
        <v>1.8934556969337022E-4</v>
      </c>
      <c r="P529">
        <f t="shared" ca="1" si="212"/>
        <v>52430.216640610575</v>
      </c>
      <c r="Q529">
        <f t="shared" ca="1" si="213"/>
        <v>52430.216640612402</v>
      </c>
      <c r="R529">
        <f t="shared" ca="1" si="214"/>
        <v>2.2564415175695392E-12</v>
      </c>
      <c r="S529">
        <f t="shared" ca="1" si="233"/>
        <v>5.0000000192085281E-4</v>
      </c>
      <c r="T529">
        <f t="shared" ca="1" si="234"/>
        <v>1</v>
      </c>
      <c r="U529">
        <f t="shared" ca="1" si="215"/>
        <v>51800.26683766341</v>
      </c>
      <c r="V529">
        <f t="shared" ca="1" si="216"/>
        <v>269361.38755584974</v>
      </c>
      <c r="W529">
        <f t="shared" ca="1" si="217"/>
        <v>2.5998695052916441</v>
      </c>
      <c r="X529">
        <f t="shared" ca="1" si="218"/>
        <v>1.8933671400629237E-4</v>
      </c>
      <c r="Y529">
        <f t="shared" ca="1" si="219"/>
        <v>52432.639337663408</v>
      </c>
      <c r="Z529">
        <f t="shared" ca="1" si="220"/>
        <v>52432.639337665234</v>
      </c>
      <c r="AA529">
        <f t="shared" ca="1" si="221"/>
        <v>2.2562304480281055E-12</v>
      </c>
      <c r="AB529">
        <f t="shared" ca="1" si="222"/>
        <v>-4.999999946448952E-4</v>
      </c>
      <c r="AC529">
        <f t="shared" ca="1" si="223"/>
        <v>1</v>
      </c>
      <c r="AD529">
        <f ca="1">IF(V32="Supercritical",L529,IF(V32="Subcritical",U529,IF(AND(T529=1,AC529=1),IF((((F529)*(L529)^2)/2+(G529)*(L529)^3/3+(ABS(K529)^2)/($I$5*MAX(((F529)+(G529)*(L529))*(L529),0.000001)))&gt;=(((F529)*(U529)^2)/2+(G529)*(U529)^3/3+(ABS(K529)^2)/($I$5*MAX(((F529)+(G529)*(U529))*(U529),0.000001))),L529,U529),IF(T529=1,L529,IF(AC529=1,U529,MAX($D$16,POWER((ABS(K529)^2)/($I$5*MAX(F529,0.1)^2),1/3)))))))</f>
        <v>51800.26683766341</v>
      </c>
      <c r="AE529">
        <f t="shared" ca="1" si="224"/>
        <v>52432.639337663408</v>
      </c>
      <c r="AF529">
        <f t="shared" ca="1" si="225"/>
        <v>52432.639337665234</v>
      </c>
      <c r="AI529">
        <v>0</v>
      </c>
      <c r="AJ529">
        <v>0</v>
      </c>
      <c r="AK529">
        <f t="shared" si="226"/>
        <v>0</v>
      </c>
      <c r="AL529">
        <f t="shared" si="235"/>
        <v>0</v>
      </c>
      <c r="AM529">
        <f t="shared" ca="1" si="227"/>
        <v>2.6560383008097266E-7</v>
      </c>
      <c r="AN529" t="str">
        <f t="shared" ca="1" si="228"/>
        <v>Subcritical</v>
      </c>
      <c r="AO529">
        <f t="shared" ca="1" si="229"/>
        <v>2.2562304480281055E-12</v>
      </c>
    </row>
    <row r="530" spans="1:41" x14ac:dyDescent="0.35">
      <c r="A530">
        <v>381</v>
      </c>
      <c r="B530">
        <v>379.89499999999998</v>
      </c>
      <c r="C530">
        <v>616261.27899999998</v>
      </c>
      <c r="D530">
        <v>3097582.3820000002</v>
      </c>
      <c r="E530">
        <v>632.37199999999996</v>
      </c>
      <c r="F530">
        <v>5.2</v>
      </c>
      <c r="G530">
        <v>0</v>
      </c>
      <c r="H530" t="s">
        <v>186</v>
      </c>
      <c r="I530">
        <v>2.7E-2</v>
      </c>
      <c r="J530">
        <f t="shared" si="230"/>
        <v>1</v>
      </c>
      <c r="K530">
        <f t="shared" si="231"/>
        <v>51</v>
      </c>
      <c r="L530">
        <f t="shared" ca="1" si="232"/>
        <v>51797.843837663619</v>
      </c>
      <c r="M530">
        <f t="shared" ca="1" si="209"/>
        <v>269348.78795585083</v>
      </c>
      <c r="N530">
        <f t="shared" ca="1" si="210"/>
        <v>2.5998694991876676</v>
      </c>
      <c r="O530">
        <f t="shared" ca="1" si="211"/>
        <v>1.8934557080078435E-4</v>
      </c>
      <c r="P530">
        <f t="shared" ca="1" si="212"/>
        <v>52430.215837663622</v>
      </c>
      <c r="Q530">
        <f t="shared" ca="1" si="213"/>
        <v>52430.215837665448</v>
      </c>
      <c r="R530">
        <f t="shared" ca="1" si="214"/>
        <v>2.2564415439646509E-12</v>
      </c>
      <c r="S530">
        <f t="shared" ca="1" si="233"/>
        <v>8.0294695362681523E-4</v>
      </c>
      <c r="T530">
        <f t="shared" ca="1" si="234"/>
        <v>1</v>
      </c>
      <c r="U530">
        <f t="shared" ca="1" si="215"/>
        <v>51800.26683766341</v>
      </c>
      <c r="V530">
        <f t="shared" ca="1" si="216"/>
        <v>269361.38755584974</v>
      </c>
      <c r="W530">
        <f t="shared" ca="1" si="217"/>
        <v>2.5998695052916441</v>
      </c>
      <c r="X530">
        <f t="shared" ca="1" si="218"/>
        <v>1.8933671400629237E-4</v>
      </c>
      <c r="Y530">
        <f t="shared" ca="1" si="219"/>
        <v>52432.638837663413</v>
      </c>
      <c r="Z530">
        <f t="shared" ca="1" si="220"/>
        <v>52432.638837665239</v>
      </c>
      <c r="AA530">
        <f t="shared" ca="1" si="221"/>
        <v>2.2562304480281055E-12</v>
      </c>
      <c r="AB530">
        <f t="shared" ca="1" si="222"/>
        <v>-5.0000000192085281E-4</v>
      </c>
      <c r="AC530">
        <f t="shared" ca="1" si="223"/>
        <v>1</v>
      </c>
      <c r="AD530">
        <f ca="1">IF(V32="Supercritical",L530,IF(V32="Subcritical",U530,IF(AND(T530=1,AC530=1),IF((((F530)*(L530)^2)/2+(G530)*(L530)^3/3+(ABS(K530)^2)/($I$5*MAX(((F530)+(G530)*(L530))*(L530),0.000001)))&gt;=(((F530)*(U530)^2)/2+(G530)*(U530)^3/3+(ABS(K530)^2)/($I$5*MAX(((F530)+(G530)*(U530))*(U530),0.000001))),L530,U530),IF(T530=1,L530,IF(AC530=1,U530,MAX($D$16,POWER((ABS(K530)^2)/($I$5*MAX(F530,0.1)^2),1/3)))))))</f>
        <v>51800.26683766341</v>
      </c>
      <c r="AE530">
        <f t="shared" ca="1" si="224"/>
        <v>52432.638837663413</v>
      </c>
      <c r="AF530">
        <f t="shared" ca="1" si="225"/>
        <v>52432.638837665239</v>
      </c>
      <c r="AI530">
        <v>0</v>
      </c>
      <c r="AJ530">
        <v>0</v>
      </c>
      <c r="AK530">
        <f t="shared" si="226"/>
        <v>0</v>
      </c>
      <c r="AL530">
        <f t="shared" si="235"/>
        <v>0</v>
      </c>
      <c r="AM530">
        <f t="shared" ca="1" si="227"/>
        <v>2.6560383008097266E-7</v>
      </c>
      <c r="AN530" t="str">
        <f t="shared" ca="1" si="228"/>
        <v>Subcritical</v>
      </c>
      <c r="AO530">
        <f t="shared" ca="1" si="229"/>
        <v>2.2562304480281055E-12</v>
      </c>
    </row>
    <row r="531" spans="1:41" x14ac:dyDescent="0.35">
      <c r="A531">
        <v>382</v>
      </c>
      <c r="B531">
        <v>380.89499999999998</v>
      </c>
      <c r="C531">
        <v>616260.80500000005</v>
      </c>
      <c r="D531">
        <v>3097581.5019999999</v>
      </c>
      <c r="E531">
        <v>632.37149999999997</v>
      </c>
      <c r="F531">
        <v>5.2</v>
      </c>
      <c r="G531">
        <v>0</v>
      </c>
      <c r="H531" t="s">
        <v>186</v>
      </c>
      <c r="I531">
        <v>2.3E-2</v>
      </c>
      <c r="J531">
        <f t="shared" si="230"/>
        <v>1</v>
      </c>
      <c r="K531">
        <f t="shared" si="231"/>
        <v>51</v>
      </c>
      <c r="L531">
        <f t="shared" ca="1" si="232"/>
        <v>51797.843837663619</v>
      </c>
      <c r="M531">
        <f t="shared" ca="1" si="209"/>
        <v>269348.78795585083</v>
      </c>
      <c r="N531">
        <f t="shared" ca="1" si="210"/>
        <v>2.5998694991876676</v>
      </c>
      <c r="O531">
        <f t="shared" ca="1" si="211"/>
        <v>1.8934557080078435E-4</v>
      </c>
      <c r="P531">
        <f t="shared" ca="1" si="212"/>
        <v>52430.21533766362</v>
      </c>
      <c r="Q531">
        <f t="shared" ca="1" si="213"/>
        <v>52430.215337665446</v>
      </c>
      <c r="R531">
        <f t="shared" ca="1" si="214"/>
        <v>2.2564415439646509E-12</v>
      </c>
      <c r="S531">
        <f t="shared" ca="1" si="233"/>
        <v>5.0000000192085281E-4</v>
      </c>
      <c r="T531">
        <f t="shared" ca="1" si="234"/>
        <v>1</v>
      </c>
      <c r="U531">
        <f t="shared" ca="1" si="215"/>
        <v>51800.26683766341</v>
      </c>
      <c r="V531">
        <f t="shared" ca="1" si="216"/>
        <v>269361.38755584974</v>
      </c>
      <c r="W531">
        <f t="shared" ca="1" si="217"/>
        <v>2.5998695052916441</v>
      </c>
      <c r="X531">
        <f t="shared" ca="1" si="218"/>
        <v>1.8933671400629237E-4</v>
      </c>
      <c r="Y531">
        <f t="shared" ca="1" si="219"/>
        <v>52432.638337663411</v>
      </c>
      <c r="Z531">
        <f t="shared" ca="1" si="220"/>
        <v>52432.638337665237</v>
      </c>
      <c r="AA531">
        <f t="shared" ca="1" si="221"/>
        <v>2.2562304480281055E-12</v>
      </c>
      <c r="AB531">
        <f t="shared" ca="1" si="222"/>
        <v>-5.0000000192085281E-4</v>
      </c>
      <c r="AC531">
        <f t="shared" ca="1" si="223"/>
        <v>1</v>
      </c>
      <c r="AD531">
        <f ca="1">IF(V32="Supercritical",L531,IF(V32="Subcritical",U531,IF(AND(T531=1,AC531=1),IF((((F531)*(L531)^2)/2+(G531)*(L531)^3/3+(ABS(K531)^2)/($I$5*MAX(((F531)+(G531)*(L531))*(L531),0.000001)))&gt;=(((F531)*(U531)^2)/2+(G531)*(U531)^3/3+(ABS(K531)^2)/($I$5*MAX(((F531)+(G531)*(U531))*(U531),0.000001))),L531,U531),IF(T531=1,L531,IF(AC531=1,U531,MAX($D$16,POWER((ABS(K531)^2)/($I$5*MAX(F531,0.1)^2),1/3)))))))</f>
        <v>51800.26683766341</v>
      </c>
      <c r="AE531">
        <f t="shared" ca="1" si="224"/>
        <v>52432.638337663411</v>
      </c>
      <c r="AF531">
        <f t="shared" ca="1" si="225"/>
        <v>52432.638337665237</v>
      </c>
      <c r="AI531">
        <v>0</v>
      </c>
      <c r="AJ531">
        <v>0</v>
      </c>
      <c r="AK531">
        <f t="shared" si="226"/>
        <v>0</v>
      </c>
      <c r="AL531">
        <f t="shared" si="235"/>
        <v>0</v>
      </c>
      <c r="AM531">
        <f t="shared" ca="1" si="227"/>
        <v>2.6560383008097266E-7</v>
      </c>
      <c r="AN531" t="str">
        <f t="shared" ca="1" si="228"/>
        <v>Subcritical</v>
      </c>
      <c r="AO531">
        <f t="shared" ca="1" si="229"/>
        <v>2.2562304480281055E-12</v>
      </c>
    </row>
    <row r="532" spans="1:41" x14ac:dyDescent="0.35">
      <c r="A532">
        <v>383</v>
      </c>
      <c r="B532">
        <v>381.89600000000002</v>
      </c>
      <c r="C532">
        <v>616260.32999999996</v>
      </c>
      <c r="D532">
        <v>3097580.6209999998</v>
      </c>
      <c r="E532">
        <v>632.37099999999998</v>
      </c>
      <c r="F532">
        <v>5.2</v>
      </c>
      <c r="G532">
        <v>0</v>
      </c>
      <c r="H532" t="s">
        <v>186</v>
      </c>
      <c r="I532">
        <v>2.3E-2</v>
      </c>
      <c r="J532">
        <f t="shared" si="230"/>
        <v>1.0010000000000332</v>
      </c>
      <c r="K532">
        <f t="shared" si="231"/>
        <v>51</v>
      </c>
      <c r="L532">
        <f t="shared" ca="1" si="232"/>
        <v>51797.843837663619</v>
      </c>
      <c r="M532">
        <f t="shared" ca="1" si="209"/>
        <v>269348.78795585083</v>
      </c>
      <c r="N532">
        <f t="shared" ca="1" si="210"/>
        <v>2.5998694991876676</v>
      </c>
      <c r="O532">
        <f t="shared" ca="1" si="211"/>
        <v>1.8934557080078435E-4</v>
      </c>
      <c r="P532">
        <f t="shared" ca="1" si="212"/>
        <v>52430.214837663618</v>
      </c>
      <c r="Q532">
        <f t="shared" ca="1" si="213"/>
        <v>52430.214837665444</v>
      </c>
      <c r="R532">
        <f t="shared" ca="1" si="214"/>
        <v>2.2564415439646509E-12</v>
      </c>
      <c r="S532">
        <f t="shared" ca="1" si="233"/>
        <v>5.0000000192085281E-4</v>
      </c>
      <c r="T532">
        <f t="shared" ca="1" si="234"/>
        <v>1</v>
      </c>
      <c r="U532">
        <f t="shared" ca="1" si="215"/>
        <v>51800.26683766341</v>
      </c>
      <c r="V532">
        <f t="shared" ca="1" si="216"/>
        <v>269361.38755584974</v>
      </c>
      <c r="W532">
        <f t="shared" ca="1" si="217"/>
        <v>2.5998695052916441</v>
      </c>
      <c r="X532">
        <f t="shared" ca="1" si="218"/>
        <v>1.8933671400629237E-4</v>
      </c>
      <c r="Y532">
        <f t="shared" ca="1" si="219"/>
        <v>52432.637837663409</v>
      </c>
      <c r="Z532">
        <f t="shared" ca="1" si="220"/>
        <v>52432.637837665236</v>
      </c>
      <c r="AA532">
        <f t="shared" ca="1" si="221"/>
        <v>2.2562304480281055E-12</v>
      </c>
      <c r="AB532">
        <f t="shared" ca="1" si="222"/>
        <v>-5.0000000192085281E-4</v>
      </c>
      <c r="AC532">
        <f t="shared" ca="1" si="223"/>
        <v>1</v>
      </c>
      <c r="AD532">
        <f ca="1">IF(V32="Supercritical",L532,IF(V32="Subcritical",U532,IF(AND(T532=1,AC532=1),IF((((F532)*(L532)^2)/2+(G532)*(L532)^3/3+(ABS(K532)^2)/($I$5*MAX(((F532)+(G532)*(L532))*(L532),0.000001)))&gt;=(((F532)*(U532)^2)/2+(G532)*(U532)^3/3+(ABS(K532)^2)/($I$5*MAX(((F532)+(G532)*(U532))*(U532),0.000001))),L532,U532),IF(T532=1,L532,IF(AC532=1,U532,MAX($D$16,POWER((ABS(K532)^2)/($I$5*MAX(F532,0.1)^2),1/3)))))))</f>
        <v>51800.26683766341</v>
      </c>
      <c r="AE532">
        <f t="shared" ca="1" si="224"/>
        <v>52432.637837663409</v>
      </c>
      <c r="AF532">
        <f t="shared" ca="1" si="225"/>
        <v>52432.637837665236</v>
      </c>
      <c r="AI532">
        <v>0</v>
      </c>
      <c r="AJ532">
        <v>0</v>
      </c>
      <c r="AK532">
        <f t="shared" si="226"/>
        <v>0</v>
      </c>
      <c r="AL532">
        <f t="shared" si="235"/>
        <v>0</v>
      </c>
      <c r="AM532">
        <f t="shared" ca="1" si="227"/>
        <v>2.6560383008097266E-7</v>
      </c>
      <c r="AN532" t="str">
        <f t="shared" ca="1" si="228"/>
        <v>Subcritical</v>
      </c>
      <c r="AO532">
        <f t="shared" ca="1" si="229"/>
        <v>2.2562304480281055E-12</v>
      </c>
    </row>
    <row r="533" spans="1:41" x14ac:dyDescent="0.35">
      <c r="A533">
        <v>384</v>
      </c>
      <c r="B533">
        <v>382.89499999999998</v>
      </c>
      <c r="C533">
        <v>616259.85600000003</v>
      </c>
      <c r="D533">
        <v>3097579.7409999999</v>
      </c>
      <c r="E533">
        <v>632.37049999999999</v>
      </c>
      <c r="F533">
        <v>5.2</v>
      </c>
      <c r="G533">
        <v>0</v>
      </c>
      <c r="H533" t="s">
        <v>186</v>
      </c>
      <c r="I533">
        <v>0</v>
      </c>
      <c r="J533">
        <f t="shared" si="230"/>
        <v>0.9989999999999668</v>
      </c>
      <c r="K533">
        <f t="shared" si="231"/>
        <v>51</v>
      </c>
      <c r="L533">
        <f t="shared" ca="1" si="232"/>
        <v>51797.843837663619</v>
      </c>
      <c r="M533">
        <f t="shared" ca="1" si="209"/>
        <v>269348.78795585083</v>
      </c>
      <c r="N533">
        <f t="shared" ca="1" si="210"/>
        <v>2.5998694991876676</v>
      </c>
      <c r="O533">
        <f t="shared" ca="1" si="211"/>
        <v>1.8934557080078435E-4</v>
      </c>
      <c r="P533">
        <f t="shared" ca="1" si="212"/>
        <v>52430.214337663616</v>
      </c>
      <c r="Q533">
        <f t="shared" ca="1" si="213"/>
        <v>52430.214337665442</v>
      </c>
      <c r="R533">
        <f t="shared" ca="1" si="214"/>
        <v>2.2564415439646509E-12</v>
      </c>
      <c r="S533">
        <f t="shared" ca="1" si="233"/>
        <v>5.0000000192085281E-4</v>
      </c>
      <c r="T533">
        <f t="shared" ca="1" si="234"/>
        <v>1</v>
      </c>
      <c r="U533">
        <f t="shared" ca="1" si="215"/>
        <v>51800.26683766341</v>
      </c>
      <c r="V533">
        <f t="shared" ca="1" si="216"/>
        <v>269361.38755584974</v>
      </c>
      <c r="W533">
        <f t="shared" ca="1" si="217"/>
        <v>2.5998695052916441</v>
      </c>
      <c r="X533">
        <f t="shared" ca="1" si="218"/>
        <v>1.8933671400629237E-4</v>
      </c>
      <c r="Y533">
        <f t="shared" ca="1" si="219"/>
        <v>52432.637337663407</v>
      </c>
      <c r="Z533">
        <f t="shared" ca="1" si="220"/>
        <v>52432.637337665234</v>
      </c>
      <c r="AA533">
        <f t="shared" ca="1" si="221"/>
        <v>2.2562304480281055E-12</v>
      </c>
      <c r="AB533">
        <f t="shared" ca="1" si="222"/>
        <v>-4.999999946448952E-4</v>
      </c>
      <c r="AC533">
        <f t="shared" ca="1" si="223"/>
        <v>1</v>
      </c>
      <c r="AD533">
        <f ca="1">IF(V32="Supercritical",L533,IF(V32="Subcritical",U533,IF(AND(T533=1,AC533=1),IF((((F533)*(L533)^2)/2+(G533)*(L533)^3/3+(ABS(K533)^2)/($I$5*MAX(((F533)+(G533)*(L533))*(L533),0.000001)))&gt;=(((F533)*(U533)^2)/2+(G533)*(U533)^3/3+(ABS(K533)^2)/($I$5*MAX(((F533)+(G533)*(U533))*(U533),0.000001))),L533,U533),IF(T533=1,L533,IF(AC533=1,U533,MAX($D$16,POWER((ABS(K533)^2)/($I$5*MAX(F533,0.1)^2),1/3)))))))</f>
        <v>51800.26683766341</v>
      </c>
      <c r="AE533">
        <f t="shared" ca="1" si="224"/>
        <v>52432.637337663407</v>
      </c>
      <c r="AF533">
        <f t="shared" ca="1" si="225"/>
        <v>52432.637337665234</v>
      </c>
      <c r="AI533">
        <v>0</v>
      </c>
      <c r="AJ533">
        <v>0</v>
      </c>
      <c r="AK533">
        <f t="shared" si="226"/>
        <v>0</v>
      </c>
      <c r="AL533">
        <f t="shared" si="235"/>
        <v>0</v>
      </c>
      <c r="AM533">
        <f t="shared" ca="1" si="227"/>
        <v>2.6560383008097266E-7</v>
      </c>
      <c r="AN533" t="str">
        <f t="shared" ca="1" si="228"/>
        <v>Subcritical</v>
      </c>
      <c r="AO533">
        <f t="shared" ca="1" si="229"/>
        <v>2.2562304480281055E-12</v>
      </c>
    </row>
    <row r="534" spans="1:41" x14ac:dyDescent="0.35">
      <c r="A534">
        <v>385</v>
      </c>
      <c r="B534">
        <v>383.89499999999998</v>
      </c>
      <c r="C534">
        <v>616259.38199999998</v>
      </c>
      <c r="D534">
        <v>3097578.861</v>
      </c>
      <c r="E534">
        <v>632.37</v>
      </c>
      <c r="F534">
        <v>5.2</v>
      </c>
      <c r="G534">
        <v>0</v>
      </c>
      <c r="H534" t="s">
        <v>186</v>
      </c>
      <c r="I534">
        <v>2.7E-2</v>
      </c>
      <c r="J534">
        <f t="shared" si="230"/>
        <v>1</v>
      </c>
      <c r="K534">
        <f t="shared" si="231"/>
        <v>51</v>
      </c>
      <c r="L534">
        <f t="shared" ca="1" si="232"/>
        <v>51797.843837663619</v>
      </c>
      <c r="M534">
        <f t="shared" ref="M534:M597" ca="1" si="236">((F534)+(G534)*(L534))*(L534)</f>
        <v>269348.78795585083</v>
      </c>
      <c r="N534">
        <f t="shared" ref="N534:N597" ca="1" si="237">(((F534)+(G534)*(L534))*(L534))/MAX((F534)+2*(L534)*SQRT(1+(G534)^2),0.000001)</f>
        <v>2.5998694991876676</v>
      </c>
      <c r="O534">
        <f t="shared" ref="O534:O597" ca="1" si="238">ABS(K534)/MAX(((F534)+(G534)*(L534))*(L534),0.000001)</f>
        <v>1.8934557080078435E-4</v>
      </c>
      <c r="P534">
        <f t="shared" ref="P534:P597" ca="1" si="239">E534+L534</f>
        <v>52430.213837663621</v>
      </c>
      <c r="Q534">
        <f t="shared" ref="Q534:Q597" ca="1" si="240">P534+((ABS(K534)/MAX(((F534)+(G534)*(L534))*(L534),0.000001))^2)/(2*$I$5)</f>
        <v>52430.213837665447</v>
      </c>
      <c r="R534">
        <f t="shared" ref="R534:R597" ca="1" si="241">((ABS(K534)*$D$6)/(MAX(((F534)+(G534)*(L534))*(L534),0.000001)*MAX(((((F534)+(G534)*(L534))*(L534))/MAX((F534)+2*(L534)*SQRT(1+(G534)^2),0.000001))^(2/3),0.000001)))^2</f>
        <v>2.2564415439646509E-12</v>
      </c>
      <c r="S534">
        <f t="shared" ca="1" si="233"/>
        <v>4.999999946448952E-4</v>
      </c>
      <c r="T534">
        <f t="shared" ca="1" si="234"/>
        <v>1</v>
      </c>
      <c r="U534">
        <f t="shared" ref="U534:U597" ca="1" si="242">IF($D$20=0,U535,IF(AC535=0,U535,IF(U534=0,U535,IF(ABS(AB534)&gt;$D$19,MAX($D$16,U534+((AB534)*$D$18*IF((ABS(ABS(K534)/MAX(((F534)+(G534)*(U534))*(U534),0.000001))/SQRT($I$5*MAX((((F534)+(G534)*(U534))*(U534))/MAX((F534)+2*(G534)*(U534),0.000001),0.000001)))&lt;1,1,-1))),U534))))</f>
        <v>51800.26683766341</v>
      </c>
      <c r="V534">
        <f t="shared" ref="V534:V597" ca="1" si="243">((F534)+(G534)*(U534))*(U534)</f>
        <v>269361.38755584974</v>
      </c>
      <c r="W534">
        <f t="shared" ref="W534:W597" ca="1" si="244">(((F534)+(G534)*(U534))*(U534))/MAX((F534)+2*(U534)*SQRT(1+(G534)^2),0.000001)</f>
        <v>2.5998695052916441</v>
      </c>
      <c r="X534">
        <f t="shared" ref="X534:X597" ca="1" si="245">ABS(K534)/MAX(((F534)+(G534)*(U534))*(U534),0.000001)</f>
        <v>1.8933671400629237E-4</v>
      </c>
      <c r="Y534">
        <f t="shared" ref="Y534:Y597" ca="1" si="246">E534+U534</f>
        <v>52432.636837663413</v>
      </c>
      <c r="Z534">
        <f t="shared" ref="Z534:Z597" ca="1" si="247">Y534+((ABS(K534)/MAX(((F534)+(G534)*(U534))*(U534),0.000001))^2)/(2*$I$5)</f>
        <v>52432.636837665239</v>
      </c>
      <c r="AA534">
        <f t="shared" ref="AA534:AA597" ca="1" si="248">((ABS(K534)*$D$6)/(MAX(((F534)+(G534)*(U534))*(U534),0.000001)*MAX(((((F534)+(G534)*(U534))*(U534))/MAX((F534)+2*(U534)*SQRT(1+(G534)^2),0.000001))^(2/3),0.000001)))^2</f>
        <v>2.2562304480281055E-12</v>
      </c>
      <c r="AB534">
        <f t="shared" ref="AB534:AB597" ca="1" si="249">Z535+(((AA534+AA535)/2)*J535)+(IF(X534&gt;X535,$D$8*((X534^2-X535^2)/(2*$I$5)),$D$9*((X535^2-X534^2)/(2*$I$5)))+($D$10*(ABS(I535)/90)*(MAX(X534^2,X535^2)/(2*$I$5))))-Z534</f>
        <v>-5.0000000192085281E-4</v>
      </c>
      <c r="AC534">
        <f t="shared" ref="AC534:AC597" ca="1" si="250">IF(ABS(AB534)&lt;$D$19,1,0)</f>
        <v>1</v>
      </c>
      <c r="AD534">
        <f ca="1">IF(V32="Supercritical",L534,IF(V32="Subcritical",U534,IF(AND(T534=1,AC534=1),IF((((F534)*(L534)^2)/2+(G534)*(L534)^3/3+(ABS(K534)^2)/($I$5*MAX(((F534)+(G534)*(L534))*(L534),0.000001)))&gt;=(((F534)*(U534)^2)/2+(G534)*(U534)^3/3+(ABS(K534)^2)/($I$5*MAX(((F534)+(G534)*(U534))*(U534),0.000001))),L534,U534),IF(T534=1,L534,IF(AC534=1,U534,MAX($D$16,POWER((ABS(K534)^2)/($I$5*MAX(F534,0.1)^2),1/3)))))))</f>
        <v>51800.26683766341</v>
      </c>
      <c r="AE534">
        <f t="shared" ref="AE534:AE597" ca="1" si="251">E534+AD534</f>
        <v>52432.636837663413</v>
      </c>
      <c r="AF534">
        <f t="shared" ref="AF534:AF597" ca="1" si="252">AE534+((ABS(K534)/MAX(((F534)+(G534)*(AD534))*(AD534),0.000001))^2)/(2*$I$5)</f>
        <v>52432.636837665239</v>
      </c>
      <c r="AI534">
        <v>0</v>
      </c>
      <c r="AJ534">
        <v>0</v>
      </c>
      <c r="AK534">
        <f t="shared" ref="AK534:AK597" si="253">AI534+AJ534</f>
        <v>0</v>
      </c>
      <c r="AL534">
        <f t="shared" si="235"/>
        <v>0</v>
      </c>
      <c r="AM534">
        <f t="shared" ref="AM534:AM597" ca="1" si="254">ABS(ABS(K534)/MAX(((F534)+(G534)*(AD534))*(AD534),0.000001))/SQRT($I$5*MAX((((F534)+(G534)*(AD534))*(AD534))/MAX((F534)+2*(G534)*(AD534),0.000001),0.000001))</f>
        <v>2.6560383008097266E-7</v>
      </c>
      <c r="AN534" t="str">
        <f t="shared" ref="AN534:AN597" ca="1" si="255">IF(AM534&lt;1,"Subcritical","Supercritical")</f>
        <v>Subcritical</v>
      </c>
      <c r="AO534">
        <f t="shared" ref="AO534:AO597" ca="1" si="256">((ABS(K534)*$D$6)/(MAX(((F534)+(G534)*(AD534))*(AD534),0.000001)*MAX(((((F534)+(G534)*(AD534))*(AD534))/MAX((F534)+2*(AD534)*SQRT(1+(G534)^2),0.000001))^(2/3),0.000001)))^2</f>
        <v>2.2562304480281055E-12</v>
      </c>
    </row>
    <row r="535" spans="1:41" x14ac:dyDescent="0.35">
      <c r="A535">
        <v>386</v>
      </c>
      <c r="B535">
        <v>384.89499999999998</v>
      </c>
      <c r="C535">
        <v>616258.90800000005</v>
      </c>
      <c r="D535">
        <v>3097577.98</v>
      </c>
      <c r="E535">
        <v>632.36950000000002</v>
      </c>
      <c r="F535">
        <v>5.2</v>
      </c>
      <c r="G535">
        <v>0</v>
      </c>
      <c r="H535" t="s">
        <v>186</v>
      </c>
      <c r="I535">
        <v>7.8E-2</v>
      </c>
      <c r="J535">
        <f t="shared" ref="J535:J598" si="257">B535-B534</f>
        <v>1</v>
      </c>
      <c r="K535">
        <f t="shared" ref="K535:K598" si="258">MAX(0,K534-AK534)</f>
        <v>51</v>
      </c>
      <c r="L535">
        <f t="shared" ref="L535:L598" ca="1" si="259">IF($D$20=0,L534,IF(T534=0,L534,IF(L535=0,L534,IF(ABS(S535)&gt;$D$19,MAX($D$16,L535+((S535)*$D$18*IF((ABS(ABS(K535)/MAX(((F535)+(G535)*(L535))*(L535),0.000001))/SQRT($I$5*MAX((((F535)+(G535)*(L535))*(L535))/MAX((F535)+2*(G535)*(L535),0.000001),0.000001)))&lt;1,1,-1))),L535))))</f>
        <v>51797.843837663619</v>
      </c>
      <c r="M535">
        <f t="shared" ca="1" si="236"/>
        <v>269348.78795585083</v>
      </c>
      <c r="N535">
        <f t="shared" ca="1" si="237"/>
        <v>2.5998694991876676</v>
      </c>
      <c r="O535">
        <f t="shared" ca="1" si="238"/>
        <v>1.8934557080078435E-4</v>
      </c>
      <c r="P535">
        <f t="shared" ca="1" si="239"/>
        <v>52430.213337663619</v>
      </c>
      <c r="Q535">
        <f t="shared" ca="1" si="240"/>
        <v>52430.213337665446</v>
      </c>
      <c r="R535">
        <f t="shared" ca="1" si="241"/>
        <v>2.2564415439646509E-12</v>
      </c>
      <c r="S535">
        <f t="shared" ref="S535:S598" ca="1" si="260">Q534-(((R534+R535)/2)*J535)-(IF(O534&gt;O535,$D$8*((O534^2-O535^2)/(2*$I$5)),$D$9*((O535^2-O534^2)/(2*$I$5)))+($D$10*(ABS(I535)/90)*(MAX(O534^2,O535^2)/(2*$I$5))))-Q535</f>
        <v>5.0000000192085281E-4</v>
      </c>
      <c r="T535">
        <f t="shared" ref="T535:T598" ca="1" si="261">IF(ABS(S535)&lt;$D$19,1,0)</f>
        <v>1</v>
      </c>
      <c r="U535">
        <f t="shared" ca="1" si="242"/>
        <v>51800.26683766341</v>
      </c>
      <c r="V535">
        <f t="shared" ca="1" si="243"/>
        <v>269361.38755584974</v>
      </c>
      <c r="W535">
        <f t="shared" ca="1" si="244"/>
        <v>2.5998695052916441</v>
      </c>
      <c r="X535">
        <f t="shared" ca="1" si="245"/>
        <v>1.8933671400629237E-4</v>
      </c>
      <c r="Y535">
        <f t="shared" ca="1" si="246"/>
        <v>52432.636337663411</v>
      </c>
      <c r="Z535">
        <f t="shared" ca="1" si="247"/>
        <v>52432.636337665237</v>
      </c>
      <c r="AA535">
        <f t="shared" ca="1" si="248"/>
        <v>2.2562304480281055E-12</v>
      </c>
      <c r="AB535">
        <f t="shared" ca="1" si="249"/>
        <v>-5.0000000192085281E-4</v>
      </c>
      <c r="AC535">
        <f t="shared" ca="1" si="250"/>
        <v>1</v>
      </c>
      <c r="AD535">
        <f ca="1">IF(V32="Supercritical",L535,IF(V32="Subcritical",U535,IF(AND(T535=1,AC535=1),IF((((F535)*(L535)^2)/2+(G535)*(L535)^3/3+(ABS(K535)^2)/($I$5*MAX(((F535)+(G535)*(L535))*(L535),0.000001)))&gt;=(((F535)*(U535)^2)/2+(G535)*(U535)^3/3+(ABS(K535)^2)/($I$5*MAX(((F535)+(G535)*(U535))*(U535),0.000001))),L535,U535),IF(T535=1,L535,IF(AC535=1,U535,MAX($D$16,POWER((ABS(K535)^2)/($I$5*MAX(F535,0.1)^2),1/3)))))))</f>
        <v>51800.26683766341</v>
      </c>
      <c r="AE535">
        <f t="shared" ca="1" si="251"/>
        <v>52432.636337663411</v>
      </c>
      <c r="AF535">
        <f t="shared" ca="1" si="252"/>
        <v>52432.636337665237</v>
      </c>
      <c r="AI535">
        <v>0</v>
      </c>
      <c r="AJ535">
        <v>0</v>
      </c>
      <c r="AK535">
        <f t="shared" si="253"/>
        <v>0</v>
      </c>
      <c r="AL535">
        <f t="shared" ref="AL535:AL598" si="262">AL534+AK535</f>
        <v>0</v>
      </c>
      <c r="AM535">
        <f t="shared" ca="1" si="254"/>
        <v>2.6560383008097266E-7</v>
      </c>
      <c r="AN535" t="str">
        <f t="shared" ca="1" si="255"/>
        <v>Subcritical</v>
      </c>
      <c r="AO535">
        <f t="shared" ca="1" si="256"/>
        <v>2.2562304480281055E-12</v>
      </c>
    </row>
    <row r="536" spans="1:41" x14ac:dyDescent="0.35">
      <c r="A536">
        <v>387</v>
      </c>
      <c r="B536">
        <v>385.89499999999998</v>
      </c>
      <c r="C536">
        <v>616258.43299999996</v>
      </c>
      <c r="D536">
        <v>3097577.1</v>
      </c>
      <c r="E536">
        <v>632.36900000000003</v>
      </c>
      <c r="F536">
        <v>5.2</v>
      </c>
      <c r="G536">
        <v>0</v>
      </c>
      <c r="H536" t="s">
        <v>186</v>
      </c>
      <c r="I536">
        <v>7.8E-2</v>
      </c>
      <c r="J536">
        <f t="shared" si="257"/>
        <v>1</v>
      </c>
      <c r="K536">
        <f t="shared" si="258"/>
        <v>51</v>
      </c>
      <c r="L536">
        <f t="shared" ca="1" si="259"/>
        <v>51797.843837663619</v>
      </c>
      <c r="M536">
        <f t="shared" ca="1" si="236"/>
        <v>269348.78795585083</v>
      </c>
      <c r="N536">
        <f t="shared" ca="1" si="237"/>
        <v>2.5998694991876676</v>
      </c>
      <c r="O536">
        <f t="shared" ca="1" si="238"/>
        <v>1.8934557080078435E-4</v>
      </c>
      <c r="P536">
        <f t="shared" ca="1" si="239"/>
        <v>52430.212837663617</v>
      </c>
      <c r="Q536">
        <f t="shared" ca="1" si="240"/>
        <v>52430.212837665444</v>
      </c>
      <c r="R536">
        <f t="shared" ca="1" si="241"/>
        <v>2.2564415439646509E-12</v>
      </c>
      <c r="S536">
        <f t="shared" ca="1" si="260"/>
        <v>5.0000000192085281E-4</v>
      </c>
      <c r="T536">
        <f t="shared" ca="1" si="261"/>
        <v>1</v>
      </c>
      <c r="U536">
        <f t="shared" ca="1" si="242"/>
        <v>51800.26683766341</v>
      </c>
      <c r="V536">
        <f t="shared" ca="1" si="243"/>
        <v>269361.38755584974</v>
      </c>
      <c r="W536">
        <f t="shared" ca="1" si="244"/>
        <v>2.5998695052916441</v>
      </c>
      <c r="X536">
        <f t="shared" ca="1" si="245"/>
        <v>1.8933671400629237E-4</v>
      </c>
      <c r="Y536">
        <f t="shared" ca="1" si="246"/>
        <v>52432.635837663409</v>
      </c>
      <c r="Z536">
        <f t="shared" ca="1" si="247"/>
        <v>52432.635837665235</v>
      </c>
      <c r="AA536">
        <f t="shared" ca="1" si="248"/>
        <v>2.2562304480281055E-12</v>
      </c>
      <c r="AB536">
        <f t="shared" ca="1" si="249"/>
        <v>-5.0000000192085281E-4</v>
      </c>
      <c r="AC536">
        <f t="shared" ca="1" si="250"/>
        <v>1</v>
      </c>
      <c r="AD536">
        <f ca="1">IF(V32="Supercritical",L536,IF(V32="Subcritical",U536,IF(AND(T536=1,AC536=1),IF((((F536)*(L536)^2)/2+(G536)*(L536)^3/3+(ABS(K536)^2)/($I$5*MAX(((F536)+(G536)*(L536))*(L536),0.000001)))&gt;=(((F536)*(U536)^2)/2+(G536)*(U536)^3/3+(ABS(K536)^2)/($I$5*MAX(((F536)+(G536)*(U536))*(U536),0.000001))),L536,U536),IF(T536=1,L536,IF(AC536=1,U536,MAX($D$16,POWER((ABS(K536)^2)/($I$5*MAX(F536,0.1)^2),1/3)))))))</f>
        <v>51800.26683766341</v>
      </c>
      <c r="AE536">
        <f t="shared" ca="1" si="251"/>
        <v>52432.635837663409</v>
      </c>
      <c r="AF536">
        <f t="shared" ca="1" si="252"/>
        <v>52432.635837665235</v>
      </c>
      <c r="AI536">
        <v>0</v>
      </c>
      <c r="AJ536">
        <v>0</v>
      </c>
      <c r="AK536">
        <f t="shared" si="253"/>
        <v>0</v>
      </c>
      <c r="AL536">
        <f t="shared" si="262"/>
        <v>0</v>
      </c>
      <c r="AM536">
        <f t="shared" ca="1" si="254"/>
        <v>2.6560383008097266E-7</v>
      </c>
      <c r="AN536" t="str">
        <f t="shared" ca="1" si="255"/>
        <v>Subcritical</v>
      </c>
      <c r="AO536">
        <f t="shared" ca="1" si="256"/>
        <v>2.2562304480281055E-12</v>
      </c>
    </row>
    <row r="537" spans="1:41" x14ac:dyDescent="0.35">
      <c r="A537">
        <v>388</v>
      </c>
      <c r="B537">
        <v>386.89600000000002</v>
      </c>
      <c r="C537">
        <v>616257.95900000003</v>
      </c>
      <c r="D537">
        <v>3097576.219</v>
      </c>
      <c r="E537">
        <v>632.36850000000004</v>
      </c>
      <c r="F537">
        <v>5.2</v>
      </c>
      <c r="G537">
        <v>0</v>
      </c>
      <c r="H537" t="s">
        <v>186</v>
      </c>
      <c r="I537">
        <v>2.7E-2</v>
      </c>
      <c r="J537">
        <f t="shared" si="257"/>
        <v>1.0010000000000332</v>
      </c>
      <c r="K537">
        <f t="shared" si="258"/>
        <v>51</v>
      </c>
      <c r="L537">
        <f t="shared" ca="1" si="259"/>
        <v>51797.843837663619</v>
      </c>
      <c r="M537">
        <f t="shared" ca="1" si="236"/>
        <v>269348.78795585083</v>
      </c>
      <c r="N537">
        <f t="shared" ca="1" si="237"/>
        <v>2.5998694991876676</v>
      </c>
      <c r="O537">
        <f t="shared" ca="1" si="238"/>
        <v>1.8934557080078435E-4</v>
      </c>
      <c r="P537">
        <f t="shared" ca="1" si="239"/>
        <v>52430.212337663615</v>
      </c>
      <c r="Q537">
        <f t="shared" ca="1" si="240"/>
        <v>52430.212337665442</v>
      </c>
      <c r="R537">
        <f t="shared" ca="1" si="241"/>
        <v>2.2564415439646509E-12</v>
      </c>
      <c r="S537">
        <f t="shared" ca="1" si="260"/>
        <v>5.0000000192085281E-4</v>
      </c>
      <c r="T537">
        <f t="shared" ca="1" si="261"/>
        <v>1</v>
      </c>
      <c r="U537">
        <f t="shared" ca="1" si="242"/>
        <v>51800.26683766341</v>
      </c>
      <c r="V537">
        <f t="shared" ca="1" si="243"/>
        <v>269361.38755584974</v>
      </c>
      <c r="W537">
        <f t="shared" ca="1" si="244"/>
        <v>2.5998695052916441</v>
      </c>
      <c r="X537">
        <f t="shared" ca="1" si="245"/>
        <v>1.8933671400629237E-4</v>
      </c>
      <c r="Y537">
        <f t="shared" ca="1" si="246"/>
        <v>52432.635337663407</v>
      </c>
      <c r="Z537">
        <f t="shared" ca="1" si="247"/>
        <v>52432.635337665233</v>
      </c>
      <c r="AA537">
        <f t="shared" ca="1" si="248"/>
        <v>2.2562304480281055E-12</v>
      </c>
      <c r="AB537">
        <f t="shared" ca="1" si="249"/>
        <v>-4.999999946448952E-4</v>
      </c>
      <c r="AC537">
        <f t="shared" ca="1" si="250"/>
        <v>1</v>
      </c>
      <c r="AD537">
        <f ca="1">IF(V32="Supercritical",L537,IF(V32="Subcritical",U537,IF(AND(T537=1,AC537=1),IF((((F537)*(L537)^2)/2+(G537)*(L537)^3/3+(ABS(K537)^2)/($I$5*MAX(((F537)+(G537)*(L537))*(L537),0.000001)))&gt;=(((F537)*(U537)^2)/2+(G537)*(U537)^3/3+(ABS(K537)^2)/($I$5*MAX(((F537)+(G537)*(U537))*(U537),0.000001))),L537,U537),IF(T537=1,L537,IF(AC537=1,U537,MAX($D$16,POWER((ABS(K537)^2)/($I$5*MAX(F537,0.1)^2),1/3)))))))</f>
        <v>51800.26683766341</v>
      </c>
      <c r="AE537">
        <f t="shared" ca="1" si="251"/>
        <v>52432.635337663407</v>
      </c>
      <c r="AF537">
        <f t="shared" ca="1" si="252"/>
        <v>52432.635337665233</v>
      </c>
      <c r="AI537">
        <v>0</v>
      </c>
      <c r="AJ537">
        <v>0</v>
      </c>
      <c r="AK537">
        <f t="shared" si="253"/>
        <v>0</v>
      </c>
      <c r="AL537">
        <f t="shared" si="262"/>
        <v>0</v>
      </c>
      <c r="AM537">
        <f t="shared" ca="1" si="254"/>
        <v>2.6560383008097266E-7</v>
      </c>
      <c r="AN537" t="str">
        <f t="shared" ca="1" si="255"/>
        <v>Subcritical</v>
      </c>
      <c r="AO537">
        <f t="shared" ca="1" si="256"/>
        <v>2.2562304480281055E-12</v>
      </c>
    </row>
    <row r="538" spans="1:41" x14ac:dyDescent="0.35">
      <c r="A538">
        <v>389</v>
      </c>
      <c r="B538">
        <v>387.89499999999998</v>
      </c>
      <c r="C538">
        <v>616257.48499999999</v>
      </c>
      <c r="D538">
        <v>3097575.3390000002</v>
      </c>
      <c r="E538">
        <v>632.36800000000005</v>
      </c>
      <c r="F538">
        <v>5.2</v>
      </c>
      <c r="G538">
        <v>0</v>
      </c>
      <c r="H538" t="s">
        <v>186</v>
      </c>
      <c r="I538">
        <v>0</v>
      </c>
      <c r="J538">
        <f t="shared" si="257"/>
        <v>0.9989999999999668</v>
      </c>
      <c r="K538">
        <f t="shared" si="258"/>
        <v>51</v>
      </c>
      <c r="L538">
        <f t="shared" ca="1" si="259"/>
        <v>51797.843837663619</v>
      </c>
      <c r="M538">
        <f t="shared" ca="1" si="236"/>
        <v>269348.78795585083</v>
      </c>
      <c r="N538">
        <f t="shared" ca="1" si="237"/>
        <v>2.5998694991876676</v>
      </c>
      <c r="O538">
        <f t="shared" ca="1" si="238"/>
        <v>1.8934557080078435E-4</v>
      </c>
      <c r="P538">
        <f t="shared" ca="1" si="239"/>
        <v>52430.211837663621</v>
      </c>
      <c r="Q538">
        <f t="shared" ca="1" si="240"/>
        <v>52430.211837665447</v>
      </c>
      <c r="R538">
        <f t="shared" ca="1" si="241"/>
        <v>2.2564415439646509E-12</v>
      </c>
      <c r="S538">
        <f t="shared" ca="1" si="260"/>
        <v>4.999999946448952E-4</v>
      </c>
      <c r="T538">
        <f t="shared" ca="1" si="261"/>
        <v>1</v>
      </c>
      <c r="U538">
        <f t="shared" ca="1" si="242"/>
        <v>51800.26683766341</v>
      </c>
      <c r="V538">
        <f t="shared" ca="1" si="243"/>
        <v>269361.38755584974</v>
      </c>
      <c r="W538">
        <f t="shared" ca="1" si="244"/>
        <v>2.5998695052916441</v>
      </c>
      <c r="X538">
        <f t="shared" ca="1" si="245"/>
        <v>1.8933671400629237E-4</v>
      </c>
      <c r="Y538">
        <f t="shared" ca="1" si="246"/>
        <v>52432.634837663412</v>
      </c>
      <c r="Z538">
        <f t="shared" ca="1" si="247"/>
        <v>52432.634837665239</v>
      </c>
      <c r="AA538">
        <f t="shared" ca="1" si="248"/>
        <v>2.2562304480281055E-12</v>
      </c>
      <c r="AB538">
        <f t="shared" ca="1" si="249"/>
        <v>-5.0000000192085281E-4</v>
      </c>
      <c r="AC538">
        <f t="shared" ca="1" si="250"/>
        <v>1</v>
      </c>
      <c r="AD538">
        <f ca="1">IF(V32="Supercritical",L538,IF(V32="Subcritical",U538,IF(AND(T538=1,AC538=1),IF((((F538)*(L538)^2)/2+(G538)*(L538)^3/3+(ABS(K538)^2)/($I$5*MAX(((F538)+(G538)*(L538))*(L538),0.000001)))&gt;=(((F538)*(U538)^2)/2+(G538)*(U538)^3/3+(ABS(K538)^2)/($I$5*MAX(((F538)+(G538)*(U538))*(U538),0.000001))),L538,U538),IF(T538=1,L538,IF(AC538=1,U538,MAX($D$16,POWER((ABS(K538)^2)/($I$5*MAX(F538,0.1)^2),1/3)))))))</f>
        <v>51800.26683766341</v>
      </c>
      <c r="AE538">
        <f t="shared" ca="1" si="251"/>
        <v>52432.634837663412</v>
      </c>
      <c r="AF538">
        <f t="shared" ca="1" si="252"/>
        <v>52432.634837665239</v>
      </c>
      <c r="AI538">
        <v>0</v>
      </c>
      <c r="AJ538">
        <v>0</v>
      </c>
      <c r="AK538">
        <f t="shared" si="253"/>
        <v>0</v>
      </c>
      <c r="AL538">
        <f t="shared" si="262"/>
        <v>0</v>
      </c>
      <c r="AM538">
        <f t="shared" ca="1" si="254"/>
        <v>2.6560383008097266E-7</v>
      </c>
      <c r="AN538" t="str">
        <f t="shared" ca="1" si="255"/>
        <v>Subcritical</v>
      </c>
      <c r="AO538">
        <f t="shared" ca="1" si="256"/>
        <v>2.2562304480281055E-12</v>
      </c>
    </row>
    <row r="539" spans="1:41" x14ac:dyDescent="0.35">
      <c r="A539">
        <v>390</v>
      </c>
      <c r="B539">
        <v>388.89499999999998</v>
      </c>
      <c r="C539">
        <v>616257.01100000006</v>
      </c>
      <c r="D539">
        <v>3097574.4589999998</v>
      </c>
      <c r="E539">
        <v>632.36749999999995</v>
      </c>
      <c r="F539">
        <v>5.2</v>
      </c>
      <c r="G539">
        <v>0</v>
      </c>
      <c r="H539" t="s">
        <v>186</v>
      </c>
      <c r="I539">
        <v>2.7E-2</v>
      </c>
      <c r="J539">
        <f t="shared" si="257"/>
        <v>1</v>
      </c>
      <c r="K539">
        <f t="shared" si="258"/>
        <v>51</v>
      </c>
      <c r="L539">
        <f t="shared" ca="1" si="259"/>
        <v>51797.843837663619</v>
      </c>
      <c r="M539">
        <f t="shared" ca="1" si="236"/>
        <v>269348.78795585083</v>
      </c>
      <c r="N539">
        <f t="shared" ca="1" si="237"/>
        <v>2.5998694991876676</v>
      </c>
      <c r="O539">
        <f t="shared" ca="1" si="238"/>
        <v>1.8934557080078435E-4</v>
      </c>
      <c r="P539">
        <f t="shared" ca="1" si="239"/>
        <v>52430.211337663619</v>
      </c>
      <c r="Q539">
        <f t="shared" ca="1" si="240"/>
        <v>52430.211337665445</v>
      </c>
      <c r="R539">
        <f t="shared" ca="1" si="241"/>
        <v>2.2564415439646509E-12</v>
      </c>
      <c r="S539">
        <f t="shared" ca="1" si="260"/>
        <v>5.0000000192085281E-4</v>
      </c>
      <c r="T539">
        <f t="shared" ca="1" si="261"/>
        <v>1</v>
      </c>
      <c r="U539">
        <f t="shared" ca="1" si="242"/>
        <v>51800.26683766341</v>
      </c>
      <c r="V539">
        <f t="shared" ca="1" si="243"/>
        <v>269361.38755584974</v>
      </c>
      <c r="W539">
        <f t="shared" ca="1" si="244"/>
        <v>2.5998695052916441</v>
      </c>
      <c r="X539">
        <f t="shared" ca="1" si="245"/>
        <v>1.8933671400629237E-4</v>
      </c>
      <c r="Y539">
        <f t="shared" ca="1" si="246"/>
        <v>52432.63433766341</v>
      </c>
      <c r="Z539">
        <f t="shared" ca="1" si="247"/>
        <v>52432.634337665237</v>
      </c>
      <c r="AA539">
        <f t="shared" ca="1" si="248"/>
        <v>2.2562304480281055E-12</v>
      </c>
      <c r="AB539">
        <f t="shared" ca="1" si="249"/>
        <v>-5.0000000192085281E-4</v>
      </c>
      <c r="AC539">
        <f t="shared" ca="1" si="250"/>
        <v>1</v>
      </c>
      <c r="AD539">
        <f ca="1">IF(V32="Supercritical",L539,IF(V32="Subcritical",U539,IF(AND(T539=1,AC539=1),IF((((F539)*(L539)^2)/2+(G539)*(L539)^3/3+(ABS(K539)^2)/($I$5*MAX(((F539)+(G539)*(L539))*(L539),0.000001)))&gt;=(((F539)*(U539)^2)/2+(G539)*(U539)^3/3+(ABS(K539)^2)/($I$5*MAX(((F539)+(G539)*(U539))*(U539),0.000001))),L539,U539),IF(T539=1,L539,IF(AC539=1,U539,MAX($D$16,POWER((ABS(K539)^2)/($I$5*MAX(F539,0.1)^2),1/3)))))))</f>
        <v>51800.26683766341</v>
      </c>
      <c r="AE539">
        <f t="shared" ca="1" si="251"/>
        <v>52432.63433766341</v>
      </c>
      <c r="AF539">
        <f t="shared" ca="1" si="252"/>
        <v>52432.634337665237</v>
      </c>
      <c r="AI539">
        <v>0</v>
      </c>
      <c r="AJ539">
        <v>0</v>
      </c>
      <c r="AK539">
        <f t="shared" si="253"/>
        <v>0</v>
      </c>
      <c r="AL539">
        <f t="shared" si="262"/>
        <v>0</v>
      </c>
      <c r="AM539">
        <f t="shared" ca="1" si="254"/>
        <v>2.6560383008097266E-7</v>
      </c>
      <c r="AN539" t="str">
        <f t="shared" ca="1" si="255"/>
        <v>Subcritical</v>
      </c>
      <c r="AO539">
        <f t="shared" ca="1" si="256"/>
        <v>2.2562304480281055E-12</v>
      </c>
    </row>
    <row r="540" spans="1:41" x14ac:dyDescent="0.35">
      <c r="A540">
        <v>391</v>
      </c>
      <c r="B540">
        <v>389.89499999999998</v>
      </c>
      <c r="C540">
        <v>616256.53700000001</v>
      </c>
      <c r="D540">
        <v>3097573.5780000002</v>
      </c>
      <c r="E540">
        <v>632.36699999999996</v>
      </c>
      <c r="F540">
        <v>5.2</v>
      </c>
      <c r="G540">
        <v>0</v>
      </c>
      <c r="H540" t="s">
        <v>186</v>
      </c>
      <c r="I540">
        <v>7.8E-2</v>
      </c>
      <c r="J540">
        <f t="shared" si="257"/>
        <v>1</v>
      </c>
      <c r="K540">
        <f t="shared" si="258"/>
        <v>51</v>
      </c>
      <c r="L540">
        <f t="shared" ca="1" si="259"/>
        <v>51797.843837663619</v>
      </c>
      <c r="M540">
        <f t="shared" ca="1" si="236"/>
        <v>269348.78795585083</v>
      </c>
      <c r="N540">
        <f t="shared" ca="1" si="237"/>
        <v>2.5998694991876676</v>
      </c>
      <c r="O540">
        <f t="shared" ca="1" si="238"/>
        <v>1.8934557080078435E-4</v>
      </c>
      <c r="P540">
        <f t="shared" ca="1" si="239"/>
        <v>52430.210837663617</v>
      </c>
      <c r="Q540">
        <f t="shared" ca="1" si="240"/>
        <v>52430.210837665443</v>
      </c>
      <c r="R540">
        <f t="shared" ca="1" si="241"/>
        <v>2.2564415439646509E-12</v>
      </c>
      <c r="S540">
        <f t="shared" ca="1" si="260"/>
        <v>5.0000000192085281E-4</v>
      </c>
      <c r="T540">
        <f t="shared" ca="1" si="261"/>
        <v>1</v>
      </c>
      <c r="U540">
        <f t="shared" ca="1" si="242"/>
        <v>51800.26683766341</v>
      </c>
      <c r="V540">
        <f t="shared" ca="1" si="243"/>
        <v>269361.38755584974</v>
      </c>
      <c r="W540">
        <f t="shared" ca="1" si="244"/>
        <v>2.5998695052916441</v>
      </c>
      <c r="X540">
        <f t="shared" ca="1" si="245"/>
        <v>1.8933671400629237E-4</v>
      </c>
      <c r="Y540">
        <f t="shared" ca="1" si="246"/>
        <v>52432.633837663408</v>
      </c>
      <c r="Z540">
        <f t="shared" ca="1" si="247"/>
        <v>52432.633837665235</v>
      </c>
      <c r="AA540">
        <f t="shared" ca="1" si="248"/>
        <v>2.2562304480281055E-12</v>
      </c>
      <c r="AB540">
        <f t="shared" ca="1" si="249"/>
        <v>-5.0000000192085281E-4</v>
      </c>
      <c r="AC540">
        <f t="shared" ca="1" si="250"/>
        <v>1</v>
      </c>
      <c r="AD540">
        <f ca="1">IF(V32="Supercritical",L540,IF(V32="Subcritical",U540,IF(AND(T540=1,AC540=1),IF((((F540)*(L540)^2)/2+(G540)*(L540)^3/3+(ABS(K540)^2)/($I$5*MAX(((F540)+(G540)*(L540))*(L540),0.000001)))&gt;=(((F540)*(U540)^2)/2+(G540)*(U540)^3/3+(ABS(K540)^2)/($I$5*MAX(((F540)+(G540)*(U540))*(U540),0.000001))),L540,U540),IF(T540=1,L540,IF(AC540=1,U540,MAX($D$16,POWER((ABS(K540)^2)/($I$5*MAX(F540,0.1)^2),1/3)))))))</f>
        <v>51800.26683766341</v>
      </c>
      <c r="AE540">
        <f t="shared" ca="1" si="251"/>
        <v>52432.633837663408</v>
      </c>
      <c r="AF540">
        <f t="shared" ca="1" si="252"/>
        <v>52432.633837665235</v>
      </c>
      <c r="AI540">
        <v>0</v>
      </c>
      <c r="AJ540">
        <v>0</v>
      </c>
      <c r="AK540">
        <f t="shared" si="253"/>
        <v>0</v>
      </c>
      <c r="AL540">
        <f t="shared" si="262"/>
        <v>0</v>
      </c>
      <c r="AM540">
        <f t="shared" ca="1" si="254"/>
        <v>2.6560383008097266E-7</v>
      </c>
      <c r="AN540" t="str">
        <f t="shared" ca="1" si="255"/>
        <v>Subcritical</v>
      </c>
      <c r="AO540">
        <f t="shared" ca="1" si="256"/>
        <v>2.2562304480281055E-12</v>
      </c>
    </row>
    <row r="541" spans="1:41" x14ac:dyDescent="0.35">
      <c r="A541">
        <v>392</v>
      </c>
      <c r="B541">
        <v>390.89499999999998</v>
      </c>
      <c r="C541">
        <v>616256.06200000003</v>
      </c>
      <c r="D541">
        <v>3097572.6979999999</v>
      </c>
      <c r="E541">
        <v>632.36649999999997</v>
      </c>
      <c r="F541">
        <v>5.2</v>
      </c>
      <c r="G541">
        <v>0</v>
      </c>
      <c r="H541" t="s">
        <v>186</v>
      </c>
      <c r="I541">
        <v>7.8E-2</v>
      </c>
      <c r="J541">
        <f t="shared" si="257"/>
        <v>1</v>
      </c>
      <c r="K541">
        <f t="shared" si="258"/>
        <v>51</v>
      </c>
      <c r="L541">
        <f t="shared" ca="1" si="259"/>
        <v>51797.843837663619</v>
      </c>
      <c r="M541">
        <f t="shared" ca="1" si="236"/>
        <v>269348.78795585083</v>
      </c>
      <c r="N541">
        <f t="shared" ca="1" si="237"/>
        <v>2.5998694991876676</v>
      </c>
      <c r="O541">
        <f t="shared" ca="1" si="238"/>
        <v>1.8934557080078435E-4</v>
      </c>
      <c r="P541">
        <f t="shared" ca="1" si="239"/>
        <v>52430.210337663615</v>
      </c>
      <c r="Q541">
        <f t="shared" ca="1" si="240"/>
        <v>52430.210337665441</v>
      </c>
      <c r="R541">
        <f t="shared" ca="1" si="241"/>
        <v>2.2564415439646509E-12</v>
      </c>
      <c r="S541">
        <f t="shared" ca="1" si="260"/>
        <v>5.0000000192085281E-4</v>
      </c>
      <c r="T541">
        <f t="shared" ca="1" si="261"/>
        <v>1</v>
      </c>
      <c r="U541">
        <f t="shared" ca="1" si="242"/>
        <v>51800.26683766341</v>
      </c>
      <c r="V541">
        <f t="shared" ca="1" si="243"/>
        <v>269361.38755584974</v>
      </c>
      <c r="W541">
        <f t="shared" ca="1" si="244"/>
        <v>2.5998695052916441</v>
      </c>
      <c r="X541">
        <f t="shared" ca="1" si="245"/>
        <v>1.8933671400629237E-4</v>
      </c>
      <c r="Y541">
        <f t="shared" ca="1" si="246"/>
        <v>52432.633337663407</v>
      </c>
      <c r="Z541">
        <f t="shared" ca="1" si="247"/>
        <v>52432.633337665233</v>
      </c>
      <c r="AA541">
        <f t="shared" ca="1" si="248"/>
        <v>2.2562304480281055E-12</v>
      </c>
      <c r="AB541">
        <f t="shared" ca="1" si="249"/>
        <v>-4.999999946448952E-4</v>
      </c>
      <c r="AC541">
        <f t="shared" ca="1" si="250"/>
        <v>1</v>
      </c>
      <c r="AD541">
        <f ca="1">IF(V32="Supercritical",L541,IF(V32="Subcritical",U541,IF(AND(T541=1,AC541=1),IF((((F541)*(L541)^2)/2+(G541)*(L541)^3/3+(ABS(K541)^2)/($I$5*MAX(((F541)+(G541)*(L541))*(L541),0.000001)))&gt;=(((F541)*(U541)^2)/2+(G541)*(U541)^3/3+(ABS(K541)^2)/($I$5*MAX(((F541)+(G541)*(U541))*(U541),0.000001))),L541,U541),IF(T541=1,L541,IF(AC541=1,U541,MAX($D$16,POWER((ABS(K541)^2)/($I$5*MAX(F541,0.1)^2),1/3)))))))</f>
        <v>51800.26683766341</v>
      </c>
      <c r="AE541">
        <f t="shared" ca="1" si="251"/>
        <v>52432.633337663407</v>
      </c>
      <c r="AF541">
        <f t="shared" ca="1" si="252"/>
        <v>52432.633337665233</v>
      </c>
      <c r="AI541">
        <v>0</v>
      </c>
      <c r="AJ541">
        <v>0</v>
      </c>
      <c r="AK541">
        <f t="shared" si="253"/>
        <v>0</v>
      </c>
      <c r="AL541">
        <f t="shared" si="262"/>
        <v>0</v>
      </c>
      <c r="AM541">
        <f t="shared" ca="1" si="254"/>
        <v>2.6560383008097266E-7</v>
      </c>
      <c r="AN541" t="str">
        <f t="shared" ca="1" si="255"/>
        <v>Subcritical</v>
      </c>
      <c r="AO541">
        <f t="shared" ca="1" si="256"/>
        <v>2.2562304480281055E-12</v>
      </c>
    </row>
    <row r="542" spans="1:41" x14ac:dyDescent="0.35">
      <c r="A542">
        <v>393</v>
      </c>
      <c r="B542">
        <v>391.89600000000002</v>
      </c>
      <c r="C542">
        <v>616255.58799999999</v>
      </c>
      <c r="D542">
        <v>3097571.8169999998</v>
      </c>
      <c r="E542">
        <v>632.36599999999999</v>
      </c>
      <c r="F542">
        <v>5.2</v>
      </c>
      <c r="G542">
        <v>0</v>
      </c>
      <c r="H542" t="s">
        <v>186</v>
      </c>
      <c r="I542">
        <v>2.7E-2</v>
      </c>
      <c r="J542">
        <f t="shared" si="257"/>
        <v>1.0010000000000332</v>
      </c>
      <c r="K542">
        <f t="shared" si="258"/>
        <v>51</v>
      </c>
      <c r="L542">
        <f t="shared" ca="1" si="259"/>
        <v>51797.843837663619</v>
      </c>
      <c r="M542">
        <f t="shared" ca="1" si="236"/>
        <v>269348.78795585083</v>
      </c>
      <c r="N542">
        <f t="shared" ca="1" si="237"/>
        <v>2.5998694991876676</v>
      </c>
      <c r="O542">
        <f t="shared" ca="1" si="238"/>
        <v>1.8934557080078435E-4</v>
      </c>
      <c r="P542">
        <f t="shared" ca="1" si="239"/>
        <v>52430.20983766362</v>
      </c>
      <c r="Q542">
        <f t="shared" ca="1" si="240"/>
        <v>52430.209837665447</v>
      </c>
      <c r="R542">
        <f t="shared" ca="1" si="241"/>
        <v>2.2564415439646509E-12</v>
      </c>
      <c r="S542">
        <f t="shared" ca="1" si="260"/>
        <v>4.999999946448952E-4</v>
      </c>
      <c r="T542">
        <f t="shared" ca="1" si="261"/>
        <v>1</v>
      </c>
      <c r="U542">
        <f t="shared" ca="1" si="242"/>
        <v>51800.26683766341</v>
      </c>
      <c r="V542">
        <f t="shared" ca="1" si="243"/>
        <v>269361.38755584974</v>
      </c>
      <c r="W542">
        <f t="shared" ca="1" si="244"/>
        <v>2.5998695052916441</v>
      </c>
      <c r="X542">
        <f t="shared" ca="1" si="245"/>
        <v>1.8933671400629237E-4</v>
      </c>
      <c r="Y542">
        <f t="shared" ca="1" si="246"/>
        <v>52432.632837663412</v>
      </c>
      <c r="Z542">
        <f t="shared" ca="1" si="247"/>
        <v>52432.632837665238</v>
      </c>
      <c r="AA542">
        <f t="shared" ca="1" si="248"/>
        <v>2.2562304480281055E-12</v>
      </c>
      <c r="AB542">
        <f t="shared" ca="1" si="249"/>
        <v>-5.0000000192085281E-4</v>
      </c>
      <c r="AC542">
        <f t="shared" ca="1" si="250"/>
        <v>1</v>
      </c>
      <c r="AD542">
        <f ca="1">IF(V32="Supercritical",L542,IF(V32="Subcritical",U542,IF(AND(T542=1,AC542=1),IF((((F542)*(L542)^2)/2+(G542)*(L542)^3/3+(ABS(K542)^2)/($I$5*MAX(((F542)+(G542)*(L542))*(L542),0.000001)))&gt;=(((F542)*(U542)^2)/2+(G542)*(U542)^3/3+(ABS(K542)^2)/($I$5*MAX(((F542)+(G542)*(U542))*(U542),0.000001))),L542,U542),IF(T542=1,L542,IF(AC542=1,U542,MAX($D$16,POWER((ABS(K542)^2)/($I$5*MAX(F542,0.1)^2),1/3)))))))</f>
        <v>51800.26683766341</v>
      </c>
      <c r="AE542">
        <f t="shared" ca="1" si="251"/>
        <v>52432.632837663412</v>
      </c>
      <c r="AF542">
        <f t="shared" ca="1" si="252"/>
        <v>52432.632837665238</v>
      </c>
      <c r="AI542">
        <v>0</v>
      </c>
      <c r="AJ542">
        <v>0</v>
      </c>
      <c r="AK542">
        <f t="shared" si="253"/>
        <v>0</v>
      </c>
      <c r="AL542">
        <f t="shared" si="262"/>
        <v>0</v>
      </c>
      <c r="AM542">
        <f t="shared" ca="1" si="254"/>
        <v>2.6560383008097266E-7</v>
      </c>
      <c r="AN542" t="str">
        <f t="shared" ca="1" si="255"/>
        <v>Subcritical</v>
      </c>
      <c r="AO542">
        <f t="shared" ca="1" si="256"/>
        <v>2.2562304480281055E-12</v>
      </c>
    </row>
    <row r="543" spans="1:41" x14ac:dyDescent="0.35">
      <c r="A543">
        <v>394</v>
      </c>
      <c r="B543">
        <v>392.89499999999998</v>
      </c>
      <c r="C543">
        <v>616255.11399999994</v>
      </c>
      <c r="D543">
        <v>3097570.9369999999</v>
      </c>
      <c r="E543">
        <v>632.3655</v>
      </c>
      <c r="F543">
        <v>5.2</v>
      </c>
      <c r="G543">
        <v>0</v>
      </c>
      <c r="H543" t="s">
        <v>186</v>
      </c>
      <c r="I543">
        <v>0</v>
      </c>
      <c r="J543">
        <f t="shared" si="257"/>
        <v>0.9989999999999668</v>
      </c>
      <c r="K543">
        <f t="shared" si="258"/>
        <v>51</v>
      </c>
      <c r="L543">
        <f t="shared" ca="1" si="259"/>
        <v>51797.843837663619</v>
      </c>
      <c r="M543">
        <f t="shared" ca="1" si="236"/>
        <v>269348.78795585083</v>
      </c>
      <c r="N543">
        <f t="shared" ca="1" si="237"/>
        <v>2.5998694991876676</v>
      </c>
      <c r="O543">
        <f t="shared" ca="1" si="238"/>
        <v>1.8934557080078435E-4</v>
      </c>
      <c r="P543">
        <f t="shared" ca="1" si="239"/>
        <v>52430.209337663618</v>
      </c>
      <c r="Q543">
        <f t="shared" ca="1" si="240"/>
        <v>52430.209337665445</v>
      </c>
      <c r="R543">
        <f t="shared" ca="1" si="241"/>
        <v>2.2564415439646509E-12</v>
      </c>
      <c r="S543">
        <f t="shared" ca="1" si="260"/>
        <v>5.0000000192085281E-4</v>
      </c>
      <c r="T543">
        <f t="shared" ca="1" si="261"/>
        <v>1</v>
      </c>
      <c r="U543">
        <f t="shared" ca="1" si="242"/>
        <v>51800.26683766341</v>
      </c>
      <c r="V543">
        <f t="shared" ca="1" si="243"/>
        <v>269361.38755584974</v>
      </c>
      <c r="W543">
        <f t="shared" ca="1" si="244"/>
        <v>2.5998695052916441</v>
      </c>
      <c r="X543">
        <f t="shared" ca="1" si="245"/>
        <v>1.8933671400629237E-4</v>
      </c>
      <c r="Y543">
        <f t="shared" ca="1" si="246"/>
        <v>52432.63233766341</v>
      </c>
      <c r="Z543">
        <f t="shared" ca="1" si="247"/>
        <v>52432.632337665236</v>
      </c>
      <c r="AA543">
        <f t="shared" ca="1" si="248"/>
        <v>2.2562304480281055E-12</v>
      </c>
      <c r="AB543">
        <f t="shared" ca="1" si="249"/>
        <v>-5.0000000192085281E-4</v>
      </c>
      <c r="AC543">
        <f t="shared" ca="1" si="250"/>
        <v>1</v>
      </c>
      <c r="AD543">
        <f ca="1">IF(V32="Supercritical",L543,IF(V32="Subcritical",U543,IF(AND(T543=1,AC543=1),IF((((F543)*(L543)^2)/2+(G543)*(L543)^3/3+(ABS(K543)^2)/($I$5*MAX(((F543)+(G543)*(L543))*(L543),0.000001)))&gt;=(((F543)*(U543)^2)/2+(G543)*(U543)^3/3+(ABS(K543)^2)/($I$5*MAX(((F543)+(G543)*(U543))*(U543),0.000001))),L543,U543),IF(T543=1,L543,IF(AC543=1,U543,MAX($D$16,POWER((ABS(K543)^2)/($I$5*MAX(F543,0.1)^2),1/3)))))))</f>
        <v>51800.26683766341</v>
      </c>
      <c r="AE543">
        <f t="shared" ca="1" si="251"/>
        <v>52432.63233766341</v>
      </c>
      <c r="AF543">
        <f t="shared" ca="1" si="252"/>
        <v>52432.632337665236</v>
      </c>
      <c r="AI543">
        <v>0</v>
      </c>
      <c r="AJ543">
        <v>0</v>
      </c>
      <c r="AK543">
        <f t="shared" si="253"/>
        <v>0</v>
      </c>
      <c r="AL543">
        <f t="shared" si="262"/>
        <v>0</v>
      </c>
      <c r="AM543">
        <f t="shared" ca="1" si="254"/>
        <v>2.6560383008097266E-7</v>
      </c>
      <c r="AN543" t="str">
        <f t="shared" ca="1" si="255"/>
        <v>Subcritical</v>
      </c>
      <c r="AO543">
        <f t="shared" ca="1" si="256"/>
        <v>2.2562304480281055E-12</v>
      </c>
    </row>
    <row r="544" spans="1:41" x14ac:dyDescent="0.35">
      <c r="A544">
        <v>395</v>
      </c>
      <c r="B544">
        <v>393.89499999999998</v>
      </c>
      <c r="C544">
        <v>616254.64</v>
      </c>
      <c r="D544">
        <v>3097570.057</v>
      </c>
      <c r="E544">
        <v>632.36500000000001</v>
      </c>
      <c r="F544">
        <v>5.2</v>
      </c>
      <c r="G544">
        <v>0</v>
      </c>
      <c r="H544" t="s">
        <v>186</v>
      </c>
      <c r="I544">
        <v>2.3E-2</v>
      </c>
      <c r="J544">
        <f t="shared" si="257"/>
        <v>1</v>
      </c>
      <c r="K544">
        <f t="shared" si="258"/>
        <v>51</v>
      </c>
      <c r="L544">
        <f t="shared" ca="1" si="259"/>
        <v>51797.843837663619</v>
      </c>
      <c r="M544">
        <f t="shared" ca="1" si="236"/>
        <v>269348.78795585083</v>
      </c>
      <c r="N544">
        <f t="shared" ca="1" si="237"/>
        <v>2.5998694991876676</v>
      </c>
      <c r="O544">
        <f t="shared" ca="1" si="238"/>
        <v>1.8934557080078435E-4</v>
      </c>
      <c r="P544">
        <f t="shared" ca="1" si="239"/>
        <v>52430.208837663617</v>
      </c>
      <c r="Q544">
        <f t="shared" ca="1" si="240"/>
        <v>52430.208837665443</v>
      </c>
      <c r="R544">
        <f t="shared" ca="1" si="241"/>
        <v>2.2564415439646509E-12</v>
      </c>
      <c r="S544">
        <f t="shared" ca="1" si="260"/>
        <v>5.0000000192085281E-4</v>
      </c>
      <c r="T544">
        <f t="shared" ca="1" si="261"/>
        <v>1</v>
      </c>
      <c r="U544">
        <f t="shared" ca="1" si="242"/>
        <v>51800.26683766341</v>
      </c>
      <c r="V544">
        <f t="shared" ca="1" si="243"/>
        <v>269361.38755584974</v>
      </c>
      <c r="W544">
        <f t="shared" ca="1" si="244"/>
        <v>2.5998695052916441</v>
      </c>
      <c r="X544">
        <f t="shared" ca="1" si="245"/>
        <v>1.8933671400629237E-4</v>
      </c>
      <c r="Y544">
        <f t="shared" ca="1" si="246"/>
        <v>52432.631837663408</v>
      </c>
      <c r="Z544">
        <f t="shared" ca="1" si="247"/>
        <v>52432.631837665234</v>
      </c>
      <c r="AA544">
        <f t="shared" ca="1" si="248"/>
        <v>2.2562304480281055E-12</v>
      </c>
      <c r="AB544">
        <f t="shared" ca="1" si="249"/>
        <v>-4.999999946448952E-4</v>
      </c>
      <c r="AC544">
        <f t="shared" ca="1" si="250"/>
        <v>1</v>
      </c>
      <c r="AD544">
        <f ca="1">IF(V32="Supercritical",L544,IF(V32="Subcritical",U544,IF(AND(T544=1,AC544=1),IF((((F544)*(L544)^2)/2+(G544)*(L544)^3/3+(ABS(K544)^2)/($I$5*MAX(((F544)+(G544)*(L544))*(L544),0.000001)))&gt;=(((F544)*(U544)^2)/2+(G544)*(U544)^3/3+(ABS(K544)^2)/($I$5*MAX(((F544)+(G544)*(U544))*(U544),0.000001))),L544,U544),IF(T544=1,L544,IF(AC544=1,U544,MAX($D$16,POWER((ABS(K544)^2)/($I$5*MAX(F544,0.1)^2),1/3)))))))</f>
        <v>51800.26683766341</v>
      </c>
      <c r="AE544">
        <f t="shared" ca="1" si="251"/>
        <v>52432.631837663408</v>
      </c>
      <c r="AF544">
        <f t="shared" ca="1" si="252"/>
        <v>52432.631837665234</v>
      </c>
      <c r="AI544">
        <v>0</v>
      </c>
      <c r="AJ544">
        <v>0</v>
      </c>
      <c r="AK544">
        <f t="shared" si="253"/>
        <v>0</v>
      </c>
      <c r="AL544">
        <f t="shared" si="262"/>
        <v>0</v>
      </c>
      <c r="AM544">
        <f t="shared" ca="1" si="254"/>
        <v>2.6560383008097266E-7</v>
      </c>
      <c r="AN544" t="str">
        <f t="shared" ca="1" si="255"/>
        <v>Subcritical</v>
      </c>
      <c r="AO544">
        <f t="shared" ca="1" si="256"/>
        <v>2.2562304480281055E-12</v>
      </c>
    </row>
    <row r="545" spans="1:41" x14ac:dyDescent="0.35">
      <c r="A545">
        <v>396</v>
      </c>
      <c r="B545">
        <v>394.89600000000002</v>
      </c>
      <c r="C545">
        <v>616254.16500000004</v>
      </c>
      <c r="D545">
        <v>3097569.176</v>
      </c>
      <c r="E545">
        <v>632.36450000000002</v>
      </c>
      <c r="F545">
        <v>5.2</v>
      </c>
      <c r="G545">
        <v>0</v>
      </c>
      <c r="H545" t="s">
        <v>186</v>
      </c>
      <c r="I545">
        <v>2.3E-2</v>
      </c>
      <c r="J545">
        <f t="shared" si="257"/>
        <v>1.0010000000000332</v>
      </c>
      <c r="K545">
        <f t="shared" si="258"/>
        <v>51</v>
      </c>
      <c r="L545">
        <f t="shared" ca="1" si="259"/>
        <v>51797.843837663619</v>
      </c>
      <c r="M545">
        <f t="shared" ca="1" si="236"/>
        <v>269348.78795585083</v>
      </c>
      <c r="N545">
        <f t="shared" ca="1" si="237"/>
        <v>2.5998694991876676</v>
      </c>
      <c r="O545">
        <f t="shared" ca="1" si="238"/>
        <v>1.8934557080078435E-4</v>
      </c>
      <c r="P545">
        <f t="shared" ca="1" si="239"/>
        <v>52430.208337663622</v>
      </c>
      <c r="Q545">
        <f t="shared" ca="1" si="240"/>
        <v>52430.208337665448</v>
      </c>
      <c r="R545">
        <f t="shared" ca="1" si="241"/>
        <v>2.2564415439646509E-12</v>
      </c>
      <c r="S545">
        <f t="shared" ca="1" si="260"/>
        <v>4.999999946448952E-4</v>
      </c>
      <c r="T545">
        <f t="shared" ca="1" si="261"/>
        <v>1</v>
      </c>
      <c r="U545">
        <f t="shared" ca="1" si="242"/>
        <v>51800.26683766341</v>
      </c>
      <c r="V545">
        <f t="shared" ca="1" si="243"/>
        <v>269361.38755584974</v>
      </c>
      <c r="W545">
        <f t="shared" ca="1" si="244"/>
        <v>2.5998695052916441</v>
      </c>
      <c r="X545">
        <f t="shared" ca="1" si="245"/>
        <v>1.8933671400629237E-4</v>
      </c>
      <c r="Y545">
        <f t="shared" ca="1" si="246"/>
        <v>52432.631337663413</v>
      </c>
      <c r="Z545">
        <f t="shared" ca="1" si="247"/>
        <v>52432.63133766524</v>
      </c>
      <c r="AA545">
        <f t="shared" ca="1" si="248"/>
        <v>2.2562304480281055E-12</v>
      </c>
      <c r="AB545">
        <f t="shared" ca="1" si="249"/>
        <v>-5.0000000192085281E-4</v>
      </c>
      <c r="AC545">
        <f t="shared" ca="1" si="250"/>
        <v>1</v>
      </c>
      <c r="AD545">
        <f ca="1">IF(V32="Supercritical",L545,IF(V32="Subcritical",U545,IF(AND(T545=1,AC545=1),IF((((F545)*(L545)^2)/2+(G545)*(L545)^3/3+(ABS(K545)^2)/($I$5*MAX(((F545)+(G545)*(L545))*(L545),0.000001)))&gt;=(((F545)*(U545)^2)/2+(G545)*(U545)^3/3+(ABS(K545)^2)/($I$5*MAX(((F545)+(G545)*(U545))*(U545),0.000001))),L545,U545),IF(T545=1,L545,IF(AC545=1,U545,MAX($D$16,POWER((ABS(K545)^2)/($I$5*MAX(F545,0.1)^2),1/3)))))))</f>
        <v>51800.26683766341</v>
      </c>
      <c r="AE545">
        <f t="shared" ca="1" si="251"/>
        <v>52432.631337663413</v>
      </c>
      <c r="AF545">
        <f t="shared" ca="1" si="252"/>
        <v>52432.63133766524</v>
      </c>
      <c r="AI545">
        <v>0</v>
      </c>
      <c r="AJ545">
        <v>0</v>
      </c>
      <c r="AK545">
        <f t="shared" si="253"/>
        <v>0</v>
      </c>
      <c r="AL545">
        <f t="shared" si="262"/>
        <v>0</v>
      </c>
      <c r="AM545">
        <f t="shared" ca="1" si="254"/>
        <v>2.6560383008097266E-7</v>
      </c>
      <c r="AN545" t="str">
        <f t="shared" ca="1" si="255"/>
        <v>Subcritical</v>
      </c>
      <c r="AO545">
        <f t="shared" ca="1" si="256"/>
        <v>2.2562304480281055E-12</v>
      </c>
    </row>
    <row r="546" spans="1:41" x14ac:dyDescent="0.35">
      <c r="A546">
        <v>397</v>
      </c>
      <c r="B546">
        <v>395.89499999999998</v>
      </c>
      <c r="C546">
        <v>616253.69099999999</v>
      </c>
      <c r="D546">
        <v>3097568.2960000001</v>
      </c>
      <c r="E546">
        <v>632.36400000000003</v>
      </c>
      <c r="F546">
        <v>5.2</v>
      </c>
      <c r="G546">
        <v>0</v>
      </c>
      <c r="H546" t="s">
        <v>186</v>
      </c>
      <c r="I546">
        <v>2.7E-2</v>
      </c>
      <c r="J546">
        <f t="shared" si="257"/>
        <v>0.9989999999999668</v>
      </c>
      <c r="K546">
        <f t="shared" si="258"/>
        <v>51</v>
      </c>
      <c r="L546">
        <f t="shared" ca="1" si="259"/>
        <v>51797.843837663619</v>
      </c>
      <c r="M546">
        <f t="shared" ca="1" si="236"/>
        <v>269348.78795585083</v>
      </c>
      <c r="N546">
        <f t="shared" ca="1" si="237"/>
        <v>2.5998694991876676</v>
      </c>
      <c r="O546">
        <f t="shared" ca="1" si="238"/>
        <v>1.8934557080078435E-4</v>
      </c>
      <c r="P546">
        <f t="shared" ca="1" si="239"/>
        <v>52430.20783766362</v>
      </c>
      <c r="Q546">
        <f t="shared" ca="1" si="240"/>
        <v>52430.207837665446</v>
      </c>
      <c r="R546">
        <f t="shared" ca="1" si="241"/>
        <v>2.2564415439646509E-12</v>
      </c>
      <c r="S546">
        <f t="shared" ca="1" si="260"/>
        <v>5.0000000192085281E-4</v>
      </c>
      <c r="T546">
        <f t="shared" ca="1" si="261"/>
        <v>1</v>
      </c>
      <c r="U546">
        <f t="shared" ca="1" si="242"/>
        <v>51800.26683766341</v>
      </c>
      <c r="V546">
        <f t="shared" ca="1" si="243"/>
        <v>269361.38755584974</v>
      </c>
      <c r="W546">
        <f t="shared" ca="1" si="244"/>
        <v>2.5998695052916441</v>
      </c>
      <c r="X546">
        <f t="shared" ca="1" si="245"/>
        <v>1.8933671400629237E-4</v>
      </c>
      <c r="Y546">
        <f t="shared" ca="1" si="246"/>
        <v>52432.630837663412</v>
      </c>
      <c r="Z546">
        <f t="shared" ca="1" si="247"/>
        <v>52432.630837665238</v>
      </c>
      <c r="AA546">
        <f t="shared" ca="1" si="248"/>
        <v>2.2562304480281055E-12</v>
      </c>
      <c r="AB546">
        <f t="shared" ca="1" si="249"/>
        <v>-5.0000000192085281E-4</v>
      </c>
      <c r="AC546">
        <f t="shared" ca="1" si="250"/>
        <v>1</v>
      </c>
      <c r="AD546">
        <f ca="1">IF(V32="Supercritical",L546,IF(V32="Subcritical",U546,IF(AND(T546=1,AC546=1),IF((((F546)*(L546)^2)/2+(G546)*(L546)^3/3+(ABS(K546)^2)/($I$5*MAX(((F546)+(G546)*(L546))*(L546),0.000001)))&gt;=(((F546)*(U546)^2)/2+(G546)*(U546)^3/3+(ABS(K546)^2)/($I$5*MAX(((F546)+(G546)*(U546))*(U546),0.000001))),L546,U546),IF(T546=1,L546,IF(AC546=1,U546,MAX($D$16,POWER((ABS(K546)^2)/($I$5*MAX(F546,0.1)^2),1/3)))))))</f>
        <v>51800.26683766341</v>
      </c>
      <c r="AE546">
        <f t="shared" ca="1" si="251"/>
        <v>52432.630837663412</v>
      </c>
      <c r="AF546">
        <f t="shared" ca="1" si="252"/>
        <v>52432.630837665238</v>
      </c>
      <c r="AI546">
        <v>0</v>
      </c>
      <c r="AJ546">
        <v>0</v>
      </c>
      <c r="AK546">
        <f t="shared" si="253"/>
        <v>0</v>
      </c>
      <c r="AL546">
        <f t="shared" si="262"/>
        <v>0</v>
      </c>
      <c r="AM546">
        <f t="shared" ca="1" si="254"/>
        <v>2.6560383008097266E-7</v>
      </c>
      <c r="AN546" t="str">
        <f t="shared" ca="1" si="255"/>
        <v>Subcritical</v>
      </c>
      <c r="AO546">
        <f t="shared" ca="1" si="256"/>
        <v>2.2562304480281055E-12</v>
      </c>
    </row>
    <row r="547" spans="1:41" x14ac:dyDescent="0.35">
      <c r="A547">
        <v>398</v>
      </c>
      <c r="B547">
        <v>396.89600000000002</v>
      </c>
      <c r="C547">
        <v>616253.21699999995</v>
      </c>
      <c r="D547">
        <v>3097567.415</v>
      </c>
      <c r="E547">
        <v>632.36350000000004</v>
      </c>
      <c r="F547">
        <v>5.2</v>
      </c>
      <c r="G547">
        <v>0</v>
      </c>
      <c r="H547" t="s">
        <v>186</v>
      </c>
      <c r="I547">
        <v>2.7E-2</v>
      </c>
      <c r="J547">
        <f t="shared" si="257"/>
        <v>1.0010000000000332</v>
      </c>
      <c r="K547">
        <f t="shared" si="258"/>
        <v>51</v>
      </c>
      <c r="L547">
        <f t="shared" ca="1" si="259"/>
        <v>51797.843837663619</v>
      </c>
      <c r="M547">
        <f t="shared" ca="1" si="236"/>
        <v>269348.78795585083</v>
      </c>
      <c r="N547">
        <f t="shared" ca="1" si="237"/>
        <v>2.5998694991876676</v>
      </c>
      <c r="O547">
        <f t="shared" ca="1" si="238"/>
        <v>1.8934557080078435E-4</v>
      </c>
      <c r="P547">
        <f t="shared" ca="1" si="239"/>
        <v>52430.207337663618</v>
      </c>
      <c r="Q547">
        <f t="shared" ca="1" si="240"/>
        <v>52430.207337665444</v>
      </c>
      <c r="R547">
        <f t="shared" ca="1" si="241"/>
        <v>2.2564415439646509E-12</v>
      </c>
      <c r="S547">
        <f t="shared" ca="1" si="260"/>
        <v>5.0000000192085281E-4</v>
      </c>
      <c r="T547">
        <f t="shared" ca="1" si="261"/>
        <v>1</v>
      </c>
      <c r="U547">
        <f t="shared" ca="1" si="242"/>
        <v>51800.26683766341</v>
      </c>
      <c r="V547">
        <f t="shared" ca="1" si="243"/>
        <v>269361.38755584974</v>
      </c>
      <c r="W547">
        <f t="shared" ca="1" si="244"/>
        <v>2.5998695052916441</v>
      </c>
      <c r="X547">
        <f t="shared" ca="1" si="245"/>
        <v>1.8933671400629237E-4</v>
      </c>
      <c r="Y547">
        <f t="shared" ca="1" si="246"/>
        <v>52432.63033766341</v>
      </c>
      <c r="Z547">
        <f t="shared" ca="1" si="247"/>
        <v>52432.630337665236</v>
      </c>
      <c r="AA547">
        <f t="shared" ca="1" si="248"/>
        <v>2.2562304480281055E-12</v>
      </c>
      <c r="AB547">
        <f t="shared" ca="1" si="249"/>
        <v>-5.0000000192085281E-4</v>
      </c>
      <c r="AC547">
        <f t="shared" ca="1" si="250"/>
        <v>1</v>
      </c>
      <c r="AD547">
        <f ca="1">IF(V32="Supercritical",L547,IF(V32="Subcritical",U547,IF(AND(T547=1,AC547=1),IF((((F547)*(L547)^2)/2+(G547)*(L547)^3/3+(ABS(K547)^2)/($I$5*MAX(((F547)+(G547)*(L547))*(L547),0.000001)))&gt;=(((F547)*(U547)^2)/2+(G547)*(U547)^3/3+(ABS(K547)^2)/($I$5*MAX(((F547)+(G547)*(U547))*(U547),0.000001))),L547,U547),IF(T547=1,L547,IF(AC547=1,U547,MAX($D$16,POWER((ABS(K547)^2)/($I$5*MAX(F547,0.1)^2),1/3)))))))</f>
        <v>51800.26683766341</v>
      </c>
      <c r="AE547">
        <f t="shared" ca="1" si="251"/>
        <v>52432.63033766341</v>
      </c>
      <c r="AF547">
        <f t="shared" ca="1" si="252"/>
        <v>52432.630337665236</v>
      </c>
      <c r="AI547">
        <v>0</v>
      </c>
      <c r="AJ547">
        <v>0</v>
      </c>
      <c r="AK547">
        <f t="shared" si="253"/>
        <v>0</v>
      </c>
      <c r="AL547">
        <f t="shared" si="262"/>
        <v>0</v>
      </c>
      <c r="AM547">
        <f t="shared" ca="1" si="254"/>
        <v>2.6560383008097266E-7</v>
      </c>
      <c r="AN547" t="str">
        <f t="shared" ca="1" si="255"/>
        <v>Subcritical</v>
      </c>
      <c r="AO547">
        <f t="shared" ca="1" si="256"/>
        <v>2.2562304480281055E-12</v>
      </c>
    </row>
    <row r="548" spans="1:41" x14ac:dyDescent="0.35">
      <c r="A548">
        <v>399</v>
      </c>
      <c r="B548">
        <v>397.89499999999998</v>
      </c>
      <c r="C548">
        <v>616252.74300000002</v>
      </c>
      <c r="D548">
        <v>3097566.5350000001</v>
      </c>
      <c r="E548">
        <v>632.36300000000006</v>
      </c>
      <c r="F548">
        <v>5.2</v>
      </c>
      <c r="G548">
        <v>0</v>
      </c>
      <c r="H548" t="s">
        <v>186</v>
      </c>
      <c r="I548">
        <v>0.05</v>
      </c>
      <c r="J548">
        <f t="shared" si="257"/>
        <v>0.9989999999999668</v>
      </c>
      <c r="K548">
        <f t="shared" si="258"/>
        <v>51</v>
      </c>
      <c r="L548">
        <f t="shared" ca="1" si="259"/>
        <v>51797.843837663619</v>
      </c>
      <c r="M548">
        <f t="shared" ca="1" si="236"/>
        <v>269348.78795585083</v>
      </c>
      <c r="N548">
        <f t="shared" ca="1" si="237"/>
        <v>2.5998694991876676</v>
      </c>
      <c r="O548">
        <f t="shared" ca="1" si="238"/>
        <v>1.8934557080078435E-4</v>
      </c>
      <c r="P548">
        <f t="shared" ca="1" si="239"/>
        <v>52430.206837663616</v>
      </c>
      <c r="Q548">
        <f t="shared" ca="1" si="240"/>
        <v>52430.206837665442</v>
      </c>
      <c r="R548">
        <f t="shared" ca="1" si="241"/>
        <v>2.2564415439646509E-12</v>
      </c>
      <c r="S548">
        <f t="shared" ca="1" si="260"/>
        <v>5.0000000192085281E-4</v>
      </c>
      <c r="T548">
        <f t="shared" ca="1" si="261"/>
        <v>1</v>
      </c>
      <c r="U548">
        <f t="shared" ca="1" si="242"/>
        <v>51800.26683766341</v>
      </c>
      <c r="V548">
        <f t="shared" ca="1" si="243"/>
        <v>269361.38755584974</v>
      </c>
      <c r="W548">
        <f t="shared" ca="1" si="244"/>
        <v>2.5998695052916441</v>
      </c>
      <c r="X548">
        <f t="shared" ca="1" si="245"/>
        <v>1.8933671400629237E-4</v>
      </c>
      <c r="Y548">
        <f t="shared" ca="1" si="246"/>
        <v>52432.629837663408</v>
      </c>
      <c r="Z548">
        <f t="shared" ca="1" si="247"/>
        <v>52432.629837665234</v>
      </c>
      <c r="AA548">
        <f t="shared" ca="1" si="248"/>
        <v>2.2562304480281055E-12</v>
      </c>
      <c r="AB548">
        <f t="shared" ca="1" si="249"/>
        <v>-4.999999946448952E-4</v>
      </c>
      <c r="AC548">
        <f t="shared" ca="1" si="250"/>
        <v>1</v>
      </c>
      <c r="AD548">
        <f ca="1">IF(V32="Supercritical",L548,IF(V32="Subcritical",U548,IF(AND(T548=1,AC548=1),IF((((F548)*(L548)^2)/2+(G548)*(L548)^3/3+(ABS(K548)^2)/($I$5*MAX(((F548)+(G548)*(L548))*(L548),0.000001)))&gt;=(((F548)*(U548)^2)/2+(G548)*(U548)^3/3+(ABS(K548)^2)/($I$5*MAX(((F548)+(G548)*(U548))*(U548),0.000001))),L548,U548),IF(T548=1,L548,IF(AC548=1,U548,MAX($D$16,POWER((ABS(K548)^2)/($I$5*MAX(F548,0.1)^2),1/3)))))))</f>
        <v>51800.26683766341</v>
      </c>
      <c r="AE548">
        <f t="shared" ca="1" si="251"/>
        <v>52432.629837663408</v>
      </c>
      <c r="AF548">
        <f t="shared" ca="1" si="252"/>
        <v>52432.629837665234</v>
      </c>
      <c r="AI548">
        <v>0</v>
      </c>
      <c r="AJ548">
        <v>0</v>
      </c>
      <c r="AK548">
        <f t="shared" si="253"/>
        <v>0</v>
      </c>
      <c r="AL548">
        <f t="shared" si="262"/>
        <v>0</v>
      </c>
      <c r="AM548">
        <f t="shared" ca="1" si="254"/>
        <v>2.6560383008097266E-7</v>
      </c>
      <c r="AN548" t="str">
        <f t="shared" ca="1" si="255"/>
        <v>Subcritical</v>
      </c>
      <c r="AO548">
        <f t="shared" ca="1" si="256"/>
        <v>2.2562304480281055E-12</v>
      </c>
    </row>
    <row r="549" spans="1:41" x14ac:dyDescent="0.35">
      <c r="A549">
        <v>400</v>
      </c>
      <c r="B549">
        <v>398.89499999999998</v>
      </c>
      <c r="C549">
        <v>616252.26800000004</v>
      </c>
      <c r="D549">
        <v>3097565.6549999998</v>
      </c>
      <c r="E549">
        <v>632.36249999999995</v>
      </c>
      <c r="F549">
        <v>5.2</v>
      </c>
      <c r="G549">
        <v>0</v>
      </c>
      <c r="H549" t="s">
        <v>186</v>
      </c>
      <c r="I549">
        <v>7.8E-2</v>
      </c>
      <c r="J549">
        <f t="shared" si="257"/>
        <v>1</v>
      </c>
      <c r="K549">
        <f t="shared" si="258"/>
        <v>51</v>
      </c>
      <c r="L549">
        <f t="shared" ca="1" si="259"/>
        <v>51797.843837663619</v>
      </c>
      <c r="M549">
        <f t="shared" ca="1" si="236"/>
        <v>269348.78795585083</v>
      </c>
      <c r="N549">
        <f t="shared" ca="1" si="237"/>
        <v>2.5998694991876676</v>
      </c>
      <c r="O549">
        <f t="shared" ca="1" si="238"/>
        <v>1.8934557080078435E-4</v>
      </c>
      <c r="P549">
        <f t="shared" ca="1" si="239"/>
        <v>52430.206337663622</v>
      </c>
      <c r="Q549">
        <f t="shared" ca="1" si="240"/>
        <v>52430.206337665448</v>
      </c>
      <c r="R549">
        <f t="shared" ca="1" si="241"/>
        <v>2.2564415439646509E-12</v>
      </c>
      <c r="S549">
        <f t="shared" ca="1" si="260"/>
        <v>4.999999946448952E-4</v>
      </c>
      <c r="T549">
        <f t="shared" ca="1" si="261"/>
        <v>1</v>
      </c>
      <c r="U549">
        <f t="shared" ca="1" si="242"/>
        <v>51800.26683766341</v>
      </c>
      <c r="V549">
        <f t="shared" ca="1" si="243"/>
        <v>269361.38755584974</v>
      </c>
      <c r="W549">
        <f t="shared" ca="1" si="244"/>
        <v>2.5998695052916441</v>
      </c>
      <c r="X549">
        <f t="shared" ca="1" si="245"/>
        <v>1.8933671400629237E-4</v>
      </c>
      <c r="Y549">
        <f t="shared" ca="1" si="246"/>
        <v>52432.629337663413</v>
      </c>
      <c r="Z549">
        <f t="shared" ca="1" si="247"/>
        <v>52432.629337665239</v>
      </c>
      <c r="AA549">
        <f t="shared" ca="1" si="248"/>
        <v>2.2562304480281055E-12</v>
      </c>
      <c r="AB549">
        <f t="shared" ca="1" si="249"/>
        <v>-5.0000000192085281E-4</v>
      </c>
      <c r="AC549">
        <f t="shared" ca="1" si="250"/>
        <v>1</v>
      </c>
      <c r="AD549">
        <f ca="1">IF(V32="Supercritical",L549,IF(V32="Subcritical",U549,IF(AND(T549=1,AC549=1),IF((((F549)*(L549)^2)/2+(G549)*(L549)^3/3+(ABS(K549)^2)/($I$5*MAX(((F549)+(G549)*(L549))*(L549),0.000001)))&gt;=(((F549)*(U549)^2)/2+(G549)*(U549)^3/3+(ABS(K549)^2)/($I$5*MAX(((F549)+(G549)*(U549))*(U549),0.000001))),L549,U549),IF(T549=1,L549,IF(AC549=1,U549,MAX($D$16,POWER((ABS(K549)^2)/($I$5*MAX(F549,0.1)^2),1/3)))))))</f>
        <v>51800.26683766341</v>
      </c>
      <c r="AE549">
        <f t="shared" ca="1" si="251"/>
        <v>52432.629337663413</v>
      </c>
      <c r="AF549">
        <f t="shared" ca="1" si="252"/>
        <v>52432.629337665239</v>
      </c>
      <c r="AI549">
        <v>0</v>
      </c>
      <c r="AJ549">
        <v>0</v>
      </c>
      <c r="AK549">
        <f t="shared" si="253"/>
        <v>0</v>
      </c>
      <c r="AL549">
        <f t="shared" si="262"/>
        <v>0</v>
      </c>
      <c r="AM549">
        <f t="shared" ca="1" si="254"/>
        <v>2.6560383008097266E-7</v>
      </c>
      <c r="AN549" t="str">
        <f t="shared" ca="1" si="255"/>
        <v>Subcritical</v>
      </c>
      <c r="AO549">
        <f t="shared" ca="1" si="256"/>
        <v>2.2562304480281055E-12</v>
      </c>
    </row>
    <row r="550" spans="1:41" x14ac:dyDescent="0.35">
      <c r="A550">
        <v>401</v>
      </c>
      <c r="B550">
        <v>399.89600000000002</v>
      </c>
      <c r="C550">
        <v>616251.79399999999</v>
      </c>
      <c r="D550">
        <v>3097564.7740000002</v>
      </c>
      <c r="E550">
        <v>632.36199999999997</v>
      </c>
      <c r="F550">
        <v>5.2</v>
      </c>
      <c r="G550">
        <v>0</v>
      </c>
      <c r="H550" t="s">
        <v>186</v>
      </c>
      <c r="I550">
        <v>2.7E-2</v>
      </c>
      <c r="J550">
        <f t="shared" si="257"/>
        <v>1.0010000000000332</v>
      </c>
      <c r="K550">
        <f t="shared" si="258"/>
        <v>51</v>
      </c>
      <c r="L550">
        <f t="shared" ca="1" si="259"/>
        <v>51797.843837663619</v>
      </c>
      <c r="M550">
        <f t="shared" ca="1" si="236"/>
        <v>269348.78795585083</v>
      </c>
      <c r="N550">
        <f t="shared" ca="1" si="237"/>
        <v>2.5998694991876676</v>
      </c>
      <c r="O550">
        <f t="shared" ca="1" si="238"/>
        <v>1.8934557080078435E-4</v>
      </c>
      <c r="P550">
        <f t="shared" ca="1" si="239"/>
        <v>52430.20583766362</v>
      </c>
      <c r="Q550">
        <f t="shared" ca="1" si="240"/>
        <v>52430.205837665446</v>
      </c>
      <c r="R550">
        <f t="shared" ca="1" si="241"/>
        <v>2.2564415439646509E-12</v>
      </c>
      <c r="S550">
        <f t="shared" ca="1" si="260"/>
        <v>5.0000000192085281E-4</v>
      </c>
      <c r="T550">
        <f t="shared" ca="1" si="261"/>
        <v>1</v>
      </c>
      <c r="U550">
        <f t="shared" ca="1" si="242"/>
        <v>51800.26683766341</v>
      </c>
      <c r="V550">
        <f t="shared" ca="1" si="243"/>
        <v>269361.38755584974</v>
      </c>
      <c r="W550">
        <f t="shared" ca="1" si="244"/>
        <v>2.5998695052916441</v>
      </c>
      <c r="X550">
        <f t="shared" ca="1" si="245"/>
        <v>1.8933671400629237E-4</v>
      </c>
      <c r="Y550">
        <f t="shared" ca="1" si="246"/>
        <v>52432.628837663411</v>
      </c>
      <c r="Z550">
        <f t="shared" ca="1" si="247"/>
        <v>52432.628837665237</v>
      </c>
      <c r="AA550">
        <f t="shared" ca="1" si="248"/>
        <v>2.2562304480281055E-12</v>
      </c>
      <c r="AB550">
        <f t="shared" ca="1" si="249"/>
        <v>-5.0000000192085281E-4</v>
      </c>
      <c r="AC550">
        <f t="shared" ca="1" si="250"/>
        <v>1</v>
      </c>
      <c r="AD550">
        <f ca="1">IF(V32="Supercritical",L550,IF(V32="Subcritical",U550,IF(AND(T550=1,AC550=1),IF((((F550)*(L550)^2)/2+(G550)*(L550)^3/3+(ABS(K550)^2)/($I$5*MAX(((F550)+(G550)*(L550))*(L550),0.000001)))&gt;=(((F550)*(U550)^2)/2+(G550)*(U550)^3/3+(ABS(K550)^2)/($I$5*MAX(((F550)+(G550)*(U550))*(U550),0.000001))),L550,U550),IF(T550=1,L550,IF(AC550=1,U550,MAX($D$16,POWER((ABS(K550)^2)/($I$5*MAX(F550,0.1)^2),1/3)))))))</f>
        <v>51800.26683766341</v>
      </c>
      <c r="AE550">
        <f t="shared" ca="1" si="251"/>
        <v>52432.628837663411</v>
      </c>
      <c r="AF550">
        <f t="shared" ca="1" si="252"/>
        <v>52432.628837665237</v>
      </c>
      <c r="AI550">
        <v>0</v>
      </c>
      <c r="AJ550">
        <v>0</v>
      </c>
      <c r="AK550">
        <f t="shared" si="253"/>
        <v>0</v>
      </c>
      <c r="AL550">
        <f t="shared" si="262"/>
        <v>0</v>
      </c>
      <c r="AM550">
        <f t="shared" ca="1" si="254"/>
        <v>2.6560383008097266E-7</v>
      </c>
      <c r="AN550" t="str">
        <f t="shared" ca="1" si="255"/>
        <v>Subcritical</v>
      </c>
      <c r="AO550">
        <f t="shared" ca="1" si="256"/>
        <v>2.2562304480281055E-12</v>
      </c>
    </row>
    <row r="551" spans="1:41" x14ac:dyDescent="0.35">
      <c r="A551">
        <v>402</v>
      </c>
      <c r="B551">
        <v>400.89499999999998</v>
      </c>
      <c r="C551">
        <v>616251.31999999995</v>
      </c>
      <c r="D551">
        <v>3097563.8939999999</v>
      </c>
      <c r="E551">
        <v>632.36149999999998</v>
      </c>
      <c r="F551">
        <v>5.2</v>
      </c>
      <c r="G551">
        <v>0</v>
      </c>
      <c r="H551" t="s">
        <v>186</v>
      </c>
      <c r="I551">
        <v>2.7E-2</v>
      </c>
      <c r="J551">
        <f t="shared" si="257"/>
        <v>0.9989999999999668</v>
      </c>
      <c r="K551">
        <f t="shared" si="258"/>
        <v>51</v>
      </c>
      <c r="L551">
        <f t="shared" ca="1" si="259"/>
        <v>51797.843837663619</v>
      </c>
      <c r="M551">
        <f t="shared" ca="1" si="236"/>
        <v>269348.78795585083</v>
      </c>
      <c r="N551">
        <f t="shared" ca="1" si="237"/>
        <v>2.5998694991876676</v>
      </c>
      <c r="O551">
        <f t="shared" ca="1" si="238"/>
        <v>1.8934557080078435E-4</v>
      </c>
      <c r="P551">
        <f t="shared" ca="1" si="239"/>
        <v>52430.205337663618</v>
      </c>
      <c r="Q551">
        <f t="shared" ca="1" si="240"/>
        <v>52430.205337665444</v>
      </c>
      <c r="R551">
        <f t="shared" ca="1" si="241"/>
        <v>2.2564415439646509E-12</v>
      </c>
      <c r="S551">
        <f t="shared" ca="1" si="260"/>
        <v>5.0000000192085281E-4</v>
      </c>
      <c r="T551">
        <f t="shared" ca="1" si="261"/>
        <v>1</v>
      </c>
      <c r="U551">
        <f t="shared" ca="1" si="242"/>
        <v>51800.26683766341</v>
      </c>
      <c r="V551">
        <f t="shared" ca="1" si="243"/>
        <v>269361.38755584974</v>
      </c>
      <c r="W551">
        <f t="shared" ca="1" si="244"/>
        <v>2.5998695052916441</v>
      </c>
      <c r="X551">
        <f t="shared" ca="1" si="245"/>
        <v>1.8933671400629237E-4</v>
      </c>
      <c r="Y551">
        <f t="shared" ca="1" si="246"/>
        <v>52432.628337663409</v>
      </c>
      <c r="Z551">
        <f t="shared" ca="1" si="247"/>
        <v>52432.628337665235</v>
      </c>
      <c r="AA551">
        <f t="shared" ca="1" si="248"/>
        <v>2.2562304480281055E-12</v>
      </c>
      <c r="AB551">
        <f t="shared" ca="1" si="249"/>
        <v>-5.0000000192085281E-4</v>
      </c>
      <c r="AC551">
        <f t="shared" ca="1" si="250"/>
        <v>1</v>
      </c>
      <c r="AD551">
        <f ca="1">IF(V32="Supercritical",L551,IF(V32="Subcritical",U551,IF(AND(T551=1,AC551=1),IF((((F551)*(L551)^2)/2+(G551)*(L551)^3/3+(ABS(K551)^2)/($I$5*MAX(((F551)+(G551)*(L551))*(L551),0.000001)))&gt;=(((F551)*(U551)^2)/2+(G551)*(U551)^3/3+(ABS(K551)^2)/($I$5*MAX(((F551)+(G551)*(U551))*(U551),0.000001))),L551,U551),IF(T551=1,L551,IF(AC551=1,U551,MAX($D$16,POWER((ABS(K551)^2)/($I$5*MAX(F551,0.1)^2),1/3)))))))</f>
        <v>51800.26683766341</v>
      </c>
      <c r="AE551">
        <f t="shared" ca="1" si="251"/>
        <v>52432.628337663409</v>
      </c>
      <c r="AF551">
        <f t="shared" ca="1" si="252"/>
        <v>52432.628337665235</v>
      </c>
      <c r="AI551">
        <v>0</v>
      </c>
      <c r="AJ551">
        <v>0</v>
      </c>
      <c r="AK551">
        <f t="shared" si="253"/>
        <v>0</v>
      </c>
      <c r="AL551">
        <f t="shared" si="262"/>
        <v>0</v>
      </c>
      <c r="AM551">
        <f t="shared" ca="1" si="254"/>
        <v>2.6560383008097266E-7</v>
      </c>
      <c r="AN551" t="str">
        <f t="shared" ca="1" si="255"/>
        <v>Subcritical</v>
      </c>
      <c r="AO551">
        <f t="shared" ca="1" si="256"/>
        <v>2.2562304480281055E-12</v>
      </c>
    </row>
    <row r="552" spans="1:41" x14ac:dyDescent="0.35">
      <c r="A552">
        <v>403</v>
      </c>
      <c r="B552">
        <v>401.89600000000002</v>
      </c>
      <c r="C552">
        <v>616250.84600000002</v>
      </c>
      <c r="D552">
        <v>3097563.0129999998</v>
      </c>
      <c r="E552">
        <v>632.36099999999999</v>
      </c>
      <c r="F552">
        <v>5.2</v>
      </c>
      <c r="G552">
        <v>0</v>
      </c>
      <c r="H552" t="s">
        <v>186</v>
      </c>
      <c r="I552">
        <v>2.7E-2</v>
      </c>
      <c r="J552">
        <f t="shared" si="257"/>
        <v>1.0010000000000332</v>
      </c>
      <c r="K552">
        <f t="shared" si="258"/>
        <v>51</v>
      </c>
      <c r="L552">
        <f t="shared" ca="1" si="259"/>
        <v>51797.843837663619</v>
      </c>
      <c r="M552">
        <f t="shared" ca="1" si="236"/>
        <v>269348.78795585083</v>
      </c>
      <c r="N552">
        <f t="shared" ca="1" si="237"/>
        <v>2.5998694991876676</v>
      </c>
      <c r="O552">
        <f t="shared" ca="1" si="238"/>
        <v>1.8934557080078435E-4</v>
      </c>
      <c r="P552">
        <f t="shared" ca="1" si="239"/>
        <v>52430.204837663616</v>
      </c>
      <c r="Q552">
        <f t="shared" ca="1" si="240"/>
        <v>52430.204837665442</v>
      </c>
      <c r="R552">
        <f t="shared" ca="1" si="241"/>
        <v>2.2564415439646509E-12</v>
      </c>
      <c r="S552">
        <f t="shared" ca="1" si="260"/>
        <v>5.0000000192085281E-4</v>
      </c>
      <c r="T552">
        <f t="shared" ca="1" si="261"/>
        <v>1</v>
      </c>
      <c r="U552">
        <f t="shared" ca="1" si="242"/>
        <v>51800.26683766341</v>
      </c>
      <c r="V552">
        <f t="shared" ca="1" si="243"/>
        <v>269361.38755584974</v>
      </c>
      <c r="W552">
        <f t="shared" ca="1" si="244"/>
        <v>2.5998695052916441</v>
      </c>
      <c r="X552">
        <f t="shared" ca="1" si="245"/>
        <v>1.8933671400629237E-4</v>
      </c>
      <c r="Y552">
        <f t="shared" ca="1" si="246"/>
        <v>52432.627837663407</v>
      </c>
      <c r="Z552">
        <f t="shared" ca="1" si="247"/>
        <v>52432.627837665234</v>
      </c>
      <c r="AA552">
        <f t="shared" ca="1" si="248"/>
        <v>2.2562304480281055E-12</v>
      </c>
      <c r="AB552">
        <f t="shared" ca="1" si="249"/>
        <v>-4.999999946448952E-4</v>
      </c>
      <c r="AC552">
        <f t="shared" ca="1" si="250"/>
        <v>1</v>
      </c>
      <c r="AD552">
        <f ca="1">IF(V32="Supercritical",L552,IF(V32="Subcritical",U552,IF(AND(T552=1,AC552=1),IF((((F552)*(L552)^2)/2+(G552)*(L552)^3/3+(ABS(K552)^2)/($I$5*MAX(((F552)+(G552)*(L552))*(L552),0.000001)))&gt;=(((F552)*(U552)^2)/2+(G552)*(U552)^3/3+(ABS(K552)^2)/($I$5*MAX(((F552)+(G552)*(U552))*(U552),0.000001))),L552,U552),IF(T552=1,L552,IF(AC552=1,U552,MAX($D$16,POWER((ABS(K552)^2)/($I$5*MAX(F552,0.1)^2),1/3)))))))</f>
        <v>51800.26683766341</v>
      </c>
      <c r="AE552">
        <f t="shared" ca="1" si="251"/>
        <v>52432.627837663407</v>
      </c>
      <c r="AF552">
        <f t="shared" ca="1" si="252"/>
        <v>52432.627837665234</v>
      </c>
      <c r="AI552">
        <v>0</v>
      </c>
      <c r="AJ552">
        <v>0</v>
      </c>
      <c r="AK552">
        <f t="shared" si="253"/>
        <v>0</v>
      </c>
      <c r="AL552">
        <f t="shared" si="262"/>
        <v>0</v>
      </c>
      <c r="AM552">
        <f t="shared" ca="1" si="254"/>
        <v>2.6560383008097266E-7</v>
      </c>
      <c r="AN552" t="str">
        <f t="shared" ca="1" si="255"/>
        <v>Subcritical</v>
      </c>
      <c r="AO552">
        <f t="shared" ca="1" si="256"/>
        <v>2.2562304480281055E-12</v>
      </c>
    </row>
    <row r="553" spans="1:41" x14ac:dyDescent="0.35">
      <c r="A553">
        <v>404</v>
      </c>
      <c r="B553">
        <v>402.89499999999998</v>
      </c>
      <c r="C553">
        <v>616250.37199999997</v>
      </c>
      <c r="D553">
        <v>3097562.1329999999</v>
      </c>
      <c r="E553">
        <v>632.3605</v>
      </c>
      <c r="F553">
        <v>5.2</v>
      </c>
      <c r="G553">
        <v>0</v>
      </c>
      <c r="H553" t="s">
        <v>186</v>
      </c>
      <c r="I553">
        <v>0.05</v>
      </c>
      <c r="J553">
        <f t="shared" si="257"/>
        <v>0.9989999999999668</v>
      </c>
      <c r="K553">
        <f t="shared" si="258"/>
        <v>51</v>
      </c>
      <c r="L553">
        <f t="shared" ca="1" si="259"/>
        <v>51797.843837663619</v>
      </c>
      <c r="M553">
        <f t="shared" ca="1" si="236"/>
        <v>269348.78795585083</v>
      </c>
      <c r="N553">
        <f t="shared" ca="1" si="237"/>
        <v>2.5998694991876676</v>
      </c>
      <c r="O553">
        <f t="shared" ca="1" si="238"/>
        <v>1.8934557080078435E-4</v>
      </c>
      <c r="P553">
        <f t="shared" ca="1" si="239"/>
        <v>52430.204337663621</v>
      </c>
      <c r="Q553">
        <f t="shared" ca="1" si="240"/>
        <v>52430.204337665447</v>
      </c>
      <c r="R553">
        <f t="shared" ca="1" si="241"/>
        <v>2.2564415439646509E-12</v>
      </c>
      <c r="S553">
        <f t="shared" ca="1" si="260"/>
        <v>4.999999946448952E-4</v>
      </c>
      <c r="T553">
        <f t="shared" ca="1" si="261"/>
        <v>1</v>
      </c>
      <c r="U553">
        <f t="shared" ca="1" si="242"/>
        <v>51800.26683766341</v>
      </c>
      <c r="V553">
        <f t="shared" ca="1" si="243"/>
        <v>269361.38755584974</v>
      </c>
      <c r="W553">
        <f t="shared" ca="1" si="244"/>
        <v>2.5998695052916441</v>
      </c>
      <c r="X553">
        <f t="shared" ca="1" si="245"/>
        <v>1.8933671400629237E-4</v>
      </c>
      <c r="Y553">
        <f t="shared" ca="1" si="246"/>
        <v>52432.627337663413</v>
      </c>
      <c r="Z553">
        <f t="shared" ca="1" si="247"/>
        <v>52432.627337665239</v>
      </c>
      <c r="AA553">
        <f t="shared" ca="1" si="248"/>
        <v>2.2562304480281055E-12</v>
      </c>
      <c r="AB553">
        <f t="shared" ca="1" si="249"/>
        <v>-5.0000000192085281E-4</v>
      </c>
      <c r="AC553">
        <f t="shared" ca="1" si="250"/>
        <v>1</v>
      </c>
      <c r="AD553">
        <f ca="1">IF(V32="Supercritical",L553,IF(V32="Subcritical",U553,IF(AND(T553=1,AC553=1),IF((((F553)*(L553)^2)/2+(G553)*(L553)^3/3+(ABS(K553)^2)/($I$5*MAX(((F553)+(G553)*(L553))*(L553),0.000001)))&gt;=(((F553)*(U553)^2)/2+(G553)*(U553)^3/3+(ABS(K553)^2)/($I$5*MAX(((F553)+(G553)*(U553))*(U553),0.000001))),L553,U553),IF(T553=1,L553,IF(AC553=1,U553,MAX($D$16,POWER((ABS(K553)^2)/($I$5*MAX(F553,0.1)^2),1/3)))))))</f>
        <v>51800.26683766341</v>
      </c>
      <c r="AE553">
        <f t="shared" ca="1" si="251"/>
        <v>52432.627337663413</v>
      </c>
      <c r="AF553">
        <f t="shared" ca="1" si="252"/>
        <v>52432.627337665239</v>
      </c>
      <c r="AI553">
        <v>0</v>
      </c>
      <c r="AJ553">
        <v>0</v>
      </c>
      <c r="AK553">
        <f t="shared" si="253"/>
        <v>0</v>
      </c>
      <c r="AL553">
        <f t="shared" si="262"/>
        <v>0</v>
      </c>
      <c r="AM553">
        <f t="shared" ca="1" si="254"/>
        <v>2.6560383008097266E-7</v>
      </c>
      <c r="AN553" t="str">
        <f t="shared" ca="1" si="255"/>
        <v>Subcritical</v>
      </c>
      <c r="AO553">
        <f t="shared" ca="1" si="256"/>
        <v>2.2562304480281055E-12</v>
      </c>
    </row>
    <row r="554" spans="1:41" x14ac:dyDescent="0.35">
      <c r="A554">
        <v>405</v>
      </c>
      <c r="B554">
        <v>403.89499999999998</v>
      </c>
      <c r="C554">
        <v>616249.897</v>
      </c>
      <c r="D554">
        <v>3097561.253</v>
      </c>
      <c r="E554">
        <v>632.36</v>
      </c>
      <c r="F554">
        <v>5.2</v>
      </c>
      <c r="G554">
        <v>0</v>
      </c>
      <c r="H554" t="s">
        <v>186</v>
      </c>
      <c r="I554">
        <v>7.8E-2</v>
      </c>
      <c r="J554">
        <f t="shared" si="257"/>
        <v>1</v>
      </c>
      <c r="K554">
        <f t="shared" si="258"/>
        <v>51</v>
      </c>
      <c r="L554">
        <f t="shared" ca="1" si="259"/>
        <v>51797.843837663619</v>
      </c>
      <c r="M554">
        <f t="shared" ca="1" si="236"/>
        <v>269348.78795585083</v>
      </c>
      <c r="N554">
        <f t="shared" ca="1" si="237"/>
        <v>2.5998694991876676</v>
      </c>
      <c r="O554">
        <f t="shared" ca="1" si="238"/>
        <v>1.8934557080078435E-4</v>
      </c>
      <c r="P554">
        <f t="shared" ca="1" si="239"/>
        <v>52430.203837663619</v>
      </c>
      <c r="Q554">
        <f t="shared" ca="1" si="240"/>
        <v>52430.203837665445</v>
      </c>
      <c r="R554">
        <f t="shared" ca="1" si="241"/>
        <v>2.2564415439646509E-12</v>
      </c>
      <c r="S554">
        <f t="shared" ca="1" si="260"/>
        <v>5.0000000192085281E-4</v>
      </c>
      <c r="T554">
        <f t="shared" ca="1" si="261"/>
        <v>1</v>
      </c>
      <c r="U554">
        <f t="shared" ca="1" si="242"/>
        <v>51800.26683766341</v>
      </c>
      <c r="V554">
        <f t="shared" ca="1" si="243"/>
        <v>269361.38755584974</v>
      </c>
      <c r="W554">
        <f t="shared" ca="1" si="244"/>
        <v>2.5998695052916441</v>
      </c>
      <c r="X554">
        <f t="shared" ca="1" si="245"/>
        <v>1.8933671400629237E-4</v>
      </c>
      <c r="Y554">
        <f t="shared" ca="1" si="246"/>
        <v>52432.626837663411</v>
      </c>
      <c r="Z554">
        <f t="shared" ca="1" si="247"/>
        <v>52432.626837665237</v>
      </c>
      <c r="AA554">
        <f t="shared" ca="1" si="248"/>
        <v>2.2562304480281055E-12</v>
      </c>
      <c r="AB554">
        <f t="shared" ca="1" si="249"/>
        <v>-5.0000000192085281E-4</v>
      </c>
      <c r="AC554">
        <f t="shared" ca="1" si="250"/>
        <v>1</v>
      </c>
      <c r="AD554">
        <f ca="1">IF(V32="Supercritical",L554,IF(V32="Subcritical",U554,IF(AND(T554=1,AC554=1),IF((((F554)*(L554)^2)/2+(G554)*(L554)^3/3+(ABS(K554)^2)/($I$5*MAX(((F554)+(G554)*(L554))*(L554),0.000001)))&gt;=(((F554)*(U554)^2)/2+(G554)*(U554)^3/3+(ABS(K554)^2)/($I$5*MAX(((F554)+(G554)*(U554))*(U554),0.000001))),L554,U554),IF(T554=1,L554,IF(AC554=1,U554,MAX($D$16,POWER((ABS(K554)^2)/($I$5*MAX(F554,0.1)^2),1/3)))))))</f>
        <v>51800.26683766341</v>
      </c>
      <c r="AE554">
        <f t="shared" ca="1" si="251"/>
        <v>52432.626837663411</v>
      </c>
      <c r="AF554">
        <f t="shared" ca="1" si="252"/>
        <v>52432.626837665237</v>
      </c>
      <c r="AI554">
        <v>0</v>
      </c>
      <c r="AJ554">
        <v>0</v>
      </c>
      <c r="AK554">
        <f t="shared" si="253"/>
        <v>0</v>
      </c>
      <c r="AL554">
        <f t="shared" si="262"/>
        <v>0</v>
      </c>
      <c r="AM554">
        <f t="shared" ca="1" si="254"/>
        <v>2.6560383008097266E-7</v>
      </c>
      <c r="AN554" t="str">
        <f t="shared" ca="1" si="255"/>
        <v>Subcritical</v>
      </c>
      <c r="AO554">
        <f t="shared" ca="1" si="256"/>
        <v>2.2562304480281055E-12</v>
      </c>
    </row>
    <row r="555" spans="1:41" x14ac:dyDescent="0.35">
      <c r="A555">
        <v>406</v>
      </c>
      <c r="B555">
        <v>404.89600000000002</v>
      </c>
      <c r="C555">
        <v>616249.42299999995</v>
      </c>
      <c r="D555">
        <v>3097560.372</v>
      </c>
      <c r="E555">
        <v>632.35950000000003</v>
      </c>
      <c r="F555">
        <v>5.2</v>
      </c>
      <c r="G555">
        <v>0</v>
      </c>
      <c r="H555" t="s">
        <v>186</v>
      </c>
      <c r="I555">
        <v>2.7E-2</v>
      </c>
      <c r="J555">
        <f t="shared" si="257"/>
        <v>1.0010000000000332</v>
      </c>
      <c r="K555">
        <f t="shared" si="258"/>
        <v>51</v>
      </c>
      <c r="L555">
        <f t="shared" ca="1" si="259"/>
        <v>51797.843837663619</v>
      </c>
      <c r="M555">
        <f t="shared" ca="1" si="236"/>
        <v>269348.78795585083</v>
      </c>
      <c r="N555">
        <f t="shared" ca="1" si="237"/>
        <v>2.5998694991876676</v>
      </c>
      <c r="O555">
        <f t="shared" ca="1" si="238"/>
        <v>1.8934557080078435E-4</v>
      </c>
      <c r="P555">
        <f t="shared" ca="1" si="239"/>
        <v>52430.203337663617</v>
      </c>
      <c r="Q555">
        <f t="shared" ca="1" si="240"/>
        <v>52430.203337665444</v>
      </c>
      <c r="R555">
        <f t="shared" ca="1" si="241"/>
        <v>2.2564415439646509E-12</v>
      </c>
      <c r="S555">
        <f t="shared" ca="1" si="260"/>
        <v>5.0000000192085281E-4</v>
      </c>
      <c r="T555">
        <f t="shared" ca="1" si="261"/>
        <v>1</v>
      </c>
      <c r="U555">
        <f t="shared" ca="1" si="242"/>
        <v>51800.26683766341</v>
      </c>
      <c r="V555">
        <f t="shared" ca="1" si="243"/>
        <v>269361.38755584974</v>
      </c>
      <c r="W555">
        <f t="shared" ca="1" si="244"/>
        <v>2.5998695052916441</v>
      </c>
      <c r="X555">
        <f t="shared" ca="1" si="245"/>
        <v>1.8933671400629237E-4</v>
      </c>
      <c r="Y555">
        <f t="shared" ca="1" si="246"/>
        <v>52432.626337663409</v>
      </c>
      <c r="Z555">
        <f t="shared" ca="1" si="247"/>
        <v>52432.626337665235</v>
      </c>
      <c r="AA555">
        <f t="shared" ca="1" si="248"/>
        <v>2.2562304480281055E-12</v>
      </c>
      <c r="AB555">
        <f t="shared" ca="1" si="249"/>
        <v>-5.0000000192085281E-4</v>
      </c>
      <c r="AC555">
        <f t="shared" ca="1" si="250"/>
        <v>1</v>
      </c>
      <c r="AD555">
        <f ca="1">IF(V32="Supercritical",L555,IF(V32="Subcritical",U555,IF(AND(T555=1,AC555=1),IF((((F555)*(L555)^2)/2+(G555)*(L555)^3/3+(ABS(K555)^2)/($I$5*MAX(((F555)+(G555)*(L555))*(L555),0.000001)))&gt;=(((F555)*(U555)^2)/2+(G555)*(U555)^3/3+(ABS(K555)^2)/($I$5*MAX(((F555)+(G555)*(U555))*(U555),0.000001))),L555,U555),IF(T555=1,L555,IF(AC555=1,U555,MAX($D$16,POWER((ABS(K555)^2)/($I$5*MAX(F555,0.1)^2),1/3)))))))</f>
        <v>51800.26683766341</v>
      </c>
      <c r="AE555">
        <f t="shared" ca="1" si="251"/>
        <v>52432.626337663409</v>
      </c>
      <c r="AF555">
        <f t="shared" ca="1" si="252"/>
        <v>52432.626337665235</v>
      </c>
      <c r="AI555">
        <v>0</v>
      </c>
      <c r="AJ555">
        <v>0</v>
      </c>
      <c r="AK555">
        <f t="shared" si="253"/>
        <v>0</v>
      </c>
      <c r="AL555">
        <f t="shared" si="262"/>
        <v>0</v>
      </c>
      <c r="AM555">
        <f t="shared" ca="1" si="254"/>
        <v>2.6560383008097266E-7</v>
      </c>
      <c r="AN555" t="str">
        <f t="shared" ca="1" si="255"/>
        <v>Subcritical</v>
      </c>
      <c r="AO555">
        <f t="shared" ca="1" si="256"/>
        <v>2.2562304480281055E-12</v>
      </c>
    </row>
    <row r="556" spans="1:41" x14ac:dyDescent="0.35">
      <c r="A556">
        <v>407</v>
      </c>
      <c r="B556">
        <v>405.89499999999998</v>
      </c>
      <c r="C556">
        <v>616248.94900000002</v>
      </c>
      <c r="D556">
        <v>3097559.4920000001</v>
      </c>
      <c r="E556">
        <v>632.35900000000004</v>
      </c>
      <c r="F556">
        <v>5.2</v>
      </c>
      <c r="G556">
        <v>0</v>
      </c>
      <c r="H556" t="s">
        <v>186</v>
      </c>
      <c r="I556">
        <v>2.7E-2</v>
      </c>
      <c r="J556">
        <f t="shared" si="257"/>
        <v>0.9989999999999668</v>
      </c>
      <c r="K556">
        <f t="shared" si="258"/>
        <v>51</v>
      </c>
      <c r="L556">
        <f t="shared" ca="1" si="259"/>
        <v>51797.843837663619</v>
      </c>
      <c r="M556">
        <f t="shared" ca="1" si="236"/>
        <v>269348.78795585083</v>
      </c>
      <c r="N556">
        <f t="shared" ca="1" si="237"/>
        <v>2.5998694991876676</v>
      </c>
      <c r="O556">
        <f t="shared" ca="1" si="238"/>
        <v>1.8934557080078435E-4</v>
      </c>
      <c r="P556">
        <f t="shared" ca="1" si="239"/>
        <v>52430.202837663615</v>
      </c>
      <c r="Q556">
        <f t="shared" ca="1" si="240"/>
        <v>52430.202837665442</v>
      </c>
      <c r="R556">
        <f t="shared" ca="1" si="241"/>
        <v>2.2564415439646509E-12</v>
      </c>
      <c r="S556">
        <f t="shared" ca="1" si="260"/>
        <v>5.0000000192085281E-4</v>
      </c>
      <c r="T556">
        <f t="shared" ca="1" si="261"/>
        <v>1</v>
      </c>
      <c r="U556">
        <f t="shared" ca="1" si="242"/>
        <v>51800.26683766341</v>
      </c>
      <c r="V556">
        <f t="shared" ca="1" si="243"/>
        <v>269361.38755584974</v>
      </c>
      <c r="W556">
        <f t="shared" ca="1" si="244"/>
        <v>2.5998695052916441</v>
      </c>
      <c r="X556">
        <f t="shared" ca="1" si="245"/>
        <v>1.8933671400629237E-4</v>
      </c>
      <c r="Y556">
        <f t="shared" ca="1" si="246"/>
        <v>52432.625837663407</v>
      </c>
      <c r="Z556">
        <f t="shared" ca="1" si="247"/>
        <v>52432.625837665233</v>
      </c>
      <c r="AA556">
        <f t="shared" ca="1" si="248"/>
        <v>2.2562304480281055E-12</v>
      </c>
      <c r="AB556">
        <f t="shared" ca="1" si="249"/>
        <v>-4.999999946448952E-4</v>
      </c>
      <c r="AC556">
        <f t="shared" ca="1" si="250"/>
        <v>1</v>
      </c>
      <c r="AD556">
        <f ca="1">IF(V32="Supercritical",L556,IF(V32="Subcritical",U556,IF(AND(T556=1,AC556=1),IF((((F556)*(L556)^2)/2+(G556)*(L556)^3/3+(ABS(K556)^2)/($I$5*MAX(((F556)+(G556)*(L556))*(L556),0.000001)))&gt;=(((F556)*(U556)^2)/2+(G556)*(U556)^3/3+(ABS(K556)^2)/($I$5*MAX(((F556)+(G556)*(U556))*(U556),0.000001))),L556,U556),IF(T556=1,L556,IF(AC556=1,U556,MAX($D$16,POWER((ABS(K556)^2)/($I$5*MAX(F556,0.1)^2),1/3)))))))</f>
        <v>51800.26683766341</v>
      </c>
      <c r="AE556">
        <f t="shared" ca="1" si="251"/>
        <v>52432.625837663407</v>
      </c>
      <c r="AF556">
        <f t="shared" ca="1" si="252"/>
        <v>52432.625837665233</v>
      </c>
      <c r="AI556">
        <v>0</v>
      </c>
      <c r="AJ556">
        <v>0</v>
      </c>
      <c r="AK556">
        <f t="shared" si="253"/>
        <v>0</v>
      </c>
      <c r="AL556">
        <f t="shared" si="262"/>
        <v>0</v>
      </c>
      <c r="AM556">
        <f t="shared" ca="1" si="254"/>
        <v>2.6560383008097266E-7</v>
      </c>
      <c r="AN556" t="str">
        <f t="shared" ca="1" si="255"/>
        <v>Subcritical</v>
      </c>
      <c r="AO556">
        <f t="shared" ca="1" si="256"/>
        <v>2.2562304480281055E-12</v>
      </c>
    </row>
    <row r="557" spans="1:41" x14ac:dyDescent="0.35">
      <c r="A557">
        <v>408</v>
      </c>
      <c r="B557">
        <v>406.89600000000002</v>
      </c>
      <c r="C557">
        <v>616248.47499999998</v>
      </c>
      <c r="D557">
        <v>3097558.611</v>
      </c>
      <c r="E557">
        <v>632.35850000000005</v>
      </c>
      <c r="F557">
        <v>5.2</v>
      </c>
      <c r="G557">
        <v>0</v>
      </c>
      <c r="H557" t="s">
        <v>186</v>
      </c>
      <c r="I557">
        <v>7.8E-2</v>
      </c>
      <c r="J557">
        <f t="shared" si="257"/>
        <v>1.0010000000000332</v>
      </c>
      <c r="K557">
        <f t="shared" si="258"/>
        <v>51</v>
      </c>
      <c r="L557">
        <f t="shared" ca="1" si="259"/>
        <v>51797.843837663619</v>
      </c>
      <c r="M557">
        <f t="shared" ca="1" si="236"/>
        <v>269348.78795585083</v>
      </c>
      <c r="N557">
        <f t="shared" ca="1" si="237"/>
        <v>2.5998694991876676</v>
      </c>
      <c r="O557">
        <f t="shared" ca="1" si="238"/>
        <v>1.8934557080078435E-4</v>
      </c>
      <c r="P557">
        <f t="shared" ca="1" si="239"/>
        <v>52430.202337663621</v>
      </c>
      <c r="Q557">
        <f t="shared" ca="1" si="240"/>
        <v>52430.202337665447</v>
      </c>
      <c r="R557">
        <f t="shared" ca="1" si="241"/>
        <v>2.2564415439646509E-12</v>
      </c>
      <c r="S557">
        <f t="shared" ca="1" si="260"/>
        <v>4.999999946448952E-4</v>
      </c>
      <c r="T557">
        <f t="shared" ca="1" si="261"/>
        <v>1</v>
      </c>
      <c r="U557">
        <f t="shared" ca="1" si="242"/>
        <v>51800.26683766341</v>
      </c>
      <c r="V557">
        <f t="shared" ca="1" si="243"/>
        <v>269361.38755584974</v>
      </c>
      <c r="W557">
        <f t="shared" ca="1" si="244"/>
        <v>2.5998695052916441</v>
      </c>
      <c r="X557">
        <f t="shared" ca="1" si="245"/>
        <v>1.8933671400629237E-4</v>
      </c>
      <c r="Y557">
        <f t="shared" ca="1" si="246"/>
        <v>52432.625337663412</v>
      </c>
      <c r="Z557">
        <f t="shared" ca="1" si="247"/>
        <v>52432.625337665238</v>
      </c>
      <c r="AA557">
        <f t="shared" ca="1" si="248"/>
        <v>2.2562304480281055E-12</v>
      </c>
      <c r="AB557">
        <f t="shared" ca="1" si="249"/>
        <v>-5.0000000192085281E-4</v>
      </c>
      <c r="AC557">
        <f t="shared" ca="1" si="250"/>
        <v>1</v>
      </c>
      <c r="AD557">
        <f ca="1">IF(V32="Supercritical",L557,IF(V32="Subcritical",U557,IF(AND(T557=1,AC557=1),IF((((F557)*(L557)^2)/2+(G557)*(L557)^3/3+(ABS(K557)^2)/($I$5*MAX(((F557)+(G557)*(L557))*(L557),0.000001)))&gt;=(((F557)*(U557)^2)/2+(G557)*(U557)^3/3+(ABS(K557)^2)/($I$5*MAX(((F557)+(G557)*(U557))*(U557),0.000001))),L557,U557),IF(T557=1,L557,IF(AC557=1,U557,MAX($D$16,POWER((ABS(K557)^2)/($I$5*MAX(F557,0.1)^2),1/3)))))))</f>
        <v>51800.26683766341</v>
      </c>
      <c r="AE557">
        <f t="shared" ca="1" si="251"/>
        <v>52432.625337663412</v>
      </c>
      <c r="AF557">
        <f t="shared" ca="1" si="252"/>
        <v>52432.625337665238</v>
      </c>
      <c r="AI557">
        <v>0</v>
      </c>
      <c r="AJ557">
        <v>0</v>
      </c>
      <c r="AK557">
        <f t="shared" si="253"/>
        <v>0</v>
      </c>
      <c r="AL557">
        <f t="shared" si="262"/>
        <v>0</v>
      </c>
      <c r="AM557">
        <f t="shared" ca="1" si="254"/>
        <v>2.6560383008097266E-7</v>
      </c>
      <c r="AN557" t="str">
        <f t="shared" ca="1" si="255"/>
        <v>Subcritical</v>
      </c>
      <c r="AO557">
        <f t="shared" ca="1" si="256"/>
        <v>2.2562304480281055E-12</v>
      </c>
    </row>
    <row r="558" spans="1:41" x14ac:dyDescent="0.35">
      <c r="A558">
        <v>409</v>
      </c>
      <c r="B558">
        <v>407.89600000000002</v>
      </c>
      <c r="C558">
        <v>616248</v>
      </c>
      <c r="D558">
        <v>3097557.7310000001</v>
      </c>
      <c r="E558">
        <v>632.35799999999995</v>
      </c>
      <c r="F558">
        <v>5.2</v>
      </c>
      <c r="G558">
        <v>0</v>
      </c>
      <c r="H558" t="s">
        <v>186</v>
      </c>
      <c r="I558">
        <v>0.05</v>
      </c>
      <c r="J558">
        <f t="shared" si="257"/>
        <v>1</v>
      </c>
      <c r="K558">
        <f t="shared" si="258"/>
        <v>51</v>
      </c>
      <c r="L558">
        <f t="shared" ca="1" si="259"/>
        <v>51797.843837663619</v>
      </c>
      <c r="M558">
        <f t="shared" ca="1" si="236"/>
        <v>269348.78795585083</v>
      </c>
      <c r="N558">
        <f t="shared" ca="1" si="237"/>
        <v>2.5998694991876676</v>
      </c>
      <c r="O558">
        <f t="shared" ca="1" si="238"/>
        <v>1.8934557080078435E-4</v>
      </c>
      <c r="P558">
        <f t="shared" ca="1" si="239"/>
        <v>52430.201837663619</v>
      </c>
      <c r="Q558">
        <f t="shared" ca="1" si="240"/>
        <v>52430.201837665445</v>
      </c>
      <c r="R558">
        <f t="shared" ca="1" si="241"/>
        <v>2.2564415439646509E-12</v>
      </c>
      <c r="S558">
        <f t="shared" ca="1" si="260"/>
        <v>5.0000000192085281E-4</v>
      </c>
      <c r="T558">
        <f t="shared" ca="1" si="261"/>
        <v>1</v>
      </c>
      <c r="U558">
        <f t="shared" ca="1" si="242"/>
        <v>51800.26683766341</v>
      </c>
      <c r="V558">
        <f t="shared" ca="1" si="243"/>
        <v>269361.38755584974</v>
      </c>
      <c r="W558">
        <f t="shared" ca="1" si="244"/>
        <v>2.5998695052916441</v>
      </c>
      <c r="X558">
        <f t="shared" ca="1" si="245"/>
        <v>1.8933671400629237E-4</v>
      </c>
      <c r="Y558">
        <f t="shared" ca="1" si="246"/>
        <v>52432.62483766341</v>
      </c>
      <c r="Z558">
        <f t="shared" ca="1" si="247"/>
        <v>52432.624837665237</v>
      </c>
      <c r="AA558">
        <f t="shared" ca="1" si="248"/>
        <v>2.2562304480281055E-12</v>
      </c>
      <c r="AB558">
        <f t="shared" ca="1" si="249"/>
        <v>-5.0000000192085281E-4</v>
      </c>
      <c r="AC558">
        <f t="shared" ca="1" si="250"/>
        <v>1</v>
      </c>
      <c r="AD558">
        <f ca="1">IF(V32="Supercritical",L558,IF(V32="Subcritical",U558,IF(AND(T558=1,AC558=1),IF((((F558)*(L558)^2)/2+(G558)*(L558)^3/3+(ABS(K558)^2)/($I$5*MAX(((F558)+(G558)*(L558))*(L558),0.000001)))&gt;=(((F558)*(U558)^2)/2+(G558)*(U558)^3/3+(ABS(K558)^2)/($I$5*MAX(((F558)+(G558)*(U558))*(U558),0.000001))),L558,U558),IF(T558=1,L558,IF(AC558=1,U558,MAX($D$16,POWER((ABS(K558)^2)/($I$5*MAX(F558,0.1)^2),1/3)))))))</f>
        <v>51800.26683766341</v>
      </c>
      <c r="AE558">
        <f t="shared" ca="1" si="251"/>
        <v>52432.62483766341</v>
      </c>
      <c r="AF558">
        <f t="shared" ca="1" si="252"/>
        <v>52432.624837665237</v>
      </c>
      <c r="AI558">
        <v>0</v>
      </c>
      <c r="AJ558">
        <v>0</v>
      </c>
      <c r="AK558">
        <f t="shared" si="253"/>
        <v>0</v>
      </c>
      <c r="AL558">
        <f t="shared" si="262"/>
        <v>0</v>
      </c>
      <c r="AM558">
        <f t="shared" ca="1" si="254"/>
        <v>2.6560383008097266E-7</v>
      </c>
      <c r="AN558" t="str">
        <f t="shared" ca="1" si="255"/>
        <v>Subcritical</v>
      </c>
      <c r="AO558">
        <f t="shared" ca="1" si="256"/>
        <v>2.2562304480281055E-12</v>
      </c>
    </row>
    <row r="559" spans="1:41" x14ac:dyDescent="0.35">
      <c r="A559">
        <v>410</v>
      </c>
      <c r="B559">
        <v>408.89499999999998</v>
      </c>
      <c r="C559">
        <v>616247.52599999995</v>
      </c>
      <c r="D559">
        <v>3097556.8509999998</v>
      </c>
      <c r="E559">
        <v>632.35749999999996</v>
      </c>
      <c r="F559">
        <v>5.2</v>
      </c>
      <c r="G559">
        <v>0</v>
      </c>
      <c r="H559" t="s">
        <v>186</v>
      </c>
      <c r="I559">
        <v>2.7E-2</v>
      </c>
      <c r="J559">
        <f t="shared" si="257"/>
        <v>0.9989999999999668</v>
      </c>
      <c r="K559">
        <f t="shared" si="258"/>
        <v>51</v>
      </c>
      <c r="L559">
        <f t="shared" ca="1" si="259"/>
        <v>51797.843837663619</v>
      </c>
      <c r="M559">
        <f t="shared" ca="1" si="236"/>
        <v>269348.78795585083</v>
      </c>
      <c r="N559">
        <f t="shared" ca="1" si="237"/>
        <v>2.5998694991876676</v>
      </c>
      <c r="O559">
        <f t="shared" ca="1" si="238"/>
        <v>1.8934557080078435E-4</v>
      </c>
      <c r="P559">
        <f t="shared" ca="1" si="239"/>
        <v>52430.201337663617</v>
      </c>
      <c r="Q559">
        <f t="shared" ca="1" si="240"/>
        <v>52430.201337665443</v>
      </c>
      <c r="R559">
        <f t="shared" ca="1" si="241"/>
        <v>2.2564415439646509E-12</v>
      </c>
      <c r="S559">
        <f t="shared" ca="1" si="260"/>
        <v>5.0000000192085281E-4</v>
      </c>
      <c r="T559">
        <f t="shared" ca="1" si="261"/>
        <v>1</v>
      </c>
      <c r="U559">
        <f t="shared" ca="1" si="242"/>
        <v>51800.26683766341</v>
      </c>
      <c r="V559">
        <f t="shared" ca="1" si="243"/>
        <v>269361.38755584974</v>
      </c>
      <c r="W559">
        <f t="shared" ca="1" si="244"/>
        <v>2.5998695052916441</v>
      </c>
      <c r="X559">
        <f t="shared" ca="1" si="245"/>
        <v>1.8933671400629237E-4</v>
      </c>
      <c r="Y559">
        <f t="shared" ca="1" si="246"/>
        <v>52432.624337663408</v>
      </c>
      <c r="Z559">
        <f t="shared" ca="1" si="247"/>
        <v>52432.624337665235</v>
      </c>
      <c r="AA559">
        <f t="shared" ca="1" si="248"/>
        <v>2.2562304480281055E-12</v>
      </c>
      <c r="AB559">
        <f t="shared" ca="1" si="249"/>
        <v>-4.999999946448952E-4</v>
      </c>
      <c r="AC559">
        <f t="shared" ca="1" si="250"/>
        <v>1</v>
      </c>
      <c r="AD559">
        <f ca="1">IF(V32="Supercritical",L559,IF(V32="Subcritical",U559,IF(AND(T559=1,AC559=1),IF((((F559)*(L559)^2)/2+(G559)*(L559)^3/3+(ABS(K559)^2)/($I$5*MAX(((F559)+(G559)*(L559))*(L559),0.000001)))&gt;=(((F559)*(U559)^2)/2+(G559)*(U559)^3/3+(ABS(K559)^2)/($I$5*MAX(((F559)+(G559)*(U559))*(U559),0.000001))),L559,U559),IF(T559=1,L559,IF(AC559=1,U559,MAX($D$16,POWER((ABS(K559)^2)/($I$5*MAX(F559,0.1)^2),1/3)))))))</f>
        <v>51800.26683766341</v>
      </c>
      <c r="AE559">
        <f t="shared" ca="1" si="251"/>
        <v>52432.624337663408</v>
      </c>
      <c r="AF559">
        <f t="shared" ca="1" si="252"/>
        <v>52432.624337665235</v>
      </c>
      <c r="AI559">
        <v>0</v>
      </c>
      <c r="AJ559">
        <v>0</v>
      </c>
      <c r="AK559">
        <f t="shared" si="253"/>
        <v>0</v>
      </c>
      <c r="AL559">
        <f t="shared" si="262"/>
        <v>0</v>
      </c>
      <c r="AM559">
        <f t="shared" ca="1" si="254"/>
        <v>2.6560383008097266E-7</v>
      </c>
      <c r="AN559" t="str">
        <f t="shared" ca="1" si="255"/>
        <v>Subcritical</v>
      </c>
      <c r="AO559">
        <f t="shared" ca="1" si="256"/>
        <v>2.2562304480281055E-12</v>
      </c>
    </row>
    <row r="560" spans="1:41" x14ac:dyDescent="0.35">
      <c r="A560">
        <v>411</v>
      </c>
      <c r="B560">
        <v>409.89499999999998</v>
      </c>
      <c r="C560">
        <v>616247.05200000003</v>
      </c>
      <c r="D560">
        <v>3097555.97</v>
      </c>
      <c r="E560">
        <v>632.35699999999997</v>
      </c>
      <c r="F560">
        <v>5.2</v>
      </c>
      <c r="G560">
        <v>0</v>
      </c>
      <c r="H560" t="s">
        <v>186</v>
      </c>
      <c r="I560">
        <v>2.7E-2</v>
      </c>
      <c r="J560">
        <f t="shared" si="257"/>
        <v>1</v>
      </c>
      <c r="K560">
        <f t="shared" si="258"/>
        <v>51</v>
      </c>
      <c r="L560">
        <f t="shared" ca="1" si="259"/>
        <v>51797.843837663619</v>
      </c>
      <c r="M560">
        <f t="shared" ca="1" si="236"/>
        <v>269348.78795585083</v>
      </c>
      <c r="N560">
        <f t="shared" ca="1" si="237"/>
        <v>2.5998694991876676</v>
      </c>
      <c r="O560">
        <f t="shared" ca="1" si="238"/>
        <v>1.8934557080078435E-4</v>
      </c>
      <c r="P560">
        <f t="shared" ca="1" si="239"/>
        <v>52430.200837663622</v>
      </c>
      <c r="Q560">
        <f t="shared" ca="1" si="240"/>
        <v>52430.200837665448</v>
      </c>
      <c r="R560">
        <f t="shared" ca="1" si="241"/>
        <v>2.2564415439646509E-12</v>
      </c>
      <c r="S560">
        <f t="shared" ca="1" si="260"/>
        <v>4.999999946448952E-4</v>
      </c>
      <c r="T560">
        <f t="shared" ca="1" si="261"/>
        <v>1</v>
      </c>
      <c r="U560">
        <f t="shared" ca="1" si="242"/>
        <v>51800.26683766341</v>
      </c>
      <c r="V560">
        <f t="shared" ca="1" si="243"/>
        <v>269361.38755584974</v>
      </c>
      <c r="W560">
        <f t="shared" ca="1" si="244"/>
        <v>2.5998695052916441</v>
      </c>
      <c r="X560">
        <f t="shared" ca="1" si="245"/>
        <v>1.8933671400629237E-4</v>
      </c>
      <c r="Y560">
        <f t="shared" ca="1" si="246"/>
        <v>52432.623837663414</v>
      </c>
      <c r="Z560">
        <f t="shared" ca="1" si="247"/>
        <v>52432.62383766524</v>
      </c>
      <c r="AA560">
        <f t="shared" ca="1" si="248"/>
        <v>2.2562304480281055E-12</v>
      </c>
      <c r="AB560">
        <f t="shared" ca="1" si="249"/>
        <v>-5.0000000192085281E-4</v>
      </c>
      <c r="AC560">
        <f t="shared" ca="1" si="250"/>
        <v>1</v>
      </c>
      <c r="AD560">
        <f ca="1">IF(V32="Supercritical",L560,IF(V32="Subcritical",U560,IF(AND(T560=1,AC560=1),IF((((F560)*(L560)^2)/2+(G560)*(L560)^3/3+(ABS(K560)^2)/($I$5*MAX(((F560)+(G560)*(L560))*(L560),0.000001)))&gt;=(((F560)*(U560)^2)/2+(G560)*(U560)^3/3+(ABS(K560)^2)/($I$5*MAX(((F560)+(G560)*(U560))*(U560),0.000001))),L560,U560),IF(T560=1,L560,IF(AC560=1,U560,MAX($D$16,POWER((ABS(K560)^2)/($I$5*MAX(F560,0.1)^2),1/3)))))))</f>
        <v>51800.26683766341</v>
      </c>
      <c r="AE560">
        <f t="shared" ca="1" si="251"/>
        <v>52432.623837663414</v>
      </c>
      <c r="AF560">
        <f t="shared" ca="1" si="252"/>
        <v>52432.62383766524</v>
      </c>
      <c r="AI560">
        <v>0</v>
      </c>
      <c r="AJ560">
        <v>0</v>
      </c>
      <c r="AK560">
        <f t="shared" si="253"/>
        <v>0</v>
      </c>
      <c r="AL560">
        <f t="shared" si="262"/>
        <v>0</v>
      </c>
      <c r="AM560">
        <f t="shared" ca="1" si="254"/>
        <v>2.6560383008097266E-7</v>
      </c>
      <c r="AN560" t="str">
        <f t="shared" ca="1" si="255"/>
        <v>Subcritical</v>
      </c>
      <c r="AO560">
        <f t="shared" ca="1" si="256"/>
        <v>2.2562304480281055E-12</v>
      </c>
    </row>
    <row r="561" spans="1:41" x14ac:dyDescent="0.35">
      <c r="A561">
        <v>412</v>
      </c>
      <c r="B561">
        <v>410.89499999999998</v>
      </c>
      <c r="C561">
        <v>616246.57799999998</v>
      </c>
      <c r="D561">
        <v>3097555.09</v>
      </c>
      <c r="E561">
        <v>632.35649999999998</v>
      </c>
      <c r="F561">
        <v>5.2</v>
      </c>
      <c r="G561">
        <v>0</v>
      </c>
      <c r="H561" t="s">
        <v>186</v>
      </c>
      <c r="I561">
        <v>2.3E-2</v>
      </c>
      <c r="J561">
        <f t="shared" si="257"/>
        <v>1</v>
      </c>
      <c r="K561">
        <f t="shared" si="258"/>
        <v>51</v>
      </c>
      <c r="L561">
        <f t="shared" ca="1" si="259"/>
        <v>51797.843837663619</v>
      </c>
      <c r="M561">
        <f t="shared" ca="1" si="236"/>
        <v>269348.78795585083</v>
      </c>
      <c r="N561">
        <f t="shared" ca="1" si="237"/>
        <v>2.5998694991876676</v>
      </c>
      <c r="O561">
        <f t="shared" ca="1" si="238"/>
        <v>1.8934557080078435E-4</v>
      </c>
      <c r="P561">
        <f t="shared" ca="1" si="239"/>
        <v>52430.20033766362</v>
      </c>
      <c r="Q561">
        <f t="shared" ca="1" si="240"/>
        <v>52430.200337665447</v>
      </c>
      <c r="R561">
        <f t="shared" ca="1" si="241"/>
        <v>2.2564415439646509E-12</v>
      </c>
      <c r="S561">
        <f t="shared" ca="1" si="260"/>
        <v>5.0000000192085281E-4</v>
      </c>
      <c r="T561">
        <f t="shared" ca="1" si="261"/>
        <v>1</v>
      </c>
      <c r="U561">
        <f t="shared" ca="1" si="242"/>
        <v>51800.26683766341</v>
      </c>
      <c r="V561">
        <f t="shared" ca="1" si="243"/>
        <v>269361.38755584974</v>
      </c>
      <c r="W561">
        <f t="shared" ca="1" si="244"/>
        <v>2.5998695052916441</v>
      </c>
      <c r="X561">
        <f t="shared" ca="1" si="245"/>
        <v>1.8933671400629237E-4</v>
      </c>
      <c r="Y561">
        <f t="shared" ca="1" si="246"/>
        <v>52432.623337663412</v>
      </c>
      <c r="Z561">
        <f t="shared" ca="1" si="247"/>
        <v>52432.623337665238</v>
      </c>
      <c r="AA561">
        <f t="shared" ca="1" si="248"/>
        <v>2.2562304480281055E-12</v>
      </c>
      <c r="AB561">
        <f t="shared" ca="1" si="249"/>
        <v>-5.0000000192085281E-4</v>
      </c>
      <c r="AC561">
        <f t="shared" ca="1" si="250"/>
        <v>1</v>
      </c>
      <c r="AD561">
        <f ca="1">IF(V32="Supercritical",L561,IF(V32="Subcritical",U561,IF(AND(T561=1,AC561=1),IF((((F561)*(L561)^2)/2+(G561)*(L561)^3/3+(ABS(K561)^2)/($I$5*MAX(((F561)+(G561)*(L561))*(L561),0.000001)))&gt;=(((F561)*(U561)^2)/2+(G561)*(U561)^3/3+(ABS(K561)^2)/($I$5*MAX(((F561)+(G561)*(U561))*(U561),0.000001))),L561,U561),IF(T561=1,L561,IF(AC561=1,U561,MAX($D$16,POWER((ABS(K561)^2)/($I$5*MAX(F561,0.1)^2),1/3)))))))</f>
        <v>51800.26683766341</v>
      </c>
      <c r="AE561">
        <f t="shared" ca="1" si="251"/>
        <v>52432.623337663412</v>
      </c>
      <c r="AF561">
        <f t="shared" ca="1" si="252"/>
        <v>52432.623337665238</v>
      </c>
      <c r="AI561">
        <v>0</v>
      </c>
      <c r="AJ561">
        <v>0</v>
      </c>
      <c r="AK561">
        <f t="shared" si="253"/>
        <v>0</v>
      </c>
      <c r="AL561">
        <f t="shared" si="262"/>
        <v>0</v>
      </c>
      <c r="AM561">
        <f t="shared" ca="1" si="254"/>
        <v>2.6560383008097266E-7</v>
      </c>
      <c r="AN561" t="str">
        <f t="shared" ca="1" si="255"/>
        <v>Subcritical</v>
      </c>
      <c r="AO561">
        <f t="shared" ca="1" si="256"/>
        <v>2.2562304480281055E-12</v>
      </c>
    </row>
    <row r="562" spans="1:41" x14ac:dyDescent="0.35">
      <c r="A562">
        <v>413</v>
      </c>
      <c r="B562">
        <v>411.89600000000002</v>
      </c>
      <c r="C562">
        <v>616246.103</v>
      </c>
      <c r="D562">
        <v>3097554.2089999998</v>
      </c>
      <c r="E562">
        <v>632.35599999999999</v>
      </c>
      <c r="F562">
        <v>5.2</v>
      </c>
      <c r="G562">
        <v>0</v>
      </c>
      <c r="H562" t="s">
        <v>186</v>
      </c>
      <c r="I562">
        <v>2.3E-2</v>
      </c>
      <c r="J562">
        <f t="shared" si="257"/>
        <v>1.0010000000000332</v>
      </c>
      <c r="K562">
        <f t="shared" si="258"/>
        <v>51</v>
      </c>
      <c r="L562">
        <f t="shared" ca="1" si="259"/>
        <v>51797.843837663619</v>
      </c>
      <c r="M562">
        <f t="shared" ca="1" si="236"/>
        <v>269348.78795585083</v>
      </c>
      <c r="N562">
        <f t="shared" ca="1" si="237"/>
        <v>2.5998694991876676</v>
      </c>
      <c r="O562">
        <f t="shared" ca="1" si="238"/>
        <v>1.8934557080078435E-4</v>
      </c>
      <c r="P562">
        <f t="shared" ca="1" si="239"/>
        <v>52430.199837663618</v>
      </c>
      <c r="Q562">
        <f t="shared" ca="1" si="240"/>
        <v>52430.199837665445</v>
      </c>
      <c r="R562">
        <f t="shared" ca="1" si="241"/>
        <v>2.2564415439646509E-12</v>
      </c>
      <c r="S562">
        <f t="shared" ca="1" si="260"/>
        <v>5.0000000192085281E-4</v>
      </c>
      <c r="T562">
        <f t="shared" ca="1" si="261"/>
        <v>1</v>
      </c>
      <c r="U562">
        <f t="shared" ca="1" si="242"/>
        <v>51800.26683766341</v>
      </c>
      <c r="V562">
        <f t="shared" ca="1" si="243"/>
        <v>269361.38755584974</v>
      </c>
      <c r="W562">
        <f t="shared" ca="1" si="244"/>
        <v>2.5998695052916441</v>
      </c>
      <c r="X562">
        <f t="shared" ca="1" si="245"/>
        <v>1.8933671400629237E-4</v>
      </c>
      <c r="Y562">
        <f t="shared" ca="1" si="246"/>
        <v>52432.62283766341</v>
      </c>
      <c r="Z562">
        <f t="shared" ca="1" si="247"/>
        <v>52432.622837665236</v>
      </c>
      <c r="AA562">
        <f t="shared" ca="1" si="248"/>
        <v>2.2562304480281055E-12</v>
      </c>
      <c r="AB562">
        <f t="shared" ca="1" si="249"/>
        <v>-5.0000000192085281E-4</v>
      </c>
      <c r="AC562">
        <f t="shared" ca="1" si="250"/>
        <v>1</v>
      </c>
      <c r="AD562">
        <f ca="1">IF(V32="Supercritical",L562,IF(V32="Subcritical",U562,IF(AND(T562=1,AC562=1),IF((((F562)*(L562)^2)/2+(G562)*(L562)^3/3+(ABS(K562)^2)/($I$5*MAX(((F562)+(G562)*(L562))*(L562),0.000001)))&gt;=(((F562)*(U562)^2)/2+(G562)*(U562)^3/3+(ABS(K562)^2)/($I$5*MAX(((F562)+(G562)*(U562))*(U562),0.000001))),L562,U562),IF(T562=1,L562,IF(AC562=1,U562,MAX($D$16,POWER((ABS(K562)^2)/($I$5*MAX(F562,0.1)^2),1/3)))))))</f>
        <v>51800.26683766341</v>
      </c>
      <c r="AE562">
        <f t="shared" ca="1" si="251"/>
        <v>52432.62283766341</v>
      </c>
      <c r="AF562">
        <f t="shared" ca="1" si="252"/>
        <v>52432.622837665236</v>
      </c>
      <c r="AI562">
        <v>0</v>
      </c>
      <c r="AJ562">
        <v>0</v>
      </c>
      <c r="AK562">
        <f t="shared" si="253"/>
        <v>0</v>
      </c>
      <c r="AL562">
        <f t="shared" si="262"/>
        <v>0</v>
      </c>
      <c r="AM562">
        <f t="shared" ca="1" si="254"/>
        <v>2.6560383008097266E-7</v>
      </c>
      <c r="AN562" t="str">
        <f t="shared" ca="1" si="255"/>
        <v>Subcritical</v>
      </c>
      <c r="AO562">
        <f t="shared" ca="1" si="256"/>
        <v>2.2562304480281055E-12</v>
      </c>
    </row>
    <row r="563" spans="1:41" x14ac:dyDescent="0.35">
      <c r="A563">
        <v>414</v>
      </c>
      <c r="B563">
        <v>412.89499999999998</v>
      </c>
      <c r="C563">
        <v>616245.62899999996</v>
      </c>
      <c r="D563">
        <v>3097553.3289999999</v>
      </c>
      <c r="E563">
        <v>632.35550000000001</v>
      </c>
      <c r="F563">
        <v>5.2</v>
      </c>
      <c r="G563">
        <v>0</v>
      </c>
      <c r="H563" t="s">
        <v>186</v>
      </c>
      <c r="I563">
        <v>0</v>
      </c>
      <c r="J563">
        <f t="shared" si="257"/>
        <v>0.9989999999999668</v>
      </c>
      <c r="K563">
        <f t="shared" si="258"/>
        <v>51</v>
      </c>
      <c r="L563">
        <f t="shared" ca="1" si="259"/>
        <v>51797.843837663619</v>
      </c>
      <c r="M563">
        <f t="shared" ca="1" si="236"/>
        <v>269348.78795585083</v>
      </c>
      <c r="N563">
        <f t="shared" ca="1" si="237"/>
        <v>2.5998694991876676</v>
      </c>
      <c r="O563">
        <f t="shared" ca="1" si="238"/>
        <v>1.8934557080078435E-4</v>
      </c>
      <c r="P563">
        <f t="shared" ca="1" si="239"/>
        <v>52430.199337663616</v>
      </c>
      <c r="Q563">
        <f t="shared" ca="1" si="240"/>
        <v>52430.199337665443</v>
      </c>
      <c r="R563">
        <f t="shared" ca="1" si="241"/>
        <v>2.2564415439646509E-12</v>
      </c>
      <c r="S563">
        <f t="shared" ca="1" si="260"/>
        <v>5.0000000192085281E-4</v>
      </c>
      <c r="T563">
        <f t="shared" ca="1" si="261"/>
        <v>1</v>
      </c>
      <c r="U563">
        <f t="shared" ca="1" si="242"/>
        <v>51800.26683766341</v>
      </c>
      <c r="V563">
        <f t="shared" ca="1" si="243"/>
        <v>269361.38755584974</v>
      </c>
      <c r="W563">
        <f t="shared" ca="1" si="244"/>
        <v>2.5998695052916441</v>
      </c>
      <c r="X563">
        <f t="shared" ca="1" si="245"/>
        <v>1.8933671400629237E-4</v>
      </c>
      <c r="Y563">
        <f t="shared" ca="1" si="246"/>
        <v>52432.622337663408</v>
      </c>
      <c r="Z563">
        <f t="shared" ca="1" si="247"/>
        <v>52432.622337665234</v>
      </c>
      <c r="AA563">
        <f t="shared" ca="1" si="248"/>
        <v>2.2562304480281055E-12</v>
      </c>
      <c r="AB563">
        <f t="shared" ca="1" si="249"/>
        <v>-4.999999946448952E-4</v>
      </c>
      <c r="AC563">
        <f t="shared" ca="1" si="250"/>
        <v>1</v>
      </c>
      <c r="AD563">
        <f ca="1">IF(V32="Supercritical",L563,IF(V32="Subcritical",U563,IF(AND(T563=1,AC563=1),IF((((F563)*(L563)^2)/2+(G563)*(L563)^3/3+(ABS(K563)^2)/($I$5*MAX(((F563)+(G563)*(L563))*(L563),0.000001)))&gt;=(((F563)*(U563)^2)/2+(G563)*(U563)^3/3+(ABS(K563)^2)/($I$5*MAX(((F563)+(G563)*(U563))*(U563),0.000001))),L563,U563),IF(T563=1,L563,IF(AC563=1,U563,MAX($D$16,POWER((ABS(K563)^2)/($I$5*MAX(F563,0.1)^2),1/3)))))))</f>
        <v>51800.26683766341</v>
      </c>
      <c r="AE563">
        <f t="shared" ca="1" si="251"/>
        <v>52432.622337663408</v>
      </c>
      <c r="AF563">
        <f t="shared" ca="1" si="252"/>
        <v>52432.622337665234</v>
      </c>
      <c r="AI563">
        <v>0</v>
      </c>
      <c r="AJ563">
        <v>0</v>
      </c>
      <c r="AK563">
        <f t="shared" si="253"/>
        <v>0</v>
      </c>
      <c r="AL563">
        <f t="shared" si="262"/>
        <v>0</v>
      </c>
      <c r="AM563">
        <f t="shared" ca="1" si="254"/>
        <v>2.6560383008097266E-7</v>
      </c>
      <c r="AN563" t="str">
        <f t="shared" ca="1" si="255"/>
        <v>Subcritical</v>
      </c>
      <c r="AO563">
        <f t="shared" ca="1" si="256"/>
        <v>2.2562304480281055E-12</v>
      </c>
    </row>
    <row r="564" spans="1:41" x14ac:dyDescent="0.35">
      <c r="A564">
        <v>415</v>
      </c>
      <c r="B564">
        <v>413.89499999999998</v>
      </c>
      <c r="C564">
        <v>616245.15500000003</v>
      </c>
      <c r="D564">
        <v>3097552.449</v>
      </c>
      <c r="E564">
        <v>632.35500000000002</v>
      </c>
      <c r="F564">
        <v>5.2</v>
      </c>
      <c r="G564">
        <v>0</v>
      </c>
      <c r="H564" t="s">
        <v>186</v>
      </c>
      <c r="I564">
        <v>2.7E-2</v>
      </c>
      <c r="J564">
        <f t="shared" si="257"/>
        <v>1</v>
      </c>
      <c r="K564">
        <f t="shared" si="258"/>
        <v>51</v>
      </c>
      <c r="L564">
        <f t="shared" ca="1" si="259"/>
        <v>51797.843837663619</v>
      </c>
      <c r="M564">
        <f t="shared" ca="1" si="236"/>
        <v>269348.78795585083</v>
      </c>
      <c r="N564">
        <f t="shared" ca="1" si="237"/>
        <v>2.5998694991876676</v>
      </c>
      <c r="O564">
        <f t="shared" ca="1" si="238"/>
        <v>1.8934557080078435E-4</v>
      </c>
      <c r="P564">
        <f t="shared" ca="1" si="239"/>
        <v>52430.198837663622</v>
      </c>
      <c r="Q564">
        <f t="shared" ca="1" si="240"/>
        <v>52430.198837665448</v>
      </c>
      <c r="R564">
        <f t="shared" ca="1" si="241"/>
        <v>2.2564415439646509E-12</v>
      </c>
      <c r="S564">
        <f t="shared" ca="1" si="260"/>
        <v>4.999999946448952E-4</v>
      </c>
      <c r="T564">
        <f t="shared" ca="1" si="261"/>
        <v>1</v>
      </c>
      <c r="U564">
        <f t="shared" ca="1" si="242"/>
        <v>51800.26683766341</v>
      </c>
      <c r="V564">
        <f t="shared" ca="1" si="243"/>
        <v>269361.38755584974</v>
      </c>
      <c r="W564">
        <f t="shared" ca="1" si="244"/>
        <v>2.5998695052916441</v>
      </c>
      <c r="X564">
        <f t="shared" ca="1" si="245"/>
        <v>1.8933671400629237E-4</v>
      </c>
      <c r="Y564">
        <f t="shared" ca="1" si="246"/>
        <v>52432.621837663413</v>
      </c>
      <c r="Z564">
        <f t="shared" ca="1" si="247"/>
        <v>52432.62183766524</v>
      </c>
      <c r="AA564">
        <f t="shared" ca="1" si="248"/>
        <v>2.2562304480281055E-12</v>
      </c>
      <c r="AB564">
        <f t="shared" ca="1" si="249"/>
        <v>-5.0000000192085281E-4</v>
      </c>
      <c r="AC564">
        <f t="shared" ca="1" si="250"/>
        <v>1</v>
      </c>
      <c r="AD564">
        <f ca="1">IF(V32="Supercritical",L564,IF(V32="Subcritical",U564,IF(AND(T564=1,AC564=1),IF((((F564)*(L564)^2)/2+(G564)*(L564)^3/3+(ABS(K564)^2)/($I$5*MAX(((F564)+(G564)*(L564))*(L564),0.000001)))&gt;=(((F564)*(U564)^2)/2+(G564)*(U564)^3/3+(ABS(K564)^2)/($I$5*MAX(((F564)+(G564)*(U564))*(U564),0.000001))),L564,U564),IF(T564=1,L564,IF(AC564=1,U564,MAX($D$16,POWER((ABS(K564)^2)/($I$5*MAX(F564,0.1)^2),1/3)))))))</f>
        <v>51800.26683766341</v>
      </c>
      <c r="AE564">
        <f t="shared" ca="1" si="251"/>
        <v>52432.621837663413</v>
      </c>
      <c r="AF564">
        <f t="shared" ca="1" si="252"/>
        <v>52432.62183766524</v>
      </c>
      <c r="AI564">
        <v>0</v>
      </c>
      <c r="AJ564">
        <v>0</v>
      </c>
      <c r="AK564">
        <f t="shared" si="253"/>
        <v>0</v>
      </c>
      <c r="AL564">
        <f t="shared" si="262"/>
        <v>0</v>
      </c>
      <c r="AM564">
        <f t="shared" ca="1" si="254"/>
        <v>2.6560383008097266E-7</v>
      </c>
      <c r="AN564" t="str">
        <f t="shared" ca="1" si="255"/>
        <v>Subcritical</v>
      </c>
      <c r="AO564">
        <f t="shared" ca="1" si="256"/>
        <v>2.2562304480281055E-12</v>
      </c>
    </row>
    <row r="565" spans="1:41" x14ac:dyDescent="0.35">
      <c r="A565">
        <v>416</v>
      </c>
      <c r="B565">
        <v>414.89499999999998</v>
      </c>
      <c r="C565">
        <v>616244.68099999998</v>
      </c>
      <c r="D565">
        <v>3097551.568</v>
      </c>
      <c r="E565">
        <v>632.35450000000003</v>
      </c>
      <c r="F565">
        <v>5.2</v>
      </c>
      <c r="G565">
        <v>0</v>
      </c>
      <c r="H565" t="s">
        <v>186</v>
      </c>
      <c r="I565">
        <v>2.7E-2</v>
      </c>
      <c r="J565">
        <f t="shared" si="257"/>
        <v>1</v>
      </c>
      <c r="K565">
        <f t="shared" si="258"/>
        <v>51</v>
      </c>
      <c r="L565">
        <f t="shared" ca="1" si="259"/>
        <v>51797.843837663619</v>
      </c>
      <c r="M565">
        <f t="shared" ca="1" si="236"/>
        <v>269348.78795585083</v>
      </c>
      <c r="N565">
        <f t="shared" ca="1" si="237"/>
        <v>2.5998694991876676</v>
      </c>
      <c r="O565">
        <f t="shared" ca="1" si="238"/>
        <v>1.8934557080078435E-4</v>
      </c>
      <c r="P565">
        <f t="shared" ca="1" si="239"/>
        <v>52430.19833766362</v>
      </c>
      <c r="Q565">
        <f t="shared" ca="1" si="240"/>
        <v>52430.198337665446</v>
      </c>
      <c r="R565">
        <f t="shared" ca="1" si="241"/>
        <v>2.2564415439646509E-12</v>
      </c>
      <c r="S565">
        <f t="shared" ca="1" si="260"/>
        <v>5.0000000192085281E-4</v>
      </c>
      <c r="T565">
        <f t="shared" ca="1" si="261"/>
        <v>1</v>
      </c>
      <c r="U565">
        <f t="shared" ca="1" si="242"/>
        <v>51800.26683766341</v>
      </c>
      <c r="V565">
        <f t="shared" ca="1" si="243"/>
        <v>269361.38755584974</v>
      </c>
      <c r="W565">
        <f t="shared" ca="1" si="244"/>
        <v>2.5998695052916441</v>
      </c>
      <c r="X565">
        <f t="shared" ca="1" si="245"/>
        <v>1.8933671400629237E-4</v>
      </c>
      <c r="Y565">
        <f t="shared" ca="1" si="246"/>
        <v>52432.621337663411</v>
      </c>
      <c r="Z565">
        <f t="shared" ca="1" si="247"/>
        <v>52432.621337665238</v>
      </c>
      <c r="AA565">
        <f t="shared" ca="1" si="248"/>
        <v>2.2562304480281055E-12</v>
      </c>
      <c r="AB565">
        <f t="shared" ca="1" si="249"/>
        <v>-5.0000000192085281E-4</v>
      </c>
      <c r="AC565">
        <f t="shared" ca="1" si="250"/>
        <v>1</v>
      </c>
      <c r="AD565">
        <f ca="1">IF(V32="Supercritical",L565,IF(V32="Subcritical",U565,IF(AND(T565=1,AC565=1),IF((((F565)*(L565)^2)/2+(G565)*(L565)^3/3+(ABS(K565)^2)/($I$5*MAX(((F565)+(G565)*(L565))*(L565),0.000001)))&gt;=(((F565)*(U565)^2)/2+(G565)*(U565)^3/3+(ABS(K565)^2)/($I$5*MAX(((F565)+(G565)*(U565))*(U565),0.000001))),L565,U565),IF(T565=1,L565,IF(AC565=1,U565,MAX($D$16,POWER((ABS(K565)^2)/($I$5*MAX(F565,0.1)^2),1/3)))))))</f>
        <v>51800.26683766341</v>
      </c>
      <c r="AE565">
        <f t="shared" ca="1" si="251"/>
        <v>52432.621337663411</v>
      </c>
      <c r="AF565">
        <f t="shared" ca="1" si="252"/>
        <v>52432.621337665238</v>
      </c>
      <c r="AI565">
        <v>0</v>
      </c>
      <c r="AJ565">
        <v>0</v>
      </c>
      <c r="AK565">
        <f t="shared" si="253"/>
        <v>0</v>
      </c>
      <c r="AL565">
        <f t="shared" si="262"/>
        <v>0</v>
      </c>
      <c r="AM565">
        <f t="shared" ca="1" si="254"/>
        <v>2.6560383008097266E-7</v>
      </c>
      <c r="AN565" t="str">
        <f t="shared" ca="1" si="255"/>
        <v>Subcritical</v>
      </c>
      <c r="AO565">
        <f t="shared" ca="1" si="256"/>
        <v>2.2562304480281055E-12</v>
      </c>
    </row>
    <row r="566" spans="1:41" x14ac:dyDescent="0.35">
      <c r="A566">
        <v>417</v>
      </c>
      <c r="B566">
        <v>415.89499999999998</v>
      </c>
      <c r="C566">
        <v>616244.20700000005</v>
      </c>
      <c r="D566">
        <v>3097550.6880000001</v>
      </c>
      <c r="E566">
        <v>632.35400000000004</v>
      </c>
      <c r="F566">
        <v>5.2</v>
      </c>
      <c r="G566">
        <v>0</v>
      </c>
      <c r="H566" t="s">
        <v>186</v>
      </c>
      <c r="I566">
        <v>2.3E-2</v>
      </c>
      <c r="J566">
        <f t="shared" si="257"/>
        <v>1</v>
      </c>
      <c r="K566">
        <f t="shared" si="258"/>
        <v>51</v>
      </c>
      <c r="L566">
        <f t="shared" ca="1" si="259"/>
        <v>51797.843837663619</v>
      </c>
      <c r="M566">
        <f t="shared" ca="1" si="236"/>
        <v>269348.78795585083</v>
      </c>
      <c r="N566">
        <f t="shared" ca="1" si="237"/>
        <v>2.5998694991876676</v>
      </c>
      <c r="O566">
        <f t="shared" ca="1" si="238"/>
        <v>1.8934557080078435E-4</v>
      </c>
      <c r="P566">
        <f t="shared" ca="1" si="239"/>
        <v>52430.197837663618</v>
      </c>
      <c r="Q566">
        <f t="shared" ca="1" si="240"/>
        <v>52430.197837665444</v>
      </c>
      <c r="R566">
        <f t="shared" ca="1" si="241"/>
        <v>2.2564415439646509E-12</v>
      </c>
      <c r="S566">
        <f t="shared" ca="1" si="260"/>
        <v>5.0000000192085281E-4</v>
      </c>
      <c r="T566">
        <f t="shared" ca="1" si="261"/>
        <v>1</v>
      </c>
      <c r="U566">
        <f t="shared" ca="1" si="242"/>
        <v>51800.26683766341</v>
      </c>
      <c r="V566">
        <f t="shared" ca="1" si="243"/>
        <v>269361.38755584974</v>
      </c>
      <c r="W566">
        <f t="shared" ca="1" si="244"/>
        <v>2.5998695052916441</v>
      </c>
      <c r="X566">
        <f t="shared" ca="1" si="245"/>
        <v>1.8933671400629237E-4</v>
      </c>
      <c r="Y566">
        <f t="shared" ca="1" si="246"/>
        <v>52432.620837663409</v>
      </c>
      <c r="Z566">
        <f t="shared" ca="1" si="247"/>
        <v>52432.620837665236</v>
      </c>
      <c r="AA566">
        <f t="shared" ca="1" si="248"/>
        <v>2.2562304480281055E-12</v>
      </c>
      <c r="AB566">
        <f t="shared" ca="1" si="249"/>
        <v>-5.0000000192085281E-4</v>
      </c>
      <c r="AC566">
        <f t="shared" ca="1" si="250"/>
        <v>1</v>
      </c>
      <c r="AD566">
        <f ca="1">IF(V32="Supercritical",L566,IF(V32="Subcritical",U566,IF(AND(T566=1,AC566=1),IF((((F566)*(L566)^2)/2+(G566)*(L566)^3/3+(ABS(K566)^2)/($I$5*MAX(((F566)+(G566)*(L566))*(L566),0.000001)))&gt;=(((F566)*(U566)^2)/2+(G566)*(U566)^3/3+(ABS(K566)^2)/($I$5*MAX(((F566)+(G566)*(U566))*(U566),0.000001))),L566,U566),IF(T566=1,L566,IF(AC566=1,U566,MAX($D$16,POWER((ABS(K566)^2)/($I$5*MAX(F566,0.1)^2),1/3)))))))</f>
        <v>51800.26683766341</v>
      </c>
      <c r="AE566">
        <f t="shared" ca="1" si="251"/>
        <v>52432.620837663409</v>
      </c>
      <c r="AF566">
        <f t="shared" ca="1" si="252"/>
        <v>52432.620837665236</v>
      </c>
      <c r="AI566">
        <v>0</v>
      </c>
      <c r="AJ566">
        <v>0</v>
      </c>
      <c r="AK566">
        <f t="shared" si="253"/>
        <v>0</v>
      </c>
      <c r="AL566">
        <f t="shared" si="262"/>
        <v>0</v>
      </c>
      <c r="AM566">
        <f t="shared" ca="1" si="254"/>
        <v>2.6560383008097266E-7</v>
      </c>
      <c r="AN566" t="str">
        <f t="shared" ca="1" si="255"/>
        <v>Subcritical</v>
      </c>
      <c r="AO566">
        <f t="shared" ca="1" si="256"/>
        <v>2.2562304480281055E-12</v>
      </c>
    </row>
    <row r="567" spans="1:41" x14ac:dyDescent="0.35">
      <c r="A567">
        <v>418</v>
      </c>
      <c r="B567">
        <v>416.89600000000002</v>
      </c>
      <c r="C567">
        <v>616243.73199999996</v>
      </c>
      <c r="D567">
        <v>3097549.807</v>
      </c>
      <c r="E567">
        <v>632.35350000000005</v>
      </c>
      <c r="F567">
        <v>5.2</v>
      </c>
      <c r="G567">
        <v>0</v>
      </c>
      <c r="H567" t="s">
        <v>186</v>
      </c>
      <c r="I567">
        <v>2.3E-2</v>
      </c>
      <c r="J567">
        <f t="shared" si="257"/>
        <v>1.0010000000000332</v>
      </c>
      <c r="K567">
        <f t="shared" si="258"/>
        <v>51</v>
      </c>
      <c r="L567">
        <f t="shared" ca="1" si="259"/>
        <v>51797.843837663619</v>
      </c>
      <c r="M567">
        <f t="shared" ca="1" si="236"/>
        <v>269348.78795585083</v>
      </c>
      <c r="N567">
        <f t="shared" ca="1" si="237"/>
        <v>2.5998694991876676</v>
      </c>
      <c r="O567">
        <f t="shared" ca="1" si="238"/>
        <v>1.8934557080078435E-4</v>
      </c>
      <c r="P567">
        <f t="shared" ca="1" si="239"/>
        <v>52430.197337663616</v>
      </c>
      <c r="Q567">
        <f t="shared" ca="1" si="240"/>
        <v>52430.197337665442</v>
      </c>
      <c r="R567">
        <f t="shared" ca="1" si="241"/>
        <v>2.2564415439646509E-12</v>
      </c>
      <c r="S567">
        <f t="shared" ca="1" si="260"/>
        <v>5.0000000192085281E-4</v>
      </c>
      <c r="T567">
        <f t="shared" ca="1" si="261"/>
        <v>1</v>
      </c>
      <c r="U567">
        <f t="shared" ca="1" si="242"/>
        <v>51800.26683766341</v>
      </c>
      <c r="V567">
        <f t="shared" ca="1" si="243"/>
        <v>269361.38755584974</v>
      </c>
      <c r="W567">
        <f t="shared" ca="1" si="244"/>
        <v>2.5998695052916441</v>
      </c>
      <c r="X567">
        <f t="shared" ca="1" si="245"/>
        <v>1.8933671400629237E-4</v>
      </c>
      <c r="Y567">
        <f t="shared" ca="1" si="246"/>
        <v>52432.620337663408</v>
      </c>
      <c r="Z567">
        <f t="shared" ca="1" si="247"/>
        <v>52432.620337665234</v>
      </c>
      <c r="AA567">
        <f t="shared" ca="1" si="248"/>
        <v>2.2562304480281055E-12</v>
      </c>
      <c r="AB567">
        <f t="shared" ca="1" si="249"/>
        <v>-4.999999946448952E-4</v>
      </c>
      <c r="AC567">
        <f t="shared" ca="1" si="250"/>
        <v>1</v>
      </c>
      <c r="AD567">
        <f ca="1">IF(V32="Supercritical",L567,IF(V32="Subcritical",U567,IF(AND(T567=1,AC567=1),IF((((F567)*(L567)^2)/2+(G567)*(L567)^3/3+(ABS(K567)^2)/($I$5*MAX(((F567)+(G567)*(L567))*(L567),0.000001)))&gt;=(((F567)*(U567)^2)/2+(G567)*(U567)^3/3+(ABS(K567)^2)/($I$5*MAX(((F567)+(G567)*(U567))*(U567),0.000001))),L567,U567),IF(T567=1,L567,IF(AC567=1,U567,MAX($D$16,POWER((ABS(K567)^2)/($I$5*MAX(F567,0.1)^2),1/3)))))))</f>
        <v>51800.26683766341</v>
      </c>
      <c r="AE567">
        <f t="shared" ca="1" si="251"/>
        <v>52432.620337663408</v>
      </c>
      <c r="AF567">
        <f t="shared" ca="1" si="252"/>
        <v>52432.620337665234</v>
      </c>
      <c r="AI567">
        <v>0</v>
      </c>
      <c r="AJ567">
        <v>0</v>
      </c>
      <c r="AK567">
        <f t="shared" si="253"/>
        <v>0</v>
      </c>
      <c r="AL567">
        <f t="shared" si="262"/>
        <v>0</v>
      </c>
      <c r="AM567">
        <f t="shared" ca="1" si="254"/>
        <v>2.6560383008097266E-7</v>
      </c>
      <c r="AN567" t="str">
        <f t="shared" ca="1" si="255"/>
        <v>Subcritical</v>
      </c>
      <c r="AO567">
        <f t="shared" ca="1" si="256"/>
        <v>2.2562304480281055E-12</v>
      </c>
    </row>
    <row r="568" spans="1:41" x14ac:dyDescent="0.35">
      <c r="A568">
        <v>419</v>
      </c>
      <c r="B568">
        <v>417.89499999999998</v>
      </c>
      <c r="C568">
        <v>616243.25800000003</v>
      </c>
      <c r="D568">
        <v>3097548.9270000001</v>
      </c>
      <c r="E568">
        <v>632.35299999999995</v>
      </c>
      <c r="F568">
        <v>5.2</v>
      </c>
      <c r="G568">
        <v>0</v>
      </c>
      <c r="H568" t="s">
        <v>186</v>
      </c>
      <c r="I568">
        <v>0</v>
      </c>
      <c r="J568">
        <f t="shared" si="257"/>
        <v>0.9989999999999668</v>
      </c>
      <c r="K568">
        <f t="shared" si="258"/>
        <v>51</v>
      </c>
      <c r="L568">
        <f t="shared" ca="1" si="259"/>
        <v>51797.843837663619</v>
      </c>
      <c r="M568">
        <f t="shared" ca="1" si="236"/>
        <v>269348.78795585083</v>
      </c>
      <c r="N568">
        <f t="shared" ca="1" si="237"/>
        <v>2.5998694991876676</v>
      </c>
      <c r="O568">
        <f t="shared" ca="1" si="238"/>
        <v>1.8934557080078435E-4</v>
      </c>
      <c r="P568">
        <f t="shared" ca="1" si="239"/>
        <v>52430.196837663621</v>
      </c>
      <c r="Q568">
        <f t="shared" ca="1" si="240"/>
        <v>52430.196837665448</v>
      </c>
      <c r="R568">
        <f t="shared" ca="1" si="241"/>
        <v>2.2564415439646509E-12</v>
      </c>
      <c r="S568">
        <f t="shared" ca="1" si="260"/>
        <v>4.999999946448952E-4</v>
      </c>
      <c r="T568">
        <f t="shared" ca="1" si="261"/>
        <v>1</v>
      </c>
      <c r="U568">
        <f t="shared" ca="1" si="242"/>
        <v>51800.26683766341</v>
      </c>
      <c r="V568">
        <f t="shared" ca="1" si="243"/>
        <v>269361.38755584974</v>
      </c>
      <c r="W568">
        <f t="shared" ca="1" si="244"/>
        <v>2.5998695052916441</v>
      </c>
      <c r="X568">
        <f t="shared" ca="1" si="245"/>
        <v>1.8933671400629237E-4</v>
      </c>
      <c r="Y568">
        <f t="shared" ca="1" si="246"/>
        <v>52432.619837663413</v>
      </c>
      <c r="Z568">
        <f t="shared" ca="1" si="247"/>
        <v>52432.619837665239</v>
      </c>
      <c r="AA568">
        <f t="shared" ca="1" si="248"/>
        <v>2.2562304480281055E-12</v>
      </c>
      <c r="AB568">
        <f t="shared" ca="1" si="249"/>
        <v>-5.0000000192085281E-4</v>
      </c>
      <c r="AC568">
        <f t="shared" ca="1" si="250"/>
        <v>1</v>
      </c>
      <c r="AD568">
        <f ca="1">IF(V32="Supercritical",L568,IF(V32="Subcritical",U568,IF(AND(T568=1,AC568=1),IF((((F568)*(L568)^2)/2+(G568)*(L568)^3/3+(ABS(K568)^2)/($I$5*MAX(((F568)+(G568)*(L568))*(L568),0.000001)))&gt;=(((F568)*(U568)^2)/2+(G568)*(U568)^3/3+(ABS(K568)^2)/($I$5*MAX(((F568)+(G568)*(U568))*(U568),0.000001))),L568,U568),IF(T568=1,L568,IF(AC568=1,U568,MAX($D$16,POWER((ABS(K568)^2)/($I$5*MAX(F568,0.1)^2),1/3)))))))</f>
        <v>51800.26683766341</v>
      </c>
      <c r="AE568">
        <f t="shared" ca="1" si="251"/>
        <v>52432.619837663413</v>
      </c>
      <c r="AF568">
        <f t="shared" ca="1" si="252"/>
        <v>52432.619837665239</v>
      </c>
      <c r="AI568">
        <v>0</v>
      </c>
      <c r="AJ568">
        <v>0</v>
      </c>
      <c r="AK568">
        <f t="shared" si="253"/>
        <v>0</v>
      </c>
      <c r="AL568">
        <f t="shared" si="262"/>
        <v>0</v>
      </c>
      <c r="AM568">
        <f t="shared" ca="1" si="254"/>
        <v>2.6560383008097266E-7</v>
      </c>
      <c r="AN568" t="str">
        <f t="shared" ca="1" si="255"/>
        <v>Subcritical</v>
      </c>
      <c r="AO568">
        <f t="shared" ca="1" si="256"/>
        <v>2.2562304480281055E-12</v>
      </c>
    </row>
    <row r="569" spans="1:41" x14ac:dyDescent="0.35">
      <c r="A569">
        <v>420</v>
      </c>
      <c r="B569">
        <v>418.89499999999998</v>
      </c>
      <c r="C569">
        <v>616242.78399999999</v>
      </c>
      <c r="D569">
        <v>3097548.0469999998</v>
      </c>
      <c r="E569">
        <v>632.35249999999996</v>
      </c>
      <c r="F569">
        <v>5.2</v>
      </c>
      <c r="G569">
        <v>0</v>
      </c>
      <c r="H569" t="s">
        <v>186</v>
      </c>
      <c r="I569">
        <v>2.7E-2</v>
      </c>
      <c r="J569">
        <f t="shared" si="257"/>
        <v>1</v>
      </c>
      <c r="K569">
        <f t="shared" si="258"/>
        <v>51</v>
      </c>
      <c r="L569">
        <f t="shared" ca="1" si="259"/>
        <v>51797.843837663619</v>
      </c>
      <c r="M569">
        <f t="shared" ca="1" si="236"/>
        <v>269348.78795585083</v>
      </c>
      <c r="N569">
        <f t="shared" ca="1" si="237"/>
        <v>2.5998694991876676</v>
      </c>
      <c r="O569">
        <f t="shared" ca="1" si="238"/>
        <v>1.8934557080078435E-4</v>
      </c>
      <c r="P569">
        <f t="shared" ca="1" si="239"/>
        <v>52430.196337663619</v>
      </c>
      <c r="Q569">
        <f t="shared" ca="1" si="240"/>
        <v>52430.196337665446</v>
      </c>
      <c r="R569">
        <f t="shared" ca="1" si="241"/>
        <v>2.2564415439646509E-12</v>
      </c>
      <c r="S569">
        <f t="shared" ca="1" si="260"/>
        <v>5.0000000192085281E-4</v>
      </c>
      <c r="T569">
        <f t="shared" ca="1" si="261"/>
        <v>1</v>
      </c>
      <c r="U569">
        <f t="shared" ca="1" si="242"/>
        <v>51800.26683766341</v>
      </c>
      <c r="V569">
        <f t="shared" ca="1" si="243"/>
        <v>269361.38755584974</v>
      </c>
      <c r="W569">
        <f t="shared" ca="1" si="244"/>
        <v>2.5998695052916441</v>
      </c>
      <c r="X569">
        <f t="shared" ca="1" si="245"/>
        <v>1.8933671400629237E-4</v>
      </c>
      <c r="Y569">
        <f t="shared" ca="1" si="246"/>
        <v>52432.619337663411</v>
      </c>
      <c r="Z569">
        <f t="shared" ca="1" si="247"/>
        <v>52432.619337665237</v>
      </c>
      <c r="AA569">
        <f t="shared" ca="1" si="248"/>
        <v>2.2562304480281055E-12</v>
      </c>
      <c r="AB569">
        <f t="shared" ca="1" si="249"/>
        <v>-5.0000000192085281E-4</v>
      </c>
      <c r="AC569">
        <f t="shared" ca="1" si="250"/>
        <v>1</v>
      </c>
      <c r="AD569">
        <f ca="1">IF(V32="Supercritical",L569,IF(V32="Subcritical",U569,IF(AND(T569=1,AC569=1),IF((((F569)*(L569)^2)/2+(G569)*(L569)^3/3+(ABS(K569)^2)/($I$5*MAX(((F569)+(G569)*(L569))*(L569),0.000001)))&gt;=(((F569)*(U569)^2)/2+(G569)*(U569)^3/3+(ABS(K569)^2)/($I$5*MAX(((F569)+(G569)*(U569))*(U569),0.000001))),L569,U569),IF(T569=1,L569,IF(AC569=1,U569,MAX($D$16,POWER((ABS(K569)^2)/($I$5*MAX(F569,0.1)^2),1/3)))))))</f>
        <v>51800.26683766341</v>
      </c>
      <c r="AE569">
        <f t="shared" ca="1" si="251"/>
        <v>52432.619337663411</v>
      </c>
      <c r="AF569">
        <f t="shared" ca="1" si="252"/>
        <v>52432.619337665237</v>
      </c>
      <c r="AI569">
        <v>0</v>
      </c>
      <c r="AJ569">
        <v>0</v>
      </c>
      <c r="AK569">
        <f t="shared" si="253"/>
        <v>0</v>
      </c>
      <c r="AL569">
        <f t="shared" si="262"/>
        <v>0</v>
      </c>
      <c r="AM569">
        <f t="shared" ca="1" si="254"/>
        <v>2.6560383008097266E-7</v>
      </c>
      <c r="AN569" t="str">
        <f t="shared" ca="1" si="255"/>
        <v>Subcritical</v>
      </c>
      <c r="AO569">
        <f t="shared" ca="1" si="256"/>
        <v>2.2562304480281055E-12</v>
      </c>
    </row>
    <row r="570" spans="1:41" x14ac:dyDescent="0.35">
      <c r="A570">
        <v>421</v>
      </c>
      <c r="B570">
        <v>419.89499999999998</v>
      </c>
      <c r="C570">
        <v>616242.31000000006</v>
      </c>
      <c r="D570">
        <v>3097547.1660000002</v>
      </c>
      <c r="E570">
        <v>632.35199999999998</v>
      </c>
      <c r="F570">
        <v>5.2</v>
      </c>
      <c r="G570">
        <v>0</v>
      </c>
      <c r="H570" t="s">
        <v>186</v>
      </c>
      <c r="I570">
        <v>7.8E-2</v>
      </c>
      <c r="J570">
        <f t="shared" si="257"/>
        <v>1</v>
      </c>
      <c r="K570">
        <f t="shared" si="258"/>
        <v>51</v>
      </c>
      <c r="L570">
        <f t="shared" ca="1" si="259"/>
        <v>51797.843837663619</v>
      </c>
      <c r="M570">
        <f t="shared" ca="1" si="236"/>
        <v>269348.78795585083</v>
      </c>
      <c r="N570">
        <f t="shared" ca="1" si="237"/>
        <v>2.5998694991876676</v>
      </c>
      <c r="O570">
        <f t="shared" ca="1" si="238"/>
        <v>1.8934557080078435E-4</v>
      </c>
      <c r="P570">
        <f t="shared" ca="1" si="239"/>
        <v>52430.195837663618</v>
      </c>
      <c r="Q570">
        <f t="shared" ca="1" si="240"/>
        <v>52430.195837665444</v>
      </c>
      <c r="R570">
        <f t="shared" ca="1" si="241"/>
        <v>2.2564415439646509E-12</v>
      </c>
      <c r="S570">
        <f t="shared" ca="1" si="260"/>
        <v>5.0000000192085281E-4</v>
      </c>
      <c r="T570">
        <f t="shared" ca="1" si="261"/>
        <v>1</v>
      </c>
      <c r="U570">
        <f t="shared" ca="1" si="242"/>
        <v>51800.26683766341</v>
      </c>
      <c r="V570">
        <f t="shared" ca="1" si="243"/>
        <v>269361.38755584974</v>
      </c>
      <c r="W570">
        <f t="shared" ca="1" si="244"/>
        <v>2.5998695052916441</v>
      </c>
      <c r="X570">
        <f t="shared" ca="1" si="245"/>
        <v>1.8933671400629237E-4</v>
      </c>
      <c r="Y570">
        <f t="shared" ca="1" si="246"/>
        <v>52432.618837663409</v>
      </c>
      <c r="Z570">
        <f t="shared" ca="1" si="247"/>
        <v>52432.618837665235</v>
      </c>
      <c r="AA570">
        <f t="shared" ca="1" si="248"/>
        <v>2.2562304480281055E-12</v>
      </c>
      <c r="AB570">
        <f t="shared" ca="1" si="249"/>
        <v>-5.0000000192085281E-4</v>
      </c>
      <c r="AC570">
        <f t="shared" ca="1" si="250"/>
        <v>1</v>
      </c>
      <c r="AD570">
        <f ca="1">IF(V32="Supercritical",L570,IF(V32="Subcritical",U570,IF(AND(T570=1,AC570=1),IF((((F570)*(L570)^2)/2+(G570)*(L570)^3/3+(ABS(K570)^2)/($I$5*MAX(((F570)+(G570)*(L570))*(L570),0.000001)))&gt;=(((F570)*(U570)^2)/2+(G570)*(U570)^3/3+(ABS(K570)^2)/($I$5*MAX(((F570)+(G570)*(U570))*(U570),0.000001))),L570,U570),IF(T570=1,L570,IF(AC570=1,U570,MAX($D$16,POWER((ABS(K570)^2)/($I$5*MAX(F570,0.1)^2),1/3)))))))</f>
        <v>51800.26683766341</v>
      </c>
      <c r="AE570">
        <f t="shared" ca="1" si="251"/>
        <v>52432.618837663409</v>
      </c>
      <c r="AF570">
        <f t="shared" ca="1" si="252"/>
        <v>52432.618837665235</v>
      </c>
      <c r="AI570">
        <v>0</v>
      </c>
      <c r="AJ570">
        <v>0</v>
      </c>
      <c r="AK570">
        <f t="shared" si="253"/>
        <v>0</v>
      </c>
      <c r="AL570">
        <f t="shared" si="262"/>
        <v>0</v>
      </c>
      <c r="AM570">
        <f t="shared" ca="1" si="254"/>
        <v>2.6560383008097266E-7</v>
      </c>
      <c r="AN570" t="str">
        <f t="shared" ca="1" si="255"/>
        <v>Subcritical</v>
      </c>
      <c r="AO570">
        <f t="shared" ca="1" si="256"/>
        <v>2.2562304480281055E-12</v>
      </c>
    </row>
    <row r="571" spans="1:41" x14ac:dyDescent="0.35">
      <c r="A571">
        <v>422</v>
      </c>
      <c r="B571">
        <v>420.89499999999998</v>
      </c>
      <c r="C571">
        <v>616241.83499999996</v>
      </c>
      <c r="D571">
        <v>3097546.2859999998</v>
      </c>
      <c r="E571">
        <v>632.35149999999999</v>
      </c>
      <c r="F571">
        <v>5.2</v>
      </c>
      <c r="G571">
        <v>0</v>
      </c>
      <c r="H571" t="s">
        <v>186</v>
      </c>
      <c r="I571">
        <v>7.8E-2</v>
      </c>
      <c r="J571">
        <f t="shared" si="257"/>
        <v>1</v>
      </c>
      <c r="K571">
        <f t="shared" si="258"/>
        <v>51</v>
      </c>
      <c r="L571">
        <f t="shared" ca="1" si="259"/>
        <v>51797.843837663619</v>
      </c>
      <c r="M571">
        <f t="shared" ca="1" si="236"/>
        <v>269348.78795585083</v>
      </c>
      <c r="N571">
        <f t="shared" ca="1" si="237"/>
        <v>2.5998694991876676</v>
      </c>
      <c r="O571">
        <f t="shared" ca="1" si="238"/>
        <v>1.8934557080078435E-4</v>
      </c>
      <c r="P571">
        <f t="shared" ca="1" si="239"/>
        <v>52430.195337663616</v>
      </c>
      <c r="Q571">
        <f t="shared" ca="1" si="240"/>
        <v>52430.195337665442</v>
      </c>
      <c r="R571">
        <f t="shared" ca="1" si="241"/>
        <v>2.2564415439646509E-12</v>
      </c>
      <c r="S571">
        <f t="shared" ca="1" si="260"/>
        <v>5.0000000192085281E-4</v>
      </c>
      <c r="T571">
        <f t="shared" ca="1" si="261"/>
        <v>1</v>
      </c>
      <c r="U571">
        <f t="shared" ca="1" si="242"/>
        <v>51800.26683766341</v>
      </c>
      <c r="V571">
        <f t="shared" ca="1" si="243"/>
        <v>269361.38755584974</v>
      </c>
      <c r="W571">
        <f t="shared" ca="1" si="244"/>
        <v>2.5998695052916441</v>
      </c>
      <c r="X571">
        <f t="shared" ca="1" si="245"/>
        <v>1.8933671400629237E-4</v>
      </c>
      <c r="Y571">
        <f t="shared" ca="1" si="246"/>
        <v>52432.618337663407</v>
      </c>
      <c r="Z571">
        <f t="shared" ca="1" si="247"/>
        <v>52432.618337665233</v>
      </c>
      <c r="AA571">
        <f t="shared" ca="1" si="248"/>
        <v>2.2562304480281055E-12</v>
      </c>
      <c r="AB571">
        <f t="shared" ca="1" si="249"/>
        <v>-4.999999946448952E-4</v>
      </c>
      <c r="AC571">
        <f t="shared" ca="1" si="250"/>
        <v>1</v>
      </c>
      <c r="AD571">
        <f ca="1">IF(V32="Supercritical",L571,IF(V32="Subcritical",U571,IF(AND(T571=1,AC571=1),IF((((F571)*(L571)^2)/2+(G571)*(L571)^3/3+(ABS(K571)^2)/($I$5*MAX(((F571)+(G571)*(L571))*(L571),0.000001)))&gt;=(((F571)*(U571)^2)/2+(G571)*(U571)^3/3+(ABS(K571)^2)/($I$5*MAX(((F571)+(G571)*(U571))*(U571),0.000001))),L571,U571),IF(T571=1,L571,IF(AC571=1,U571,MAX($D$16,POWER((ABS(K571)^2)/($I$5*MAX(F571,0.1)^2),1/3)))))))</f>
        <v>51800.26683766341</v>
      </c>
      <c r="AE571">
        <f t="shared" ca="1" si="251"/>
        <v>52432.618337663407</v>
      </c>
      <c r="AF571">
        <f t="shared" ca="1" si="252"/>
        <v>52432.618337665233</v>
      </c>
      <c r="AI571">
        <v>0</v>
      </c>
      <c r="AJ571">
        <v>0</v>
      </c>
      <c r="AK571">
        <f t="shared" si="253"/>
        <v>0</v>
      </c>
      <c r="AL571">
        <f t="shared" si="262"/>
        <v>0</v>
      </c>
      <c r="AM571">
        <f t="shared" ca="1" si="254"/>
        <v>2.6560383008097266E-7</v>
      </c>
      <c r="AN571" t="str">
        <f t="shared" ca="1" si="255"/>
        <v>Subcritical</v>
      </c>
      <c r="AO571">
        <f t="shared" ca="1" si="256"/>
        <v>2.2562304480281055E-12</v>
      </c>
    </row>
    <row r="572" spans="1:41" x14ac:dyDescent="0.35">
      <c r="A572">
        <v>423</v>
      </c>
      <c r="B572">
        <v>421.89600000000002</v>
      </c>
      <c r="C572">
        <v>616241.36100000003</v>
      </c>
      <c r="D572">
        <v>3097545.4049999998</v>
      </c>
      <c r="E572">
        <v>632.351</v>
      </c>
      <c r="F572">
        <v>5.2</v>
      </c>
      <c r="G572">
        <v>0</v>
      </c>
      <c r="H572" t="s">
        <v>186</v>
      </c>
      <c r="I572">
        <v>2.7E-2</v>
      </c>
      <c r="J572">
        <f t="shared" si="257"/>
        <v>1.0010000000000332</v>
      </c>
      <c r="K572">
        <f t="shared" si="258"/>
        <v>51</v>
      </c>
      <c r="L572">
        <f t="shared" ca="1" si="259"/>
        <v>51797.843837663619</v>
      </c>
      <c r="M572">
        <f t="shared" ca="1" si="236"/>
        <v>269348.78795585083</v>
      </c>
      <c r="N572">
        <f t="shared" ca="1" si="237"/>
        <v>2.5998694991876676</v>
      </c>
      <c r="O572">
        <f t="shared" ca="1" si="238"/>
        <v>1.8934557080078435E-4</v>
      </c>
      <c r="P572">
        <f t="shared" ca="1" si="239"/>
        <v>52430.194837663621</v>
      </c>
      <c r="Q572">
        <f t="shared" ca="1" si="240"/>
        <v>52430.194837665447</v>
      </c>
      <c r="R572">
        <f t="shared" ca="1" si="241"/>
        <v>2.2564415439646509E-12</v>
      </c>
      <c r="S572">
        <f t="shared" ca="1" si="260"/>
        <v>4.999999946448952E-4</v>
      </c>
      <c r="T572">
        <f t="shared" ca="1" si="261"/>
        <v>1</v>
      </c>
      <c r="U572">
        <f t="shared" ca="1" si="242"/>
        <v>51800.26683766341</v>
      </c>
      <c r="V572">
        <f t="shared" ca="1" si="243"/>
        <v>269361.38755584974</v>
      </c>
      <c r="W572">
        <f t="shared" ca="1" si="244"/>
        <v>2.5998695052916441</v>
      </c>
      <c r="X572">
        <f t="shared" ca="1" si="245"/>
        <v>1.8933671400629237E-4</v>
      </c>
      <c r="Y572">
        <f t="shared" ca="1" si="246"/>
        <v>52432.617837663413</v>
      </c>
      <c r="Z572">
        <f t="shared" ca="1" si="247"/>
        <v>52432.617837665239</v>
      </c>
      <c r="AA572">
        <f t="shared" ca="1" si="248"/>
        <v>2.2562304480281055E-12</v>
      </c>
      <c r="AB572">
        <f t="shared" ca="1" si="249"/>
        <v>-5.0000000192085281E-4</v>
      </c>
      <c r="AC572">
        <f t="shared" ca="1" si="250"/>
        <v>1</v>
      </c>
      <c r="AD572">
        <f ca="1">IF(V32="Supercritical",L572,IF(V32="Subcritical",U572,IF(AND(T572=1,AC572=1),IF((((F572)*(L572)^2)/2+(G572)*(L572)^3/3+(ABS(K572)^2)/($I$5*MAX(((F572)+(G572)*(L572))*(L572),0.000001)))&gt;=(((F572)*(U572)^2)/2+(G572)*(U572)^3/3+(ABS(K572)^2)/($I$5*MAX(((F572)+(G572)*(U572))*(U572),0.000001))),L572,U572),IF(T572=1,L572,IF(AC572=1,U572,MAX($D$16,POWER((ABS(K572)^2)/($I$5*MAX(F572,0.1)^2),1/3)))))))</f>
        <v>51800.26683766341</v>
      </c>
      <c r="AE572">
        <f t="shared" ca="1" si="251"/>
        <v>52432.617837663413</v>
      </c>
      <c r="AF572">
        <f t="shared" ca="1" si="252"/>
        <v>52432.617837665239</v>
      </c>
      <c r="AI572">
        <v>0</v>
      </c>
      <c r="AJ572">
        <v>0</v>
      </c>
      <c r="AK572">
        <f t="shared" si="253"/>
        <v>0</v>
      </c>
      <c r="AL572">
        <f t="shared" si="262"/>
        <v>0</v>
      </c>
      <c r="AM572">
        <f t="shared" ca="1" si="254"/>
        <v>2.6560383008097266E-7</v>
      </c>
      <c r="AN572" t="str">
        <f t="shared" ca="1" si="255"/>
        <v>Subcritical</v>
      </c>
      <c r="AO572">
        <f t="shared" ca="1" si="256"/>
        <v>2.2562304480281055E-12</v>
      </c>
    </row>
    <row r="573" spans="1:41" x14ac:dyDescent="0.35">
      <c r="A573">
        <v>424</v>
      </c>
      <c r="B573">
        <v>422.89499999999998</v>
      </c>
      <c r="C573">
        <v>616240.88699999999</v>
      </c>
      <c r="D573">
        <v>3097544.5249999999</v>
      </c>
      <c r="E573">
        <v>632.35050000000001</v>
      </c>
      <c r="F573">
        <v>5.2</v>
      </c>
      <c r="G573">
        <v>0</v>
      </c>
      <c r="H573" t="s">
        <v>186</v>
      </c>
      <c r="I573">
        <v>0</v>
      </c>
      <c r="J573">
        <f t="shared" si="257"/>
        <v>0.9989999999999668</v>
      </c>
      <c r="K573">
        <f t="shared" si="258"/>
        <v>51</v>
      </c>
      <c r="L573">
        <f t="shared" ca="1" si="259"/>
        <v>51797.843837663619</v>
      </c>
      <c r="M573">
        <f t="shared" ca="1" si="236"/>
        <v>269348.78795585083</v>
      </c>
      <c r="N573">
        <f t="shared" ca="1" si="237"/>
        <v>2.5998694991876676</v>
      </c>
      <c r="O573">
        <f t="shared" ca="1" si="238"/>
        <v>1.8934557080078435E-4</v>
      </c>
      <c r="P573">
        <f t="shared" ca="1" si="239"/>
        <v>52430.194337663619</v>
      </c>
      <c r="Q573">
        <f t="shared" ca="1" si="240"/>
        <v>52430.194337665445</v>
      </c>
      <c r="R573">
        <f t="shared" ca="1" si="241"/>
        <v>2.2564415439646509E-12</v>
      </c>
      <c r="S573">
        <f t="shared" ca="1" si="260"/>
        <v>5.0000000192085281E-4</v>
      </c>
      <c r="T573">
        <f t="shared" ca="1" si="261"/>
        <v>1</v>
      </c>
      <c r="U573">
        <f t="shared" ca="1" si="242"/>
        <v>51800.26683766341</v>
      </c>
      <c r="V573">
        <f t="shared" ca="1" si="243"/>
        <v>269361.38755584974</v>
      </c>
      <c r="W573">
        <f t="shared" ca="1" si="244"/>
        <v>2.5998695052916441</v>
      </c>
      <c r="X573">
        <f t="shared" ca="1" si="245"/>
        <v>1.8933671400629237E-4</v>
      </c>
      <c r="Y573">
        <f t="shared" ca="1" si="246"/>
        <v>52432.617337663411</v>
      </c>
      <c r="Z573">
        <f t="shared" ca="1" si="247"/>
        <v>52432.617337665237</v>
      </c>
      <c r="AA573">
        <f t="shared" ca="1" si="248"/>
        <v>2.2562304480281055E-12</v>
      </c>
      <c r="AB573">
        <f t="shared" ca="1" si="249"/>
        <v>-5.0000000192085281E-4</v>
      </c>
      <c r="AC573">
        <f t="shared" ca="1" si="250"/>
        <v>1</v>
      </c>
      <c r="AD573">
        <f ca="1">IF(V32="Supercritical",L573,IF(V32="Subcritical",U573,IF(AND(T573=1,AC573=1),IF((((F573)*(L573)^2)/2+(G573)*(L573)^3/3+(ABS(K573)^2)/($I$5*MAX(((F573)+(G573)*(L573))*(L573),0.000001)))&gt;=(((F573)*(U573)^2)/2+(G573)*(U573)^3/3+(ABS(K573)^2)/($I$5*MAX(((F573)+(G573)*(U573))*(U573),0.000001))),L573,U573),IF(T573=1,L573,IF(AC573=1,U573,MAX($D$16,POWER((ABS(K573)^2)/($I$5*MAX(F573,0.1)^2),1/3)))))))</f>
        <v>51800.26683766341</v>
      </c>
      <c r="AE573">
        <f t="shared" ca="1" si="251"/>
        <v>52432.617337663411</v>
      </c>
      <c r="AF573">
        <f t="shared" ca="1" si="252"/>
        <v>52432.617337665237</v>
      </c>
      <c r="AI573">
        <v>0</v>
      </c>
      <c r="AJ573">
        <v>0</v>
      </c>
      <c r="AK573">
        <f t="shared" si="253"/>
        <v>0</v>
      </c>
      <c r="AL573">
        <f t="shared" si="262"/>
        <v>0</v>
      </c>
      <c r="AM573">
        <f t="shared" ca="1" si="254"/>
        <v>2.6560383008097266E-7</v>
      </c>
      <c r="AN573" t="str">
        <f t="shared" ca="1" si="255"/>
        <v>Subcritical</v>
      </c>
      <c r="AO573">
        <f t="shared" ca="1" si="256"/>
        <v>2.2562304480281055E-12</v>
      </c>
    </row>
    <row r="574" spans="1:41" x14ac:dyDescent="0.35">
      <c r="A574">
        <v>425</v>
      </c>
      <c r="B574">
        <v>423.89499999999998</v>
      </c>
      <c r="C574">
        <v>616240.41299999994</v>
      </c>
      <c r="D574">
        <v>3097543.645</v>
      </c>
      <c r="E574">
        <v>632.35</v>
      </c>
      <c r="F574">
        <v>5.2</v>
      </c>
      <c r="G574">
        <v>0</v>
      </c>
      <c r="H574" t="s">
        <v>186</v>
      </c>
      <c r="I574">
        <v>2.3E-2</v>
      </c>
      <c r="J574">
        <f t="shared" si="257"/>
        <v>1</v>
      </c>
      <c r="K574">
        <f t="shared" si="258"/>
        <v>51</v>
      </c>
      <c r="L574">
        <f t="shared" ca="1" si="259"/>
        <v>51797.843837663619</v>
      </c>
      <c r="M574">
        <f t="shared" ca="1" si="236"/>
        <v>269348.78795585083</v>
      </c>
      <c r="N574">
        <f t="shared" ca="1" si="237"/>
        <v>2.5998694991876676</v>
      </c>
      <c r="O574">
        <f t="shared" ca="1" si="238"/>
        <v>1.8934557080078435E-4</v>
      </c>
      <c r="P574">
        <f t="shared" ca="1" si="239"/>
        <v>52430.193837663617</v>
      </c>
      <c r="Q574">
        <f t="shared" ca="1" si="240"/>
        <v>52430.193837665443</v>
      </c>
      <c r="R574">
        <f t="shared" ca="1" si="241"/>
        <v>2.2564415439646509E-12</v>
      </c>
      <c r="S574">
        <f t="shared" ca="1" si="260"/>
        <v>5.0000000192085281E-4</v>
      </c>
      <c r="T574">
        <f t="shared" ca="1" si="261"/>
        <v>1</v>
      </c>
      <c r="U574">
        <f t="shared" ca="1" si="242"/>
        <v>51800.26683766341</v>
      </c>
      <c r="V574">
        <f t="shared" ca="1" si="243"/>
        <v>269361.38755584974</v>
      </c>
      <c r="W574">
        <f t="shared" ca="1" si="244"/>
        <v>2.5998695052916441</v>
      </c>
      <c r="X574">
        <f t="shared" ca="1" si="245"/>
        <v>1.8933671400629237E-4</v>
      </c>
      <c r="Y574">
        <f t="shared" ca="1" si="246"/>
        <v>52432.616837663409</v>
      </c>
      <c r="Z574">
        <f t="shared" ca="1" si="247"/>
        <v>52432.616837665235</v>
      </c>
      <c r="AA574">
        <f t="shared" ca="1" si="248"/>
        <v>2.2562304480281055E-12</v>
      </c>
      <c r="AB574">
        <f t="shared" ca="1" si="249"/>
        <v>-5.0000000192085281E-4</v>
      </c>
      <c r="AC574">
        <f t="shared" ca="1" si="250"/>
        <v>1</v>
      </c>
      <c r="AD574">
        <f ca="1">IF(V32="Supercritical",L574,IF(V32="Subcritical",U574,IF(AND(T574=1,AC574=1),IF((((F574)*(L574)^2)/2+(G574)*(L574)^3/3+(ABS(K574)^2)/($I$5*MAX(((F574)+(G574)*(L574))*(L574),0.000001)))&gt;=(((F574)*(U574)^2)/2+(G574)*(U574)^3/3+(ABS(K574)^2)/($I$5*MAX(((F574)+(G574)*(U574))*(U574),0.000001))),L574,U574),IF(T574=1,L574,IF(AC574=1,U574,MAX($D$16,POWER((ABS(K574)^2)/($I$5*MAX(F574,0.1)^2),1/3)))))))</f>
        <v>51800.26683766341</v>
      </c>
      <c r="AE574">
        <f t="shared" ca="1" si="251"/>
        <v>52432.616837663409</v>
      </c>
      <c r="AF574">
        <f t="shared" ca="1" si="252"/>
        <v>52432.616837665235</v>
      </c>
      <c r="AI574">
        <v>0</v>
      </c>
      <c r="AJ574">
        <v>0</v>
      </c>
      <c r="AK574">
        <f t="shared" si="253"/>
        <v>0</v>
      </c>
      <c r="AL574">
        <f t="shared" si="262"/>
        <v>0</v>
      </c>
      <c r="AM574">
        <f t="shared" ca="1" si="254"/>
        <v>2.6560383008097266E-7</v>
      </c>
      <c r="AN574" t="str">
        <f t="shared" ca="1" si="255"/>
        <v>Subcritical</v>
      </c>
      <c r="AO574">
        <f t="shared" ca="1" si="256"/>
        <v>2.2562304480281055E-12</v>
      </c>
    </row>
    <row r="575" spans="1:41" x14ac:dyDescent="0.35">
      <c r="A575">
        <v>426</v>
      </c>
      <c r="B575">
        <v>424.89600000000002</v>
      </c>
      <c r="C575">
        <v>616239.93799999997</v>
      </c>
      <c r="D575">
        <v>3097542.764</v>
      </c>
      <c r="E575">
        <v>632.34950000000003</v>
      </c>
      <c r="F575">
        <v>5.2</v>
      </c>
      <c r="G575">
        <v>0</v>
      </c>
      <c r="H575" t="s">
        <v>186</v>
      </c>
      <c r="I575">
        <v>2.3E-2</v>
      </c>
      <c r="J575">
        <f t="shared" si="257"/>
        <v>1.0010000000000332</v>
      </c>
      <c r="K575">
        <f t="shared" si="258"/>
        <v>51</v>
      </c>
      <c r="L575">
        <f t="shared" ca="1" si="259"/>
        <v>51797.843837663619</v>
      </c>
      <c r="M575">
        <f t="shared" ca="1" si="236"/>
        <v>269348.78795585083</v>
      </c>
      <c r="N575">
        <f t="shared" ca="1" si="237"/>
        <v>2.5998694991876676</v>
      </c>
      <c r="O575">
        <f t="shared" ca="1" si="238"/>
        <v>1.8934557080078435E-4</v>
      </c>
      <c r="P575">
        <f t="shared" ca="1" si="239"/>
        <v>52430.193337663615</v>
      </c>
      <c r="Q575">
        <f t="shared" ca="1" si="240"/>
        <v>52430.193337665442</v>
      </c>
      <c r="R575">
        <f t="shared" ca="1" si="241"/>
        <v>2.2564415439646509E-12</v>
      </c>
      <c r="S575">
        <f t="shared" ca="1" si="260"/>
        <v>5.0000000192085281E-4</v>
      </c>
      <c r="T575">
        <f t="shared" ca="1" si="261"/>
        <v>1</v>
      </c>
      <c r="U575">
        <f t="shared" ca="1" si="242"/>
        <v>51800.26683766341</v>
      </c>
      <c r="V575">
        <f t="shared" ca="1" si="243"/>
        <v>269361.38755584974</v>
      </c>
      <c r="W575">
        <f t="shared" ca="1" si="244"/>
        <v>2.5998695052916441</v>
      </c>
      <c r="X575">
        <f t="shared" ca="1" si="245"/>
        <v>1.8933671400629237E-4</v>
      </c>
      <c r="Y575">
        <f t="shared" ca="1" si="246"/>
        <v>52432.616337663407</v>
      </c>
      <c r="Z575">
        <f t="shared" ca="1" si="247"/>
        <v>52432.616337665233</v>
      </c>
      <c r="AA575">
        <f t="shared" ca="1" si="248"/>
        <v>2.2562304480281055E-12</v>
      </c>
      <c r="AB575">
        <f t="shared" ca="1" si="249"/>
        <v>-4.999999946448952E-4</v>
      </c>
      <c r="AC575">
        <f t="shared" ca="1" si="250"/>
        <v>1</v>
      </c>
      <c r="AD575">
        <f ca="1">IF(V32="Supercritical",L575,IF(V32="Subcritical",U575,IF(AND(T575=1,AC575=1),IF((((F575)*(L575)^2)/2+(G575)*(L575)^3/3+(ABS(K575)^2)/($I$5*MAX(((F575)+(G575)*(L575))*(L575),0.000001)))&gt;=(((F575)*(U575)^2)/2+(G575)*(U575)^3/3+(ABS(K575)^2)/($I$5*MAX(((F575)+(G575)*(U575))*(U575),0.000001))),L575,U575),IF(T575=1,L575,IF(AC575=1,U575,MAX($D$16,POWER((ABS(K575)^2)/($I$5*MAX(F575,0.1)^2),1/3)))))))</f>
        <v>51800.26683766341</v>
      </c>
      <c r="AE575">
        <f t="shared" ca="1" si="251"/>
        <v>52432.616337663407</v>
      </c>
      <c r="AF575">
        <f t="shared" ca="1" si="252"/>
        <v>52432.616337665233</v>
      </c>
      <c r="AI575">
        <v>0</v>
      </c>
      <c r="AJ575">
        <v>0</v>
      </c>
      <c r="AK575">
        <f t="shared" si="253"/>
        <v>0</v>
      </c>
      <c r="AL575">
        <f t="shared" si="262"/>
        <v>0</v>
      </c>
      <c r="AM575">
        <f t="shared" ca="1" si="254"/>
        <v>2.6560383008097266E-7</v>
      </c>
      <c r="AN575" t="str">
        <f t="shared" ca="1" si="255"/>
        <v>Subcritical</v>
      </c>
      <c r="AO575">
        <f t="shared" ca="1" si="256"/>
        <v>2.2562304480281055E-12</v>
      </c>
    </row>
    <row r="576" spans="1:41" x14ac:dyDescent="0.35">
      <c r="A576">
        <v>427</v>
      </c>
      <c r="B576">
        <v>425.89499999999998</v>
      </c>
      <c r="C576">
        <v>616239.46400000004</v>
      </c>
      <c r="D576">
        <v>3097541.8840000001</v>
      </c>
      <c r="E576">
        <v>632.34900000000005</v>
      </c>
      <c r="F576">
        <v>5.2</v>
      </c>
      <c r="G576">
        <v>0</v>
      </c>
      <c r="H576" t="s">
        <v>186</v>
      </c>
      <c r="I576">
        <v>2.7E-2</v>
      </c>
      <c r="J576">
        <f t="shared" si="257"/>
        <v>0.9989999999999668</v>
      </c>
      <c r="K576">
        <f t="shared" si="258"/>
        <v>51</v>
      </c>
      <c r="L576">
        <f t="shared" ca="1" si="259"/>
        <v>51797.843837663619</v>
      </c>
      <c r="M576">
        <f t="shared" ca="1" si="236"/>
        <v>269348.78795585083</v>
      </c>
      <c r="N576">
        <f t="shared" ca="1" si="237"/>
        <v>2.5998694991876676</v>
      </c>
      <c r="O576">
        <f t="shared" ca="1" si="238"/>
        <v>1.8934557080078435E-4</v>
      </c>
      <c r="P576">
        <f t="shared" ca="1" si="239"/>
        <v>52430.192837663621</v>
      </c>
      <c r="Q576">
        <f t="shared" ca="1" si="240"/>
        <v>52430.192837665447</v>
      </c>
      <c r="R576">
        <f t="shared" ca="1" si="241"/>
        <v>2.2564415439646509E-12</v>
      </c>
      <c r="S576">
        <f t="shared" ca="1" si="260"/>
        <v>4.999999946448952E-4</v>
      </c>
      <c r="T576">
        <f t="shared" ca="1" si="261"/>
        <v>1</v>
      </c>
      <c r="U576">
        <f t="shared" ca="1" si="242"/>
        <v>51800.26683766341</v>
      </c>
      <c r="V576">
        <f t="shared" ca="1" si="243"/>
        <v>269361.38755584974</v>
      </c>
      <c r="W576">
        <f t="shared" ca="1" si="244"/>
        <v>2.5998695052916441</v>
      </c>
      <c r="X576">
        <f t="shared" ca="1" si="245"/>
        <v>1.8933671400629237E-4</v>
      </c>
      <c r="Y576">
        <f t="shared" ca="1" si="246"/>
        <v>52432.615837663412</v>
      </c>
      <c r="Z576">
        <f t="shared" ca="1" si="247"/>
        <v>52432.615837665238</v>
      </c>
      <c r="AA576">
        <f t="shared" ca="1" si="248"/>
        <v>2.2562304480281055E-12</v>
      </c>
      <c r="AB576">
        <f t="shared" ca="1" si="249"/>
        <v>-5.0000000192085281E-4</v>
      </c>
      <c r="AC576">
        <f t="shared" ca="1" si="250"/>
        <v>1</v>
      </c>
      <c r="AD576">
        <f ca="1">IF(V32="Supercritical",L576,IF(V32="Subcritical",U576,IF(AND(T576=1,AC576=1),IF((((F576)*(L576)^2)/2+(G576)*(L576)^3/3+(ABS(K576)^2)/($I$5*MAX(((F576)+(G576)*(L576))*(L576),0.000001)))&gt;=(((F576)*(U576)^2)/2+(G576)*(U576)^3/3+(ABS(K576)^2)/($I$5*MAX(((F576)+(G576)*(U576))*(U576),0.000001))),L576,U576),IF(T576=1,L576,IF(AC576=1,U576,MAX($D$16,POWER((ABS(K576)^2)/($I$5*MAX(F576,0.1)^2),1/3)))))))</f>
        <v>51800.26683766341</v>
      </c>
      <c r="AE576">
        <f t="shared" ca="1" si="251"/>
        <v>52432.615837663412</v>
      </c>
      <c r="AF576">
        <f t="shared" ca="1" si="252"/>
        <v>52432.615837665238</v>
      </c>
      <c r="AI576">
        <v>0</v>
      </c>
      <c r="AJ576">
        <v>0</v>
      </c>
      <c r="AK576">
        <f t="shared" si="253"/>
        <v>0</v>
      </c>
      <c r="AL576">
        <f t="shared" si="262"/>
        <v>0</v>
      </c>
      <c r="AM576">
        <f t="shared" ca="1" si="254"/>
        <v>2.6560383008097266E-7</v>
      </c>
      <c r="AN576" t="str">
        <f t="shared" ca="1" si="255"/>
        <v>Subcritical</v>
      </c>
      <c r="AO576">
        <f t="shared" ca="1" si="256"/>
        <v>2.2562304480281055E-12</v>
      </c>
    </row>
    <row r="577" spans="1:41" x14ac:dyDescent="0.35">
      <c r="A577">
        <v>428</v>
      </c>
      <c r="B577">
        <v>426.89600000000002</v>
      </c>
      <c r="C577">
        <v>616238.99</v>
      </c>
      <c r="D577">
        <v>3097541.003</v>
      </c>
      <c r="E577">
        <v>632.34849999999994</v>
      </c>
      <c r="F577">
        <v>5.2</v>
      </c>
      <c r="G577">
        <v>0</v>
      </c>
      <c r="H577" t="s">
        <v>186</v>
      </c>
      <c r="I577">
        <v>2.7E-2</v>
      </c>
      <c r="J577">
        <f t="shared" si="257"/>
        <v>1.0010000000000332</v>
      </c>
      <c r="K577">
        <f t="shared" si="258"/>
        <v>51</v>
      </c>
      <c r="L577">
        <f t="shared" ca="1" si="259"/>
        <v>51797.843837663619</v>
      </c>
      <c r="M577">
        <f t="shared" ca="1" si="236"/>
        <v>269348.78795585083</v>
      </c>
      <c r="N577">
        <f t="shared" ca="1" si="237"/>
        <v>2.5998694991876676</v>
      </c>
      <c r="O577">
        <f t="shared" ca="1" si="238"/>
        <v>1.8934557080078435E-4</v>
      </c>
      <c r="P577">
        <f t="shared" ca="1" si="239"/>
        <v>52430.192337663619</v>
      </c>
      <c r="Q577">
        <f t="shared" ca="1" si="240"/>
        <v>52430.192337665445</v>
      </c>
      <c r="R577">
        <f t="shared" ca="1" si="241"/>
        <v>2.2564415439646509E-12</v>
      </c>
      <c r="S577">
        <f t="shared" ca="1" si="260"/>
        <v>5.0000000192085281E-4</v>
      </c>
      <c r="T577">
        <f t="shared" ca="1" si="261"/>
        <v>1</v>
      </c>
      <c r="U577">
        <f t="shared" ca="1" si="242"/>
        <v>51800.26683766341</v>
      </c>
      <c r="V577">
        <f t="shared" ca="1" si="243"/>
        <v>269361.38755584974</v>
      </c>
      <c r="W577">
        <f t="shared" ca="1" si="244"/>
        <v>2.5998695052916441</v>
      </c>
      <c r="X577">
        <f t="shared" ca="1" si="245"/>
        <v>1.8933671400629237E-4</v>
      </c>
      <c r="Y577">
        <f t="shared" ca="1" si="246"/>
        <v>52432.61533766341</v>
      </c>
      <c r="Z577">
        <f t="shared" ca="1" si="247"/>
        <v>52432.615337665236</v>
      </c>
      <c r="AA577">
        <f t="shared" ca="1" si="248"/>
        <v>2.2562304480281055E-12</v>
      </c>
      <c r="AB577">
        <f t="shared" ca="1" si="249"/>
        <v>-5.0000000192085281E-4</v>
      </c>
      <c r="AC577">
        <f t="shared" ca="1" si="250"/>
        <v>1</v>
      </c>
      <c r="AD577">
        <f ca="1">IF(V32="Supercritical",L577,IF(V32="Subcritical",U577,IF(AND(T577=1,AC577=1),IF((((F577)*(L577)^2)/2+(G577)*(L577)^3/3+(ABS(K577)^2)/($I$5*MAX(((F577)+(G577)*(L577))*(L577),0.000001)))&gt;=(((F577)*(U577)^2)/2+(G577)*(U577)^3/3+(ABS(K577)^2)/($I$5*MAX(((F577)+(G577)*(U577))*(U577),0.000001))),L577,U577),IF(T577=1,L577,IF(AC577=1,U577,MAX($D$16,POWER((ABS(K577)^2)/($I$5*MAX(F577,0.1)^2),1/3)))))))</f>
        <v>51800.26683766341</v>
      </c>
      <c r="AE577">
        <f t="shared" ca="1" si="251"/>
        <v>52432.61533766341</v>
      </c>
      <c r="AF577">
        <f t="shared" ca="1" si="252"/>
        <v>52432.615337665236</v>
      </c>
      <c r="AI577">
        <v>0</v>
      </c>
      <c r="AJ577">
        <v>0</v>
      </c>
      <c r="AK577">
        <f t="shared" si="253"/>
        <v>0</v>
      </c>
      <c r="AL577">
        <f t="shared" si="262"/>
        <v>0</v>
      </c>
      <c r="AM577">
        <f t="shared" ca="1" si="254"/>
        <v>2.6560383008097266E-7</v>
      </c>
      <c r="AN577" t="str">
        <f t="shared" ca="1" si="255"/>
        <v>Subcritical</v>
      </c>
      <c r="AO577">
        <f t="shared" ca="1" si="256"/>
        <v>2.2562304480281055E-12</v>
      </c>
    </row>
    <row r="578" spans="1:41" x14ac:dyDescent="0.35">
      <c r="A578">
        <v>429</v>
      </c>
      <c r="B578">
        <v>427.89499999999998</v>
      </c>
      <c r="C578">
        <v>616238.51599999995</v>
      </c>
      <c r="D578">
        <v>3097540.1230000001</v>
      </c>
      <c r="E578">
        <v>632.34799999999996</v>
      </c>
      <c r="F578">
        <v>5.2</v>
      </c>
      <c r="G578">
        <v>0</v>
      </c>
      <c r="H578" t="s">
        <v>186</v>
      </c>
      <c r="I578">
        <v>0</v>
      </c>
      <c r="J578">
        <f t="shared" si="257"/>
        <v>0.9989999999999668</v>
      </c>
      <c r="K578">
        <f t="shared" si="258"/>
        <v>51</v>
      </c>
      <c r="L578">
        <f t="shared" ca="1" si="259"/>
        <v>51797.843837663619</v>
      </c>
      <c r="M578">
        <f t="shared" ca="1" si="236"/>
        <v>269348.78795585083</v>
      </c>
      <c r="N578">
        <f t="shared" ca="1" si="237"/>
        <v>2.5998694991876676</v>
      </c>
      <c r="O578">
        <f t="shared" ca="1" si="238"/>
        <v>1.8934557080078435E-4</v>
      </c>
      <c r="P578">
        <f t="shared" ca="1" si="239"/>
        <v>52430.191837663617</v>
      </c>
      <c r="Q578">
        <f t="shared" ca="1" si="240"/>
        <v>52430.191837665443</v>
      </c>
      <c r="R578">
        <f t="shared" ca="1" si="241"/>
        <v>2.2564415439646509E-12</v>
      </c>
      <c r="S578">
        <f t="shared" ca="1" si="260"/>
        <v>5.0000000192085281E-4</v>
      </c>
      <c r="T578">
        <f t="shared" ca="1" si="261"/>
        <v>1</v>
      </c>
      <c r="U578">
        <f t="shared" ca="1" si="242"/>
        <v>51800.26683766341</v>
      </c>
      <c r="V578">
        <f t="shared" ca="1" si="243"/>
        <v>269361.38755584974</v>
      </c>
      <c r="W578">
        <f t="shared" ca="1" si="244"/>
        <v>2.5998695052916441</v>
      </c>
      <c r="X578">
        <f t="shared" ca="1" si="245"/>
        <v>1.8933671400629237E-4</v>
      </c>
      <c r="Y578">
        <f t="shared" ca="1" si="246"/>
        <v>52432.614837663408</v>
      </c>
      <c r="Z578">
        <f t="shared" ca="1" si="247"/>
        <v>52432.614837665235</v>
      </c>
      <c r="AA578">
        <f t="shared" ca="1" si="248"/>
        <v>2.2562304480281055E-12</v>
      </c>
      <c r="AB578">
        <f t="shared" ca="1" si="249"/>
        <v>-4.999999946448952E-4</v>
      </c>
      <c r="AC578">
        <f t="shared" ca="1" si="250"/>
        <v>1</v>
      </c>
      <c r="AD578">
        <f ca="1">IF(V32="Supercritical",L578,IF(V32="Subcritical",U578,IF(AND(T578=1,AC578=1),IF((((F578)*(L578)^2)/2+(G578)*(L578)^3/3+(ABS(K578)^2)/($I$5*MAX(((F578)+(G578)*(L578))*(L578),0.000001)))&gt;=(((F578)*(U578)^2)/2+(G578)*(U578)^3/3+(ABS(K578)^2)/($I$5*MAX(((F578)+(G578)*(U578))*(U578),0.000001))),L578,U578),IF(T578=1,L578,IF(AC578=1,U578,MAX($D$16,POWER((ABS(K578)^2)/($I$5*MAX(F578,0.1)^2),1/3)))))))</f>
        <v>51800.26683766341</v>
      </c>
      <c r="AE578">
        <f t="shared" ca="1" si="251"/>
        <v>52432.614837663408</v>
      </c>
      <c r="AF578">
        <f t="shared" ca="1" si="252"/>
        <v>52432.614837665235</v>
      </c>
      <c r="AI578">
        <v>0</v>
      </c>
      <c r="AJ578">
        <v>0</v>
      </c>
      <c r="AK578">
        <f t="shared" si="253"/>
        <v>0</v>
      </c>
      <c r="AL578">
        <f t="shared" si="262"/>
        <v>0</v>
      </c>
      <c r="AM578">
        <f t="shared" ca="1" si="254"/>
        <v>2.6560383008097266E-7</v>
      </c>
      <c r="AN578" t="str">
        <f t="shared" ca="1" si="255"/>
        <v>Subcritical</v>
      </c>
      <c r="AO578">
        <f t="shared" ca="1" si="256"/>
        <v>2.2562304480281055E-12</v>
      </c>
    </row>
    <row r="579" spans="1:41" x14ac:dyDescent="0.35">
      <c r="A579">
        <v>430</v>
      </c>
      <c r="B579">
        <v>428.89499999999998</v>
      </c>
      <c r="C579">
        <v>616238.04200000002</v>
      </c>
      <c r="D579">
        <v>3097539.2429999998</v>
      </c>
      <c r="E579">
        <v>632.34749999999997</v>
      </c>
      <c r="F579">
        <v>5.2</v>
      </c>
      <c r="G579">
        <v>0</v>
      </c>
      <c r="H579" t="s">
        <v>186</v>
      </c>
      <c r="I579">
        <v>2.3E-2</v>
      </c>
      <c r="J579">
        <f t="shared" si="257"/>
        <v>1</v>
      </c>
      <c r="K579">
        <f t="shared" si="258"/>
        <v>51</v>
      </c>
      <c r="L579">
        <f t="shared" ca="1" si="259"/>
        <v>51797.843837663619</v>
      </c>
      <c r="M579">
        <f t="shared" ca="1" si="236"/>
        <v>269348.78795585083</v>
      </c>
      <c r="N579">
        <f t="shared" ca="1" si="237"/>
        <v>2.5998694991876676</v>
      </c>
      <c r="O579">
        <f t="shared" ca="1" si="238"/>
        <v>1.8934557080078435E-4</v>
      </c>
      <c r="P579">
        <f t="shared" ca="1" si="239"/>
        <v>52430.191337663622</v>
      </c>
      <c r="Q579">
        <f t="shared" ca="1" si="240"/>
        <v>52430.191337665448</v>
      </c>
      <c r="R579">
        <f t="shared" ca="1" si="241"/>
        <v>2.2564415439646509E-12</v>
      </c>
      <c r="S579">
        <f t="shared" ca="1" si="260"/>
        <v>4.999999946448952E-4</v>
      </c>
      <c r="T579">
        <f t="shared" ca="1" si="261"/>
        <v>1</v>
      </c>
      <c r="U579">
        <f t="shared" ca="1" si="242"/>
        <v>51800.26683766341</v>
      </c>
      <c r="V579">
        <f t="shared" ca="1" si="243"/>
        <v>269361.38755584974</v>
      </c>
      <c r="W579">
        <f t="shared" ca="1" si="244"/>
        <v>2.5998695052916441</v>
      </c>
      <c r="X579">
        <f t="shared" ca="1" si="245"/>
        <v>1.8933671400629237E-4</v>
      </c>
      <c r="Y579">
        <f t="shared" ca="1" si="246"/>
        <v>52432.614337663414</v>
      </c>
      <c r="Z579">
        <f t="shared" ca="1" si="247"/>
        <v>52432.61433766524</v>
      </c>
      <c r="AA579">
        <f t="shared" ca="1" si="248"/>
        <v>2.2562304480281055E-12</v>
      </c>
      <c r="AB579">
        <f t="shared" ca="1" si="249"/>
        <v>-5.0000000192085281E-4</v>
      </c>
      <c r="AC579">
        <f t="shared" ca="1" si="250"/>
        <v>1</v>
      </c>
      <c r="AD579">
        <f ca="1">IF(V32="Supercritical",L579,IF(V32="Subcritical",U579,IF(AND(T579=1,AC579=1),IF((((F579)*(L579)^2)/2+(G579)*(L579)^3/3+(ABS(K579)^2)/($I$5*MAX(((F579)+(G579)*(L579))*(L579),0.000001)))&gt;=(((F579)*(U579)^2)/2+(G579)*(U579)^3/3+(ABS(K579)^2)/($I$5*MAX(((F579)+(G579)*(U579))*(U579),0.000001))),L579,U579),IF(T579=1,L579,IF(AC579=1,U579,MAX($D$16,POWER((ABS(K579)^2)/($I$5*MAX(F579,0.1)^2),1/3)))))))</f>
        <v>51800.26683766341</v>
      </c>
      <c r="AE579">
        <f t="shared" ca="1" si="251"/>
        <v>52432.614337663414</v>
      </c>
      <c r="AF579">
        <f t="shared" ca="1" si="252"/>
        <v>52432.61433766524</v>
      </c>
      <c r="AI579">
        <v>0</v>
      </c>
      <c r="AJ579">
        <v>0</v>
      </c>
      <c r="AK579">
        <f t="shared" si="253"/>
        <v>0</v>
      </c>
      <c r="AL579">
        <f t="shared" si="262"/>
        <v>0</v>
      </c>
      <c r="AM579">
        <f t="shared" ca="1" si="254"/>
        <v>2.6560383008097266E-7</v>
      </c>
      <c r="AN579" t="str">
        <f t="shared" ca="1" si="255"/>
        <v>Subcritical</v>
      </c>
      <c r="AO579">
        <f t="shared" ca="1" si="256"/>
        <v>2.2562304480281055E-12</v>
      </c>
    </row>
    <row r="580" spans="1:41" x14ac:dyDescent="0.35">
      <c r="A580">
        <v>431</v>
      </c>
      <c r="B580">
        <v>429.89600000000002</v>
      </c>
      <c r="C580">
        <v>616237.56700000004</v>
      </c>
      <c r="D580">
        <v>3097538.3620000002</v>
      </c>
      <c r="E580">
        <v>632.34699999999998</v>
      </c>
      <c r="F580">
        <v>5.2</v>
      </c>
      <c r="G580">
        <v>0</v>
      </c>
      <c r="H580" t="s">
        <v>186</v>
      </c>
      <c r="I580">
        <v>2.3E-2</v>
      </c>
      <c r="J580">
        <f t="shared" si="257"/>
        <v>1.0010000000000332</v>
      </c>
      <c r="K580">
        <f t="shared" si="258"/>
        <v>51</v>
      </c>
      <c r="L580">
        <f t="shared" ca="1" si="259"/>
        <v>51797.843837663619</v>
      </c>
      <c r="M580">
        <f t="shared" ca="1" si="236"/>
        <v>269348.78795585083</v>
      </c>
      <c r="N580">
        <f t="shared" ca="1" si="237"/>
        <v>2.5998694991876676</v>
      </c>
      <c r="O580">
        <f t="shared" ca="1" si="238"/>
        <v>1.8934557080078435E-4</v>
      </c>
      <c r="P580">
        <f t="shared" ca="1" si="239"/>
        <v>52430.19083766362</v>
      </c>
      <c r="Q580">
        <f t="shared" ca="1" si="240"/>
        <v>52430.190837665446</v>
      </c>
      <c r="R580">
        <f t="shared" ca="1" si="241"/>
        <v>2.2564415439646509E-12</v>
      </c>
      <c r="S580">
        <f t="shared" ca="1" si="260"/>
        <v>5.0000000192085281E-4</v>
      </c>
      <c r="T580">
        <f t="shared" ca="1" si="261"/>
        <v>1</v>
      </c>
      <c r="U580">
        <f t="shared" ca="1" si="242"/>
        <v>51800.26683766341</v>
      </c>
      <c r="V580">
        <f t="shared" ca="1" si="243"/>
        <v>269361.38755584974</v>
      </c>
      <c r="W580">
        <f t="shared" ca="1" si="244"/>
        <v>2.5998695052916441</v>
      </c>
      <c r="X580">
        <f t="shared" ca="1" si="245"/>
        <v>1.8933671400629237E-4</v>
      </c>
      <c r="Y580">
        <f t="shared" ca="1" si="246"/>
        <v>52432.613837663412</v>
      </c>
      <c r="Z580">
        <f t="shared" ca="1" si="247"/>
        <v>52432.613837665238</v>
      </c>
      <c r="AA580">
        <f t="shared" ca="1" si="248"/>
        <v>2.2562304480281055E-12</v>
      </c>
      <c r="AB580">
        <f t="shared" ca="1" si="249"/>
        <v>-5.0000000192085281E-4</v>
      </c>
      <c r="AC580">
        <f t="shared" ca="1" si="250"/>
        <v>1</v>
      </c>
      <c r="AD580">
        <f ca="1">IF(V32="Supercritical",L580,IF(V32="Subcritical",U580,IF(AND(T580=1,AC580=1),IF((((F580)*(L580)^2)/2+(G580)*(L580)^3/3+(ABS(K580)^2)/($I$5*MAX(((F580)+(G580)*(L580))*(L580),0.000001)))&gt;=(((F580)*(U580)^2)/2+(G580)*(U580)^3/3+(ABS(K580)^2)/($I$5*MAX(((F580)+(G580)*(U580))*(U580),0.000001))),L580,U580),IF(T580=1,L580,IF(AC580=1,U580,MAX($D$16,POWER((ABS(K580)^2)/($I$5*MAX(F580,0.1)^2),1/3)))))))</f>
        <v>51800.26683766341</v>
      </c>
      <c r="AE580">
        <f t="shared" ca="1" si="251"/>
        <v>52432.613837663412</v>
      </c>
      <c r="AF580">
        <f t="shared" ca="1" si="252"/>
        <v>52432.613837665238</v>
      </c>
      <c r="AI580">
        <v>0</v>
      </c>
      <c r="AJ580">
        <v>0</v>
      </c>
      <c r="AK580">
        <f t="shared" si="253"/>
        <v>0</v>
      </c>
      <c r="AL580">
        <f t="shared" si="262"/>
        <v>0</v>
      </c>
      <c r="AM580">
        <f t="shared" ca="1" si="254"/>
        <v>2.6560383008097266E-7</v>
      </c>
      <c r="AN580" t="str">
        <f t="shared" ca="1" si="255"/>
        <v>Subcritical</v>
      </c>
      <c r="AO580">
        <f t="shared" ca="1" si="256"/>
        <v>2.2562304480281055E-12</v>
      </c>
    </row>
    <row r="581" spans="1:41" x14ac:dyDescent="0.35">
      <c r="A581">
        <v>432</v>
      </c>
      <c r="B581">
        <v>430.89499999999998</v>
      </c>
      <c r="C581">
        <v>616237.09299999999</v>
      </c>
      <c r="D581">
        <v>3097537.4819999998</v>
      </c>
      <c r="E581">
        <v>632.34649999999999</v>
      </c>
      <c r="F581">
        <v>5.2</v>
      </c>
      <c r="G581">
        <v>0</v>
      </c>
      <c r="H581" t="s">
        <v>186</v>
      </c>
      <c r="I581">
        <v>2.7E-2</v>
      </c>
      <c r="J581">
        <f t="shared" si="257"/>
        <v>0.9989999999999668</v>
      </c>
      <c r="K581">
        <f t="shared" si="258"/>
        <v>51</v>
      </c>
      <c r="L581">
        <f t="shared" ca="1" si="259"/>
        <v>51797.843837663619</v>
      </c>
      <c r="M581">
        <f t="shared" ca="1" si="236"/>
        <v>269348.78795585083</v>
      </c>
      <c r="N581">
        <f t="shared" ca="1" si="237"/>
        <v>2.5998694991876676</v>
      </c>
      <c r="O581">
        <f t="shared" ca="1" si="238"/>
        <v>1.8934557080078435E-4</v>
      </c>
      <c r="P581">
        <f t="shared" ca="1" si="239"/>
        <v>52430.190337663618</v>
      </c>
      <c r="Q581">
        <f t="shared" ca="1" si="240"/>
        <v>52430.190337665445</v>
      </c>
      <c r="R581">
        <f t="shared" ca="1" si="241"/>
        <v>2.2564415439646509E-12</v>
      </c>
      <c r="S581">
        <f t="shared" ca="1" si="260"/>
        <v>5.0000000192085281E-4</v>
      </c>
      <c r="T581">
        <f t="shared" ca="1" si="261"/>
        <v>1</v>
      </c>
      <c r="U581">
        <f t="shared" ca="1" si="242"/>
        <v>51800.26683766341</v>
      </c>
      <c r="V581">
        <f t="shared" ca="1" si="243"/>
        <v>269361.38755584974</v>
      </c>
      <c r="W581">
        <f t="shared" ca="1" si="244"/>
        <v>2.5998695052916441</v>
      </c>
      <c r="X581">
        <f t="shared" ca="1" si="245"/>
        <v>1.8933671400629237E-4</v>
      </c>
      <c r="Y581">
        <f t="shared" ca="1" si="246"/>
        <v>52432.61333766341</v>
      </c>
      <c r="Z581">
        <f t="shared" ca="1" si="247"/>
        <v>52432.613337665236</v>
      </c>
      <c r="AA581">
        <f t="shared" ca="1" si="248"/>
        <v>2.2562304480281055E-12</v>
      </c>
      <c r="AB581">
        <f t="shared" ca="1" si="249"/>
        <v>-5.0000000192085281E-4</v>
      </c>
      <c r="AC581">
        <f t="shared" ca="1" si="250"/>
        <v>1</v>
      </c>
      <c r="AD581">
        <f ca="1">IF(V32="Supercritical",L581,IF(V32="Subcritical",U581,IF(AND(T581=1,AC581=1),IF((((F581)*(L581)^2)/2+(G581)*(L581)^3/3+(ABS(K581)^2)/($I$5*MAX(((F581)+(G581)*(L581))*(L581),0.000001)))&gt;=(((F581)*(U581)^2)/2+(G581)*(U581)^3/3+(ABS(K581)^2)/($I$5*MAX(((F581)+(G581)*(U581))*(U581),0.000001))),L581,U581),IF(T581=1,L581,IF(AC581=1,U581,MAX($D$16,POWER((ABS(K581)^2)/($I$5*MAX(F581,0.1)^2),1/3)))))))</f>
        <v>51800.26683766341</v>
      </c>
      <c r="AE581">
        <f t="shared" ca="1" si="251"/>
        <v>52432.61333766341</v>
      </c>
      <c r="AF581">
        <f t="shared" ca="1" si="252"/>
        <v>52432.613337665236</v>
      </c>
      <c r="AI581">
        <v>0</v>
      </c>
      <c r="AJ581">
        <v>0</v>
      </c>
      <c r="AK581">
        <f t="shared" si="253"/>
        <v>0</v>
      </c>
      <c r="AL581">
        <f t="shared" si="262"/>
        <v>0</v>
      </c>
      <c r="AM581">
        <f t="shared" ca="1" si="254"/>
        <v>2.6560383008097266E-7</v>
      </c>
      <c r="AN581" t="str">
        <f t="shared" ca="1" si="255"/>
        <v>Subcritical</v>
      </c>
      <c r="AO581">
        <f t="shared" ca="1" si="256"/>
        <v>2.2562304480281055E-12</v>
      </c>
    </row>
    <row r="582" spans="1:41" x14ac:dyDescent="0.35">
      <c r="A582">
        <v>433</v>
      </c>
      <c r="B582">
        <v>431.89600000000002</v>
      </c>
      <c r="C582">
        <v>616236.61899999995</v>
      </c>
      <c r="D582">
        <v>3097536.6009999998</v>
      </c>
      <c r="E582">
        <v>632.346</v>
      </c>
      <c r="F582">
        <v>5.2</v>
      </c>
      <c r="G582">
        <v>0</v>
      </c>
      <c r="H582" t="s">
        <v>186</v>
      </c>
      <c r="I582">
        <v>2.7E-2</v>
      </c>
      <c r="J582">
        <f t="shared" si="257"/>
        <v>1.0010000000000332</v>
      </c>
      <c r="K582">
        <f t="shared" si="258"/>
        <v>51</v>
      </c>
      <c r="L582">
        <f t="shared" ca="1" si="259"/>
        <v>51797.843837663619</v>
      </c>
      <c r="M582">
        <f t="shared" ca="1" si="236"/>
        <v>269348.78795585083</v>
      </c>
      <c r="N582">
        <f t="shared" ca="1" si="237"/>
        <v>2.5998694991876676</v>
      </c>
      <c r="O582">
        <f t="shared" ca="1" si="238"/>
        <v>1.8934557080078435E-4</v>
      </c>
      <c r="P582">
        <f t="shared" ca="1" si="239"/>
        <v>52430.189837663616</v>
      </c>
      <c r="Q582">
        <f t="shared" ca="1" si="240"/>
        <v>52430.189837665443</v>
      </c>
      <c r="R582">
        <f t="shared" ca="1" si="241"/>
        <v>2.2564415439646509E-12</v>
      </c>
      <c r="S582">
        <f t="shared" ca="1" si="260"/>
        <v>5.0000000192085281E-4</v>
      </c>
      <c r="T582">
        <f t="shared" ca="1" si="261"/>
        <v>1</v>
      </c>
      <c r="U582">
        <f t="shared" ca="1" si="242"/>
        <v>51800.26683766341</v>
      </c>
      <c r="V582">
        <f t="shared" ca="1" si="243"/>
        <v>269361.38755584974</v>
      </c>
      <c r="W582">
        <f t="shared" ca="1" si="244"/>
        <v>2.5998695052916441</v>
      </c>
      <c r="X582">
        <f t="shared" ca="1" si="245"/>
        <v>1.8933671400629237E-4</v>
      </c>
      <c r="Y582">
        <f t="shared" ca="1" si="246"/>
        <v>52432.612837663408</v>
      </c>
      <c r="Z582">
        <f t="shared" ca="1" si="247"/>
        <v>52432.612837665234</v>
      </c>
      <c r="AA582">
        <f t="shared" ca="1" si="248"/>
        <v>2.2562304480281055E-12</v>
      </c>
      <c r="AB582">
        <f t="shared" ca="1" si="249"/>
        <v>-4.999999946448952E-4</v>
      </c>
      <c r="AC582">
        <f t="shared" ca="1" si="250"/>
        <v>1</v>
      </c>
      <c r="AD582">
        <f ca="1">IF(V32="Supercritical",L582,IF(V32="Subcritical",U582,IF(AND(T582=1,AC582=1),IF((((F582)*(L582)^2)/2+(G582)*(L582)^3/3+(ABS(K582)^2)/($I$5*MAX(((F582)+(G582)*(L582))*(L582),0.000001)))&gt;=(((F582)*(U582)^2)/2+(G582)*(U582)^3/3+(ABS(K582)^2)/($I$5*MAX(((F582)+(G582)*(U582))*(U582),0.000001))),L582,U582),IF(T582=1,L582,IF(AC582=1,U582,MAX($D$16,POWER((ABS(K582)^2)/($I$5*MAX(F582,0.1)^2),1/3)))))))</f>
        <v>51800.26683766341</v>
      </c>
      <c r="AE582">
        <f t="shared" ca="1" si="251"/>
        <v>52432.612837663408</v>
      </c>
      <c r="AF582">
        <f t="shared" ca="1" si="252"/>
        <v>52432.612837665234</v>
      </c>
      <c r="AI582">
        <v>0</v>
      </c>
      <c r="AJ582">
        <v>0</v>
      </c>
      <c r="AK582">
        <f t="shared" si="253"/>
        <v>0</v>
      </c>
      <c r="AL582">
        <f t="shared" si="262"/>
        <v>0</v>
      </c>
      <c r="AM582">
        <f t="shared" ca="1" si="254"/>
        <v>2.6560383008097266E-7</v>
      </c>
      <c r="AN582" t="str">
        <f t="shared" ca="1" si="255"/>
        <v>Subcritical</v>
      </c>
      <c r="AO582">
        <f t="shared" ca="1" si="256"/>
        <v>2.2562304480281055E-12</v>
      </c>
    </row>
    <row r="583" spans="1:41" x14ac:dyDescent="0.35">
      <c r="A583">
        <v>434</v>
      </c>
      <c r="B583">
        <v>432.89499999999998</v>
      </c>
      <c r="C583">
        <v>616236.14500000002</v>
      </c>
      <c r="D583">
        <v>3097535.7209999999</v>
      </c>
      <c r="E583">
        <v>632.34550000000002</v>
      </c>
      <c r="F583">
        <v>5.2</v>
      </c>
      <c r="G583">
        <v>0</v>
      </c>
      <c r="H583" t="s">
        <v>186</v>
      </c>
      <c r="I583">
        <v>0.05</v>
      </c>
      <c r="J583">
        <f t="shared" si="257"/>
        <v>0.9989999999999668</v>
      </c>
      <c r="K583">
        <f t="shared" si="258"/>
        <v>51</v>
      </c>
      <c r="L583">
        <f t="shared" ca="1" si="259"/>
        <v>51797.843837663619</v>
      </c>
      <c r="M583">
        <f t="shared" ca="1" si="236"/>
        <v>269348.78795585083</v>
      </c>
      <c r="N583">
        <f t="shared" ca="1" si="237"/>
        <v>2.5998694991876676</v>
      </c>
      <c r="O583">
        <f t="shared" ca="1" si="238"/>
        <v>1.8934557080078435E-4</v>
      </c>
      <c r="P583">
        <f t="shared" ca="1" si="239"/>
        <v>52430.189337663622</v>
      </c>
      <c r="Q583">
        <f t="shared" ca="1" si="240"/>
        <v>52430.189337665448</v>
      </c>
      <c r="R583">
        <f t="shared" ca="1" si="241"/>
        <v>2.2564415439646509E-12</v>
      </c>
      <c r="S583">
        <f t="shared" ca="1" si="260"/>
        <v>4.999999946448952E-4</v>
      </c>
      <c r="T583">
        <f t="shared" ca="1" si="261"/>
        <v>1</v>
      </c>
      <c r="U583">
        <f t="shared" ca="1" si="242"/>
        <v>51800.26683766341</v>
      </c>
      <c r="V583">
        <f t="shared" ca="1" si="243"/>
        <v>269361.38755584974</v>
      </c>
      <c r="W583">
        <f t="shared" ca="1" si="244"/>
        <v>2.5998695052916441</v>
      </c>
      <c r="X583">
        <f t="shared" ca="1" si="245"/>
        <v>1.8933671400629237E-4</v>
      </c>
      <c r="Y583">
        <f t="shared" ca="1" si="246"/>
        <v>52432.612337663413</v>
      </c>
      <c r="Z583">
        <f t="shared" ca="1" si="247"/>
        <v>52432.612337665239</v>
      </c>
      <c r="AA583">
        <f t="shared" ca="1" si="248"/>
        <v>2.2562304480281055E-12</v>
      </c>
      <c r="AB583">
        <f t="shared" ca="1" si="249"/>
        <v>-5.0000000192085281E-4</v>
      </c>
      <c r="AC583">
        <f t="shared" ca="1" si="250"/>
        <v>1</v>
      </c>
      <c r="AD583">
        <f ca="1">IF(V32="Supercritical",L583,IF(V32="Subcritical",U583,IF(AND(T583=1,AC583=1),IF((((F583)*(L583)^2)/2+(G583)*(L583)^3/3+(ABS(K583)^2)/($I$5*MAX(((F583)+(G583)*(L583))*(L583),0.000001)))&gt;=(((F583)*(U583)^2)/2+(G583)*(U583)^3/3+(ABS(K583)^2)/($I$5*MAX(((F583)+(G583)*(U583))*(U583),0.000001))),L583,U583),IF(T583=1,L583,IF(AC583=1,U583,MAX($D$16,POWER((ABS(K583)^2)/($I$5*MAX(F583,0.1)^2),1/3)))))))</f>
        <v>51800.26683766341</v>
      </c>
      <c r="AE583">
        <f t="shared" ca="1" si="251"/>
        <v>52432.612337663413</v>
      </c>
      <c r="AF583">
        <f t="shared" ca="1" si="252"/>
        <v>52432.612337665239</v>
      </c>
      <c r="AI583">
        <v>0</v>
      </c>
      <c r="AJ583">
        <v>0</v>
      </c>
      <c r="AK583">
        <f t="shared" si="253"/>
        <v>0</v>
      </c>
      <c r="AL583">
        <f t="shared" si="262"/>
        <v>0</v>
      </c>
      <c r="AM583">
        <f t="shared" ca="1" si="254"/>
        <v>2.6560383008097266E-7</v>
      </c>
      <c r="AN583" t="str">
        <f t="shared" ca="1" si="255"/>
        <v>Subcritical</v>
      </c>
      <c r="AO583">
        <f t="shared" ca="1" si="256"/>
        <v>2.2562304480281055E-12</v>
      </c>
    </row>
    <row r="584" spans="1:41" x14ac:dyDescent="0.35">
      <c r="A584">
        <v>435</v>
      </c>
      <c r="B584">
        <v>433.89499999999998</v>
      </c>
      <c r="C584">
        <v>616235.67000000004</v>
      </c>
      <c r="D584">
        <v>3097534.841</v>
      </c>
      <c r="E584">
        <v>632.34500000000003</v>
      </c>
      <c r="F584">
        <v>5.2</v>
      </c>
      <c r="G584">
        <v>0</v>
      </c>
      <c r="H584" t="s">
        <v>186</v>
      </c>
      <c r="I584">
        <v>7.8E-2</v>
      </c>
      <c r="J584">
        <f t="shared" si="257"/>
        <v>1</v>
      </c>
      <c r="K584">
        <f t="shared" si="258"/>
        <v>51</v>
      </c>
      <c r="L584">
        <f t="shared" ca="1" si="259"/>
        <v>51797.843837663619</v>
      </c>
      <c r="M584">
        <f t="shared" ca="1" si="236"/>
        <v>269348.78795585083</v>
      </c>
      <c r="N584">
        <f t="shared" ca="1" si="237"/>
        <v>2.5998694991876676</v>
      </c>
      <c r="O584">
        <f t="shared" ca="1" si="238"/>
        <v>1.8934557080078435E-4</v>
      </c>
      <c r="P584">
        <f t="shared" ca="1" si="239"/>
        <v>52430.18883766362</v>
      </c>
      <c r="Q584">
        <f t="shared" ca="1" si="240"/>
        <v>52430.188837665446</v>
      </c>
      <c r="R584">
        <f t="shared" ca="1" si="241"/>
        <v>2.2564415439646509E-12</v>
      </c>
      <c r="S584">
        <f t="shared" ca="1" si="260"/>
        <v>5.0000000192085281E-4</v>
      </c>
      <c r="T584">
        <f t="shared" ca="1" si="261"/>
        <v>1</v>
      </c>
      <c r="U584">
        <f t="shared" ca="1" si="242"/>
        <v>51800.26683766341</v>
      </c>
      <c r="V584">
        <f t="shared" ca="1" si="243"/>
        <v>269361.38755584974</v>
      </c>
      <c r="W584">
        <f t="shared" ca="1" si="244"/>
        <v>2.5998695052916441</v>
      </c>
      <c r="X584">
        <f t="shared" ca="1" si="245"/>
        <v>1.8933671400629237E-4</v>
      </c>
      <c r="Y584">
        <f t="shared" ca="1" si="246"/>
        <v>52432.611837663411</v>
      </c>
      <c r="Z584">
        <f t="shared" ca="1" si="247"/>
        <v>52432.611837665238</v>
      </c>
      <c r="AA584">
        <f t="shared" ca="1" si="248"/>
        <v>2.2562304480281055E-12</v>
      </c>
      <c r="AB584">
        <f t="shared" ca="1" si="249"/>
        <v>-5.0000000192085281E-4</v>
      </c>
      <c r="AC584">
        <f t="shared" ca="1" si="250"/>
        <v>1</v>
      </c>
      <c r="AD584">
        <f ca="1">IF(V32="Supercritical",L584,IF(V32="Subcritical",U584,IF(AND(T584=1,AC584=1),IF((((F584)*(L584)^2)/2+(G584)*(L584)^3/3+(ABS(K584)^2)/($I$5*MAX(((F584)+(G584)*(L584))*(L584),0.000001)))&gt;=(((F584)*(U584)^2)/2+(G584)*(U584)^3/3+(ABS(K584)^2)/($I$5*MAX(((F584)+(G584)*(U584))*(U584),0.000001))),L584,U584),IF(T584=1,L584,IF(AC584=1,U584,MAX($D$16,POWER((ABS(K584)^2)/($I$5*MAX(F584,0.1)^2),1/3)))))))</f>
        <v>51800.26683766341</v>
      </c>
      <c r="AE584">
        <f t="shared" ca="1" si="251"/>
        <v>52432.611837663411</v>
      </c>
      <c r="AF584">
        <f t="shared" ca="1" si="252"/>
        <v>52432.611837665238</v>
      </c>
      <c r="AI584">
        <v>0</v>
      </c>
      <c r="AJ584">
        <v>0</v>
      </c>
      <c r="AK584">
        <f t="shared" si="253"/>
        <v>0</v>
      </c>
      <c r="AL584">
        <f t="shared" si="262"/>
        <v>0</v>
      </c>
      <c r="AM584">
        <f t="shared" ca="1" si="254"/>
        <v>2.6560383008097266E-7</v>
      </c>
      <c r="AN584" t="str">
        <f t="shared" ca="1" si="255"/>
        <v>Subcritical</v>
      </c>
      <c r="AO584">
        <f t="shared" ca="1" si="256"/>
        <v>2.2562304480281055E-12</v>
      </c>
    </row>
    <row r="585" spans="1:41" x14ac:dyDescent="0.35">
      <c r="A585">
        <v>436</v>
      </c>
      <c r="B585">
        <v>434.89600000000002</v>
      </c>
      <c r="C585">
        <v>616235.196</v>
      </c>
      <c r="D585">
        <v>3097533.96</v>
      </c>
      <c r="E585">
        <v>632.34450000000004</v>
      </c>
      <c r="F585">
        <v>5.2</v>
      </c>
      <c r="G585">
        <v>0</v>
      </c>
      <c r="H585" t="s">
        <v>186</v>
      </c>
      <c r="I585">
        <v>2.7E-2</v>
      </c>
      <c r="J585">
        <f t="shared" si="257"/>
        <v>1.0010000000000332</v>
      </c>
      <c r="K585">
        <f t="shared" si="258"/>
        <v>51</v>
      </c>
      <c r="L585">
        <f t="shared" ca="1" si="259"/>
        <v>51797.843837663619</v>
      </c>
      <c r="M585">
        <f t="shared" ca="1" si="236"/>
        <v>269348.78795585083</v>
      </c>
      <c r="N585">
        <f t="shared" ca="1" si="237"/>
        <v>2.5998694991876676</v>
      </c>
      <c r="O585">
        <f t="shared" ca="1" si="238"/>
        <v>1.8934557080078435E-4</v>
      </c>
      <c r="P585">
        <f t="shared" ca="1" si="239"/>
        <v>52430.188337663618</v>
      </c>
      <c r="Q585">
        <f t="shared" ca="1" si="240"/>
        <v>52430.188337665444</v>
      </c>
      <c r="R585">
        <f t="shared" ca="1" si="241"/>
        <v>2.2564415439646509E-12</v>
      </c>
      <c r="S585">
        <f t="shared" ca="1" si="260"/>
        <v>5.0000000192085281E-4</v>
      </c>
      <c r="T585">
        <f t="shared" ca="1" si="261"/>
        <v>1</v>
      </c>
      <c r="U585">
        <f t="shared" ca="1" si="242"/>
        <v>51800.26683766341</v>
      </c>
      <c r="V585">
        <f t="shared" ca="1" si="243"/>
        <v>269361.38755584974</v>
      </c>
      <c r="W585">
        <f t="shared" ca="1" si="244"/>
        <v>2.5998695052916441</v>
      </c>
      <c r="X585">
        <f t="shared" ca="1" si="245"/>
        <v>1.8933671400629237E-4</v>
      </c>
      <c r="Y585">
        <f t="shared" ca="1" si="246"/>
        <v>52432.611337663409</v>
      </c>
      <c r="Z585">
        <f t="shared" ca="1" si="247"/>
        <v>52432.611337665236</v>
      </c>
      <c r="AA585">
        <f t="shared" ca="1" si="248"/>
        <v>2.2562304480281055E-12</v>
      </c>
      <c r="AB585">
        <f t="shared" ca="1" si="249"/>
        <v>-5.0000000192085281E-4</v>
      </c>
      <c r="AC585">
        <f t="shared" ca="1" si="250"/>
        <v>1</v>
      </c>
      <c r="AD585">
        <f ca="1">IF(V32="Supercritical",L585,IF(V32="Subcritical",U585,IF(AND(T585=1,AC585=1),IF((((F585)*(L585)^2)/2+(G585)*(L585)^3/3+(ABS(K585)^2)/($I$5*MAX(((F585)+(G585)*(L585))*(L585),0.000001)))&gt;=(((F585)*(U585)^2)/2+(G585)*(U585)^3/3+(ABS(K585)^2)/($I$5*MAX(((F585)+(G585)*(U585))*(U585),0.000001))),L585,U585),IF(T585=1,L585,IF(AC585=1,U585,MAX($D$16,POWER((ABS(K585)^2)/($I$5*MAX(F585,0.1)^2),1/3)))))))</f>
        <v>51800.26683766341</v>
      </c>
      <c r="AE585">
        <f t="shared" ca="1" si="251"/>
        <v>52432.611337663409</v>
      </c>
      <c r="AF585">
        <f t="shared" ca="1" si="252"/>
        <v>52432.611337665236</v>
      </c>
      <c r="AI585">
        <v>0</v>
      </c>
      <c r="AJ585">
        <v>0</v>
      </c>
      <c r="AK585">
        <f t="shared" si="253"/>
        <v>0</v>
      </c>
      <c r="AL585">
        <f t="shared" si="262"/>
        <v>0</v>
      </c>
      <c r="AM585">
        <f t="shared" ca="1" si="254"/>
        <v>2.6560383008097266E-7</v>
      </c>
      <c r="AN585" t="str">
        <f t="shared" ca="1" si="255"/>
        <v>Subcritical</v>
      </c>
      <c r="AO585">
        <f t="shared" ca="1" si="256"/>
        <v>2.2562304480281055E-12</v>
      </c>
    </row>
    <row r="586" spans="1:41" x14ac:dyDescent="0.35">
      <c r="A586">
        <v>437</v>
      </c>
      <c r="B586">
        <v>435.89499999999998</v>
      </c>
      <c r="C586">
        <v>616234.72199999995</v>
      </c>
      <c r="D586">
        <v>3097533.08</v>
      </c>
      <c r="E586">
        <v>632.34400000000005</v>
      </c>
      <c r="F586">
        <v>5.2</v>
      </c>
      <c r="G586">
        <v>0</v>
      </c>
      <c r="H586" t="s">
        <v>186</v>
      </c>
      <c r="I586">
        <v>2.7E-2</v>
      </c>
      <c r="J586">
        <f t="shared" si="257"/>
        <v>0.9989999999999668</v>
      </c>
      <c r="K586">
        <f t="shared" si="258"/>
        <v>51</v>
      </c>
      <c r="L586">
        <f t="shared" ca="1" si="259"/>
        <v>51797.843837663619</v>
      </c>
      <c r="M586">
        <f t="shared" ca="1" si="236"/>
        <v>269348.78795585083</v>
      </c>
      <c r="N586">
        <f t="shared" ca="1" si="237"/>
        <v>2.5998694991876676</v>
      </c>
      <c r="O586">
        <f t="shared" ca="1" si="238"/>
        <v>1.8934557080078435E-4</v>
      </c>
      <c r="P586">
        <f t="shared" ca="1" si="239"/>
        <v>52430.187837663616</v>
      </c>
      <c r="Q586">
        <f t="shared" ca="1" si="240"/>
        <v>52430.187837665442</v>
      </c>
      <c r="R586">
        <f t="shared" ca="1" si="241"/>
        <v>2.2564415439646509E-12</v>
      </c>
      <c r="S586">
        <f t="shared" ca="1" si="260"/>
        <v>5.0000000192085281E-4</v>
      </c>
      <c r="T586">
        <f t="shared" ca="1" si="261"/>
        <v>1</v>
      </c>
      <c r="U586">
        <f t="shared" ca="1" si="242"/>
        <v>51800.26683766341</v>
      </c>
      <c r="V586">
        <f t="shared" ca="1" si="243"/>
        <v>269361.38755584974</v>
      </c>
      <c r="W586">
        <f t="shared" ca="1" si="244"/>
        <v>2.5998695052916441</v>
      </c>
      <c r="X586">
        <f t="shared" ca="1" si="245"/>
        <v>1.8933671400629237E-4</v>
      </c>
      <c r="Y586">
        <f t="shared" ca="1" si="246"/>
        <v>52432.610837663407</v>
      </c>
      <c r="Z586">
        <f t="shared" ca="1" si="247"/>
        <v>52432.610837665234</v>
      </c>
      <c r="AA586">
        <f t="shared" ca="1" si="248"/>
        <v>2.2562304480281055E-12</v>
      </c>
      <c r="AB586">
        <f t="shared" ca="1" si="249"/>
        <v>-4.999999946448952E-4</v>
      </c>
      <c r="AC586">
        <f t="shared" ca="1" si="250"/>
        <v>1</v>
      </c>
      <c r="AD586">
        <f ca="1">IF(V32="Supercritical",L586,IF(V32="Subcritical",U586,IF(AND(T586=1,AC586=1),IF((((F586)*(L586)^2)/2+(G586)*(L586)^3/3+(ABS(K586)^2)/($I$5*MAX(((F586)+(G586)*(L586))*(L586),0.000001)))&gt;=(((F586)*(U586)^2)/2+(G586)*(U586)^3/3+(ABS(K586)^2)/($I$5*MAX(((F586)+(G586)*(U586))*(U586),0.000001))),L586,U586),IF(T586=1,L586,IF(AC586=1,U586,MAX($D$16,POWER((ABS(K586)^2)/($I$5*MAX(F586,0.1)^2),1/3)))))))</f>
        <v>51800.26683766341</v>
      </c>
      <c r="AE586">
        <f t="shared" ca="1" si="251"/>
        <v>52432.610837663407</v>
      </c>
      <c r="AF586">
        <f t="shared" ca="1" si="252"/>
        <v>52432.610837665234</v>
      </c>
      <c r="AI586">
        <v>0</v>
      </c>
      <c r="AJ586">
        <v>0</v>
      </c>
      <c r="AK586">
        <f t="shared" si="253"/>
        <v>0</v>
      </c>
      <c r="AL586">
        <f t="shared" si="262"/>
        <v>0</v>
      </c>
      <c r="AM586">
        <f t="shared" ca="1" si="254"/>
        <v>2.6560383008097266E-7</v>
      </c>
      <c r="AN586" t="str">
        <f t="shared" ca="1" si="255"/>
        <v>Subcritical</v>
      </c>
      <c r="AO586">
        <f t="shared" ca="1" si="256"/>
        <v>2.2562304480281055E-12</v>
      </c>
    </row>
    <row r="587" spans="1:41" x14ac:dyDescent="0.35">
      <c r="A587">
        <v>438</v>
      </c>
      <c r="B587">
        <v>436.89600000000002</v>
      </c>
      <c r="C587">
        <v>616234.24800000002</v>
      </c>
      <c r="D587">
        <v>3097532.199</v>
      </c>
      <c r="E587">
        <v>632.34349999999995</v>
      </c>
      <c r="F587">
        <v>5.2</v>
      </c>
      <c r="G587">
        <v>0</v>
      </c>
      <c r="H587" t="s">
        <v>186</v>
      </c>
      <c r="I587">
        <v>7.8E-2</v>
      </c>
      <c r="J587">
        <f t="shared" si="257"/>
        <v>1.0010000000000332</v>
      </c>
      <c r="K587">
        <f t="shared" si="258"/>
        <v>51</v>
      </c>
      <c r="L587">
        <f t="shared" ca="1" si="259"/>
        <v>51797.843837663619</v>
      </c>
      <c r="M587">
        <f t="shared" ca="1" si="236"/>
        <v>269348.78795585083</v>
      </c>
      <c r="N587">
        <f t="shared" ca="1" si="237"/>
        <v>2.5998694991876676</v>
      </c>
      <c r="O587">
        <f t="shared" ca="1" si="238"/>
        <v>1.8934557080078435E-4</v>
      </c>
      <c r="P587">
        <f t="shared" ca="1" si="239"/>
        <v>52430.187337663621</v>
      </c>
      <c r="Q587">
        <f t="shared" ca="1" si="240"/>
        <v>52430.187337665448</v>
      </c>
      <c r="R587">
        <f t="shared" ca="1" si="241"/>
        <v>2.2564415439646509E-12</v>
      </c>
      <c r="S587">
        <f t="shared" ca="1" si="260"/>
        <v>4.999999946448952E-4</v>
      </c>
      <c r="T587">
        <f t="shared" ca="1" si="261"/>
        <v>1</v>
      </c>
      <c r="U587">
        <f t="shared" ca="1" si="242"/>
        <v>51800.26683766341</v>
      </c>
      <c r="V587">
        <f t="shared" ca="1" si="243"/>
        <v>269361.38755584974</v>
      </c>
      <c r="W587">
        <f t="shared" ca="1" si="244"/>
        <v>2.5998695052916441</v>
      </c>
      <c r="X587">
        <f t="shared" ca="1" si="245"/>
        <v>1.8933671400629237E-4</v>
      </c>
      <c r="Y587">
        <f t="shared" ca="1" si="246"/>
        <v>52432.610337663413</v>
      </c>
      <c r="Z587">
        <f t="shared" ca="1" si="247"/>
        <v>52432.610337665239</v>
      </c>
      <c r="AA587">
        <f t="shared" ca="1" si="248"/>
        <v>2.2562304480281055E-12</v>
      </c>
      <c r="AB587">
        <f t="shared" ca="1" si="249"/>
        <v>-5.0000000192085281E-4</v>
      </c>
      <c r="AC587">
        <f t="shared" ca="1" si="250"/>
        <v>1</v>
      </c>
      <c r="AD587">
        <f ca="1">IF(V32="Supercritical",L587,IF(V32="Subcritical",U587,IF(AND(T587=1,AC587=1),IF((((F587)*(L587)^2)/2+(G587)*(L587)^3/3+(ABS(K587)^2)/($I$5*MAX(((F587)+(G587)*(L587))*(L587),0.000001)))&gt;=(((F587)*(U587)^2)/2+(G587)*(U587)^3/3+(ABS(K587)^2)/($I$5*MAX(((F587)+(G587)*(U587))*(U587),0.000001))),L587,U587),IF(T587=1,L587,IF(AC587=1,U587,MAX($D$16,POWER((ABS(K587)^2)/($I$5*MAX(F587,0.1)^2),1/3)))))))</f>
        <v>51800.26683766341</v>
      </c>
      <c r="AE587">
        <f t="shared" ca="1" si="251"/>
        <v>52432.610337663413</v>
      </c>
      <c r="AF587">
        <f t="shared" ca="1" si="252"/>
        <v>52432.610337665239</v>
      </c>
      <c r="AI587">
        <v>0</v>
      </c>
      <c r="AJ587">
        <v>0</v>
      </c>
      <c r="AK587">
        <f t="shared" si="253"/>
        <v>0</v>
      </c>
      <c r="AL587">
        <f t="shared" si="262"/>
        <v>0</v>
      </c>
      <c r="AM587">
        <f t="shared" ca="1" si="254"/>
        <v>2.6560383008097266E-7</v>
      </c>
      <c r="AN587" t="str">
        <f t="shared" ca="1" si="255"/>
        <v>Subcritical</v>
      </c>
      <c r="AO587">
        <f t="shared" ca="1" si="256"/>
        <v>2.2562304480281055E-12</v>
      </c>
    </row>
    <row r="588" spans="1:41" x14ac:dyDescent="0.35">
      <c r="A588">
        <v>439</v>
      </c>
      <c r="B588">
        <v>437.89600000000002</v>
      </c>
      <c r="C588">
        <v>616233.77300000004</v>
      </c>
      <c r="D588">
        <v>3097531.3190000001</v>
      </c>
      <c r="E588">
        <v>632.34299999999996</v>
      </c>
      <c r="F588">
        <v>5.2</v>
      </c>
      <c r="G588">
        <v>0</v>
      </c>
      <c r="H588" t="s">
        <v>186</v>
      </c>
      <c r="I588">
        <v>0.05</v>
      </c>
      <c r="J588">
        <f t="shared" si="257"/>
        <v>1</v>
      </c>
      <c r="K588">
        <f t="shared" si="258"/>
        <v>51</v>
      </c>
      <c r="L588">
        <f t="shared" ca="1" si="259"/>
        <v>51797.843837663619</v>
      </c>
      <c r="M588">
        <f t="shared" ca="1" si="236"/>
        <v>269348.78795585083</v>
      </c>
      <c r="N588">
        <f t="shared" ca="1" si="237"/>
        <v>2.5998694991876676</v>
      </c>
      <c r="O588">
        <f t="shared" ca="1" si="238"/>
        <v>1.8934557080078435E-4</v>
      </c>
      <c r="P588">
        <f t="shared" ca="1" si="239"/>
        <v>52430.186837663619</v>
      </c>
      <c r="Q588">
        <f t="shared" ca="1" si="240"/>
        <v>52430.186837665446</v>
      </c>
      <c r="R588">
        <f t="shared" ca="1" si="241"/>
        <v>2.2564415439646509E-12</v>
      </c>
      <c r="S588">
        <f t="shared" ca="1" si="260"/>
        <v>5.0000000192085281E-4</v>
      </c>
      <c r="T588">
        <f t="shared" ca="1" si="261"/>
        <v>1</v>
      </c>
      <c r="U588">
        <f t="shared" ca="1" si="242"/>
        <v>51800.26683766341</v>
      </c>
      <c r="V588">
        <f t="shared" ca="1" si="243"/>
        <v>269361.38755584974</v>
      </c>
      <c r="W588">
        <f t="shared" ca="1" si="244"/>
        <v>2.5998695052916441</v>
      </c>
      <c r="X588">
        <f t="shared" ca="1" si="245"/>
        <v>1.8933671400629237E-4</v>
      </c>
      <c r="Y588">
        <f t="shared" ca="1" si="246"/>
        <v>52432.609837663411</v>
      </c>
      <c r="Z588">
        <f t="shared" ca="1" si="247"/>
        <v>52432.609837665237</v>
      </c>
      <c r="AA588">
        <f t="shared" ca="1" si="248"/>
        <v>2.2562304480281055E-12</v>
      </c>
      <c r="AB588">
        <f t="shared" ca="1" si="249"/>
        <v>-5.0000000192085281E-4</v>
      </c>
      <c r="AC588">
        <f t="shared" ca="1" si="250"/>
        <v>1</v>
      </c>
      <c r="AD588">
        <f ca="1">IF(V32="Supercritical",L588,IF(V32="Subcritical",U588,IF(AND(T588=1,AC588=1),IF((((F588)*(L588)^2)/2+(G588)*(L588)^3/3+(ABS(K588)^2)/($I$5*MAX(((F588)+(G588)*(L588))*(L588),0.000001)))&gt;=(((F588)*(U588)^2)/2+(G588)*(U588)^3/3+(ABS(K588)^2)/($I$5*MAX(((F588)+(G588)*(U588))*(U588),0.000001))),L588,U588),IF(T588=1,L588,IF(AC588=1,U588,MAX($D$16,POWER((ABS(K588)^2)/($I$5*MAX(F588,0.1)^2),1/3)))))))</f>
        <v>51800.26683766341</v>
      </c>
      <c r="AE588">
        <f t="shared" ca="1" si="251"/>
        <v>52432.609837663411</v>
      </c>
      <c r="AF588">
        <f t="shared" ca="1" si="252"/>
        <v>52432.609837665237</v>
      </c>
      <c r="AI588">
        <v>0</v>
      </c>
      <c r="AJ588">
        <v>0</v>
      </c>
      <c r="AK588">
        <f t="shared" si="253"/>
        <v>0</v>
      </c>
      <c r="AL588">
        <f t="shared" si="262"/>
        <v>0</v>
      </c>
      <c r="AM588">
        <f t="shared" ca="1" si="254"/>
        <v>2.6560383008097266E-7</v>
      </c>
      <c r="AN588" t="str">
        <f t="shared" ca="1" si="255"/>
        <v>Subcritical</v>
      </c>
      <c r="AO588">
        <f t="shared" ca="1" si="256"/>
        <v>2.2562304480281055E-12</v>
      </c>
    </row>
    <row r="589" spans="1:41" x14ac:dyDescent="0.35">
      <c r="A589">
        <v>440</v>
      </c>
      <c r="B589">
        <v>438.89499999999998</v>
      </c>
      <c r="C589">
        <v>616233.299</v>
      </c>
      <c r="D589">
        <v>3097530.4389999998</v>
      </c>
      <c r="E589">
        <v>632.34249999999997</v>
      </c>
      <c r="F589">
        <v>5.2</v>
      </c>
      <c r="G589">
        <v>0</v>
      </c>
      <c r="H589" t="s">
        <v>186</v>
      </c>
      <c r="I589">
        <v>2.7E-2</v>
      </c>
      <c r="J589">
        <f t="shared" si="257"/>
        <v>0.9989999999999668</v>
      </c>
      <c r="K589">
        <f t="shared" si="258"/>
        <v>51</v>
      </c>
      <c r="L589">
        <f t="shared" ca="1" si="259"/>
        <v>51797.843837663619</v>
      </c>
      <c r="M589">
        <f t="shared" ca="1" si="236"/>
        <v>269348.78795585083</v>
      </c>
      <c r="N589">
        <f t="shared" ca="1" si="237"/>
        <v>2.5998694991876676</v>
      </c>
      <c r="O589">
        <f t="shared" ca="1" si="238"/>
        <v>1.8934557080078435E-4</v>
      </c>
      <c r="P589">
        <f t="shared" ca="1" si="239"/>
        <v>52430.186337663617</v>
      </c>
      <c r="Q589">
        <f t="shared" ca="1" si="240"/>
        <v>52430.186337665444</v>
      </c>
      <c r="R589">
        <f t="shared" ca="1" si="241"/>
        <v>2.2564415439646509E-12</v>
      </c>
      <c r="S589">
        <f t="shared" ca="1" si="260"/>
        <v>5.0000000192085281E-4</v>
      </c>
      <c r="T589">
        <f t="shared" ca="1" si="261"/>
        <v>1</v>
      </c>
      <c r="U589">
        <f t="shared" ca="1" si="242"/>
        <v>51800.26683766341</v>
      </c>
      <c r="V589">
        <f t="shared" ca="1" si="243"/>
        <v>269361.38755584974</v>
      </c>
      <c r="W589">
        <f t="shared" ca="1" si="244"/>
        <v>2.5998695052916441</v>
      </c>
      <c r="X589">
        <f t="shared" ca="1" si="245"/>
        <v>1.8933671400629237E-4</v>
      </c>
      <c r="Y589">
        <f t="shared" ca="1" si="246"/>
        <v>52432.609337663409</v>
      </c>
      <c r="Z589">
        <f t="shared" ca="1" si="247"/>
        <v>52432.609337665235</v>
      </c>
      <c r="AA589">
        <f t="shared" ca="1" si="248"/>
        <v>2.2562304480281055E-12</v>
      </c>
      <c r="AB589">
        <f t="shared" ca="1" si="249"/>
        <v>-5.0000000192085281E-4</v>
      </c>
      <c r="AC589">
        <f t="shared" ca="1" si="250"/>
        <v>1</v>
      </c>
      <c r="AD589">
        <f ca="1">IF(V32="Supercritical",L589,IF(V32="Subcritical",U589,IF(AND(T589=1,AC589=1),IF((((F589)*(L589)^2)/2+(G589)*(L589)^3/3+(ABS(K589)^2)/($I$5*MAX(((F589)+(G589)*(L589))*(L589),0.000001)))&gt;=(((F589)*(U589)^2)/2+(G589)*(U589)^3/3+(ABS(K589)^2)/($I$5*MAX(((F589)+(G589)*(U589))*(U589),0.000001))),L589,U589),IF(T589=1,L589,IF(AC589=1,U589,MAX($D$16,POWER((ABS(K589)^2)/($I$5*MAX(F589,0.1)^2),1/3)))))))</f>
        <v>51800.26683766341</v>
      </c>
      <c r="AE589">
        <f t="shared" ca="1" si="251"/>
        <v>52432.609337663409</v>
      </c>
      <c r="AF589">
        <f t="shared" ca="1" si="252"/>
        <v>52432.609337665235</v>
      </c>
      <c r="AI589">
        <v>0</v>
      </c>
      <c r="AJ589">
        <v>0</v>
      </c>
      <c r="AK589">
        <f t="shared" si="253"/>
        <v>0</v>
      </c>
      <c r="AL589">
        <f t="shared" si="262"/>
        <v>0</v>
      </c>
      <c r="AM589">
        <f t="shared" ca="1" si="254"/>
        <v>2.6560383008097266E-7</v>
      </c>
      <c r="AN589" t="str">
        <f t="shared" ca="1" si="255"/>
        <v>Subcritical</v>
      </c>
      <c r="AO589">
        <f t="shared" ca="1" si="256"/>
        <v>2.2562304480281055E-12</v>
      </c>
    </row>
    <row r="590" spans="1:41" x14ac:dyDescent="0.35">
      <c r="A590">
        <v>441</v>
      </c>
      <c r="B590">
        <v>439.89499999999998</v>
      </c>
      <c r="C590">
        <v>616232.82499999995</v>
      </c>
      <c r="D590">
        <v>3097529.5580000002</v>
      </c>
      <c r="E590">
        <v>632.34199999999998</v>
      </c>
      <c r="F590">
        <v>5.2</v>
      </c>
      <c r="G590">
        <v>0</v>
      </c>
      <c r="H590" t="s">
        <v>186</v>
      </c>
      <c r="I590">
        <v>2.7E-2</v>
      </c>
      <c r="J590">
        <f t="shared" si="257"/>
        <v>1</v>
      </c>
      <c r="K590">
        <f t="shared" si="258"/>
        <v>51</v>
      </c>
      <c r="L590">
        <f t="shared" ca="1" si="259"/>
        <v>51797.843837663619</v>
      </c>
      <c r="M590">
        <f t="shared" ca="1" si="236"/>
        <v>269348.78795585083</v>
      </c>
      <c r="N590">
        <f t="shared" ca="1" si="237"/>
        <v>2.5998694991876676</v>
      </c>
      <c r="O590">
        <f t="shared" ca="1" si="238"/>
        <v>1.8934557080078435E-4</v>
      </c>
      <c r="P590">
        <f t="shared" ca="1" si="239"/>
        <v>52430.185837663616</v>
      </c>
      <c r="Q590">
        <f t="shared" ca="1" si="240"/>
        <v>52430.185837665442</v>
      </c>
      <c r="R590">
        <f t="shared" ca="1" si="241"/>
        <v>2.2564415439646509E-12</v>
      </c>
      <c r="S590">
        <f t="shared" ca="1" si="260"/>
        <v>5.0000000192085281E-4</v>
      </c>
      <c r="T590">
        <f t="shared" ca="1" si="261"/>
        <v>1</v>
      </c>
      <c r="U590">
        <f t="shared" ca="1" si="242"/>
        <v>51800.26683766341</v>
      </c>
      <c r="V590">
        <f t="shared" ca="1" si="243"/>
        <v>269361.38755584974</v>
      </c>
      <c r="W590">
        <f t="shared" ca="1" si="244"/>
        <v>2.5998695052916441</v>
      </c>
      <c r="X590">
        <f t="shared" ca="1" si="245"/>
        <v>1.8933671400629237E-4</v>
      </c>
      <c r="Y590">
        <f t="shared" ca="1" si="246"/>
        <v>52432.608837663407</v>
      </c>
      <c r="Z590">
        <f t="shared" ca="1" si="247"/>
        <v>52432.608837665233</v>
      </c>
      <c r="AA590">
        <f t="shared" ca="1" si="248"/>
        <v>2.2562304480281055E-12</v>
      </c>
      <c r="AB590">
        <f t="shared" ca="1" si="249"/>
        <v>-4.999999946448952E-4</v>
      </c>
      <c r="AC590">
        <f t="shared" ca="1" si="250"/>
        <v>1</v>
      </c>
      <c r="AD590">
        <f ca="1">IF(V32="Supercritical",L590,IF(V32="Subcritical",U590,IF(AND(T590=1,AC590=1),IF((((F590)*(L590)^2)/2+(G590)*(L590)^3/3+(ABS(K590)^2)/($I$5*MAX(((F590)+(G590)*(L590))*(L590),0.000001)))&gt;=(((F590)*(U590)^2)/2+(G590)*(U590)^3/3+(ABS(K590)^2)/($I$5*MAX(((F590)+(G590)*(U590))*(U590),0.000001))),L590,U590),IF(T590=1,L590,IF(AC590=1,U590,MAX($D$16,POWER((ABS(K590)^2)/($I$5*MAX(F590,0.1)^2),1/3)))))))</f>
        <v>51800.26683766341</v>
      </c>
      <c r="AE590">
        <f t="shared" ca="1" si="251"/>
        <v>52432.608837663407</v>
      </c>
      <c r="AF590">
        <f t="shared" ca="1" si="252"/>
        <v>52432.608837665233</v>
      </c>
      <c r="AI590">
        <v>0</v>
      </c>
      <c r="AJ590">
        <v>0</v>
      </c>
      <c r="AK590">
        <f t="shared" si="253"/>
        <v>0</v>
      </c>
      <c r="AL590">
        <f t="shared" si="262"/>
        <v>0</v>
      </c>
      <c r="AM590">
        <f t="shared" ca="1" si="254"/>
        <v>2.6560383008097266E-7</v>
      </c>
      <c r="AN590" t="str">
        <f t="shared" ca="1" si="255"/>
        <v>Subcritical</v>
      </c>
      <c r="AO590">
        <f t="shared" ca="1" si="256"/>
        <v>2.2562304480281055E-12</v>
      </c>
    </row>
    <row r="591" spans="1:41" x14ac:dyDescent="0.35">
      <c r="A591">
        <v>442</v>
      </c>
      <c r="B591">
        <v>440.89499999999998</v>
      </c>
      <c r="C591">
        <v>616232.35100000002</v>
      </c>
      <c r="D591">
        <v>3097528.6779999998</v>
      </c>
      <c r="E591">
        <v>632.3415</v>
      </c>
      <c r="F591">
        <v>5.2</v>
      </c>
      <c r="G591">
        <v>0</v>
      </c>
      <c r="H591" t="s">
        <v>186</v>
      </c>
      <c r="I591">
        <v>2.7E-2</v>
      </c>
      <c r="J591">
        <f t="shared" si="257"/>
        <v>1</v>
      </c>
      <c r="K591">
        <f t="shared" si="258"/>
        <v>51</v>
      </c>
      <c r="L591">
        <f t="shared" ca="1" si="259"/>
        <v>51797.843837663619</v>
      </c>
      <c r="M591">
        <f t="shared" ca="1" si="236"/>
        <v>269348.78795585083</v>
      </c>
      <c r="N591">
        <f t="shared" ca="1" si="237"/>
        <v>2.5998694991876676</v>
      </c>
      <c r="O591">
        <f t="shared" ca="1" si="238"/>
        <v>1.8934557080078435E-4</v>
      </c>
      <c r="P591">
        <f t="shared" ca="1" si="239"/>
        <v>52430.185337663621</v>
      </c>
      <c r="Q591">
        <f t="shared" ca="1" si="240"/>
        <v>52430.185337665447</v>
      </c>
      <c r="R591">
        <f t="shared" ca="1" si="241"/>
        <v>2.2564415439646509E-12</v>
      </c>
      <c r="S591">
        <f t="shared" ca="1" si="260"/>
        <v>4.999999946448952E-4</v>
      </c>
      <c r="T591">
        <f t="shared" ca="1" si="261"/>
        <v>1</v>
      </c>
      <c r="U591">
        <f t="shared" ca="1" si="242"/>
        <v>51800.26683766341</v>
      </c>
      <c r="V591">
        <f t="shared" ca="1" si="243"/>
        <v>269361.38755584974</v>
      </c>
      <c r="W591">
        <f t="shared" ca="1" si="244"/>
        <v>2.5998695052916441</v>
      </c>
      <c r="X591">
        <f t="shared" ca="1" si="245"/>
        <v>1.8933671400629237E-4</v>
      </c>
      <c r="Y591">
        <f t="shared" ca="1" si="246"/>
        <v>52432.608337663412</v>
      </c>
      <c r="Z591">
        <f t="shared" ca="1" si="247"/>
        <v>52432.608337665239</v>
      </c>
      <c r="AA591">
        <f t="shared" ca="1" si="248"/>
        <v>2.2562304480281055E-12</v>
      </c>
      <c r="AB591">
        <f t="shared" ca="1" si="249"/>
        <v>-5.0000000192085281E-4</v>
      </c>
      <c r="AC591">
        <f t="shared" ca="1" si="250"/>
        <v>1</v>
      </c>
      <c r="AD591">
        <f ca="1">IF(V32="Supercritical",L591,IF(V32="Subcritical",U591,IF(AND(T591=1,AC591=1),IF((((F591)*(L591)^2)/2+(G591)*(L591)^3/3+(ABS(K591)^2)/($I$5*MAX(((F591)+(G591)*(L591))*(L591),0.000001)))&gt;=(((F591)*(U591)^2)/2+(G591)*(U591)^3/3+(ABS(K591)^2)/($I$5*MAX(((F591)+(G591)*(U591))*(U591),0.000001))),L591,U591),IF(T591=1,L591,IF(AC591=1,U591,MAX($D$16,POWER((ABS(K591)^2)/($I$5*MAX(F591,0.1)^2),1/3)))))))</f>
        <v>51800.26683766341</v>
      </c>
      <c r="AE591">
        <f t="shared" ca="1" si="251"/>
        <v>52432.608337663412</v>
      </c>
      <c r="AF591">
        <f t="shared" ca="1" si="252"/>
        <v>52432.608337665239</v>
      </c>
      <c r="AI591">
        <v>0</v>
      </c>
      <c r="AJ591">
        <v>0</v>
      </c>
      <c r="AK591">
        <f t="shared" si="253"/>
        <v>0</v>
      </c>
      <c r="AL591">
        <f t="shared" si="262"/>
        <v>0</v>
      </c>
      <c r="AM591">
        <f t="shared" ca="1" si="254"/>
        <v>2.6560383008097266E-7</v>
      </c>
      <c r="AN591" t="str">
        <f t="shared" ca="1" si="255"/>
        <v>Subcritical</v>
      </c>
      <c r="AO591">
        <f t="shared" ca="1" si="256"/>
        <v>2.2562304480281055E-12</v>
      </c>
    </row>
    <row r="592" spans="1:41" x14ac:dyDescent="0.35">
      <c r="A592">
        <v>443</v>
      </c>
      <c r="B592">
        <v>441.89499999999998</v>
      </c>
      <c r="C592">
        <v>616231.87699999998</v>
      </c>
      <c r="D592">
        <v>3097527.7969999998</v>
      </c>
      <c r="E592">
        <v>632.34100000000001</v>
      </c>
      <c r="F592">
        <v>5.2</v>
      </c>
      <c r="G592">
        <v>0</v>
      </c>
      <c r="H592" t="s">
        <v>186</v>
      </c>
      <c r="I592">
        <v>7.8E-2</v>
      </c>
      <c r="J592">
        <f t="shared" si="257"/>
        <v>1</v>
      </c>
      <c r="K592">
        <f t="shared" si="258"/>
        <v>51</v>
      </c>
      <c r="L592">
        <f t="shared" ca="1" si="259"/>
        <v>51797.843837663619</v>
      </c>
      <c r="M592">
        <f t="shared" ca="1" si="236"/>
        <v>269348.78795585083</v>
      </c>
      <c r="N592">
        <f t="shared" ca="1" si="237"/>
        <v>2.5998694991876676</v>
      </c>
      <c r="O592">
        <f t="shared" ca="1" si="238"/>
        <v>1.8934557080078435E-4</v>
      </c>
      <c r="P592">
        <f t="shared" ca="1" si="239"/>
        <v>52430.184837663619</v>
      </c>
      <c r="Q592">
        <f t="shared" ca="1" si="240"/>
        <v>52430.184837665445</v>
      </c>
      <c r="R592">
        <f t="shared" ca="1" si="241"/>
        <v>2.2564415439646509E-12</v>
      </c>
      <c r="S592">
        <f t="shared" ca="1" si="260"/>
        <v>5.0000000192085281E-4</v>
      </c>
      <c r="T592">
        <f t="shared" ca="1" si="261"/>
        <v>1</v>
      </c>
      <c r="U592">
        <f t="shared" ca="1" si="242"/>
        <v>51800.26683766341</v>
      </c>
      <c r="V592">
        <f t="shared" ca="1" si="243"/>
        <v>269361.38755584974</v>
      </c>
      <c r="W592">
        <f t="shared" ca="1" si="244"/>
        <v>2.5998695052916441</v>
      </c>
      <c r="X592">
        <f t="shared" ca="1" si="245"/>
        <v>1.8933671400629237E-4</v>
      </c>
      <c r="Y592">
        <f t="shared" ca="1" si="246"/>
        <v>52432.60783766341</v>
      </c>
      <c r="Z592">
        <f t="shared" ca="1" si="247"/>
        <v>52432.607837665237</v>
      </c>
      <c r="AA592">
        <f t="shared" ca="1" si="248"/>
        <v>2.2562304480281055E-12</v>
      </c>
      <c r="AB592">
        <f t="shared" ca="1" si="249"/>
        <v>-5.0000000192085281E-4</v>
      </c>
      <c r="AC592">
        <f t="shared" ca="1" si="250"/>
        <v>1</v>
      </c>
      <c r="AD592">
        <f ca="1">IF(V32="Supercritical",L592,IF(V32="Subcritical",U592,IF(AND(T592=1,AC592=1),IF((((F592)*(L592)^2)/2+(G592)*(L592)^3/3+(ABS(K592)^2)/($I$5*MAX(((F592)+(G592)*(L592))*(L592),0.000001)))&gt;=(((F592)*(U592)^2)/2+(G592)*(U592)^3/3+(ABS(K592)^2)/($I$5*MAX(((F592)+(G592)*(U592))*(U592),0.000001))),L592,U592),IF(T592=1,L592,IF(AC592=1,U592,MAX($D$16,POWER((ABS(K592)^2)/($I$5*MAX(F592,0.1)^2),1/3)))))))</f>
        <v>51800.26683766341</v>
      </c>
      <c r="AE592">
        <f t="shared" ca="1" si="251"/>
        <v>52432.60783766341</v>
      </c>
      <c r="AF592">
        <f t="shared" ca="1" si="252"/>
        <v>52432.607837665237</v>
      </c>
      <c r="AI592">
        <v>0</v>
      </c>
      <c r="AJ592">
        <v>0</v>
      </c>
      <c r="AK592">
        <f t="shared" si="253"/>
        <v>0</v>
      </c>
      <c r="AL592">
        <f t="shared" si="262"/>
        <v>0</v>
      </c>
      <c r="AM592">
        <f t="shared" ca="1" si="254"/>
        <v>2.6560383008097266E-7</v>
      </c>
      <c r="AN592" t="str">
        <f t="shared" ca="1" si="255"/>
        <v>Subcritical</v>
      </c>
      <c r="AO592">
        <f t="shared" ca="1" si="256"/>
        <v>2.2562304480281055E-12</v>
      </c>
    </row>
    <row r="593" spans="1:41" x14ac:dyDescent="0.35">
      <c r="A593">
        <v>444</v>
      </c>
      <c r="B593">
        <v>442.89499999999998</v>
      </c>
      <c r="C593">
        <v>616231.402</v>
      </c>
      <c r="D593">
        <v>3097526.9169999999</v>
      </c>
      <c r="E593">
        <v>632.34050000000002</v>
      </c>
      <c r="F593">
        <v>5.2</v>
      </c>
      <c r="G593">
        <v>0</v>
      </c>
      <c r="H593" t="s">
        <v>186</v>
      </c>
      <c r="I593">
        <v>0.05</v>
      </c>
      <c r="J593">
        <f t="shared" si="257"/>
        <v>1</v>
      </c>
      <c r="K593">
        <f t="shared" si="258"/>
        <v>51</v>
      </c>
      <c r="L593">
        <f t="shared" ca="1" si="259"/>
        <v>51797.843837663619</v>
      </c>
      <c r="M593">
        <f t="shared" ca="1" si="236"/>
        <v>269348.78795585083</v>
      </c>
      <c r="N593">
        <f t="shared" ca="1" si="237"/>
        <v>2.5998694991876676</v>
      </c>
      <c r="O593">
        <f t="shared" ca="1" si="238"/>
        <v>1.8934557080078435E-4</v>
      </c>
      <c r="P593">
        <f t="shared" ca="1" si="239"/>
        <v>52430.184337663617</v>
      </c>
      <c r="Q593">
        <f t="shared" ca="1" si="240"/>
        <v>52430.184337665443</v>
      </c>
      <c r="R593">
        <f t="shared" ca="1" si="241"/>
        <v>2.2564415439646509E-12</v>
      </c>
      <c r="S593">
        <f t="shared" ca="1" si="260"/>
        <v>5.0000000192085281E-4</v>
      </c>
      <c r="T593">
        <f t="shared" ca="1" si="261"/>
        <v>1</v>
      </c>
      <c r="U593">
        <f t="shared" ca="1" si="242"/>
        <v>51800.26683766341</v>
      </c>
      <c r="V593">
        <f t="shared" ca="1" si="243"/>
        <v>269361.38755584974</v>
      </c>
      <c r="W593">
        <f t="shared" ca="1" si="244"/>
        <v>2.5998695052916441</v>
      </c>
      <c r="X593">
        <f t="shared" ca="1" si="245"/>
        <v>1.8933671400629237E-4</v>
      </c>
      <c r="Y593">
        <f t="shared" ca="1" si="246"/>
        <v>52432.607337663409</v>
      </c>
      <c r="Z593">
        <f t="shared" ca="1" si="247"/>
        <v>52432.607337665235</v>
      </c>
      <c r="AA593">
        <f t="shared" ca="1" si="248"/>
        <v>2.2562304480281055E-12</v>
      </c>
      <c r="AB593">
        <f t="shared" ca="1" si="249"/>
        <v>-5.0000000192085281E-4</v>
      </c>
      <c r="AC593">
        <f t="shared" ca="1" si="250"/>
        <v>1</v>
      </c>
      <c r="AD593">
        <f ca="1">IF(V32="Supercritical",L593,IF(V32="Subcritical",U593,IF(AND(T593=1,AC593=1),IF((((F593)*(L593)^2)/2+(G593)*(L593)^3/3+(ABS(K593)^2)/($I$5*MAX(((F593)+(G593)*(L593))*(L593),0.000001)))&gt;=(((F593)*(U593)^2)/2+(G593)*(U593)^3/3+(ABS(K593)^2)/($I$5*MAX(((F593)+(G593)*(U593))*(U593),0.000001))),L593,U593),IF(T593=1,L593,IF(AC593=1,U593,MAX($D$16,POWER((ABS(K593)^2)/($I$5*MAX(F593,0.1)^2),1/3)))))))</f>
        <v>51800.26683766341</v>
      </c>
      <c r="AE593">
        <f t="shared" ca="1" si="251"/>
        <v>52432.607337663409</v>
      </c>
      <c r="AF593">
        <f t="shared" ca="1" si="252"/>
        <v>52432.607337665235</v>
      </c>
      <c r="AI593">
        <v>0</v>
      </c>
      <c r="AJ593">
        <v>0</v>
      </c>
      <c r="AK593">
        <f t="shared" si="253"/>
        <v>0</v>
      </c>
      <c r="AL593">
        <f t="shared" si="262"/>
        <v>0</v>
      </c>
      <c r="AM593">
        <f t="shared" ca="1" si="254"/>
        <v>2.6560383008097266E-7</v>
      </c>
      <c r="AN593" t="str">
        <f t="shared" ca="1" si="255"/>
        <v>Subcritical</v>
      </c>
      <c r="AO593">
        <f t="shared" ca="1" si="256"/>
        <v>2.2562304480281055E-12</v>
      </c>
    </row>
    <row r="594" spans="1:41" x14ac:dyDescent="0.35">
      <c r="A594">
        <v>445</v>
      </c>
      <c r="B594">
        <v>443.89499999999998</v>
      </c>
      <c r="C594">
        <v>616230.92799999996</v>
      </c>
      <c r="D594">
        <v>3097526.037</v>
      </c>
      <c r="E594">
        <v>632.34</v>
      </c>
      <c r="F594">
        <v>5.2</v>
      </c>
      <c r="G594">
        <v>0</v>
      </c>
      <c r="H594" t="s">
        <v>186</v>
      </c>
      <c r="I594">
        <v>2.7E-2</v>
      </c>
      <c r="J594">
        <f t="shared" si="257"/>
        <v>1</v>
      </c>
      <c r="K594">
        <f t="shared" si="258"/>
        <v>51</v>
      </c>
      <c r="L594">
        <f t="shared" ca="1" si="259"/>
        <v>51797.843837663619</v>
      </c>
      <c r="M594">
        <f t="shared" ca="1" si="236"/>
        <v>269348.78795585083</v>
      </c>
      <c r="N594">
        <f t="shared" ca="1" si="237"/>
        <v>2.5998694991876676</v>
      </c>
      <c r="O594">
        <f t="shared" ca="1" si="238"/>
        <v>1.8934557080078435E-4</v>
      </c>
      <c r="P594">
        <f t="shared" ca="1" si="239"/>
        <v>52430.183837663615</v>
      </c>
      <c r="Q594">
        <f t="shared" ca="1" si="240"/>
        <v>52430.183837665441</v>
      </c>
      <c r="R594">
        <f t="shared" ca="1" si="241"/>
        <v>2.2564415439646509E-12</v>
      </c>
      <c r="S594">
        <f t="shared" ca="1" si="260"/>
        <v>5.0000000192085281E-4</v>
      </c>
      <c r="T594">
        <f t="shared" ca="1" si="261"/>
        <v>1</v>
      </c>
      <c r="U594">
        <f t="shared" ca="1" si="242"/>
        <v>51800.26683766341</v>
      </c>
      <c r="V594">
        <f t="shared" ca="1" si="243"/>
        <v>269361.38755584974</v>
      </c>
      <c r="W594">
        <f t="shared" ca="1" si="244"/>
        <v>2.5998695052916441</v>
      </c>
      <c r="X594">
        <f t="shared" ca="1" si="245"/>
        <v>1.8933671400629237E-4</v>
      </c>
      <c r="Y594">
        <f t="shared" ca="1" si="246"/>
        <v>52432.606837663407</v>
      </c>
      <c r="Z594">
        <f t="shared" ca="1" si="247"/>
        <v>52432.606837665233</v>
      </c>
      <c r="AA594">
        <f t="shared" ca="1" si="248"/>
        <v>2.2562304480281055E-12</v>
      </c>
      <c r="AB594">
        <f t="shared" ca="1" si="249"/>
        <v>-4.999999946448952E-4</v>
      </c>
      <c r="AC594">
        <f t="shared" ca="1" si="250"/>
        <v>1</v>
      </c>
      <c r="AD594">
        <f ca="1">IF(V32="Supercritical",L594,IF(V32="Subcritical",U594,IF(AND(T594=1,AC594=1),IF((((F594)*(L594)^2)/2+(G594)*(L594)^3/3+(ABS(K594)^2)/($I$5*MAX(((F594)+(G594)*(L594))*(L594),0.000001)))&gt;=(((F594)*(U594)^2)/2+(G594)*(U594)^3/3+(ABS(K594)^2)/($I$5*MAX(((F594)+(G594)*(U594))*(U594),0.000001))),L594,U594),IF(T594=1,L594,IF(AC594=1,U594,MAX($D$16,POWER((ABS(K594)^2)/($I$5*MAX(F594,0.1)^2),1/3)))))))</f>
        <v>51800.26683766341</v>
      </c>
      <c r="AE594">
        <f t="shared" ca="1" si="251"/>
        <v>52432.606837663407</v>
      </c>
      <c r="AF594">
        <f t="shared" ca="1" si="252"/>
        <v>52432.606837665233</v>
      </c>
      <c r="AI594">
        <v>0</v>
      </c>
      <c r="AJ594">
        <v>0</v>
      </c>
      <c r="AK594">
        <f t="shared" si="253"/>
        <v>0</v>
      </c>
      <c r="AL594">
        <f t="shared" si="262"/>
        <v>0</v>
      </c>
      <c r="AM594">
        <f t="shared" ca="1" si="254"/>
        <v>2.6560383008097266E-7</v>
      </c>
      <c r="AN594" t="str">
        <f t="shared" ca="1" si="255"/>
        <v>Subcritical</v>
      </c>
      <c r="AO594">
        <f t="shared" ca="1" si="256"/>
        <v>2.2562304480281055E-12</v>
      </c>
    </row>
    <row r="595" spans="1:41" x14ac:dyDescent="0.35">
      <c r="A595">
        <v>446</v>
      </c>
      <c r="B595">
        <v>444.89499999999998</v>
      </c>
      <c r="C595">
        <v>616230.45400000003</v>
      </c>
      <c r="D595">
        <v>3097525.156</v>
      </c>
      <c r="E595">
        <v>632.33950000000004</v>
      </c>
      <c r="F595">
        <v>5.2</v>
      </c>
      <c r="G595">
        <v>0</v>
      </c>
      <c r="H595" t="s">
        <v>186</v>
      </c>
      <c r="I595">
        <v>2.7E-2</v>
      </c>
      <c r="J595">
        <f t="shared" si="257"/>
        <v>1</v>
      </c>
      <c r="K595">
        <f t="shared" si="258"/>
        <v>51</v>
      </c>
      <c r="L595">
        <f t="shared" ca="1" si="259"/>
        <v>51797.843837663619</v>
      </c>
      <c r="M595">
        <f t="shared" ca="1" si="236"/>
        <v>269348.78795585083</v>
      </c>
      <c r="N595">
        <f t="shared" ca="1" si="237"/>
        <v>2.5998694991876676</v>
      </c>
      <c r="O595">
        <f t="shared" ca="1" si="238"/>
        <v>1.8934557080078435E-4</v>
      </c>
      <c r="P595">
        <f t="shared" ca="1" si="239"/>
        <v>52430.18333766362</v>
      </c>
      <c r="Q595">
        <f t="shared" ca="1" si="240"/>
        <v>52430.183337665447</v>
      </c>
      <c r="R595">
        <f t="shared" ca="1" si="241"/>
        <v>2.2564415439646509E-12</v>
      </c>
      <c r="S595">
        <f t="shared" ca="1" si="260"/>
        <v>4.999999946448952E-4</v>
      </c>
      <c r="T595">
        <f t="shared" ca="1" si="261"/>
        <v>1</v>
      </c>
      <c r="U595">
        <f t="shared" ca="1" si="242"/>
        <v>51800.26683766341</v>
      </c>
      <c r="V595">
        <f t="shared" ca="1" si="243"/>
        <v>269361.38755584974</v>
      </c>
      <c r="W595">
        <f t="shared" ca="1" si="244"/>
        <v>2.5998695052916441</v>
      </c>
      <c r="X595">
        <f t="shared" ca="1" si="245"/>
        <v>1.8933671400629237E-4</v>
      </c>
      <c r="Y595">
        <f t="shared" ca="1" si="246"/>
        <v>52432.606337663412</v>
      </c>
      <c r="Z595">
        <f t="shared" ca="1" si="247"/>
        <v>52432.606337665238</v>
      </c>
      <c r="AA595">
        <f t="shared" ca="1" si="248"/>
        <v>2.2562304480281055E-12</v>
      </c>
      <c r="AB595">
        <f t="shared" ca="1" si="249"/>
        <v>-5.0000000192085281E-4</v>
      </c>
      <c r="AC595">
        <f t="shared" ca="1" si="250"/>
        <v>1</v>
      </c>
      <c r="AD595">
        <f ca="1">IF(V32="Supercritical",L595,IF(V32="Subcritical",U595,IF(AND(T595=1,AC595=1),IF((((F595)*(L595)^2)/2+(G595)*(L595)^3/3+(ABS(K595)^2)/($I$5*MAX(((F595)+(G595)*(L595))*(L595),0.000001)))&gt;=(((F595)*(U595)^2)/2+(G595)*(U595)^3/3+(ABS(K595)^2)/($I$5*MAX(((F595)+(G595)*(U595))*(U595),0.000001))),L595,U595),IF(T595=1,L595,IF(AC595=1,U595,MAX($D$16,POWER((ABS(K595)^2)/($I$5*MAX(F595,0.1)^2),1/3)))))))</f>
        <v>51800.26683766341</v>
      </c>
      <c r="AE595">
        <f t="shared" ca="1" si="251"/>
        <v>52432.606337663412</v>
      </c>
      <c r="AF595">
        <f t="shared" ca="1" si="252"/>
        <v>52432.606337665238</v>
      </c>
      <c r="AI595">
        <v>0</v>
      </c>
      <c r="AJ595">
        <v>0</v>
      </c>
      <c r="AK595">
        <f t="shared" si="253"/>
        <v>0</v>
      </c>
      <c r="AL595">
        <f t="shared" si="262"/>
        <v>0</v>
      </c>
      <c r="AM595">
        <f t="shared" ca="1" si="254"/>
        <v>2.6560383008097266E-7</v>
      </c>
      <c r="AN595" t="str">
        <f t="shared" ca="1" si="255"/>
        <v>Subcritical</v>
      </c>
      <c r="AO595">
        <f t="shared" ca="1" si="256"/>
        <v>2.2562304480281055E-12</v>
      </c>
    </row>
    <row r="596" spans="1:41" x14ac:dyDescent="0.35">
      <c r="A596">
        <v>447</v>
      </c>
      <c r="B596">
        <v>445.89499999999998</v>
      </c>
      <c r="C596">
        <v>616229.98</v>
      </c>
      <c r="D596">
        <v>3097524.2760000001</v>
      </c>
      <c r="E596">
        <v>632.33900000000006</v>
      </c>
      <c r="F596">
        <v>5.2</v>
      </c>
      <c r="G596">
        <v>0</v>
      </c>
      <c r="H596" t="s">
        <v>186</v>
      </c>
      <c r="I596">
        <v>2.3E-2</v>
      </c>
      <c r="J596">
        <f t="shared" si="257"/>
        <v>1</v>
      </c>
      <c r="K596">
        <f t="shared" si="258"/>
        <v>51</v>
      </c>
      <c r="L596">
        <f t="shared" ca="1" si="259"/>
        <v>51797.843837663619</v>
      </c>
      <c r="M596">
        <f t="shared" ca="1" si="236"/>
        <v>269348.78795585083</v>
      </c>
      <c r="N596">
        <f t="shared" ca="1" si="237"/>
        <v>2.5998694991876676</v>
      </c>
      <c r="O596">
        <f t="shared" ca="1" si="238"/>
        <v>1.8934557080078435E-4</v>
      </c>
      <c r="P596">
        <f t="shared" ca="1" si="239"/>
        <v>52430.182837663619</v>
      </c>
      <c r="Q596">
        <f t="shared" ca="1" si="240"/>
        <v>52430.182837665445</v>
      </c>
      <c r="R596">
        <f t="shared" ca="1" si="241"/>
        <v>2.2564415439646509E-12</v>
      </c>
      <c r="S596">
        <f t="shared" ca="1" si="260"/>
        <v>5.0000000192085281E-4</v>
      </c>
      <c r="T596">
        <f t="shared" ca="1" si="261"/>
        <v>1</v>
      </c>
      <c r="U596">
        <f t="shared" ca="1" si="242"/>
        <v>51800.26683766341</v>
      </c>
      <c r="V596">
        <f t="shared" ca="1" si="243"/>
        <v>269361.38755584974</v>
      </c>
      <c r="W596">
        <f t="shared" ca="1" si="244"/>
        <v>2.5998695052916441</v>
      </c>
      <c r="X596">
        <f t="shared" ca="1" si="245"/>
        <v>1.8933671400629237E-4</v>
      </c>
      <c r="Y596">
        <f t="shared" ca="1" si="246"/>
        <v>52432.60583766341</v>
      </c>
      <c r="Z596">
        <f t="shared" ca="1" si="247"/>
        <v>52432.605837665236</v>
      </c>
      <c r="AA596">
        <f t="shared" ca="1" si="248"/>
        <v>2.2562304480281055E-12</v>
      </c>
      <c r="AB596">
        <f t="shared" ca="1" si="249"/>
        <v>-5.0000000192085281E-4</v>
      </c>
      <c r="AC596">
        <f t="shared" ca="1" si="250"/>
        <v>1</v>
      </c>
      <c r="AD596">
        <f ca="1">IF(V32="Supercritical",L596,IF(V32="Subcritical",U596,IF(AND(T596=1,AC596=1),IF((((F596)*(L596)^2)/2+(G596)*(L596)^3/3+(ABS(K596)^2)/($I$5*MAX(((F596)+(G596)*(L596))*(L596),0.000001)))&gt;=(((F596)*(U596)^2)/2+(G596)*(U596)^3/3+(ABS(K596)^2)/($I$5*MAX(((F596)+(G596)*(U596))*(U596),0.000001))),L596,U596),IF(T596=1,L596,IF(AC596=1,U596,MAX($D$16,POWER((ABS(K596)^2)/($I$5*MAX(F596,0.1)^2),1/3)))))))</f>
        <v>51800.26683766341</v>
      </c>
      <c r="AE596">
        <f t="shared" ca="1" si="251"/>
        <v>52432.60583766341</v>
      </c>
      <c r="AF596">
        <f t="shared" ca="1" si="252"/>
        <v>52432.605837665236</v>
      </c>
      <c r="AI596">
        <v>0</v>
      </c>
      <c r="AJ596">
        <v>0</v>
      </c>
      <c r="AK596">
        <f t="shared" si="253"/>
        <v>0</v>
      </c>
      <c r="AL596">
        <f t="shared" si="262"/>
        <v>0</v>
      </c>
      <c r="AM596">
        <f t="shared" ca="1" si="254"/>
        <v>2.6560383008097266E-7</v>
      </c>
      <c r="AN596" t="str">
        <f t="shared" ca="1" si="255"/>
        <v>Subcritical</v>
      </c>
      <c r="AO596">
        <f t="shared" ca="1" si="256"/>
        <v>2.2562304480281055E-12</v>
      </c>
    </row>
    <row r="597" spans="1:41" x14ac:dyDescent="0.35">
      <c r="A597">
        <v>448</v>
      </c>
      <c r="B597">
        <v>446.89600000000002</v>
      </c>
      <c r="C597">
        <v>616229.505</v>
      </c>
      <c r="D597">
        <v>3097523.395</v>
      </c>
      <c r="E597">
        <v>632.33849999999995</v>
      </c>
      <c r="F597">
        <v>5.2</v>
      </c>
      <c r="G597">
        <v>0</v>
      </c>
      <c r="H597" t="s">
        <v>186</v>
      </c>
      <c r="I597">
        <v>2.3E-2</v>
      </c>
      <c r="J597">
        <f t="shared" si="257"/>
        <v>1.0010000000000332</v>
      </c>
      <c r="K597">
        <f t="shared" si="258"/>
        <v>51</v>
      </c>
      <c r="L597">
        <f t="shared" ca="1" si="259"/>
        <v>51797.843837663619</v>
      </c>
      <c r="M597">
        <f t="shared" ca="1" si="236"/>
        <v>269348.78795585083</v>
      </c>
      <c r="N597">
        <f t="shared" ca="1" si="237"/>
        <v>2.5998694991876676</v>
      </c>
      <c r="O597">
        <f t="shared" ca="1" si="238"/>
        <v>1.8934557080078435E-4</v>
      </c>
      <c r="P597">
        <f t="shared" ca="1" si="239"/>
        <v>52430.182337663617</v>
      </c>
      <c r="Q597">
        <f t="shared" ca="1" si="240"/>
        <v>52430.182337665443</v>
      </c>
      <c r="R597">
        <f t="shared" ca="1" si="241"/>
        <v>2.2564415439646509E-12</v>
      </c>
      <c r="S597">
        <f t="shared" ca="1" si="260"/>
        <v>5.0000000192085281E-4</v>
      </c>
      <c r="T597">
        <f t="shared" ca="1" si="261"/>
        <v>1</v>
      </c>
      <c r="U597">
        <f t="shared" ca="1" si="242"/>
        <v>51800.26683766341</v>
      </c>
      <c r="V597">
        <f t="shared" ca="1" si="243"/>
        <v>269361.38755584974</v>
      </c>
      <c r="W597">
        <f t="shared" ca="1" si="244"/>
        <v>2.5998695052916441</v>
      </c>
      <c r="X597">
        <f t="shared" ca="1" si="245"/>
        <v>1.8933671400629237E-4</v>
      </c>
      <c r="Y597">
        <f t="shared" ca="1" si="246"/>
        <v>52432.605337663408</v>
      </c>
      <c r="Z597">
        <f t="shared" ca="1" si="247"/>
        <v>52432.605337665234</v>
      </c>
      <c r="AA597">
        <f t="shared" ca="1" si="248"/>
        <v>2.2562304480281055E-12</v>
      </c>
      <c r="AB597">
        <f t="shared" ca="1" si="249"/>
        <v>-4.999999946448952E-4</v>
      </c>
      <c r="AC597">
        <f t="shared" ca="1" si="250"/>
        <v>1</v>
      </c>
      <c r="AD597">
        <f ca="1">IF(V32="Supercritical",L597,IF(V32="Subcritical",U597,IF(AND(T597=1,AC597=1),IF((((F597)*(L597)^2)/2+(G597)*(L597)^3/3+(ABS(K597)^2)/($I$5*MAX(((F597)+(G597)*(L597))*(L597),0.000001)))&gt;=(((F597)*(U597)^2)/2+(G597)*(U597)^3/3+(ABS(K597)^2)/($I$5*MAX(((F597)+(G597)*(U597))*(U597),0.000001))),L597,U597),IF(T597=1,L597,IF(AC597=1,U597,MAX($D$16,POWER((ABS(K597)^2)/($I$5*MAX(F597,0.1)^2),1/3)))))))</f>
        <v>51800.26683766341</v>
      </c>
      <c r="AE597">
        <f t="shared" ca="1" si="251"/>
        <v>52432.605337663408</v>
      </c>
      <c r="AF597">
        <f t="shared" ca="1" si="252"/>
        <v>52432.605337665234</v>
      </c>
      <c r="AI597">
        <v>0</v>
      </c>
      <c r="AJ597">
        <v>0</v>
      </c>
      <c r="AK597">
        <f t="shared" si="253"/>
        <v>0</v>
      </c>
      <c r="AL597">
        <f t="shared" si="262"/>
        <v>0</v>
      </c>
      <c r="AM597">
        <f t="shared" ca="1" si="254"/>
        <v>2.6560383008097266E-7</v>
      </c>
      <c r="AN597" t="str">
        <f t="shared" ca="1" si="255"/>
        <v>Subcritical</v>
      </c>
      <c r="AO597">
        <f t="shared" ca="1" si="256"/>
        <v>2.2562304480281055E-12</v>
      </c>
    </row>
    <row r="598" spans="1:41" x14ac:dyDescent="0.35">
      <c r="A598">
        <v>449</v>
      </c>
      <c r="B598">
        <v>447.89499999999998</v>
      </c>
      <c r="C598">
        <v>616229.03099999996</v>
      </c>
      <c r="D598">
        <v>3097522.5150000001</v>
      </c>
      <c r="E598">
        <v>632.33799999999997</v>
      </c>
      <c r="F598">
        <v>5.2</v>
      </c>
      <c r="G598">
        <v>0</v>
      </c>
      <c r="H598" t="s">
        <v>186</v>
      </c>
      <c r="I598">
        <v>0</v>
      </c>
      <c r="J598">
        <f t="shared" si="257"/>
        <v>0.9989999999999668</v>
      </c>
      <c r="K598">
        <f t="shared" si="258"/>
        <v>51</v>
      </c>
      <c r="L598">
        <f t="shared" ca="1" si="259"/>
        <v>51797.843837663619</v>
      </c>
      <c r="M598">
        <f t="shared" ref="M598:M661" ca="1" si="263">((F598)+(G598)*(L598))*(L598)</f>
        <v>269348.78795585083</v>
      </c>
      <c r="N598">
        <f t="shared" ref="N598:N661" ca="1" si="264">(((F598)+(G598)*(L598))*(L598))/MAX((F598)+2*(L598)*SQRT(1+(G598)^2),0.000001)</f>
        <v>2.5998694991876676</v>
      </c>
      <c r="O598">
        <f t="shared" ref="O598:O661" ca="1" si="265">ABS(K598)/MAX(((F598)+(G598)*(L598))*(L598),0.000001)</f>
        <v>1.8934557080078435E-4</v>
      </c>
      <c r="P598">
        <f t="shared" ref="P598:P661" ca="1" si="266">E598+L598</f>
        <v>52430.181837663622</v>
      </c>
      <c r="Q598">
        <f t="shared" ref="Q598:Q661" ca="1" si="267">P598+((ABS(K598)/MAX(((F598)+(G598)*(L598))*(L598),0.000001))^2)/(2*$I$5)</f>
        <v>52430.181837665448</v>
      </c>
      <c r="R598">
        <f t="shared" ref="R598:R661" ca="1" si="268">((ABS(K598)*$D$6)/(MAX(((F598)+(G598)*(L598))*(L598),0.000001)*MAX(((((F598)+(G598)*(L598))*(L598))/MAX((F598)+2*(L598)*SQRT(1+(G598)^2),0.000001))^(2/3),0.000001)))^2</f>
        <v>2.2564415439646509E-12</v>
      </c>
      <c r="S598">
        <f t="shared" ca="1" si="260"/>
        <v>4.999999946448952E-4</v>
      </c>
      <c r="T598">
        <f t="shared" ca="1" si="261"/>
        <v>1</v>
      </c>
      <c r="U598">
        <f t="shared" ref="U598:U661" ca="1" si="269">IF($D$20=0,U599,IF(AC599=0,U599,IF(U598=0,U599,IF(ABS(AB598)&gt;$D$19,MAX($D$16,U598+((AB598)*$D$18*IF((ABS(ABS(K598)/MAX(((F598)+(G598)*(U598))*(U598),0.000001))/SQRT($I$5*MAX((((F598)+(G598)*(U598))*(U598))/MAX((F598)+2*(G598)*(U598),0.000001),0.000001)))&lt;1,1,-1))),U598))))</f>
        <v>51800.26683766341</v>
      </c>
      <c r="V598">
        <f t="shared" ref="V598:V661" ca="1" si="270">((F598)+(G598)*(U598))*(U598)</f>
        <v>269361.38755584974</v>
      </c>
      <c r="W598">
        <f t="shared" ref="W598:W661" ca="1" si="271">(((F598)+(G598)*(U598))*(U598))/MAX((F598)+2*(U598)*SQRT(1+(G598)^2),0.000001)</f>
        <v>2.5998695052916441</v>
      </c>
      <c r="X598">
        <f t="shared" ref="X598:X661" ca="1" si="272">ABS(K598)/MAX(((F598)+(G598)*(U598))*(U598),0.000001)</f>
        <v>1.8933671400629237E-4</v>
      </c>
      <c r="Y598">
        <f t="shared" ref="Y598:Y661" ca="1" si="273">E598+U598</f>
        <v>52432.604837663413</v>
      </c>
      <c r="Z598">
        <f t="shared" ref="Z598:Z661" ca="1" si="274">Y598+((ABS(K598)/MAX(((F598)+(G598)*(U598))*(U598),0.000001))^2)/(2*$I$5)</f>
        <v>52432.60483766524</v>
      </c>
      <c r="AA598">
        <f t="shared" ref="AA598:AA661" ca="1" si="275">((ABS(K598)*$D$6)/(MAX(((F598)+(G598)*(U598))*(U598),0.000001)*MAX(((((F598)+(G598)*(U598))*(U598))/MAX((F598)+2*(U598)*SQRT(1+(G598)^2),0.000001))^(2/3),0.000001)))^2</f>
        <v>2.2562304480281055E-12</v>
      </c>
      <c r="AB598">
        <f t="shared" ref="AB598:AB661" ca="1" si="276">Z599+(((AA598+AA599)/2)*J599)+(IF(X598&gt;X599,$D$8*((X598^2-X599^2)/(2*$I$5)),$D$9*((X599^2-X598^2)/(2*$I$5)))+($D$10*(ABS(I599)/90)*(MAX(X598^2,X599^2)/(2*$I$5))))-Z598</f>
        <v>-5.0000000192085281E-4</v>
      </c>
      <c r="AC598">
        <f t="shared" ref="AC598:AC661" ca="1" si="277">IF(ABS(AB598)&lt;$D$19,1,0)</f>
        <v>1</v>
      </c>
      <c r="AD598">
        <f ca="1">IF(V32="Supercritical",L598,IF(V32="Subcritical",U598,IF(AND(T598=1,AC598=1),IF((((F598)*(L598)^2)/2+(G598)*(L598)^3/3+(ABS(K598)^2)/($I$5*MAX(((F598)+(G598)*(L598))*(L598),0.000001)))&gt;=(((F598)*(U598)^2)/2+(G598)*(U598)^3/3+(ABS(K598)^2)/($I$5*MAX(((F598)+(G598)*(U598))*(U598),0.000001))),L598,U598),IF(T598=1,L598,IF(AC598=1,U598,MAX($D$16,POWER((ABS(K598)^2)/($I$5*MAX(F598,0.1)^2),1/3)))))))</f>
        <v>51800.26683766341</v>
      </c>
      <c r="AE598">
        <f t="shared" ref="AE598:AE661" ca="1" si="278">E598+AD598</f>
        <v>52432.604837663413</v>
      </c>
      <c r="AF598">
        <f t="shared" ref="AF598:AF661" ca="1" si="279">AE598+((ABS(K598)/MAX(((F598)+(G598)*(AD598))*(AD598),0.000001))^2)/(2*$I$5)</f>
        <v>52432.60483766524</v>
      </c>
      <c r="AI598">
        <v>0</v>
      </c>
      <c r="AJ598">
        <v>0</v>
      </c>
      <c r="AK598">
        <f t="shared" ref="AK598:AK661" si="280">AI598+AJ598</f>
        <v>0</v>
      </c>
      <c r="AL598">
        <f t="shared" si="262"/>
        <v>0</v>
      </c>
      <c r="AM598">
        <f t="shared" ref="AM598:AM661" ca="1" si="281">ABS(ABS(K598)/MAX(((F598)+(G598)*(AD598))*(AD598),0.000001))/SQRT($I$5*MAX((((F598)+(G598)*(AD598))*(AD598))/MAX((F598)+2*(G598)*(AD598),0.000001),0.000001))</f>
        <v>2.6560383008097266E-7</v>
      </c>
      <c r="AN598" t="str">
        <f t="shared" ref="AN598:AN661" ca="1" si="282">IF(AM598&lt;1,"Subcritical","Supercritical")</f>
        <v>Subcritical</v>
      </c>
      <c r="AO598">
        <f t="shared" ref="AO598:AO661" ca="1" si="283">((ABS(K598)*$D$6)/(MAX(((F598)+(G598)*(AD598))*(AD598),0.000001)*MAX(((((F598)+(G598)*(AD598))*(AD598))/MAX((F598)+2*(AD598)*SQRT(1+(G598)^2),0.000001))^(2/3),0.000001)))^2</f>
        <v>2.2562304480281055E-12</v>
      </c>
    </row>
    <row r="599" spans="1:41" x14ac:dyDescent="0.35">
      <c r="A599">
        <v>450</v>
      </c>
      <c r="B599">
        <v>448.89499999999998</v>
      </c>
      <c r="C599">
        <v>616228.55700000003</v>
      </c>
      <c r="D599">
        <v>3097521.6349999998</v>
      </c>
      <c r="E599">
        <v>632.33749999999998</v>
      </c>
      <c r="F599">
        <v>5.2</v>
      </c>
      <c r="G599">
        <v>0</v>
      </c>
      <c r="H599" t="s">
        <v>186</v>
      </c>
      <c r="I599">
        <v>2.7E-2</v>
      </c>
      <c r="J599">
        <f t="shared" ref="J599:J662" si="284">B599-B598</f>
        <v>1</v>
      </c>
      <c r="K599">
        <f t="shared" ref="K599:K662" si="285">MAX(0,K598-AK598)</f>
        <v>51</v>
      </c>
      <c r="L599">
        <f t="shared" ref="L599:L662" ca="1" si="286">IF($D$20=0,L598,IF(T598=0,L598,IF(L599=0,L598,IF(ABS(S599)&gt;$D$19,MAX($D$16,L599+((S599)*$D$18*IF((ABS(ABS(K599)/MAX(((F599)+(G599)*(L599))*(L599),0.000001))/SQRT($I$5*MAX((((F599)+(G599)*(L599))*(L599))/MAX((F599)+2*(G599)*(L599),0.000001),0.000001)))&lt;1,1,-1))),L599))))</f>
        <v>51797.843837663619</v>
      </c>
      <c r="M599">
        <f t="shared" ca="1" si="263"/>
        <v>269348.78795585083</v>
      </c>
      <c r="N599">
        <f t="shared" ca="1" si="264"/>
        <v>2.5998694991876676</v>
      </c>
      <c r="O599">
        <f t="shared" ca="1" si="265"/>
        <v>1.8934557080078435E-4</v>
      </c>
      <c r="P599">
        <f t="shared" ca="1" si="266"/>
        <v>52430.18133766362</v>
      </c>
      <c r="Q599">
        <f t="shared" ca="1" si="267"/>
        <v>52430.181337665446</v>
      </c>
      <c r="R599">
        <f t="shared" ca="1" si="268"/>
        <v>2.2564415439646509E-12</v>
      </c>
      <c r="S599">
        <f t="shared" ref="S599:S662" ca="1" si="287">Q598-(((R598+R599)/2)*J599)-(IF(O598&gt;O599,$D$8*((O598^2-O599^2)/(2*$I$5)),$D$9*((O599^2-O598^2)/(2*$I$5)))+($D$10*(ABS(I599)/90)*(MAX(O598^2,O599^2)/(2*$I$5))))-Q599</f>
        <v>5.0000000192085281E-4</v>
      </c>
      <c r="T599">
        <f t="shared" ref="T599:T662" ca="1" si="288">IF(ABS(S599)&lt;$D$19,1,0)</f>
        <v>1</v>
      </c>
      <c r="U599">
        <f t="shared" ca="1" si="269"/>
        <v>51800.26683766341</v>
      </c>
      <c r="V599">
        <f t="shared" ca="1" si="270"/>
        <v>269361.38755584974</v>
      </c>
      <c r="W599">
        <f t="shared" ca="1" si="271"/>
        <v>2.5998695052916441</v>
      </c>
      <c r="X599">
        <f t="shared" ca="1" si="272"/>
        <v>1.8933671400629237E-4</v>
      </c>
      <c r="Y599">
        <f t="shared" ca="1" si="273"/>
        <v>52432.604337663412</v>
      </c>
      <c r="Z599">
        <f t="shared" ca="1" si="274"/>
        <v>52432.604337665238</v>
      </c>
      <c r="AA599">
        <f t="shared" ca="1" si="275"/>
        <v>2.2562304480281055E-12</v>
      </c>
      <c r="AB599">
        <f t="shared" ca="1" si="276"/>
        <v>-5.0000000192085281E-4</v>
      </c>
      <c r="AC599">
        <f t="shared" ca="1" si="277"/>
        <v>1</v>
      </c>
      <c r="AD599">
        <f ca="1">IF(V32="Supercritical",L599,IF(V32="Subcritical",U599,IF(AND(T599=1,AC599=1),IF((((F599)*(L599)^2)/2+(G599)*(L599)^3/3+(ABS(K599)^2)/($I$5*MAX(((F599)+(G599)*(L599))*(L599),0.000001)))&gt;=(((F599)*(U599)^2)/2+(G599)*(U599)^3/3+(ABS(K599)^2)/($I$5*MAX(((F599)+(G599)*(U599))*(U599),0.000001))),L599,U599),IF(T599=1,L599,IF(AC599=1,U599,MAX($D$16,POWER((ABS(K599)^2)/($I$5*MAX(F599,0.1)^2),1/3)))))))</f>
        <v>51800.26683766341</v>
      </c>
      <c r="AE599">
        <f t="shared" ca="1" si="278"/>
        <v>52432.604337663412</v>
      </c>
      <c r="AF599">
        <f t="shared" ca="1" si="279"/>
        <v>52432.604337665238</v>
      </c>
      <c r="AI599">
        <v>0</v>
      </c>
      <c r="AJ599">
        <v>0</v>
      </c>
      <c r="AK599">
        <f t="shared" si="280"/>
        <v>0</v>
      </c>
      <c r="AL599">
        <f t="shared" ref="AL599:AL662" si="289">AL598+AK599</f>
        <v>0</v>
      </c>
      <c r="AM599">
        <f t="shared" ca="1" si="281"/>
        <v>2.6560383008097266E-7</v>
      </c>
      <c r="AN599" t="str">
        <f t="shared" ca="1" si="282"/>
        <v>Subcritical</v>
      </c>
      <c r="AO599">
        <f t="shared" ca="1" si="283"/>
        <v>2.2562304480281055E-12</v>
      </c>
    </row>
    <row r="600" spans="1:41" x14ac:dyDescent="0.35">
      <c r="A600">
        <v>451</v>
      </c>
      <c r="B600">
        <v>449.89499999999998</v>
      </c>
      <c r="C600">
        <v>616228.08299999998</v>
      </c>
      <c r="D600">
        <v>3097520.7540000002</v>
      </c>
      <c r="E600">
        <v>632.33699999999999</v>
      </c>
      <c r="F600">
        <v>5.2</v>
      </c>
      <c r="G600">
        <v>0</v>
      </c>
      <c r="H600" t="s">
        <v>186</v>
      </c>
      <c r="I600">
        <v>7.8E-2</v>
      </c>
      <c r="J600">
        <f t="shared" si="284"/>
        <v>1</v>
      </c>
      <c r="K600">
        <f t="shared" si="285"/>
        <v>51</v>
      </c>
      <c r="L600">
        <f t="shared" ca="1" si="286"/>
        <v>51797.843837663619</v>
      </c>
      <c r="M600">
        <f t="shared" ca="1" si="263"/>
        <v>269348.78795585083</v>
      </c>
      <c r="N600">
        <f t="shared" ca="1" si="264"/>
        <v>2.5998694991876676</v>
      </c>
      <c r="O600">
        <f t="shared" ca="1" si="265"/>
        <v>1.8934557080078435E-4</v>
      </c>
      <c r="P600">
        <f t="shared" ca="1" si="266"/>
        <v>52430.180837663618</v>
      </c>
      <c r="Q600">
        <f t="shared" ca="1" si="267"/>
        <v>52430.180837665444</v>
      </c>
      <c r="R600">
        <f t="shared" ca="1" si="268"/>
        <v>2.2564415439646509E-12</v>
      </c>
      <c r="S600">
        <f t="shared" ca="1" si="287"/>
        <v>5.0000000192085281E-4</v>
      </c>
      <c r="T600">
        <f t="shared" ca="1" si="288"/>
        <v>1</v>
      </c>
      <c r="U600">
        <f t="shared" ca="1" si="269"/>
        <v>51800.26683766341</v>
      </c>
      <c r="V600">
        <f t="shared" ca="1" si="270"/>
        <v>269361.38755584974</v>
      </c>
      <c r="W600">
        <f t="shared" ca="1" si="271"/>
        <v>2.5998695052916441</v>
      </c>
      <c r="X600">
        <f t="shared" ca="1" si="272"/>
        <v>1.8933671400629237E-4</v>
      </c>
      <c r="Y600">
        <f t="shared" ca="1" si="273"/>
        <v>52432.60383766341</v>
      </c>
      <c r="Z600">
        <f t="shared" ca="1" si="274"/>
        <v>52432.603837665236</v>
      </c>
      <c r="AA600">
        <f t="shared" ca="1" si="275"/>
        <v>2.2562304480281055E-12</v>
      </c>
      <c r="AB600">
        <f t="shared" ca="1" si="276"/>
        <v>-5.0000000192085281E-4</v>
      </c>
      <c r="AC600">
        <f t="shared" ca="1" si="277"/>
        <v>1</v>
      </c>
      <c r="AD600">
        <f ca="1">IF(V32="Supercritical",L600,IF(V32="Subcritical",U600,IF(AND(T600=1,AC600=1),IF((((F600)*(L600)^2)/2+(G600)*(L600)^3/3+(ABS(K600)^2)/($I$5*MAX(((F600)+(G600)*(L600))*(L600),0.000001)))&gt;=(((F600)*(U600)^2)/2+(G600)*(U600)^3/3+(ABS(K600)^2)/($I$5*MAX(((F600)+(G600)*(U600))*(U600),0.000001))),L600,U600),IF(T600=1,L600,IF(AC600=1,U600,MAX($D$16,POWER((ABS(K600)^2)/($I$5*MAX(F600,0.1)^2),1/3)))))))</f>
        <v>51800.26683766341</v>
      </c>
      <c r="AE600">
        <f t="shared" ca="1" si="278"/>
        <v>52432.60383766341</v>
      </c>
      <c r="AF600">
        <f t="shared" ca="1" si="279"/>
        <v>52432.603837665236</v>
      </c>
      <c r="AI600">
        <v>0</v>
      </c>
      <c r="AJ600">
        <v>0</v>
      </c>
      <c r="AK600">
        <f t="shared" si="280"/>
        <v>0</v>
      </c>
      <c r="AL600">
        <f t="shared" si="289"/>
        <v>0</v>
      </c>
      <c r="AM600">
        <f t="shared" ca="1" si="281"/>
        <v>2.6560383008097266E-7</v>
      </c>
      <c r="AN600" t="str">
        <f t="shared" ca="1" si="282"/>
        <v>Subcritical</v>
      </c>
      <c r="AO600">
        <f t="shared" ca="1" si="283"/>
        <v>2.2562304480281055E-12</v>
      </c>
    </row>
    <row r="601" spans="1:41" x14ac:dyDescent="0.35">
      <c r="A601">
        <v>452</v>
      </c>
      <c r="B601">
        <v>450.89499999999998</v>
      </c>
      <c r="C601">
        <v>616227.60800000001</v>
      </c>
      <c r="D601">
        <v>3097519.8739999998</v>
      </c>
      <c r="E601">
        <v>632.3365</v>
      </c>
      <c r="F601">
        <v>5.2</v>
      </c>
      <c r="G601">
        <v>0</v>
      </c>
      <c r="H601" t="s">
        <v>186</v>
      </c>
      <c r="I601">
        <v>7.8E-2</v>
      </c>
      <c r="J601">
        <f t="shared" si="284"/>
        <v>1</v>
      </c>
      <c r="K601">
        <f t="shared" si="285"/>
        <v>51</v>
      </c>
      <c r="L601">
        <f t="shared" ca="1" si="286"/>
        <v>51797.843837663619</v>
      </c>
      <c r="M601">
        <f t="shared" ca="1" si="263"/>
        <v>269348.78795585083</v>
      </c>
      <c r="N601">
        <f t="shared" ca="1" si="264"/>
        <v>2.5998694991876676</v>
      </c>
      <c r="O601">
        <f t="shared" ca="1" si="265"/>
        <v>1.8934557080078435E-4</v>
      </c>
      <c r="P601">
        <f t="shared" ca="1" si="266"/>
        <v>52430.180337663616</v>
      </c>
      <c r="Q601">
        <f t="shared" ca="1" si="267"/>
        <v>52430.180337665442</v>
      </c>
      <c r="R601">
        <f t="shared" ca="1" si="268"/>
        <v>2.2564415439646509E-12</v>
      </c>
      <c r="S601">
        <f t="shared" ca="1" si="287"/>
        <v>5.0000000192085281E-4</v>
      </c>
      <c r="T601">
        <f t="shared" ca="1" si="288"/>
        <v>1</v>
      </c>
      <c r="U601">
        <f t="shared" ca="1" si="269"/>
        <v>51800.26683766341</v>
      </c>
      <c r="V601">
        <f t="shared" ca="1" si="270"/>
        <v>269361.38755584974</v>
      </c>
      <c r="W601">
        <f t="shared" ca="1" si="271"/>
        <v>2.5998695052916441</v>
      </c>
      <c r="X601">
        <f t="shared" ca="1" si="272"/>
        <v>1.8933671400629237E-4</v>
      </c>
      <c r="Y601">
        <f t="shared" ca="1" si="273"/>
        <v>52432.603337663408</v>
      </c>
      <c r="Z601">
        <f t="shared" ca="1" si="274"/>
        <v>52432.603337665234</v>
      </c>
      <c r="AA601">
        <f t="shared" ca="1" si="275"/>
        <v>2.2562304480281055E-12</v>
      </c>
      <c r="AB601">
        <f t="shared" ca="1" si="276"/>
        <v>-4.999999946448952E-4</v>
      </c>
      <c r="AC601">
        <f t="shared" ca="1" si="277"/>
        <v>1</v>
      </c>
      <c r="AD601">
        <f ca="1">IF(V32="Supercritical",L601,IF(V32="Subcritical",U601,IF(AND(T601=1,AC601=1),IF((((F601)*(L601)^2)/2+(G601)*(L601)^3/3+(ABS(K601)^2)/($I$5*MAX(((F601)+(G601)*(L601))*(L601),0.000001)))&gt;=(((F601)*(U601)^2)/2+(G601)*(U601)^3/3+(ABS(K601)^2)/($I$5*MAX(((F601)+(G601)*(U601))*(U601),0.000001))),L601,U601),IF(T601=1,L601,IF(AC601=1,U601,MAX($D$16,POWER((ABS(K601)^2)/($I$5*MAX(F601,0.1)^2),1/3)))))))</f>
        <v>51800.26683766341</v>
      </c>
      <c r="AE601">
        <f t="shared" ca="1" si="278"/>
        <v>52432.603337663408</v>
      </c>
      <c r="AF601">
        <f t="shared" ca="1" si="279"/>
        <v>52432.603337665234</v>
      </c>
      <c r="AI601">
        <v>0</v>
      </c>
      <c r="AJ601">
        <v>0</v>
      </c>
      <c r="AK601">
        <f t="shared" si="280"/>
        <v>0</v>
      </c>
      <c r="AL601">
        <f t="shared" si="289"/>
        <v>0</v>
      </c>
      <c r="AM601">
        <f t="shared" ca="1" si="281"/>
        <v>2.6560383008097266E-7</v>
      </c>
      <c r="AN601" t="str">
        <f t="shared" ca="1" si="282"/>
        <v>Subcritical</v>
      </c>
      <c r="AO601">
        <f t="shared" ca="1" si="283"/>
        <v>2.2562304480281055E-12</v>
      </c>
    </row>
    <row r="602" spans="1:41" x14ac:dyDescent="0.35">
      <c r="A602">
        <v>453</v>
      </c>
      <c r="B602">
        <v>451.89600000000002</v>
      </c>
      <c r="C602">
        <v>616227.13399999996</v>
      </c>
      <c r="D602">
        <v>3097518.9929999998</v>
      </c>
      <c r="E602">
        <v>632.33600000000001</v>
      </c>
      <c r="F602">
        <v>5.2</v>
      </c>
      <c r="G602">
        <v>0</v>
      </c>
      <c r="H602" t="s">
        <v>186</v>
      </c>
      <c r="I602">
        <v>2.7E-2</v>
      </c>
      <c r="J602">
        <f t="shared" si="284"/>
        <v>1.0010000000000332</v>
      </c>
      <c r="K602">
        <f t="shared" si="285"/>
        <v>51</v>
      </c>
      <c r="L602">
        <f t="shared" ca="1" si="286"/>
        <v>51797.843837663619</v>
      </c>
      <c r="M602">
        <f t="shared" ca="1" si="263"/>
        <v>269348.78795585083</v>
      </c>
      <c r="N602">
        <f t="shared" ca="1" si="264"/>
        <v>2.5998694991876676</v>
      </c>
      <c r="O602">
        <f t="shared" ca="1" si="265"/>
        <v>1.8934557080078435E-4</v>
      </c>
      <c r="P602">
        <f t="shared" ca="1" si="266"/>
        <v>52430.179837663622</v>
      </c>
      <c r="Q602">
        <f t="shared" ca="1" si="267"/>
        <v>52430.179837665448</v>
      </c>
      <c r="R602">
        <f t="shared" ca="1" si="268"/>
        <v>2.2564415439646509E-12</v>
      </c>
      <c r="S602">
        <f t="shared" ca="1" si="287"/>
        <v>4.999999946448952E-4</v>
      </c>
      <c r="T602">
        <f t="shared" ca="1" si="288"/>
        <v>1</v>
      </c>
      <c r="U602">
        <f t="shared" ca="1" si="269"/>
        <v>51800.26683766341</v>
      </c>
      <c r="V602">
        <f t="shared" ca="1" si="270"/>
        <v>269361.38755584974</v>
      </c>
      <c r="W602">
        <f t="shared" ca="1" si="271"/>
        <v>2.5998695052916441</v>
      </c>
      <c r="X602">
        <f t="shared" ca="1" si="272"/>
        <v>1.8933671400629237E-4</v>
      </c>
      <c r="Y602">
        <f t="shared" ca="1" si="273"/>
        <v>52432.602837663413</v>
      </c>
      <c r="Z602">
        <f t="shared" ca="1" si="274"/>
        <v>52432.602837665239</v>
      </c>
      <c r="AA602">
        <f t="shared" ca="1" si="275"/>
        <v>2.2562304480281055E-12</v>
      </c>
      <c r="AB602">
        <f t="shared" ca="1" si="276"/>
        <v>-5.0000000192085281E-4</v>
      </c>
      <c r="AC602">
        <f t="shared" ca="1" si="277"/>
        <v>1</v>
      </c>
      <c r="AD602">
        <f ca="1">IF(V32="Supercritical",L602,IF(V32="Subcritical",U602,IF(AND(T602=1,AC602=1),IF((((F602)*(L602)^2)/2+(G602)*(L602)^3/3+(ABS(K602)^2)/($I$5*MAX(((F602)+(G602)*(L602))*(L602),0.000001)))&gt;=(((F602)*(U602)^2)/2+(G602)*(U602)^3/3+(ABS(K602)^2)/($I$5*MAX(((F602)+(G602)*(U602))*(U602),0.000001))),L602,U602),IF(T602=1,L602,IF(AC602=1,U602,MAX($D$16,POWER((ABS(K602)^2)/($I$5*MAX(F602,0.1)^2),1/3)))))))</f>
        <v>51800.26683766341</v>
      </c>
      <c r="AE602">
        <f t="shared" ca="1" si="278"/>
        <v>52432.602837663413</v>
      </c>
      <c r="AF602">
        <f t="shared" ca="1" si="279"/>
        <v>52432.602837665239</v>
      </c>
      <c r="AI602">
        <v>0</v>
      </c>
      <c r="AJ602">
        <v>0</v>
      </c>
      <c r="AK602">
        <f t="shared" si="280"/>
        <v>0</v>
      </c>
      <c r="AL602">
        <f t="shared" si="289"/>
        <v>0</v>
      </c>
      <c r="AM602">
        <f t="shared" ca="1" si="281"/>
        <v>2.6560383008097266E-7</v>
      </c>
      <c r="AN602" t="str">
        <f t="shared" ca="1" si="282"/>
        <v>Subcritical</v>
      </c>
      <c r="AO602">
        <f t="shared" ca="1" si="283"/>
        <v>2.2562304480281055E-12</v>
      </c>
    </row>
    <row r="603" spans="1:41" x14ac:dyDescent="0.35">
      <c r="A603">
        <v>454</v>
      </c>
      <c r="B603">
        <v>452.89499999999998</v>
      </c>
      <c r="C603">
        <v>616226.66</v>
      </c>
      <c r="D603">
        <v>3097518.1129999999</v>
      </c>
      <c r="E603">
        <v>632.33550000000002</v>
      </c>
      <c r="F603">
        <v>5.2</v>
      </c>
      <c r="G603">
        <v>0</v>
      </c>
      <c r="H603" t="s">
        <v>186</v>
      </c>
      <c r="I603">
        <v>0</v>
      </c>
      <c r="J603">
        <f t="shared" si="284"/>
        <v>0.9989999999999668</v>
      </c>
      <c r="K603">
        <f t="shared" si="285"/>
        <v>51</v>
      </c>
      <c r="L603">
        <f t="shared" ca="1" si="286"/>
        <v>51797.843837663619</v>
      </c>
      <c r="M603">
        <f t="shared" ca="1" si="263"/>
        <v>269348.78795585083</v>
      </c>
      <c r="N603">
        <f t="shared" ca="1" si="264"/>
        <v>2.5998694991876676</v>
      </c>
      <c r="O603">
        <f t="shared" ca="1" si="265"/>
        <v>1.8934557080078435E-4</v>
      </c>
      <c r="P603">
        <f t="shared" ca="1" si="266"/>
        <v>52430.17933766362</v>
      </c>
      <c r="Q603">
        <f t="shared" ca="1" si="267"/>
        <v>52430.179337665446</v>
      </c>
      <c r="R603">
        <f t="shared" ca="1" si="268"/>
        <v>2.2564415439646509E-12</v>
      </c>
      <c r="S603">
        <f t="shared" ca="1" si="287"/>
        <v>5.0000000192085281E-4</v>
      </c>
      <c r="T603">
        <f t="shared" ca="1" si="288"/>
        <v>1</v>
      </c>
      <c r="U603">
        <f t="shared" ca="1" si="269"/>
        <v>51800.26683766341</v>
      </c>
      <c r="V603">
        <f t="shared" ca="1" si="270"/>
        <v>269361.38755584974</v>
      </c>
      <c r="W603">
        <f t="shared" ca="1" si="271"/>
        <v>2.5998695052916441</v>
      </c>
      <c r="X603">
        <f t="shared" ca="1" si="272"/>
        <v>1.8933671400629237E-4</v>
      </c>
      <c r="Y603">
        <f t="shared" ca="1" si="273"/>
        <v>52432.602337663411</v>
      </c>
      <c r="Z603">
        <f t="shared" ca="1" si="274"/>
        <v>52432.602337665237</v>
      </c>
      <c r="AA603">
        <f t="shared" ca="1" si="275"/>
        <v>2.2562304480281055E-12</v>
      </c>
      <c r="AB603">
        <f t="shared" ca="1" si="276"/>
        <v>-5.0000000192085281E-4</v>
      </c>
      <c r="AC603">
        <f t="shared" ca="1" si="277"/>
        <v>1</v>
      </c>
      <c r="AD603">
        <f ca="1">IF(V32="Supercritical",L603,IF(V32="Subcritical",U603,IF(AND(T603=1,AC603=1),IF((((F603)*(L603)^2)/2+(G603)*(L603)^3/3+(ABS(K603)^2)/($I$5*MAX(((F603)+(G603)*(L603))*(L603),0.000001)))&gt;=(((F603)*(U603)^2)/2+(G603)*(U603)^3/3+(ABS(K603)^2)/($I$5*MAX(((F603)+(G603)*(U603))*(U603),0.000001))),L603,U603),IF(T603=1,L603,IF(AC603=1,U603,MAX($D$16,POWER((ABS(K603)^2)/($I$5*MAX(F603,0.1)^2),1/3)))))))</f>
        <v>51800.26683766341</v>
      </c>
      <c r="AE603">
        <f t="shared" ca="1" si="278"/>
        <v>52432.602337663411</v>
      </c>
      <c r="AF603">
        <f t="shared" ca="1" si="279"/>
        <v>52432.602337665237</v>
      </c>
      <c r="AI603">
        <v>0</v>
      </c>
      <c r="AJ603">
        <v>0</v>
      </c>
      <c r="AK603">
        <f t="shared" si="280"/>
        <v>0</v>
      </c>
      <c r="AL603">
        <f t="shared" si="289"/>
        <v>0</v>
      </c>
      <c r="AM603">
        <f t="shared" ca="1" si="281"/>
        <v>2.6560383008097266E-7</v>
      </c>
      <c r="AN603" t="str">
        <f t="shared" ca="1" si="282"/>
        <v>Subcritical</v>
      </c>
      <c r="AO603">
        <f t="shared" ca="1" si="283"/>
        <v>2.2562304480281055E-12</v>
      </c>
    </row>
    <row r="604" spans="1:41" x14ac:dyDescent="0.35">
      <c r="A604">
        <v>455</v>
      </c>
      <c r="B604">
        <v>453.89499999999998</v>
      </c>
      <c r="C604">
        <v>616226.18599999999</v>
      </c>
      <c r="D604">
        <v>3097517.233</v>
      </c>
      <c r="E604">
        <v>632.33500000000004</v>
      </c>
      <c r="F604">
        <v>5.2</v>
      </c>
      <c r="G604">
        <v>0</v>
      </c>
      <c r="H604" t="s">
        <v>186</v>
      </c>
      <c r="I604">
        <v>2.7E-2</v>
      </c>
      <c r="J604">
        <f t="shared" si="284"/>
        <v>1</v>
      </c>
      <c r="K604">
        <f t="shared" si="285"/>
        <v>51</v>
      </c>
      <c r="L604">
        <f t="shared" ca="1" si="286"/>
        <v>51797.843837663619</v>
      </c>
      <c r="M604">
        <f t="shared" ca="1" si="263"/>
        <v>269348.78795585083</v>
      </c>
      <c r="N604">
        <f t="shared" ca="1" si="264"/>
        <v>2.5998694991876676</v>
      </c>
      <c r="O604">
        <f t="shared" ca="1" si="265"/>
        <v>1.8934557080078435E-4</v>
      </c>
      <c r="P604">
        <f t="shared" ca="1" si="266"/>
        <v>52430.178837663618</v>
      </c>
      <c r="Q604">
        <f t="shared" ca="1" si="267"/>
        <v>52430.178837665444</v>
      </c>
      <c r="R604">
        <f t="shared" ca="1" si="268"/>
        <v>2.2564415439646509E-12</v>
      </c>
      <c r="S604">
        <f t="shared" ca="1" si="287"/>
        <v>5.0000000192085281E-4</v>
      </c>
      <c r="T604">
        <f t="shared" ca="1" si="288"/>
        <v>1</v>
      </c>
      <c r="U604">
        <f t="shared" ca="1" si="269"/>
        <v>51800.26683766341</v>
      </c>
      <c r="V604">
        <f t="shared" ca="1" si="270"/>
        <v>269361.38755584974</v>
      </c>
      <c r="W604">
        <f t="shared" ca="1" si="271"/>
        <v>2.5998695052916441</v>
      </c>
      <c r="X604">
        <f t="shared" ca="1" si="272"/>
        <v>1.8933671400629237E-4</v>
      </c>
      <c r="Y604">
        <f t="shared" ca="1" si="273"/>
        <v>52432.601837663409</v>
      </c>
      <c r="Z604">
        <f t="shared" ca="1" si="274"/>
        <v>52432.601837665236</v>
      </c>
      <c r="AA604">
        <f t="shared" ca="1" si="275"/>
        <v>2.2562304480281055E-12</v>
      </c>
      <c r="AB604">
        <f t="shared" ca="1" si="276"/>
        <v>-5.0000000192085281E-4</v>
      </c>
      <c r="AC604">
        <f t="shared" ca="1" si="277"/>
        <v>1</v>
      </c>
      <c r="AD604">
        <f ca="1">IF(V32="Supercritical",L604,IF(V32="Subcritical",U604,IF(AND(T604=1,AC604=1),IF((((F604)*(L604)^2)/2+(G604)*(L604)^3/3+(ABS(K604)^2)/($I$5*MAX(((F604)+(G604)*(L604))*(L604),0.000001)))&gt;=(((F604)*(U604)^2)/2+(G604)*(U604)^3/3+(ABS(K604)^2)/($I$5*MAX(((F604)+(G604)*(U604))*(U604),0.000001))),L604,U604),IF(T604=1,L604,IF(AC604=1,U604,MAX($D$16,POWER((ABS(K604)^2)/($I$5*MAX(F604,0.1)^2),1/3)))))))</f>
        <v>51800.26683766341</v>
      </c>
      <c r="AE604">
        <f t="shared" ca="1" si="278"/>
        <v>52432.601837663409</v>
      </c>
      <c r="AF604">
        <f t="shared" ca="1" si="279"/>
        <v>52432.601837665236</v>
      </c>
      <c r="AI604">
        <v>0</v>
      </c>
      <c r="AJ604">
        <v>0</v>
      </c>
      <c r="AK604">
        <f t="shared" si="280"/>
        <v>0</v>
      </c>
      <c r="AL604">
        <f t="shared" si="289"/>
        <v>0</v>
      </c>
      <c r="AM604">
        <f t="shared" ca="1" si="281"/>
        <v>2.6560383008097266E-7</v>
      </c>
      <c r="AN604" t="str">
        <f t="shared" ca="1" si="282"/>
        <v>Subcritical</v>
      </c>
      <c r="AO604">
        <f t="shared" ca="1" si="283"/>
        <v>2.2562304480281055E-12</v>
      </c>
    </row>
    <row r="605" spans="1:41" x14ac:dyDescent="0.35">
      <c r="A605">
        <v>456</v>
      </c>
      <c r="B605">
        <v>454.89499999999998</v>
      </c>
      <c r="C605">
        <v>616225.71200000006</v>
      </c>
      <c r="D605">
        <v>3097516.352</v>
      </c>
      <c r="E605">
        <v>632.33450000000005</v>
      </c>
      <c r="F605">
        <v>5.2</v>
      </c>
      <c r="G605">
        <v>0</v>
      </c>
      <c r="H605" t="s">
        <v>186</v>
      </c>
      <c r="I605">
        <v>7.8E-2</v>
      </c>
      <c r="J605">
        <f t="shared" si="284"/>
        <v>1</v>
      </c>
      <c r="K605">
        <f t="shared" si="285"/>
        <v>51</v>
      </c>
      <c r="L605">
        <f t="shared" ca="1" si="286"/>
        <v>51797.843837663619</v>
      </c>
      <c r="M605">
        <f t="shared" ca="1" si="263"/>
        <v>269348.78795585083</v>
      </c>
      <c r="N605">
        <f t="shared" ca="1" si="264"/>
        <v>2.5998694991876676</v>
      </c>
      <c r="O605">
        <f t="shared" ca="1" si="265"/>
        <v>1.8934557080078435E-4</v>
      </c>
      <c r="P605">
        <f t="shared" ca="1" si="266"/>
        <v>52430.178337663616</v>
      </c>
      <c r="Q605">
        <f t="shared" ca="1" si="267"/>
        <v>52430.178337665442</v>
      </c>
      <c r="R605">
        <f t="shared" ca="1" si="268"/>
        <v>2.2564415439646509E-12</v>
      </c>
      <c r="S605">
        <f t="shared" ca="1" si="287"/>
        <v>5.0000000192085281E-4</v>
      </c>
      <c r="T605">
        <f t="shared" ca="1" si="288"/>
        <v>1</v>
      </c>
      <c r="U605">
        <f t="shared" ca="1" si="269"/>
        <v>51800.26683766341</v>
      </c>
      <c r="V605">
        <f t="shared" ca="1" si="270"/>
        <v>269361.38755584974</v>
      </c>
      <c r="W605">
        <f t="shared" ca="1" si="271"/>
        <v>2.5998695052916441</v>
      </c>
      <c r="X605">
        <f t="shared" ca="1" si="272"/>
        <v>1.8933671400629237E-4</v>
      </c>
      <c r="Y605">
        <f t="shared" ca="1" si="273"/>
        <v>52432.601337663407</v>
      </c>
      <c r="Z605">
        <f t="shared" ca="1" si="274"/>
        <v>52432.601337665234</v>
      </c>
      <c r="AA605">
        <f t="shared" ca="1" si="275"/>
        <v>2.2562304480281055E-12</v>
      </c>
      <c r="AB605">
        <f t="shared" ca="1" si="276"/>
        <v>-4.999999946448952E-4</v>
      </c>
      <c r="AC605">
        <f t="shared" ca="1" si="277"/>
        <v>1</v>
      </c>
      <c r="AD605">
        <f ca="1">IF(V32="Supercritical",L605,IF(V32="Subcritical",U605,IF(AND(T605=1,AC605=1),IF((((F605)*(L605)^2)/2+(G605)*(L605)^3/3+(ABS(K605)^2)/($I$5*MAX(((F605)+(G605)*(L605))*(L605),0.000001)))&gt;=(((F605)*(U605)^2)/2+(G605)*(U605)^3/3+(ABS(K605)^2)/($I$5*MAX(((F605)+(G605)*(U605))*(U605),0.000001))),L605,U605),IF(T605=1,L605,IF(AC605=1,U605,MAX($D$16,POWER((ABS(K605)^2)/($I$5*MAX(F605,0.1)^2),1/3)))))))</f>
        <v>51800.26683766341</v>
      </c>
      <c r="AE605">
        <f t="shared" ca="1" si="278"/>
        <v>52432.601337663407</v>
      </c>
      <c r="AF605">
        <f t="shared" ca="1" si="279"/>
        <v>52432.601337665234</v>
      </c>
      <c r="AI605">
        <v>0</v>
      </c>
      <c r="AJ605">
        <v>0</v>
      </c>
      <c r="AK605">
        <f t="shared" si="280"/>
        <v>0</v>
      </c>
      <c r="AL605">
        <f t="shared" si="289"/>
        <v>0</v>
      </c>
      <c r="AM605">
        <f t="shared" ca="1" si="281"/>
        <v>2.6560383008097266E-7</v>
      </c>
      <c r="AN605" t="str">
        <f t="shared" ca="1" si="282"/>
        <v>Subcritical</v>
      </c>
      <c r="AO605">
        <f t="shared" ca="1" si="283"/>
        <v>2.2562304480281055E-12</v>
      </c>
    </row>
    <row r="606" spans="1:41" x14ac:dyDescent="0.35">
      <c r="A606">
        <v>457</v>
      </c>
      <c r="B606">
        <v>455.89499999999998</v>
      </c>
      <c r="C606">
        <v>616225.23699999996</v>
      </c>
      <c r="D606">
        <v>3097515.4720000001</v>
      </c>
      <c r="E606">
        <v>632.33399999999995</v>
      </c>
      <c r="F606">
        <v>5.2</v>
      </c>
      <c r="G606">
        <v>0</v>
      </c>
      <c r="H606" t="s">
        <v>186</v>
      </c>
      <c r="I606">
        <v>7.8E-2</v>
      </c>
      <c r="J606">
        <f t="shared" si="284"/>
        <v>1</v>
      </c>
      <c r="K606">
        <f t="shared" si="285"/>
        <v>51</v>
      </c>
      <c r="L606">
        <f t="shared" ca="1" si="286"/>
        <v>51797.843837663619</v>
      </c>
      <c r="M606">
        <f t="shared" ca="1" si="263"/>
        <v>269348.78795585083</v>
      </c>
      <c r="N606">
        <f t="shared" ca="1" si="264"/>
        <v>2.5998694991876676</v>
      </c>
      <c r="O606">
        <f t="shared" ca="1" si="265"/>
        <v>1.8934557080078435E-4</v>
      </c>
      <c r="P606">
        <f t="shared" ca="1" si="266"/>
        <v>52430.177837663621</v>
      </c>
      <c r="Q606">
        <f t="shared" ca="1" si="267"/>
        <v>52430.177837665447</v>
      </c>
      <c r="R606">
        <f t="shared" ca="1" si="268"/>
        <v>2.2564415439646509E-12</v>
      </c>
      <c r="S606">
        <f t="shared" ca="1" si="287"/>
        <v>4.999999946448952E-4</v>
      </c>
      <c r="T606">
        <f t="shared" ca="1" si="288"/>
        <v>1</v>
      </c>
      <c r="U606">
        <f t="shared" ca="1" si="269"/>
        <v>51800.26683766341</v>
      </c>
      <c r="V606">
        <f t="shared" ca="1" si="270"/>
        <v>269361.38755584974</v>
      </c>
      <c r="W606">
        <f t="shared" ca="1" si="271"/>
        <v>2.5998695052916441</v>
      </c>
      <c r="X606">
        <f t="shared" ca="1" si="272"/>
        <v>1.8933671400629237E-4</v>
      </c>
      <c r="Y606">
        <f t="shared" ca="1" si="273"/>
        <v>52432.600837663413</v>
      </c>
      <c r="Z606">
        <f t="shared" ca="1" si="274"/>
        <v>52432.600837665239</v>
      </c>
      <c r="AA606">
        <f t="shared" ca="1" si="275"/>
        <v>2.2562304480281055E-12</v>
      </c>
      <c r="AB606">
        <f t="shared" ca="1" si="276"/>
        <v>-5.0000000192085281E-4</v>
      </c>
      <c r="AC606">
        <f t="shared" ca="1" si="277"/>
        <v>1</v>
      </c>
      <c r="AD606">
        <f ca="1">IF(V32="Supercritical",L606,IF(V32="Subcritical",U606,IF(AND(T606=1,AC606=1),IF((((F606)*(L606)^2)/2+(G606)*(L606)^3/3+(ABS(K606)^2)/($I$5*MAX(((F606)+(G606)*(L606))*(L606),0.000001)))&gt;=(((F606)*(U606)^2)/2+(G606)*(U606)^3/3+(ABS(K606)^2)/($I$5*MAX(((F606)+(G606)*(U606))*(U606),0.000001))),L606,U606),IF(T606=1,L606,IF(AC606=1,U606,MAX($D$16,POWER((ABS(K606)^2)/($I$5*MAX(F606,0.1)^2),1/3)))))))</f>
        <v>51800.26683766341</v>
      </c>
      <c r="AE606">
        <f t="shared" ca="1" si="278"/>
        <v>52432.600837663413</v>
      </c>
      <c r="AF606">
        <f t="shared" ca="1" si="279"/>
        <v>52432.600837665239</v>
      </c>
      <c r="AI606">
        <v>0</v>
      </c>
      <c r="AJ606">
        <v>0</v>
      </c>
      <c r="AK606">
        <f t="shared" si="280"/>
        <v>0</v>
      </c>
      <c r="AL606">
        <f t="shared" si="289"/>
        <v>0</v>
      </c>
      <c r="AM606">
        <f t="shared" ca="1" si="281"/>
        <v>2.6560383008097266E-7</v>
      </c>
      <c r="AN606" t="str">
        <f t="shared" ca="1" si="282"/>
        <v>Subcritical</v>
      </c>
      <c r="AO606">
        <f t="shared" ca="1" si="283"/>
        <v>2.2562304480281055E-12</v>
      </c>
    </row>
    <row r="607" spans="1:41" x14ac:dyDescent="0.35">
      <c r="A607">
        <v>458</v>
      </c>
      <c r="B607">
        <v>456.89600000000002</v>
      </c>
      <c r="C607">
        <v>616224.76300000004</v>
      </c>
      <c r="D607">
        <v>3097514.591</v>
      </c>
      <c r="E607">
        <v>632.33349999999996</v>
      </c>
      <c r="F607">
        <v>5.2</v>
      </c>
      <c r="G607">
        <v>0</v>
      </c>
      <c r="H607" t="s">
        <v>186</v>
      </c>
      <c r="I607">
        <v>2.7E-2</v>
      </c>
      <c r="J607">
        <f t="shared" si="284"/>
        <v>1.0010000000000332</v>
      </c>
      <c r="K607">
        <f t="shared" si="285"/>
        <v>51</v>
      </c>
      <c r="L607">
        <f t="shared" ca="1" si="286"/>
        <v>51797.843837663619</v>
      </c>
      <c r="M607">
        <f t="shared" ca="1" si="263"/>
        <v>269348.78795585083</v>
      </c>
      <c r="N607">
        <f t="shared" ca="1" si="264"/>
        <v>2.5998694991876676</v>
      </c>
      <c r="O607">
        <f t="shared" ca="1" si="265"/>
        <v>1.8934557080078435E-4</v>
      </c>
      <c r="P607">
        <f t="shared" ca="1" si="266"/>
        <v>52430.177337663619</v>
      </c>
      <c r="Q607">
        <f t="shared" ca="1" si="267"/>
        <v>52430.177337665446</v>
      </c>
      <c r="R607">
        <f t="shared" ca="1" si="268"/>
        <v>2.2564415439646509E-12</v>
      </c>
      <c r="S607">
        <f t="shared" ca="1" si="287"/>
        <v>5.0000000192085281E-4</v>
      </c>
      <c r="T607">
        <f t="shared" ca="1" si="288"/>
        <v>1</v>
      </c>
      <c r="U607">
        <f t="shared" ca="1" si="269"/>
        <v>51800.26683766341</v>
      </c>
      <c r="V607">
        <f t="shared" ca="1" si="270"/>
        <v>269361.38755584974</v>
      </c>
      <c r="W607">
        <f t="shared" ca="1" si="271"/>
        <v>2.5998695052916441</v>
      </c>
      <c r="X607">
        <f t="shared" ca="1" si="272"/>
        <v>1.8933671400629237E-4</v>
      </c>
      <c r="Y607">
        <f t="shared" ca="1" si="273"/>
        <v>52432.600337663411</v>
      </c>
      <c r="Z607">
        <f t="shared" ca="1" si="274"/>
        <v>52432.600337665237</v>
      </c>
      <c r="AA607">
        <f t="shared" ca="1" si="275"/>
        <v>2.2562304480281055E-12</v>
      </c>
      <c r="AB607">
        <f t="shared" ca="1" si="276"/>
        <v>-5.0000000192085281E-4</v>
      </c>
      <c r="AC607">
        <f t="shared" ca="1" si="277"/>
        <v>1</v>
      </c>
      <c r="AD607">
        <f ca="1">IF(V32="Supercritical",L607,IF(V32="Subcritical",U607,IF(AND(T607=1,AC607=1),IF((((F607)*(L607)^2)/2+(G607)*(L607)^3/3+(ABS(K607)^2)/($I$5*MAX(((F607)+(G607)*(L607))*(L607),0.000001)))&gt;=(((F607)*(U607)^2)/2+(G607)*(U607)^3/3+(ABS(K607)^2)/($I$5*MAX(((F607)+(G607)*(U607))*(U607),0.000001))),L607,U607),IF(T607=1,L607,IF(AC607=1,U607,MAX($D$16,POWER((ABS(K607)^2)/($I$5*MAX(F607,0.1)^2),1/3)))))))</f>
        <v>51800.26683766341</v>
      </c>
      <c r="AE607">
        <f t="shared" ca="1" si="278"/>
        <v>52432.600337663411</v>
      </c>
      <c r="AF607">
        <f t="shared" ca="1" si="279"/>
        <v>52432.600337665237</v>
      </c>
      <c r="AI607">
        <v>0</v>
      </c>
      <c r="AJ607">
        <v>0</v>
      </c>
      <c r="AK607">
        <f t="shared" si="280"/>
        <v>0</v>
      </c>
      <c r="AL607">
        <f t="shared" si="289"/>
        <v>0</v>
      </c>
      <c r="AM607">
        <f t="shared" ca="1" si="281"/>
        <v>2.6560383008097266E-7</v>
      </c>
      <c r="AN607" t="str">
        <f t="shared" ca="1" si="282"/>
        <v>Subcritical</v>
      </c>
      <c r="AO607">
        <f t="shared" ca="1" si="283"/>
        <v>2.2562304480281055E-12</v>
      </c>
    </row>
    <row r="608" spans="1:41" x14ac:dyDescent="0.35">
      <c r="A608">
        <v>459</v>
      </c>
      <c r="B608">
        <v>457.89499999999998</v>
      </c>
      <c r="C608">
        <v>616224.28899999999</v>
      </c>
      <c r="D608">
        <v>3097513.7110000001</v>
      </c>
      <c r="E608">
        <v>632.33299999999997</v>
      </c>
      <c r="F608">
        <v>5.2</v>
      </c>
      <c r="G608">
        <v>0</v>
      </c>
      <c r="H608" t="s">
        <v>186</v>
      </c>
      <c r="I608">
        <v>0</v>
      </c>
      <c r="J608">
        <f t="shared" si="284"/>
        <v>0.9989999999999668</v>
      </c>
      <c r="K608">
        <f t="shared" si="285"/>
        <v>51</v>
      </c>
      <c r="L608">
        <f t="shared" ca="1" si="286"/>
        <v>51797.843837663619</v>
      </c>
      <c r="M608">
        <f t="shared" ca="1" si="263"/>
        <v>269348.78795585083</v>
      </c>
      <c r="N608">
        <f t="shared" ca="1" si="264"/>
        <v>2.5998694991876676</v>
      </c>
      <c r="O608">
        <f t="shared" ca="1" si="265"/>
        <v>1.8934557080078435E-4</v>
      </c>
      <c r="P608">
        <f t="shared" ca="1" si="266"/>
        <v>52430.176837663617</v>
      </c>
      <c r="Q608">
        <f t="shared" ca="1" si="267"/>
        <v>52430.176837665444</v>
      </c>
      <c r="R608">
        <f t="shared" ca="1" si="268"/>
        <v>2.2564415439646509E-12</v>
      </c>
      <c r="S608">
        <f t="shared" ca="1" si="287"/>
        <v>5.0000000192085281E-4</v>
      </c>
      <c r="T608">
        <f t="shared" ca="1" si="288"/>
        <v>1</v>
      </c>
      <c r="U608">
        <f t="shared" ca="1" si="269"/>
        <v>51800.26683766341</v>
      </c>
      <c r="V608">
        <f t="shared" ca="1" si="270"/>
        <v>269361.38755584974</v>
      </c>
      <c r="W608">
        <f t="shared" ca="1" si="271"/>
        <v>2.5998695052916441</v>
      </c>
      <c r="X608">
        <f t="shared" ca="1" si="272"/>
        <v>1.8933671400629237E-4</v>
      </c>
      <c r="Y608">
        <f t="shared" ca="1" si="273"/>
        <v>52432.599837663409</v>
      </c>
      <c r="Z608">
        <f t="shared" ca="1" si="274"/>
        <v>52432.599837665235</v>
      </c>
      <c r="AA608">
        <f t="shared" ca="1" si="275"/>
        <v>2.2562304480281055E-12</v>
      </c>
      <c r="AB608">
        <f t="shared" ca="1" si="276"/>
        <v>-5.0000000192085281E-4</v>
      </c>
      <c r="AC608">
        <f t="shared" ca="1" si="277"/>
        <v>1</v>
      </c>
      <c r="AD608">
        <f ca="1">IF(V32="Supercritical",L608,IF(V32="Subcritical",U608,IF(AND(T608=1,AC608=1),IF((((F608)*(L608)^2)/2+(G608)*(L608)^3/3+(ABS(K608)^2)/($I$5*MAX(((F608)+(G608)*(L608))*(L608),0.000001)))&gt;=(((F608)*(U608)^2)/2+(G608)*(U608)^3/3+(ABS(K608)^2)/($I$5*MAX(((F608)+(G608)*(U608))*(U608),0.000001))),L608,U608),IF(T608=1,L608,IF(AC608=1,U608,MAX($D$16,POWER((ABS(K608)^2)/($I$5*MAX(F608,0.1)^2),1/3)))))))</f>
        <v>51800.26683766341</v>
      </c>
      <c r="AE608">
        <f t="shared" ca="1" si="278"/>
        <v>52432.599837663409</v>
      </c>
      <c r="AF608">
        <f t="shared" ca="1" si="279"/>
        <v>52432.599837665235</v>
      </c>
      <c r="AI608">
        <v>0</v>
      </c>
      <c r="AJ608">
        <v>0</v>
      </c>
      <c r="AK608">
        <f t="shared" si="280"/>
        <v>0</v>
      </c>
      <c r="AL608">
        <f t="shared" si="289"/>
        <v>0</v>
      </c>
      <c r="AM608">
        <f t="shared" ca="1" si="281"/>
        <v>2.6560383008097266E-7</v>
      </c>
      <c r="AN608" t="str">
        <f t="shared" ca="1" si="282"/>
        <v>Subcritical</v>
      </c>
      <c r="AO608">
        <f t="shared" ca="1" si="283"/>
        <v>2.2562304480281055E-12</v>
      </c>
    </row>
    <row r="609" spans="1:41" x14ac:dyDescent="0.35">
      <c r="A609">
        <v>460</v>
      </c>
      <c r="B609">
        <v>458.89499999999998</v>
      </c>
      <c r="C609">
        <v>616223.81499999994</v>
      </c>
      <c r="D609">
        <v>3097512.8309999998</v>
      </c>
      <c r="E609">
        <v>632.33249999999998</v>
      </c>
      <c r="F609">
        <v>5.2</v>
      </c>
      <c r="G609">
        <v>0</v>
      </c>
      <c r="H609" t="s">
        <v>186</v>
      </c>
      <c r="I609">
        <v>2.3E-2</v>
      </c>
      <c r="J609">
        <f t="shared" si="284"/>
        <v>1</v>
      </c>
      <c r="K609">
        <f t="shared" si="285"/>
        <v>51</v>
      </c>
      <c r="L609">
        <f t="shared" ca="1" si="286"/>
        <v>51797.843837663619</v>
      </c>
      <c r="M609">
        <f t="shared" ca="1" si="263"/>
        <v>269348.78795585083</v>
      </c>
      <c r="N609">
        <f t="shared" ca="1" si="264"/>
        <v>2.5998694991876676</v>
      </c>
      <c r="O609">
        <f t="shared" ca="1" si="265"/>
        <v>1.8934557080078435E-4</v>
      </c>
      <c r="P609">
        <f t="shared" ca="1" si="266"/>
        <v>52430.176337663615</v>
      </c>
      <c r="Q609">
        <f t="shared" ca="1" si="267"/>
        <v>52430.176337665442</v>
      </c>
      <c r="R609">
        <f t="shared" ca="1" si="268"/>
        <v>2.2564415439646509E-12</v>
      </c>
      <c r="S609">
        <f t="shared" ca="1" si="287"/>
        <v>5.0000000192085281E-4</v>
      </c>
      <c r="T609">
        <f t="shared" ca="1" si="288"/>
        <v>1</v>
      </c>
      <c r="U609">
        <f t="shared" ca="1" si="269"/>
        <v>51800.26683766341</v>
      </c>
      <c r="V609">
        <f t="shared" ca="1" si="270"/>
        <v>269361.38755584974</v>
      </c>
      <c r="W609">
        <f t="shared" ca="1" si="271"/>
        <v>2.5998695052916441</v>
      </c>
      <c r="X609">
        <f t="shared" ca="1" si="272"/>
        <v>1.8933671400629237E-4</v>
      </c>
      <c r="Y609">
        <f t="shared" ca="1" si="273"/>
        <v>52432.599337663407</v>
      </c>
      <c r="Z609">
        <f t="shared" ca="1" si="274"/>
        <v>52432.599337665233</v>
      </c>
      <c r="AA609">
        <f t="shared" ca="1" si="275"/>
        <v>2.2562304480281055E-12</v>
      </c>
      <c r="AB609">
        <f t="shared" ca="1" si="276"/>
        <v>-4.999999946448952E-4</v>
      </c>
      <c r="AC609">
        <f t="shared" ca="1" si="277"/>
        <v>1</v>
      </c>
      <c r="AD609">
        <f ca="1">IF(V32="Supercritical",L609,IF(V32="Subcritical",U609,IF(AND(T609=1,AC609=1),IF((((F609)*(L609)^2)/2+(G609)*(L609)^3/3+(ABS(K609)^2)/($I$5*MAX(((F609)+(G609)*(L609))*(L609),0.000001)))&gt;=(((F609)*(U609)^2)/2+(G609)*(U609)^3/3+(ABS(K609)^2)/($I$5*MAX(((F609)+(G609)*(U609))*(U609),0.000001))),L609,U609),IF(T609=1,L609,IF(AC609=1,U609,MAX($D$16,POWER((ABS(K609)^2)/($I$5*MAX(F609,0.1)^2),1/3)))))))</f>
        <v>51800.26683766341</v>
      </c>
      <c r="AE609">
        <f t="shared" ca="1" si="278"/>
        <v>52432.599337663407</v>
      </c>
      <c r="AF609">
        <f t="shared" ca="1" si="279"/>
        <v>52432.599337665233</v>
      </c>
      <c r="AI609">
        <v>0</v>
      </c>
      <c r="AJ609">
        <v>0</v>
      </c>
      <c r="AK609">
        <f t="shared" si="280"/>
        <v>0</v>
      </c>
      <c r="AL609">
        <f t="shared" si="289"/>
        <v>0</v>
      </c>
      <c r="AM609">
        <f t="shared" ca="1" si="281"/>
        <v>2.6560383008097266E-7</v>
      </c>
      <c r="AN609" t="str">
        <f t="shared" ca="1" si="282"/>
        <v>Subcritical</v>
      </c>
      <c r="AO609">
        <f t="shared" ca="1" si="283"/>
        <v>2.2562304480281055E-12</v>
      </c>
    </row>
    <row r="610" spans="1:41" x14ac:dyDescent="0.35">
      <c r="A610">
        <v>461</v>
      </c>
      <c r="B610">
        <v>459.89600000000002</v>
      </c>
      <c r="C610">
        <v>616223.34</v>
      </c>
      <c r="D610">
        <v>3097511.95</v>
      </c>
      <c r="E610">
        <v>632.33199999999999</v>
      </c>
      <c r="F610">
        <v>5.2</v>
      </c>
      <c r="G610">
        <v>0</v>
      </c>
      <c r="H610" t="s">
        <v>186</v>
      </c>
      <c r="I610">
        <v>2.3E-2</v>
      </c>
      <c r="J610">
        <f t="shared" si="284"/>
        <v>1.0010000000000332</v>
      </c>
      <c r="K610">
        <f t="shared" si="285"/>
        <v>51</v>
      </c>
      <c r="L610">
        <f t="shared" ca="1" si="286"/>
        <v>51797.843837663619</v>
      </c>
      <c r="M610">
        <f t="shared" ca="1" si="263"/>
        <v>269348.78795585083</v>
      </c>
      <c r="N610">
        <f t="shared" ca="1" si="264"/>
        <v>2.5998694991876676</v>
      </c>
      <c r="O610">
        <f t="shared" ca="1" si="265"/>
        <v>1.8934557080078435E-4</v>
      </c>
      <c r="P610">
        <f t="shared" ca="1" si="266"/>
        <v>52430.175837663621</v>
      </c>
      <c r="Q610">
        <f t="shared" ca="1" si="267"/>
        <v>52430.175837665447</v>
      </c>
      <c r="R610">
        <f t="shared" ca="1" si="268"/>
        <v>2.2564415439646509E-12</v>
      </c>
      <c r="S610">
        <f t="shared" ca="1" si="287"/>
        <v>4.999999946448952E-4</v>
      </c>
      <c r="T610">
        <f t="shared" ca="1" si="288"/>
        <v>1</v>
      </c>
      <c r="U610">
        <f t="shared" ca="1" si="269"/>
        <v>51800.26683766341</v>
      </c>
      <c r="V610">
        <f t="shared" ca="1" si="270"/>
        <v>269361.38755584974</v>
      </c>
      <c r="W610">
        <f t="shared" ca="1" si="271"/>
        <v>2.5998695052916441</v>
      </c>
      <c r="X610">
        <f t="shared" ca="1" si="272"/>
        <v>1.8933671400629237E-4</v>
      </c>
      <c r="Y610">
        <f t="shared" ca="1" si="273"/>
        <v>52432.598837663412</v>
      </c>
      <c r="Z610">
        <f t="shared" ca="1" si="274"/>
        <v>52432.598837665239</v>
      </c>
      <c r="AA610">
        <f t="shared" ca="1" si="275"/>
        <v>2.2562304480281055E-12</v>
      </c>
      <c r="AB610">
        <f t="shared" ca="1" si="276"/>
        <v>-5.0000000192085281E-4</v>
      </c>
      <c r="AC610">
        <f t="shared" ca="1" si="277"/>
        <v>1</v>
      </c>
      <c r="AD610">
        <f ca="1">IF(V32="Supercritical",L610,IF(V32="Subcritical",U610,IF(AND(T610=1,AC610=1),IF((((F610)*(L610)^2)/2+(G610)*(L610)^3/3+(ABS(K610)^2)/($I$5*MAX(((F610)+(G610)*(L610))*(L610),0.000001)))&gt;=(((F610)*(U610)^2)/2+(G610)*(U610)^3/3+(ABS(K610)^2)/($I$5*MAX(((F610)+(G610)*(U610))*(U610),0.000001))),L610,U610),IF(T610=1,L610,IF(AC610=1,U610,MAX($D$16,POWER((ABS(K610)^2)/($I$5*MAX(F610,0.1)^2),1/3)))))))</f>
        <v>51800.26683766341</v>
      </c>
      <c r="AE610">
        <f t="shared" ca="1" si="278"/>
        <v>52432.598837663412</v>
      </c>
      <c r="AF610">
        <f t="shared" ca="1" si="279"/>
        <v>52432.598837665239</v>
      </c>
      <c r="AI610">
        <v>0</v>
      </c>
      <c r="AJ610">
        <v>0</v>
      </c>
      <c r="AK610">
        <f t="shared" si="280"/>
        <v>0</v>
      </c>
      <c r="AL610">
        <f t="shared" si="289"/>
        <v>0</v>
      </c>
      <c r="AM610">
        <f t="shared" ca="1" si="281"/>
        <v>2.6560383008097266E-7</v>
      </c>
      <c r="AN610" t="str">
        <f t="shared" ca="1" si="282"/>
        <v>Subcritical</v>
      </c>
      <c r="AO610">
        <f t="shared" ca="1" si="283"/>
        <v>2.2562304480281055E-12</v>
      </c>
    </row>
    <row r="611" spans="1:41" x14ac:dyDescent="0.35">
      <c r="A611">
        <v>462</v>
      </c>
      <c r="B611">
        <v>460.89499999999998</v>
      </c>
      <c r="C611">
        <v>616222.86600000004</v>
      </c>
      <c r="D611">
        <v>3097511.07</v>
      </c>
      <c r="E611">
        <v>632.33150000000001</v>
      </c>
      <c r="F611">
        <v>5.2</v>
      </c>
      <c r="G611">
        <v>0</v>
      </c>
      <c r="H611" t="s">
        <v>186</v>
      </c>
      <c r="I611">
        <v>2.7E-2</v>
      </c>
      <c r="J611">
        <f t="shared" si="284"/>
        <v>0.9989999999999668</v>
      </c>
      <c r="K611">
        <f t="shared" si="285"/>
        <v>51</v>
      </c>
      <c r="L611">
        <f t="shared" ca="1" si="286"/>
        <v>51797.843837663619</v>
      </c>
      <c r="M611">
        <f t="shared" ca="1" si="263"/>
        <v>269348.78795585083</v>
      </c>
      <c r="N611">
        <f t="shared" ca="1" si="264"/>
        <v>2.5998694991876676</v>
      </c>
      <c r="O611">
        <f t="shared" ca="1" si="265"/>
        <v>1.8934557080078435E-4</v>
      </c>
      <c r="P611">
        <f t="shared" ca="1" si="266"/>
        <v>52430.175337663619</v>
      </c>
      <c r="Q611">
        <f t="shared" ca="1" si="267"/>
        <v>52430.175337665445</v>
      </c>
      <c r="R611">
        <f t="shared" ca="1" si="268"/>
        <v>2.2564415439646509E-12</v>
      </c>
      <c r="S611">
        <f t="shared" ca="1" si="287"/>
        <v>5.0000000192085281E-4</v>
      </c>
      <c r="T611">
        <f t="shared" ca="1" si="288"/>
        <v>1</v>
      </c>
      <c r="U611">
        <f t="shared" ca="1" si="269"/>
        <v>51800.26683766341</v>
      </c>
      <c r="V611">
        <f t="shared" ca="1" si="270"/>
        <v>269361.38755584974</v>
      </c>
      <c r="W611">
        <f t="shared" ca="1" si="271"/>
        <v>2.5998695052916441</v>
      </c>
      <c r="X611">
        <f t="shared" ca="1" si="272"/>
        <v>1.8933671400629237E-4</v>
      </c>
      <c r="Y611">
        <f t="shared" ca="1" si="273"/>
        <v>52432.59833766341</v>
      </c>
      <c r="Z611">
        <f t="shared" ca="1" si="274"/>
        <v>52432.598337665237</v>
      </c>
      <c r="AA611">
        <f t="shared" ca="1" si="275"/>
        <v>2.2562304480281055E-12</v>
      </c>
      <c r="AB611">
        <f t="shared" ca="1" si="276"/>
        <v>-5.0000000192085281E-4</v>
      </c>
      <c r="AC611">
        <f t="shared" ca="1" si="277"/>
        <v>1</v>
      </c>
      <c r="AD611">
        <f ca="1">IF(V32="Supercritical",L611,IF(V32="Subcritical",U611,IF(AND(T611=1,AC611=1),IF((((F611)*(L611)^2)/2+(G611)*(L611)^3/3+(ABS(K611)^2)/($I$5*MAX(((F611)+(G611)*(L611))*(L611),0.000001)))&gt;=(((F611)*(U611)^2)/2+(G611)*(U611)^3/3+(ABS(K611)^2)/($I$5*MAX(((F611)+(G611)*(U611))*(U611),0.000001))),L611,U611),IF(T611=1,L611,IF(AC611=1,U611,MAX($D$16,POWER((ABS(K611)^2)/($I$5*MAX(F611,0.1)^2),1/3)))))))</f>
        <v>51800.26683766341</v>
      </c>
      <c r="AE611">
        <f t="shared" ca="1" si="278"/>
        <v>52432.59833766341</v>
      </c>
      <c r="AF611">
        <f t="shared" ca="1" si="279"/>
        <v>52432.598337665237</v>
      </c>
      <c r="AI611">
        <v>0</v>
      </c>
      <c r="AJ611">
        <v>0</v>
      </c>
      <c r="AK611">
        <f t="shared" si="280"/>
        <v>0</v>
      </c>
      <c r="AL611">
        <f t="shared" si="289"/>
        <v>0</v>
      </c>
      <c r="AM611">
        <f t="shared" ca="1" si="281"/>
        <v>2.6560383008097266E-7</v>
      </c>
      <c r="AN611" t="str">
        <f t="shared" ca="1" si="282"/>
        <v>Subcritical</v>
      </c>
      <c r="AO611">
        <f t="shared" ca="1" si="283"/>
        <v>2.2562304480281055E-12</v>
      </c>
    </row>
    <row r="612" spans="1:41" x14ac:dyDescent="0.35">
      <c r="A612">
        <v>463</v>
      </c>
      <c r="B612">
        <v>461.89600000000002</v>
      </c>
      <c r="C612">
        <v>616222.39199999999</v>
      </c>
      <c r="D612">
        <v>3097510.1889999998</v>
      </c>
      <c r="E612">
        <v>632.33100000000002</v>
      </c>
      <c r="F612">
        <v>5.2</v>
      </c>
      <c r="G612">
        <v>0</v>
      </c>
      <c r="H612" t="s">
        <v>186</v>
      </c>
      <c r="I612">
        <v>2.7E-2</v>
      </c>
      <c r="J612">
        <f t="shared" si="284"/>
        <v>1.0010000000000332</v>
      </c>
      <c r="K612">
        <f t="shared" si="285"/>
        <v>51</v>
      </c>
      <c r="L612">
        <f t="shared" ca="1" si="286"/>
        <v>51797.843837663619</v>
      </c>
      <c r="M612">
        <f t="shared" ca="1" si="263"/>
        <v>269348.78795585083</v>
      </c>
      <c r="N612">
        <f t="shared" ca="1" si="264"/>
        <v>2.5998694991876676</v>
      </c>
      <c r="O612">
        <f t="shared" ca="1" si="265"/>
        <v>1.8934557080078435E-4</v>
      </c>
      <c r="P612">
        <f t="shared" ca="1" si="266"/>
        <v>52430.174837663617</v>
      </c>
      <c r="Q612">
        <f t="shared" ca="1" si="267"/>
        <v>52430.174837665443</v>
      </c>
      <c r="R612">
        <f t="shared" ca="1" si="268"/>
        <v>2.2564415439646509E-12</v>
      </c>
      <c r="S612">
        <f t="shared" ca="1" si="287"/>
        <v>5.0000000192085281E-4</v>
      </c>
      <c r="T612">
        <f t="shared" ca="1" si="288"/>
        <v>1</v>
      </c>
      <c r="U612">
        <f t="shared" ca="1" si="269"/>
        <v>51800.26683766341</v>
      </c>
      <c r="V612">
        <f t="shared" ca="1" si="270"/>
        <v>269361.38755584974</v>
      </c>
      <c r="W612">
        <f t="shared" ca="1" si="271"/>
        <v>2.5998695052916441</v>
      </c>
      <c r="X612">
        <f t="shared" ca="1" si="272"/>
        <v>1.8933671400629237E-4</v>
      </c>
      <c r="Y612">
        <f t="shared" ca="1" si="273"/>
        <v>52432.597837663408</v>
      </c>
      <c r="Z612">
        <f t="shared" ca="1" si="274"/>
        <v>52432.597837665235</v>
      </c>
      <c r="AA612">
        <f t="shared" ca="1" si="275"/>
        <v>2.2562304480281055E-12</v>
      </c>
      <c r="AB612">
        <f t="shared" ca="1" si="276"/>
        <v>-5.0000000192085281E-4</v>
      </c>
      <c r="AC612">
        <f t="shared" ca="1" si="277"/>
        <v>1</v>
      </c>
      <c r="AD612">
        <f ca="1">IF(V32="Supercritical",L612,IF(V32="Subcritical",U612,IF(AND(T612=1,AC612=1),IF((((F612)*(L612)^2)/2+(G612)*(L612)^3/3+(ABS(K612)^2)/($I$5*MAX(((F612)+(G612)*(L612))*(L612),0.000001)))&gt;=(((F612)*(U612)^2)/2+(G612)*(U612)^3/3+(ABS(K612)^2)/($I$5*MAX(((F612)+(G612)*(U612))*(U612),0.000001))),L612,U612),IF(T612=1,L612,IF(AC612=1,U612,MAX($D$16,POWER((ABS(K612)^2)/($I$5*MAX(F612,0.1)^2),1/3)))))))</f>
        <v>51800.26683766341</v>
      </c>
      <c r="AE612">
        <f t="shared" ca="1" si="278"/>
        <v>52432.597837663408</v>
      </c>
      <c r="AF612">
        <f t="shared" ca="1" si="279"/>
        <v>52432.597837665235</v>
      </c>
      <c r="AI612">
        <v>0</v>
      </c>
      <c r="AJ612">
        <v>0</v>
      </c>
      <c r="AK612">
        <f t="shared" si="280"/>
        <v>0</v>
      </c>
      <c r="AL612">
        <f t="shared" si="289"/>
        <v>0</v>
      </c>
      <c r="AM612">
        <f t="shared" ca="1" si="281"/>
        <v>2.6560383008097266E-7</v>
      </c>
      <c r="AN612" t="str">
        <f t="shared" ca="1" si="282"/>
        <v>Subcritical</v>
      </c>
      <c r="AO612">
        <f t="shared" ca="1" si="283"/>
        <v>2.2562304480281055E-12</v>
      </c>
    </row>
    <row r="613" spans="1:41" x14ac:dyDescent="0.35">
      <c r="A613">
        <v>464</v>
      </c>
      <c r="B613">
        <v>462.89499999999998</v>
      </c>
      <c r="C613">
        <v>616221.91799999995</v>
      </c>
      <c r="D613">
        <v>3097509.3089999999</v>
      </c>
      <c r="E613">
        <v>632.33050000000003</v>
      </c>
      <c r="F613">
        <v>5.2</v>
      </c>
      <c r="G613">
        <v>0</v>
      </c>
      <c r="H613" t="s">
        <v>186</v>
      </c>
      <c r="I613">
        <v>0.05</v>
      </c>
      <c r="J613">
        <f t="shared" si="284"/>
        <v>0.9989999999999668</v>
      </c>
      <c r="K613">
        <f t="shared" si="285"/>
        <v>51</v>
      </c>
      <c r="L613">
        <f t="shared" ca="1" si="286"/>
        <v>51797.843837663619</v>
      </c>
      <c r="M613">
        <f t="shared" ca="1" si="263"/>
        <v>269348.78795585083</v>
      </c>
      <c r="N613">
        <f t="shared" ca="1" si="264"/>
        <v>2.5998694991876676</v>
      </c>
      <c r="O613">
        <f t="shared" ca="1" si="265"/>
        <v>1.8934557080078435E-4</v>
      </c>
      <c r="P613">
        <f t="shared" ca="1" si="266"/>
        <v>52430.174337663615</v>
      </c>
      <c r="Q613">
        <f t="shared" ca="1" si="267"/>
        <v>52430.174337665441</v>
      </c>
      <c r="R613">
        <f t="shared" ca="1" si="268"/>
        <v>2.2564415439646509E-12</v>
      </c>
      <c r="S613">
        <f t="shared" ca="1" si="287"/>
        <v>5.0000000192085281E-4</v>
      </c>
      <c r="T613">
        <f t="shared" ca="1" si="288"/>
        <v>1</v>
      </c>
      <c r="U613">
        <f t="shared" ca="1" si="269"/>
        <v>51800.26683766341</v>
      </c>
      <c r="V613">
        <f t="shared" ca="1" si="270"/>
        <v>269361.38755584974</v>
      </c>
      <c r="W613">
        <f t="shared" ca="1" si="271"/>
        <v>2.5998695052916441</v>
      </c>
      <c r="X613">
        <f t="shared" ca="1" si="272"/>
        <v>1.8933671400629237E-4</v>
      </c>
      <c r="Y613">
        <f t="shared" ca="1" si="273"/>
        <v>52432.597337663407</v>
      </c>
      <c r="Z613">
        <f t="shared" ca="1" si="274"/>
        <v>52432.597337665233</v>
      </c>
      <c r="AA613">
        <f t="shared" ca="1" si="275"/>
        <v>2.2562304480281055E-12</v>
      </c>
      <c r="AB613">
        <f t="shared" ca="1" si="276"/>
        <v>-4.999999946448952E-4</v>
      </c>
      <c r="AC613">
        <f t="shared" ca="1" si="277"/>
        <v>1</v>
      </c>
      <c r="AD613">
        <f ca="1">IF(V32="Supercritical",L613,IF(V32="Subcritical",U613,IF(AND(T613=1,AC613=1),IF((((F613)*(L613)^2)/2+(G613)*(L613)^3/3+(ABS(K613)^2)/($I$5*MAX(((F613)+(G613)*(L613))*(L613),0.000001)))&gt;=(((F613)*(U613)^2)/2+(G613)*(U613)^3/3+(ABS(K613)^2)/($I$5*MAX(((F613)+(G613)*(U613))*(U613),0.000001))),L613,U613),IF(T613=1,L613,IF(AC613=1,U613,MAX($D$16,POWER((ABS(K613)^2)/($I$5*MAX(F613,0.1)^2),1/3)))))))</f>
        <v>51800.26683766341</v>
      </c>
      <c r="AE613">
        <f t="shared" ca="1" si="278"/>
        <v>52432.597337663407</v>
      </c>
      <c r="AF613">
        <f t="shared" ca="1" si="279"/>
        <v>52432.597337665233</v>
      </c>
      <c r="AI613">
        <v>0</v>
      </c>
      <c r="AJ613">
        <v>0</v>
      </c>
      <c r="AK613">
        <f t="shared" si="280"/>
        <v>0</v>
      </c>
      <c r="AL613">
        <f t="shared" si="289"/>
        <v>0</v>
      </c>
      <c r="AM613">
        <f t="shared" ca="1" si="281"/>
        <v>2.6560383008097266E-7</v>
      </c>
      <c r="AN613" t="str">
        <f t="shared" ca="1" si="282"/>
        <v>Subcritical</v>
      </c>
      <c r="AO613">
        <f t="shared" ca="1" si="283"/>
        <v>2.2562304480281055E-12</v>
      </c>
    </row>
    <row r="614" spans="1:41" x14ac:dyDescent="0.35">
      <c r="A614">
        <v>465</v>
      </c>
      <c r="B614">
        <v>463.89499999999998</v>
      </c>
      <c r="C614">
        <v>616221.44299999997</v>
      </c>
      <c r="D614">
        <v>3097508.429</v>
      </c>
      <c r="E614">
        <v>632.33000000000004</v>
      </c>
      <c r="F614">
        <v>5.2</v>
      </c>
      <c r="G614">
        <v>0</v>
      </c>
      <c r="H614" t="s">
        <v>186</v>
      </c>
      <c r="I614">
        <v>7.8E-2</v>
      </c>
      <c r="J614">
        <f t="shared" si="284"/>
        <v>1</v>
      </c>
      <c r="K614">
        <f t="shared" si="285"/>
        <v>51</v>
      </c>
      <c r="L614">
        <f t="shared" ca="1" si="286"/>
        <v>51797.843837663619</v>
      </c>
      <c r="M614">
        <f t="shared" ca="1" si="263"/>
        <v>269348.78795585083</v>
      </c>
      <c r="N614">
        <f t="shared" ca="1" si="264"/>
        <v>2.5998694991876676</v>
      </c>
      <c r="O614">
        <f t="shared" ca="1" si="265"/>
        <v>1.8934557080078435E-4</v>
      </c>
      <c r="P614">
        <f t="shared" ca="1" si="266"/>
        <v>52430.17383766362</v>
      </c>
      <c r="Q614">
        <f t="shared" ca="1" si="267"/>
        <v>52430.173837665447</v>
      </c>
      <c r="R614">
        <f t="shared" ca="1" si="268"/>
        <v>2.2564415439646509E-12</v>
      </c>
      <c r="S614">
        <f t="shared" ca="1" si="287"/>
        <v>4.999999946448952E-4</v>
      </c>
      <c r="T614">
        <f t="shared" ca="1" si="288"/>
        <v>1</v>
      </c>
      <c r="U614">
        <f t="shared" ca="1" si="269"/>
        <v>51800.26683766341</v>
      </c>
      <c r="V614">
        <f t="shared" ca="1" si="270"/>
        <v>269361.38755584974</v>
      </c>
      <c r="W614">
        <f t="shared" ca="1" si="271"/>
        <v>2.5998695052916441</v>
      </c>
      <c r="X614">
        <f t="shared" ca="1" si="272"/>
        <v>1.8933671400629237E-4</v>
      </c>
      <c r="Y614">
        <f t="shared" ca="1" si="273"/>
        <v>52432.596837663412</v>
      </c>
      <c r="Z614">
        <f t="shared" ca="1" si="274"/>
        <v>52432.596837665238</v>
      </c>
      <c r="AA614">
        <f t="shared" ca="1" si="275"/>
        <v>2.2562304480281055E-12</v>
      </c>
      <c r="AB614">
        <f t="shared" ca="1" si="276"/>
        <v>-5.0000000192085281E-4</v>
      </c>
      <c r="AC614">
        <f t="shared" ca="1" si="277"/>
        <v>1</v>
      </c>
      <c r="AD614">
        <f ca="1">IF(V32="Supercritical",L614,IF(V32="Subcritical",U614,IF(AND(T614=1,AC614=1),IF((((F614)*(L614)^2)/2+(G614)*(L614)^3/3+(ABS(K614)^2)/($I$5*MAX(((F614)+(G614)*(L614))*(L614),0.000001)))&gt;=(((F614)*(U614)^2)/2+(G614)*(U614)^3/3+(ABS(K614)^2)/($I$5*MAX(((F614)+(G614)*(U614))*(U614),0.000001))),L614,U614),IF(T614=1,L614,IF(AC614=1,U614,MAX($D$16,POWER((ABS(K614)^2)/($I$5*MAX(F614,0.1)^2),1/3)))))))</f>
        <v>51800.26683766341</v>
      </c>
      <c r="AE614">
        <f t="shared" ca="1" si="278"/>
        <v>52432.596837663412</v>
      </c>
      <c r="AF614">
        <f t="shared" ca="1" si="279"/>
        <v>52432.596837665238</v>
      </c>
      <c r="AI614">
        <v>0</v>
      </c>
      <c r="AJ614">
        <v>0</v>
      </c>
      <c r="AK614">
        <f t="shared" si="280"/>
        <v>0</v>
      </c>
      <c r="AL614">
        <f t="shared" si="289"/>
        <v>0</v>
      </c>
      <c r="AM614">
        <f t="shared" ca="1" si="281"/>
        <v>2.6560383008097266E-7</v>
      </c>
      <c r="AN614" t="str">
        <f t="shared" ca="1" si="282"/>
        <v>Subcritical</v>
      </c>
      <c r="AO614">
        <f t="shared" ca="1" si="283"/>
        <v>2.2562304480281055E-12</v>
      </c>
    </row>
    <row r="615" spans="1:41" x14ac:dyDescent="0.35">
      <c r="A615">
        <v>466</v>
      </c>
      <c r="B615">
        <v>464.89600000000002</v>
      </c>
      <c r="C615">
        <v>616220.96900000004</v>
      </c>
      <c r="D615">
        <v>3097507.548</v>
      </c>
      <c r="E615">
        <v>632.32950000000005</v>
      </c>
      <c r="F615">
        <v>5.2</v>
      </c>
      <c r="G615">
        <v>0</v>
      </c>
      <c r="H615" t="s">
        <v>186</v>
      </c>
      <c r="I615">
        <v>2.7E-2</v>
      </c>
      <c r="J615">
        <f t="shared" si="284"/>
        <v>1.0010000000000332</v>
      </c>
      <c r="K615">
        <f t="shared" si="285"/>
        <v>51</v>
      </c>
      <c r="L615">
        <f t="shared" ca="1" si="286"/>
        <v>51797.843837663619</v>
      </c>
      <c r="M615">
        <f t="shared" ca="1" si="263"/>
        <v>269348.78795585083</v>
      </c>
      <c r="N615">
        <f t="shared" ca="1" si="264"/>
        <v>2.5998694991876676</v>
      </c>
      <c r="O615">
        <f t="shared" ca="1" si="265"/>
        <v>1.8934557080078435E-4</v>
      </c>
      <c r="P615">
        <f t="shared" ca="1" si="266"/>
        <v>52430.173337663618</v>
      </c>
      <c r="Q615">
        <f t="shared" ca="1" si="267"/>
        <v>52430.173337665445</v>
      </c>
      <c r="R615">
        <f t="shared" ca="1" si="268"/>
        <v>2.2564415439646509E-12</v>
      </c>
      <c r="S615">
        <f t="shared" ca="1" si="287"/>
        <v>5.0000000192085281E-4</v>
      </c>
      <c r="T615">
        <f t="shared" ca="1" si="288"/>
        <v>1</v>
      </c>
      <c r="U615">
        <f t="shared" ca="1" si="269"/>
        <v>51800.26683766341</v>
      </c>
      <c r="V615">
        <f t="shared" ca="1" si="270"/>
        <v>269361.38755584974</v>
      </c>
      <c r="W615">
        <f t="shared" ca="1" si="271"/>
        <v>2.5998695052916441</v>
      </c>
      <c r="X615">
        <f t="shared" ca="1" si="272"/>
        <v>1.8933671400629237E-4</v>
      </c>
      <c r="Y615">
        <f t="shared" ca="1" si="273"/>
        <v>52432.59633766341</v>
      </c>
      <c r="Z615">
        <f t="shared" ca="1" si="274"/>
        <v>52432.596337665236</v>
      </c>
      <c r="AA615">
        <f t="shared" ca="1" si="275"/>
        <v>2.2562304480281055E-12</v>
      </c>
      <c r="AB615">
        <f t="shared" ca="1" si="276"/>
        <v>-5.0000000192085281E-4</v>
      </c>
      <c r="AC615">
        <f t="shared" ca="1" si="277"/>
        <v>1</v>
      </c>
      <c r="AD615">
        <f ca="1">IF(V32="Supercritical",L615,IF(V32="Subcritical",U615,IF(AND(T615=1,AC615=1),IF((((F615)*(L615)^2)/2+(G615)*(L615)^3/3+(ABS(K615)^2)/($I$5*MAX(((F615)+(G615)*(L615))*(L615),0.000001)))&gt;=(((F615)*(U615)^2)/2+(G615)*(U615)^3/3+(ABS(K615)^2)/($I$5*MAX(((F615)+(G615)*(U615))*(U615),0.000001))),L615,U615),IF(T615=1,L615,IF(AC615=1,U615,MAX($D$16,POWER((ABS(K615)^2)/($I$5*MAX(F615,0.1)^2),1/3)))))))</f>
        <v>51800.26683766341</v>
      </c>
      <c r="AE615">
        <f t="shared" ca="1" si="278"/>
        <v>52432.59633766341</v>
      </c>
      <c r="AF615">
        <f t="shared" ca="1" si="279"/>
        <v>52432.596337665236</v>
      </c>
      <c r="AI615">
        <v>0</v>
      </c>
      <c r="AJ615">
        <v>0</v>
      </c>
      <c r="AK615">
        <f t="shared" si="280"/>
        <v>0</v>
      </c>
      <c r="AL615">
        <f t="shared" si="289"/>
        <v>0</v>
      </c>
      <c r="AM615">
        <f t="shared" ca="1" si="281"/>
        <v>2.6560383008097266E-7</v>
      </c>
      <c r="AN615" t="str">
        <f t="shared" ca="1" si="282"/>
        <v>Subcritical</v>
      </c>
      <c r="AO615">
        <f t="shared" ca="1" si="283"/>
        <v>2.2562304480281055E-12</v>
      </c>
    </row>
    <row r="616" spans="1:41" x14ac:dyDescent="0.35">
      <c r="A616">
        <v>467</v>
      </c>
      <c r="B616">
        <v>465.89499999999998</v>
      </c>
      <c r="C616">
        <v>616220.495</v>
      </c>
      <c r="D616">
        <v>3097506.6680000001</v>
      </c>
      <c r="E616">
        <v>632.32899999999995</v>
      </c>
      <c r="F616">
        <v>5.2</v>
      </c>
      <c r="G616">
        <v>0</v>
      </c>
      <c r="H616" t="s">
        <v>186</v>
      </c>
      <c r="I616">
        <v>2.7E-2</v>
      </c>
      <c r="J616">
        <f t="shared" si="284"/>
        <v>0.9989999999999668</v>
      </c>
      <c r="K616">
        <f t="shared" si="285"/>
        <v>51</v>
      </c>
      <c r="L616">
        <f t="shared" ca="1" si="286"/>
        <v>51797.843837663619</v>
      </c>
      <c r="M616">
        <f t="shared" ca="1" si="263"/>
        <v>269348.78795585083</v>
      </c>
      <c r="N616">
        <f t="shared" ca="1" si="264"/>
        <v>2.5998694991876676</v>
      </c>
      <c r="O616">
        <f t="shared" ca="1" si="265"/>
        <v>1.8934557080078435E-4</v>
      </c>
      <c r="P616">
        <f t="shared" ca="1" si="266"/>
        <v>52430.172837663617</v>
      </c>
      <c r="Q616">
        <f t="shared" ca="1" si="267"/>
        <v>52430.172837665443</v>
      </c>
      <c r="R616">
        <f t="shared" ca="1" si="268"/>
        <v>2.2564415439646509E-12</v>
      </c>
      <c r="S616">
        <f t="shared" ca="1" si="287"/>
        <v>5.0000000192085281E-4</v>
      </c>
      <c r="T616">
        <f t="shared" ca="1" si="288"/>
        <v>1</v>
      </c>
      <c r="U616">
        <f t="shared" ca="1" si="269"/>
        <v>51800.26683766341</v>
      </c>
      <c r="V616">
        <f t="shared" ca="1" si="270"/>
        <v>269361.38755584974</v>
      </c>
      <c r="W616">
        <f t="shared" ca="1" si="271"/>
        <v>2.5998695052916441</v>
      </c>
      <c r="X616">
        <f t="shared" ca="1" si="272"/>
        <v>1.8933671400629237E-4</v>
      </c>
      <c r="Y616">
        <f t="shared" ca="1" si="273"/>
        <v>52432.595837663408</v>
      </c>
      <c r="Z616">
        <f t="shared" ca="1" si="274"/>
        <v>52432.595837665234</v>
      </c>
      <c r="AA616">
        <f t="shared" ca="1" si="275"/>
        <v>2.2562304480281055E-12</v>
      </c>
      <c r="AB616">
        <f t="shared" ca="1" si="276"/>
        <v>-4.999999946448952E-4</v>
      </c>
      <c r="AC616">
        <f t="shared" ca="1" si="277"/>
        <v>1</v>
      </c>
      <c r="AD616">
        <f ca="1">IF(V32="Supercritical",L616,IF(V32="Subcritical",U616,IF(AND(T616=1,AC616=1),IF((((F616)*(L616)^2)/2+(G616)*(L616)^3/3+(ABS(K616)^2)/($I$5*MAX(((F616)+(G616)*(L616))*(L616),0.000001)))&gt;=(((F616)*(U616)^2)/2+(G616)*(U616)^3/3+(ABS(K616)^2)/($I$5*MAX(((F616)+(G616)*(U616))*(U616),0.000001))),L616,U616),IF(T616=1,L616,IF(AC616=1,U616,MAX($D$16,POWER((ABS(K616)^2)/($I$5*MAX(F616,0.1)^2),1/3)))))))</f>
        <v>51800.26683766341</v>
      </c>
      <c r="AE616">
        <f t="shared" ca="1" si="278"/>
        <v>52432.595837663408</v>
      </c>
      <c r="AF616">
        <f t="shared" ca="1" si="279"/>
        <v>52432.595837665234</v>
      </c>
      <c r="AI616">
        <v>0</v>
      </c>
      <c r="AJ616">
        <v>0</v>
      </c>
      <c r="AK616">
        <f t="shared" si="280"/>
        <v>0</v>
      </c>
      <c r="AL616">
        <f t="shared" si="289"/>
        <v>0</v>
      </c>
      <c r="AM616">
        <f t="shared" ca="1" si="281"/>
        <v>2.6560383008097266E-7</v>
      </c>
      <c r="AN616" t="str">
        <f t="shared" ca="1" si="282"/>
        <v>Subcritical</v>
      </c>
      <c r="AO616">
        <f t="shared" ca="1" si="283"/>
        <v>2.2562304480281055E-12</v>
      </c>
    </row>
    <row r="617" spans="1:41" x14ac:dyDescent="0.35">
      <c r="A617">
        <v>468</v>
      </c>
      <c r="B617">
        <v>466.89600000000002</v>
      </c>
      <c r="C617">
        <v>616220.02099999995</v>
      </c>
      <c r="D617">
        <v>3097505.787</v>
      </c>
      <c r="E617">
        <v>632.32849999999996</v>
      </c>
      <c r="F617">
        <v>5.2</v>
      </c>
      <c r="G617">
        <v>0</v>
      </c>
      <c r="H617" t="s">
        <v>186</v>
      </c>
      <c r="I617">
        <v>7.8E-2</v>
      </c>
      <c r="J617">
        <f t="shared" si="284"/>
        <v>1.0010000000000332</v>
      </c>
      <c r="K617">
        <f t="shared" si="285"/>
        <v>51</v>
      </c>
      <c r="L617">
        <f t="shared" ca="1" si="286"/>
        <v>51797.843837663619</v>
      </c>
      <c r="M617">
        <f t="shared" ca="1" si="263"/>
        <v>269348.78795585083</v>
      </c>
      <c r="N617">
        <f t="shared" ca="1" si="264"/>
        <v>2.5998694991876676</v>
      </c>
      <c r="O617">
        <f t="shared" ca="1" si="265"/>
        <v>1.8934557080078435E-4</v>
      </c>
      <c r="P617">
        <f t="shared" ca="1" si="266"/>
        <v>52430.172337663622</v>
      </c>
      <c r="Q617">
        <f t="shared" ca="1" si="267"/>
        <v>52430.172337665448</v>
      </c>
      <c r="R617">
        <f t="shared" ca="1" si="268"/>
        <v>2.2564415439646509E-12</v>
      </c>
      <c r="S617">
        <f t="shared" ca="1" si="287"/>
        <v>4.999999946448952E-4</v>
      </c>
      <c r="T617">
        <f t="shared" ca="1" si="288"/>
        <v>1</v>
      </c>
      <c r="U617">
        <f t="shared" ca="1" si="269"/>
        <v>51800.26683766341</v>
      </c>
      <c r="V617">
        <f t="shared" ca="1" si="270"/>
        <v>269361.38755584974</v>
      </c>
      <c r="W617">
        <f t="shared" ca="1" si="271"/>
        <v>2.5998695052916441</v>
      </c>
      <c r="X617">
        <f t="shared" ca="1" si="272"/>
        <v>1.8933671400629237E-4</v>
      </c>
      <c r="Y617">
        <f t="shared" ca="1" si="273"/>
        <v>52432.595337663413</v>
      </c>
      <c r="Z617">
        <f t="shared" ca="1" si="274"/>
        <v>52432.59533766524</v>
      </c>
      <c r="AA617">
        <f t="shared" ca="1" si="275"/>
        <v>2.2562304480281055E-12</v>
      </c>
      <c r="AB617">
        <f t="shared" ca="1" si="276"/>
        <v>-5.0000000192085281E-4</v>
      </c>
      <c r="AC617">
        <f t="shared" ca="1" si="277"/>
        <v>1</v>
      </c>
      <c r="AD617">
        <f ca="1">IF(V32="Supercritical",L617,IF(V32="Subcritical",U617,IF(AND(T617=1,AC617=1),IF((((F617)*(L617)^2)/2+(G617)*(L617)^3/3+(ABS(K617)^2)/($I$5*MAX(((F617)+(G617)*(L617))*(L617),0.000001)))&gt;=(((F617)*(U617)^2)/2+(G617)*(U617)^3/3+(ABS(K617)^2)/($I$5*MAX(((F617)+(G617)*(U617))*(U617),0.000001))),L617,U617),IF(T617=1,L617,IF(AC617=1,U617,MAX($D$16,POWER((ABS(K617)^2)/($I$5*MAX(F617,0.1)^2),1/3)))))))</f>
        <v>51800.26683766341</v>
      </c>
      <c r="AE617">
        <f t="shared" ca="1" si="278"/>
        <v>52432.595337663413</v>
      </c>
      <c r="AF617">
        <f t="shared" ca="1" si="279"/>
        <v>52432.59533766524</v>
      </c>
      <c r="AI617">
        <v>0</v>
      </c>
      <c r="AJ617">
        <v>0</v>
      </c>
      <c r="AK617">
        <f t="shared" si="280"/>
        <v>0</v>
      </c>
      <c r="AL617">
        <f t="shared" si="289"/>
        <v>0</v>
      </c>
      <c r="AM617">
        <f t="shared" ca="1" si="281"/>
        <v>2.6560383008097266E-7</v>
      </c>
      <c r="AN617" t="str">
        <f t="shared" ca="1" si="282"/>
        <v>Subcritical</v>
      </c>
      <c r="AO617">
        <f t="shared" ca="1" si="283"/>
        <v>2.2562304480281055E-12</v>
      </c>
    </row>
    <row r="618" spans="1:41" x14ac:dyDescent="0.35">
      <c r="A618">
        <v>469</v>
      </c>
      <c r="B618">
        <v>467.89600000000002</v>
      </c>
      <c r="C618">
        <v>616219.54599999997</v>
      </c>
      <c r="D618">
        <v>3097504.9070000001</v>
      </c>
      <c r="E618">
        <v>632.32799999999997</v>
      </c>
      <c r="F618">
        <v>5.2</v>
      </c>
      <c r="G618">
        <v>0</v>
      </c>
      <c r="H618" t="s">
        <v>186</v>
      </c>
      <c r="I618">
        <v>0.05</v>
      </c>
      <c r="J618">
        <f t="shared" si="284"/>
        <v>1</v>
      </c>
      <c r="K618">
        <f t="shared" si="285"/>
        <v>51</v>
      </c>
      <c r="L618">
        <f t="shared" ca="1" si="286"/>
        <v>51797.843837663619</v>
      </c>
      <c r="M618">
        <f t="shared" ca="1" si="263"/>
        <v>269348.78795585083</v>
      </c>
      <c r="N618">
        <f t="shared" ca="1" si="264"/>
        <v>2.5998694991876676</v>
      </c>
      <c r="O618">
        <f t="shared" ca="1" si="265"/>
        <v>1.8934557080078435E-4</v>
      </c>
      <c r="P618">
        <f t="shared" ca="1" si="266"/>
        <v>52430.17183766362</v>
      </c>
      <c r="Q618">
        <f t="shared" ca="1" si="267"/>
        <v>52430.171837665446</v>
      </c>
      <c r="R618">
        <f t="shared" ca="1" si="268"/>
        <v>2.2564415439646509E-12</v>
      </c>
      <c r="S618">
        <f t="shared" ca="1" si="287"/>
        <v>5.0000000192085281E-4</v>
      </c>
      <c r="T618">
        <f t="shared" ca="1" si="288"/>
        <v>1</v>
      </c>
      <c r="U618">
        <f t="shared" ca="1" si="269"/>
        <v>51800.26683766341</v>
      </c>
      <c r="V618">
        <f t="shared" ca="1" si="270"/>
        <v>269361.38755584974</v>
      </c>
      <c r="W618">
        <f t="shared" ca="1" si="271"/>
        <v>2.5998695052916441</v>
      </c>
      <c r="X618">
        <f t="shared" ca="1" si="272"/>
        <v>1.8933671400629237E-4</v>
      </c>
      <c r="Y618">
        <f t="shared" ca="1" si="273"/>
        <v>52432.594837663411</v>
      </c>
      <c r="Z618">
        <f t="shared" ca="1" si="274"/>
        <v>52432.594837665238</v>
      </c>
      <c r="AA618">
        <f t="shared" ca="1" si="275"/>
        <v>2.2562304480281055E-12</v>
      </c>
      <c r="AB618">
        <f t="shared" ca="1" si="276"/>
        <v>-5.0000000192085281E-4</v>
      </c>
      <c r="AC618">
        <f t="shared" ca="1" si="277"/>
        <v>1</v>
      </c>
      <c r="AD618">
        <f ca="1">IF(V32="Supercritical",L618,IF(V32="Subcritical",U618,IF(AND(T618=1,AC618=1),IF((((F618)*(L618)^2)/2+(G618)*(L618)^3/3+(ABS(K618)^2)/($I$5*MAX(((F618)+(G618)*(L618))*(L618),0.000001)))&gt;=(((F618)*(U618)^2)/2+(G618)*(U618)^3/3+(ABS(K618)^2)/($I$5*MAX(((F618)+(G618)*(U618))*(U618),0.000001))),L618,U618),IF(T618=1,L618,IF(AC618=1,U618,MAX($D$16,POWER((ABS(K618)^2)/($I$5*MAX(F618,0.1)^2),1/3)))))))</f>
        <v>51800.26683766341</v>
      </c>
      <c r="AE618">
        <f t="shared" ca="1" si="278"/>
        <v>52432.594837663411</v>
      </c>
      <c r="AF618">
        <f t="shared" ca="1" si="279"/>
        <v>52432.594837665238</v>
      </c>
      <c r="AI618">
        <v>0</v>
      </c>
      <c r="AJ618">
        <v>0</v>
      </c>
      <c r="AK618">
        <f t="shared" si="280"/>
        <v>0</v>
      </c>
      <c r="AL618">
        <f t="shared" si="289"/>
        <v>0</v>
      </c>
      <c r="AM618">
        <f t="shared" ca="1" si="281"/>
        <v>2.6560383008097266E-7</v>
      </c>
      <c r="AN618" t="str">
        <f t="shared" ca="1" si="282"/>
        <v>Subcritical</v>
      </c>
      <c r="AO618">
        <f t="shared" ca="1" si="283"/>
        <v>2.2562304480281055E-12</v>
      </c>
    </row>
    <row r="619" spans="1:41" x14ac:dyDescent="0.35">
      <c r="A619">
        <v>470</v>
      </c>
      <c r="B619">
        <v>468.89499999999998</v>
      </c>
      <c r="C619">
        <v>616219.07200000004</v>
      </c>
      <c r="D619">
        <v>3097504.0269999998</v>
      </c>
      <c r="E619">
        <v>632.32749999999999</v>
      </c>
      <c r="F619">
        <v>5.2</v>
      </c>
      <c r="G619">
        <v>0</v>
      </c>
      <c r="H619" t="s">
        <v>186</v>
      </c>
      <c r="I619">
        <v>2.7E-2</v>
      </c>
      <c r="J619">
        <f t="shared" si="284"/>
        <v>0.9989999999999668</v>
      </c>
      <c r="K619">
        <f t="shared" si="285"/>
        <v>51</v>
      </c>
      <c r="L619">
        <f t="shared" ca="1" si="286"/>
        <v>51797.843837663619</v>
      </c>
      <c r="M619">
        <f t="shared" ca="1" si="263"/>
        <v>269348.78795585083</v>
      </c>
      <c r="N619">
        <f t="shared" ca="1" si="264"/>
        <v>2.5998694991876676</v>
      </c>
      <c r="O619">
        <f t="shared" ca="1" si="265"/>
        <v>1.8934557080078435E-4</v>
      </c>
      <c r="P619">
        <f t="shared" ca="1" si="266"/>
        <v>52430.171337663618</v>
      </c>
      <c r="Q619">
        <f t="shared" ca="1" si="267"/>
        <v>52430.171337665444</v>
      </c>
      <c r="R619">
        <f t="shared" ca="1" si="268"/>
        <v>2.2564415439646509E-12</v>
      </c>
      <c r="S619">
        <f t="shared" ca="1" si="287"/>
        <v>5.0000000192085281E-4</v>
      </c>
      <c r="T619">
        <f t="shared" ca="1" si="288"/>
        <v>1</v>
      </c>
      <c r="U619">
        <f t="shared" ca="1" si="269"/>
        <v>51800.26683766341</v>
      </c>
      <c r="V619">
        <f t="shared" ca="1" si="270"/>
        <v>269361.38755584974</v>
      </c>
      <c r="W619">
        <f t="shared" ca="1" si="271"/>
        <v>2.5998695052916441</v>
      </c>
      <c r="X619">
        <f t="shared" ca="1" si="272"/>
        <v>1.8933671400629237E-4</v>
      </c>
      <c r="Y619">
        <f t="shared" ca="1" si="273"/>
        <v>52432.59433766341</v>
      </c>
      <c r="Z619">
        <f t="shared" ca="1" si="274"/>
        <v>52432.594337665236</v>
      </c>
      <c r="AA619">
        <f t="shared" ca="1" si="275"/>
        <v>2.2562304480281055E-12</v>
      </c>
      <c r="AB619">
        <f t="shared" ca="1" si="276"/>
        <v>-5.0000000192085281E-4</v>
      </c>
      <c r="AC619">
        <f t="shared" ca="1" si="277"/>
        <v>1</v>
      </c>
      <c r="AD619">
        <f ca="1">IF(V32="Supercritical",L619,IF(V32="Subcritical",U619,IF(AND(T619=1,AC619=1),IF((((F619)*(L619)^2)/2+(G619)*(L619)^3/3+(ABS(K619)^2)/($I$5*MAX(((F619)+(G619)*(L619))*(L619),0.000001)))&gt;=(((F619)*(U619)^2)/2+(G619)*(U619)^3/3+(ABS(K619)^2)/($I$5*MAX(((F619)+(G619)*(U619))*(U619),0.000001))),L619,U619),IF(T619=1,L619,IF(AC619=1,U619,MAX($D$16,POWER((ABS(K619)^2)/($I$5*MAX(F619,0.1)^2),1/3)))))))</f>
        <v>51800.26683766341</v>
      </c>
      <c r="AE619">
        <f t="shared" ca="1" si="278"/>
        <v>52432.59433766341</v>
      </c>
      <c r="AF619">
        <f t="shared" ca="1" si="279"/>
        <v>52432.594337665236</v>
      </c>
      <c r="AI619">
        <v>0</v>
      </c>
      <c r="AJ619">
        <v>0</v>
      </c>
      <c r="AK619">
        <f t="shared" si="280"/>
        <v>0</v>
      </c>
      <c r="AL619">
        <f t="shared" si="289"/>
        <v>0</v>
      </c>
      <c r="AM619">
        <f t="shared" ca="1" si="281"/>
        <v>2.6560383008097266E-7</v>
      </c>
      <c r="AN619" t="str">
        <f t="shared" ca="1" si="282"/>
        <v>Subcritical</v>
      </c>
      <c r="AO619">
        <f t="shared" ca="1" si="283"/>
        <v>2.2562304480281055E-12</v>
      </c>
    </row>
    <row r="620" spans="1:41" x14ac:dyDescent="0.35">
      <c r="A620">
        <v>471</v>
      </c>
      <c r="B620">
        <v>469.89600000000002</v>
      </c>
      <c r="C620">
        <v>616218.598</v>
      </c>
      <c r="D620">
        <v>3097503.1460000002</v>
      </c>
      <c r="E620">
        <v>632.327</v>
      </c>
      <c r="F620">
        <v>5.2</v>
      </c>
      <c r="G620">
        <v>0</v>
      </c>
      <c r="H620" t="s">
        <v>186</v>
      </c>
      <c r="I620">
        <v>2.7E-2</v>
      </c>
      <c r="J620">
        <f t="shared" si="284"/>
        <v>1.0010000000000332</v>
      </c>
      <c r="K620">
        <f t="shared" si="285"/>
        <v>51</v>
      </c>
      <c r="L620">
        <f t="shared" ca="1" si="286"/>
        <v>51797.843837663619</v>
      </c>
      <c r="M620">
        <f t="shared" ca="1" si="263"/>
        <v>269348.78795585083</v>
      </c>
      <c r="N620">
        <f t="shared" ca="1" si="264"/>
        <v>2.5998694991876676</v>
      </c>
      <c r="O620">
        <f t="shared" ca="1" si="265"/>
        <v>1.8934557080078435E-4</v>
      </c>
      <c r="P620">
        <f t="shared" ca="1" si="266"/>
        <v>52430.170837663616</v>
      </c>
      <c r="Q620">
        <f t="shared" ca="1" si="267"/>
        <v>52430.170837665442</v>
      </c>
      <c r="R620">
        <f t="shared" ca="1" si="268"/>
        <v>2.2564415439646509E-12</v>
      </c>
      <c r="S620">
        <f t="shared" ca="1" si="287"/>
        <v>5.0000000192085281E-4</v>
      </c>
      <c r="T620">
        <f t="shared" ca="1" si="288"/>
        <v>1</v>
      </c>
      <c r="U620">
        <f t="shared" ca="1" si="269"/>
        <v>51800.26683766341</v>
      </c>
      <c r="V620">
        <f t="shared" ca="1" si="270"/>
        <v>269361.38755584974</v>
      </c>
      <c r="W620">
        <f t="shared" ca="1" si="271"/>
        <v>2.5998695052916441</v>
      </c>
      <c r="X620">
        <f t="shared" ca="1" si="272"/>
        <v>1.8933671400629237E-4</v>
      </c>
      <c r="Y620">
        <f t="shared" ca="1" si="273"/>
        <v>52432.593837663408</v>
      </c>
      <c r="Z620">
        <f t="shared" ca="1" si="274"/>
        <v>52432.593837665234</v>
      </c>
      <c r="AA620">
        <f t="shared" ca="1" si="275"/>
        <v>2.2562304480281055E-12</v>
      </c>
      <c r="AB620">
        <f t="shared" ca="1" si="276"/>
        <v>-4.999999946448952E-4</v>
      </c>
      <c r="AC620">
        <f t="shared" ca="1" si="277"/>
        <v>1</v>
      </c>
      <c r="AD620">
        <f ca="1">IF(V32="Supercritical",L620,IF(V32="Subcritical",U620,IF(AND(T620=1,AC620=1),IF((((F620)*(L620)^2)/2+(G620)*(L620)^3/3+(ABS(K620)^2)/($I$5*MAX(((F620)+(G620)*(L620))*(L620),0.000001)))&gt;=(((F620)*(U620)^2)/2+(G620)*(U620)^3/3+(ABS(K620)^2)/($I$5*MAX(((F620)+(G620)*(U620))*(U620),0.000001))),L620,U620),IF(T620=1,L620,IF(AC620=1,U620,MAX($D$16,POWER((ABS(K620)^2)/($I$5*MAX(F620,0.1)^2),1/3)))))))</f>
        <v>51800.26683766341</v>
      </c>
      <c r="AE620">
        <f t="shared" ca="1" si="278"/>
        <v>52432.593837663408</v>
      </c>
      <c r="AF620">
        <f t="shared" ca="1" si="279"/>
        <v>52432.593837665234</v>
      </c>
      <c r="AI620">
        <v>0</v>
      </c>
      <c r="AJ620">
        <v>0</v>
      </c>
      <c r="AK620">
        <f t="shared" si="280"/>
        <v>0</v>
      </c>
      <c r="AL620">
        <f t="shared" si="289"/>
        <v>0</v>
      </c>
      <c r="AM620">
        <f t="shared" ca="1" si="281"/>
        <v>2.6560383008097266E-7</v>
      </c>
      <c r="AN620" t="str">
        <f t="shared" ca="1" si="282"/>
        <v>Subcritical</v>
      </c>
      <c r="AO620">
        <f t="shared" ca="1" si="283"/>
        <v>2.2562304480281055E-12</v>
      </c>
    </row>
    <row r="621" spans="1:41" x14ac:dyDescent="0.35">
      <c r="A621">
        <v>472</v>
      </c>
      <c r="B621">
        <v>470.89499999999998</v>
      </c>
      <c r="C621">
        <v>616218.12399999995</v>
      </c>
      <c r="D621">
        <v>3097502.2659999998</v>
      </c>
      <c r="E621">
        <v>632.32650000000001</v>
      </c>
      <c r="F621">
        <v>5.2</v>
      </c>
      <c r="G621">
        <v>0</v>
      </c>
      <c r="H621" t="s">
        <v>186</v>
      </c>
      <c r="I621">
        <v>2.7E-2</v>
      </c>
      <c r="J621">
        <f t="shared" si="284"/>
        <v>0.9989999999999668</v>
      </c>
      <c r="K621">
        <f t="shared" si="285"/>
        <v>51</v>
      </c>
      <c r="L621">
        <f t="shared" ca="1" si="286"/>
        <v>51797.843837663619</v>
      </c>
      <c r="M621">
        <f t="shared" ca="1" si="263"/>
        <v>269348.78795585083</v>
      </c>
      <c r="N621">
        <f t="shared" ca="1" si="264"/>
        <v>2.5998694991876676</v>
      </c>
      <c r="O621">
        <f t="shared" ca="1" si="265"/>
        <v>1.8934557080078435E-4</v>
      </c>
      <c r="P621">
        <f t="shared" ca="1" si="266"/>
        <v>52430.170337663621</v>
      </c>
      <c r="Q621">
        <f t="shared" ca="1" si="267"/>
        <v>52430.170337665448</v>
      </c>
      <c r="R621">
        <f t="shared" ca="1" si="268"/>
        <v>2.2564415439646509E-12</v>
      </c>
      <c r="S621">
        <f t="shared" ca="1" si="287"/>
        <v>4.999999946448952E-4</v>
      </c>
      <c r="T621">
        <f t="shared" ca="1" si="288"/>
        <v>1</v>
      </c>
      <c r="U621">
        <f t="shared" ca="1" si="269"/>
        <v>51800.26683766341</v>
      </c>
      <c r="V621">
        <f t="shared" ca="1" si="270"/>
        <v>269361.38755584974</v>
      </c>
      <c r="W621">
        <f t="shared" ca="1" si="271"/>
        <v>2.5998695052916441</v>
      </c>
      <c r="X621">
        <f t="shared" ca="1" si="272"/>
        <v>1.8933671400629237E-4</v>
      </c>
      <c r="Y621">
        <f t="shared" ca="1" si="273"/>
        <v>52432.593337663413</v>
      </c>
      <c r="Z621">
        <f t="shared" ca="1" si="274"/>
        <v>52432.593337665239</v>
      </c>
      <c r="AA621">
        <f t="shared" ca="1" si="275"/>
        <v>2.2562304480281055E-12</v>
      </c>
      <c r="AB621">
        <f t="shared" ca="1" si="276"/>
        <v>-5.0000000192085281E-4</v>
      </c>
      <c r="AC621">
        <f t="shared" ca="1" si="277"/>
        <v>1</v>
      </c>
      <c r="AD621">
        <f ca="1">IF(V32="Supercritical",L621,IF(V32="Subcritical",U621,IF(AND(T621=1,AC621=1),IF((((F621)*(L621)^2)/2+(G621)*(L621)^3/3+(ABS(K621)^2)/($I$5*MAX(((F621)+(G621)*(L621))*(L621),0.000001)))&gt;=(((F621)*(U621)^2)/2+(G621)*(U621)^3/3+(ABS(K621)^2)/($I$5*MAX(((F621)+(G621)*(U621))*(U621),0.000001))),L621,U621),IF(T621=1,L621,IF(AC621=1,U621,MAX($D$16,POWER((ABS(K621)^2)/($I$5*MAX(F621,0.1)^2),1/3)))))))</f>
        <v>51800.26683766341</v>
      </c>
      <c r="AE621">
        <f t="shared" ca="1" si="278"/>
        <v>52432.593337663413</v>
      </c>
      <c r="AF621">
        <f t="shared" ca="1" si="279"/>
        <v>52432.593337665239</v>
      </c>
      <c r="AI621">
        <v>0</v>
      </c>
      <c r="AJ621">
        <v>0</v>
      </c>
      <c r="AK621">
        <f t="shared" si="280"/>
        <v>0</v>
      </c>
      <c r="AL621">
        <f t="shared" si="289"/>
        <v>0</v>
      </c>
      <c r="AM621">
        <f t="shared" ca="1" si="281"/>
        <v>2.6560383008097266E-7</v>
      </c>
      <c r="AN621" t="str">
        <f t="shared" ca="1" si="282"/>
        <v>Subcritical</v>
      </c>
      <c r="AO621">
        <f t="shared" ca="1" si="283"/>
        <v>2.2562304480281055E-12</v>
      </c>
    </row>
    <row r="622" spans="1:41" x14ac:dyDescent="0.35">
      <c r="A622">
        <v>473</v>
      </c>
      <c r="B622">
        <v>471.89499999999998</v>
      </c>
      <c r="C622">
        <v>616217.65</v>
      </c>
      <c r="D622">
        <v>3097501.3849999998</v>
      </c>
      <c r="E622">
        <v>632.32600000000002</v>
      </c>
      <c r="F622">
        <v>5.2</v>
      </c>
      <c r="G622">
        <v>0</v>
      </c>
      <c r="H622" t="s">
        <v>186</v>
      </c>
      <c r="I622">
        <v>7.8E-2</v>
      </c>
      <c r="J622">
        <f t="shared" si="284"/>
        <v>1</v>
      </c>
      <c r="K622">
        <f t="shared" si="285"/>
        <v>51</v>
      </c>
      <c r="L622">
        <f t="shared" ca="1" si="286"/>
        <v>51797.843837663619</v>
      </c>
      <c r="M622">
        <f t="shared" ca="1" si="263"/>
        <v>269348.78795585083</v>
      </c>
      <c r="N622">
        <f t="shared" ca="1" si="264"/>
        <v>2.5998694991876676</v>
      </c>
      <c r="O622">
        <f t="shared" ca="1" si="265"/>
        <v>1.8934557080078435E-4</v>
      </c>
      <c r="P622">
        <f t="shared" ca="1" si="266"/>
        <v>52430.16983766362</v>
      </c>
      <c r="Q622">
        <f t="shared" ca="1" si="267"/>
        <v>52430.169837665446</v>
      </c>
      <c r="R622">
        <f t="shared" ca="1" si="268"/>
        <v>2.2564415439646509E-12</v>
      </c>
      <c r="S622">
        <f t="shared" ca="1" si="287"/>
        <v>5.0000000192085281E-4</v>
      </c>
      <c r="T622">
        <f t="shared" ca="1" si="288"/>
        <v>1</v>
      </c>
      <c r="U622">
        <f t="shared" ca="1" si="269"/>
        <v>51800.26683766341</v>
      </c>
      <c r="V622">
        <f t="shared" ca="1" si="270"/>
        <v>269361.38755584974</v>
      </c>
      <c r="W622">
        <f t="shared" ca="1" si="271"/>
        <v>2.5998695052916441</v>
      </c>
      <c r="X622">
        <f t="shared" ca="1" si="272"/>
        <v>1.8933671400629237E-4</v>
      </c>
      <c r="Y622">
        <f t="shared" ca="1" si="273"/>
        <v>52432.592837663411</v>
      </c>
      <c r="Z622">
        <f t="shared" ca="1" si="274"/>
        <v>52432.592837665237</v>
      </c>
      <c r="AA622">
        <f t="shared" ca="1" si="275"/>
        <v>2.2562304480281055E-12</v>
      </c>
      <c r="AB622">
        <f t="shared" ca="1" si="276"/>
        <v>-5.0000000192085281E-4</v>
      </c>
      <c r="AC622">
        <f t="shared" ca="1" si="277"/>
        <v>1</v>
      </c>
      <c r="AD622">
        <f ca="1">IF(V32="Supercritical",L622,IF(V32="Subcritical",U622,IF(AND(T622=1,AC622=1),IF((((F622)*(L622)^2)/2+(G622)*(L622)^3/3+(ABS(K622)^2)/($I$5*MAX(((F622)+(G622)*(L622))*(L622),0.000001)))&gt;=(((F622)*(U622)^2)/2+(G622)*(U622)^3/3+(ABS(K622)^2)/($I$5*MAX(((F622)+(G622)*(U622))*(U622),0.000001))),L622,U622),IF(T622=1,L622,IF(AC622=1,U622,MAX($D$16,POWER((ABS(K622)^2)/($I$5*MAX(F622,0.1)^2),1/3)))))))</f>
        <v>51800.26683766341</v>
      </c>
      <c r="AE622">
        <f t="shared" ca="1" si="278"/>
        <v>52432.592837663411</v>
      </c>
      <c r="AF622">
        <f t="shared" ca="1" si="279"/>
        <v>52432.592837665237</v>
      </c>
      <c r="AI622">
        <v>0</v>
      </c>
      <c r="AJ622">
        <v>0</v>
      </c>
      <c r="AK622">
        <f t="shared" si="280"/>
        <v>0</v>
      </c>
      <c r="AL622">
        <f t="shared" si="289"/>
        <v>0</v>
      </c>
      <c r="AM622">
        <f t="shared" ca="1" si="281"/>
        <v>2.6560383008097266E-7</v>
      </c>
      <c r="AN622" t="str">
        <f t="shared" ca="1" si="282"/>
        <v>Subcritical</v>
      </c>
      <c r="AO622">
        <f t="shared" ca="1" si="283"/>
        <v>2.2562304480281055E-12</v>
      </c>
    </row>
    <row r="623" spans="1:41" x14ac:dyDescent="0.35">
      <c r="A623">
        <v>474</v>
      </c>
      <c r="B623">
        <v>472.89499999999998</v>
      </c>
      <c r="C623">
        <v>616217.17500000005</v>
      </c>
      <c r="D623">
        <v>3097500.5049999999</v>
      </c>
      <c r="E623">
        <v>632.32550000000003</v>
      </c>
      <c r="F623">
        <v>5.2</v>
      </c>
      <c r="G623">
        <v>0</v>
      </c>
      <c r="H623" t="s">
        <v>186</v>
      </c>
      <c r="I623">
        <v>0.05</v>
      </c>
      <c r="J623">
        <f t="shared" si="284"/>
        <v>1</v>
      </c>
      <c r="K623">
        <f t="shared" si="285"/>
        <v>51</v>
      </c>
      <c r="L623">
        <f t="shared" ca="1" si="286"/>
        <v>51797.843837663619</v>
      </c>
      <c r="M623">
        <f t="shared" ca="1" si="263"/>
        <v>269348.78795585083</v>
      </c>
      <c r="N623">
        <f t="shared" ca="1" si="264"/>
        <v>2.5998694991876676</v>
      </c>
      <c r="O623">
        <f t="shared" ca="1" si="265"/>
        <v>1.8934557080078435E-4</v>
      </c>
      <c r="P623">
        <f t="shared" ca="1" si="266"/>
        <v>52430.169337663618</v>
      </c>
      <c r="Q623">
        <f t="shared" ca="1" si="267"/>
        <v>52430.169337665444</v>
      </c>
      <c r="R623">
        <f t="shared" ca="1" si="268"/>
        <v>2.2564415439646509E-12</v>
      </c>
      <c r="S623">
        <f t="shared" ca="1" si="287"/>
        <v>5.0000000192085281E-4</v>
      </c>
      <c r="T623">
        <f t="shared" ca="1" si="288"/>
        <v>1</v>
      </c>
      <c r="U623">
        <f t="shared" ca="1" si="269"/>
        <v>51800.26683766341</v>
      </c>
      <c r="V623">
        <f t="shared" ca="1" si="270"/>
        <v>269361.38755584974</v>
      </c>
      <c r="W623">
        <f t="shared" ca="1" si="271"/>
        <v>2.5998695052916441</v>
      </c>
      <c r="X623">
        <f t="shared" ca="1" si="272"/>
        <v>1.8933671400629237E-4</v>
      </c>
      <c r="Y623">
        <f t="shared" ca="1" si="273"/>
        <v>52432.592337663409</v>
      </c>
      <c r="Z623">
        <f t="shared" ca="1" si="274"/>
        <v>52432.592337665235</v>
      </c>
      <c r="AA623">
        <f t="shared" ca="1" si="275"/>
        <v>2.2562304480281055E-12</v>
      </c>
      <c r="AB623">
        <f t="shared" ca="1" si="276"/>
        <v>-5.0000000192085281E-4</v>
      </c>
      <c r="AC623">
        <f t="shared" ca="1" si="277"/>
        <v>1</v>
      </c>
      <c r="AD623">
        <f ca="1">IF(V32="Supercritical",L623,IF(V32="Subcritical",U623,IF(AND(T623=1,AC623=1),IF((((F623)*(L623)^2)/2+(G623)*(L623)^3/3+(ABS(K623)^2)/($I$5*MAX(((F623)+(G623)*(L623))*(L623),0.000001)))&gt;=(((F623)*(U623)^2)/2+(G623)*(U623)^3/3+(ABS(K623)^2)/($I$5*MAX(((F623)+(G623)*(U623))*(U623),0.000001))),L623,U623),IF(T623=1,L623,IF(AC623=1,U623,MAX($D$16,POWER((ABS(K623)^2)/($I$5*MAX(F623,0.1)^2),1/3)))))))</f>
        <v>51800.26683766341</v>
      </c>
      <c r="AE623">
        <f t="shared" ca="1" si="278"/>
        <v>52432.592337663409</v>
      </c>
      <c r="AF623">
        <f t="shared" ca="1" si="279"/>
        <v>52432.592337665235</v>
      </c>
      <c r="AI623">
        <v>0</v>
      </c>
      <c r="AJ623">
        <v>0</v>
      </c>
      <c r="AK623">
        <f t="shared" si="280"/>
        <v>0</v>
      </c>
      <c r="AL623">
        <f t="shared" si="289"/>
        <v>0</v>
      </c>
      <c r="AM623">
        <f t="shared" ca="1" si="281"/>
        <v>2.6560383008097266E-7</v>
      </c>
      <c r="AN623" t="str">
        <f t="shared" ca="1" si="282"/>
        <v>Subcritical</v>
      </c>
      <c r="AO623">
        <f t="shared" ca="1" si="283"/>
        <v>2.2562304480281055E-12</v>
      </c>
    </row>
    <row r="624" spans="1:41" x14ac:dyDescent="0.35">
      <c r="A624">
        <v>475</v>
      </c>
      <c r="B624">
        <v>473.89499999999998</v>
      </c>
      <c r="C624">
        <v>616216.701</v>
      </c>
      <c r="D624">
        <v>3097499.625</v>
      </c>
      <c r="E624">
        <v>632.32500000000005</v>
      </c>
      <c r="F624">
        <v>5.2</v>
      </c>
      <c r="G624">
        <v>0</v>
      </c>
      <c r="H624" t="s">
        <v>186</v>
      </c>
      <c r="I624">
        <v>2.7E-2</v>
      </c>
      <c r="J624">
        <f t="shared" si="284"/>
        <v>1</v>
      </c>
      <c r="K624">
        <f t="shared" si="285"/>
        <v>51</v>
      </c>
      <c r="L624">
        <f t="shared" ca="1" si="286"/>
        <v>51797.843837663619</v>
      </c>
      <c r="M624">
        <f t="shared" ca="1" si="263"/>
        <v>269348.78795585083</v>
      </c>
      <c r="N624">
        <f t="shared" ca="1" si="264"/>
        <v>2.5998694991876676</v>
      </c>
      <c r="O624">
        <f t="shared" ca="1" si="265"/>
        <v>1.8934557080078435E-4</v>
      </c>
      <c r="P624">
        <f t="shared" ca="1" si="266"/>
        <v>52430.168837663616</v>
      </c>
      <c r="Q624">
        <f t="shared" ca="1" si="267"/>
        <v>52430.168837665442</v>
      </c>
      <c r="R624">
        <f t="shared" ca="1" si="268"/>
        <v>2.2564415439646509E-12</v>
      </c>
      <c r="S624">
        <f t="shared" ca="1" si="287"/>
        <v>5.0000000192085281E-4</v>
      </c>
      <c r="T624">
        <f t="shared" ca="1" si="288"/>
        <v>1</v>
      </c>
      <c r="U624">
        <f t="shared" ca="1" si="269"/>
        <v>51800.26683766341</v>
      </c>
      <c r="V624">
        <f t="shared" ca="1" si="270"/>
        <v>269361.38755584974</v>
      </c>
      <c r="W624">
        <f t="shared" ca="1" si="271"/>
        <v>2.5998695052916441</v>
      </c>
      <c r="X624">
        <f t="shared" ca="1" si="272"/>
        <v>1.8933671400629237E-4</v>
      </c>
      <c r="Y624">
        <f t="shared" ca="1" si="273"/>
        <v>52432.591837663407</v>
      </c>
      <c r="Z624">
        <f t="shared" ca="1" si="274"/>
        <v>52432.591837665233</v>
      </c>
      <c r="AA624">
        <f t="shared" ca="1" si="275"/>
        <v>2.2562304480281055E-12</v>
      </c>
      <c r="AB624">
        <f t="shared" ca="1" si="276"/>
        <v>-4.999999946448952E-4</v>
      </c>
      <c r="AC624">
        <f t="shared" ca="1" si="277"/>
        <v>1</v>
      </c>
      <c r="AD624">
        <f ca="1">IF(V32="Supercritical",L624,IF(V32="Subcritical",U624,IF(AND(T624=1,AC624=1),IF((((F624)*(L624)^2)/2+(G624)*(L624)^3/3+(ABS(K624)^2)/($I$5*MAX(((F624)+(G624)*(L624))*(L624),0.000001)))&gt;=(((F624)*(U624)^2)/2+(G624)*(U624)^3/3+(ABS(K624)^2)/($I$5*MAX(((F624)+(G624)*(U624))*(U624),0.000001))),L624,U624),IF(T624=1,L624,IF(AC624=1,U624,MAX($D$16,POWER((ABS(K624)^2)/($I$5*MAX(F624,0.1)^2),1/3)))))))</f>
        <v>51800.26683766341</v>
      </c>
      <c r="AE624">
        <f t="shared" ca="1" si="278"/>
        <v>52432.591837663407</v>
      </c>
      <c r="AF624">
        <f t="shared" ca="1" si="279"/>
        <v>52432.591837665233</v>
      </c>
      <c r="AI624">
        <v>0</v>
      </c>
      <c r="AJ624">
        <v>0</v>
      </c>
      <c r="AK624">
        <f t="shared" si="280"/>
        <v>0</v>
      </c>
      <c r="AL624">
        <f t="shared" si="289"/>
        <v>0</v>
      </c>
      <c r="AM624">
        <f t="shared" ca="1" si="281"/>
        <v>2.6560383008097266E-7</v>
      </c>
      <c r="AN624" t="str">
        <f t="shared" ca="1" si="282"/>
        <v>Subcritical</v>
      </c>
      <c r="AO624">
        <f t="shared" ca="1" si="283"/>
        <v>2.2562304480281055E-12</v>
      </c>
    </row>
    <row r="625" spans="1:41" x14ac:dyDescent="0.35">
      <c r="A625">
        <v>476</v>
      </c>
      <c r="B625">
        <v>474.89499999999998</v>
      </c>
      <c r="C625">
        <v>616216.22699999996</v>
      </c>
      <c r="D625">
        <v>3097498.7439999999</v>
      </c>
      <c r="E625">
        <v>632.32449999999994</v>
      </c>
      <c r="F625">
        <v>5.2</v>
      </c>
      <c r="G625">
        <v>0</v>
      </c>
      <c r="H625" t="s">
        <v>186</v>
      </c>
      <c r="I625">
        <v>2.7E-2</v>
      </c>
      <c r="J625">
        <f t="shared" si="284"/>
        <v>1</v>
      </c>
      <c r="K625">
        <f t="shared" si="285"/>
        <v>51</v>
      </c>
      <c r="L625">
        <f t="shared" ca="1" si="286"/>
        <v>51797.843837663619</v>
      </c>
      <c r="M625">
        <f t="shared" ca="1" si="263"/>
        <v>269348.78795585083</v>
      </c>
      <c r="N625">
        <f t="shared" ca="1" si="264"/>
        <v>2.5998694991876676</v>
      </c>
      <c r="O625">
        <f t="shared" ca="1" si="265"/>
        <v>1.8934557080078435E-4</v>
      </c>
      <c r="P625">
        <f t="shared" ca="1" si="266"/>
        <v>52430.168337663621</v>
      </c>
      <c r="Q625">
        <f t="shared" ca="1" si="267"/>
        <v>52430.168337665447</v>
      </c>
      <c r="R625">
        <f t="shared" ca="1" si="268"/>
        <v>2.2564415439646509E-12</v>
      </c>
      <c r="S625">
        <f t="shared" ca="1" si="287"/>
        <v>4.999999946448952E-4</v>
      </c>
      <c r="T625">
        <f t="shared" ca="1" si="288"/>
        <v>1</v>
      </c>
      <c r="U625">
        <f t="shared" ca="1" si="269"/>
        <v>51800.26683766341</v>
      </c>
      <c r="V625">
        <f t="shared" ca="1" si="270"/>
        <v>269361.38755584974</v>
      </c>
      <c r="W625">
        <f t="shared" ca="1" si="271"/>
        <v>2.5998695052916441</v>
      </c>
      <c r="X625">
        <f t="shared" ca="1" si="272"/>
        <v>1.8933671400629237E-4</v>
      </c>
      <c r="Y625">
        <f t="shared" ca="1" si="273"/>
        <v>52432.591337663413</v>
      </c>
      <c r="Z625">
        <f t="shared" ca="1" si="274"/>
        <v>52432.591337665239</v>
      </c>
      <c r="AA625">
        <f t="shared" ca="1" si="275"/>
        <v>2.2562304480281055E-12</v>
      </c>
      <c r="AB625">
        <f t="shared" ca="1" si="276"/>
        <v>-5.0000000192085281E-4</v>
      </c>
      <c r="AC625">
        <f t="shared" ca="1" si="277"/>
        <v>1</v>
      </c>
      <c r="AD625">
        <f ca="1">IF(V32="Supercritical",L625,IF(V32="Subcritical",U625,IF(AND(T625=1,AC625=1),IF((((F625)*(L625)^2)/2+(G625)*(L625)^3/3+(ABS(K625)^2)/($I$5*MAX(((F625)+(G625)*(L625))*(L625),0.000001)))&gt;=(((F625)*(U625)^2)/2+(G625)*(U625)^3/3+(ABS(K625)^2)/($I$5*MAX(((F625)+(G625)*(U625))*(U625),0.000001))),L625,U625),IF(T625=1,L625,IF(AC625=1,U625,MAX($D$16,POWER((ABS(K625)^2)/($I$5*MAX(F625,0.1)^2),1/3)))))))</f>
        <v>51800.26683766341</v>
      </c>
      <c r="AE625">
        <f t="shared" ca="1" si="278"/>
        <v>52432.591337663413</v>
      </c>
      <c r="AF625">
        <f t="shared" ca="1" si="279"/>
        <v>52432.591337665239</v>
      </c>
      <c r="AI625">
        <v>0</v>
      </c>
      <c r="AJ625">
        <v>0</v>
      </c>
      <c r="AK625">
        <f t="shared" si="280"/>
        <v>0</v>
      </c>
      <c r="AL625">
        <f t="shared" si="289"/>
        <v>0</v>
      </c>
      <c r="AM625">
        <f t="shared" ca="1" si="281"/>
        <v>2.6560383008097266E-7</v>
      </c>
      <c r="AN625" t="str">
        <f t="shared" ca="1" si="282"/>
        <v>Subcritical</v>
      </c>
      <c r="AO625">
        <f t="shared" ca="1" si="283"/>
        <v>2.2562304480281055E-12</v>
      </c>
    </row>
    <row r="626" spans="1:41" x14ac:dyDescent="0.35">
      <c r="A626">
        <v>477</v>
      </c>
      <c r="B626">
        <v>475.89499999999998</v>
      </c>
      <c r="C626">
        <v>616215.75300000003</v>
      </c>
      <c r="D626">
        <v>3097497.8640000001</v>
      </c>
      <c r="E626">
        <v>632.32399999999996</v>
      </c>
      <c r="F626">
        <v>5.2</v>
      </c>
      <c r="G626">
        <v>0</v>
      </c>
      <c r="H626" t="s">
        <v>186</v>
      </c>
      <c r="I626">
        <v>2.3E-2</v>
      </c>
      <c r="J626">
        <f t="shared" si="284"/>
        <v>1</v>
      </c>
      <c r="K626">
        <f t="shared" si="285"/>
        <v>51</v>
      </c>
      <c r="L626">
        <f t="shared" ca="1" si="286"/>
        <v>51797.843837663619</v>
      </c>
      <c r="M626">
        <f t="shared" ca="1" si="263"/>
        <v>269348.78795585083</v>
      </c>
      <c r="N626">
        <f t="shared" ca="1" si="264"/>
        <v>2.5998694991876676</v>
      </c>
      <c r="O626">
        <f t="shared" ca="1" si="265"/>
        <v>1.8934557080078435E-4</v>
      </c>
      <c r="P626">
        <f t="shared" ca="1" si="266"/>
        <v>52430.167837663619</v>
      </c>
      <c r="Q626">
        <f t="shared" ca="1" si="267"/>
        <v>52430.167837665445</v>
      </c>
      <c r="R626">
        <f t="shared" ca="1" si="268"/>
        <v>2.2564415439646509E-12</v>
      </c>
      <c r="S626">
        <f t="shared" ca="1" si="287"/>
        <v>5.0000000192085281E-4</v>
      </c>
      <c r="T626">
        <f t="shared" ca="1" si="288"/>
        <v>1</v>
      </c>
      <c r="U626">
        <f t="shared" ca="1" si="269"/>
        <v>51800.26683766341</v>
      </c>
      <c r="V626">
        <f t="shared" ca="1" si="270"/>
        <v>269361.38755584974</v>
      </c>
      <c r="W626">
        <f t="shared" ca="1" si="271"/>
        <v>2.5998695052916441</v>
      </c>
      <c r="X626">
        <f t="shared" ca="1" si="272"/>
        <v>1.8933671400629237E-4</v>
      </c>
      <c r="Y626">
        <f t="shared" ca="1" si="273"/>
        <v>52432.590837663411</v>
      </c>
      <c r="Z626">
        <f t="shared" ca="1" si="274"/>
        <v>52432.590837665237</v>
      </c>
      <c r="AA626">
        <f t="shared" ca="1" si="275"/>
        <v>2.2562304480281055E-12</v>
      </c>
      <c r="AB626">
        <f t="shared" ca="1" si="276"/>
        <v>-5.0000000192085281E-4</v>
      </c>
      <c r="AC626">
        <f t="shared" ca="1" si="277"/>
        <v>1</v>
      </c>
      <c r="AD626">
        <f ca="1">IF(V32="Supercritical",L626,IF(V32="Subcritical",U626,IF(AND(T626=1,AC626=1),IF((((F626)*(L626)^2)/2+(G626)*(L626)^3/3+(ABS(K626)^2)/($I$5*MAX(((F626)+(G626)*(L626))*(L626),0.000001)))&gt;=(((F626)*(U626)^2)/2+(G626)*(U626)^3/3+(ABS(K626)^2)/($I$5*MAX(((F626)+(G626)*(U626))*(U626),0.000001))),L626,U626),IF(T626=1,L626,IF(AC626=1,U626,MAX($D$16,POWER((ABS(K626)^2)/($I$5*MAX(F626,0.1)^2),1/3)))))))</f>
        <v>51800.26683766341</v>
      </c>
      <c r="AE626">
        <f t="shared" ca="1" si="278"/>
        <v>52432.590837663411</v>
      </c>
      <c r="AF626">
        <f t="shared" ca="1" si="279"/>
        <v>52432.590837665237</v>
      </c>
      <c r="AI626">
        <v>0</v>
      </c>
      <c r="AJ626">
        <v>0</v>
      </c>
      <c r="AK626">
        <f t="shared" si="280"/>
        <v>0</v>
      </c>
      <c r="AL626">
        <f t="shared" si="289"/>
        <v>0</v>
      </c>
      <c r="AM626">
        <f t="shared" ca="1" si="281"/>
        <v>2.6560383008097266E-7</v>
      </c>
      <c r="AN626" t="str">
        <f t="shared" ca="1" si="282"/>
        <v>Subcritical</v>
      </c>
      <c r="AO626">
        <f t="shared" ca="1" si="283"/>
        <v>2.2562304480281055E-12</v>
      </c>
    </row>
    <row r="627" spans="1:41" x14ac:dyDescent="0.35">
      <c r="A627">
        <v>478</v>
      </c>
      <c r="B627">
        <v>476.89600000000002</v>
      </c>
      <c r="C627">
        <v>616215.27800000005</v>
      </c>
      <c r="D627">
        <v>3097496.983</v>
      </c>
      <c r="E627">
        <v>632.32349999999997</v>
      </c>
      <c r="F627">
        <v>5.2</v>
      </c>
      <c r="G627">
        <v>0</v>
      </c>
      <c r="H627" t="s">
        <v>186</v>
      </c>
      <c r="I627">
        <v>2.3E-2</v>
      </c>
      <c r="J627">
        <f t="shared" si="284"/>
        <v>1.0010000000000332</v>
      </c>
      <c r="K627">
        <f t="shared" si="285"/>
        <v>51</v>
      </c>
      <c r="L627">
        <f t="shared" ca="1" si="286"/>
        <v>51797.843837663619</v>
      </c>
      <c r="M627">
        <f t="shared" ca="1" si="263"/>
        <v>269348.78795585083</v>
      </c>
      <c r="N627">
        <f t="shared" ca="1" si="264"/>
        <v>2.5998694991876676</v>
      </c>
      <c r="O627">
        <f t="shared" ca="1" si="265"/>
        <v>1.8934557080078435E-4</v>
      </c>
      <c r="P627">
        <f t="shared" ca="1" si="266"/>
        <v>52430.167337663617</v>
      </c>
      <c r="Q627">
        <f t="shared" ca="1" si="267"/>
        <v>52430.167337665443</v>
      </c>
      <c r="R627">
        <f t="shared" ca="1" si="268"/>
        <v>2.2564415439646509E-12</v>
      </c>
      <c r="S627">
        <f t="shared" ca="1" si="287"/>
        <v>5.0000000192085281E-4</v>
      </c>
      <c r="T627">
        <f t="shared" ca="1" si="288"/>
        <v>1</v>
      </c>
      <c r="U627">
        <f t="shared" ca="1" si="269"/>
        <v>51800.26683766341</v>
      </c>
      <c r="V627">
        <f t="shared" ca="1" si="270"/>
        <v>269361.38755584974</v>
      </c>
      <c r="W627">
        <f t="shared" ca="1" si="271"/>
        <v>2.5998695052916441</v>
      </c>
      <c r="X627">
        <f t="shared" ca="1" si="272"/>
        <v>1.8933671400629237E-4</v>
      </c>
      <c r="Y627">
        <f t="shared" ca="1" si="273"/>
        <v>52432.590337663409</v>
      </c>
      <c r="Z627">
        <f t="shared" ca="1" si="274"/>
        <v>52432.590337665235</v>
      </c>
      <c r="AA627">
        <f t="shared" ca="1" si="275"/>
        <v>2.2562304480281055E-12</v>
      </c>
      <c r="AB627">
        <f t="shared" ca="1" si="276"/>
        <v>-5.0000000192085281E-4</v>
      </c>
      <c r="AC627">
        <f t="shared" ca="1" si="277"/>
        <v>1</v>
      </c>
      <c r="AD627">
        <f ca="1">IF(V32="Supercritical",L627,IF(V32="Subcritical",U627,IF(AND(T627=1,AC627=1),IF((((F627)*(L627)^2)/2+(G627)*(L627)^3/3+(ABS(K627)^2)/($I$5*MAX(((F627)+(G627)*(L627))*(L627),0.000001)))&gt;=(((F627)*(U627)^2)/2+(G627)*(U627)^3/3+(ABS(K627)^2)/($I$5*MAX(((F627)+(G627)*(U627))*(U627),0.000001))),L627,U627),IF(T627=1,L627,IF(AC627=1,U627,MAX($D$16,POWER((ABS(K627)^2)/($I$5*MAX(F627,0.1)^2),1/3)))))))</f>
        <v>51800.26683766341</v>
      </c>
      <c r="AE627">
        <f t="shared" ca="1" si="278"/>
        <v>52432.590337663409</v>
      </c>
      <c r="AF627">
        <f t="shared" ca="1" si="279"/>
        <v>52432.590337665235</v>
      </c>
      <c r="AI627">
        <v>0</v>
      </c>
      <c r="AJ627">
        <v>0</v>
      </c>
      <c r="AK627">
        <f t="shared" si="280"/>
        <v>0</v>
      </c>
      <c r="AL627">
        <f t="shared" si="289"/>
        <v>0</v>
      </c>
      <c r="AM627">
        <f t="shared" ca="1" si="281"/>
        <v>2.6560383008097266E-7</v>
      </c>
      <c r="AN627" t="str">
        <f t="shared" ca="1" si="282"/>
        <v>Subcritical</v>
      </c>
      <c r="AO627">
        <f t="shared" ca="1" si="283"/>
        <v>2.2562304480281055E-12</v>
      </c>
    </row>
    <row r="628" spans="1:41" x14ac:dyDescent="0.35">
      <c r="A628">
        <v>479</v>
      </c>
      <c r="B628">
        <v>477.89499999999998</v>
      </c>
      <c r="C628">
        <v>616214.804</v>
      </c>
      <c r="D628">
        <v>3097496.1030000001</v>
      </c>
      <c r="E628">
        <v>632.32299999999998</v>
      </c>
      <c r="F628">
        <v>5.2</v>
      </c>
      <c r="G628">
        <v>0</v>
      </c>
      <c r="H628" t="s">
        <v>186</v>
      </c>
      <c r="I628">
        <v>0</v>
      </c>
      <c r="J628">
        <f t="shared" si="284"/>
        <v>0.9989999999999668</v>
      </c>
      <c r="K628">
        <f t="shared" si="285"/>
        <v>51</v>
      </c>
      <c r="L628">
        <f t="shared" ca="1" si="286"/>
        <v>51797.843837663619</v>
      </c>
      <c r="M628">
        <f t="shared" ca="1" si="263"/>
        <v>269348.78795585083</v>
      </c>
      <c r="N628">
        <f t="shared" ca="1" si="264"/>
        <v>2.5998694991876676</v>
      </c>
      <c r="O628">
        <f t="shared" ca="1" si="265"/>
        <v>1.8934557080078435E-4</v>
      </c>
      <c r="P628">
        <f t="shared" ca="1" si="266"/>
        <v>52430.166837663615</v>
      </c>
      <c r="Q628">
        <f t="shared" ca="1" si="267"/>
        <v>52430.166837665442</v>
      </c>
      <c r="R628">
        <f t="shared" ca="1" si="268"/>
        <v>2.2564415439646509E-12</v>
      </c>
      <c r="S628">
        <f t="shared" ca="1" si="287"/>
        <v>5.0000000192085281E-4</v>
      </c>
      <c r="T628">
        <f t="shared" ca="1" si="288"/>
        <v>1</v>
      </c>
      <c r="U628">
        <f t="shared" ca="1" si="269"/>
        <v>51800.26683766341</v>
      </c>
      <c r="V628">
        <f t="shared" ca="1" si="270"/>
        <v>269361.38755584974</v>
      </c>
      <c r="W628">
        <f t="shared" ca="1" si="271"/>
        <v>2.5998695052916441</v>
      </c>
      <c r="X628">
        <f t="shared" ca="1" si="272"/>
        <v>1.8933671400629237E-4</v>
      </c>
      <c r="Y628">
        <f t="shared" ca="1" si="273"/>
        <v>52432.589837663407</v>
      </c>
      <c r="Z628">
        <f t="shared" ca="1" si="274"/>
        <v>52432.589837665233</v>
      </c>
      <c r="AA628">
        <f t="shared" ca="1" si="275"/>
        <v>2.2562304480281055E-12</v>
      </c>
      <c r="AB628">
        <f t="shared" ca="1" si="276"/>
        <v>-4.999999946448952E-4</v>
      </c>
      <c r="AC628">
        <f t="shared" ca="1" si="277"/>
        <v>1</v>
      </c>
      <c r="AD628">
        <f ca="1">IF(V32="Supercritical",L628,IF(V32="Subcritical",U628,IF(AND(T628=1,AC628=1),IF((((F628)*(L628)^2)/2+(G628)*(L628)^3/3+(ABS(K628)^2)/($I$5*MAX(((F628)+(G628)*(L628))*(L628),0.000001)))&gt;=(((F628)*(U628)^2)/2+(G628)*(U628)^3/3+(ABS(K628)^2)/($I$5*MAX(((F628)+(G628)*(U628))*(U628),0.000001))),L628,U628),IF(T628=1,L628,IF(AC628=1,U628,MAX($D$16,POWER((ABS(K628)^2)/($I$5*MAX(F628,0.1)^2),1/3)))))))</f>
        <v>51800.26683766341</v>
      </c>
      <c r="AE628">
        <f t="shared" ca="1" si="278"/>
        <v>52432.589837663407</v>
      </c>
      <c r="AF628">
        <f t="shared" ca="1" si="279"/>
        <v>52432.589837665233</v>
      </c>
      <c r="AI628">
        <v>0</v>
      </c>
      <c r="AJ628">
        <v>0</v>
      </c>
      <c r="AK628">
        <f t="shared" si="280"/>
        <v>0</v>
      </c>
      <c r="AL628">
        <f t="shared" si="289"/>
        <v>0</v>
      </c>
      <c r="AM628">
        <f t="shared" ca="1" si="281"/>
        <v>2.6560383008097266E-7</v>
      </c>
      <c r="AN628" t="str">
        <f t="shared" ca="1" si="282"/>
        <v>Subcritical</v>
      </c>
      <c r="AO628">
        <f t="shared" ca="1" si="283"/>
        <v>2.2562304480281055E-12</v>
      </c>
    </row>
    <row r="629" spans="1:41" x14ac:dyDescent="0.35">
      <c r="A629">
        <v>480</v>
      </c>
      <c r="B629">
        <v>478.89499999999998</v>
      </c>
      <c r="C629">
        <v>616214.32999999996</v>
      </c>
      <c r="D629">
        <v>3097495.2230000002</v>
      </c>
      <c r="E629">
        <v>632.32249999999999</v>
      </c>
      <c r="F629">
        <v>5.2</v>
      </c>
      <c r="G629">
        <v>0</v>
      </c>
      <c r="H629" t="s">
        <v>186</v>
      </c>
      <c r="I629">
        <v>2.7E-2</v>
      </c>
      <c r="J629">
        <f t="shared" si="284"/>
        <v>1</v>
      </c>
      <c r="K629">
        <f t="shared" si="285"/>
        <v>51</v>
      </c>
      <c r="L629">
        <f t="shared" ca="1" si="286"/>
        <v>51797.843837663619</v>
      </c>
      <c r="M629">
        <f t="shared" ca="1" si="263"/>
        <v>269348.78795585083</v>
      </c>
      <c r="N629">
        <f t="shared" ca="1" si="264"/>
        <v>2.5998694991876676</v>
      </c>
      <c r="O629">
        <f t="shared" ca="1" si="265"/>
        <v>1.8934557080078435E-4</v>
      </c>
      <c r="P629">
        <f t="shared" ca="1" si="266"/>
        <v>52430.166337663621</v>
      </c>
      <c r="Q629">
        <f t="shared" ca="1" si="267"/>
        <v>52430.166337665447</v>
      </c>
      <c r="R629">
        <f t="shared" ca="1" si="268"/>
        <v>2.2564415439646509E-12</v>
      </c>
      <c r="S629">
        <f t="shared" ca="1" si="287"/>
        <v>4.999999946448952E-4</v>
      </c>
      <c r="T629">
        <f t="shared" ca="1" si="288"/>
        <v>1</v>
      </c>
      <c r="U629">
        <f t="shared" ca="1" si="269"/>
        <v>51800.26683766341</v>
      </c>
      <c r="V629">
        <f t="shared" ca="1" si="270"/>
        <v>269361.38755584974</v>
      </c>
      <c r="W629">
        <f t="shared" ca="1" si="271"/>
        <v>2.5998695052916441</v>
      </c>
      <c r="X629">
        <f t="shared" ca="1" si="272"/>
        <v>1.8933671400629237E-4</v>
      </c>
      <c r="Y629">
        <f t="shared" ca="1" si="273"/>
        <v>52432.589337663412</v>
      </c>
      <c r="Z629">
        <f t="shared" ca="1" si="274"/>
        <v>52432.589337665238</v>
      </c>
      <c r="AA629">
        <f t="shared" ca="1" si="275"/>
        <v>2.2562304480281055E-12</v>
      </c>
      <c r="AB629">
        <f t="shared" ca="1" si="276"/>
        <v>-5.0000000192085281E-4</v>
      </c>
      <c r="AC629">
        <f t="shared" ca="1" si="277"/>
        <v>1</v>
      </c>
      <c r="AD629">
        <f ca="1">IF(V32="Supercritical",L629,IF(V32="Subcritical",U629,IF(AND(T629=1,AC629=1),IF((((F629)*(L629)^2)/2+(G629)*(L629)^3/3+(ABS(K629)^2)/($I$5*MAX(((F629)+(G629)*(L629))*(L629),0.000001)))&gt;=(((F629)*(U629)^2)/2+(G629)*(U629)^3/3+(ABS(K629)^2)/($I$5*MAX(((F629)+(G629)*(U629))*(U629),0.000001))),L629,U629),IF(T629=1,L629,IF(AC629=1,U629,MAX($D$16,POWER((ABS(K629)^2)/($I$5*MAX(F629,0.1)^2),1/3)))))))</f>
        <v>51800.26683766341</v>
      </c>
      <c r="AE629">
        <f t="shared" ca="1" si="278"/>
        <v>52432.589337663412</v>
      </c>
      <c r="AF629">
        <f t="shared" ca="1" si="279"/>
        <v>52432.589337665238</v>
      </c>
      <c r="AI629">
        <v>0</v>
      </c>
      <c r="AJ629">
        <v>0</v>
      </c>
      <c r="AK629">
        <f t="shared" si="280"/>
        <v>0</v>
      </c>
      <c r="AL629">
        <f t="shared" si="289"/>
        <v>0</v>
      </c>
      <c r="AM629">
        <f t="shared" ca="1" si="281"/>
        <v>2.6560383008097266E-7</v>
      </c>
      <c r="AN629" t="str">
        <f t="shared" ca="1" si="282"/>
        <v>Subcritical</v>
      </c>
      <c r="AO629">
        <f t="shared" ca="1" si="283"/>
        <v>2.2562304480281055E-12</v>
      </c>
    </row>
    <row r="630" spans="1:41" x14ac:dyDescent="0.35">
      <c r="A630">
        <v>481</v>
      </c>
      <c r="B630">
        <v>479.89499999999998</v>
      </c>
      <c r="C630">
        <v>616213.85600000003</v>
      </c>
      <c r="D630">
        <v>3097494.3420000002</v>
      </c>
      <c r="E630">
        <v>632.322</v>
      </c>
      <c r="F630">
        <v>5.2</v>
      </c>
      <c r="G630">
        <v>0</v>
      </c>
      <c r="H630" t="s">
        <v>186</v>
      </c>
      <c r="I630">
        <v>7.8E-2</v>
      </c>
      <c r="J630">
        <f t="shared" si="284"/>
        <v>1</v>
      </c>
      <c r="K630">
        <f t="shared" si="285"/>
        <v>51</v>
      </c>
      <c r="L630">
        <f t="shared" ca="1" si="286"/>
        <v>51797.843837663619</v>
      </c>
      <c r="M630">
        <f t="shared" ca="1" si="263"/>
        <v>269348.78795585083</v>
      </c>
      <c r="N630">
        <f t="shared" ca="1" si="264"/>
        <v>2.5998694991876676</v>
      </c>
      <c r="O630">
        <f t="shared" ca="1" si="265"/>
        <v>1.8934557080078435E-4</v>
      </c>
      <c r="P630">
        <f t="shared" ca="1" si="266"/>
        <v>52430.165837663619</v>
      </c>
      <c r="Q630">
        <f t="shared" ca="1" si="267"/>
        <v>52430.165837665445</v>
      </c>
      <c r="R630">
        <f t="shared" ca="1" si="268"/>
        <v>2.2564415439646509E-12</v>
      </c>
      <c r="S630">
        <f t="shared" ca="1" si="287"/>
        <v>5.0000000192085281E-4</v>
      </c>
      <c r="T630">
        <f t="shared" ca="1" si="288"/>
        <v>1</v>
      </c>
      <c r="U630">
        <f t="shared" ca="1" si="269"/>
        <v>51800.26683766341</v>
      </c>
      <c r="V630">
        <f t="shared" ca="1" si="270"/>
        <v>269361.38755584974</v>
      </c>
      <c r="W630">
        <f t="shared" ca="1" si="271"/>
        <v>2.5998695052916441</v>
      </c>
      <c r="X630">
        <f t="shared" ca="1" si="272"/>
        <v>1.8933671400629237E-4</v>
      </c>
      <c r="Y630">
        <f t="shared" ca="1" si="273"/>
        <v>52432.58883766341</v>
      </c>
      <c r="Z630">
        <f t="shared" ca="1" si="274"/>
        <v>52432.588837665236</v>
      </c>
      <c r="AA630">
        <f t="shared" ca="1" si="275"/>
        <v>2.2562304480281055E-12</v>
      </c>
      <c r="AB630">
        <f t="shared" ca="1" si="276"/>
        <v>-5.0000000192085281E-4</v>
      </c>
      <c r="AC630">
        <f t="shared" ca="1" si="277"/>
        <v>1</v>
      </c>
      <c r="AD630">
        <f ca="1">IF(V32="Supercritical",L630,IF(V32="Subcritical",U630,IF(AND(T630=1,AC630=1),IF((((F630)*(L630)^2)/2+(G630)*(L630)^3/3+(ABS(K630)^2)/($I$5*MAX(((F630)+(G630)*(L630))*(L630),0.000001)))&gt;=(((F630)*(U630)^2)/2+(G630)*(U630)^3/3+(ABS(K630)^2)/($I$5*MAX(((F630)+(G630)*(U630))*(U630),0.000001))),L630,U630),IF(T630=1,L630,IF(AC630=1,U630,MAX($D$16,POWER((ABS(K630)^2)/($I$5*MAX(F630,0.1)^2),1/3)))))))</f>
        <v>51800.26683766341</v>
      </c>
      <c r="AE630">
        <f t="shared" ca="1" si="278"/>
        <v>52432.58883766341</v>
      </c>
      <c r="AF630">
        <f t="shared" ca="1" si="279"/>
        <v>52432.588837665236</v>
      </c>
      <c r="AI630">
        <v>0</v>
      </c>
      <c r="AJ630">
        <v>0</v>
      </c>
      <c r="AK630">
        <f t="shared" si="280"/>
        <v>0</v>
      </c>
      <c r="AL630">
        <f t="shared" si="289"/>
        <v>0</v>
      </c>
      <c r="AM630">
        <f t="shared" ca="1" si="281"/>
        <v>2.6560383008097266E-7</v>
      </c>
      <c r="AN630" t="str">
        <f t="shared" ca="1" si="282"/>
        <v>Subcritical</v>
      </c>
      <c r="AO630">
        <f t="shared" ca="1" si="283"/>
        <v>2.2562304480281055E-12</v>
      </c>
    </row>
    <row r="631" spans="1:41" x14ac:dyDescent="0.35">
      <c r="A631">
        <v>482</v>
      </c>
      <c r="B631">
        <v>480.89499999999998</v>
      </c>
      <c r="C631">
        <v>616213.38100000005</v>
      </c>
      <c r="D631">
        <v>3097493.4619999998</v>
      </c>
      <c r="E631">
        <v>632.32150000000001</v>
      </c>
      <c r="F631">
        <v>5.2</v>
      </c>
      <c r="G631">
        <v>0</v>
      </c>
      <c r="H631" t="s">
        <v>186</v>
      </c>
      <c r="I631">
        <v>7.8E-2</v>
      </c>
      <c r="J631">
        <f t="shared" si="284"/>
        <v>1</v>
      </c>
      <c r="K631">
        <f t="shared" si="285"/>
        <v>51</v>
      </c>
      <c r="L631">
        <f t="shared" ca="1" si="286"/>
        <v>51797.843837663619</v>
      </c>
      <c r="M631">
        <f t="shared" ca="1" si="263"/>
        <v>269348.78795585083</v>
      </c>
      <c r="N631">
        <f t="shared" ca="1" si="264"/>
        <v>2.5998694991876676</v>
      </c>
      <c r="O631">
        <f t="shared" ca="1" si="265"/>
        <v>1.8934557080078435E-4</v>
      </c>
      <c r="P631">
        <f t="shared" ca="1" si="266"/>
        <v>52430.165337663617</v>
      </c>
      <c r="Q631">
        <f t="shared" ca="1" si="267"/>
        <v>52430.165337665443</v>
      </c>
      <c r="R631">
        <f t="shared" ca="1" si="268"/>
        <v>2.2564415439646509E-12</v>
      </c>
      <c r="S631">
        <f t="shared" ca="1" si="287"/>
        <v>5.0000000192085281E-4</v>
      </c>
      <c r="T631">
        <f t="shared" ca="1" si="288"/>
        <v>1</v>
      </c>
      <c r="U631">
        <f t="shared" ca="1" si="269"/>
        <v>51800.26683766341</v>
      </c>
      <c r="V631">
        <f t="shared" ca="1" si="270"/>
        <v>269361.38755584974</v>
      </c>
      <c r="W631">
        <f t="shared" ca="1" si="271"/>
        <v>2.5998695052916441</v>
      </c>
      <c r="X631">
        <f t="shared" ca="1" si="272"/>
        <v>1.8933671400629237E-4</v>
      </c>
      <c r="Y631">
        <f t="shared" ca="1" si="273"/>
        <v>52432.588337663408</v>
      </c>
      <c r="Z631">
        <f t="shared" ca="1" si="274"/>
        <v>52432.588337665235</v>
      </c>
      <c r="AA631">
        <f t="shared" ca="1" si="275"/>
        <v>2.2562304480281055E-12</v>
      </c>
      <c r="AB631">
        <f t="shared" ca="1" si="276"/>
        <v>-4.999999946448952E-4</v>
      </c>
      <c r="AC631">
        <f t="shared" ca="1" si="277"/>
        <v>1</v>
      </c>
      <c r="AD631">
        <f ca="1">IF(V32="Supercritical",L631,IF(V32="Subcritical",U631,IF(AND(T631=1,AC631=1),IF((((F631)*(L631)^2)/2+(G631)*(L631)^3/3+(ABS(K631)^2)/($I$5*MAX(((F631)+(G631)*(L631))*(L631),0.000001)))&gt;=(((F631)*(U631)^2)/2+(G631)*(U631)^3/3+(ABS(K631)^2)/($I$5*MAX(((F631)+(G631)*(U631))*(U631),0.000001))),L631,U631),IF(T631=1,L631,IF(AC631=1,U631,MAX($D$16,POWER((ABS(K631)^2)/($I$5*MAX(F631,0.1)^2),1/3)))))))</f>
        <v>51800.26683766341</v>
      </c>
      <c r="AE631">
        <f t="shared" ca="1" si="278"/>
        <v>52432.588337663408</v>
      </c>
      <c r="AF631">
        <f t="shared" ca="1" si="279"/>
        <v>52432.588337665235</v>
      </c>
      <c r="AI631">
        <v>0</v>
      </c>
      <c r="AJ631">
        <v>0</v>
      </c>
      <c r="AK631">
        <f t="shared" si="280"/>
        <v>0</v>
      </c>
      <c r="AL631">
        <f t="shared" si="289"/>
        <v>0</v>
      </c>
      <c r="AM631">
        <f t="shared" ca="1" si="281"/>
        <v>2.6560383008097266E-7</v>
      </c>
      <c r="AN631" t="str">
        <f t="shared" ca="1" si="282"/>
        <v>Subcritical</v>
      </c>
      <c r="AO631">
        <f t="shared" ca="1" si="283"/>
        <v>2.2562304480281055E-12</v>
      </c>
    </row>
    <row r="632" spans="1:41" x14ac:dyDescent="0.35">
      <c r="A632">
        <v>483</v>
      </c>
      <c r="B632">
        <v>481.89600000000002</v>
      </c>
      <c r="C632">
        <v>616212.90700000001</v>
      </c>
      <c r="D632">
        <v>3097492.5809999998</v>
      </c>
      <c r="E632">
        <v>632.32100000000003</v>
      </c>
      <c r="F632">
        <v>5.2</v>
      </c>
      <c r="G632">
        <v>0</v>
      </c>
      <c r="H632" t="s">
        <v>186</v>
      </c>
      <c r="I632">
        <v>2.7E-2</v>
      </c>
      <c r="J632">
        <f t="shared" si="284"/>
        <v>1.0010000000000332</v>
      </c>
      <c r="K632">
        <f t="shared" si="285"/>
        <v>51</v>
      </c>
      <c r="L632">
        <f t="shared" ca="1" si="286"/>
        <v>51797.843837663619</v>
      </c>
      <c r="M632">
        <f t="shared" ca="1" si="263"/>
        <v>269348.78795585083</v>
      </c>
      <c r="N632">
        <f t="shared" ca="1" si="264"/>
        <v>2.5998694991876676</v>
      </c>
      <c r="O632">
        <f t="shared" ca="1" si="265"/>
        <v>1.8934557080078435E-4</v>
      </c>
      <c r="P632">
        <f t="shared" ca="1" si="266"/>
        <v>52430.164837663622</v>
      </c>
      <c r="Q632">
        <f t="shared" ca="1" si="267"/>
        <v>52430.164837665448</v>
      </c>
      <c r="R632">
        <f t="shared" ca="1" si="268"/>
        <v>2.2564415439646509E-12</v>
      </c>
      <c r="S632">
        <f t="shared" ca="1" si="287"/>
        <v>4.999999946448952E-4</v>
      </c>
      <c r="T632">
        <f t="shared" ca="1" si="288"/>
        <v>1</v>
      </c>
      <c r="U632">
        <f t="shared" ca="1" si="269"/>
        <v>51800.26683766341</v>
      </c>
      <c r="V632">
        <f t="shared" ca="1" si="270"/>
        <v>269361.38755584974</v>
      </c>
      <c r="W632">
        <f t="shared" ca="1" si="271"/>
        <v>2.5998695052916441</v>
      </c>
      <c r="X632">
        <f t="shared" ca="1" si="272"/>
        <v>1.8933671400629237E-4</v>
      </c>
      <c r="Y632">
        <f t="shared" ca="1" si="273"/>
        <v>52432.587837663414</v>
      </c>
      <c r="Z632">
        <f t="shared" ca="1" si="274"/>
        <v>52432.58783766524</v>
      </c>
      <c r="AA632">
        <f t="shared" ca="1" si="275"/>
        <v>2.2562304480281055E-12</v>
      </c>
      <c r="AB632">
        <f t="shared" ca="1" si="276"/>
        <v>-5.0000000192085281E-4</v>
      </c>
      <c r="AC632">
        <f t="shared" ca="1" si="277"/>
        <v>1</v>
      </c>
      <c r="AD632">
        <f ca="1">IF(V32="Supercritical",L632,IF(V32="Subcritical",U632,IF(AND(T632=1,AC632=1),IF((((F632)*(L632)^2)/2+(G632)*(L632)^3/3+(ABS(K632)^2)/($I$5*MAX(((F632)+(G632)*(L632))*(L632),0.000001)))&gt;=(((F632)*(U632)^2)/2+(G632)*(U632)^3/3+(ABS(K632)^2)/($I$5*MAX(((F632)+(G632)*(U632))*(U632),0.000001))),L632,U632),IF(T632=1,L632,IF(AC632=1,U632,MAX($D$16,POWER((ABS(K632)^2)/($I$5*MAX(F632,0.1)^2),1/3)))))))</f>
        <v>51800.26683766341</v>
      </c>
      <c r="AE632">
        <f t="shared" ca="1" si="278"/>
        <v>52432.587837663414</v>
      </c>
      <c r="AF632">
        <f t="shared" ca="1" si="279"/>
        <v>52432.58783766524</v>
      </c>
      <c r="AI632">
        <v>0</v>
      </c>
      <c r="AJ632">
        <v>0</v>
      </c>
      <c r="AK632">
        <f t="shared" si="280"/>
        <v>0</v>
      </c>
      <c r="AL632">
        <f t="shared" si="289"/>
        <v>0</v>
      </c>
      <c r="AM632">
        <f t="shared" ca="1" si="281"/>
        <v>2.6560383008097266E-7</v>
      </c>
      <c r="AN632" t="str">
        <f t="shared" ca="1" si="282"/>
        <v>Subcritical</v>
      </c>
      <c r="AO632">
        <f t="shared" ca="1" si="283"/>
        <v>2.2562304480281055E-12</v>
      </c>
    </row>
    <row r="633" spans="1:41" x14ac:dyDescent="0.35">
      <c r="A633">
        <v>484</v>
      </c>
      <c r="B633">
        <v>482.89499999999998</v>
      </c>
      <c r="C633">
        <v>616212.43299999996</v>
      </c>
      <c r="D633">
        <v>3097491.7009999999</v>
      </c>
      <c r="E633">
        <v>632.32050000000004</v>
      </c>
      <c r="F633">
        <v>5.2</v>
      </c>
      <c r="G633">
        <v>0</v>
      </c>
      <c r="H633" t="s">
        <v>186</v>
      </c>
      <c r="I633">
        <v>0</v>
      </c>
      <c r="J633">
        <f t="shared" si="284"/>
        <v>0.9989999999999668</v>
      </c>
      <c r="K633">
        <f t="shared" si="285"/>
        <v>51</v>
      </c>
      <c r="L633">
        <f t="shared" ca="1" si="286"/>
        <v>51797.843837663619</v>
      </c>
      <c r="M633">
        <f t="shared" ca="1" si="263"/>
        <v>269348.78795585083</v>
      </c>
      <c r="N633">
        <f t="shared" ca="1" si="264"/>
        <v>2.5998694991876676</v>
      </c>
      <c r="O633">
        <f t="shared" ca="1" si="265"/>
        <v>1.8934557080078435E-4</v>
      </c>
      <c r="P633">
        <f t="shared" ca="1" si="266"/>
        <v>52430.16433766362</v>
      </c>
      <c r="Q633">
        <f t="shared" ca="1" si="267"/>
        <v>52430.164337665447</v>
      </c>
      <c r="R633">
        <f t="shared" ca="1" si="268"/>
        <v>2.2564415439646509E-12</v>
      </c>
      <c r="S633">
        <f t="shared" ca="1" si="287"/>
        <v>5.0000000192085281E-4</v>
      </c>
      <c r="T633">
        <f t="shared" ca="1" si="288"/>
        <v>1</v>
      </c>
      <c r="U633">
        <f t="shared" ca="1" si="269"/>
        <v>51800.26683766341</v>
      </c>
      <c r="V633">
        <f t="shared" ca="1" si="270"/>
        <v>269361.38755584974</v>
      </c>
      <c r="W633">
        <f t="shared" ca="1" si="271"/>
        <v>2.5998695052916441</v>
      </c>
      <c r="X633">
        <f t="shared" ca="1" si="272"/>
        <v>1.8933671400629237E-4</v>
      </c>
      <c r="Y633">
        <f t="shared" ca="1" si="273"/>
        <v>52432.587337663412</v>
      </c>
      <c r="Z633">
        <f t="shared" ca="1" si="274"/>
        <v>52432.587337665238</v>
      </c>
      <c r="AA633">
        <f t="shared" ca="1" si="275"/>
        <v>2.2562304480281055E-12</v>
      </c>
      <c r="AB633">
        <f t="shared" ca="1" si="276"/>
        <v>-5.0000000192085281E-4</v>
      </c>
      <c r="AC633">
        <f t="shared" ca="1" si="277"/>
        <v>1</v>
      </c>
      <c r="AD633">
        <f ca="1">IF(V32="Supercritical",L633,IF(V32="Subcritical",U633,IF(AND(T633=1,AC633=1),IF((((F633)*(L633)^2)/2+(G633)*(L633)^3/3+(ABS(K633)^2)/($I$5*MAX(((F633)+(G633)*(L633))*(L633),0.000001)))&gt;=(((F633)*(U633)^2)/2+(G633)*(U633)^3/3+(ABS(K633)^2)/($I$5*MAX(((F633)+(G633)*(U633))*(U633),0.000001))),L633,U633),IF(T633=1,L633,IF(AC633=1,U633,MAX($D$16,POWER((ABS(K633)^2)/($I$5*MAX(F633,0.1)^2),1/3)))))))</f>
        <v>51800.26683766341</v>
      </c>
      <c r="AE633">
        <f t="shared" ca="1" si="278"/>
        <v>52432.587337663412</v>
      </c>
      <c r="AF633">
        <f t="shared" ca="1" si="279"/>
        <v>52432.587337665238</v>
      </c>
      <c r="AI633">
        <v>0</v>
      </c>
      <c r="AJ633">
        <v>0</v>
      </c>
      <c r="AK633">
        <f t="shared" si="280"/>
        <v>0</v>
      </c>
      <c r="AL633">
        <f t="shared" si="289"/>
        <v>0</v>
      </c>
      <c r="AM633">
        <f t="shared" ca="1" si="281"/>
        <v>2.6560383008097266E-7</v>
      </c>
      <c r="AN633" t="str">
        <f t="shared" ca="1" si="282"/>
        <v>Subcritical</v>
      </c>
      <c r="AO633">
        <f t="shared" ca="1" si="283"/>
        <v>2.2562304480281055E-12</v>
      </c>
    </row>
    <row r="634" spans="1:41" x14ac:dyDescent="0.35">
      <c r="A634">
        <v>485</v>
      </c>
      <c r="B634">
        <v>483.89499999999998</v>
      </c>
      <c r="C634">
        <v>616211.95900000003</v>
      </c>
      <c r="D634">
        <v>3097490.821</v>
      </c>
      <c r="E634">
        <v>632.32000000000005</v>
      </c>
      <c r="F634">
        <v>5.2</v>
      </c>
      <c r="G634">
        <v>0</v>
      </c>
      <c r="H634" t="s">
        <v>186</v>
      </c>
      <c r="I634">
        <v>2.7E-2</v>
      </c>
      <c r="J634">
        <f t="shared" si="284"/>
        <v>1</v>
      </c>
      <c r="K634">
        <f t="shared" si="285"/>
        <v>51</v>
      </c>
      <c r="L634">
        <f t="shared" ca="1" si="286"/>
        <v>51797.843837663619</v>
      </c>
      <c r="M634">
        <f t="shared" ca="1" si="263"/>
        <v>269348.78795585083</v>
      </c>
      <c r="N634">
        <f t="shared" ca="1" si="264"/>
        <v>2.5998694991876676</v>
      </c>
      <c r="O634">
        <f t="shared" ca="1" si="265"/>
        <v>1.8934557080078435E-4</v>
      </c>
      <c r="P634">
        <f t="shared" ca="1" si="266"/>
        <v>52430.163837663618</v>
      </c>
      <c r="Q634">
        <f t="shared" ca="1" si="267"/>
        <v>52430.163837665445</v>
      </c>
      <c r="R634">
        <f t="shared" ca="1" si="268"/>
        <v>2.2564415439646509E-12</v>
      </c>
      <c r="S634">
        <f t="shared" ca="1" si="287"/>
        <v>5.0000000192085281E-4</v>
      </c>
      <c r="T634">
        <f t="shared" ca="1" si="288"/>
        <v>1</v>
      </c>
      <c r="U634">
        <f t="shared" ca="1" si="269"/>
        <v>51800.26683766341</v>
      </c>
      <c r="V634">
        <f t="shared" ca="1" si="270"/>
        <v>269361.38755584974</v>
      </c>
      <c r="W634">
        <f t="shared" ca="1" si="271"/>
        <v>2.5998695052916441</v>
      </c>
      <c r="X634">
        <f t="shared" ca="1" si="272"/>
        <v>1.8933671400629237E-4</v>
      </c>
      <c r="Y634">
        <f t="shared" ca="1" si="273"/>
        <v>52432.58683766341</v>
      </c>
      <c r="Z634">
        <f t="shared" ca="1" si="274"/>
        <v>52432.586837665236</v>
      </c>
      <c r="AA634">
        <f t="shared" ca="1" si="275"/>
        <v>2.2562304480281055E-12</v>
      </c>
      <c r="AB634">
        <f t="shared" ca="1" si="276"/>
        <v>-5.0000000192085281E-4</v>
      </c>
      <c r="AC634">
        <f t="shared" ca="1" si="277"/>
        <v>1</v>
      </c>
      <c r="AD634">
        <f ca="1">IF(V32="Supercritical",L634,IF(V32="Subcritical",U634,IF(AND(T634=1,AC634=1),IF((((F634)*(L634)^2)/2+(G634)*(L634)^3/3+(ABS(K634)^2)/($I$5*MAX(((F634)+(G634)*(L634))*(L634),0.000001)))&gt;=(((F634)*(U634)^2)/2+(G634)*(U634)^3/3+(ABS(K634)^2)/($I$5*MAX(((F634)+(G634)*(U634))*(U634),0.000001))),L634,U634),IF(T634=1,L634,IF(AC634=1,U634,MAX($D$16,POWER((ABS(K634)^2)/($I$5*MAX(F634,0.1)^2),1/3)))))))</f>
        <v>51800.26683766341</v>
      </c>
      <c r="AE634">
        <f t="shared" ca="1" si="278"/>
        <v>52432.58683766341</v>
      </c>
      <c r="AF634">
        <f t="shared" ca="1" si="279"/>
        <v>52432.586837665236</v>
      </c>
      <c r="AI634">
        <v>0</v>
      </c>
      <c r="AJ634">
        <v>0</v>
      </c>
      <c r="AK634">
        <f t="shared" si="280"/>
        <v>0</v>
      </c>
      <c r="AL634">
        <f t="shared" si="289"/>
        <v>0</v>
      </c>
      <c r="AM634">
        <f t="shared" ca="1" si="281"/>
        <v>2.6560383008097266E-7</v>
      </c>
      <c r="AN634" t="str">
        <f t="shared" ca="1" si="282"/>
        <v>Subcritical</v>
      </c>
      <c r="AO634">
        <f t="shared" ca="1" si="283"/>
        <v>2.2562304480281055E-12</v>
      </c>
    </row>
    <row r="635" spans="1:41" x14ac:dyDescent="0.35">
      <c r="A635">
        <v>486</v>
      </c>
      <c r="B635">
        <v>484.89499999999998</v>
      </c>
      <c r="C635">
        <v>616211.48499999999</v>
      </c>
      <c r="D635">
        <v>3097489.94</v>
      </c>
      <c r="E635">
        <v>632.31949999999995</v>
      </c>
      <c r="F635">
        <v>5.2</v>
      </c>
      <c r="G635">
        <v>0</v>
      </c>
      <c r="H635" t="s">
        <v>186</v>
      </c>
      <c r="I635">
        <v>7.8E-2</v>
      </c>
      <c r="J635">
        <f t="shared" si="284"/>
        <v>1</v>
      </c>
      <c r="K635">
        <f t="shared" si="285"/>
        <v>51</v>
      </c>
      <c r="L635">
        <f t="shared" ca="1" si="286"/>
        <v>51797.843837663619</v>
      </c>
      <c r="M635">
        <f t="shared" ca="1" si="263"/>
        <v>269348.78795585083</v>
      </c>
      <c r="N635">
        <f t="shared" ca="1" si="264"/>
        <v>2.5998694991876676</v>
      </c>
      <c r="O635">
        <f t="shared" ca="1" si="265"/>
        <v>1.8934557080078435E-4</v>
      </c>
      <c r="P635">
        <f t="shared" ca="1" si="266"/>
        <v>52430.163337663616</v>
      </c>
      <c r="Q635">
        <f t="shared" ca="1" si="267"/>
        <v>52430.163337665443</v>
      </c>
      <c r="R635">
        <f t="shared" ca="1" si="268"/>
        <v>2.2564415439646509E-12</v>
      </c>
      <c r="S635">
        <f t="shared" ca="1" si="287"/>
        <v>5.0000000192085281E-4</v>
      </c>
      <c r="T635">
        <f t="shared" ca="1" si="288"/>
        <v>1</v>
      </c>
      <c r="U635">
        <f t="shared" ca="1" si="269"/>
        <v>51800.26683766341</v>
      </c>
      <c r="V635">
        <f t="shared" ca="1" si="270"/>
        <v>269361.38755584974</v>
      </c>
      <c r="W635">
        <f t="shared" ca="1" si="271"/>
        <v>2.5998695052916441</v>
      </c>
      <c r="X635">
        <f t="shared" ca="1" si="272"/>
        <v>1.8933671400629237E-4</v>
      </c>
      <c r="Y635">
        <f t="shared" ca="1" si="273"/>
        <v>52432.586337663408</v>
      </c>
      <c r="Z635">
        <f t="shared" ca="1" si="274"/>
        <v>52432.586337665234</v>
      </c>
      <c r="AA635">
        <f t="shared" ca="1" si="275"/>
        <v>2.2562304480281055E-12</v>
      </c>
      <c r="AB635">
        <f t="shared" ca="1" si="276"/>
        <v>-4.999999946448952E-4</v>
      </c>
      <c r="AC635">
        <f t="shared" ca="1" si="277"/>
        <v>1</v>
      </c>
      <c r="AD635">
        <f ca="1">IF(V32="Supercritical",L635,IF(V32="Subcritical",U635,IF(AND(T635=1,AC635=1),IF((((F635)*(L635)^2)/2+(G635)*(L635)^3/3+(ABS(K635)^2)/($I$5*MAX(((F635)+(G635)*(L635))*(L635),0.000001)))&gt;=(((F635)*(U635)^2)/2+(G635)*(U635)^3/3+(ABS(K635)^2)/($I$5*MAX(((F635)+(G635)*(U635))*(U635),0.000001))),L635,U635),IF(T635=1,L635,IF(AC635=1,U635,MAX($D$16,POWER((ABS(K635)^2)/($I$5*MAX(F635,0.1)^2),1/3)))))))</f>
        <v>51800.26683766341</v>
      </c>
      <c r="AE635">
        <f t="shared" ca="1" si="278"/>
        <v>52432.586337663408</v>
      </c>
      <c r="AF635">
        <f t="shared" ca="1" si="279"/>
        <v>52432.586337665234</v>
      </c>
      <c r="AI635">
        <v>0</v>
      </c>
      <c r="AJ635">
        <v>0</v>
      </c>
      <c r="AK635">
        <f t="shared" si="280"/>
        <v>0</v>
      </c>
      <c r="AL635">
        <f t="shared" si="289"/>
        <v>0</v>
      </c>
      <c r="AM635">
        <f t="shared" ca="1" si="281"/>
        <v>2.6560383008097266E-7</v>
      </c>
      <c r="AN635" t="str">
        <f t="shared" ca="1" si="282"/>
        <v>Subcritical</v>
      </c>
      <c r="AO635">
        <f t="shared" ca="1" si="283"/>
        <v>2.2562304480281055E-12</v>
      </c>
    </row>
    <row r="636" spans="1:41" x14ac:dyDescent="0.35">
      <c r="A636">
        <v>487</v>
      </c>
      <c r="B636">
        <v>485.89499999999998</v>
      </c>
      <c r="C636">
        <v>616211.01</v>
      </c>
      <c r="D636">
        <v>3097489.06</v>
      </c>
      <c r="E636">
        <v>632.31899999999996</v>
      </c>
      <c r="F636">
        <v>5.2</v>
      </c>
      <c r="G636">
        <v>0</v>
      </c>
      <c r="H636" t="s">
        <v>186</v>
      </c>
      <c r="I636">
        <v>7.8E-2</v>
      </c>
      <c r="J636">
        <f t="shared" si="284"/>
        <v>1</v>
      </c>
      <c r="K636">
        <f t="shared" si="285"/>
        <v>51</v>
      </c>
      <c r="L636">
        <f t="shared" ca="1" si="286"/>
        <v>51797.843837663619</v>
      </c>
      <c r="M636">
        <f t="shared" ca="1" si="263"/>
        <v>269348.78795585083</v>
      </c>
      <c r="N636">
        <f t="shared" ca="1" si="264"/>
        <v>2.5998694991876676</v>
      </c>
      <c r="O636">
        <f t="shared" ca="1" si="265"/>
        <v>1.8934557080078435E-4</v>
      </c>
      <c r="P636">
        <f t="shared" ca="1" si="266"/>
        <v>52430.162837663622</v>
      </c>
      <c r="Q636">
        <f t="shared" ca="1" si="267"/>
        <v>52430.162837665448</v>
      </c>
      <c r="R636">
        <f t="shared" ca="1" si="268"/>
        <v>2.2564415439646509E-12</v>
      </c>
      <c r="S636">
        <f t="shared" ca="1" si="287"/>
        <v>4.999999946448952E-4</v>
      </c>
      <c r="T636">
        <f t="shared" ca="1" si="288"/>
        <v>1</v>
      </c>
      <c r="U636">
        <f t="shared" ca="1" si="269"/>
        <v>51800.26683766341</v>
      </c>
      <c r="V636">
        <f t="shared" ca="1" si="270"/>
        <v>269361.38755584974</v>
      </c>
      <c r="W636">
        <f t="shared" ca="1" si="271"/>
        <v>2.5998695052916441</v>
      </c>
      <c r="X636">
        <f t="shared" ca="1" si="272"/>
        <v>1.8933671400629237E-4</v>
      </c>
      <c r="Y636">
        <f t="shared" ca="1" si="273"/>
        <v>52432.585837663413</v>
      </c>
      <c r="Z636">
        <f t="shared" ca="1" si="274"/>
        <v>52432.58583766524</v>
      </c>
      <c r="AA636">
        <f t="shared" ca="1" si="275"/>
        <v>2.2562304480281055E-12</v>
      </c>
      <c r="AB636">
        <f t="shared" ca="1" si="276"/>
        <v>-5.0000000192085281E-4</v>
      </c>
      <c r="AC636">
        <f t="shared" ca="1" si="277"/>
        <v>1</v>
      </c>
      <c r="AD636">
        <f ca="1">IF(V32="Supercritical",L636,IF(V32="Subcritical",U636,IF(AND(T636=1,AC636=1),IF((((F636)*(L636)^2)/2+(G636)*(L636)^3/3+(ABS(K636)^2)/($I$5*MAX(((F636)+(G636)*(L636))*(L636),0.000001)))&gt;=(((F636)*(U636)^2)/2+(G636)*(U636)^3/3+(ABS(K636)^2)/($I$5*MAX(((F636)+(G636)*(U636))*(U636),0.000001))),L636,U636),IF(T636=1,L636,IF(AC636=1,U636,MAX($D$16,POWER((ABS(K636)^2)/($I$5*MAX(F636,0.1)^2),1/3)))))))</f>
        <v>51800.26683766341</v>
      </c>
      <c r="AE636">
        <f t="shared" ca="1" si="278"/>
        <v>52432.585837663413</v>
      </c>
      <c r="AF636">
        <f t="shared" ca="1" si="279"/>
        <v>52432.58583766524</v>
      </c>
      <c r="AI636">
        <v>0</v>
      </c>
      <c r="AJ636">
        <v>0</v>
      </c>
      <c r="AK636">
        <f t="shared" si="280"/>
        <v>0</v>
      </c>
      <c r="AL636">
        <f t="shared" si="289"/>
        <v>0</v>
      </c>
      <c r="AM636">
        <f t="shared" ca="1" si="281"/>
        <v>2.6560383008097266E-7</v>
      </c>
      <c r="AN636" t="str">
        <f t="shared" ca="1" si="282"/>
        <v>Subcritical</v>
      </c>
      <c r="AO636">
        <f t="shared" ca="1" si="283"/>
        <v>2.2562304480281055E-12</v>
      </c>
    </row>
    <row r="637" spans="1:41" x14ac:dyDescent="0.35">
      <c r="A637">
        <v>488</v>
      </c>
      <c r="B637">
        <v>486.89600000000002</v>
      </c>
      <c r="C637">
        <v>616210.53599999996</v>
      </c>
      <c r="D637">
        <v>3097488.179</v>
      </c>
      <c r="E637">
        <v>632.31849999999997</v>
      </c>
      <c r="F637">
        <v>5.2</v>
      </c>
      <c r="G637">
        <v>0</v>
      </c>
      <c r="H637" t="s">
        <v>186</v>
      </c>
      <c r="I637">
        <v>2.7E-2</v>
      </c>
      <c r="J637">
        <f t="shared" si="284"/>
        <v>1.0010000000000332</v>
      </c>
      <c r="K637">
        <f t="shared" si="285"/>
        <v>51</v>
      </c>
      <c r="L637">
        <f t="shared" ca="1" si="286"/>
        <v>51797.843837663619</v>
      </c>
      <c r="M637">
        <f t="shared" ca="1" si="263"/>
        <v>269348.78795585083</v>
      </c>
      <c r="N637">
        <f t="shared" ca="1" si="264"/>
        <v>2.5998694991876676</v>
      </c>
      <c r="O637">
        <f t="shared" ca="1" si="265"/>
        <v>1.8934557080078435E-4</v>
      </c>
      <c r="P637">
        <f t="shared" ca="1" si="266"/>
        <v>52430.16233766362</v>
      </c>
      <c r="Q637">
        <f t="shared" ca="1" si="267"/>
        <v>52430.162337665446</v>
      </c>
      <c r="R637">
        <f t="shared" ca="1" si="268"/>
        <v>2.2564415439646509E-12</v>
      </c>
      <c r="S637">
        <f t="shared" ca="1" si="287"/>
        <v>5.0000000192085281E-4</v>
      </c>
      <c r="T637">
        <f t="shared" ca="1" si="288"/>
        <v>1</v>
      </c>
      <c r="U637">
        <f t="shared" ca="1" si="269"/>
        <v>51800.26683766341</v>
      </c>
      <c r="V637">
        <f t="shared" ca="1" si="270"/>
        <v>269361.38755584974</v>
      </c>
      <c r="W637">
        <f t="shared" ca="1" si="271"/>
        <v>2.5998695052916441</v>
      </c>
      <c r="X637">
        <f t="shared" ca="1" si="272"/>
        <v>1.8933671400629237E-4</v>
      </c>
      <c r="Y637">
        <f t="shared" ca="1" si="273"/>
        <v>52432.585337663411</v>
      </c>
      <c r="Z637">
        <f t="shared" ca="1" si="274"/>
        <v>52432.585337665238</v>
      </c>
      <c r="AA637">
        <f t="shared" ca="1" si="275"/>
        <v>2.2562304480281055E-12</v>
      </c>
      <c r="AB637">
        <f t="shared" ca="1" si="276"/>
        <v>-5.0000000192085281E-4</v>
      </c>
      <c r="AC637">
        <f t="shared" ca="1" si="277"/>
        <v>1</v>
      </c>
      <c r="AD637">
        <f ca="1">IF(V32="Supercritical",L637,IF(V32="Subcritical",U637,IF(AND(T637=1,AC637=1),IF((((F637)*(L637)^2)/2+(G637)*(L637)^3/3+(ABS(K637)^2)/($I$5*MAX(((F637)+(G637)*(L637))*(L637),0.000001)))&gt;=(((F637)*(U637)^2)/2+(G637)*(U637)^3/3+(ABS(K637)^2)/($I$5*MAX(((F637)+(G637)*(U637))*(U637),0.000001))),L637,U637),IF(T637=1,L637,IF(AC637=1,U637,MAX($D$16,POWER((ABS(K637)^2)/($I$5*MAX(F637,0.1)^2),1/3)))))))</f>
        <v>51800.26683766341</v>
      </c>
      <c r="AE637">
        <f t="shared" ca="1" si="278"/>
        <v>52432.585337663411</v>
      </c>
      <c r="AF637">
        <f t="shared" ca="1" si="279"/>
        <v>52432.585337665238</v>
      </c>
      <c r="AI637">
        <v>0</v>
      </c>
      <c r="AJ637">
        <v>0</v>
      </c>
      <c r="AK637">
        <f t="shared" si="280"/>
        <v>0</v>
      </c>
      <c r="AL637">
        <f t="shared" si="289"/>
        <v>0</v>
      </c>
      <c r="AM637">
        <f t="shared" ca="1" si="281"/>
        <v>2.6560383008097266E-7</v>
      </c>
      <c r="AN637" t="str">
        <f t="shared" ca="1" si="282"/>
        <v>Subcritical</v>
      </c>
      <c r="AO637">
        <f t="shared" ca="1" si="283"/>
        <v>2.2562304480281055E-12</v>
      </c>
    </row>
    <row r="638" spans="1:41" x14ac:dyDescent="0.35">
      <c r="A638">
        <v>489</v>
      </c>
      <c r="B638">
        <v>487.89499999999998</v>
      </c>
      <c r="C638">
        <v>616210.06200000003</v>
      </c>
      <c r="D638">
        <v>3097487.2990000001</v>
      </c>
      <c r="E638">
        <v>632.31799999999998</v>
      </c>
      <c r="F638">
        <v>5.2</v>
      </c>
      <c r="G638">
        <v>0</v>
      </c>
      <c r="H638" t="s">
        <v>186</v>
      </c>
      <c r="I638">
        <v>0</v>
      </c>
      <c r="J638">
        <f t="shared" si="284"/>
        <v>0.9989999999999668</v>
      </c>
      <c r="K638">
        <f t="shared" si="285"/>
        <v>51</v>
      </c>
      <c r="L638">
        <f t="shared" ca="1" si="286"/>
        <v>51797.843837663619</v>
      </c>
      <c r="M638">
        <f t="shared" ca="1" si="263"/>
        <v>269348.78795585083</v>
      </c>
      <c r="N638">
        <f t="shared" ca="1" si="264"/>
        <v>2.5998694991876676</v>
      </c>
      <c r="O638">
        <f t="shared" ca="1" si="265"/>
        <v>1.8934557080078435E-4</v>
      </c>
      <c r="P638">
        <f t="shared" ca="1" si="266"/>
        <v>52430.161837663618</v>
      </c>
      <c r="Q638">
        <f t="shared" ca="1" si="267"/>
        <v>52430.161837665444</v>
      </c>
      <c r="R638">
        <f t="shared" ca="1" si="268"/>
        <v>2.2564415439646509E-12</v>
      </c>
      <c r="S638">
        <f t="shared" ca="1" si="287"/>
        <v>5.0000000192085281E-4</v>
      </c>
      <c r="T638">
        <f t="shared" ca="1" si="288"/>
        <v>1</v>
      </c>
      <c r="U638">
        <f t="shared" ca="1" si="269"/>
        <v>51800.26683766341</v>
      </c>
      <c r="V638">
        <f t="shared" ca="1" si="270"/>
        <v>269361.38755584974</v>
      </c>
      <c r="W638">
        <f t="shared" ca="1" si="271"/>
        <v>2.5998695052916441</v>
      </c>
      <c r="X638">
        <f t="shared" ca="1" si="272"/>
        <v>1.8933671400629237E-4</v>
      </c>
      <c r="Y638">
        <f t="shared" ca="1" si="273"/>
        <v>52432.584837663409</v>
      </c>
      <c r="Z638">
        <f t="shared" ca="1" si="274"/>
        <v>52432.584837665236</v>
      </c>
      <c r="AA638">
        <f t="shared" ca="1" si="275"/>
        <v>2.2562304480281055E-12</v>
      </c>
      <c r="AB638">
        <f t="shared" ca="1" si="276"/>
        <v>-5.0000000192085281E-4</v>
      </c>
      <c r="AC638">
        <f t="shared" ca="1" si="277"/>
        <v>1</v>
      </c>
      <c r="AD638">
        <f ca="1">IF(V32="Supercritical",L638,IF(V32="Subcritical",U638,IF(AND(T638=1,AC638=1),IF((((F638)*(L638)^2)/2+(G638)*(L638)^3/3+(ABS(K638)^2)/($I$5*MAX(((F638)+(G638)*(L638))*(L638),0.000001)))&gt;=(((F638)*(U638)^2)/2+(G638)*(U638)^3/3+(ABS(K638)^2)/($I$5*MAX(((F638)+(G638)*(U638))*(U638),0.000001))),L638,U638),IF(T638=1,L638,IF(AC638=1,U638,MAX($D$16,POWER((ABS(K638)^2)/($I$5*MAX(F638,0.1)^2),1/3)))))))</f>
        <v>51800.26683766341</v>
      </c>
      <c r="AE638">
        <f t="shared" ca="1" si="278"/>
        <v>52432.584837663409</v>
      </c>
      <c r="AF638">
        <f t="shared" ca="1" si="279"/>
        <v>52432.584837665236</v>
      </c>
      <c r="AI638">
        <v>0</v>
      </c>
      <c r="AJ638">
        <v>0</v>
      </c>
      <c r="AK638">
        <f t="shared" si="280"/>
        <v>0</v>
      </c>
      <c r="AL638">
        <f t="shared" si="289"/>
        <v>0</v>
      </c>
      <c r="AM638">
        <f t="shared" ca="1" si="281"/>
        <v>2.6560383008097266E-7</v>
      </c>
      <c r="AN638" t="str">
        <f t="shared" ca="1" si="282"/>
        <v>Subcritical</v>
      </c>
      <c r="AO638">
        <f t="shared" ca="1" si="283"/>
        <v>2.2562304480281055E-12</v>
      </c>
    </row>
    <row r="639" spans="1:41" x14ac:dyDescent="0.35">
      <c r="A639">
        <v>490</v>
      </c>
      <c r="B639">
        <v>488.89499999999998</v>
      </c>
      <c r="C639">
        <v>616209.58799999999</v>
      </c>
      <c r="D639">
        <v>3097486.4190000002</v>
      </c>
      <c r="E639">
        <v>632.3175</v>
      </c>
      <c r="F639">
        <v>5.2</v>
      </c>
      <c r="G639">
        <v>0</v>
      </c>
      <c r="H639" t="s">
        <v>186</v>
      </c>
      <c r="I639">
        <v>2.3E-2</v>
      </c>
      <c r="J639">
        <f t="shared" si="284"/>
        <v>1</v>
      </c>
      <c r="K639">
        <f t="shared" si="285"/>
        <v>51</v>
      </c>
      <c r="L639">
        <f t="shared" ca="1" si="286"/>
        <v>51797.843837663619</v>
      </c>
      <c r="M639">
        <f t="shared" ca="1" si="263"/>
        <v>269348.78795585083</v>
      </c>
      <c r="N639">
        <f t="shared" ca="1" si="264"/>
        <v>2.5998694991876676</v>
      </c>
      <c r="O639">
        <f t="shared" ca="1" si="265"/>
        <v>1.8934557080078435E-4</v>
      </c>
      <c r="P639">
        <f t="shared" ca="1" si="266"/>
        <v>52430.161337663616</v>
      </c>
      <c r="Q639">
        <f t="shared" ca="1" si="267"/>
        <v>52430.161337665442</v>
      </c>
      <c r="R639">
        <f t="shared" ca="1" si="268"/>
        <v>2.2564415439646509E-12</v>
      </c>
      <c r="S639">
        <f t="shared" ca="1" si="287"/>
        <v>5.0000000192085281E-4</v>
      </c>
      <c r="T639">
        <f t="shared" ca="1" si="288"/>
        <v>1</v>
      </c>
      <c r="U639">
        <f t="shared" ca="1" si="269"/>
        <v>51800.26683766341</v>
      </c>
      <c r="V639">
        <f t="shared" ca="1" si="270"/>
        <v>269361.38755584974</v>
      </c>
      <c r="W639">
        <f t="shared" ca="1" si="271"/>
        <v>2.5998695052916441</v>
      </c>
      <c r="X639">
        <f t="shared" ca="1" si="272"/>
        <v>1.8933671400629237E-4</v>
      </c>
      <c r="Y639">
        <f t="shared" ca="1" si="273"/>
        <v>52432.584337663407</v>
      </c>
      <c r="Z639">
        <f t="shared" ca="1" si="274"/>
        <v>52432.584337665234</v>
      </c>
      <c r="AA639">
        <f t="shared" ca="1" si="275"/>
        <v>2.2562304480281055E-12</v>
      </c>
      <c r="AB639">
        <f t="shared" ca="1" si="276"/>
        <v>-4.999999946448952E-4</v>
      </c>
      <c r="AC639">
        <f t="shared" ca="1" si="277"/>
        <v>1</v>
      </c>
      <c r="AD639">
        <f ca="1">IF(V32="Supercritical",L639,IF(V32="Subcritical",U639,IF(AND(T639=1,AC639=1),IF((((F639)*(L639)^2)/2+(G639)*(L639)^3/3+(ABS(K639)^2)/($I$5*MAX(((F639)+(G639)*(L639))*(L639),0.000001)))&gt;=(((F639)*(U639)^2)/2+(G639)*(U639)^3/3+(ABS(K639)^2)/($I$5*MAX(((F639)+(G639)*(U639))*(U639),0.000001))),L639,U639),IF(T639=1,L639,IF(AC639=1,U639,MAX($D$16,POWER((ABS(K639)^2)/($I$5*MAX(F639,0.1)^2),1/3)))))))</f>
        <v>51800.26683766341</v>
      </c>
      <c r="AE639">
        <f t="shared" ca="1" si="278"/>
        <v>52432.584337663407</v>
      </c>
      <c r="AF639">
        <f t="shared" ca="1" si="279"/>
        <v>52432.584337665234</v>
      </c>
      <c r="AI639">
        <v>0</v>
      </c>
      <c r="AJ639">
        <v>0</v>
      </c>
      <c r="AK639">
        <f t="shared" si="280"/>
        <v>0</v>
      </c>
      <c r="AL639">
        <f t="shared" si="289"/>
        <v>0</v>
      </c>
      <c r="AM639">
        <f t="shared" ca="1" si="281"/>
        <v>2.6560383008097266E-7</v>
      </c>
      <c r="AN639" t="str">
        <f t="shared" ca="1" si="282"/>
        <v>Subcritical</v>
      </c>
      <c r="AO639">
        <f t="shared" ca="1" si="283"/>
        <v>2.2562304480281055E-12</v>
      </c>
    </row>
    <row r="640" spans="1:41" x14ac:dyDescent="0.35">
      <c r="A640">
        <v>491</v>
      </c>
      <c r="B640">
        <v>489.89600000000002</v>
      </c>
      <c r="C640">
        <v>616209.11300000001</v>
      </c>
      <c r="D640">
        <v>3097485.5380000002</v>
      </c>
      <c r="E640">
        <v>632.31700000000001</v>
      </c>
      <c r="F640">
        <v>5.2</v>
      </c>
      <c r="G640">
        <v>0</v>
      </c>
      <c r="H640" t="s">
        <v>186</v>
      </c>
      <c r="I640">
        <v>2.3E-2</v>
      </c>
      <c r="J640">
        <f t="shared" si="284"/>
        <v>1.0010000000000332</v>
      </c>
      <c r="K640">
        <f t="shared" si="285"/>
        <v>51</v>
      </c>
      <c r="L640">
        <f t="shared" ca="1" si="286"/>
        <v>51797.843837663619</v>
      </c>
      <c r="M640">
        <f t="shared" ca="1" si="263"/>
        <v>269348.78795585083</v>
      </c>
      <c r="N640">
        <f t="shared" ca="1" si="264"/>
        <v>2.5998694991876676</v>
      </c>
      <c r="O640">
        <f t="shared" ca="1" si="265"/>
        <v>1.8934557080078435E-4</v>
      </c>
      <c r="P640">
        <f t="shared" ca="1" si="266"/>
        <v>52430.160837663621</v>
      </c>
      <c r="Q640">
        <f t="shared" ca="1" si="267"/>
        <v>52430.160837665448</v>
      </c>
      <c r="R640">
        <f t="shared" ca="1" si="268"/>
        <v>2.2564415439646509E-12</v>
      </c>
      <c r="S640">
        <f t="shared" ca="1" si="287"/>
        <v>4.999999946448952E-4</v>
      </c>
      <c r="T640">
        <f t="shared" ca="1" si="288"/>
        <v>1</v>
      </c>
      <c r="U640">
        <f t="shared" ca="1" si="269"/>
        <v>51800.26683766341</v>
      </c>
      <c r="V640">
        <f t="shared" ca="1" si="270"/>
        <v>269361.38755584974</v>
      </c>
      <c r="W640">
        <f t="shared" ca="1" si="271"/>
        <v>2.5998695052916441</v>
      </c>
      <c r="X640">
        <f t="shared" ca="1" si="272"/>
        <v>1.8933671400629237E-4</v>
      </c>
      <c r="Y640">
        <f t="shared" ca="1" si="273"/>
        <v>52432.583837663413</v>
      </c>
      <c r="Z640">
        <f t="shared" ca="1" si="274"/>
        <v>52432.583837665239</v>
      </c>
      <c r="AA640">
        <f t="shared" ca="1" si="275"/>
        <v>2.2562304480281055E-12</v>
      </c>
      <c r="AB640">
        <f t="shared" ca="1" si="276"/>
        <v>-5.0000000192085281E-4</v>
      </c>
      <c r="AC640">
        <f t="shared" ca="1" si="277"/>
        <v>1</v>
      </c>
      <c r="AD640">
        <f ca="1">IF(V32="Supercritical",L640,IF(V32="Subcritical",U640,IF(AND(T640=1,AC640=1),IF((((F640)*(L640)^2)/2+(G640)*(L640)^3/3+(ABS(K640)^2)/($I$5*MAX(((F640)+(G640)*(L640))*(L640),0.000001)))&gt;=(((F640)*(U640)^2)/2+(G640)*(U640)^3/3+(ABS(K640)^2)/($I$5*MAX(((F640)+(G640)*(U640))*(U640),0.000001))),L640,U640),IF(T640=1,L640,IF(AC640=1,U640,MAX($D$16,POWER((ABS(K640)^2)/($I$5*MAX(F640,0.1)^2),1/3)))))))</f>
        <v>51800.26683766341</v>
      </c>
      <c r="AE640">
        <f t="shared" ca="1" si="278"/>
        <v>52432.583837663413</v>
      </c>
      <c r="AF640">
        <f t="shared" ca="1" si="279"/>
        <v>52432.583837665239</v>
      </c>
      <c r="AI640">
        <v>0</v>
      </c>
      <c r="AJ640">
        <v>0</v>
      </c>
      <c r="AK640">
        <f t="shared" si="280"/>
        <v>0</v>
      </c>
      <c r="AL640">
        <f t="shared" si="289"/>
        <v>0</v>
      </c>
      <c r="AM640">
        <f t="shared" ca="1" si="281"/>
        <v>2.6560383008097266E-7</v>
      </c>
      <c r="AN640" t="str">
        <f t="shared" ca="1" si="282"/>
        <v>Subcritical</v>
      </c>
      <c r="AO640">
        <f t="shared" ca="1" si="283"/>
        <v>2.2562304480281055E-12</v>
      </c>
    </row>
    <row r="641" spans="1:41" x14ac:dyDescent="0.35">
      <c r="A641">
        <v>492</v>
      </c>
      <c r="B641">
        <v>490.89499999999998</v>
      </c>
      <c r="C641">
        <v>616208.63899999997</v>
      </c>
      <c r="D641">
        <v>3097484.6579999998</v>
      </c>
      <c r="E641">
        <v>632.31650000000002</v>
      </c>
      <c r="F641">
        <v>5.2</v>
      </c>
      <c r="G641">
        <v>0</v>
      </c>
      <c r="H641" t="s">
        <v>186</v>
      </c>
      <c r="I641">
        <v>2.7E-2</v>
      </c>
      <c r="J641">
        <f t="shared" si="284"/>
        <v>0.9989999999999668</v>
      </c>
      <c r="K641">
        <f t="shared" si="285"/>
        <v>51</v>
      </c>
      <c r="L641">
        <f t="shared" ca="1" si="286"/>
        <v>51797.843837663619</v>
      </c>
      <c r="M641">
        <f t="shared" ca="1" si="263"/>
        <v>269348.78795585083</v>
      </c>
      <c r="N641">
        <f t="shared" ca="1" si="264"/>
        <v>2.5998694991876676</v>
      </c>
      <c r="O641">
        <f t="shared" ca="1" si="265"/>
        <v>1.8934557080078435E-4</v>
      </c>
      <c r="P641">
        <f t="shared" ca="1" si="266"/>
        <v>52430.160337663619</v>
      </c>
      <c r="Q641">
        <f t="shared" ca="1" si="267"/>
        <v>52430.160337665446</v>
      </c>
      <c r="R641">
        <f t="shared" ca="1" si="268"/>
        <v>2.2564415439646509E-12</v>
      </c>
      <c r="S641">
        <f t="shared" ca="1" si="287"/>
        <v>5.0000000192085281E-4</v>
      </c>
      <c r="T641">
        <f t="shared" ca="1" si="288"/>
        <v>1</v>
      </c>
      <c r="U641">
        <f t="shared" ca="1" si="269"/>
        <v>51800.26683766341</v>
      </c>
      <c r="V641">
        <f t="shared" ca="1" si="270"/>
        <v>269361.38755584974</v>
      </c>
      <c r="W641">
        <f t="shared" ca="1" si="271"/>
        <v>2.5998695052916441</v>
      </c>
      <c r="X641">
        <f t="shared" ca="1" si="272"/>
        <v>1.8933671400629237E-4</v>
      </c>
      <c r="Y641">
        <f t="shared" ca="1" si="273"/>
        <v>52432.583337663411</v>
      </c>
      <c r="Z641">
        <f t="shared" ca="1" si="274"/>
        <v>52432.583337665237</v>
      </c>
      <c r="AA641">
        <f t="shared" ca="1" si="275"/>
        <v>2.2562304480281055E-12</v>
      </c>
      <c r="AB641">
        <f t="shared" ca="1" si="276"/>
        <v>-5.0000000192085281E-4</v>
      </c>
      <c r="AC641">
        <f t="shared" ca="1" si="277"/>
        <v>1</v>
      </c>
      <c r="AD641">
        <f ca="1">IF(V32="Supercritical",L641,IF(V32="Subcritical",U641,IF(AND(T641=1,AC641=1),IF((((F641)*(L641)^2)/2+(G641)*(L641)^3/3+(ABS(K641)^2)/($I$5*MAX(((F641)+(G641)*(L641))*(L641),0.000001)))&gt;=(((F641)*(U641)^2)/2+(G641)*(U641)^3/3+(ABS(K641)^2)/($I$5*MAX(((F641)+(G641)*(U641))*(U641),0.000001))),L641,U641),IF(T641=1,L641,IF(AC641=1,U641,MAX($D$16,POWER((ABS(K641)^2)/($I$5*MAX(F641,0.1)^2),1/3)))))))</f>
        <v>51800.26683766341</v>
      </c>
      <c r="AE641">
        <f t="shared" ca="1" si="278"/>
        <v>52432.583337663411</v>
      </c>
      <c r="AF641">
        <f t="shared" ca="1" si="279"/>
        <v>52432.583337665237</v>
      </c>
      <c r="AI641">
        <v>0</v>
      </c>
      <c r="AJ641">
        <v>0</v>
      </c>
      <c r="AK641">
        <f t="shared" si="280"/>
        <v>0</v>
      </c>
      <c r="AL641">
        <f t="shared" si="289"/>
        <v>0</v>
      </c>
      <c r="AM641">
        <f t="shared" ca="1" si="281"/>
        <v>2.6560383008097266E-7</v>
      </c>
      <c r="AN641" t="str">
        <f t="shared" ca="1" si="282"/>
        <v>Subcritical</v>
      </c>
      <c r="AO641">
        <f t="shared" ca="1" si="283"/>
        <v>2.2562304480281055E-12</v>
      </c>
    </row>
    <row r="642" spans="1:41" x14ac:dyDescent="0.35">
      <c r="A642">
        <v>493</v>
      </c>
      <c r="B642">
        <v>491.89600000000002</v>
      </c>
      <c r="C642">
        <v>616208.16500000004</v>
      </c>
      <c r="D642">
        <v>3097483.7769999998</v>
      </c>
      <c r="E642">
        <v>632.31600000000003</v>
      </c>
      <c r="F642">
        <v>5.2</v>
      </c>
      <c r="G642">
        <v>0</v>
      </c>
      <c r="H642" t="s">
        <v>186</v>
      </c>
      <c r="I642">
        <v>2.7E-2</v>
      </c>
      <c r="J642">
        <f t="shared" si="284"/>
        <v>1.0010000000000332</v>
      </c>
      <c r="K642">
        <f t="shared" si="285"/>
        <v>51</v>
      </c>
      <c r="L642">
        <f t="shared" ca="1" si="286"/>
        <v>51797.843837663619</v>
      </c>
      <c r="M642">
        <f t="shared" ca="1" si="263"/>
        <v>269348.78795585083</v>
      </c>
      <c r="N642">
        <f t="shared" ca="1" si="264"/>
        <v>2.5998694991876676</v>
      </c>
      <c r="O642">
        <f t="shared" ca="1" si="265"/>
        <v>1.8934557080078435E-4</v>
      </c>
      <c r="P642">
        <f t="shared" ca="1" si="266"/>
        <v>52430.159837663618</v>
      </c>
      <c r="Q642">
        <f t="shared" ca="1" si="267"/>
        <v>52430.159837665444</v>
      </c>
      <c r="R642">
        <f t="shared" ca="1" si="268"/>
        <v>2.2564415439646509E-12</v>
      </c>
      <c r="S642">
        <f t="shared" ca="1" si="287"/>
        <v>5.0000000192085281E-4</v>
      </c>
      <c r="T642">
        <f t="shared" ca="1" si="288"/>
        <v>1</v>
      </c>
      <c r="U642">
        <f t="shared" ca="1" si="269"/>
        <v>51800.26683766341</v>
      </c>
      <c r="V642">
        <f t="shared" ca="1" si="270"/>
        <v>269361.38755584974</v>
      </c>
      <c r="W642">
        <f t="shared" ca="1" si="271"/>
        <v>2.5998695052916441</v>
      </c>
      <c r="X642">
        <f t="shared" ca="1" si="272"/>
        <v>1.8933671400629237E-4</v>
      </c>
      <c r="Y642">
        <f t="shared" ca="1" si="273"/>
        <v>52432.582837663409</v>
      </c>
      <c r="Z642">
        <f t="shared" ca="1" si="274"/>
        <v>52432.582837665235</v>
      </c>
      <c r="AA642">
        <f t="shared" ca="1" si="275"/>
        <v>2.2562304480281055E-12</v>
      </c>
      <c r="AB642">
        <f t="shared" ca="1" si="276"/>
        <v>-5.0000000192085281E-4</v>
      </c>
      <c r="AC642">
        <f t="shared" ca="1" si="277"/>
        <v>1</v>
      </c>
      <c r="AD642">
        <f ca="1">IF(V32="Supercritical",L642,IF(V32="Subcritical",U642,IF(AND(T642=1,AC642=1),IF((((F642)*(L642)^2)/2+(G642)*(L642)^3/3+(ABS(K642)^2)/($I$5*MAX(((F642)+(G642)*(L642))*(L642),0.000001)))&gt;=(((F642)*(U642)^2)/2+(G642)*(U642)^3/3+(ABS(K642)^2)/($I$5*MAX(((F642)+(G642)*(U642))*(U642),0.000001))),L642,U642),IF(T642=1,L642,IF(AC642=1,U642,MAX($D$16,POWER((ABS(K642)^2)/($I$5*MAX(F642,0.1)^2),1/3)))))))</f>
        <v>51800.26683766341</v>
      </c>
      <c r="AE642">
        <f t="shared" ca="1" si="278"/>
        <v>52432.582837663409</v>
      </c>
      <c r="AF642">
        <f t="shared" ca="1" si="279"/>
        <v>52432.582837665235</v>
      </c>
      <c r="AI642">
        <v>0</v>
      </c>
      <c r="AJ642">
        <v>0</v>
      </c>
      <c r="AK642">
        <f t="shared" si="280"/>
        <v>0</v>
      </c>
      <c r="AL642">
        <f t="shared" si="289"/>
        <v>0</v>
      </c>
      <c r="AM642">
        <f t="shared" ca="1" si="281"/>
        <v>2.6560383008097266E-7</v>
      </c>
      <c r="AN642" t="str">
        <f t="shared" ca="1" si="282"/>
        <v>Subcritical</v>
      </c>
      <c r="AO642">
        <f t="shared" ca="1" si="283"/>
        <v>2.2562304480281055E-12</v>
      </c>
    </row>
    <row r="643" spans="1:41" x14ac:dyDescent="0.35">
      <c r="A643">
        <v>494</v>
      </c>
      <c r="B643">
        <v>492.89499999999998</v>
      </c>
      <c r="C643">
        <v>616207.69099999999</v>
      </c>
      <c r="D643">
        <v>3097482.8969999999</v>
      </c>
      <c r="E643">
        <v>632.31550000000004</v>
      </c>
      <c r="F643">
        <v>5.2</v>
      </c>
      <c r="G643">
        <v>0</v>
      </c>
      <c r="H643" t="s">
        <v>186</v>
      </c>
      <c r="I643">
        <v>0.05</v>
      </c>
      <c r="J643">
        <f t="shared" si="284"/>
        <v>0.9989999999999668</v>
      </c>
      <c r="K643">
        <f t="shared" si="285"/>
        <v>51</v>
      </c>
      <c r="L643">
        <f t="shared" ca="1" si="286"/>
        <v>51797.843837663619</v>
      </c>
      <c r="M643">
        <f t="shared" ca="1" si="263"/>
        <v>269348.78795585083</v>
      </c>
      <c r="N643">
        <f t="shared" ca="1" si="264"/>
        <v>2.5998694991876676</v>
      </c>
      <c r="O643">
        <f t="shared" ca="1" si="265"/>
        <v>1.8934557080078435E-4</v>
      </c>
      <c r="P643">
        <f t="shared" ca="1" si="266"/>
        <v>52430.159337663616</v>
      </c>
      <c r="Q643">
        <f t="shared" ca="1" si="267"/>
        <v>52430.159337665442</v>
      </c>
      <c r="R643">
        <f t="shared" ca="1" si="268"/>
        <v>2.2564415439646509E-12</v>
      </c>
      <c r="S643">
        <f t="shared" ca="1" si="287"/>
        <v>5.0000000192085281E-4</v>
      </c>
      <c r="T643">
        <f t="shared" ca="1" si="288"/>
        <v>1</v>
      </c>
      <c r="U643">
        <f t="shared" ca="1" si="269"/>
        <v>51800.26683766341</v>
      </c>
      <c r="V643">
        <f t="shared" ca="1" si="270"/>
        <v>269361.38755584974</v>
      </c>
      <c r="W643">
        <f t="shared" ca="1" si="271"/>
        <v>2.5998695052916441</v>
      </c>
      <c r="X643">
        <f t="shared" ca="1" si="272"/>
        <v>1.8933671400629237E-4</v>
      </c>
      <c r="Y643">
        <f t="shared" ca="1" si="273"/>
        <v>52432.582337663407</v>
      </c>
      <c r="Z643">
        <f t="shared" ca="1" si="274"/>
        <v>52432.582337665233</v>
      </c>
      <c r="AA643">
        <f t="shared" ca="1" si="275"/>
        <v>2.2562304480281055E-12</v>
      </c>
      <c r="AB643">
        <f t="shared" ca="1" si="276"/>
        <v>-4.999999946448952E-4</v>
      </c>
      <c r="AC643">
        <f t="shared" ca="1" si="277"/>
        <v>1</v>
      </c>
      <c r="AD643">
        <f ca="1">IF(V32="Supercritical",L643,IF(V32="Subcritical",U643,IF(AND(T643=1,AC643=1),IF((((F643)*(L643)^2)/2+(G643)*(L643)^3/3+(ABS(K643)^2)/($I$5*MAX(((F643)+(G643)*(L643))*(L643),0.000001)))&gt;=(((F643)*(U643)^2)/2+(G643)*(U643)^3/3+(ABS(K643)^2)/($I$5*MAX(((F643)+(G643)*(U643))*(U643),0.000001))),L643,U643),IF(T643=1,L643,IF(AC643=1,U643,MAX($D$16,POWER((ABS(K643)^2)/($I$5*MAX(F643,0.1)^2),1/3)))))))</f>
        <v>51800.26683766341</v>
      </c>
      <c r="AE643">
        <f t="shared" ca="1" si="278"/>
        <v>52432.582337663407</v>
      </c>
      <c r="AF643">
        <f t="shared" ca="1" si="279"/>
        <v>52432.582337665233</v>
      </c>
      <c r="AI643">
        <v>0</v>
      </c>
      <c r="AJ643">
        <v>0</v>
      </c>
      <c r="AK643">
        <f t="shared" si="280"/>
        <v>0</v>
      </c>
      <c r="AL643">
        <f t="shared" si="289"/>
        <v>0</v>
      </c>
      <c r="AM643">
        <f t="shared" ca="1" si="281"/>
        <v>2.6560383008097266E-7</v>
      </c>
      <c r="AN643" t="str">
        <f t="shared" ca="1" si="282"/>
        <v>Subcritical</v>
      </c>
      <c r="AO643">
        <f t="shared" ca="1" si="283"/>
        <v>2.2562304480281055E-12</v>
      </c>
    </row>
    <row r="644" spans="1:41" x14ac:dyDescent="0.35">
      <c r="A644">
        <v>495</v>
      </c>
      <c r="B644">
        <v>493.89499999999998</v>
      </c>
      <c r="C644">
        <v>616207.21600000001</v>
      </c>
      <c r="D644">
        <v>3097482.017</v>
      </c>
      <c r="E644">
        <v>632.31500000000005</v>
      </c>
      <c r="F644">
        <v>5.2</v>
      </c>
      <c r="G644">
        <v>0</v>
      </c>
      <c r="H644" t="s">
        <v>186</v>
      </c>
      <c r="I644">
        <v>7.8E-2</v>
      </c>
      <c r="J644">
        <f t="shared" si="284"/>
        <v>1</v>
      </c>
      <c r="K644">
        <f t="shared" si="285"/>
        <v>51</v>
      </c>
      <c r="L644">
        <f t="shared" ca="1" si="286"/>
        <v>51797.843837663619</v>
      </c>
      <c r="M644">
        <f t="shared" ca="1" si="263"/>
        <v>269348.78795585083</v>
      </c>
      <c r="N644">
        <f t="shared" ca="1" si="264"/>
        <v>2.5998694991876676</v>
      </c>
      <c r="O644">
        <f t="shared" ca="1" si="265"/>
        <v>1.8934557080078435E-4</v>
      </c>
      <c r="P644">
        <f t="shared" ca="1" si="266"/>
        <v>52430.158837663621</v>
      </c>
      <c r="Q644">
        <f t="shared" ca="1" si="267"/>
        <v>52430.158837665447</v>
      </c>
      <c r="R644">
        <f t="shared" ca="1" si="268"/>
        <v>2.2564415439646509E-12</v>
      </c>
      <c r="S644">
        <f t="shared" ca="1" si="287"/>
        <v>4.999999946448952E-4</v>
      </c>
      <c r="T644">
        <f t="shared" ca="1" si="288"/>
        <v>1</v>
      </c>
      <c r="U644">
        <f t="shared" ca="1" si="269"/>
        <v>51800.26683766341</v>
      </c>
      <c r="V644">
        <f t="shared" ca="1" si="270"/>
        <v>269361.38755584974</v>
      </c>
      <c r="W644">
        <f t="shared" ca="1" si="271"/>
        <v>2.5998695052916441</v>
      </c>
      <c r="X644">
        <f t="shared" ca="1" si="272"/>
        <v>1.8933671400629237E-4</v>
      </c>
      <c r="Y644">
        <f t="shared" ca="1" si="273"/>
        <v>52432.581837663412</v>
      </c>
      <c r="Z644">
        <f t="shared" ca="1" si="274"/>
        <v>52432.581837665239</v>
      </c>
      <c r="AA644">
        <f t="shared" ca="1" si="275"/>
        <v>2.2562304480281055E-12</v>
      </c>
      <c r="AB644">
        <f t="shared" ca="1" si="276"/>
        <v>-5.0000000192085281E-4</v>
      </c>
      <c r="AC644">
        <f t="shared" ca="1" si="277"/>
        <v>1</v>
      </c>
      <c r="AD644">
        <f ca="1">IF(V32="Supercritical",L644,IF(V32="Subcritical",U644,IF(AND(T644=1,AC644=1),IF((((F644)*(L644)^2)/2+(G644)*(L644)^3/3+(ABS(K644)^2)/($I$5*MAX(((F644)+(G644)*(L644))*(L644),0.000001)))&gt;=(((F644)*(U644)^2)/2+(G644)*(U644)^3/3+(ABS(K644)^2)/($I$5*MAX(((F644)+(G644)*(U644))*(U644),0.000001))),L644,U644),IF(T644=1,L644,IF(AC644=1,U644,MAX($D$16,POWER((ABS(K644)^2)/($I$5*MAX(F644,0.1)^2),1/3)))))))</f>
        <v>51800.26683766341</v>
      </c>
      <c r="AE644">
        <f t="shared" ca="1" si="278"/>
        <v>52432.581837663412</v>
      </c>
      <c r="AF644">
        <f t="shared" ca="1" si="279"/>
        <v>52432.581837665239</v>
      </c>
      <c r="AI644">
        <v>0</v>
      </c>
      <c r="AJ644">
        <v>0</v>
      </c>
      <c r="AK644">
        <f t="shared" si="280"/>
        <v>0</v>
      </c>
      <c r="AL644">
        <f t="shared" si="289"/>
        <v>0</v>
      </c>
      <c r="AM644">
        <f t="shared" ca="1" si="281"/>
        <v>2.6560383008097266E-7</v>
      </c>
      <c r="AN644" t="str">
        <f t="shared" ca="1" si="282"/>
        <v>Subcritical</v>
      </c>
      <c r="AO644">
        <f t="shared" ca="1" si="283"/>
        <v>2.2562304480281055E-12</v>
      </c>
    </row>
    <row r="645" spans="1:41" x14ac:dyDescent="0.35">
      <c r="A645">
        <v>496</v>
      </c>
      <c r="B645">
        <v>494.89600000000002</v>
      </c>
      <c r="C645">
        <v>616206.74199999997</v>
      </c>
      <c r="D645">
        <v>3097481.1359999999</v>
      </c>
      <c r="E645">
        <v>632.31449999999995</v>
      </c>
      <c r="F645">
        <v>5.2</v>
      </c>
      <c r="G645">
        <v>0</v>
      </c>
      <c r="H645" t="s">
        <v>186</v>
      </c>
      <c r="I645">
        <v>2.7E-2</v>
      </c>
      <c r="J645">
        <f t="shared" si="284"/>
        <v>1.0010000000000332</v>
      </c>
      <c r="K645">
        <f t="shared" si="285"/>
        <v>51</v>
      </c>
      <c r="L645">
        <f t="shared" ca="1" si="286"/>
        <v>51797.843837663619</v>
      </c>
      <c r="M645">
        <f t="shared" ca="1" si="263"/>
        <v>269348.78795585083</v>
      </c>
      <c r="N645">
        <f t="shared" ca="1" si="264"/>
        <v>2.5998694991876676</v>
      </c>
      <c r="O645">
        <f t="shared" ca="1" si="265"/>
        <v>1.8934557080078435E-4</v>
      </c>
      <c r="P645">
        <f t="shared" ca="1" si="266"/>
        <v>52430.158337663619</v>
      </c>
      <c r="Q645">
        <f t="shared" ca="1" si="267"/>
        <v>52430.158337665445</v>
      </c>
      <c r="R645">
        <f t="shared" ca="1" si="268"/>
        <v>2.2564415439646509E-12</v>
      </c>
      <c r="S645">
        <f t="shared" ca="1" si="287"/>
        <v>5.0000000192085281E-4</v>
      </c>
      <c r="T645">
        <f t="shared" ca="1" si="288"/>
        <v>1</v>
      </c>
      <c r="U645">
        <f t="shared" ca="1" si="269"/>
        <v>51800.26683766341</v>
      </c>
      <c r="V645">
        <f t="shared" ca="1" si="270"/>
        <v>269361.38755584974</v>
      </c>
      <c r="W645">
        <f t="shared" ca="1" si="271"/>
        <v>2.5998695052916441</v>
      </c>
      <c r="X645">
        <f t="shared" ca="1" si="272"/>
        <v>1.8933671400629237E-4</v>
      </c>
      <c r="Y645">
        <f t="shared" ca="1" si="273"/>
        <v>52432.581337663411</v>
      </c>
      <c r="Z645">
        <f t="shared" ca="1" si="274"/>
        <v>52432.581337665237</v>
      </c>
      <c r="AA645">
        <f t="shared" ca="1" si="275"/>
        <v>2.2562304480281055E-12</v>
      </c>
      <c r="AB645">
        <f t="shared" ca="1" si="276"/>
        <v>-5.0000000192085281E-4</v>
      </c>
      <c r="AC645">
        <f t="shared" ca="1" si="277"/>
        <v>1</v>
      </c>
      <c r="AD645">
        <f ca="1">IF(V32="Supercritical",L645,IF(V32="Subcritical",U645,IF(AND(T645=1,AC645=1),IF((((F645)*(L645)^2)/2+(G645)*(L645)^3/3+(ABS(K645)^2)/($I$5*MAX(((F645)+(G645)*(L645))*(L645),0.000001)))&gt;=(((F645)*(U645)^2)/2+(G645)*(U645)^3/3+(ABS(K645)^2)/($I$5*MAX(((F645)+(G645)*(U645))*(U645),0.000001))),L645,U645),IF(T645=1,L645,IF(AC645=1,U645,MAX($D$16,POWER((ABS(K645)^2)/($I$5*MAX(F645,0.1)^2),1/3)))))))</f>
        <v>51800.26683766341</v>
      </c>
      <c r="AE645">
        <f t="shared" ca="1" si="278"/>
        <v>52432.581337663411</v>
      </c>
      <c r="AF645">
        <f t="shared" ca="1" si="279"/>
        <v>52432.581337665237</v>
      </c>
      <c r="AI645">
        <v>0</v>
      </c>
      <c r="AJ645">
        <v>0</v>
      </c>
      <c r="AK645">
        <f t="shared" si="280"/>
        <v>0</v>
      </c>
      <c r="AL645">
        <f t="shared" si="289"/>
        <v>0</v>
      </c>
      <c r="AM645">
        <f t="shared" ca="1" si="281"/>
        <v>2.6560383008097266E-7</v>
      </c>
      <c r="AN645" t="str">
        <f t="shared" ca="1" si="282"/>
        <v>Subcritical</v>
      </c>
      <c r="AO645">
        <f t="shared" ca="1" si="283"/>
        <v>2.2562304480281055E-12</v>
      </c>
    </row>
    <row r="646" spans="1:41" x14ac:dyDescent="0.35">
      <c r="A646">
        <v>497</v>
      </c>
      <c r="B646">
        <v>495.89499999999998</v>
      </c>
      <c r="C646">
        <v>616206.26800000004</v>
      </c>
      <c r="D646">
        <v>3097480.2560000001</v>
      </c>
      <c r="E646">
        <v>632.31399999999996</v>
      </c>
      <c r="F646">
        <v>5.2</v>
      </c>
      <c r="G646">
        <v>0</v>
      </c>
      <c r="H646" t="s">
        <v>186</v>
      </c>
      <c r="I646">
        <v>2.7E-2</v>
      </c>
      <c r="J646">
        <f t="shared" si="284"/>
        <v>0.9989999999999668</v>
      </c>
      <c r="K646">
        <f t="shared" si="285"/>
        <v>51</v>
      </c>
      <c r="L646">
        <f t="shared" ca="1" si="286"/>
        <v>51797.843837663619</v>
      </c>
      <c r="M646">
        <f t="shared" ca="1" si="263"/>
        <v>269348.78795585083</v>
      </c>
      <c r="N646">
        <f t="shared" ca="1" si="264"/>
        <v>2.5998694991876676</v>
      </c>
      <c r="O646">
        <f t="shared" ca="1" si="265"/>
        <v>1.8934557080078435E-4</v>
      </c>
      <c r="P646">
        <f t="shared" ca="1" si="266"/>
        <v>52430.157837663617</v>
      </c>
      <c r="Q646">
        <f t="shared" ca="1" si="267"/>
        <v>52430.157837665443</v>
      </c>
      <c r="R646">
        <f t="shared" ca="1" si="268"/>
        <v>2.2564415439646509E-12</v>
      </c>
      <c r="S646">
        <f t="shared" ca="1" si="287"/>
        <v>5.0000000192085281E-4</v>
      </c>
      <c r="T646">
        <f t="shared" ca="1" si="288"/>
        <v>1</v>
      </c>
      <c r="U646">
        <f t="shared" ca="1" si="269"/>
        <v>51800.26683766341</v>
      </c>
      <c r="V646">
        <f t="shared" ca="1" si="270"/>
        <v>269361.38755584974</v>
      </c>
      <c r="W646">
        <f t="shared" ca="1" si="271"/>
        <v>2.5998695052916441</v>
      </c>
      <c r="X646">
        <f t="shared" ca="1" si="272"/>
        <v>1.8933671400629237E-4</v>
      </c>
      <c r="Y646">
        <f t="shared" ca="1" si="273"/>
        <v>52432.580837663409</v>
      </c>
      <c r="Z646">
        <f t="shared" ca="1" si="274"/>
        <v>52432.580837665235</v>
      </c>
      <c r="AA646">
        <f t="shared" ca="1" si="275"/>
        <v>2.2562304480281055E-12</v>
      </c>
      <c r="AB646">
        <f t="shared" ca="1" si="276"/>
        <v>-5.0000000192085281E-4</v>
      </c>
      <c r="AC646">
        <f t="shared" ca="1" si="277"/>
        <v>1</v>
      </c>
      <c r="AD646">
        <f ca="1">IF(V32="Supercritical",L646,IF(V32="Subcritical",U646,IF(AND(T646=1,AC646=1),IF((((F646)*(L646)^2)/2+(G646)*(L646)^3/3+(ABS(K646)^2)/($I$5*MAX(((F646)+(G646)*(L646))*(L646),0.000001)))&gt;=(((F646)*(U646)^2)/2+(G646)*(U646)^3/3+(ABS(K646)^2)/($I$5*MAX(((F646)+(G646)*(U646))*(U646),0.000001))),L646,U646),IF(T646=1,L646,IF(AC646=1,U646,MAX($D$16,POWER((ABS(K646)^2)/($I$5*MAX(F646,0.1)^2),1/3)))))))</f>
        <v>51800.26683766341</v>
      </c>
      <c r="AE646">
        <f t="shared" ca="1" si="278"/>
        <v>52432.580837663409</v>
      </c>
      <c r="AF646">
        <f t="shared" ca="1" si="279"/>
        <v>52432.580837665235</v>
      </c>
      <c r="AI646">
        <v>0</v>
      </c>
      <c r="AJ646">
        <v>0</v>
      </c>
      <c r="AK646">
        <f t="shared" si="280"/>
        <v>0</v>
      </c>
      <c r="AL646">
        <f t="shared" si="289"/>
        <v>0</v>
      </c>
      <c r="AM646">
        <f t="shared" ca="1" si="281"/>
        <v>2.6560383008097266E-7</v>
      </c>
      <c r="AN646" t="str">
        <f t="shared" ca="1" si="282"/>
        <v>Subcritical</v>
      </c>
      <c r="AO646">
        <f t="shared" ca="1" si="283"/>
        <v>2.2562304480281055E-12</v>
      </c>
    </row>
    <row r="647" spans="1:41" x14ac:dyDescent="0.35">
      <c r="A647">
        <v>498</v>
      </c>
      <c r="B647">
        <v>496.89600000000002</v>
      </c>
      <c r="C647">
        <v>616205.79399999999</v>
      </c>
      <c r="D647">
        <v>3097479.375</v>
      </c>
      <c r="E647">
        <v>632.31349999999998</v>
      </c>
      <c r="F647">
        <v>5.2</v>
      </c>
      <c r="G647">
        <v>0</v>
      </c>
      <c r="H647" t="s">
        <v>186</v>
      </c>
      <c r="I647">
        <v>2.7E-2</v>
      </c>
      <c r="J647">
        <f t="shared" si="284"/>
        <v>1.0010000000000332</v>
      </c>
      <c r="K647">
        <f t="shared" si="285"/>
        <v>51</v>
      </c>
      <c r="L647">
        <f t="shared" ca="1" si="286"/>
        <v>51797.843837663619</v>
      </c>
      <c r="M647">
        <f t="shared" ca="1" si="263"/>
        <v>269348.78795585083</v>
      </c>
      <c r="N647">
        <f t="shared" ca="1" si="264"/>
        <v>2.5998694991876676</v>
      </c>
      <c r="O647">
        <f t="shared" ca="1" si="265"/>
        <v>1.8934557080078435E-4</v>
      </c>
      <c r="P647">
        <f t="shared" ca="1" si="266"/>
        <v>52430.157337663615</v>
      </c>
      <c r="Q647">
        <f t="shared" ca="1" si="267"/>
        <v>52430.157337665441</v>
      </c>
      <c r="R647">
        <f t="shared" ca="1" si="268"/>
        <v>2.2564415439646509E-12</v>
      </c>
      <c r="S647">
        <f t="shared" ca="1" si="287"/>
        <v>5.0000000192085281E-4</v>
      </c>
      <c r="T647">
        <f t="shared" ca="1" si="288"/>
        <v>1</v>
      </c>
      <c r="U647">
        <f t="shared" ca="1" si="269"/>
        <v>51800.26683766341</v>
      </c>
      <c r="V647">
        <f t="shared" ca="1" si="270"/>
        <v>269361.38755584974</v>
      </c>
      <c r="W647">
        <f t="shared" ca="1" si="271"/>
        <v>2.5998695052916441</v>
      </c>
      <c r="X647">
        <f t="shared" ca="1" si="272"/>
        <v>1.8933671400629237E-4</v>
      </c>
      <c r="Y647">
        <f t="shared" ca="1" si="273"/>
        <v>52432.580337663407</v>
      </c>
      <c r="Z647">
        <f t="shared" ca="1" si="274"/>
        <v>52432.580337665233</v>
      </c>
      <c r="AA647">
        <f t="shared" ca="1" si="275"/>
        <v>2.2562304480281055E-12</v>
      </c>
      <c r="AB647">
        <f t="shared" ca="1" si="276"/>
        <v>-4.999999946448952E-4</v>
      </c>
      <c r="AC647">
        <f t="shared" ca="1" si="277"/>
        <v>1</v>
      </c>
      <c r="AD647">
        <f ca="1">IF(V32="Supercritical",L647,IF(V32="Subcritical",U647,IF(AND(T647=1,AC647=1),IF((((F647)*(L647)^2)/2+(G647)*(L647)^3/3+(ABS(K647)^2)/($I$5*MAX(((F647)+(G647)*(L647))*(L647),0.000001)))&gt;=(((F647)*(U647)^2)/2+(G647)*(U647)^3/3+(ABS(K647)^2)/($I$5*MAX(((F647)+(G647)*(U647))*(U647),0.000001))),L647,U647),IF(T647=1,L647,IF(AC647=1,U647,MAX($D$16,POWER((ABS(K647)^2)/($I$5*MAX(F647,0.1)^2),1/3)))))))</f>
        <v>51800.26683766341</v>
      </c>
      <c r="AE647">
        <f t="shared" ca="1" si="278"/>
        <v>52432.580337663407</v>
      </c>
      <c r="AF647">
        <f t="shared" ca="1" si="279"/>
        <v>52432.580337665233</v>
      </c>
      <c r="AI647">
        <v>0</v>
      </c>
      <c r="AJ647">
        <v>0</v>
      </c>
      <c r="AK647">
        <f t="shared" si="280"/>
        <v>0</v>
      </c>
      <c r="AL647">
        <f t="shared" si="289"/>
        <v>0</v>
      </c>
      <c r="AM647">
        <f t="shared" ca="1" si="281"/>
        <v>2.6560383008097266E-7</v>
      </c>
      <c r="AN647" t="str">
        <f t="shared" ca="1" si="282"/>
        <v>Subcritical</v>
      </c>
      <c r="AO647">
        <f t="shared" ca="1" si="283"/>
        <v>2.2562304480281055E-12</v>
      </c>
    </row>
    <row r="648" spans="1:41" x14ac:dyDescent="0.35">
      <c r="A648">
        <v>499</v>
      </c>
      <c r="B648">
        <v>497.89499999999998</v>
      </c>
      <c r="C648">
        <v>616205.31999999995</v>
      </c>
      <c r="D648">
        <v>3097478.4950000001</v>
      </c>
      <c r="E648">
        <v>632.31299999999999</v>
      </c>
      <c r="F648">
        <v>5.2</v>
      </c>
      <c r="G648">
        <v>0</v>
      </c>
      <c r="H648" t="s">
        <v>186</v>
      </c>
      <c r="I648">
        <v>0.05</v>
      </c>
      <c r="J648">
        <f t="shared" si="284"/>
        <v>0.9989999999999668</v>
      </c>
      <c r="K648">
        <f t="shared" si="285"/>
        <v>51</v>
      </c>
      <c r="L648">
        <f t="shared" ca="1" si="286"/>
        <v>51797.843837663619</v>
      </c>
      <c r="M648">
        <f t="shared" ca="1" si="263"/>
        <v>269348.78795585083</v>
      </c>
      <c r="N648">
        <f t="shared" ca="1" si="264"/>
        <v>2.5998694991876676</v>
      </c>
      <c r="O648">
        <f t="shared" ca="1" si="265"/>
        <v>1.8934557080078435E-4</v>
      </c>
      <c r="P648">
        <f t="shared" ca="1" si="266"/>
        <v>52430.156837663621</v>
      </c>
      <c r="Q648">
        <f t="shared" ca="1" si="267"/>
        <v>52430.156837665447</v>
      </c>
      <c r="R648">
        <f t="shared" ca="1" si="268"/>
        <v>2.2564415439646509E-12</v>
      </c>
      <c r="S648">
        <f t="shared" ca="1" si="287"/>
        <v>4.999999946448952E-4</v>
      </c>
      <c r="T648">
        <f t="shared" ca="1" si="288"/>
        <v>1</v>
      </c>
      <c r="U648">
        <f t="shared" ca="1" si="269"/>
        <v>51800.26683766341</v>
      </c>
      <c r="V648">
        <f t="shared" ca="1" si="270"/>
        <v>269361.38755584974</v>
      </c>
      <c r="W648">
        <f t="shared" ca="1" si="271"/>
        <v>2.5998695052916441</v>
      </c>
      <c r="X648">
        <f t="shared" ca="1" si="272"/>
        <v>1.8933671400629237E-4</v>
      </c>
      <c r="Y648">
        <f t="shared" ca="1" si="273"/>
        <v>52432.579837663412</v>
      </c>
      <c r="Z648">
        <f t="shared" ca="1" si="274"/>
        <v>52432.579837665238</v>
      </c>
      <c r="AA648">
        <f t="shared" ca="1" si="275"/>
        <v>2.2562304480281055E-12</v>
      </c>
      <c r="AB648">
        <f t="shared" ca="1" si="276"/>
        <v>-5.0000000192085281E-4</v>
      </c>
      <c r="AC648">
        <f t="shared" ca="1" si="277"/>
        <v>1</v>
      </c>
      <c r="AD648">
        <f ca="1">IF(V32="Supercritical",L648,IF(V32="Subcritical",U648,IF(AND(T648=1,AC648=1),IF((((F648)*(L648)^2)/2+(G648)*(L648)^3/3+(ABS(K648)^2)/($I$5*MAX(((F648)+(G648)*(L648))*(L648),0.000001)))&gt;=(((F648)*(U648)^2)/2+(G648)*(U648)^3/3+(ABS(K648)^2)/($I$5*MAX(((F648)+(G648)*(U648))*(U648),0.000001))),L648,U648),IF(T648=1,L648,IF(AC648=1,U648,MAX($D$16,POWER((ABS(K648)^2)/($I$5*MAX(F648,0.1)^2),1/3)))))))</f>
        <v>51800.26683766341</v>
      </c>
      <c r="AE648">
        <f t="shared" ca="1" si="278"/>
        <v>52432.579837663412</v>
      </c>
      <c r="AF648">
        <f t="shared" ca="1" si="279"/>
        <v>52432.579837665238</v>
      </c>
      <c r="AI648">
        <v>0</v>
      </c>
      <c r="AJ648">
        <v>0</v>
      </c>
      <c r="AK648">
        <f t="shared" si="280"/>
        <v>0</v>
      </c>
      <c r="AL648">
        <f t="shared" si="289"/>
        <v>0</v>
      </c>
      <c r="AM648">
        <f t="shared" ca="1" si="281"/>
        <v>2.6560383008097266E-7</v>
      </c>
      <c r="AN648" t="str">
        <f t="shared" ca="1" si="282"/>
        <v>Subcritical</v>
      </c>
      <c r="AO648">
        <f t="shared" ca="1" si="283"/>
        <v>2.2562304480281055E-12</v>
      </c>
    </row>
    <row r="649" spans="1:41" x14ac:dyDescent="0.35">
      <c r="A649">
        <v>500</v>
      </c>
      <c r="B649">
        <v>498.89499999999998</v>
      </c>
      <c r="C649">
        <v>616204.84499999997</v>
      </c>
      <c r="D649">
        <v>3097477.6150000002</v>
      </c>
      <c r="E649">
        <v>632.3125</v>
      </c>
      <c r="F649">
        <v>5.2</v>
      </c>
      <c r="G649">
        <v>0</v>
      </c>
      <c r="H649" t="s">
        <v>186</v>
      </c>
      <c r="I649">
        <v>7.8E-2</v>
      </c>
      <c r="J649">
        <f t="shared" si="284"/>
        <v>1</v>
      </c>
      <c r="K649">
        <f t="shared" si="285"/>
        <v>51</v>
      </c>
      <c r="L649">
        <f t="shared" ca="1" si="286"/>
        <v>51797.843837663619</v>
      </c>
      <c r="M649">
        <f t="shared" ca="1" si="263"/>
        <v>269348.78795585083</v>
      </c>
      <c r="N649">
        <f t="shared" ca="1" si="264"/>
        <v>2.5998694991876676</v>
      </c>
      <c r="O649">
        <f t="shared" ca="1" si="265"/>
        <v>1.8934557080078435E-4</v>
      </c>
      <c r="P649">
        <f t="shared" ca="1" si="266"/>
        <v>52430.156337663619</v>
      </c>
      <c r="Q649">
        <f t="shared" ca="1" si="267"/>
        <v>52430.156337665445</v>
      </c>
      <c r="R649">
        <f t="shared" ca="1" si="268"/>
        <v>2.2564415439646509E-12</v>
      </c>
      <c r="S649">
        <f t="shared" ca="1" si="287"/>
        <v>5.0000000192085281E-4</v>
      </c>
      <c r="T649">
        <f t="shared" ca="1" si="288"/>
        <v>1</v>
      </c>
      <c r="U649">
        <f t="shared" ca="1" si="269"/>
        <v>51800.26683766341</v>
      </c>
      <c r="V649">
        <f t="shared" ca="1" si="270"/>
        <v>269361.38755584974</v>
      </c>
      <c r="W649">
        <f t="shared" ca="1" si="271"/>
        <v>2.5998695052916441</v>
      </c>
      <c r="X649">
        <f t="shared" ca="1" si="272"/>
        <v>1.8933671400629237E-4</v>
      </c>
      <c r="Y649">
        <f t="shared" ca="1" si="273"/>
        <v>52432.57933766341</v>
      </c>
      <c r="Z649">
        <f t="shared" ca="1" si="274"/>
        <v>52432.579337665236</v>
      </c>
      <c r="AA649">
        <f t="shared" ca="1" si="275"/>
        <v>2.2562304480281055E-12</v>
      </c>
      <c r="AB649">
        <f t="shared" ca="1" si="276"/>
        <v>-5.0000000192085281E-4</v>
      </c>
      <c r="AC649">
        <f t="shared" ca="1" si="277"/>
        <v>1</v>
      </c>
      <c r="AD649">
        <f ca="1">IF(V32="Supercritical",L649,IF(V32="Subcritical",U649,IF(AND(T649=1,AC649=1),IF((((F649)*(L649)^2)/2+(G649)*(L649)^3/3+(ABS(K649)^2)/($I$5*MAX(((F649)+(G649)*(L649))*(L649),0.000001)))&gt;=(((F649)*(U649)^2)/2+(G649)*(U649)^3/3+(ABS(K649)^2)/($I$5*MAX(((F649)+(G649)*(U649))*(U649),0.000001))),L649,U649),IF(T649=1,L649,IF(AC649=1,U649,MAX($D$16,POWER((ABS(K649)^2)/($I$5*MAX(F649,0.1)^2),1/3)))))))</f>
        <v>51800.26683766341</v>
      </c>
      <c r="AE649">
        <f t="shared" ca="1" si="278"/>
        <v>52432.57933766341</v>
      </c>
      <c r="AF649">
        <f t="shared" ca="1" si="279"/>
        <v>52432.579337665236</v>
      </c>
      <c r="AI649">
        <v>0</v>
      </c>
      <c r="AJ649">
        <v>0</v>
      </c>
      <c r="AK649">
        <f t="shared" si="280"/>
        <v>0</v>
      </c>
      <c r="AL649">
        <f t="shared" si="289"/>
        <v>0</v>
      </c>
      <c r="AM649">
        <f t="shared" ca="1" si="281"/>
        <v>2.6560383008097266E-7</v>
      </c>
      <c r="AN649" t="str">
        <f t="shared" ca="1" si="282"/>
        <v>Subcritical</v>
      </c>
      <c r="AO649">
        <f t="shared" ca="1" si="283"/>
        <v>2.2562304480281055E-12</v>
      </c>
    </row>
    <row r="650" spans="1:41" x14ac:dyDescent="0.35">
      <c r="A650">
        <v>501</v>
      </c>
      <c r="B650">
        <v>499.89600000000002</v>
      </c>
      <c r="C650">
        <v>616204.37100000004</v>
      </c>
      <c r="D650">
        <v>3097476.7340000002</v>
      </c>
      <c r="E650">
        <v>632.31200000000001</v>
      </c>
      <c r="F650">
        <v>5.2</v>
      </c>
      <c r="G650">
        <v>0</v>
      </c>
      <c r="H650" t="s">
        <v>186</v>
      </c>
      <c r="I650">
        <v>2.7E-2</v>
      </c>
      <c r="J650">
        <f t="shared" si="284"/>
        <v>1.0010000000000332</v>
      </c>
      <c r="K650">
        <f t="shared" si="285"/>
        <v>51</v>
      </c>
      <c r="L650">
        <f t="shared" ca="1" si="286"/>
        <v>51797.843837663619</v>
      </c>
      <c r="M650">
        <f t="shared" ca="1" si="263"/>
        <v>269348.78795585083</v>
      </c>
      <c r="N650">
        <f t="shared" ca="1" si="264"/>
        <v>2.5998694991876676</v>
      </c>
      <c r="O650">
        <f t="shared" ca="1" si="265"/>
        <v>1.8934557080078435E-4</v>
      </c>
      <c r="P650">
        <f t="shared" ca="1" si="266"/>
        <v>52430.155837663617</v>
      </c>
      <c r="Q650">
        <f t="shared" ca="1" si="267"/>
        <v>52430.155837665443</v>
      </c>
      <c r="R650">
        <f t="shared" ca="1" si="268"/>
        <v>2.2564415439646509E-12</v>
      </c>
      <c r="S650">
        <f t="shared" ca="1" si="287"/>
        <v>5.0000000192085281E-4</v>
      </c>
      <c r="T650">
        <f t="shared" ca="1" si="288"/>
        <v>1</v>
      </c>
      <c r="U650">
        <f t="shared" ca="1" si="269"/>
        <v>51800.26683766341</v>
      </c>
      <c r="V650">
        <f t="shared" ca="1" si="270"/>
        <v>269361.38755584974</v>
      </c>
      <c r="W650">
        <f t="shared" ca="1" si="271"/>
        <v>2.5998695052916441</v>
      </c>
      <c r="X650">
        <f t="shared" ca="1" si="272"/>
        <v>1.8933671400629237E-4</v>
      </c>
      <c r="Y650">
        <f t="shared" ca="1" si="273"/>
        <v>52432.578837663408</v>
      </c>
      <c r="Z650">
        <f t="shared" ca="1" si="274"/>
        <v>52432.578837665234</v>
      </c>
      <c r="AA650">
        <f t="shared" ca="1" si="275"/>
        <v>2.2562304480281055E-12</v>
      </c>
      <c r="AB650">
        <f t="shared" ca="1" si="276"/>
        <v>-4.999999946448952E-4</v>
      </c>
      <c r="AC650">
        <f t="shared" ca="1" si="277"/>
        <v>1</v>
      </c>
      <c r="AD650">
        <f ca="1">IF(V32="Supercritical",L650,IF(V32="Subcritical",U650,IF(AND(T650=1,AC650=1),IF((((F650)*(L650)^2)/2+(G650)*(L650)^3/3+(ABS(K650)^2)/($I$5*MAX(((F650)+(G650)*(L650))*(L650),0.000001)))&gt;=(((F650)*(U650)^2)/2+(G650)*(U650)^3/3+(ABS(K650)^2)/($I$5*MAX(((F650)+(G650)*(U650))*(U650),0.000001))),L650,U650),IF(T650=1,L650,IF(AC650=1,U650,MAX($D$16,POWER((ABS(K650)^2)/($I$5*MAX(F650,0.1)^2),1/3)))))))</f>
        <v>51800.26683766341</v>
      </c>
      <c r="AE650">
        <f t="shared" ca="1" si="278"/>
        <v>52432.578837663408</v>
      </c>
      <c r="AF650">
        <f t="shared" ca="1" si="279"/>
        <v>52432.578837665234</v>
      </c>
      <c r="AI650">
        <v>0</v>
      </c>
      <c r="AJ650">
        <v>0</v>
      </c>
      <c r="AK650">
        <f t="shared" si="280"/>
        <v>0</v>
      </c>
      <c r="AL650">
        <f t="shared" si="289"/>
        <v>0</v>
      </c>
      <c r="AM650">
        <f t="shared" ca="1" si="281"/>
        <v>2.6560383008097266E-7</v>
      </c>
      <c r="AN650" t="str">
        <f t="shared" ca="1" si="282"/>
        <v>Subcritical</v>
      </c>
      <c r="AO650">
        <f t="shared" ca="1" si="283"/>
        <v>2.2562304480281055E-12</v>
      </c>
    </row>
    <row r="651" spans="1:41" x14ac:dyDescent="0.35">
      <c r="A651">
        <v>502</v>
      </c>
      <c r="B651">
        <v>500.89499999999998</v>
      </c>
      <c r="C651">
        <v>616203.897</v>
      </c>
      <c r="D651">
        <v>3097475.8539999998</v>
      </c>
      <c r="E651">
        <v>632.31150000000002</v>
      </c>
      <c r="F651">
        <v>5.2</v>
      </c>
      <c r="G651">
        <v>0</v>
      </c>
      <c r="H651" t="s">
        <v>186</v>
      </c>
      <c r="I651">
        <v>2.7E-2</v>
      </c>
      <c r="J651">
        <f t="shared" si="284"/>
        <v>0.9989999999999668</v>
      </c>
      <c r="K651">
        <f t="shared" si="285"/>
        <v>51</v>
      </c>
      <c r="L651">
        <f t="shared" ca="1" si="286"/>
        <v>51797.843837663619</v>
      </c>
      <c r="M651">
        <f t="shared" ca="1" si="263"/>
        <v>269348.78795585083</v>
      </c>
      <c r="N651">
        <f t="shared" ca="1" si="264"/>
        <v>2.5998694991876676</v>
      </c>
      <c r="O651">
        <f t="shared" ca="1" si="265"/>
        <v>1.8934557080078435E-4</v>
      </c>
      <c r="P651">
        <f t="shared" ca="1" si="266"/>
        <v>52430.155337663622</v>
      </c>
      <c r="Q651">
        <f t="shared" ca="1" si="267"/>
        <v>52430.155337665448</v>
      </c>
      <c r="R651">
        <f t="shared" ca="1" si="268"/>
        <v>2.2564415439646509E-12</v>
      </c>
      <c r="S651">
        <f t="shared" ca="1" si="287"/>
        <v>4.999999946448952E-4</v>
      </c>
      <c r="T651">
        <f t="shared" ca="1" si="288"/>
        <v>1</v>
      </c>
      <c r="U651">
        <f t="shared" ca="1" si="269"/>
        <v>51800.26683766341</v>
      </c>
      <c r="V651">
        <f t="shared" ca="1" si="270"/>
        <v>269361.38755584974</v>
      </c>
      <c r="W651">
        <f t="shared" ca="1" si="271"/>
        <v>2.5998695052916441</v>
      </c>
      <c r="X651">
        <f t="shared" ca="1" si="272"/>
        <v>1.8933671400629237E-4</v>
      </c>
      <c r="Y651">
        <f t="shared" ca="1" si="273"/>
        <v>52432.578337663414</v>
      </c>
      <c r="Z651">
        <f t="shared" ca="1" si="274"/>
        <v>52432.57833766524</v>
      </c>
      <c r="AA651">
        <f t="shared" ca="1" si="275"/>
        <v>2.2562304480281055E-12</v>
      </c>
      <c r="AB651">
        <f t="shared" ca="1" si="276"/>
        <v>-5.0000000192085281E-4</v>
      </c>
      <c r="AC651">
        <f t="shared" ca="1" si="277"/>
        <v>1</v>
      </c>
      <c r="AD651">
        <f ca="1">IF(V32="Supercritical",L651,IF(V32="Subcritical",U651,IF(AND(T651=1,AC651=1),IF((((F651)*(L651)^2)/2+(G651)*(L651)^3/3+(ABS(K651)^2)/($I$5*MAX(((F651)+(G651)*(L651))*(L651),0.000001)))&gt;=(((F651)*(U651)^2)/2+(G651)*(U651)^3/3+(ABS(K651)^2)/($I$5*MAX(((F651)+(G651)*(U651))*(U651),0.000001))),L651,U651),IF(T651=1,L651,IF(AC651=1,U651,MAX($D$16,POWER((ABS(K651)^2)/($I$5*MAX(F651,0.1)^2),1/3)))))))</f>
        <v>51800.26683766341</v>
      </c>
      <c r="AE651">
        <f t="shared" ca="1" si="278"/>
        <v>52432.578337663414</v>
      </c>
      <c r="AF651">
        <f t="shared" ca="1" si="279"/>
        <v>52432.57833766524</v>
      </c>
      <c r="AI651">
        <v>0</v>
      </c>
      <c r="AJ651">
        <v>0</v>
      </c>
      <c r="AK651">
        <f t="shared" si="280"/>
        <v>0</v>
      </c>
      <c r="AL651">
        <f t="shared" si="289"/>
        <v>0</v>
      </c>
      <c r="AM651">
        <f t="shared" ca="1" si="281"/>
        <v>2.6560383008097266E-7</v>
      </c>
      <c r="AN651" t="str">
        <f t="shared" ca="1" si="282"/>
        <v>Subcritical</v>
      </c>
      <c r="AO651">
        <f t="shared" ca="1" si="283"/>
        <v>2.2562304480281055E-12</v>
      </c>
    </row>
    <row r="652" spans="1:41" x14ac:dyDescent="0.35">
      <c r="A652">
        <v>503</v>
      </c>
      <c r="B652">
        <v>501.89600000000002</v>
      </c>
      <c r="C652">
        <v>616203.42299999995</v>
      </c>
      <c r="D652">
        <v>3097474.9730000002</v>
      </c>
      <c r="E652">
        <v>632.31100000000004</v>
      </c>
      <c r="F652">
        <v>5.2</v>
      </c>
      <c r="G652">
        <v>0</v>
      </c>
      <c r="H652" t="s">
        <v>186</v>
      </c>
      <c r="I652">
        <v>7.8E-2</v>
      </c>
      <c r="J652">
        <f t="shared" si="284"/>
        <v>1.0010000000000332</v>
      </c>
      <c r="K652">
        <f t="shared" si="285"/>
        <v>51</v>
      </c>
      <c r="L652">
        <f t="shared" ca="1" si="286"/>
        <v>51797.843837663619</v>
      </c>
      <c r="M652">
        <f t="shared" ca="1" si="263"/>
        <v>269348.78795585083</v>
      </c>
      <c r="N652">
        <f t="shared" ca="1" si="264"/>
        <v>2.5998694991876676</v>
      </c>
      <c r="O652">
        <f t="shared" ca="1" si="265"/>
        <v>1.8934557080078435E-4</v>
      </c>
      <c r="P652">
        <f t="shared" ca="1" si="266"/>
        <v>52430.15483766362</v>
      </c>
      <c r="Q652">
        <f t="shared" ca="1" si="267"/>
        <v>52430.154837665446</v>
      </c>
      <c r="R652">
        <f t="shared" ca="1" si="268"/>
        <v>2.2564415439646509E-12</v>
      </c>
      <c r="S652">
        <f t="shared" ca="1" si="287"/>
        <v>5.0000000192085281E-4</v>
      </c>
      <c r="T652">
        <f t="shared" ca="1" si="288"/>
        <v>1</v>
      </c>
      <c r="U652">
        <f t="shared" ca="1" si="269"/>
        <v>51800.26683766341</v>
      </c>
      <c r="V652">
        <f t="shared" ca="1" si="270"/>
        <v>269361.38755584974</v>
      </c>
      <c r="W652">
        <f t="shared" ca="1" si="271"/>
        <v>2.5998695052916441</v>
      </c>
      <c r="X652">
        <f t="shared" ca="1" si="272"/>
        <v>1.8933671400629237E-4</v>
      </c>
      <c r="Y652">
        <f t="shared" ca="1" si="273"/>
        <v>52432.577837663412</v>
      </c>
      <c r="Z652">
        <f t="shared" ca="1" si="274"/>
        <v>52432.577837665238</v>
      </c>
      <c r="AA652">
        <f t="shared" ca="1" si="275"/>
        <v>2.2562304480281055E-12</v>
      </c>
      <c r="AB652">
        <f t="shared" ca="1" si="276"/>
        <v>-5.0000000192085281E-4</v>
      </c>
      <c r="AC652">
        <f t="shared" ca="1" si="277"/>
        <v>1</v>
      </c>
      <c r="AD652">
        <f ca="1">IF(V32="Supercritical",L652,IF(V32="Subcritical",U652,IF(AND(T652=1,AC652=1),IF((((F652)*(L652)^2)/2+(G652)*(L652)^3/3+(ABS(K652)^2)/($I$5*MAX(((F652)+(G652)*(L652))*(L652),0.000001)))&gt;=(((F652)*(U652)^2)/2+(G652)*(U652)^3/3+(ABS(K652)^2)/($I$5*MAX(((F652)+(G652)*(U652))*(U652),0.000001))),L652,U652),IF(T652=1,L652,IF(AC652=1,U652,MAX($D$16,POWER((ABS(K652)^2)/($I$5*MAX(F652,0.1)^2),1/3)))))))</f>
        <v>51800.26683766341</v>
      </c>
      <c r="AE652">
        <f t="shared" ca="1" si="278"/>
        <v>52432.577837663412</v>
      </c>
      <c r="AF652">
        <f t="shared" ca="1" si="279"/>
        <v>52432.577837665238</v>
      </c>
      <c r="AI652">
        <v>0</v>
      </c>
      <c r="AJ652">
        <v>0</v>
      </c>
      <c r="AK652">
        <f t="shared" si="280"/>
        <v>0</v>
      </c>
      <c r="AL652">
        <f t="shared" si="289"/>
        <v>0</v>
      </c>
      <c r="AM652">
        <f t="shared" ca="1" si="281"/>
        <v>2.6560383008097266E-7</v>
      </c>
      <c r="AN652" t="str">
        <f t="shared" ca="1" si="282"/>
        <v>Subcritical</v>
      </c>
      <c r="AO652">
        <f t="shared" ca="1" si="283"/>
        <v>2.2562304480281055E-12</v>
      </c>
    </row>
    <row r="653" spans="1:41" x14ac:dyDescent="0.35">
      <c r="A653">
        <v>504</v>
      </c>
      <c r="B653">
        <v>502.89600000000002</v>
      </c>
      <c r="C653">
        <v>616202.94799999997</v>
      </c>
      <c r="D653">
        <v>3097474.0929999999</v>
      </c>
      <c r="E653">
        <v>632.31050000000005</v>
      </c>
      <c r="F653">
        <v>5.2</v>
      </c>
      <c r="G653">
        <v>0</v>
      </c>
      <c r="H653" t="s">
        <v>186</v>
      </c>
      <c r="I653">
        <v>0.05</v>
      </c>
      <c r="J653">
        <f t="shared" si="284"/>
        <v>1</v>
      </c>
      <c r="K653">
        <f t="shared" si="285"/>
        <v>51</v>
      </c>
      <c r="L653">
        <f t="shared" ca="1" si="286"/>
        <v>51797.843837663619</v>
      </c>
      <c r="M653">
        <f t="shared" ca="1" si="263"/>
        <v>269348.78795585083</v>
      </c>
      <c r="N653">
        <f t="shared" ca="1" si="264"/>
        <v>2.5998694991876676</v>
      </c>
      <c r="O653">
        <f t="shared" ca="1" si="265"/>
        <v>1.8934557080078435E-4</v>
      </c>
      <c r="P653">
        <f t="shared" ca="1" si="266"/>
        <v>52430.154337663618</v>
      </c>
      <c r="Q653">
        <f t="shared" ca="1" si="267"/>
        <v>52430.154337665444</v>
      </c>
      <c r="R653">
        <f t="shared" ca="1" si="268"/>
        <v>2.2564415439646509E-12</v>
      </c>
      <c r="S653">
        <f t="shared" ca="1" si="287"/>
        <v>5.0000000192085281E-4</v>
      </c>
      <c r="T653">
        <f t="shared" ca="1" si="288"/>
        <v>1</v>
      </c>
      <c r="U653">
        <f t="shared" ca="1" si="269"/>
        <v>51800.26683766341</v>
      </c>
      <c r="V653">
        <f t="shared" ca="1" si="270"/>
        <v>269361.38755584974</v>
      </c>
      <c r="W653">
        <f t="shared" ca="1" si="271"/>
        <v>2.5998695052916441</v>
      </c>
      <c r="X653">
        <f t="shared" ca="1" si="272"/>
        <v>1.8933671400629237E-4</v>
      </c>
      <c r="Y653">
        <f t="shared" ca="1" si="273"/>
        <v>52432.57733766341</v>
      </c>
      <c r="Z653">
        <f t="shared" ca="1" si="274"/>
        <v>52432.577337665236</v>
      </c>
      <c r="AA653">
        <f t="shared" ca="1" si="275"/>
        <v>2.2562304480281055E-12</v>
      </c>
      <c r="AB653">
        <f t="shared" ca="1" si="276"/>
        <v>-5.0000000192085281E-4</v>
      </c>
      <c r="AC653">
        <f t="shared" ca="1" si="277"/>
        <v>1</v>
      </c>
      <c r="AD653">
        <f ca="1">IF(V32="Supercritical",L653,IF(V32="Subcritical",U653,IF(AND(T653=1,AC653=1),IF((((F653)*(L653)^2)/2+(G653)*(L653)^3/3+(ABS(K653)^2)/($I$5*MAX(((F653)+(G653)*(L653))*(L653),0.000001)))&gt;=(((F653)*(U653)^2)/2+(G653)*(U653)^3/3+(ABS(K653)^2)/($I$5*MAX(((F653)+(G653)*(U653))*(U653),0.000001))),L653,U653),IF(T653=1,L653,IF(AC653=1,U653,MAX($D$16,POWER((ABS(K653)^2)/($I$5*MAX(F653,0.1)^2),1/3)))))))</f>
        <v>51800.26683766341</v>
      </c>
      <c r="AE653">
        <f t="shared" ca="1" si="278"/>
        <v>52432.57733766341</v>
      </c>
      <c r="AF653">
        <f t="shared" ca="1" si="279"/>
        <v>52432.577337665236</v>
      </c>
      <c r="AI653">
        <v>0</v>
      </c>
      <c r="AJ653">
        <v>0</v>
      </c>
      <c r="AK653">
        <f t="shared" si="280"/>
        <v>0</v>
      </c>
      <c r="AL653">
        <f t="shared" si="289"/>
        <v>0</v>
      </c>
      <c r="AM653">
        <f t="shared" ca="1" si="281"/>
        <v>2.6560383008097266E-7</v>
      </c>
      <c r="AN653" t="str">
        <f t="shared" ca="1" si="282"/>
        <v>Subcritical</v>
      </c>
      <c r="AO653">
        <f t="shared" ca="1" si="283"/>
        <v>2.2562304480281055E-12</v>
      </c>
    </row>
    <row r="654" spans="1:41" x14ac:dyDescent="0.35">
      <c r="A654">
        <v>505</v>
      </c>
      <c r="B654">
        <v>503.89499999999998</v>
      </c>
      <c r="C654">
        <v>616202.47400000005</v>
      </c>
      <c r="D654">
        <v>3097473.213</v>
      </c>
      <c r="E654">
        <v>632.30999999999995</v>
      </c>
      <c r="F654">
        <v>5.2</v>
      </c>
      <c r="G654">
        <v>0</v>
      </c>
      <c r="H654" t="s">
        <v>186</v>
      </c>
      <c r="I654">
        <v>2.7E-2</v>
      </c>
      <c r="J654">
        <f t="shared" si="284"/>
        <v>0.9989999999999668</v>
      </c>
      <c r="K654">
        <f t="shared" si="285"/>
        <v>51</v>
      </c>
      <c r="L654">
        <f t="shared" ca="1" si="286"/>
        <v>51797.843837663619</v>
      </c>
      <c r="M654">
        <f t="shared" ca="1" si="263"/>
        <v>269348.78795585083</v>
      </c>
      <c r="N654">
        <f t="shared" ca="1" si="264"/>
        <v>2.5998694991876676</v>
      </c>
      <c r="O654">
        <f t="shared" ca="1" si="265"/>
        <v>1.8934557080078435E-4</v>
      </c>
      <c r="P654">
        <f t="shared" ca="1" si="266"/>
        <v>52430.153837663616</v>
      </c>
      <c r="Q654">
        <f t="shared" ca="1" si="267"/>
        <v>52430.153837665443</v>
      </c>
      <c r="R654">
        <f t="shared" ca="1" si="268"/>
        <v>2.2564415439646509E-12</v>
      </c>
      <c r="S654">
        <f t="shared" ca="1" si="287"/>
        <v>5.0000000192085281E-4</v>
      </c>
      <c r="T654">
        <f t="shared" ca="1" si="288"/>
        <v>1</v>
      </c>
      <c r="U654">
        <f t="shared" ca="1" si="269"/>
        <v>51800.26683766341</v>
      </c>
      <c r="V654">
        <f t="shared" ca="1" si="270"/>
        <v>269361.38755584974</v>
      </c>
      <c r="W654">
        <f t="shared" ca="1" si="271"/>
        <v>2.5998695052916441</v>
      </c>
      <c r="X654">
        <f t="shared" ca="1" si="272"/>
        <v>1.8933671400629237E-4</v>
      </c>
      <c r="Y654">
        <f t="shared" ca="1" si="273"/>
        <v>52432.576837663408</v>
      </c>
      <c r="Z654">
        <f t="shared" ca="1" si="274"/>
        <v>52432.576837665234</v>
      </c>
      <c r="AA654">
        <f t="shared" ca="1" si="275"/>
        <v>2.2562304480281055E-12</v>
      </c>
      <c r="AB654">
        <f t="shared" ca="1" si="276"/>
        <v>-4.999999946448952E-4</v>
      </c>
      <c r="AC654">
        <f t="shared" ca="1" si="277"/>
        <v>1</v>
      </c>
      <c r="AD654">
        <f ca="1">IF(V32="Supercritical",L654,IF(V32="Subcritical",U654,IF(AND(T654=1,AC654=1),IF((((F654)*(L654)^2)/2+(G654)*(L654)^3/3+(ABS(K654)^2)/($I$5*MAX(((F654)+(G654)*(L654))*(L654),0.000001)))&gt;=(((F654)*(U654)^2)/2+(G654)*(U654)^3/3+(ABS(K654)^2)/($I$5*MAX(((F654)+(G654)*(U654))*(U654),0.000001))),L654,U654),IF(T654=1,L654,IF(AC654=1,U654,MAX($D$16,POWER((ABS(K654)^2)/($I$5*MAX(F654,0.1)^2),1/3)))))))</f>
        <v>51800.26683766341</v>
      </c>
      <c r="AE654">
        <f t="shared" ca="1" si="278"/>
        <v>52432.576837663408</v>
      </c>
      <c r="AF654">
        <f t="shared" ca="1" si="279"/>
        <v>52432.576837665234</v>
      </c>
      <c r="AI654">
        <v>0</v>
      </c>
      <c r="AJ654">
        <v>0</v>
      </c>
      <c r="AK654">
        <f t="shared" si="280"/>
        <v>0</v>
      </c>
      <c r="AL654">
        <f t="shared" si="289"/>
        <v>0</v>
      </c>
      <c r="AM654">
        <f t="shared" ca="1" si="281"/>
        <v>2.6560383008097266E-7</v>
      </c>
      <c r="AN654" t="str">
        <f t="shared" ca="1" si="282"/>
        <v>Subcritical</v>
      </c>
      <c r="AO654">
        <f t="shared" ca="1" si="283"/>
        <v>2.2562304480281055E-12</v>
      </c>
    </row>
    <row r="655" spans="1:41" x14ac:dyDescent="0.35">
      <c r="A655">
        <v>506</v>
      </c>
      <c r="B655">
        <v>504.89499999999998</v>
      </c>
      <c r="C655">
        <v>616202</v>
      </c>
      <c r="D655">
        <v>3097472.3319999999</v>
      </c>
      <c r="E655">
        <v>632.30949999999996</v>
      </c>
      <c r="F655">
        <v>5.2</v>
      </c>
      <c r="G655">
        <v>0</v>
      </c>
      <c r="H655" t="s">
        <v>186</v>
      </c>
      <c r="I655">
        <v>2.7E-2</v>
      </c>
      <c r="J655">
        <f t="shared" si="284"/>
        <v>1</v>
      </c>
      <c r="K655">
        <f t="shared" si="285"/>
        <v>51</v>
      </c>
      <c r="L655">
        <f t="shared" ca="1" si="286"/>
        <v>51797.843837663619</v>
      </c>
      <c r="M655">
        <f t="shared" ca="1" si="263"/>
        <v>269348.78795585083</v>
      </c>
      <c r="N655">
        <f t="shared" ca="1" si="264"/>
        <v>2.5998694991876676</v>
      </c>
      <c r="O655">
        <f t="shared" ca="1" si="265"/>
        <v>1.8934557080078435E-4</v>
      </c>
      <c r="P655">
        <f t="shared" ca="1" si="266"/>
        <v>52430.153337663622</v>
      </c>
      <c r="Q655">
        <f t="shared" ca="1" si="267"/>
        <v>52430.153337665448</v>
      </c>
      <c r="R655">
        <f t="shared" ca="1" si="268"/>
        <v>2.2564415439646509E-12</v>
      </c>
      <c r="S655">
        <f t="shared" ca="1" si="287"/>
        <v>4.999999946448952E-4</v>
      </c>
      <c r="T655">
        <f t="shared" ca="1" si="288"/>
        <v>1</v>
      </c>
      <c r="U655">
        <f t="shared" ca="1" si="269"/>
        <v>51800.26683766341</v>
      </c>
      <c r="V655">
        <f t="shared" ca="1" si="270"/>
        <v>269361.38755584974</v>
      </c>
      <c r="W655">
        <f t="shared" ca="1" si="271"/>
        <v>2.5998695052916441</v>
      </c>
      <c r="X655">
        <f t="shared" ca="1" si="272"/>
        <v>1.8933671400629237E-4</v>
      </c>
      <c r="Y655">
        <f t="shared" ca="1" si="273"/>
        <v>52432.576337663413</v>
      </c>
      <c r="Z655">
        <f t="shared" ca="1" si="274"/>
        <v>52432.576337665239</v>
      </c>
      <c r="AA655">
        <f t="shared" ca="1" si="275"/>
        <v>2.2562304480281055E-12</v>
      </c>
      <c r="AB655">
        <f t="shared" ca="1" si="276"/>
        <v>-5.0000000192085281E-4</v>
      </c>
      <c r="AC655">
        <f t="shared" ca="1" si="277"/>
        <v>1</v>
      </c>
      <c r="AD655">
        <f ca="1">IF(V32="Supercritical",L655,IF(V32="Subcritical",U655,IF(AND(T655=1,AC655=1),IF((((F655)*(L655)^2)/2+(G655)*(L655)^3/3+(ABS(K655)^2)/($I$5*MAX(((F655)+(G655)*(L655))*(L655),0.000001)))&gt;=(((F655)*(U655)^2)/2+(G655)*(U655)^3/3+(ABS(K655)^2)/($I$5*MAX(((F655)+(G655)*(U655))*(U655),0.000001))),L655,U655),IF(T655=1,L655,IF(AC655=1,U655,MAX($D$16,POWER((ABS(K655)^2)/($I$5*MAX(F655,0.1)^2),1/3)))))))</f>
        <v>51800.26683766341</v>
      </c>
      <c r="AE655">
        <f t="shared" ca="1" si="278"/>
        <v>52432.576337663413</v>
      </c>
      <c r="AF655">
        <f t="shared" ca="1" si="279"/>
        <v>52432.576337665239</v>
      </c>
      <c r="AI655">
        <v>0</v>
      </c>
      <c r="AJ655">
        <v>0</v>
      </c>
      <c r="AK655">
        <f t="shared" si="280"/>
        <v>0</v>
      </c>
      <c r="AL655">
        <f t="shared" si="289"/>
        <v>0</v>
      </c>
      <c r="AM655">
        <f t="shared" ca="1" si="281"/>
        <v>2.6560383008097266E-7</v>
      </c>
      <c r="AN655" t="str">
        <f t="shared" ca="1" si="282"/>
        <v>Subcritical</v>
      </c>
      <c r="AO655">
        <f t="shared" ca="1" si="283"/>
        <v>2.2562304480281055E-12</v>
      </c>
    </row>
    <row r="656" spans="1:41" x14ac:dyDescent="0.35">
      <c r="A656">
        <v>507</v>
      </c>
      <c r="B656">
        <v>505.89499999999998</v>
      </c>
      <c r="C656">
        <v>616201.52599999995</v>
      </c>
      <c r="D656">
        <v>3097471.452</v>
      </c>
      <c r="E656">
        <v>632.30899999999997</v>
      </c>
      <c r="F656">
        <v>5.2</v>
      </c>
      <c r="G656">
        <v>0</v>
      </c>
      <c r="H656" t="s">
        <v>186</v>
      </c>
      <c r="I656">
        <v>2.3E-2</v>
      </c>
      <c r="J656">
        <f t="shared" si="284"/>
        <v>1</v>
      </c>
      <c r="K656">
        <f t="shared" si="285"/>
        <v>51</v>
      </c>
      <c r="L656">
        <f t="shared" ca="1" si="286"/>
        <v>51797.843837663619</v>
      </c>
      <c r="M656">
        <f t="shared" ca="1" si="263"/>
        <v>269348.78795585083</v>
      </c>
      <c r="N656">
        <f t="shared" ca="1" si="264"/>
        <v>2.5998694991876676</v>
      </c>
      <c r="O656">
        <f t="shared" ca="1" si="265"/>
        <v>1.8934557080078435E-4</v>
      </c>
      <c r="P656">
        <f t="shared" ca="1" si="266"/>
        <v>52430.15283766362</v>
      </c>
      <c r="Q656">
        <f t="shared" ca="1" si="267"/>
        <v>52430.152837665446</v>
      </c>
      <c r="R656">
        <f t="shared" ca="1" si="268"/>
        <v>2.2564415439646509E-12</v>
      </c>
      <c r="S656">
        <f t="shared" ca="1" si="287"/>
        <v>5.0000000192085281E-4</v>
      </c>
      <c r="T656">
        <f t="shared" ca="1" si="288"/>
        <v>1</v>
      </c>
      <c r="U656">
        <f t="shared" ca="1" si="269"/>
        <v>51800.26683766341</v>
      </c>
      <c r="V656">
        <f t="shared" ca="1" si="270"/>
        <v>269361.38755584974</v>
      </c>
      <c r="W656">
        <f t="shared" ca="1" si="271"/>
        <v>2.5998695052916441</v>
      </c>
      <c r="X656">
        <f t="shared" ca="1" si="272"/>
        <v>1.8933671400629237E-4</v>
      </c>
      <c r="Y656">
        <f t="shared" ca="1" si="273"/>
        <v>52432.575837663411</v>
      </c>
      <c r="Z656">
        <f t="shared" ca="1" si="274"/>
        <v>52432.575837665237</v>
      </c>
      <c r="AA656">
        <f t="shared" ca="1" si="275"/>
        <v>2.2562304480281055E-12</v>
      </c>
      <c r="AB656">
        <f t="shared" ca="1" si="276"/>
        <v>-5.0000000192085281E-4</v>
      </c>
      <c r="AC656">
        <f t="shared" ca="1" si="277"/>
        <v>1</v>
      </c>
      <c r="AD656">
        <f ca="1">IF(V32="Supercritical",L656,IF(V32="Subcritical",U656,IF(AND(T656=1,AC656=1),IF((((F656)*(L656)^2)/2+(G656)*(L656)^3/3+(ABS(K656)^2)/($I$5*MAX(((F656)+(G656)*(L656))*(L656),0.000001)))&gt;=(((F656)*(U656)^2)/2+(G656)*(U656)^3/3+(ABS(K656)^2)/($I$5*MAX(((F656)+(G656)*(U656))*(U656),0.000001))),L656,U656),IF(T656=1,L656,IF(AC656=1,U656,MAX($D$16,POWER((ABS(K656)^2)/($I$5*MAX(F656,0.1)^2),1/3)))))))</f>
        <v>51800.26683766341</v>
      </c>
      <c r="AE656">
        <f t="shared" ca="1" si="278"/>
        <v>52432.575837663411</v>
      </c>
      <c r="AF656">
        <f t="shared" ca="1" si="279"/>
        <v>52432.575837665237</v>
      </c>
      <c r="AI656">
        <v>0</v>
      </c>
      <c r="AJ656">
        <v>0</v>
      </c>
      <c r="AK656">
        <f t="shared" si="280"/>
        <v>0</v>
      </c>
      <c r="AL656">
        <f t="shared" si="289"/>
        <v>0</v>
      </c>
      <c r="AM656">
        <f t="shared" ca="1" si="281"/>
        <v>2.6560383008097266E-7</v>
      </c>
      <c r="AN656" t="str">
        <f t="shared" ca="1" si="282"/>
        <v>Subcritical</v>
      </c>
      <c r="AO656">
        <f t="shared" ca="1" si="283"/>
        <v>2.2562304480281055E-12</v>
      </c>
    </row>
    <row r="657" spans="1:41" x14ac:dyDescent="0.35">
      <c r="A657">
        <v>508</v>
      </c>
      <c r="B657">
        <v>506.89600000000002</v>
      </c>
      <c r="C657">
        <v>616201.05099999998</v>
      </c>
      <c r="D657">
        <v>3097470.571</v>
      </c>
      <c r="E657">
        <v>632.30849999999998</v>
      </c>
      <c r="F657">
        <v>5.2</v>
      </c>
      <c r="G657">
        <v>0</v>
      </c>
      <c r="H657" t="s">
        <v>186</v>
      </c>
      <c r="I657">
        <v>2.3E-2</v>
      </c>
      <c r="J657">
        <f t="shared" si="284"/>
        <v>1.0010000000000332</v>
      </c>
      <c r="K657">
        <f t="shared" si="285"/>
        <v>51</v>
      </c>
      <c r="L657">
        <f t="shared" ca="1" si="286"/>
        <v>51797.843837663619</v>
      </c>
      <c r="M657">
        <f t="shared" ca="1" si="263"/>
        <v>269348.78795585083</v>
      </c>
      <c r="N657">
        <f t="shared" ca="1" si="264"/>
        <v>2.5998694991876676</v>
      </c>
      <c r="O657">
        <f t="shared" ca="1" si="265"/>
        <v>1.8934557080078435E-4</v>
      </c>
      <c r="P657">
        <f t="shared" ca="1" si="266"/>
        <v>52430.152337663618</v>
      </c>
      <c r="Q657">
        <f t="shared" ca="1" si="267"/>
        <v>52430.152337665444</v>
      </c>
      <c r="R657">
        <f t="shared" ca="1" si="268"/>
        <v>2.2564415439646509E-12</v>
      </c>
      <c r="S657">
        <f t="shared" ca="1" si="287"/>
        <v>5.0000000192085281E-4</v>
      </c>
      <c r="T657">
        <f t="shared" ca="1" si="288"/>
        <v>1</v>
      </c>
      <c r="U657">
        <f t="shared" ca="1" si="269"/>
        <v>51800.26683766341</v>
      </c>
      <c r="V657">
        <f t="shared" ca="1" si="270"/>
        <v>269361.38755584974</v>
      </c>
      <c r="W657">
        <f t="shared" ca="1" si="271"/>
        <v>2.5998695052916441</v>
      </c>
      <c r="X657">
        <f t="shared" ca="1" si="272"/>
        <v>1.8933671400629237E-4</v>
      </c>
      <c r="Y657">
        <f t="shared" ca="1" si="273"/>
        <v>52432.575337663409</v>
      </c>
      <c r="Z657">
        <f t="shared" ca="1" si="274"/>
        <v>52432.575337665236</v>
      </c>
      <c r="AA657">
        <f t="shared" ca="1" si="275"/>
        <v>2.2562304480281055E-12</v>
      </c>
      <c r="AB657">
        <f t="shared" ca="1" si="276"/>
        <v>-5.0000000192085281E-4</v>
      </c>
      <c r="AC657">
        <f t="shared" ca="1" si="277"/>
        <v>1</v>
      </c>
      <c r="AD657">
        <f ca="1">IF(V32="Supercritical",L657,IF(V32="Subcritical",U657,IF(AND(T657=1,AC657=1),IF((((F657)*(L657)^2)/2+(G657)*(L657)^3/3+(ABS(K657)^2)/($I$5*MAX(((F657)+(G657)*(L657))*(L657),0.000001)))&gt;=(((F657)*(U657)^2)/2+(G657)*(U657)^3/3+(ABS(K657)^2)/($I$5*MAX(((F657)+(G657)*(U657))*(U657),0.000001))),L657,U657),IF(T657=1,L657,IF(AC657=1,U657,MAX($D$16,POWER((ABS(K657)^2)/($I$5*MAX(F657,0.1)^2),1/3)))))))</f>
        <v>51800.26683766341</v>
      </c>
      <c r="AE657">
        <f t="shared" ca="1" si="278"/>
        <v>52432.575337663409</v>
      </c>
      <c r="AF657">
        <f t="shared" ca="1" si="279"/>
        <v>52432.575337665236</v>
      </c>
      <c r="AI657">
        <v>0</v>
      </c>
      <c r="AJ657">
        <v>0</v>
      </c>
      <c r="AK657">
        <f t="shared" si="280"/>
        <v>0</v>
      </c>
      <c r="AL657">
        <f t="shared" si="289"/>
        <v>0</v>
      </c>
      <c r="AM657">
        <f t="shared" ca="1" si="281"/>
        <v>2.6560383008097266E-7</v>
      </c>
      <c r="AN657" t="str">
        <f t="shared" ca="1" si="282"/>
        <v>Subcritical</v>
      </c>
      <c r="AO657">
        <f t="shared" ca="1" si="283"/>
        <v>2.2562304480281055E-12</v>
      </c>
    </row>
    <row r="658" spans="1:41" x14ac:dyDescent="0.35">
      <c r="A658">
        <v>509</v>
      </c>
      <c r="B658">
        <v>507.89499999999998</v>
      </c>
      <c r="C658">
        <v>616200.57700000005</v>
      </c>
      <c r="D658">
        <v>3097469.6910000001</v>
      </c>
      <c r="E658">
        <v>632.30799999999999</v>
      </c>
      <c r="F658">
        <v>5.2</v>
      </c>
      <c r="G658">
        <v>0</v>
      </c>
      <c r="H658" t="s">
        <v>186</v>
      </c>
      <c r="I658">
        <v>0</v>
      </c>
      <c r="J658">
        <f t="shared" si="284"/>
        <v>0.9989999999999668</v>
      </c>
      <c r="K658">
        <f t="shared" si="285"/>
        <v>51</v>
      </c>
      <c r="L658">
        <f t="shared" ca="1" si="286"/>
        <v>51797.843837663619</v>
      </c>
      <c r="M658">
        <f t="shared" ca="1" si="263"/>
        <v>269348.78795585083</v>
      </c>
      <c r="N658">
        <f t="shared" ca="1" si="264"/>
        <v>2.5998694991876676</v>
      </c>
      <c r="O658">
        <f t="shared" ca="1" si="265"/>
        <v>1.8934557080078435E-4</v>
      </c>
      <c r="P658">
        <f t="shared" ca="1" si="266"/>
        <v>52430.151837663616</v>
      </c>
      <c r="Q658">
        <f t="shared" ca="1" si="267"/>
        <v>52430.151837665442</v>
      </c>
      <c r="R658">
        <f t="shared" ca="1" si="268"/>
        <v>2.2564415439646509E-12</v>
      </c>
      <c r="S658">
        <f t="shared" ca="1" si="287"/>
        <v>5.0000000192085281E-4</v>
      </c>
      <c r="T658">
        <f t="shared" ca="1" si="288"/>
        <v>1</v>
      </c>
      <c r="U658">
        <f t="shared" ca="1" si="269"/>
        <v>51800.26683766341</v>
      </c>
      <c r="V658">
        <f t="shared" ca="1" si="270"/>
        <v>269361.38755584974</v>
      </c>
      <c r="W658">
        <f t="shared" ca="1" si="271"/>
        <v>2.5998695052916441</v>
      </c>
      <c r="X658">
        <f t="shared" ca="1" si="272"/>
        <v>1.8933671400629237E-4</v>
      </c>
      <c r="Y658">
        <f t="shared" ca="1" si="273"/>
        <v>52432.574837663407</v>
      </c>
      <c r="Z658">
        <f t="shared" ca="1" si="274"/>
        <v>52432.574837665234</v>
      </c>
      <c r="AA658">
        <f t="shared" ca="1" si="275"/>
        <v>2.2562304480281055E-12</v>
      </c>
      <c r="AB658">
        <f t="shared" ca="1" si="276"/>
        <v>-4.999999946448952E-4</v>
      </c>
      <c r="AC658">
        <f t="shared" ca="1" si="277"/>
        <v>1</v>
      </c>
      <c r="AD658">
        <f ca="1">IF(V32="Supercritical",L658,IF(V32="Subcritical",U658,IF(AND(T658=1,AC658=1),IF((((F658)*(L658)^2)/2+(G658)*(L658)^3/3+(ABS(K658)^2)/($I$5*MAX(((F658)+(G658)*(L658))*(L658),0.000001)))&gt;=(((F658)*(U658)^2)/2+(G658)*(U658)^3/3+(ABS(K658)^2)/($I$5*MAX(((F658)+(G658)*(U658))*(U658),0.000001))),L658,U658),IF(T658=1,L658,IF(AC658=1,U658,MAX($D$16,POWER((ABS(K658)^2)/($I$5*MAX(F658,0.1)^2),1/3)))))))</f>
        <v>51800.26683766341</v>
      </c>
      <c r="AE658">
        <f t="shared" ca="1" si="278"/>
        <v>52432.574837663407</v>
      </c>
      <c r="AF658">
        <f t="shared" ca="1" si="279"/>
        <v>52432.574837665234</v>
      </c>
      <c r="AI658">
        <v>0</v>
      </c>
      <c r="AJ658">
        <v>0</v>
      </c>
      <c r="AK658">
        <f t="shared" si="280"/>
        <v>0</v>
      </c>
      <c r="AL658">
        <f t="shared" si="289"/>
        <v>0</v>
      </c>
      <c r="AM658">
        <f t="shared" ca="1" si="281"/>
        <v>2.6560383008097266E-7</v>
      </c>
      <c r="AN658" t="str">
        <f t="shared" ca="1" si="282"/>
        <v>Subcritical</v>
      </c>
      <c r="AO658">
        <f t="shared" ca="1" si="283"/>
        <v>2.2562304480281055E-12</v>
      </c>
    </row>
    <row r="659" spans="1:41" x14ac:dyDescent="0.35">
      <c r="A659">
        <v>510</v>
      </c>
      <c r="B659">
        <v>508.89499999999998</v>
      </c>
      <c r="C659">
        <v>616200.103</v>
      </c>
      <c r="D659">
        <v>3097468.8110000002</v>
      </c>
      <c r="E659">
        <v>632.3075</v>
      </c>
      <c r="F659">
        <v>5.2</v>
      </c>
      <c r="G659">
        <v>0</v>
      </c>
      <c r="H659" t="s">
        <v>186</v>
      </c>
      <c r="I659">
        <v>2.7E-2</v>
      </c>
      <c r="J659">
        <f t="shared" si="284"/>
        <v>1</v>
      </c>
      <c r="K659">
        <f t="shared" si="285"/>
        <v>51</v>
      </c>
      <c r="L659">
        <f t="shared" ca="1" si="286"/>
        <v>51797.843837663619</v>
      </c>
      <c r="M659">
        <f t="shared" ca="1" si="263"/>
        <v>269348.78795585083</v>
      </c>
      <c r="N659">
        <f t="shared" ca="1" si="264"/>
        <v>2.5998694991876676</v>
      </c>
      <c r="O659">
        <f t="shared" ca="1" si="265"/>
        <v>1.8934557080078435E-4</v>
      </c>
      <c r="P659">
        <f t="shared" ca="1" si="266"/>
        <v>52430.151337663621</v>
      </c>
      <c r="Q659">
        <f t="shared" ca="1" si="267"/>
        <v>52430.151337665447</v>
      </c>
      <c r="R659">
        <f t="shared" ca="1" si="268"/>
        <v>2.2564415439646509E-12</v>
      </c>
      <c r="S659">
        <f t="shared" ca="1" si="287"/>
        <v>4.999999946448952E-4</v>
      </c>
      <c r="T659">
        <f t="shared" ca="1" si="288"/>
        <v>1</v>
      </c>
      <c r="U659">
        <f t="shared" ca="1" si="269"/>
        <v>51800.26683766341</v>
      </c>
      <c r="V659">
        <f t="shared" ca="1" si="270"/>
        <v>269361.38755584974</v>
      </c>
      <c r="W659">
        <f t="shared" ca="1" si="271"/>
        <v>2.5998695052916441</v>
      </c>
      <c r="X659">
        <f t="shared" ca="1" si="272"/>
        <v>1.8933671400629237E-4</v>
      </c>
      <c r="Y659">
        <f t="shared" ca="1" si="273"/>
        <v>52432.574337663413</v>
      </c>
      <c r="Z659">
        <f t="shared" ca="1" si="274"/>
        <v>52432.574337665239</v>
      </c>
      <c r="AA659">
        <f t="shared" ca="1" si="275"/>
        <v>2.2562304480281055E-12</v>
      </c>
      <c r="AB659">
        <f t="shared" ca="1" si="276"/>
        <v>-5.0000000192085281E-4</v>
      </c>
      <c r="AC659">
        <f t="shared" ca="1" si="277"/>
        <v>1</v>
      </c>
      <c r="AD659">
        <f ca="1">IF(V32="Supercritical",L659,IF(V32="Subcritical",U659,IF(AND(T659=1,AC659=1),IF((((F659)*(L659)^2)/2+(G659)*(L659)^3/3+(ABS(K659)^2)/($I$5*MAX(((F659)+(G659)*(L659))*(L659),0.000001)))&gt;=(((F659)*(U659)^2)/2+(G659)*(U659)^3/3+(ABS(K659)^2)/($I$5*MAX(((F659)+(G659)*(U659))*(U659),0.000001))),L659,U659),IF(T659=1,L659,IF(AC659=1,U659,MAX($D$16,POWER((ABS(K659)^2)/($I$5*MAX(F659,0.1)^2),1/3)))))))</f>
        <v>51800.26683766341</v>
      </c>
      <c r="AE659">
        <f t="shared" ca="1" si="278"/>
        <v>52432.574337663413</v>
      </c>
      <c r="AF659">
        <f t="shared" ca="1" si="279"/>
        <v>52432.574337665239</v>
      </c>
      <c r="AI659">
        <v>0</v>
      </c>
      <c r="AJ659">
        <v>0</v>
      </c>
      <c r="AK659">
        <f t="shared" si="280"/>
        <v>0</v>
      </c>
      <c r="AL659">
        <f t="shared" si="289"/>
        <v>0</v>
      </c>
      <c r="AM659">
        <f t="shared" ca="1" si="281"/>
        <v>2.6560383008097266E-7</v>
      </c>
      <c r="AN659" t="str">
        <f t="shared" ca="1" si="282"/>
        <v>Subcritical</v>
      </c>
      <c r="AO659">
        <f t="shared" ca="1" si="283"/>
        <v>2.2562304480281055E-12</v>
      </c>
    </row>
    <row r="660" spans="1:41" x14ac:dyDescent="0.35">
      <c r="A660">
        <v>511</v>
      </c>
      <c r="B660">
        <v>509.89499999999998</v>
      </c>
      <c r="C660">
        <v>616199.62899999996</v>
      </c>
      <c r="D660">
        <v>3097467.93</v>
      </c>
      <c r="E660">
        <v>632.30700000000002</v>
      </c>
      <c r="F660">
        <v>5.2</v>
      </c>
      <c r="G660">
        <v>0</v>
      </c>
      <c r="H660" t="s">
        <v>186</v>
      </c>
      <c r="I660">
        <v>2.7E-2</v>
      </c>
      <c r="J660">
        <f t="shared" si="284"/>
        <v>1</v>
      </c>
      <c r="K660">
        <f t="shared" si="285"/>
        <v>51</v>
      </c>
      <c r="L660">
        <f t="shared" ca="1" si="286"/>
        <v>51797.843837663619</v>
      </c>
      <c r="M660">
        <f t="shared" ca="1" si="263"/>
        <v>269348.78795585083</v>
      </c>
      <c r="N660">
        <f t="shared" ca="1" si="264"/>
        <v>2.5998694991876676</v>
      </c>
      <c r="O660">
        <f t="shared" ca="1" si="265"/>
        <v>1.8934557080078435E-4</v>
      </c>
      <c r="P660">
        <f t="shared" ca="1" si="266"/>
        <v>52430.150837663619</v>
      </c>
      <c r="Q660">
        <f t="shared" ca="1" si="267"/>
        <v>52430.150837665446</v>
      </c>
      <c r="R660">
        <f t="shared" ca="1" si="268"/>
        <v>2.2564415439646509E-12</v>
      </c>
      <c r="S660">
        <f t="shared" ca="1" si="287"/>
        <v>5.0000000192085281E-4</v>
      </c>
      <c r="T660">
        <f t="shared" ca="1" si="288"/>
        <v>1</v>
      </c>
      <c r="U660">
        <f t="shared" ca="1" si="269"/>
        <v>51800.26683766341</v>
      </c>
      <c r="V660">
        <f t="shared" ca="1" si="270"/>
        <v>269361.38755584974</v>
      </c>
      <c r="W660">
        <f t="shared" ca="1" si="271"/>
        <v>2.5998695052916441</v>
      </c>
      <c r="X660">
        <f t="shared" ca="1" si="272"/>
        <v>1.8933671400629237E-4</v>
      </c>
      <c r="Y660">
        <f t="shared" ca="1" si="273"/>
        <v>52432.573837663411</v>
      </c>
      <c r="Z660">
        <f t="shared" ca="1" si="274"/>
        <v>52432.573837665237</v>
      </c>
      <c r="AA660">
        <f t="shared" ca="1" si="275"/>
        <v>2.2562304480281055E-12</v>
      </c>
      <c r="AB660">
        <f t="shared" ca="1" si="276"/>
        <v>-5.0000000192085281E-4</v>
      </c>
      <c r="AC660">
        <f t="shared" ca="1" si="277"/>
        <v>1</v>
      </c>
      <c r="AD660">
        <f ca="1">IF(V32="Supercritical",L660,IF(V32="Subcritical",U660,IF(AND(T660=1,AC660=1),IF((((F660)*(L660)^2)/2+(G660)*(L660)^3/3+(ABS(K660)^2)/($I$5*MAX(((F660)+(G660)*(L660))*(L660),0.000001)))&gt;=(((F660)*(U660)^2)/2+(G660)*(U660)^3/3+(ABS(K660)^2)/($I$5*MAX(((F660)+(G660)*(U660))*(U660),0.000001))),L660,U660),IF(T660=1,L660,IF(AC660=1,U660,MAX($D$16,POWER((ABS(K660)^2)/($I$5*MAX(F660,0.1)^2),1/3)))))))</f>
        <v>51800.26683766341</v>
      </c>
      <c r="AE660">
        <f t="shared" ca="1" si="278"/>
        <v>52432.573837663411</v>
      </c>
      <c r="AF660">
        <f t="shared" ca="1" si="279"/>
        <v>52432.573837665237</v>
      </c>
      <c r="AI660">
        <v>0</v>
      </c>
      <c r="AJ660">
        <v>0</v>
      </c>
      <c r="AK660">
        <f t="shared" si="280"/>
        <v>0</v>
      </c>
      <c r="AL660">
        <f t="shared" si="289"/>
        <v>0</v>
      </c>
      <c r="AM660">
        <f t="shared" ca="1" si="281"/>
        <v>2.6560383008097266E-7</v>
      </c>
      <c r="AN660" t="str">
        <f t="shared" ca="1" si="282"/>
        <v>Subcritical</v>
      </c>
      <c r="AO660">
        <f t="shared" ca="1" si="283"/>
        <v>2.2562304480281055E-12</v>
      </c>
    </row>
    <row r="661" spans="1:41" x14ac:dyDescent="0.35">
      <c r="A661">
        <v>512</v>
      </c>
      <c r="B661">
        <v>510.89499999999998</v>
      </c>
      <c r="C661">
        <v>616199.15500000003</v>
      </c>
      <c r="D661">
        <v>3097467.05</v>
      </c>
      <c r="E661">
        <v>632.30650000000003</v>
      </c>
      <c r="F661">
        <v>5.2</v>
      </c>
      <c r="G661">
        <v>0</v>
      </c>
      <c r="H661" t="s">
        <v>186</v>
      </c>
      <c r="I661">
        <v>2.3E-2</v>
      </c>
      <c r="J661">
        <f t="shared" si="284"/>
        <v>1</v>
      </c>
      <c r="K661">
        <f t="shared" si="285"/>
        <v>51</v>
      </c>
      <c r="L661">
        <f t="shared" ca="1" si="286"/>
        <v>51797.843837663619</v>
      </c>
      <c r="M661">
        <f t="shared" ca="1" si="263"/>
        <v>269348.78795585083</v>
      </c>
      <c r="N661">
        <f t="shared" ca="1" si="264"/>
        <v>2.5998694991876676</v>
      </c>
      <c r="O661">
        <f t="shared" ca="1" si="265"/>
        <v>1.8934557080078435E-4</v>
      </c>
      <c r="P661">
        <f t="shared" ca="1" si="266"/>
        <v>52430.150337663617</v>
      </c>
      <c r="Q661">
        <f t="shared" ca="1" si="267"/>
        <v>52430.150337665444</v>
      </c>
      <c r="R661">
        <f t="shared" ca="1" si="268"/>
        <v>2.2564415439646509E-12</v>
      </c>
      <c r="S661">
        <f t="shared" ca="1" si="287"/>
        <v>5.0000000192085281E-4</v>
      </c>
      <c r="T661">
        <f t="shared" ca="1" si="288"/>
        <v>1</v>
      </c>
      <c r="U661">
        <f t="shared" ca="1" si="269"/>
        <v>51800.26683766341</v>
      </c>
      <c r="V661">
        <f t="shared" ca="1" si="270"/>
        <v>269361.38755584974</v>
      </c>
      <c r="W661">
        <f t="shared" ca="1" si="271"/>
        <v>2.5998695052916441</v>
      </c>
      <c r="X661">
        <f t="shared" ca="1" si="272"/>
        <v>1.8933671400629237E-4</v>
      </c>
      <c r="Y661">
        <f t="shared" ca="1" si="273"/>
        <v>52432.573337663409</v>
      </c>
      <c r="Z661">
        <f t="shared" ca="1" si="274"/>
        <v>52432.573337665235</v>
      </c>
      <c r="AA661">
        <f t="shared" ca="1" si="275"/>
        <v>2.2562304480281055E-12</v>
      </c>
      <c r="AB661">
        <f t="shared" ca="1" si="276"/>
        <v>-5.0000000192085281E-4</v>
      </c>
      <c r="AC661">
        <f t="shared" ca="1" si="277"/>
        <v>1</v>
      </c>
      <c r="AD661">
        <f ca="1">IF(V32="Supercritical",L661,IF(V32="Subcritical",U661,IF(AND(T661=1,AC661=1),IF((((F661)*(L661)^2)/2+(G661)*(L661)^3/3+(ABS(K661)^2)/($I$5*MAX(((F661)+(G661)*(L661))*(L661),0.000001)))&gt;=(((F661)*(U661)^2)/2+(G661)*(U661)^3/3+(ABS(K661)^2)/($I$5*MAX(((F661)+(G661)*(U661))*(U661),0.000001))),L661,U661),IF(T661=1,L661,IF(AC661=1,U661,MAX($D$16,POWER((ABS(K661)^2)/($I$5*MAX(F661,0.1)^2),1/3)))))))</f>
        <v>51800.26683766341</v>
      </c>
      <c r="AE661">
        <f t="shared" ca="1" si="278"/>
        <v>52432.573337663409</v>
      </c>
      <c r="AF661">
        <f t="shared" ca="1" si="279"/>
        <v>52432.573337665235</v>
      </c>
      <c r="AI661">
        <v>0</v>
      </c>
      <c r="AJ661">
        <v>0</v>
      </c>
      <c r="AK661">
        <f t="shared" si="280"/>
        <v>0</v>
      </c>
      <c r="AL661">
        <f t="shared" si="289"/>
        <v>0</v>
      </c>
      <c r="AM661">
        <f t="shared" ca="1" si="281"/>
        <v>2.6560383008097266E-7</v>
      </c>
      <c r="AN661" t="str">
        <f t="shared" ca="1" si="282"/>
        <v>Subcritical</v>
      </c>
      <c r="AO661">
        <f t="shared" ca="1" si="283"/>
        <v>2.2562304480281055E-12</v>
      </c>
    </row>
    <row r="662" spans="1:41" x14ac:dyDescent="0.35">
      <c r="A662">
        <v>513</v>
      </c>
      <c r="B662">
        <v>511.89600000000002</v>
      </c>
      <c r="C662">
        <v>616198.68000000005</v>
      </c>
      <c r="D662">
        <v>3097466.1690000002</v>
      </c>
      <c r="E662">
        <v>632.30600000000004</v>
      </c>
      <c r="F662">
        <v>5.2</v>
      </c>
      <c r="G662">
        <v>0</v>
      </c>
      <c r="H662" t="s">
        <v>186</v>
      </c>
      <c r="I662">
        <v>2.3E-2</v>
      </c>
      <c r="J662">
        <f t="shared" si="284"/>
        <v>1.0010000000000332</v>
      </c>
      <c r="K662">
        <f t="shared" si="285"/>
        <v>51</v>
      </c>
      <c r="L662">
        <f t="shared" ca="1" si="286"/>
        <v>51797.843837663619</v>
      </c>
      <c r="M662">
        <f t="shared" ref="M662:M725" ca="1" si="290">((F662)+(G662)*(L662))*(L662)</f>
        <v>269348.78795585083</v>
      </c>
      <c r="N662">
        <f t="shared" ref="N662:N725" ca="1" si="291">(((F662)+(G662)*(L662))*(L662))/MAX((F662)+2*(L662)*SQRT(1+(G662)^2),0.000001)</f>
        <v>2.5998694991876676</v>
      </c>
      <c r="O662">
        <f t="shared" ref="O662:O725" ca="1" si="292">ABS(K662)/MAX(((F662)+(G662)*(L662))*(L662),0.000001)</f>
        <v>1.8934557080078435E-4</v>
      </c>
      <c r="P662">
        <f t="shared" ref="P662:P725" ca="1" si="293">E662+L662</f>
        <v>52430.149837663615</v>
      </c>
      <c r="Q662">
        <f t="shared" ref="Q662:Q725" ca="1" si="294">P662+((ABS(K662)/MAX(((F662)+(G662)*(L662))*(L662),0.000001))^2)/(2*$I$5)</f>
        <v>52430.149837665442</v>
      </c>
      <c r="R662">
        <f t="shared" ref="R662:R725" ca="1" si="295">((ABS(K662)*$D$6)/(MAX(((F662)+(G662)*(L662))*(L662),0.000001)*MAX(((((F662)+(G662)*(L662))*(L662))/MAX((F662)+2*(L662)*SQRT(1+(G662)^2),0.000001))^(2/3),0.000001)))^2</f>
        <v>2.2564415439646509E-12</v>
      </c>
      <c r="S662">
        <f t="shared" ca="1" si="287"/>
        <v>5.0000000192085281E-4</v>
      </c>
      <c r="T662">
        <f t="shared" ca="1" si="288"/>
        <v>1</v>
      </c>
      <c r="U662">
        <f t="shared" ref="U662:U725" ca="1" si="296">IF($D$20=0,U663,IF(AC663=0,U663,IF(U662=0,U663,IF(ABS(AB662)&gt;$D$19,MAX($D$16,U662+((AB662)*$D$18*IF((ABS(ABS(K662)/MAX(((F662)+(G662)*(U662))*(U662),0.000001))/SQRT($I$5*MAX((((F662)+(G662)*(U662))*(U662))/MAX((F662)+2*(G662)*(U662),0.000001),0.000001)))&lt;1,1,-1))),U662))))</f>
        <v>51800.26683766341</v>
      </c>
      <c r="V662">
        <f t="shared" ref="V662:V725" ca="1" si="297">((F662)+(G662)*(U662))*(U662)</f>
        <v>269361.38755584974</v>
      </c>
      <c r="W662">
        <f t="shared" ref="W662:W725" ca="1" si="298">(((F662)+(G662)*(U662))*(U662))/MAX((F662)+2*(U662)*SQRT(1+(G662)^2),0.000001)</f>
        <v>2.5998695052916441</v>
      </c>
      <c r="X662">
        <f t="shared" ref="X662:X725" ca="1" si="299">ABS(K662)/MAX(((F662)+(G662)*(U662))*(U662),0.000001)</f>
        <v>1.8933671400629237E-4</v>
      </c>
      <c r="Y662">
        <f t="shared" ref="Y662:Y725" ca="1" si="300">E662+U662</f>
        <v>52432.572837663407</v>
      </c>
      <c r="Z662">
        <f t="shared" ref="Z662:Z725" ca="1" si="301">Y662+((ABS(K662)/MAX(((F662)+(G662)*(U662))*(U662),0.000001))^2)/(2*$I$5)</f>
        <v>52432.572837665233</v>
      </c>
      <c r="AA662">
        <f t="shared" ref="AA662:AA725" ca="1" si="302">((ABS(K662)*$D$6)/(MAX(((F662)+(G662)*(U662))*(U662),0.000001)*MAX(((((F662)+(G662)*(U662))*(U662))/MAX((F662)+2*(U662)*SQRT(1+(G662)^2),0.000001))^(2/3),0.000001)))^2</f>
        <v>2.2562304480281055E-12</v>
      </c>
      <c r="AB662">
        <f t="shared" ref="AB662:AB725" ca="1" si="303">Z663+(((AA662+AA663)/2)*J663)+(IF(X662&gt;X663,$D$8*((X662^2-X663^2)/(2*$I$5)),$D$9*((X663^2-X662^2)/(2*$I$5)))+($D$10*(ABS(I663)/90)*(MAX(X662^2,X663^2)/(2*$I$5))))-Z662</f>
        <v>-4.999999946448952E-4</v>
      </c>
      <c r="AC662">
        <f t="shared" ref="AC662:AC725" ca="1" si="304">IF(ABS(AB662)&lt;$D$19,1,0)</f>
        <v>1</v>
      </c>
      <c r="AD662">
        <f ca="1">IF(V32="Supercritical",L662,IF(V32="Subcritical",U662,IF(AND(T662=1,AC662=1),IF((((F662)*(L662)^2)/2+(G662)*(L662)^3/3+(ABS(K662)^2)/($I$5*MAX(((F662)+(G662)*(L662))*(L662),0.000001)))&gt;=(((F662)*(U662)^2)/2+(G662)*(U662)^3/3+(ABS(K662)^2)/($I$5*MAX(((F662)+(G662)*(U662))*(U662),0.000001))),L662,U662),IF(T662=1,L662,IF(AC662=1,U662,MAX($D$16,POWER((ABS(K662)^2)/($I$5*MAX(F662,0.1)^2),1/3)))))))</f>
        <v>51800.26683766341</v>
      </c>
      <c r="AE662">
        <f t="shared" ref="AE662:AE725" ca="1" si="305">E662+AD662</f>
        <v>52432.572837663407</v>
      </c>
      <c r="AF662">
        <f t="shared" ref="AF662:AF725" ca="1" si="306">AE662+((ABS(K662)/MAX(((F662)+(G662)*(AD662))*(AD662),0.000001))^2)/(2*$I$5)</f>
        <v>52432.572837665233</v>
      </c>
      <c r="AI662">
        <v>0</v>
      </c>
      <c r="AJ662">
        <v>0</v>
      </c>
      <c r="AK662">
        <f t="shared" ref="AK662:AK725" si="307">AI662+AJ662</f>
        <v>0</v>
      </c>
      <c r="AL662">
        <f t="shared" si="289"/>
        <v>0</v>
      </c>
      <c r="AM662">
        <f t="shared" ref="AM662:AM725" ca="1" si="308">ABS(ABS(K662)/MAX(((F662)+(G662)*(AD662))*(AD662),0.000001))/SQRT($I$5*MAX((((F662)+(G662)*(AD662))*(AD662))/MAX((F662)+2*(G662)*(AD662),0.000001),0.000001))</f>
        <v>2.6560383008097266E-7</v>
      </c>
      <c r="AN662" t="str">
        <f t="shared" ref="AN662:AN725" ca="1" si="309">IF(AM662&lt;1,"Subcritical","Supercritical")</f>
        <v>Subcritical</v>
      </c>
      <c r="AO662">
        <f t="shared" ref="AO662:AO725" ca="1" si="310">((ABS(K662)*$D$6)/(MAX(((F662)+(G662)*(AD662))*(AD662),0.000001)*MAX(((((F662)+(G662)*(AD662))*(AD662))/MAX((F662)+2*(AD662)*SQRT(1+(G662)^2),0.000001))^(2/3),0.000001)))^2</f>
        <v>2.2562304480281055E-12</v>
      </c>
    </row>
    <row r="663" spans="1:41" x14ac:dyDescent="0.35">
      <c r="A663">
        <v>514</v>
      </c>
      <c r="B663">
        <v>512.89499999999998</v>
      </c>
      <c r="C663">
        <v>616198.20600000001</v>
      </c>
      <c r="D663">
        <v>3097465.2889999999</v>
      </c>
      <c r="E663">
        <v>632.30550000000005</v>
      </c>
      <c r="F663">
        <v>5.2</v>
      </c>
      <c r="G663">
        <v>0</v>
      </c>
      <c r="H663" t="s">
        <v>186</v>
      </c>
      <c r="I663">
        <v>0</v>
      </c>
      <c r="J663">
        <f t="shared" ref="J663:J726" si="311">B663-B662</f>
        <v>0.9989999999999668</v>
      </c>
      <c r="K663">
        <f t="shared" ref="K663:K726" si="312">MAX(0,K662-AK662)</f>
        <v>51</v>
      </c>
      <c r="L663">
        <f t="shared" ref="L663:L726" ca="1" si="313">IF($D$20=0,L662,IF(T662=0,L662,IF(L663=0,L662,IF(ABS(S663)&gt;$D$19,MAX($D$16,L663+((S663)*$D$18*IF((ABS(ABS(K663)/MAX(((F663)+(G663)*(L663))*(L663),0.000001))/SQRT($I$5*MAX((((F663)+(G663)*(L663))*(L663))/MAX((F663)+2*(G663)*(L663),0.000001),0.000001)))&lt;1,1,-1))),L663))))</f>
        <v>51797.843837663619</v>
      </c>
      <c r="M663">
        <f t="shared" ca="1" si="290"/>
        <v>269348.78795585083</v>
      </c>
      <c r="N663">
        <f t="shared" ca="1" si="291"/>
        <v>2.5998694991876676</v>
      </c>
      <c r="O663">
        <f t="shared" ca="1" si="292"/>
        <v>1.8934557080078435E-4</v>
      </c>
      <c r="P663">
        <f t="shared" ca="1" si="293"/>
        <v>52430.149337663621</v>
      </c>
      <c r="Q663">
        <f t="shared" ca="1" si="294"/>
        <v>52430.149337665447</v>
      </c>
      <c r="R663">
        <f t="shared" ca="1" si="295"/>
        <v>2.2564415439646509E-12</v>
      </c>
      <c r="S663">
        <f t="shared" ref="S663:S726" ca="1" si="314">Q662-(((R662+R663)/2)*J663)-(IF(O662&gt;O663,$D$8*((O662^2-O663^2)/(2*$I$5)),$D$9*((O663^2-O662^2)/(2*$I$5)))+($D$10*(ABS(I663)/90)*(MAX(O662^2,O663^2)/(2*$I$5))))-Q663</f>
        <v>4.999999946448952E-4</v>
      </c>
      <c r="T663">
        <f t="shared" ref="T663:T726" ca="1" si="315">IF(ABS(S663)&lt;$D$19,1,0)</f>
        <v>1</v>
      </c>
      <c r="U663">
        <f t="shared" ca="1" si="296"/>
        <v>51800.26683766341</v>
      </c>
      <c r="V663">
        <f t="shared" ca="1" si="297"/>
        <v>269361.38755584974</v>
      </c>
      <c r="W663">
        <f t="shared" ca="1" si="298"/>
        <v>2.5998695052916441</v>
      </c>
      <c r="X663">
        <f t="shared" ca="1" si="299"/>
        <v>1.8933671400629237E-4</v>
      </c>
      <c r="Y663">
        <f t="shared" ca="1" si="300"/>
        <v>52432.572337663412</v>
      </c>
      <c r="Z663">
        <f t="shared" ca="1" si="301"/>
        <v>52432.572337665239</v>
      </c>
      <c r="AA663">
        <f t="shared" ca="1" si="302"/>
        <v>2.2562304480281055E-12</v>
      </c>
      <c r="AB663">
        <f t="shared" ca="1" si="303"/>
        <v>-5.0000000192085281E-4</v>
      </c>
      <c r="AC663">
        <f t="shared" ca="1" si="304"/>
        <v>1</v>
      </c>
      <c r="AD663">
        <f ca="1">IF(V32="Supercritical",L663,IF(V32="Subcritical",U663,IF(AND(T663=1,AC663=1),IF((((F663)*(L663)^2)/2+(G663)*(L663)^3/3+(ABS(K663)^2)/($I$5*MAX(((F663)+(G663)*(L663))*(L663),0.000001)))&gt;=(((F663)*(U663)^2)/2+(G663)*(U663)^3/3+(ABS(K663)^2)/($I$5*MAX(((F663)+(G663)*(U663))*(U663),0.000001))),L663,U663),IF(T663=1,L663,IF(AC663=1,U663,MAX($D$16,POWER((ABS(K663)^2)/($I$5*MAX(F663,0.1)^2),1/3)))))))</f>
        <v>51800.26683766341</v>
      </c>
      <c r="AE663">
        <f t="shared" ca="1" si="305"/>
        <v>52432.572337663412</v>
      </c>
      <c r="AF663">
        <f t="shared" ca="1" si="306"/>
        <v>52432.572337665239</v>
      </c>
      <c r="AI663">
        <v>0</v>
      </c>
      <c r="AJ663">
        <v>0</v>
      </c>
      <c r="AK663">
        <f t="shared" si="307"/>
        <v>0</v>
      </c>
      <c r="AL663">
        <f t="shared" ref="AL663:AL726" si="316">AL662+AK663</f>
        <v>0</v>
      </c>
      <c r="AM663">
        <f t="shared" ca="1" si="308"/>
        <v>2.6560383008097266E-7</v>
      </c>
      <c r="AN663" t="str">
        <f t="shared" ca="1" si="309"/>
        <v>Subcritical</v>
      </c>
      <c r="AO663">
        <f t="shared" ca="1" si="310"/>
        <v>2.2562304480281055E-12</v>
      </c>
    </row>
    <row r="664" spans="1:41" x14ac:dyDescent="0.35">
      <c r="A664">
        <v>515</v>
      </c>
      <c r="B664">
        <v>513.89499999999998</v>
      </c>
      <c r="C664">
        <v>616197.73199999996</v>
      </c>
      <c r="D664">
        <v>3097464.409</v>
      </c>
      <c r="E664">
        <v>632.30499999999995</v>
      </c>
      <c r="F664">
        <v>5.2</v>
      </c>
      <c r="G664">
        <v>0</v>
      </c>
      <c r="H664" t="s">
        <v>186</v>
      </c>
      <c r="I664">
        <v>2.7E-2</v>
      </c>
      <c r="J664">
        <f t="shared" si="311"/>
        <v>1</v>
      </c>
      <c r="K664">
        <f t="shared" si="312"/>
        <v>51</v>
      </c>
      <c r="L664">
        <f t="shared" ca="1" si="313"/>
        <v>51797.843837663619</v>
      </c>
      <c r="M664">
        <f t="shared" ca="1" si="290"/>
        <v>269348.78795585083</v>
      </c>
      <c r="N664">
        <f t="shared" ca="1" si="291"/>
        <v>2.5998694991876676</v>
      </c>
      <c r="O664">
        <f t="shared" ca="1" si="292"/>
        <v>1.8934557080078435E-4</v>
      </c>
      <c r="P664">
        <f t="shared" ca="1" si="293"/>
        <v>52430.148837663619</v>
      </c>
      <c r="Q664">
        <f t="shared" ca="1" si="294"/>
        <v>52430.148837665445</v>
      </c>
      <c r="R664">
        <f t="shared" ca="1" si="295"/>
        <v>2.2564415439646509E-12</v>
      </c>
      <c r="S664">
        <f t="shared" ca="1" si="314"/>
        <v>5.0000000192085281E-4</v>
      </c>
      <c r="T664">
        <f t="shared" ca="1" si="315"/>
        <v>1</v>
      </c>
      <c r="U664">
        <f t="shared" ca="1" si="296"/>
        <v>51800.26683766341</v>
      </c>
      <c r="V664">
        <f t="shared" ca="1" si="297"/>
        <v>269361.38755584974</v>
      </c>
      <c r="W664">
        <f t="shared" ca="1" si="298"/>
        <v>2.5998695052916441</v>
      </c>
      <c r="X664">
        <f t="shared" ca="1" si="299"/>
        <v>1.8933671400629237E-4</v>
      </c>
      <c r="Y664">
        <f t="shared" ca="1" si="300"/>
        <v>52432.57183766341</v>
      </c>
      <c r="Z664">
        <f t="shared" ca="1" si="301"/>
        <v>52432.571837665237</v>
      </c>
      <c r="AA664">
        <f t="shared" ca="1" si="302"/>
        <v>2.2562304480281055E-12</v>
      </c>
      <c r="AB664">
        <f t="shared" ca="1" si="303"/>
        <v>-5.0000000192085281E-4</v>
      </c>
      <c r="AC664">
        <f t="shared" ca="1" si="304"/>
        <v>1</v>
      </c>
      <c r="AD664">
        <f ca="1">IF(V32="Supercritical",L664,IF(V32="Subcritical",U664,IF(AND(T664=1,AC664=1),IF((((F664)*(L664)^2)/2+(G664)*(L664)^3/3+(ABS(K664)^2)/($I$5*MAX(((F664)+(G664)*(L664))*(L664),0.000001)))&gt;=(((F664)*(U664)^2)/2+(G664)*(U664)^3/3+(ABS(K664)^2)/($I$5*MAX(((F664)+(G664)*(U664))*(U664),0.000001))),L664,U664),IF(T664=1,L664,IF(AC664=1,U664,MAX($D$16,POWER((ABS(K664)^2)/($I$5*MAX(F664,0.1)^2),1/3)))))))</f>
        <v>51800.26683766341</v>
      </c>
      <c r="AE664">
        <f t="shared" ca="1" si="305"/>
        <v>52432.57183766341</v>
      </c>
      <c r="AF664">
        <f t="shared" ca="1" si="306"/>
        <v>52432.571837665237</v>
      </c>
      <c r="AI664">
        <v>0</v>
      </c>
      <c r="AJ664">
        <v>0</v>
      </c>
      <c r="AK664">
        <f t="shared" si="307"/>
        <v>0</v>
      </c>
      <c r="AL664">
        <f t="shared" si="316"/>
        <v>0</v>
      </c>
      <c r="AM664">
        <f t="shared" ca="1" si="308"/>
        <v>2.6560383008097266E-7</v>
      </c>
      <c r="AN664" t="str">
        <f t="shared" ca="1" si="309"/>
        <v>Subcritical</v>
      </c>
      <c r="AO664">
        <f t="shared" ca="1" si="310"/>
        <v>2.2562304480281055E-12</v>
      </c>
    </row>
    <row r="665" spans="1:41" x14ac:dyDescent="0.35">
      <c r="A665">
        <v>516</v>
      </c>
      <c r="B665">
        <v>514.89499999999998</v>
      </c>
      <c r="C665">
        <v>616197.25800000003</v>
      </c>
      <c r="D665">
        <v>3097463.5279999999</v>
      </c>
      <c r="E665">
        <v>632.30449999999996</v>
      </c>
      <c r="F665">
        <v>5.2</v>
      </c>
      <c r="G665">
        <v>0</v>
      </c>
      <c r="H665" t="s">
        <v>186</v>
      </c>
      <c r="I665">
        <v>7.8E-2</v>
      </c>
      <c r="J665">
        <f t="shared" si="311"/>
        <v>1</v>
      </c>
      <c r="K665">
        <f t="shared" si="312"/>
        <v>51</v>
      </c>
      <c r="L665">
        <f t="shared" ca="1" si="313"/>
        <v>51797.843837663619</v>
      </c>
      <c r="M665">
        <f t="shared" ca="1" si="290"/>
        <v>269348.78795585083</v>
      </c>
      <c r="N665">
        <f t="shared" ca="1" si="291"/>
        <v>2.5998694991876676</v>
      </c>
      <c r="O665">
        <f t="shared" ca="1" si="292"/>
        <v>1.8934557080078435E-4</v>
      </c>
      <c r="P665">
        <f t="shared" ca="1" si="293"/>
        <v>52430.148337663617</v>
      </c>
      <c r="Q665">
        <f t="shared" ca="1" si="294"/>
        <v>52430.148337665443</v>
      </c>
      <c r="R665">
        <f t="shared" ca="1" si="295"/>
        <v>2.2564415439646509E-12</v>
      </c>
      <c r="S665">
        <f t="shared" ca="1" si="314"/>
        <v>5.0000000192085281E-4</v>
      </c>
      <c r="T665">
        <f t="shared" ca="1" si="315"/>
        <v>1</v>
      </c>
      <c r="U665">
        <f t="shared" ca="1" si="296"/>
        <v>51800.26683766341</v>
      </c>
      <c r="V665">
        <f t="shared" ca="1" si="297"/>
        <v>269361.38755584974</v>
      </c>
      <c r="W665">
        <f t="shared" ca="1" si="298"/>
        <v>2.5998695052916441</v>
      </c>
      <c r="X665">
        <f t="shared" ca="1" si="299"/>
        <v>1.8933671400629237E-4</v>
      </c>
      <c r="Y665">
        <f t="shared" ca="1" si="300"/>
        <v>52432.571337663408</v>
      </c>
      <c r="Z665">
        <f t="shared" ca="1" si="301"/>
        <v>52432.571337665235</v>
      </c>
      <c r="AA665">
        <f t="shared" ca="1" si="302"/>
        <v>2.2562304480281055E-12</v>
      </c>
      <c r="AB665">
        <f t="shared" ca="1" si="303"/>
        <v>-5.0000000192085281E-4</v>
      </c>
      <c r="AC665">
        <f t="shared" ca="1" si="304"/>
        <v>1</v>
      </c>
      <c r="AD665">
        <f ca="1">IF(V32="Supercritical",L665,IF(V32="Subcritical",U665,IF(AND(T665=1,AC665=1),IF((((F665)*(L665)^2)/2+(G665)*(L665)^3/3+(ABS(K665)^2)/($I$5*MAX(((F665)+(G665)*(L665))*(L665),0.000001)))&gt;=(((F665)*(U665)^2)/2+(G665)*(U665)^3/3+(ABS(K665)^2)/($I$5*MAX(((F665)+(G665)*(U665))*(U665),0.000001))),L665,U665),IF(T665=1,L665,IF(AC665=1,U665,MAX($D$16,POWER((ABS(K665)^2)/($I$5*MAX(F665,0.1)^2),1/3)))))))</f>
        <v>51800.26683766341</v>
      </c>
      <c r="AE665">
        <f t="shared" ca="1" si="305"/>
        <v>52432.571337663408</v>
      </c>
      <c r="AF665">
        <f t="shared" ca="1" si="306"/>
        <v>52432.571337665235</v>
      </c>
      <c r="AI665">
        <v>0</v>
      </c>
      <c r="AJ665">
        <v>0</v>
      </c>
      <c r="AK665">
        <f t="shared" si="307"/>
        <v>0</v>
      </c>
      <c r="AL665">
        <f t="shared" si="316"/>
        <v>0</v>
      </c>
      <c r="AM665">
        <f t="shared" ca="1" si="308"/>
        <v>2.6560383008097266E-7</v>
      </c>
      <c r="AN665" t="str">
        <f t="shared" ca="1" si="309"/>
        <v>Subcritical</v>
      </c>
      <c r="AO665">
        <f t="shared" ca="1" si="310"/>
        <v>2.2562304480281055E-12</v>
      </c>
    </row>
    <row r="666" spans="1:41" x14ac:dyDescent="0.35">
      <c r="A666">
        <v>517</v>
      </c>
      <c r="B666">
        <v>515.89499999999998</v>
      </c>
      <c r="C666">
        <v>616196.78300000005</v>
      </c>
      <c r="D666">
        <v>3097462.648</v>
      </c>
      <c r="E666">
        <v>632.30399999999997</v>
      </c>
      <c r="F666">
        <v>5.2</v>
      </c>
      <c r="G666">
        <v>0</v>
      </c>
      <c r="H666" t="s">
        <v>186</v>
      </c>
      <c r="I666">
        <v>7.8E-2</v>
      </c>
      <c r="J666">
        <f t="shared" si="311"/>
        <v>1</v>
      </c>
      <c r="K666">
        <f t="shared" si="312"/>
        <v>51</v>
      </c>
      <c r="L666">
        <f t="shared" ca="1" si="313"/>
        <v>51797.843837663619</v>
      </c>
      <c r="M666">
        <f t="shared" ca="1" si="290"/>
        <v>269348.78795585083</v>
      </c>
      <c r="N666">
        <f t="shared" ca="1" si="291"/>
        <v>2.5998694991876676</v>
      </c>
      <c r="O666">
        <f t="shared" ca="1" si="292"/>
        <v>1.8934557080078435E-4</v>
      </c>
      <c r="P666">
        <f t="shared" ca="1" si="293"/>
        <v>52430.147837663615</v>
      </c>
      <c r="Q666">
        <f t="shared" ca="1" si="294"/>
        <v>52430.147837665441</v>
      </c>
      <c r="R666">
        <f t="shared" ca="1" si="295"/>
        <v>2.2564415439646509E-12</v>
      </c>
      <c r="S666">
        <f t="shared" ca="1" si="314"/>
        <v>5.0000000192085281E-4</v>
      </c>
      <c r="T666">
        <f t="shared" ca="1" si="315"/>
        <v>1</v>
      </c>
      <c r="U666">
        <f t="shared" ca="1" si="296"/>
        <v>51800.26683766341</v>
      </c>
      <c r="V666">
        <f t="shared" ca="1" si="297"/>
        <v>269361.38755584974</v>
      </c>
      <c r="W666">
        <f t="shared" ca="1" si="298"/>
        <v>2.5998695052916441</v>
      </c>
      <c r="X666">
        <f t="shared" ca="1" si="299"/>
        <v>1.8933671400629237E-4</v>
      </c>
      <c r="Y666">
        <f t="shared" ca="1" si="300"/>
        <v>52432.570837663407</v>
      </c>
      <c r="Z666">
        <f t="shared" ca="1" si="301"/>
        <v>52432.570837665233</v>
      </c>
      <c r="AA666">
        <f t="shared" ca="1" si="302"/>
        <v>2.2562304480281055E-12</v>
      </c>
      <c r="AB666">
        <f t="shared" ca="1" si="303"/>
        <v>-4.999999946448952E-4</v>
      </c>
      <c r="AC666">
        <f t="shared" ca="1" si="304"/>
        <v>1</v>
      </c>
      <c r="AD666">
        <f ca="1">IF(V32="Supercritical",L666,IF(V32="Subcritical",U666,IF(AND(T666=1,AC666=1),IF((((F666)*(L666)^2)/2+(G666)*(L666)^3/3+(ABS(K666)^2)/($I$5*MAX(((F666)+(G666)*(L666))*(L666),0.000001)))&gt;=(((F666)*(U666)^2)/2+(G666)*(U666)^3/3+(ABS(K666)^2)/($I$5*MAX(((F666)+(G666)*(U666))*(U666),0.000001))),L666,U666),IF(T666=1,L666,IF(AC666=1,U666,MAX($D$16,POWER((ABS(K666)^2)/($I$5*MAX(F666,0.1)^2),1/3)))))))</f>
        <v>51800.26683766341</v>
      </c>
      <c r="AE666">
        <f t="shared" ca="1" si="305"/>
        <v>52432.570837663407</v>
      </c>
      <c r="AF666">
        <f t="shared" ca="1" si="306"/>
        <v>52432.570837665233</v>
      </c>
      <c r="AI666">
        <v>0</v>
      </c>
      <c r="AJ666">
        <v>0</v>
      </c>
      <c r="AK666">
        <f t="shared" si="307"/>
        <v>0</v>
      </c>
      <c r="AL666">
        <f t="shared" si="316"/>
        <v>0</v>
      </c>
      <c r="AM666">
        <f t="shared" ca="1" si="308"/>
        <v>2.6560383008097266E-7</v>
      </c>
      <c r="AN666" t="str">
        <f t="shared" ca="1" si="309"/>
        <v>Subcritical</v>
      </c>
      <c r="AO666">
        <f t="shared" ca="1" si="310"/>
        <v>2.2562304480281055E-12</v>
      </c>
    </row>
    <row r="667" spans="1:41" x14ac:dyDescent="0.35">
      <c r="A667">
        <v>518</v>
      </c>
      <c r="B667">
        <v>516.89599999999996</v>
      </c>
      <c r="C667">
        <v>616196.30900000001</v>
      </c>
      <c r="D667">
        <v>3097461.767</v>
      </c>
      <c r="E667">
        <v>632.30349999999999</v>
      </c>
      <c r="F667">
        <v>5.2</v>
      </c>
      <c r="G667">
        <v>0</v>
      </c>
      <c r="H667" t="s">
        <v>186</v>
      </c>
      <c r="I667">
        <v>2.7E-2</v>
      </c>
      <c r="J667">
        <f t="shared" si="311"/>
        <v>1.0009999999999764</v>
      </c>
      <c r="K667">
        <f t="shared" si="312"/>
        <v>51</v>
      </c>
      <c r="L667">
        <f t="shared" ca="1" si="313"/>
        <v>51797.843837663619</v>
      </c>
      <c r="M667">
        <f t="shared" ca="1" si="290"/>
        <v>269348.78795585083</v>
      </c>
      <c r="N667">
        <f t="shared" ca="1" si="291"/>
        <v>2.5998694991876676</v>
      </c>
      <c r="O667">
        <f t="shared" ca="1" si="292"/>
        <v>1.8934557080078435E-4</v>
      </c>
      <c r="P667">
        <f t="shared" ca="1" si="293"/>
        <v>52430.14733766362</v>
      </c>
      <c r="Q667">
        <f t="shared" ca="1" si="294"/>
        <v>52430.147337665447</v>
      </c>
      <c r="R667">
        <f t="shared" ca="1" si="295"/>
        <v>2.2564415439646509E-12</v>
      </c>
      <c r="S667">
        <f t="shared" ca="1" si="314"/>
        <v>4.999999946448952E-4</v>
      </c>
      <c r="T667">
        <f t="shared" ca="1" si="315"/>
        <v>1</v>
      </c>
      <c r="U667">
        <f t="shared" ca="1" si="296"/>
        <v>51800.26683766341</v>
      </c>
      <c r="V667">
        <f t="shared" ca="1" si="297"/>
        <v>269361.38755584974</v>
      </c>
      <c r="W667">
        <f t="shared" ca="1" si="298"/>
        <v>2.5998695052916441</v>
      </c>
      <c r="X667">
        <f t="shared" ca="1" si="299"/>
        <v>1.8933671400629237E-4</v>
      </c>
      <c r="Y667">
        <f t="shared" ca="1" si="300"/>
        <v>52432.570337663412</v>
      </c>
      <c r="Z667">
        <f t="shared" ca="1" si="301"/>
        <v>52432.570337665238</v>
      </c>
      <c r="AA667">
        <f t="shared" ca="1" si="302"/>
        <v>2.2562304480281055E-12</v>
      </c>
      <c r="AB667">
        <f t="shared" ca="1" si="303"/>
        <v>-5.0000000192085281E-4</v>
      </c>
      <c r="AC667">
        <f t="shared" ca="1" si="304"/>
        <v>1</v>
      </c>
      <c r="AD667">
        <f ca="1">IF(V32="Supercritical",L667,IF(V32="Subcritical",U667,IF(AND(T667=1,AC667=1),IF((((F667)*(L667)^2)/2+(G667)*(L667)^3/3+(ABS(K667)^2)/($I$5*MAX(((F667)+(G667)*(L667))*(L667),0.000001)))&gt;=(((F667)*(U667)^2)/2+(G667)*(U667)^3/3+(ABS(K667)^2)/($I$5*MAX(((F667)+(G667)*(U667))*(U667),0.000001))),L667,U667),IF(T667=1,L667,IF(AC667=1,U667,MAX($D$16,POWER((ABS(K667)^2)/($I$5*MAX(F667,0.1)^2),1/3)))))))</f>
        <v>51800.26683766341</v>
      </c>
      <c r="AE667">
        <f t="shared" ca="1" si="305"/>
        <v>52432.570337663412</v>
      </c>
      <c r="AF667">
        <f t="shared" ca="1" si="306"/>
        <v>52432.570337665238</v>
      </c>
      <c r="AI667">
        <v>0</v>
      </c>
      <c r="AJ667">
        <v>0</v>
      </c>
      <c r="AK667">
        <f t="shared" si="307"/>
        <v>0</v>
      </c>
      <c r="AL667">
        <f t="shared" si="316"/>
        <v>0</v>
      </c>
      <c r="AM667">
        <f t="shared" ca="1" si="308"/>
        <v>2.6560383008097266E-7</v>
      </c>
      <c r="AN667" t="str">
        <f t="shared" ca="1" si="309"/>
        <v>Subcritical</v>
      </c>
      <c r="AO667">
        <f t="shared" ca="1" si="310"/>
        <v>2.2562304480281055E-12</v>
      </c>
    </row>
    <row r="668" spans="1:41" x14ac:dyDescent="0.35">
      <c r="A668">
        <v>519</v>
      </c>
      <c r="B668">
        <v>517.89499999999998</v>
      </c>
      <c r="C668">
        <v>616195.83499999996</v>
      </c>
      <c r="D668">
        <v>3097460.8870000001</v>
      </c>
      <c r="E668">
        <v>632.303</v>
      </c>
      <c r="F668">
        <v>5.2</v>
      </c>
      <c r="G668">
        <v>0</v>
      </c>
      <c r="H668" t="s">
        <v>186</v>
      </c>
      <c r="I668">
        <v>0</v>
      </c>
      <c r="J668">
        <f t="shared" si="311"/>
        <v>0.99900000000002365</v>
      </c>
      <c r="K668">
        <f t="shared" si="312"/>
        <v>51</v>
      </c>
      <c r="L668">
        <f t="shared" ca="1" si="313"/>
        <v>51797.843837663619</v>
      </c>
      <c r="M668">
        <f t="shared" ca="1" si="290"/>
        <v>269348.78795585083</v>
      </c>
      <c r="N668">
        <f t="shared" ca="1" si="291"/>
        <v>2.5998694991876676</v>
      </c>
      <c r="O668">
        <f t="shared" ca="1" si="292"/>
        <v>1.8934557080078435E-4</v>
      </c>
      <c r="P668">
        <f t="shared" ca="1" si="293"/>
        <v>52430.146837663618</v>
      </c>
      <c r="Q668">
        <f t="shared" ca="1" si="294"/>
        <v>52430.146837665445</v>
      </c>
      <c r="R668">
        <f t="shared" ca="1" si="295"/>
        <v>2.2564415439646509E-12</v>
      </c>
      <c r="S668">
        <f t="shared" ca="1" si="314"/>
        <v>5.0000000192085281E-4</v>
      </c>
      <c r="T668">
        <f t="shared" ca="1" si="315"/>
        <v>1</v>
      </c>
      <c r="U668">
        <f t="shared" ca="1" si="296"/>
        <v>51800.26683766341</v>
      </c>
      <c r="V668">
        <f t="shared" ca="1" si="297"/>
        <v>269361.38755584974</v>
      </c>
      <c r="W668">
        <f t="shared" ca="1" si="298"/>
        <v>2.5998695052916441</v>
      </c>
      <c r="X668">
        <f t="shared" ca="1" si="299"/>
        <v>1.8933671400629237E-4</v>
      </c>
      <c r="Y668">
        <f t="shared" ca="1" si="300"/>
        <v>52432.56983766341</v>
      </c>
      <c r="Z668">
        <f t="shared" ca="1" si="301"/>
        <v>52432.569837665236</v>
      </c>
      <c r="AA668">
        <f t="shared" ca="1" si="302"/>
        <v>2.2562304480281055E-12</v>
      </c>
      <c r="AB668">
        <f t="shared" ca="1" si="303"/>
        <v>-5.0000000192085281E-4</v>
      </c>
      <c r="AC668">
        <f t="shared" ca="1" si="304"/>
        <v>1</v>
      </c>
      <c r="AD668">
        <f ca="1">IF(V32="Supercritical",L668,IF(V32="Subcritical",U668,IF(AND(T668=1,AC668=1),IF((((F668)*(L668)^2)/2+(G668)*(L668)^3/3+(ABS(K668)^2)/($I$5*MAX(((F668)+(G668)*(L668))*(L668),0.000001)))&gt;=(((F668)*(U668)^2)/2+(G668)*(U668)^3/3+(ABS(K668)^2)/($I$5*MAX(((F668)+(G668)*(U668))*(U668),0.000001))),L668,U668),IF(T668=1,L668,IF(AC668=1,U668,MAX($D$16,POWER((ABS(K668)^2)/($I$5*MAX(F668,0.1)^2),1/3)))))))</f>
        <v>51800.26683766341</v>
      </c>
      <c r="AE668">
        <f t="shared" ca="1" si="305"/>
        <v>52432.56983766341</v>
      </c>
      <c r="AF668">
        <f t="shared" ca="1" si="306"/>
        <v>52432.569837665236</v>
      </c>
      <c r="AI668">
        <v>0</v>
      </c>
      <c r="AJ668">
        <v>0</v>
      </c>
      <c r="AK668">
        <f t="shared" si="307"/>
        <v>0</v>
      </c>
      <c r="AL668">
        <f t="shared" si="316"/>
        <v>0</v>
      </c>
      <c r="AM668">
        <f t="shared" ca="1" si="308"/>
        <v>2.6560383008097266E-7</v>
      </c>
      <c r="AN668" t="str">
        <f t="shared" ca="1" si="309"/>
        <v>Subcritical</v>
      </c>
      <c r="AO668">
        <f t="shared" ca="1" si="310"/>
        <v>2.2562304480281055E-12</v>
      </c>
    </row>
    <row r="669" spans="1:41" x14ac:dyDescent="0.35">
      <c r="A669">
        <v>520</v>
      </c>
      <c r="B669">
        <v>518.89499999999998</v>
      </c>
      <c r="C669">
        <v>616195.36100000003</v>
      </c>
      <c r="D669">
        <v>3097460.0070000002</v>
      </c>
      <c r="E669">
        <v>632.30250000000001</v>
      </c>
      <c r="F669">
        <v>5.2</v>
      </c>
      <c r="G669">
        <v>0</v>
      </c>
      <c r="H669" t="s">
        <v>186</v>
      </c>
      <c r="I669">
        <v>2.3E-2</v>
      </c>
      <c r="J669">
        <f t="shared" si="311"/>
        <v>1</v>
      </c>
      <c r="K669">
        <f t="shared" si="312"/>
        <v>51</v>
      </c>
      <c r="L669">
        <f t="shared" ca="1" si="313"/>
        <v>51797.843837663619</v>
      </c>
      <c r="M669">
        <f t="shared" ca="1" si="290"/>
        <v>269348.78795585083</v>
      </c>
      <c r="N669">
        <f t="shared" ca="1" si="291"/>
        <v>2.5998694991876676</v>
      </c>
      <c r="O669">
        <f t="shared" ca="1" si="292"/>
        <v>1.8934557080078435E-4</v>
      </c>
      <c r="P669">
        <f t="shared" ca="1" si="293"/>
        <v>52430.146337663617</v>
      </c>
      <c r="Q669">
        <f t="shared" ca="1" si="294"/>
        <v>52430.146337665443</v>
      </c>
      <c r="R669">
        <f t="shared" ca="1" si="295"/>
        <v>2.2564415439646509E-12</v>
      </c>
      <c r="S669">
        <f t="shared" ca="1" si="314"/>
        <v>5.0000000192085281E-4</v>
      </c>
      <c r="T669">
        <f t="shared" ca="1" si="315"/>
        <v>1</v>
      </c>
      <c r="U669">
        <f t="shared" ca="1" si="296"/>
        <v>51800.26683766341</v>
      </c>
      <c r="V669">
        <f t="shared" ca="1" si="297"/>
        <v>269361.38755584974</v>
      </c>
      <c r="W669">
        <f t="shared" ca="1" si="298"/>
        <v>2.5998695052916441</v>
      </c>
      <c r="X669">
        <f t="shared" ca="1" si="299"/>
        <v>1.8933671400629237E-4</v>
      </c>
      <c r="Y669">
        <f t="shared" ca="1" si="300"/>
        <v>52432.569337663408</v>
      </c>
      <c r="Z669">
        <f t="shared" ca="1" si="301"/>
        <v>52432.569337665234</v>
      </c>
      <c r="AA669">
        <f t="shared" ca="1" si="302"/>
        <v>2.2562304480281055E-12</v>
      </c>
      <c r="AB669">
        <f t="shared" ca="1" si="303"/>
        <v>-4.999999946448952E-4</v>
      </c>
      <c r="AC669">
        <f t="shared" ca="1" si="304"/>
        <v>1</v>
      </c>
      <c r="AD669">
        <f ca="1">IF(V32="Supercritical",L669,IF(V32="Subcritical",U669,IF(AND(T669=1,AC669=1),IF((((F669)*(L669)^2)/2+(G669)*(L669)^3/3+(ABS(K669)^2)/($I$5*MAX(((F669)+(G669)*(L669))*(L669),0.000001)))&gt;=(((F669)*(U669)^2)/2+(G669)*(U669)^3/3+(ABS(K669)^2)/($I$5*MAX(((F669)+(G669)*(U669))*(U669),0.000001))),L669,U669),IF(T669=1,L669,IF(AC669=1,U669,MAX($D$16,POWER((ABS(K669)^2)/($I$5*MAX(F669,0.1)^2),1/3)))))))</f>
        <v>51800.26683766341</v>
      </c>
      <c r="AE669">
        <f t="shared" ca="1" si="305"/>
        <v>52432.569337663408</v>
      </c>
      <c r="AF669">
        <f t="shared" ca="1" si="306"/>
        <v>52432.569337665234</v>
      </c>
      <c r="AI669">
        <v>0</v>
      </c>
      <c r="AJ669">
        <v>0</v>
      </c>
      <c r="AK669">
        <f t="shared" si="307"/>
        <v>0</v>
      </c>
      <c r="AL669">
        <f t="shared" si="316"/>
        <v>0</v>
      </c>
      <c r="AM669">
        <f t="shared" ca="1" si="308"/>
        <v>2.6560383008097266E-7</v>
      </c>
      <c r="AN669" t="str">
        <f t="shared" ca="1" si="309"/>
        <v>Subcritical</v>
      </c>
      <c r="AO669">
        <f t="shared" ca="1" si="310"/>
        <v>2.2562304480281055E-12</v>
      </c>
    </row>
    <row r="670" spans="1:41" x14ac:dyDescent="0.35">
      <c r="A670">
        <v>521</v>
      </c>
      <c r="B670">
        <v>519.89599999999996</v>
      </c>
      <c r="C670">
        <v>616194.88600000006</v>
      </c>
      <c r="D670">
        <v>3097459.1260000002</v>
      </c>
      <c r="E670">
        <v>632.30200000000002</v>
      </c>
      <c r="F670">
        <v>5.2</v>
      </c>
      <c r="G670">
        <v>0</v>
      </c>
      <c r="H670" t="s">
        <v>186</v>
      </c>
      <c r="I670">
        <v>2.3E-2</v>
      </c>
      <c r="J670">
        <f t="shared" si="311"/>
        <v>1.0009999999999764</v>
      </c>
      <c r="K670">
        <f t="shared" si="312"/>
        <v>51</v>
      </c>
      <c r="L670">
        <f t="shared" ca="1" si="313"/>
        <v>51797.843837663619</v>
      </c>
      <c r="M670">
        <f t="shared" ca="1" si="290"/>
        <v>269348.78795585083</v>
      </c>
      <c r="N670">
        <f t="shared" ca="1" si="291"/>
        <v>2.5998694991876676</v>
      </c>
      <c r="O670">
        <f t="shared" ca="1" si="292"/>
        <v>1.8934557080078435E-4</v>
      </c>
      <c r="P670">
        <f t="shared" ca="1" si="293"/>
        <v>52430.145837663622</v>
      </c>
      <c r="Q670">
        <f t="shared" ca="1" si="294"/>
        <v>52430.145837665448</v>
      </c>
      <c r="R670">
        <f t="shared" ca="1" si="295"/>
        <v>2.2564415439646509E-12</v>
      </c>
      <c r="S670">
        <f t="shared" ca="1" si="314"/>
        <v>4.999999946448952E-4</v>
      </c>
      <c r="T670">
        <f t="shared" ca="1" si="315"/>
        <v>1</v>
      </c>
      <c r="U670">
        <f t="shared" ca="1" si="296"/>
        <v>51800.26683766341</v>
      </c>
      <c r="V670">
        <f t="shared" ca="1" si="297"/>
        <v>269361.38755584974</v>
      </c>
      <c r="W670">
        <f t="shared" ca="1" si="298"/>
        <v>2.5998695052916441</v>
      </c>
      <c r="X670">
        <f t="shared" ca="1" si="299"/>
        <v>1.8933671400629237E-4</v>
      </c>
      <c r="Y670">
        <f t="shared" ca="1" si="300"/>
        <v>52432.568837663413</v>
      </c>
      <c r="Z670">
        <f t="shared" ca="1" si="301"/>
        <v>52432.56883766524</v>
      </c>
      <c r="AA670">
        <f t="shared" ca="1" si="302"/>
        <v>2.2562304480281055E-12</v>
      </c>
      <c r="AB670">
        <f t="shared" ca="1" si="303"/>
        <v>-5.0000000192085281E-4</v>
      </c>
      <c r="AC670">
        <f t="shared" ca="1" si="304"/>
        <v>1</v>
      </c>
      <c r="AD670">
        <f ca="1">IF(V32="Supercritical",L670,IF(V32="Subcritical",U670,IF(AND(T670=1,AC670=1),IF((((F670)*(L670)^2)/2+(G670)*(L670)^3/3+(ABS(K670)^2)/($I$5*MAX(((F670)+(G670)*(L670))*(L670),0.000001)))&gt;=(((F670)*(U670)^2)/2+(G670)*(U670)^3/3+(ABS(K670)^2)/($I$5*MAX(((F670)+(G670)*(U670))*(U670),0.000001))),L670,U670),IF(T670=1,L670,IF(AC670=1,U670,MAX($D$16,POWER((ABS(K670)^2)/($I$5*MAX(F670,0.1)^2),1/3)))))))</f>
        <v>51800.26683766341</v>
      </c>
      <c r="AE670">
        <f t="shared" ca="1" si="305"/>
        <v>52432.568837663413</v>
      </c>
      <c r="AF670">
        <f t="shared" ca="1" si="306"/>
        <v>52432.56883766524</v>
      </c>
      <c r="AI670">
        <v>0</v>
      </c>
      <c r="AJ670">
        <v>0</v>
      </c>
      <c r="AK670">
        <f t="shared" si="307"/>
        <v>0</v>
      </c>
      <c r="AL670">
        <f t="shared" si="316"/>
        <v>0</v>
      </c>
      <c r="AM670">
        <f t="shared" ca="1" si="308"/>
        <v>2.6560383008097266E-7</v>
      </c>
      <c r="AN670" t="str">
        <f t="shared" ca="1" si="309"/>
        <v>Subcritical</v>
      </c>
      <c r="AO670">
        <f t="shared" ca="1" si="310"/>
        <v>2.2562304480281055E-12</v>
      </c>
    </row>
    <row r="671" spans="1:41" x14ac:dyDescent="0.35">
      <c r="A671">
        <v>522</v>
      </c>
      <c r="B671">
        <v>520.89499999999998</v>
      </c>
      <c r="C671">
        <v>616194.41200000001</v>
      </c>
      <c r="D671">
        <v>3097458.2459999998</v>
      </c>
      <c r="E671">
        <v>632.30150000000003</v>
      </c>
      <c r="F671">
        <v>5.2</v>
      </c>
      <c r="G671">
        <v>0</v>
      </c>
      <c r="H671" t="s">
        <v>186</v>
      </c>
      <c r="I671">
        <v>2.7E-2</v>
      </c>
      <c r="J671">
        <f t="shared" si="311"/>
        <v>0.99900000000002365</v>
      </c>
      <c r="K671">
        <f t="shared" si="312"/>
        <v>51</v>
      </c>
      <c r="L671">
        <f t="shared" ca="1" si="313"/>
        <v>51797.843837663619</v>
      </c>
      <c r="M671">
        <f t="shared" ca="1" si="290"/>
        <v>269348.78795585083</v>
      </c>
      <c r="N671">
        <f t="shared" ca="1" si="291"/>
        <v>2.5998694991876676</v>
      </c>
      <c r="O671">
        <f t="shared" ca="1" si="292"/>
        <v>1.8934557080078435E-4</v>
      </c>
      <c r="P671">
        <f t="shared" ca="1" si="293"/>
        <v>52430.14533766362</v>
      </c>
      <c r="Q671">
        <f t="shared" ca="1" si="294"/>
        <v>52430.145337665446</v>
      </c>
      <c r="R671">
        <f t="shared" ca="1" si="295"/>
        <v>2.2564415439646509E-12</v>
      </c>
      <c r="S671">
        <f t="shared" ca="1" si="314"/>
        <v>5.0000000192085281E-4</v>
      </c>
      <c r="T671">
        <f t="shared" ca="1" si="315"/>
        <v>1</v>
      </c>
      <c r="U671">
        <f t="shared" ca="1" si="296"/>
        <v>51800.26683766341</v>
      </c>
      <c r="V671">
        <f t="shared" ca="1" si="297"/>
        <v>269361.38755584974</v>
      </c>
      <c r="W671">
        <f t="shared" ca="1" si="298"/>
        <v>2.5998695052916441</v>
      </c>
      <c r="X671">
        <f t="shared" ca="1" si="299"/>
        <v>1.8933671400629237E-4</v>
      </c>
      <c r="Y671">
        <f t="shared" ca="1" si="300"/>
        <v>52432.568337663412</v>
      </c>
      <c r="Z671">
        <f t="shared" ca="1" si="301"/>
        <v>52432.568337665238</v>
      </c>
      <c r="AA671">
        <f t="shared" ca="1" si="302"/>
        <v>2.2562304480281055E-12</v>
      </c>
      <c r="AB671">
        <f t="shared" ca="1" si="303"/>
        <v>-5.0000000192085281E-4</v>
      </c>
      <c r="AC671">
        <f t="shared" ca="1" si="304"/>
        <v>1</v>
      </c>
      <c r="AD671">
        <f ca="1">IF(V32="Supercritical",L671,IF(V32="Subcritical",U671,IF(AND(T671=1,AC671=1),IF((((F671)*(L671)^2)/2+(G671)*(L671)^3/3+(ABS(K671)^2)/($I$5*MAX(((F671)+(G671)*(L671))*(L671),0.000001)))&gt;=(((F671)*(U671)^2)/2+(G671)*(U671)^3/3+(ABS(K671)^2)/($I$5*MAX(((F671)+(G671)*(U671))*(U671),0.000001))),L671,U671),IF(T671=1,L671,IF(AC671=1,U671,MAX($D$16,POWER((ABS(K671)^2)/($I$5*MAX(F671,0.1)^2),1/3)))))))</f>
        <v>51800.26683766341</v>
      </c>
      <c r="AE671">
        <f t="shared" ca="1" si="305"/>
        <v>52432.568337663412</v>
      </c>
      <c r="AF671">
        <f t="shared" ca="1" si="306"/>
        <v>52432.568337665238</v>
      </c>
      <c r="AI671">
        <v>0</v>
      </c>
      <c r="AJ671">
        <v>0</v>
      </c>
      <c r="AK671">
        <f t="shared" si="307"/>
        <v>0</v>
      </c>
      <c r="AL671">
        <f t="shared" si="316"/>
        <v>0</v>
      </c>
      <c r="AM671">
        <f t="shared" ca="1" si="308"/>
        <v>2.6560383008097266E-7</v>
      </c>
      <c r="AN671" t="str">
        <f t="shared" ca="1" si="309"/>
        <v>Subcritical</v>
      </c>
      <c r="AO671">
        <f t="shared" ca="1" si="310"/>
        <v>2.2562304480281055E-12</v>
      </c>
    </row>
    <row r="672" spans="1:41" x14ac:dyDescent="0.35">
      <c r="A672">
        <v>523</v>
      </c>
      <c r="B672">
        <v>521.89599999999996</v>
      </c>
      <c r="C672">
        <v>616193.93799999997</v>
      </c>
      <c r="D672">
        <v>3097457.3650000002</v>
      </c>
      <c r="E672">
        <v>632.30100000000004</v>
      </c>
      <c r="F672">
        <v>5.2</v>
      </c>
      <c r="G672">
        <v>0</v>
      </c>
      <c r="H672" t="s">
        <v>186</v>
      </c>
      <c r="I672">
        <v>2.7E-2</v>
      </c>
      <c r="J672">
        <f t="shared" si="311"/>
        <v>1.0009999999999764</v>
      </c>
      <c r="K672">
        <f t="shared" si="312"/>
        <v>51</v>
      </c>
      <c r="L672">
        <f t="shared" ca="1" si="313"/>
        <v>51797.843837663619</v>
      </c>
      <c r="M672">
        <f t="shared" ca="1" si="290"/>
        <v>269348.78795585083</v>
      </c>
      <c r="N672">
        <f t="shared" ca="1" si="291"/>
        <v>2.5998694991876676</v>
      </c>
      <c r="O672">
        <f t="shared" ca="1" si="292"/>
        <v>1.8934557080078435E-4</v>
      </c>
      <c r="P672">
        <f t="shared" ca="1" si="293"/>
        <v>52430.144837663618</v>
      </c>
      <c r="Q672">
        <f t="shared" ca="1" si="294"/>
        <v>52430.144837665444</v>
      </c>
      <c r="R672">
        <f t="shared" ca="1" si="295"/>
        <v>2.2564415439646509E-12</v>
      </c>
      <c r="S672">
        <f t="shared" ca="1" si="314"/>
        <v>5.0000000192085281E-4</v>
      </c>
      <c r="T672">
        <f t="shared" ca="1" si="315"/>
        <v>1</v>
      </c>
      <c r="U672">
        <f t="shared" ca="1" si="296"/>
        <v>51800.26683766341</v>
      </c>
      <c r="V672">
        <f t="shared" ca="1" si="297"/>
        <v>269361.38755584974</v>
      </c>
      <c r="W672">
        <f t="shared" ca="1" si="298"/>
        <v>2.5998695052916441</v>
      </c>
      <c r="X672">
        <f t="shared" ca="1" si="299"/>
        <v>1.8933671400629237E-4</v>
      </c>
      <c r="Y672">
        <f t="shared" ca="1" si="300"/>
        <v>52432.56783766341</v>
      </c>
      <c r="Z672">
        <f t="shared" ca="1" si="301"/>
        <v>52432.567837665236</v>
      </c>
      <c r="AA672">
        <f t="shared" ca="1" si="302"/>
        <v>2.2562304480281055E-12</v>
      </c>
      <c r="AB672">
        <f t="shared" ca="1" si="303"/>
        <v>-5.0000000192085281E-4</v>
      </c>
      <c r="AC672">
        <f t="shared" ca="1" si="304"/>
        <v>1</v>
      </c>
      <c r="AD672">
        <f ca="1">IF(V32="Supercritical",L672,IF(V32="Subcritical",U672,IF(AND(T672=1,AC672=1),IF((((F672)*(L672)^2)/2+(G672)*(L672)^3/3+(ABS(K672)^2)/($I$5*MAX(((F672)+(G672)*(L672))*(L672),0.000001)))&gt;=(((F672)*(U672)^2)/2+(G672)*(U672)^3/3+(ABS(K672)^2)/($I$5*MAX(((F672)+(G672)*(U672))*(U672),0.000001))),L672,U672),IF(T672=1,L672,IF(AC672=1,U672,MAX($D$16,POWER((ABS(K672)^2)/($I$5*MAX(F672,0.1)^2),1/3)))))))</f>
        <v>51800.26683766341</v>
      </c>
      <c r="AE672">
        <f t="shared" ca="1" si="305"/>
        <v>52432.56783766341</v>
      </c>
      <c r="AF672">
        <f t="shared" ca="1" si="306"/>
        <v>52432.567837665236</v>
      </c>
      <c r="AI672">
        <v>0</v>
      </c>
      <c r="AJ672">
        <v>0</v>
      </c>
      <c r="AK672">
        <f t="shared" si="307"/>
        <v>0</v>
      </c>
      <c r="AL672">
        <f t="shared" si="316"/>
        <v>0</v>
      </c>
      <c r="AM672">
        <f t="shared" ca="1" si="308"/>
        <v>2.6560383008097266E-7</v>
      </c>
      <c r="AN672" t="str">
        <f t="shared" ca="1" si="309"/>
        <v>Subcritical</v>
      </c>
      <c r="AO672">
        <f t="shared" ca="1" si="310"/>
        <v>2.2562304480281055E-12</v>
      </c>
    </row>
    <row r="673" spans="1:41" x14ac:dyDescent="0.35">
      <c r="A673">
        <v>524</v>
      </c>
      <c r="B673">
        <v>522.89499999999998</v>
      </c>
      <c r="C673">
        <v>616193.46400000004</v>
      </c>
      <c r="D673">
        <v>3097456.4849999999</v>
      </c>
      <c r="E673">
        <v>632.30050000000006</v>
      </c>
      <c r="F673">
        <v>5.2</v>
      </c>
      <c r="G673">
        <v>0</v>
      </c>
      <c r="H673" t="s">
        <v>186</v>
      </c>
      <c r="I673">
        <v>0</v>
      </c>
      <c r="J673">
        <f t="shared" si="311"/>
        <v>0.99900000000002365</v>
      </c>
      <c r="K673">
        <f t="shared" si="312"/>
        <v>51</v>
      </c>
      <c r="L673">
        <f t="shared" ca="1" si="313"/>
        <v>51797.843837663619</v>
      </c>
      <c r="M673">
        <f t="shared" ca="1" si="290"/>
        <v>269348.78795585083</v>
      </c>
      <c r="N673">
        <f t="shared" ca="1" si="291"/>
        <v>2.5998694991876676</v>
      </c>
      <c r="O673">
        <f t="shared" ca="1" si="292"/>
        <v>1.8934557080078435E-4</v>
      </c>
      <c r="P673">
        <f t="shared" ca="1" si="293"/>
        <v>52430.144337663616</v>
      </c>
      <c r="Q673">
        <f t="shared" ca="1" si="294"/>
        <v>52430.144337665442</v>
      </c>
      <c r="R673">
        <f t="shared" ca="1" si="295"/>
        <v>2.2564415439646509E-12</v>
      </c>
      <c r="S673">
        <f t="shared" ca="1" si="314"/>
        <v>5.0000000192085281E-4</v>
      </c>
      <c r="T673">
        <f t="shared" ca="1" si="315"/>
        <v>1</v>
      </c>
      <c r="U673">
        <f t="shared" ca="1" si="296"/>
        <v>51800.26683766341</v>
      </c>
      <c r="V673">
        <f t="shared" ca="1" si="297"/>
        <v>269361.38755584974</v>
      </c>
      <c r="W673">
        <f t="shared" ca="1" si="298"/>
        <v>2.5998695052916441</v>
      </c>
      <c r="X673">
        <f t="shared" ca="1" si="299"/>
        <v>1.8933671400629237E-4</v>
      </c>
      <c r="Y673">
        <f t="shared" ca="1" si="300"/>
        <v>52432.567337663408</v>
      </c>
      <c r="Z673">
        <f t="shared" ca="1" si="301"/>
        <v>52432.567337665234</v>
      </c>
      <c r="AA673">
        <f t="shared" ca="1" si="302"/>
        <v>2.2562304480281055E-12</v>
      </c>
      <c r="AB673">
        <f t="shared" ca="1" si="303"/>
        <v>-4.999999946448952E-4</v>
      </c>
      <c r="AC673">
        <f t="shared" ca="1" si="304"/>
        <v>1</v>
      </c>
      <c r="AD673">
        <f ca="1">IF(V32="Supercritical",L673,IF(V32="Subcritical",U673,IF(AND(T673=1,AC673=1),IF((((F673)*(L673)^2)/2+(G673)*(L673)^3/3+(ABS(K673)^2)/($I$5*MAX(((F673)+(G673)*(L673))*(L673),0.000001)))&gt;=(((F673)*(U673)^2)/2+(G673)*(U673)^3/3+(ABS(K673)^2)/($I$5*MAX(((F673)+(G673)*(U673))*(U673),0.000001))),L673,U673),IF(T673=1,L673,IF(AC673=1,U673,MAX($D$16,POWER((ABS(K673)^2)/($I$5*MAX(F673,0.1)^2),1/3)))))))</f>
        <v>51800.26683766341</v>
      </c>
      <c r="AE673">
        <f t="shared" ca="1" si="305"/>
        <v>52432.567337663408</v>
      </c>
      <c r="AF673">
        <f t="shared" ca="1" si="306"/>
        <v>52432.567337665234</v>
      </c>
      <c r="AI673">
        <v>0</v>
      </c>
      <c r="AJ673">
        <v>0</v>
      </c>
      <c r="AK673">
        <f t="shared" si="307"/>
        <v>0</v>
      </c>
      <c r="AL673">
        <f t="shared" si="316"/>
        <v>0</v>
      </c>
      <c r="AM673">
        <f t="shared" ca="1" si="308"/>
        <v>2.6560383008097266E-7</v>
      </c>
      <c r="AN673" t="str">
        <f t="shared" ca="1" si="309"/>
        <v>Subcritical</v>
      </c>
      <c r="AO673">
        <f t="shared" ca="1" si="310"/>
        <v>2.2562304480281055E-12</v>
      </c>
    </row>
    <row r="674" spans="1:41" x14ac:dyDescent="0.35">
      <c r="A674">
        <v>525</v>
      </c>
      <c r="B674">
        <v>523.89499999999998</v>
      </c>
      <c r="C674">
        <v>616192.99</v>
      </c>
      <c r="D674">
        <v>3097455.605</v>
      </c>
      <c r="E674">
        <v>632.29999999999995</v>
      </c>
      <c r="F674">
        <v>5.2</v>
      </c>
      <c r="G674">
        <v>0</v>
      </c>
      <c r="H674" t="s">
        <v>186</v>
      </c>
      <c r="I674">
        <v>2.3E-2</v>
      </c>
      <c r="J674">
        <f t="shared" si="311"/>
        <v>1</v>
      </c>
      <c r="K674">
        <f t="shared" si="312"/>
        <v>51</v>
      </c>
      <c r="L674">
        <f t="shared" ca="1" si="313"/>
        <v>51797.843837663619</v>
      </c>
      <c r="M674">
        <f t="shared" ca="1" si="290"/>
        <v>269348.78795585083</v>
      </c>
      <c r="N674">
        <f t="shared" ca="1" si="291"/>
        <v>2.5998694991876676</v>
      </c>
      <c r="O674">
        <f t="shared" ca="1" si="292"/>
        <v>1.8934557080078435E-4</v>
      </c>
      <c r="P674">
        <f t="shared" ca="1" si="293"/>
        <v>52430.143837663622</v>
      </c>
      <c r="Q674">
        <f t="shared" ca="1" si="294"/>
        <v>52430.143837665448</v>
      </c>
      <c r="R674">
        <f t="shared" ca="1" si="295"/>
        <v>2.2564415439646509E-12</v>
      </c>
      <c r="S674">
        <f t="shared" ca="1" si="314"/>
        <v>4.999999946448952E-4</v>
      </c>
      <c r="T674">
        <f t="shared" ca="1" si="315"/>
        <v>1</v>
      </c>
      <c r="U674">
        <f t="shared" ca="1" si="296"/>
        <v>51800.26683766341</v>
      </c>
      <c r="V674">
        <f t="shared" ca="1" si="297"/>
        <v>269361.38755584974</v>
      </c>
      <c r="W674">
        <f t="shared" ca="1" si="298"/>
        <v>2.5998695052916441</v>
      </c>
      <c r="X674">
        <f t="shared" ca="1" si="299"/>
        <v>1.8933671400629237E-4</v>
      </c>
      <c r="Y674">
        <f t="shared" ca="1" si="300"/>
        <v>52432.566837663413</v>
      </c>
      <c r="Z674">
        <f t="shared" ca="1" si="301"/>
        <v>52432.566837665239</v>
      </c>
      <c r="AA674">
        <f t="shared" ca="1" si="302"/>
        <v>2.2562304480281055E-12</v>
      </c>
      <c r="AB674">
        <f t="shared" ca="1" si="303"/>
        <v>-5.0000000192085281E-4</v>
      </c>
      <c r="AC674">
        <f t="shared" ca="1" si="304"/>
        <v>1</v>
      </c>
      <c r="AD674">
        <f ca="1">IF(V32="Supercritical",L674,IF(V32="Subcritical",U674,IF(AND(T674=1,AC674=1),IF((((F674)*(L674)^2)/2+(G674)*(L674)^3/3+(ABS(K674)^2)/($I$5*MAX(((F674)+(G674)*(L674))*(L674),0.000001)))&gt;=(((F674)*(U674)^2)/2+(G674)*(U674)^3/3+(ABS(K674)^2)/($I$5*MAX(((F674)+(G674)*(U674))*(U674),0.000001))),L674,U674),IF(T674=1,L674,IF(AC674=1,U674,MAX($D$16,POWER((ABS(K674)^2)/($I$5*MAX(F674,0.1)^2),1/3)))))))</f>
        <v>51800.26683766341</v>
      </c>
      <c r="AE674">
        <f t="shared" ca="1" si="305"/>
        <v>52432.566837663413</v>
      </c>
      <c r="AF674">
        <f t="shared" ca="1" si="306"/>
        <v>52432.566837665239</v>
      </c>
      <c r="AI674">
        <v>0</v>
      </c>
      <c r="AJ674">
        <v>0</v>
      </c>
      <c r="AK674">
        <f t="shared" si="307"/>
        <v>0</v>
      </c>
      <c r="AL674">
        <f t="shared" si="316"/>
        <v>0</v>
      </c>
      <c r="AM674">
        <f t="shared" ca="1" si="308"/>
        <v>2.6560383008097266E-7</v>
      </c>
      <c r="AN674" t="str">
        <f t="shared" ca="1" si="309"/>
        <v>Subcritical</v>
      </c>
      <c r="AO674">
        <f t="shared" ca="1" si="310"/>
        <v>2.2562304480281055E-12</v>
      </c>
    </row>
    <row r="675" spans="1:41" x14ac:dyDescent="0.35">
      <c r="A675">
        <v>526</v>
      </c>
      <c r="B675">
        <v>524.89599999999996</v>
      </c>
      <c r="C675">
        <v>616192.51500000001</v>
      </c>
      <c r="D675">
        <v>3097454.7239999999</v>
      </c>
      <c r="E675">
        <v>632.29949999999997</v>
      </c>
      <c r="F675">
        <v>5.2</v>
      </c>
      <c r="G675">
        <v>0</v>
      </c>
      <c r="H675" t="s">
        <v>186</v>
      </c>
      <c r="I675">
        <v>2.3E-2</v>
      </c>
      <c r="J675">
        <f t="shared" si="311"/>
        <v>1.0009999999999764</v>
      </c>
      <c r="K675">
        <f t="shared" si="312"/>
        <v>51</v>
      </c>
      <c r="L675">
        <f t="shared" ca="1" si="313"/>
        <v>51797.843837663619</v>
      </c>
      <c r="M675">
        <f t="shared" ca="1" si="290"/>
        <v>269348.78795585083</v>
      </c>
      <c r="N675">
        <f t="shared" ca="1" si="291"/>
        <v>2.5998694991876676</v>
      </c>
      <c r="O675">
        <f t="shared" ca="1" si="292"/>
        <v>1.8934557080078435E-4</v>
      </c>
      <c r="P675">
        <f t="shared" ca="1" si="293"/>
        <v>52430.14333766362</v>
      </c>
      <c r="Q675">
        <f t="shared" ca="1" si="294"/>
        <v>52430.143337665446</v>
      </c>
      <c r="R675">
        <f t="shared" ca="1" si="295"/>
        <v>2.2564415439646509E-12</v>
      </c>
      <c r="S675">
        <f t="shared" ca="1" si="314"/>
        <v>5.0000000192085281E-4</v>
      </c>
      <c r="T675">
        <f t="shared" ca="1" si="315"/>
        <v>1</v>
      </c>
      <c r="U675">
        <f t="shared" ca="1" si="296"/>
        <v>51800.26683766341</v>
      </c>
      <c r="V675">
        <f t="shared" ca="1" si="297"/>
        <v>269361.38755584974</v>
      </c>
      <c r="W675">
        <f t="shared" ca="1" si="298"/>
        <v>2.5998695052916441</v>
      </c>
      <c r="X675">
        <f t="shared" ca="1" si="299"/>
        <v>1.8933671400629237E-4</v>
      </c>
      <c r="Y675">
        <f t="shared" ca="1" si="300"/>
        <v>52432.566337663411</v>
      </c>
      <c r="Z675">
        <f t="shared" ca="1" si="301"/>
        <v>52432.566337665237</v>
      </c>
      <c r="AA675">
        <f t="shared" ca="1" si="302"/>
        <v>2.2562304480281055E-12</v>
      </c>
      <c r="AB675">
        <f t="shared" ca="1" si="303"/>
        <v>-5.0000000192085281E-4</v>
      </c>
      <c r="AC675">
        <f t="shared" ca="1" si="304"/>
        <v>1</v>
      </c>
      <c r="AD675">
        <f ca="1">IF(V32="Supercritical",L675,IF(V32="Subcritical",U675,IF(AND(T675=1,AC675=1),IF((((F675)*(L675)^2)/2+(G675)*(L675)^3/3+(ABS(K675)^2)/($I$5*MAX(((F675)+(G675)*(L675))*(L675),0.000001)))&gt;=(((F675)*(U675)^2)/2+(G675)*(U675)^3/3+(ABS(K675)^2)/($I$5*MAX(((F675)+(G675)*(U675))*(U675),0.000001))),L675,U675),IF(T675=1,L675,IF(AC675=1,U675,MAX($D$16,POWER((ABS(K675)^2)/($I$5*MAX(F675,0.1)^2),1/3)))))))</f>
        <v>51800.26683766341</v>
      </c>
      <c r="AE675">
        <f t="shared" ca="1" si="305"/>
        <v>52432.566337663411</v>
      </c>
      <c r="AF675">
        <f t="shared" ca="1" si="306"/>
        <v>52432.566337665237</v>
      </c>
      <c r="AI675">
        <v>0</v>
      </c>
      <c r="AJ675">
        <v>0</v>
      </c>
      <c r="AK675">
        <f t="shared" si="307"/>
        <v>0</v>
      </c>
      <c r="AL675">
        <f t="shared" si="316"/>
        <v>0</v>
      </c>
      <c r="AM675">
        <f t="shared" ca="1" si="308"/>
        <v>2.6560383008097266E-7</v>
      </c>
      <c r="AN675" t="str">
        <f t="shared" ca="1" si="309"/>
        <v>Subcritical</v>
      </c>
      <c r="AO675">
        <f t="shared" ca="1" si="310"/>
        <v>2.2562304480281055E-12</v>
      </c>
    </row>
    <row r="676" spans="1:41" x14ac:dyDescent="0.35">
      <c r="A676">
        <v>527</v>
      </c>
      <c r="B676">
        <v>525.89499999999998</v>
      </c>
      <c r="C676">
        <v>616192.04099999997</v>
      </c>
      <c r="D676">
        <v>3097453.844</v>
      </c>
      <c r="E676">
        <v>632.29899999999998</v>
      </c>
      <c r="F676">
        <v>5.2</v>
      </c>
      <c r="G676">
        <v>0</v>
      </c>
      <c r="H676" t="s">
        <v>186</v>
      </c>
      <c r="I676">
        <v>2.7E-2</v>
      </c>
      <c r="J676">
        <f t="shared" si="311"/>
        <v>0.99900000000002365</v>
      </c>
      <c r="K676">
        <f t="shared" si="312"/>
        <v>51</v>
      </c>
      <c r="L676">
        <f t="shared" ca="1" si="313"/>
        <v>51797.843837663619</v>
      </c>
      <c r="M676">
        <f t="shared" ca="1" si="290"/>
        <v>269348.78795585083</v>
      </c>
      <c r="N676">
        <f t="shared" ca="1" si="291"/>
        <v>2.5998694991876676</v>
      </c>
      <c r="O676">
        <f t="shared" ca="1" si="292"/>
        <v>1.8934557080078435E-4</v>
      </c>
      <c r="P676">
        <f t="shared" ca="1" si="293"/>
        <v>52430.142837663618</v>
      </c>
      <c r="Q676">
        <f t="shared" ca="1" si="294"/>
        <v>52430.142837665444</v>
      </c>
      <c r="R676">
        <f t="shared" ca="1" si="295"/>
        <v>2.2564415439646509E-12</v>
      </c>
      <c r="S676">
        <f t="shared" ca="1" si="314"/>
        <v>5.0000000192085281E-4</v>
      </c>
      <c r="T676">
        <f t="shared" ca="1" si="315"/>
        <v>1</v>
      </c>
      <c r="U676">
        <f t="shared" ca="1" si="296"/>
        <v>51800.26683766341</v>
      </c>
      <c r="V676">
        <f t="shared" ca="1" si="297"/>
        <v>269361.38755584974</v>
      </c>
      <c r="W676">
        <f t="shared" ca="1" si="298"/>
        <v>2.5998695052916441</v>
      </c>
      <c r="X676">
        <f t="shared" ca="1" si="299"/>
        <v>1.8933671400629237E-4</v>
      </c>
      <c r="Y676">
        <f t="shared" ca="1" si="300"/>
        <v>52432.565837663409</v>
      </c>
      <c r="Z676">
        <f t="shared" ca="1" si="301"/>
        <v>52432.565837665235</v>
      </c>
      <c r="AA676">
        <f t="shared" ca="1" si="302"/>
        <v>2.2562304480281055E-12</v>
      </c>
      <c r="AB676">
        <f t="shared" ca="1" si="303"/>
        <v>-5.0000000192085281E-4</v>
      </c>
      <c r="AC676">
        <f t="shared" ca="1" si="304"/>
        <v>1</v>
      </c>
      <c r="AD676">
        <f ca="1">IF(V32="Supercritical",L676,IF(V32="Subcritical",U676,IF(AND(T676=1,AC676=1),IF((((F676)*(L676)^2)/2+(G676)*(L676)^3/3+(ABS(K676)^2)/($I$5*MAX(((F676)+(G676)*(L676))*(L676),0.000001)))&gt;=(((F676)*(U676)^2)/2+(G676)*(U676)^3/3+(ABS(K676)^2)/($I$5*MAX(((F676)+(G676)*(U676))*(U676),0.000001))),L676,U676),IF(T676=1,L676,IF(AC676=1,U676,MAX($D$16,POWER((ABS(K676)^2)/($I$5*MAX(F676,0.1)^2),1/3)))))))</f>
        <v>51800.26683766341</v>
      </c>
      <c r="AE676">
        <f t="shared" ca="1" si="305"/>
        <v>52432.565837663409</v>
      </c>
      <c r="AF676">
        <f t="shared" ca="1" si="306"/>
        <v>52432.565837665235</v>
      </c>
      <c r="AI676">
        <v>0</v>
      </c>
      <c r="AJ676">
        <v>0</v>
      </c>
      <c r="AK676">
        <f t="shared" si="307"/>
        <v>0</v>
      </c>
      <c r="AL676">
        <f t="shared" si="316"/>
        <v>0</v>
      </c>
      <c r="AM676">
        <f t="shared" ca="1" si="308"/>
        <v>2.6560383008097266E-7</v>
      </c>
      <c r="AN676" t="str">
        <f t="shared" ca="1" si="309"/>
        <v>Subcritical</v>
      </c>
      <c r="AO676">
        <f t="shared" ca="1" si="310"/>
        <v>2.2562304480281055E-12</v>
      </c>
    </row>
    <row r="677" spans="1:41" x14ac:dyDescent="0.35">
      <c r="A677">
        <v>528</v>
      </c>
      <c r="B677">
        <v>526.89599999999996</v>
      </c>
      <c r="C677">
        <v>616191.56700000004</v>
      </c>
      <c r="D677">
        <v>3097452.963</v>
      </c>
      <c r="E677">
        <v>632.29849999999999</v>
      </c>
      <c r="F677">
        <v>5.2</v>
      </c>
      <c r="G677">
        <v>0</v>
      </c>
      <c r="H677" t="s">
        <v>186</v>
      </c>
      <c r="I677">
        <v>2.7E-2</v>
      </c>
      <c r="J677">
        <f t="shared" si="311"/>
        <v>1.0009999999999764</v>
      </c>
      <c r="K677">
        <f t="shared" si="312"/>
        <v>51</v>
      </c>
      <c r="L677">
        <f t="shared" ca="1" si="313"/>
        <v>51797.843837663619</v>
      </c>
      <c r="M677">
        <f t="shared" ca="1" si="290"/>
        <v>269348.78795585083</v>
      </c>
      <c r="N677">
        <f t="shared" ca="1" si="291"/>
        <v>2.5998694991876676</v>
      </c>
      <c r="O677">
        <f t="shared" ca="1" si="292"/>
        <v>1.8934557080078435E-4</v>
      </c>
      <c r="P677">
        <f t="shared" ca="1" si="293"/>
        <v>52430.142337663616</v>
      </c>
      <c r="Q677">
        <f t="shared" ca="1" si="294"/>
        <v>52430.142337665442</v>
      </c>
      <c r="R677">
        <f t="shared" ca="1" si="295"/>
        <v>2.2564415439646509E-12</v>
      </c>
      <c r="S677">
        <f t="shared" ca="1" si="314"/>
        <v>5.0000000192085281E-4</v>
      </c>
      <c r="T677">
        <f t="shared" ca="1" si="315"/>
        <v>1</v>
      </c>
      <c r="U677">
        <f t="shared" ca="1" si="296"/>
        <v>51800.26683766341</v>
      </c>
      <c r="V677">
        <f t="shared" ca="1" si="297"/>
        <v>269361.38755584974</v>
      </c>
      <c r="W677">
        <f t="shared" ca="1" si="298"/>
        <v>2.5998695052916441</v>
      </c>
      <c r="X677">
        <f t="shared" ca="1" si="299"/>
        <v>1.8933671400629237E-4</v>
      </c>
      <c r="Y677">
        <f t="shared" ca="1" si="300"/>
        <v>52432.565337663407</v>
      </c>
      <c r="Z677">
        <f t="shared" ca="1" si="301"/>
        <v>52432.565337665234</v>
      </c>
      <c r="AA677">
        <f t="shared" ca="1" si="302"/>
        <v>2.2562304480281055E-12</v>
      </c>
      <c r="AB677">
        <f t="shared" ca="1" si="303"/>
        <v>-4.999999946448952E-4</v>
      </c>
      <c r="AC677">
        <f t="shared" ca="1" si="304"/>
        <v>1</v>
      </c>
      <c r="AD677">
        <f ca="1">IF(V32="Supercritical",L677,IF(V32="Subcritical",U677,IF(AND(T677=1,AC677=1),IF((((F677)*(L677)^2)/2+(G677)*(L677)^3/3+(ABS(K677)^2)/($I$5*MAX(((F677)+(G677)*(L677))*(L677),0.000001)))&gt;=(((F677)*(U677)^2)/2+(G677)*(U677)^3/3+(ABS(K677)^2)/($I$5*MAX(((F677)+(G677)*(U677))*(U677),0.000001))),L677,U677),IF(T677=1,L677,IF(AC677=1,U677,MAX($D$16,POWER((ABS(K677)^2)/($I$5*MAX(F677,0.1)^2),1/3)))))))</f>
        <v>51800.26683766341</v>
      </c>
      <c r="AE677">
        <f t="shared" ca="1" si="305"/>
        <v>52432.565337663407</v>
      </c>
      <c r="AF677">
        <f t="shared" ca="1" si="306"/>
        <v>52432.565337665234</v>
      </c>
      <c r="AI677">
        <v>0</v>
      </c>
      <c r="AJ677">
        <v>0</v>
      </c>
      <c r="AK677">
        <f t="shared" si="307"/>
        <v>0</v>
      </c>
      <c r="AL677">
        <f t="shared" si="316"/>
        <v>0</v>
      </c>
      <c r="AM677">
        <f t="shared" ca="1" si="308"/>
        <v>2.6560383008097266E-7</v>
      </c>
      <c r="AN677" t="str">
        <f t="shared" ca="1" si="309"/>
        <v>Subcritical</v>
      </c>
      <c r="AO677">
        <f t="shared" ca="1" si="310"/>
        <v>2.2562304480281055E-12</v>
      </c>
    </row>
    <row r="678" spans="1:41" x14ac:dyDescent="0.35">
      <c r="A678">
        <v>529</v>
      </c>
      <c r="B678">
        <v>527.89499999999998</v>
      </c>
      <c r="C678">
        <v>616191.09299999999</v>
      </c>
      <c r="D678">
        <v>3097452.0830000001</v>
      </c>
      <c r="E678">
        <v>632.298</v>
      </c>
      <c r="F678">
        <v>5.2</v>
      </c>
      <c r="G678">
        <v>0</v>
      </c>
      <c r="H678" t="s">
        <v>186</v>
      </c>
      <c r="I678">
        <v>0.05</v>
      </c>
      <c r="J678">
        <f t="shared" si="311"/>
        <v>0.99900000000002365</v>
      </c>
      <c r="K678">
        <f t="shared" si="312"/>
        <v>51</v>
      </c>
      <c r="L678">
        <f t="shared" ca="1" si="313"/>
        <v>51797.843837663619</v>
      </c>
      <c r="M678">
        <f t="shared" ca="1" si="290"/>
        <v>269348.78795585083</v>
      </c>
      <c r="N678">
        <f t="shared" ca="1" si="291"/>
        <v>2.5998694991876676</v>
      </c>
      <c r="O678">
        <f t="shared" ca="1" si="292"/>
        <v>1.8934557080078435E-4</v>
      </c>
      <c r="P678">
        <f t="shared" ca="1" si="293"/>
        <v>52430.141837663621</v>
      </c>
      <c r="Q678">
        <f t="shared" ca="1" si="294"/>
        <v>52430.141837665447</v>
      </c>
      <c r="R678">
        <f t="shared" ca="1" si="295"/>
        <v>2.2564415439646509E-12</v>
      </c>
      <c r="S678">
        <f t="shared" ca="1" si="314"/>
        <v>4.999999946448952E-4</v>
      </c>
      <c r="T678">
        <f t="shared" ca="1" si="315"/>
        <v>1</v>
      </c>
      <c r="U678">
        <f t="shared" ca="1" si="296"/>
        <v>51800.26683766341</v>
      </c>
      <c r="V678">
        <f t="shared" ca="1" si="297"/>
        <v>269361.38755584974</v>
      </c>
      <c r="W678">
        <f t="shared" ca="1" si="298"/>
        <v>2.5998695052916441</v>
      </c>
      <c r="X678">
        <f t="shared" ca="1" si="299"/>
        <v>1.8933671400629237E-4</v>
      </c>
      <c r="Y678">
        <f t="shared" ca="1" si="300"/>
        <v>52432.564837663413</v>
      </c>
      <c r="Z678">
        <f t="shared" ca="1" si="301"/>
        <v>52432.564837665239</v>
      </c>
      <c r="AA678">
        <f t="shared" ca="1" si="302"/>
        <v>2.2562304480281055E-12</v>
      </c>
      <c r="AB678">
        <f t="shared" ca="1" si="303"/>
        <v>-5.0000000192085281E-4</v>
      </c>
      <c r="AC678">
        <f t="shared" ca="1" si="304"/>
        <v>1</v>
      </c>
      <c r="AD678">
        <f ca="1">IF(V32="Supercritical",L678,IF(V32="Subcritical",U678,IF(AND(T678=1,AC678=1),IF((((F678)*(L678)^2)/2+(G678)*(L678)^3/3+(ABS(K678)^2)/($I$5*MAX(((F678)+(G678)*(L678))*(L678),0.000001)))&gt;=(((F678)*(U678)^2)/2+(G678)*(U678)^3/3+(ABS(K678)^2)/($I$5*MAX(((F678)+(G678)*(U678))*(U678),0.000001))),L678,U678),IF(T678=1,L678,IF(AC678=1,U678,MAX($D$16,POWER((ABS(K678)^2)/($I$5*MAX(F678,0.1)^2),1/3)))))))</f>
        <v>51800.26683766341</v>
      </c>
      <c r="AE678">
        <f t="shared" ca="1" si="305"/>
        <v>52432.564837663413</v>
      </c>
      <c r="AF678">
        <f t="shared" ca="1" si="306"/>
        <v>52432.564837665239</v>
      </c>
      <c r="AI678">
        <v>0</v>
      </c>
      <c r="AJ678">
        <v>0</v>
      </c>
      <c r="AK678">
        <f t="shared" si="307"/>
        <v>0</v>
      </c>
      <c r="AL678">
        <f t="shared" si="316"/>
        <v>0</v>
      </c>
      <c r="AM678">
        <f t="shared" ca="1" si="308"/>
        <v>2.6560383008097266E-7</v>
      </c>
      <c r="AN678" t="str">
        <f t="shared" ca="1" si="309"/>
        <v>Subcritical</v>
      </c>
      <c r="AO678">
        <f t="shared" ca="1" si="310"/>
        <v>2.2562304480281055E-12</v>
      </c>
    </row>
    <row r="679" spans="1:41" x14ac:dyDescent="0.35">
      <c r="A679">
        <v>530</v>
      </c>
      <c r="B679">
        <v>528.89499999999998</v>
      </c>
      <c r="C679">
        <v>616190.61800000002</v>
      </c>
      <c r="D679">
        <v>3097451.2030000002</v>
      </c>
      <c r="E679">
        <v>632.29750000000001</v>
      </c>
      <c r="F679">
        <v>5.2</v>
      </c>
      <c r="G679">
        <v>0</v>
      </c>
      <c r="H679" t="s">
        <v>186</v>
      </c>
      <c r="I679">
        <v>7.8E-2</v>
      </c>
      <c r="J679">
        <f t="shared" si="311"/>
        <v>1</v>
      </c>
      <c r="K679">
        <f t="shared" si="312"/>
        <v>51</v>
      </c>
      <c r="L679">
        <f t="shared" ca="1" si="313"/>
        <v>51797.843837663619</v>
      </c>
      <c r="M679">
        <f t="shared" ca="1" si="290"/>
        <v>269348.78795585083</v>
      </c>
      <c r="N679">
        <f t="shared" ca="1" si="291"/>
        <v>2.5998694991876676</v>
      </c>
      <c r="O679">
        <f t="shared" ca="1" si="292"/>
        <v>1.8934557080078435E-4</v>
      </c>
      <c r="P679">
        <f t="shared" ca="1" si="293"/>
        <v>52430.141337663619</v>
      </c>
      <c r="Q679">
        <f t="shared" ca="1" si="294"/>
        <v>52430.141337665445</v>
      </c>
      <c r="R679">
        <f t="shared" ca="1" si="295"/>
        <v>2.2564415439646509E-12</v>
      </c>
      <c r="S679">
        <f t="shared" ca="1" si="314"/>
        <v>5.0000000192085281E-4</v>
      </c>
      <c r="T679">
        <f t="shared" ca="1" si="315"/>
        <v>1</v>
      </c>
      <c r="U679">
        <f t="shared" ca="1" si="296"/>
        <v>51800.26683766341</v>
      </c>
      <c r="V679">
        <f t="shared" ca="1" si="297"/>
        <v>269361.38755584974</v>
      </c>
      <c r="W679">
        <f t="shared" ca="1" si="298"/>
        <v>2.5998695052916441</v>
      </c>
      <c r="X679">
        <f t="shared" ca="1" si="299"/>
        <v>1.8933671400629237E-4</v>
      </c>
      <c r="Y679">
        <f t="shared" ca="1" si="300"/>
        <v>52432.564337663411</v>
      </c>
      <c r="Z679">
        <f t="shared" ca="1" si="301"/>
        <v>52432.564337665237</v>
      </c>
      <c r="AA679">
        <f t="shared" ca="1" si="302"/>
        <v>2.2562304480281055E-12</v>
      </c>
      <c r="AB679">
        <f t="shared" ca="1" si="303"/>
        <v>-5.0000000192085281E-4</v>
      </c>
      <c r="AC679">
        <f t="shared" ca="1" si="304"/>
        <v>1</v>
      </c>
      <c r="AD679">
        <f ca="1">IF(V32="Supercritical",L679,IF(V32="Subcritical",U679,IF(AND(T679=1,AC679=1),IF((((F679)*(L679)^2)/2+(G679)*(L679)^3/3+(ABS(K679)^2)/($I$5*MAX(((F679)+(G679)*(L679))*(L679),0.000001)))&gt;=(((F679)*(U679)^2)/2+(G679)*(U679)^3/3+(ABS(K679)^2)/($I$5*MAX(((F679)+(G679)*(U679))*(U679),0.000001))),L679,U679),IF(T679=1,L679,IF(AC679=1,U679,MAX($D$16,POWER((ABS(K679)^2)/($I$5*MAX(F679,0.1)^2),1/3)))))))</f>
        <v>51800.26683766341</v>
      </c>
      <c r="AE679">
        <f t="shared" ca="1" si="305"/>
        <v>52432.564337663411</v>
      </c>
      <c r="AF679">
        <f t="shared" ca="1" si="306"/>
        <v>52432.564337665237</v>
      </c>
      <c r="AI679">
        <v>0</v>
      </c>
      <c r="AJ679">
        <v>0</v>
      </c>
      <c r="AK679">
        <f t="shared" si="307"/>
        <v>0</v>
      </c>
      <c r="AL679">
        <f t="shared" si="316"/>
        <v>0</v>
      </c>
      <c r="AM679">
        <f t="shared" ca="1" si="308"/>
        <v>2.6560383008097266E-7</v>
      </c>
      <c r="AN679" t="str">
        <f t="shared" ca="1" si="309"/>
        <v>Subcritical</v>
      </c>
      <c r="AO679">
        <f t="shared" ca="1" si="310"/>
        <v>2.2562304480281055E-12</v>
      </c>
    </row>
    <row r="680" spans="1:41" x14ac:dyDescent="0.35">
      <c r="A680">
        <v>531</v>
      </c>
      <c r="B680">
        <v>529.89599999999996</v>
      </c>
      <c r="C680">
        <v>616190.14399999997</v>
      </c>
      <c r="D680">
        <v>3097450.3220000002</v>
      </c>
      <c r="E680">
        <v>632.29700000000003</v>
      </c>
      <c r="F680">
        <v>5.2</v>
      </c>
      <c r="G680">
        <v>0</v>
      </c>
      <c r="H680" t="s">
        <v>186</v>
      </c>
      <c r="I680">
        <v>2.7E-2</v>
      </c>
      <c r="J680">
        <f t="shared" si="311"/>
        <v>1.0009999999999764</v>
      </c>
      <c r="K680">
        <f t="shared" si="312"/>
        <v>51</v>
      </c>
      <c r="L680">
        <f t="shared" ca="1" si="313"/>
        <v>51797.843837663619</v>
      </c>
      <c r="M680">
        <f t="shared" ca="1" si="290"/>
        <v>269348.78795585083</v>
      </c>
      <c r="N680">
        <f t="shared" ca="1" si="291"/>
        <v>2.5998694991876676</v>
      </c>
      <c r="O680">
        <f t="shared" ca="1" si="292"/>
        <v>1.8934557080078435E-4</v>
      </c>
      <c r="P680">
        <f t="shared" ca="1" si="293"/>
        <v>52430.140837663617</v>
      </c>
      <c r="Q680">
        <f t="shared" ca="1" si="294"/>
        <v>52430.140837665444</v>
      </c>
      <c r="R680">
        <f t="shared" ca="1" si="295"/>
        <v>2.2564415439646509E-12</v>
      </c>
      <c r="S680">
        <f t="shared" ca="1" si="314"/>
        <v>5.0000000192085281E-4</v>
      </c>
      <c r="T680">
        <f t="shared" ca="1" si="315"/>
        <v>1</v>
      </c>
      <c r="U680">
        <f t="shared" ca="1" si="296"/>
        <v>51800.26683766341</v>
      </c>
      <c r="V680">
        <f t="shared" ca="1" si="297"/>
        <v>269361.38755584974</v>
      </c>
      <c r="W680">
        <f t="shared" ca="1" si="298"/>
        <v>2.5998695052916441</v>
      </c>
      <c r="X680">
        <f t="shared" ca="1" si="299"/>
        <v>1.8933671400629237E-4</v>
      </c>
      <c r="Y680">
        <f t="shared" ca="1" si="300"/>
        <v>52432.563837663409</v>
      </c>
      <c r="Z680">
        <f t="shared" ca="1" si="301"/>
        <v>52432.563837665235</v>
      </c>
      <c r="AA680">
        <f t="shared" ca="1" si="302"/>
        <v>2.2562304480281055E-12</v>
      </c>
      <c r="AB680">
        <f t="shared" ca="1" si="303"/>
        <v>-5.0000000192085281E-4</v>
      </c>
      <c r="AC680">
        <f t="shared" ca="1" si="304"/>
        <v>1</v>
      </c>
      <c r="AD680">
        <f ca="1">IF(V32="Supercritical",L680,IF(V32="Subcritical",U680,IF(AND(T680=1,AC680=1),IF((((F680)*(L680)^2)/2+(G680)*(L680)^3/3+(ABS(K680)^2)/($I$5*MAX(((F680)+(G680)*(L680))*(L680),0.000001)))&gt;=(((F680)*(U680)^2)/2+(G680)*(U680)^3/3+(ABS(K680)^2)/($I$5*MAX(((F680)+(G680)*(U680))*(U680),0.000001))),L680,U680),IF(T680=1,L680,IF(AC680=1,U680,MAX($D$16,POWER((ABS(K680)^2)/($I$5*MAX(F680,0.1)^2),1/3)))))))</f>
        <v>51800.26683766341</v>
      </c>
      <c r="AE680">
        <f t="shared" ca="1" si="305"/>
        <v>52432.563837663409</v>
      </c>
      <c r="AF680">
        <f t="shared" ca="1" si="306"/>
        <v>52432.563837665235</v>
      </c>
      <c r="AI680">
        <v>0</v>
      </c>
      <c r="AJ680">
        <v>0</v>
      </c>
      <c r="AK680">
        <f t="shared" si="307"/>
        <v>0</v>
      </c>
      <c r="AL680">
        <f t="shared" si="316"/>
        <v>0</v>
      </c>
      <c r="AM680">
        <f t="shared" ca="1" si="308"/>
        <v>2.6560383008097266E-7</v>
      </c>
      <c r="AN680" t="str">
        <f t="shared" ca="1" si="309"/>
        <v>Subcritical</v>
      </c>
      <c r="AO680">
        <f t="shared" ca="1" si="310"/>
        <v>2.2562304480281055E-12</v>
      </c>
    </row>
    <row r="681" spans="1:41" x14ac:dyDescent="0.35">
      <c r="A681">
        <v>532</v>
      </c>
      <c r="B681">
        <v>530.89499999999998</v>
      </c>
      <c r="C681">
        <v>616189.67000000004</v>
      </c>
      <c r="D681">
        <v>3097449.4419999998</v>
      </c>
      <c r="E681">
        <v>632.29650000000004</v>
      </c>
      <c r="F681">
        <v>5.2</v>
      </c>
      <c r="G681">
        <v>0</v>
      </c>
      <c r="H681" t="s">
        <v>186</v>
      </c>
      <c r="I681">
        <v>2.7E-2</v>
      </c>
      <c r="J681">
        <f t="shared" si="311"/>
        <v>0.99900000000002365</v>
      </c>
      <c r="K681">
        <f t="shared" si="312"/>
        <v>51</v>
      </c>
      <c r="L681">
        <f t="shared" ca="1" si="313"/>
        <v>51797.843837663619</v>
      </c>
      <c r="M681">
        <f t="shared" ca="1" si="290"/>
        <v>269348.78795585083</v>
      </c>
      <c r="N681">
        <f t="shared" ca="1" si="291"/>
        <v>2.5998694991876676</v>
      </c>
      <c r="O681">
        <f t="shared" ca="1" si="292"/>
        <v>1.8934557080078435E-4</v>
      </c>
      <c r="P681">
        <f t="shared" ca="1" si="293"/>
        <v>52430.140337663615</v>
      </c>
      <c r="Q681">
        <f t="shared" ca="1" si="294"/>
        <v>52430.140337665442</v>
      </c>
      <c r="R681">
        <f t="shared" ca="1" si="295"/>
        <v>2.2564415439646509E-12</v>
      </c>
      <c r="S681">
        <f t="shared" ca="1" si="314"/>
        <v>5.0000000192085281E-4</v>
      </c>
      <c r="T681">
        <f t="shared" ca="1" si="315"/>
        <v>1</v>
      </c>
      <c r="U681">
        <f t="shared" ca="1" si="296"/>
        <v>51800.26683766341</v>
      </c>
      <c r="V681">
        <f t="shared" ca="1" si="297"/>
        <v>269361.38755584974</v>
      </c>
      <c r="W681">
        <f t="shared" ca="1" si="298"/>
        <v>2.5998695052916441</v>
      </c>
      <c r="X681">
        <f t="shared" ca="1" si="299"/>
        <v>1.8933671400629237E-4</v>
      </c>
      <c r="Y681">
        <f t="shared" ca="1" si="300"/>
        <v>52432.563337663407</v>
      </c>
      <c r="Z681">
        <f t="shared" ca="1" si="301"/>
        <v>52432.563337665233</v>
      </c>
      <c r="AA681">
        <f t="shared" ca="1" si="302"/>
        <v>2.2562304480281055E-12</v>
      </c>
      <c r="AB681">
        <f t="shared" ca="1" si="303"/>
        <v>-4.999999946448952E-4</v>
      </c>
      <c r="AC681">
        <f t="shared" ca="1" si="304"/>
        <v>1</v>
      </c>
      <c r="AD681">
        <f ca="1">IF(V32="Supercritical",L681,IF(V32="Subcritical",U681,IF(AND(T681=1,AC681=1),IF((((F681)*(L681)^2)/2+(G681)*(L681)^3/3+(ABS(K681)^2)/($I$5*MAX(((F681)+(G681)*(L681))*(L681),0.000001)))&gt;=(((F681)*(U681)^2)/2+(G681)*(U681)^3/3+(ABS(K681)^2)/($I$5*MAX(((F681)+(G681)*(U681))*(U681),0.000001))),L681,U681),IF(T681=1,L681,IF(AC681=1,U681,MAX($D$16,POWER((ABS(K681)^2)/($I$5*MAX(F681,0.1)^2),1/3)))))))</f>
        <v>51800.26683766341</v>
      </c>
      <c r="AE681">
        <f t="shared" ca="1" si="305"/>
        <v>52432.563337663407</v>
      </c>
      <c r="AF681">
        <f t="shared" ca="1" si="306"/>
        <v>52432.563337665233</v>
      </c>
      <c r="AI681">
        <v>0</v>
      </c>
      <c r="AJ681">
        <v>0</v>
      </c>
      <c r="AK681">
        <f t="shared" si="307"/>
        <v>0</v>
      </c>
      <c r="AL681">
        <f t="shared" si="316"/>
        <v>0</v>
      </c>
      <c r="AM681">
        <f t="shared" ca="1" si="308"/>
        <v>2.6560383008097266E-7</v>
      </c>
      <c r="AN681" t="str">
        <f t="shared" ca="1" si="309"/>
        <v>Subcritical</v>
      </c>
      <c r="AO681">
        <f t="shared" ca="1" si="310"/>
        <v>2.2562304480281055E-12</v>
      </c>
    </row>
    <row r="682" spans="1:41" x14ac:dyDescent="0.35">
      <c r="A682">
        <v>533</v>
      </c>
      <c r="B682">
        <v>531.89599999999996</v>
      </c>
      <c r="C682">
        <v>616189.196</v>
      </c>
      <c r="D682">
        <v>3097448.5610000002</v>
      </c>
      <c r="E682">
        <v>632.29600000000005</v>
      </c>
      <c r="F682">
        <v>5.2</v>
      </c>
      <c r="G682">
        <v>0</v>
      </c>
      <c r="H682" t="s">
        <v>186</v>
      </c>
      <c r="I682">
        <v>7.8E-2</v>
      </c>
      <c r="J682">
        <f t="shared" si="311"/>
        <v>1.0009999999999764</v>
      </c>
      <c r="K682">
        <f t="shared" si="312"/>
        <v>51</v>
      </c>
      <c r="L682">
        <f t="shared" ca="1" si="313"/>
        <v>51797.843837663619</v>
      </c>
      <c r="M682">
        <f t="shared" ca="1" si="290"/>
        <v>269348.78795585083</v>
      </c>
      <c r="N682">
        <f t="shared" ca="1" si="291"/>
        <v>2.5998694991876676</v>
      </c>
      <c r="O682">
        <f t="shared" ca="1" si="292"/>
        <v>1.8934557080078435E-4</v>
      </c>
      <c r="P682">
        <f t="shared" ca="1" si="293"/>
        <v>52430.139837663621</v>
      </c>
      <c r="Q682">
        <f t="shared" ca="1" si="294"/>
        <v>52430.139837665447</v>
      </c>
      <c r="R682">
        <f t="shared" ca="1" si="295"/>
        <v>2.2564415439646509E-12</v>
      </c>
      <c r="S682">
        <f t="shared" ca="1" si="314"/>
        <v>4.999999946448952E-4</v>
      </c>
      <c r="T682">
        <f t="shared" ca="1" si="315"/>
        <v>1</v>
      </c>
      <c r="U682">
        <f t="shared" ca="1" si="296"/>
        <v>51800.26683766341</v>
      </c>
      <c r="V682">
        <f t="shared" ca="1" si="297"/>
        <v>269361.38755584974</v>
      </c>
      <c r="W682">
        <f t="shared" ca="1" si="298"/>
        <v>2.5998695052916441</v>
      </c>
      <c r="X682">
        <f t="shared" ca="1" si="299"/>
        <v>1.8933671400629237E-4</v>
      </c>
      <c r="Y682">
        <f t="shared" ca="1" si="300"/>
        <v>52432.562837663412</v>
      </c>
      <c r="Z682">
        <f t="shared" ca="1" si="301"/>
        <v>52432.562837665238</v>
      </c>
      <c r="AA682">
        <f t="shared" ca="1" si="302"/>
        <v>2.2562304480281055E-12</v>
      </c>
      <c r="AB682">
        <f t="shared" ca="1" si="303"/>
        <v>-5.0000000192085281E-4</v>
      </c>
      <c r="AC682">
        <f t="shared" ca="1" si="304"/>
        <v>1</v>
      </c>
      <c r="AD682">
        <f ca="1">IF(V32="Supercritical",L682,IF(V32="Subcritical",U682,IF(AND(T682=1,AC682=1),IF((((F682)*(L682)^2)/2+(G682)*(L682)^3/3+(ABS(K682)^2)/($I$5*MAX(((F682)+(G682)*(L682))*(L682),0.000001)))&gt;=(((F682)*(U682)^2)/2+(G682)*(U682)^3/3+(ABS(K682)^2)/($I$5*MAX(((F682)+(G682)*(U682))*(U682),0.000001))),L682,U682),IF(T682=1,L682,IF(AC682=1,U682,MAX($D$16,POWER((ABS(K682)^2)/($I$5*MAX(F682,0.1)^2),1/3)))))))</f>
        <v>51800.26683766341</v>
      </c>
      <c r="AE682">
        <f t="shared" ca="1" si="305"/>
        <v>52432.562837663412</v>
      </c>
      <c r="AF682">
        <f t="shared" ca="1" si="306"/>
        <v>52432.562837665238</v>
      </c>
      <c r="AI682">
        <v>0</v>
      </c>
      <c r="AJ682">
        <v>0</v>
      </c>
      <c r="AK682">
        <f t="shared" si="307"/>
        <v>0</v>
      </c>
      <c r="AL682">
        <f t="shared" si="316"/>
        <v>0</v>
      </c>
      <c r="AM682">
        <f t="shared" ca="1" si="308"/>
        <v>2.6560383008097266E-7</v>
      </c>
      <c r="AN682" t="str">
        <f t="shared" ca="1" si="309"/>
        <v>Subcritical</v>
      </c>
      <c r="AO682">
        <f t="shared" ca="1" si="310"/>
        <v>2.2562304480281055E-12</v>
      </c>
    </row>
    <row r="683" spans="1:41" x14ac:dyDescent="0.35">
      <c r="A683">
        <v>534</v>
      </c>
      <c r="B683">
        <v>532.89599999999996</v>
      </c>
      <c r="C683">
        <v>616188.72100000002</v>
      </c>
      <c r="D683">
        <v>3097447.6809999999</v>
      </c>
      <c r="E683">
        <v>632.29549999999995</v>
      </c>
      <c r="F683">
        <v>5.2</v>
      </c>
      <c r="G683">
        <v>0</v>
      </c>
      <c r="H683" t="s">
        <v>186</v>
      </c>
      <c r="I683">
        <v>0.05</v>
      </c>
      <c r="J683">
        <f t="shared" si="311"/>
        <v>1</v>
      </c>
      <c r="K683">
        <f t="shared" si="312"/>
        <v>51</v>
      </c>
      <c r="L683">
        <f t="shared" ca="1" si="313"/>
        <v>51797.843837663619</v>
      </c>
      <c r="M683">
        <f t="shared" ca="1" si="290"/>
        <v>269348.78795585083</v>
      </c>
      <c r="N683">
        <f t="shared" ca="1" si="291"/>
        <v>2.5998694991876676</v>
      </c>
      <c r="O683">
        <f t="shared" ca="1" si="292"/>
        <v>1.8934557080078435E-4</v>
      </c>
      <c r="P683">
        <f t="shared" ca="1" si="293"/>
        <v>52430.139337663619</v>
      </c>
      <c r="Q683">
        <f t="shared" ca="1" si="294"/>
        <v>52430.139337665445</v>
      </c>
      <c r="R683">
        <f t="shared" ca="1" si="295"/>
        <v>2.2564415439646509E-12</v>
      </c>
      <c r="S683">
        <f t="shared" ca="1" si="314"/>
        <v>5.0000000192085281E-4</v>
      </c>
      <c r="T683">
        <f t="shared" ca="1" si="315"/>
        <v>1</v>
      </c>
      <c r="U683">
        <f t="shared" ca="1" si="296"/>
        <v>51800.26683766341</v>
      </c>
      <c r="V683">
        <f t="shared" ca="1" si="297"/>
        <v>269361.38755584974</v>
      </c>
      <c r="W683">
        <f t="shared" ca="1" si="298"/>
        <v>2.5998695052916441</v>
      </c>
      <c r="X683">
        <f t="shared" ca="1" si="299"/>
        <v>1.8933671400629237E-4</v>
      </c>
      <c r="Y683">
        <f t="shared" ca="1" si="300"/>
        <v>52432.56233766341</v>
      </c>
      <c r="Z683">
        <f t="shared" ca="1" si="301"/>
        <v>52432.562337665237</v>
      </c>
      <c r="AA683">
        <f t="shared" ca="1" si="302"/>
        <v>2.2562304480281055E-12</v>
      </c>
      <c r="AB683">
        <f t="shared" ca="1" si="303"/>
        <v>-5.0000000192085281E-4</v>
      </c>
      <c r="AC683">
        <f t="shared" ca="1" si="304"/>
        <v>1</v>
      </c>
      <c r="AD683">
        <f ca="1">IF(V32="Supercritical",L683,IF(V32="Subcritical",U683,IF(AND(T683=1,AC683=1),IF((((F683)*(L683)^2)/2+(G683)*(L683)^3/3+(ABS(K683)^2)/($I$5*MAX(((F683)+(G683)*(L683))*(L683),0.000001)))&gt;=(((F683)*(U683)^2)/2+(G683)*(U683)^3/3+(ABS(K683)^2)/($I$5*MAX(((F683)+(G683)*(U683))*(U683),0.000001))),L683,U683),IF(T683=1,L683,IF(AC683=1,U683,MAX($D$16,POWER((ABS(K683)^2)/($I$5*MAX(F683,0.1)^2),1/3)))))))</f>
        <v>51800.26683766341</v>
      </c>
      <c r="AE683">
        <f t="shared" ca="1" si="305"/>
        <v>52432.56233766341</v>
      </c>
      <c r="AF683">
        <f t="shared" ca="1" si="306"/>
        <v>52432.562337665237</v>
      </c>
      <c r="AI683">
        <v>0</v>
      </c>
      <c r="AJ683">
        <v>0</v>
      </c>
      <c r="AK683">
        <f t="shared" si="307"/>
        <v>0</v>
      </c>
      <c r="AL683">
        <f t="shared" si="316"/>
        <v>0</v>
      </c>
      <c r="AM683">
        <f t="shared" ca="1" si="308"/>
        <v>2.6560383008097266E-7</v>
      </c>
      <c r="AN683" t="str">
        <f t="shared" ca="1" si="309"/>
        <v>Subcritical</v>
      </c>
      <c r="AO683">
        <f t="shared" ca="1" si="310"/>
        <v>2.2562304480281055E-12</v>
      </c>
    </row>
    <row r="684" spans="1:41" x14ac:dyDescent="0.35">
      <c r="A684">
        <v>535</v>
      </c>
      <c r="B684">
        <v>533.89499999999998</v>
      </c>
      <c r="C684">
        <v>616188.24699999997</v>
      </c>
      <c r="D684">
        <v>3097446.801</v>
      </c>
      <c r="E684">
        <v>632.29499999999996</v>
      </c>
      <c r="F684">
        <v>5.2</v>
      </c>
      <c r="G684">
        <v>0</v>
      </c>
      <c r="H684" t="s">
        <v>186</v>
      </c>
      <c r="I684">
        <v>2.7E-2</v>
      </c>
      <c r="J684">
        <f t="shared" si="311"/>
        <v>0.99900000000002365</v>
      </c>
      <c r="K684">
        <f t="shared" si="312"/>
        <v>51</v>
      </c>
      <c r="L684">
        <f t="shared" ca="1" si="313"/>
        <v>51797.843837663619</v>
      </c>
      <c r="M684">
        <f t="shared" ca="1" si="290"/>
        <v>269348.78795585083</v>
      </c>
      <c r="N684">
        <f t="shared" ca="1" si="291"/>
        <v>2.5998694991876676</v>
      </c>
      <c r="O684">
        <f t="shared" ca="1" si="292"/>
        <v>1.8934557080078435E-4</v>
      </c>
      <c r="P684">
        <f t="shared" ca="1" si="293"/>
        <v>52430.138837663617</v>
      </c>
      <c r="Q684">
        <f t="shared" ca="1" si="294"/>
        <v>52430.138837665443</v>
      </c>
      <c r="R684">
        <f t="shared" ca="1" si="295"/>
        <v>2.2564415439646509E-12</v>
      </c>
      <c r="S684">
        <f t="shared" ca="1" si="314"/>
        <v>5.0000000192085281E-4</v>
      </c>
      <c r="T684">
        <f t="shared" ca="1" si="315"/>
        <v>1</v>
      </c>
      <c r="U684">
        <f t="shared" ca="1" si="296"/>
        <v>51800.26683766341</v>
      </c>
      <c r="V684">
        <f t="shared" ca="1" si="297"/>
        <v>269361.38755584974</v>
      </c>
      <c r="W684">
        <f t="shared" ca="1" si="298"/>
        <v>2.5998695052916441</v>
      </c>
      <c r="X684">
        <f t="shared" ca="1" si="299"/>
        <v>1.8933671400629237E-4</v>
      </c>
      <c r="Y684">
        <f t="shared" ca="1" si="300"/>
        <v>52432.561837663408</v>
      </c>
      <c r="Z684">
        <f t="shared" ca="1" si="301"/>
        <v>52432.561837665235</v>
      </c>
      <c r="AA684">
        <f t="shared" ca="1" si="302"/>
        <v>2.2562304480281055E-12</v>
      </c>
      <c r="AB684">
        <f t="shared" ca="1" si="303"/>
        <v>-4.999999946448952E-4</v>
      </c>
      <c r="AC684">
        <f t="shared" ca="1" si="304"/>
        <v>1</v>
      </c>
      <c r="AD684">
        <f ca="1">IF(V32="Supercritical",L684,IF(V32="Subcritical",U684,IF(AND(T684=1,AC684=1),IF((((F684)*(L684)^2)/2+(G684)*(L684)^3/3+(ABS(K684)^2)/($I$5*MAX(((F684)+(G684)*(L684))*(L684),0.000001)))&gt;=(((F684)*(U684)^2)/2+(G684)*(U684)^3/3+(ABS(K684)^2)/($I$5*MAX(((F684)+(G684)*(U684))*(U684),0.000001))),L684,U684),IF(T684=1,L684,IF(AC684=1,U684,MAX($D$16,POWER((ABS(K684)^2)/($I$5*MAX(F684,0.1)^2),1/3)))))))</f>
        <v>51800.26683766341</v>
      </c>
      <c r="AE684">
        <f t="shared" ca="1" si="305"/>
        <v>52432.561837663408</v>
      </c>
      <c r="AF684">
        <f t="shared" ca="1" si="306"/>
        <v>52432.561837665235</v>
      </c>
      <c r="AI684">
        <v>0</v>
      </c>
      <c r="AJ684">
        <v>0</v>
      </c>
      <c r="AK684">
        <f t="shared" si="307"/>
        <v>0</v>
      </c>
      <c r="AL684">
        <f t="shared" si="316"/>
        <v>0</v>
      </c>
      <c r="AM684">
        <f t="shared" ca="1" si="308"/>
        <v>2.6560383008097266E-7</v>
      </c>
      <c r="AN684" t="str">
        <f t="shared" ca="1" si="309"/>
        <v>Subcritical</v>
      </c>
      <c r="AO684">
        <f t="shared" ca="1" si="310"/>
        <v>2.2562304480281055E-12</v>
      </c>
    </row>
    <row r="685" spans="1:41" x14ac:dyDescent="0.35">
      <c r="A685">
        <v>536</v>
      </c>
      <c r="B685">
        <v>534.89499999999998</v>
      </c>
      <c r="C685">
        <v>616187.77300000004</v>
      </c>
      <c r="D685">
        <v>3097445.92</v>
      </c>
      <c r="E685">
        <v>632.29449999999997</v>
      </c>
      <c r="F685">
        <v>5.2</v>
      </c>
      <c r="G685">
        <v>0</v>
      </c>
      <c r="H685" t="s">
        <v>186</v>
      </c>
      <c r="I685">
        <v>2.7E-2</v>
      </c>
      <c r="J685">
        <f t="shared" si="311"/>
        <v>1</v>
      </c>
      <c r="K685">
        <f t="shared" si="312"/>
        <v>51</v>
      </c>
      <c r="L685">
        <f t="shared" ca="1" si="313"/>
        <v>51797.843837663619</v>
      </c>
      <c r="M685">
        <f t="shared" ca="1" si="290"/>
        <v>269348.78795585083</v>
      </c>
      <c r="N685">
        <f t="shared" ca="1" si="291"/>
        <v>2.5998694991876676</v>
      </c>
      <c r="O685">
        <f t="shared" ca="1" si="292"/>
        <v>1.8934557080078435E-4</v>
      </c>
      <c r="P685">
        <f t="shared" ca="1" si="293"/>
        <v>52430.138337663622</v>
      </c>
      <c r="Q685">
        <f t="shared" ca="1" si="294"/>
        <v>52430.138337665448</v>
      </c>
      <c r="R685">
        <f t="shared" ca="1" si="295"/>
        <v>2.2564415439646509E-12</v>
      </c>
      <c r="S685">
        <f t="shared" ca="1" si="314"/>
        <v>4.999999946448952E-4</v>
      </c>
      <c r="T685">
        <f t="shared" ca="1" si="315"/>
        <v>1</v>
      </c>
      <c r="U685">
        <f t="shared" ca="1" si="296"/>
        <v>51800.26683766341</v>
      </c>
      <c r="V685">
        <f t="shared" ca="1" si="297"/>
        <v>269361.38755584974</v>
      </c>
      <c r="W685">
        <f t="shared" ca="1" si="298"/>
        <v>2.5998695052916441</v>
      </c>
      <c r="X685">
        <f t="shared" ca="1" si="299"/>
        <v>1.8933671400629237E-4</v>
      </c>
      <c r="Y685">
        <f t="shared" ca="1" si="300"/>
        <v>52432.561337663414</v>
      </c>
      <c r="Z685">
        <f t="shared" ca="1" si="301"/>
        <v>52432.56133766524</v>
      </c>
      <c r="AA685">
        <f t="shared" ca="1" si="302"/>
        <v>2.2562304480281055E-12</v>
      </c>
      <c r="AB685">
        <f t="shared" ca="1" si="303"/>
        <v>-5.0000000192085281E-4</v>
      </c>
      <c r="AC685">
        <f t="shared" ca="1" si="304"/>
        <v>1</v>
      </c>
      <c r="AD685">
        <f ca="1">IF(V32="Supercritical",L685,IF(V32="Subcritical",U685,IF(AND(T685=1,AC685=1),IF((((F685)*(L685)^2)/2+(G685)*(L685)^3/3+(ABS(K685)^2)/($I$5*MAX(((F685)+(G685)*(L685))*(L685),0.000001)))&gt;=(((F685)*(U685)^2)/2+(G685)*(U685)^3/3+(ABS(K685)^2)/($I$5*MAX(((F685)+(G685)*(U685))*(U685),0.000001))),L685,U685),IF(T685=1,L685,IF(AC685=1,U685,MAX($D$16,POWER((ABS(K685)^2)/($I$5*MAX(F685,0.1)^2),1/3)))))))</f>
        <v>51800.26683766341</v>
      </c>
      <c r="AE685">
        <f t="shared" ca="1" si="305"/>
        <v>52432.561337663414</v>
      </c>
      <c r="AF685">
        <f t="shared" ca="1" si="306"/>
        <v>52432.56133766524</v>
      </c>
      <c r="AI685">
        <v>0</v>
      </c>
      <c r="AJ685">
        <v>0</v>
      </c>
      <c r="AK685">
        <f t="shared" si="307"/>
        <v>0</v>
      </c>
      <c r="AL685">
        <f t="shared" si="316"/>
        <v>0</v>
      </c>
      <c r="AM685">
        <f t="shared" ca="1" si="308"/>
        <v>2.6560383008097266E-7</v>
      </c>
      <c r="AN685" t="str">
        <f t="shared" ca="1" si="309"/>
        <v>Subcritical</v>
      </c>
      <c r="AO685">
        <f t="shared" ca="1" si="310"/>
        <v>2.2562304480281055E-12</v>
      </c>
    </row>
    <row r="686" spans="1:41" x14ac:dyDescent="0.35">
      <c r="A686">
        <v>537</v>
      </c>
      <c r="B686">
        <v>535.89499999999998</v>
      </c>
      <c r="C686">
        <v>616187.299</v>
      </c>
      <c r="D686">
        <v>3097445.04</v>
      </c>
      <c r="E686">
        <v>632.29399999999998</v>
      </c>
      <c r="F686">
        <v>5.2</v>
      </c>
      <c r="G686">
        <v>0</v>
      </c>
      <c r="H686" t="s">
        <v>186</v>
      </c>
      <c r="I686">
        <v>2.7E-2</v>
      </c>
      <c r="J686">
        <f t="shared" si="311"/>
        <v>1</v>
      </c>
      <c r="K686">
        <f t="shared" si="312"/>
        <v>51</v>
      </c>
      <c r="L686">
        <f t="shared" ca="1" si="313"/>
        <v>51797.843837663619</v>
      </c>
      <c r="M686">
        <f t="shared" ca="1" si="290"/>
        <v>269348.78795585083</v>
      </c>
      <c r="N686">
        <f t="shared" ca="1" si="291"/>
        <v>2.5998694991876676</v>
      </c>
      <c r="O686">
        <f t="shared" ca="1" si="292"/>
        <v>1.8934557080078435E-4</v>
      </c>
      <c r="P686">
        <f t="shared" ca="1" si="293"/>
        <v>52430.13783766362</v>
      </c>
      <c r="Q686">
        <f t="shared" ca="1" si="294"/>
        <v>52430.137837665447</v>
      </c>
      <c r="R686">
        <f t="shared" ca="1" si="295"/>
        <v>2.2564415439646509E-12</v>
      </c>
      <c r="S686">
        <f t="shared" ca="1" si="314"/>
        <v>5.0000000192085281E-4</v>
      </c>
      <c r="T686">
        <f t="shared" ca="1" si="315"/>
        <v>1</v>
      </c>
      <c r="U686">
        <f t="shared" ca="1" si="296"/>
        <v>51800.26683766341</v>
      </c>
      <c r="V686">
        <f t="shared" ca="1" si="297"/>
        <v>269361.38755584974</v>
      </c>
      <c r="W686">
        <f t="shared" ca="1" si="298"/>
        <v>2.5998695052916441</v>
      </c>
      <c r="X686">
        <f t="shared" ca="1" si="299"/>
        <v>1.8933671400629237E-4</v>
      </c>
      <c r="Y686">
        <f t="shared" ca="1" si="300"/>
        <v>52432.560837663412</v>
      </c>
      <c r="Z686">
        <f t="shared" ca="1" si="301"/>
        <v>52432.560837665238</v>
      </c>
      <c r="AA686">
        <f t="shared" ca="1" si="302"/>
        <v>2.2562304480281055E-12</v>
      </c>
      <c r="AB686">
        <f t="shared" ca="1" si="303"/>
        <v>-5.0000000192085281E-4</v>
      </c>
      <c r="AC686">
        <f t="shared" ca="1" si="304"/>
        <v>1</v>
      </c>
      <c r="AD686">
        <f ca="1">IF(V32="Supercritical",L686,IF(V32="Subcritical",U686,IF(AND(T686=1,AC686=1),IF((((F686)*(L686)^2)/2+(G686)*(L686)^3/3+(ABS(K686)^2)/($I$5*MAX(((F686)+(G686)*(L686))*(L686),0.000001)))&gt;=(((F686)*(U686)^2)/2+(G686)*(U686)^3/3+(ABS(K686)^2)/($I$5*MAX(((F686)+(G686)*(U686))*(U686),0.000001))),L686,U686),IF(T686=1,L686,IF(AC686=1,U686,MAX($D$16,POWER((ABS(K686)^2)/($I$5*MAX(F686,0.1)^2),1/3)))))))</f>
        <v>51800.26683766341</v>
      </c>
      <c r="AE686">
        <f t="shared" ca="1" si="305"/>
        <v>52432.560837663412</v>
      </c>
      <c r="AF686">
        <f t="shared" ca="1" si="306"/>
        <v>52432.560837665238</v>
      </c>
      <c r="AI686">
        <v>0</v>
      </c>
      <c r="AJ686">
        <v>0</v>
      </c>
      <c r="AK686">
        <f t="shared" si="307"/>
        <v>0</v>
      </c>
      <c r="AL686">
        <f t="shared" si="316"/>
        <v>0</v>
      </c>
      <c r="AM686">
        <f t="shared" ca="1" si="308"/>
        <v>2.6560383008097266E-7</v>
      </c>
      <c r="AN686" t="str">
        <f t="shared" ca="1" si="309"/>
        <v>Subcritical</v>
      </c>
      <c r="AO686">
        <f t="shared" ca="1" si="310"/>
        <v>2.2562304480281055E-12</v>
      </c>
    </row>
    <row r="687" spans="1:41" x14ac:dyDescent="0.35">
      <c r="A687">
        <v>538</v>
      </c>
      <c r="B687">
        <v>536.89499999999998</v>
      </c>
      <c r="C687">
        <v>616186.82499999995</v>
      </c>
      <c r="D687">
        <v>3097444.159</v>
      </c>
      <c r="E687">
        <v>632.29349999999999</v>
      </c>
      <c r="F687">
        <v>5.2</v>
      </c>
      <c r="G687">
        <v>0</v>
      </c>
      <c r="H687" t="s">
        <v>186</v>
      </c>
      <c r="I687">
        <v>7.8E-2</v>
      </c>
      <c r="J687">
        <f t="shared" si="311"/>
        <v>1</v>
      </c>
      <c r="K687">
        <f t="shared" si="312"/>
        <v>51</v>
      </c>
      <c r="L687">
        <f t="shared" ca="1" si="313"/>
        <v>51797.843837663619</v>
      </c>
      <c r="M687">
        <f t="shared" ca="1" si="290"/>
        <v>269348.78795585083</v>
      </c>
      <c r="N687">
        <f t="shared" ca="1" si="291"/>
        <v>2.5998694991876676</v>
      </c>
      <c r="O687">
        <f t="shared" ca="1" si="292"/>
        <v>1.8934557080078435E-4</v>
      </c>
      <c r="P687">
        <f t="shared" ca="1" si="293"/>
        <v>52430.137337663618</v>
      </c>
      <c r="Q687">
        <f t="shared" ca="1" si="294"/>
        <v>52430.137337665445</v>
      </c>
      <c r="R687">
        <f t="shared" ca="1" si="295"/>
        <v>2.2564415439646509E-12</v>
      </c>
      <c r="S687">
        <f t="shared" ca="1" si="314"/>
        <v>5.0000000192085281E-4</v>
      </c>
      <c r="T687">
        <f t="shared" ca="1" si="315"/>
        <v>1</v>
      </c>
      <c r="U687">
        <f t="shared" ca="1" si="296"/>
        <v>51800.26683766341</v>
      </c>
      <c r="V687">
        <f t="shared" ca="1" si="297"/>
        <v>269361.38755584974</v>
      </c>
      <c r="W687">
        <f t="shared" ca="1" si="298"/>
        <v>2.5998695052916441</v>
      </c>
      <c r="X687">
        <f t="shared" ca="1" si="299"/>
        <v>1.8933671400629237E-4</v>
      </c>
      <c r="Y687">
        <f t="shared" ca="1" si="300"/>
        <v>52432.56033766341</v>
      </c>
      <c r="Z687">
        <f t="shared" ca="1" si="301"/>
        <v>52432.560337665236</v>
      </c>
      <c r="AA687">
        <f t="shared" ca="1" si="302"/>
        <v>2.2562304480281055E-12</v>
      </c>
      <c r="AB687">
        <f t="shared" ca="1" si="303"/>
        <v>-5.0000000192085281E-4</v>
      </c>
      <c r="AC687">
        <f t="shared" ca="1" si="304"/>
        <v>1</v>
      </c>
      <c r="AD687">
        <f ca="1">IF(V32="Supercritical",L687,IF(V32="Subcritical",U687,IF(AND(T687=1,AC687=1),IF((((F687)*(L687)^2)/2+(G687)*(L687)^3/3+(ABS(K687)^2)/($I$5*MAX(((F687)+(G687)*(L687))*(L687),0.000001)))&gt;=(((F687)*(U687)^2)/2+(G687)*(U687)^3/3+(ABS(K687)^2)/($I$5*MAX(((F687)+(G687)*(U687))*(U687),0.000001))),L687,U687),IF(T687=1,L687,IF(AC687=1,U687,MAX($D$16,POWER((ABS(K687)^2)/($I$5*MAX(F687,0.1)^2),1/3)))))))</f>
        <v>51800.26683766341</v>
      </c>
      <c r="AE687">
        <f t="shared" ca="1" si="305"/>
        <v>52432.56033766341</v>
      </c>
      <c r="AF687">
        <f t="shared" ca="1" si="306"/>
        <v>52432.560337665236</v>
      </c>
      <c r="AI687">
        <v>0</v>
      </c>
      <c r="AJ687">
        <v>0</v>
      </c>
      <c r="AK687">
        <f t="shared" si="307"/>
        <v>0</v>
      </c>
      <c r="AL687">
        <f t="shared" si="316"/>
        <v>0</v>
      </c>
      <c r="AM687">
        <f t="shared" ca="1" si="308"/>
        <v>2.6560383008097266E-7</v>
      </c>
      <c r="AN687" t="str">
        <f t="shared" ca="1" si="309"/>
        <v>Subcritical</v>
      </c>
      <c r="AO687">
        <f t="shared" ca="1" si="310"/>
        <v>2.2562304480281055E-12</v>
      </c>
    </row>
    <row r="688" spans="1:41" x14ac:dyDescent="0.35">
      <c r="A688">
        <v>539</v>
      </c>
      <c r="B688">
        <v>537.89499999999998</v>
      </c>
      <c r="C688">
        <v>616186.35</v>
      </c>
      <c r="D688">
        <v>3097443.2790000001</v>
      </c>
      <c r="E688">
        <v>632.29300000000001</v>
      </c>
      <c r="F688">
        <v>5.2</v>
      </c>
      <c r="G688">
        <v>0</v>
      </c>
      <c r="H688" t="s">
        <v>186</v>
      </c>
      <c r="I688">
        <v>0.05</v>
      </c>
      <c r="J688">
        <f t="shared" si="311"/>
        <v>1</v>
      </c>
      <c r="K688">
        <f t="shared" si="312"/>
        <v>51</v>
      </c>
      <c r="L688">
        <f t="shared" ca="1" si="313"/>
        <v>51797.843837663619</v>
      </c>
      <c r="M688">
        <f t="shared" ca="1" si="290"/>
        <v>269348.78795585083</v>
      </c>
      <c r="N688">
        <f t="shared" ca="1" si="291"/>
        <v>2.5998694991876676</v>
      </c>
      <c r="O688">
        <f t="shared" ca="1" si="292"/>
        <v>1.8934557080078435E-4</v>
      </c>
      <c r="P688">
        <f t="shared" ca="1" si="293"/>
        <v>52430.136837663616</v>
      </c>
      <c r="Q688">
        <f t="shared" ca="1" si="294"/>
        <v>52430.136837665443</v>
      </c>
      <c r="R688">
        <f t="shared" ca="1" si="295"/>
        <v>2.2564415439646509E-12</v>
      </c>
      <c r="S688">
        <f t="shared" ca="1" si="314"/>
        <v>5.0000000192085281E-4</v>
      </c>
      <c r="T688">
        <f t="shared" ca="1" si="315"/>
        <v>1</v>
      </c>
      <c r="U688">
        <f t="shared" ca="1" si="296"/>
        <v>51800.26683766341</v>
      </c>
      <c r="V688">
        <f t="shared" ca="1" si="297"/>
        <v>269361.38755584974</v>
      </c>
      <c r="W688">
        <f t="shared" ca="1" si="298"/>
        <v>2.5998695052916441</v>
      </c>
      <c r="X688">
        <f t="shared" ca="1" si="299"/>
        <v>1.8933671400629237E-4</v>
      </c>
      <c r="Y688">
        <f t="shared" ca="1" si="300"/>
        <v>52432.559837663408</v>
      </c>
      <c r="Z688">
        <f t="shared" ca="1" si="301"/>
        <v>52432.559837665234</v>
      </c>
      <c r="AA688">
        <f t="shared" ca="1" si="302"/>
        <v>2.2562304480281055E-12</v>
      </c>
      <c r="AB688">
        <f t="shared" ca="1" si="303"/>
        <v>-4.999999946448952E-4</v>
      </c>
      <c r="AC688">
        <f t="shared" ca="1" si="304"/>
        <v>1</v>
      </c>
      <c r="AD688">
        <f ca="1">IF(V32="Supercritical",L688,IF(V32="Subcritical",U688,IF(AND(T688=1,AC688=1),IF((((F688)*(L688)^2)/2+(G688)*(L688)^3/3+(ABS(K688)^2)/($I$5*MAX(((F688)+(G688)*(L688))*(L688),0.000001)))&gt;=(((F688)*(U688)^2)/2+(G688)*(U688)^3/3+(ABS(K688)^2)/($I$5*MAX(((F688)+(G688)*(U688))*(U688),0.000001))),L688,U688),IF(T688=1,L688,IF(AC688=1,U688,MAX($D$16,POWER((ABS(K688)^2)/($I$5*MAX(F688,0.1)^2),1/3)))))))</f>
        <v>51800.26683766341</v>
      </c>
      <c r="AE688">
        <f t="shared" ca="1" si="305"/>
        <v>52432.559837663408</v>
      </c>
      <c r="AF688">
        <f t="shared" ca="1" si="306"/>
        <v>52432.559837665234</v>
      </c>
      <c r="AI688">
        <v>0</v>
      </c>
      <c r="AJ688">
        <v>0</v>
      </c>
      <c r="AK688">
        <f t="shared" si="307"/>
        <v>0</v>
      </c>
      <c r="AL688">
        <f t="shared" si="316"/>
        <v>0</v>
      </c>
      <c r="AM688">
        <f t="shared" ca="1" si="308"/>
        <v>2.6560383008097266E-7</v>
      </c>
      <c r="AN688" t="str">
        <f t="shared" ca="1" si="309"/>
        <v>Subcritical</v>
      </c>
      <c r="AO688">
        <f t="shared" ca="1" si="310"/>
        <v>2.2562304480281055E-12</v>
      </c>
    </row>
    <row r="689" spans="1:41" x14ac:dyDescent="0.35">
      <c r="A689">
        <v>540</v>
      </c>
      <c r="B689">
        <v>538.89499999999998</v>
      </c>
      <c r="C689">
        <v>616185.87600000005</v>
      </c>
      <c r="D689">
        <v>3097442.3990000002</v>
      </c>
      <c r="E689">
        <v>632.29250000000002</v>
      </c>
      <c r="F689">
        <v>5.2</v>
      </c>
      <c r="G689">
        <v>0</v>
      </c>
      <c r="H689" t="s">
        <v>186</v>
      </c>
      <c r="I689">
        <v>2.7E-2</v>
      </c>
      <c r="J689">
        <f t="shared" si="311"/>
        <v>1</v>
      </c>
      <c r="K689">
        <f t="shared" si="312"/>
        <v>51</v>
      </c>
      <c r="L689">
        <f t="shared" ca="1" si="313"/>
        <v>51797.843837663619</v>
      </c>
      <c r="M689">
        <f t="shared" ca="1" si="290"/>
        <v>269348.78795585083</v>
      </c>
      <c r="N689">
        <f t="shared" ca="1" si="291"/>
        <v>2.5998694991876676</v>
      </c>
      <c r="O689">
        <f t="shared" ca="1" si="292"/>
        <v>1.8934557080078435E-4</v>
      </c>
      <c r="P689">
        <f t="shared" ca="1" si="293"/>
        <v>52430.136337663622</v>
      </c>
      <c r="Q689">
        <f t="shared" ca="1" si="294"/>
        <v>52430.136337665448</v>
      </c>
      <c r="R689">
        <f t="shared" ca="1" si="295"/>
        <v>2.2564415439646509E-12</v>
      </c>
      <c r="S689">
        <f t="shared" ca="1" si="314"/>
        <v>4.999999946448952E-4</v>
      </c>
      <c r="T689">
        <f t="shared" ca="1" si="315"/>
        <v>1</v>
      </c>
      <c r="U689">
        <f t="shared" ca="1" si="296"/>
        <v>51800.26683766341</v>
      </c>
      <c r="V689">
        <f t="shared" ca="1" si="297"/>
        <v>269361.38755584974</v>
      </c>
      <c r="W689">
        <f t="shared" ca="1" si="298"/>
        <v>2.5998695052916441</v>
      </c>
      <c r="X689">
        <f t="shared" ca="1" si="299"/>
        <v>1.8933671400629237E-4</v>
      </c>
      <c r="Y689">
        <f t="shared" ca="1" si="300"/>
        <v>52432.559337663413</v>
      </c>
      <c r="Z689">
        <f t="shared" ca="1" si="301"/>
        <v>52432.55933766524</v>
      </c>
      <c r="AA689">
        <f t="shared" ca="1" si="302"/>
        <v>2.2562304480281055E-12</v>
      </c>
      <c r="AB689">
        <f t="shared" ca="1" si="303"/>
        <v>-5.0000000192085281E-4</v>
      </c>
      <c r="AC689">
        <f t="shared" ca="1" si="304"/>
        <v>1</v>
      </c>
      <c r="AD689">
        <f ca="1">IF(V32="Supercritical",L689,IF(V32="Subcritical",U689,IF(AND(T689=1,AC689=1),IF((((F689)*(L689)^2)/2+(G689)*(L689)^3/3+(ABS(K689)^2)/($I$5*MAX(((F689)+(G689)*(L689))*(L689),0.000001)))&gt;=(((F689)*(U689)^2)/2+(G689)*(U689)^3/3+(ABS(K689)^2)/($I$5*MAX(((F689)+(G689)*(U689))*(U689),0.000001))),L689,U689),IF(T689=1,L689,IF(AC689=1,U689,MAX($D$16,POWER((ABS(K689)^2)/($I$5*MAX(F689,0.1)^2),1/3)))))))</f>
        <v>51800.26683766341</v>
      </c>
      <c r="AE689">
        <f t="shared" ca="1" si="305"/>
        <v>52432.559337663413</v>
      </c>
      <c r="AF689">
        <f t="shared" ca="1" si="306"/>
        <v>52432.55933766524</v>
      </c>
      <c r="AI689">
        <v>0</v>
      </c>
      <c r="AJ689">
        <v>0</v>
      </c>
      <c r="AK689">
        <f t="shared" si="307"/>
        <v>0</v>
      </c>
      <c r="AL689">
        <f t="shared" si="316"/>
        <v>0</v>
      </c>
      <c r="AM689">
        <f t="shared" ca="1" si="308"/>
        <v>2.6560383008097266E-7</v>
      </c>
      <c r="AN689" t="str">
        <f t="shared" ca="1" si="309"/>
        <v>Subcritical</v>
      </c>
      <c r="AO689">
        <f t="shared" ca="1" si="310"/>
        <v>2.2562304480281055E-12</v>
      </c>
    </row>
    <row r="690" spans="1:41" x14ac:dyDescent="0.35">
      <c r="A690">
        <v>541</v>
      </c>
      <c r="B690">
        <v>539.89499999999998</v>
      </c>
      <c r="C690">
        <v>616185.402</v>
      </c>
      <c r="D690">
        <v>3097441.5180000002</v>
      </c>
      <c r="E690">
        <v>632.29200000000003</v>
      </c>
      <c r="F690">
        <v>5.2</v>
      </c>
      <c r="G690">
        <v>0</v>
      </c>
      <c r="H690" t="s">
        <v>186</v>
      </c>
      <c r="I690">
        <v>2.7E-2</v>
      </c>
      <c r="J690">
        <f t="shared" si="311"/>
        <v>1</v>
      </c>
      <c r="K690">
        <f t="shared" si="312"/>
        <v>51</v>
      </c>
      <c r="L690">
        <f t="shared" ca="1" si="313"/>
        <v>51797.843837663619</v>
      </c>
      <c r="M690">
        <f t="shared" ca="1" si="290"/>
        <v>269348.78795585083</v>
      </c>
      <c r="N690">
        <f t="shared" ca="1" si="291"/>
        <v>2.5998694991876676</v>
      </c>
      <c r="O690">
        <f t="shared" ca="1" si="292"/>
        <v>1.8934557080078435E-4</v>
      </c>
      <c r="P690">
        <f t="shared" ca="1" si="293"/>
        <v>52430.13583766362</v>
      </c>
      <c r="Q690">
        <f t="shared" ca="1" si="294"/>
        <v>52430.135837665446</v>
      </c>
      <c r="R690">
        <f t="shared" ca="1" si="295"/>
        <v>2.2564415439646509E-12</v>
      </c>
      <c r="S690">
        <f t="shared" ca="1" si="314"/>
        <v>5.0000000192085281E-4</v>
      </c>
      <c r="T690">
        <f t="shared" ca="1" si="315"/>
        <v>1</v>
      </c>
      <c r="U690">
        <f t="shared" ca="1" si="296"/>
        <v>51800.26683766341</v>
      </c>
      <c r="V690">
        <f t="shared" ca="1" si="297"/>
        <v>269361.38755584974</v>
      </c>
      <c r="W690">
        <f t="shared" ca="1" si="298"/>
        <v>2.5998695052916441</v>
      </c>
      <c r="X690">
        <f t="shared" ca="1" si="299"/>
        <v>1.8933671400629237E-4</v>
      </c>
      <c r="Y690">
        <f t="shared" ca="1" si="300"/>
        <v>52432.558837663411</v>
      </c>
      <c r="Z690">
        <f t="shared" ca="1" si="301"/>
        <v>52432.558837665238</v>
      </c>
      <c r="AA690">
        <f t="shared" ca="1" si="302"/>
        <v>2.2562304480281055E-12</v>
      </c>
      <c r="AB690">
        <f t="shared" ca="1" si="303"/>
        <v>-5.0000000192085281E-4</v>
      </c>
      <c r="AC690">
        <f t="shared" ca="1" si="304"/>
        <v>1</v>
      </c>
      <c r="AD690">
        <f ca="1">IF(V32="Supercritical",L690,IF(V32="Subcritical",U690,IF(AND(T690=1,AC690=1),IF((((F690)*(L690)^2)/2+(G690)*(L690)^3/3+(ABS(K690)^2)/($I$5*MAX(((F690)+(G690)*(L690))*(L690),0.000001)))&gt;=(((F690)*(U690)^2)/2+(G690)*(U690)^3/3+(ABS(K690)^2)/($I$5*MAX(((F690)+(G690)*(U690))*(U690),0.000001))),L690,U690),IF(T690=1,L690,IF(AC690=1,U690,MAX($D$16,POWER((ABS(K690)^2)/($I$5*MAX(F690,0.1)^2),1/3)))))))</f>
        <v>51800.26683766341</v>
      </c>
      <c r="AE690">
        <f t="shared" ca="1" si="305"/>
        <v>52432.558837663411</v>
      </c>
      <c r="AF690">
        <f t="shared" ca="1" si="306"/>
        <v>52432.558837665238</v>
      </c>
      <c r="AI690">
        <v>0</v>
      </c>
      <c r="AJ690">
        <v>0</v>
      </c>
      <c r="AK690">
        <f t="shared" si="307"/>
        <v>0</v>
      </c>
      <c r="AL690">
        <f t="shared" si="316"/>
        <v>0</v>
      </c>
      <c r="AM690">
        <f t="shared" ca="1" si="308"/>
        <v>2.6560383008097266E-7</v>
      </c>
      <c r="AN690" t="str">
        <f t="shared" ca="1" si="309"/>
        <v>Subcritical</v>
      </c>
      <c r="AO690">
        <f t="shared" ca="1" si="310"/>
        <v>2.2562304480281055E-12</v>
      </c>
    </row>
    <row r="691" spans="1:41" x14ac:dyDescent="0.35">
      <c r="A691">
        <v>542</v>
      </c>
      <c r="B691">
        <v>540.89499999999998</v>
      </c>
      <c r="C691">
        <v>616184.92799999996</v>
      </c>
      <c r="D691">
        <v>3097440.6379999998</v>
      </c>
      <c r="E691">
        <v>632.29150000000004</v>
      </c>
      <c r="F691">
        <v>5.2</v>
      </c>
      <c r="G691">
        <v>0</v>
      </c>
      <c r="H691" t="s">
        <v>186</v>
      </c>
      <c r="I691">
        <v>2.3E-2</v>
      </c>
      <c r="J691">
        <f t="shared" si="311"/>
        <v>1</v>
      </c>
      <c r="K691">
        <f t="shared" si="312"/>
        <v>51</v>
      </c>
      <c r="L691">
        <f t="shared" ca="1" si="313"/>
        <v>51797.843837663619</v>
      </c>
      <c r="M691">
        <f t="shared" ca="1" si="290"/>
        <v>269348.78795585083</v>
      </c>
      <c r="N691">
        <f t="shared" ca="1" si="291"/>
        <v>2.5998694991876676</v>
      </c>
      <c r="O691">
        <f t="shared" ca="1" si="292"/>
        <v>1.8934557080078435E-4</v>
      </c>
      <c r="P691">
        <f t="shared" ca="1" si="293"/>
        <v>52430.135337663618</v>
      </c>
      <c r="Q691">
        <f t="shared" ca="1" si="294"/>
        <v>52430.135337665444</v>
      </c>
      <c r="R691">
        <f t="shared" ca="1" si="295"/>
        <v>2.2564415439646509E-12</v>
      </c>
      <c r="S691">
        <f t="shared" ca="1" si="314"/>
        <v>5.0000000192085281E-4</v>
      </c>
      <c r="T691">
        <f t="shared" ca="1" si="315"/>
        <v>1</v>
      </c>
      <c r="U691">
        <f t="shared" ca="1" si="296"/>
        <v>51800.26683766341</v>
      </c>
      <c r="V691">
        <f t="shared" ca="1" si="297"/>
        <v>269361.38755584974</v>
      </c>
      <c r="W691">
        <f t="shared" ca="1" si="298"/>
        <v>2.5998695052916441</v>
      </c>
      <c r="X691">
        <f t="shared" ca="1" si="299"/>
        <v>1.8933671400629237E-4</v>
      </c>
      <c r="Y691">
        <f t="shared" ca="1" si="300"/>
        <v>52432.558337663409</v>
      </c>
      <c r="Z691">
        <f t="shared" ca="1" si="301"/>
        <v>52432.558337665236</v>
      </c>
      <c r="AA691">
        <f t="shared" ca="1" si="302"/>
        <v>2.2562304480281055E-12</v>
      </c>
      <c r="AB691">
        <f t="shared" ca="1" si="303"/>
        <v>-5.0000000192085281E-4</v>
      </c>
      <c r="AC691">
        <f t="shared" ca="1" si="304"/>
        <v>1</v>
      </c>
      <c r="AD691">
        <f ca="1">IF(V32="Supercritical",L691,IF(V32="Subcritical",U691,IF(AND(T691=1,AC691=1),IF((((F691)*(L691)^2)/2+(G691)*(L691)^3/3+(ABS(K691)^2)/($I$5*MAX(((F691)+(G691)*(L691))*(L691),0.000001)))&gt;=(((F691)*(U691)^2)/2+(G691)*(U691)^3/3+(ABS(K691)^2)/($I$5*MAX(((F691)+(G691)*(U691))*(U691),0.000001))),L691,U691),IF(T691=1,L691,IF(AC691=1,U691,MAX($D$16,POWER((ABS(K691)^2)/($I$5*MAX(F691,0.1)^2),1/3)))))))</f>
        <v>51800.26683766341</v>
      </c>
      <c r="AE691">
        <f t="shared" ca="1" si="305"/>
        <v>52432.558337663409</v>
      </c>
      <c r="AF691">
        <f t="shared" ca="1" si="306"/>
        <v>52432.558337665236</v>
      </c>
      <c r="AI691">
        <v>0</v>
      </c>
      <c r="AJ691">
        <v>0</v>
      </c>
      <c r="AK691">
        <f t="shared" si="307"/>
        <v>0</v>
      </c>
      <c r="AL691">
        <f t="shared" si="316"/>
        <v>0</v>
      </c>
      <c r="AM691">
        <f t="shared" ca="1" si="308"/>
        <v>2.6560383008097266E-7</v>
      </c>
      <c r="AN691" t="str">
        <f t="shared" ca="1" si="309"/>
        <v>Subcritical</v>
      </c>
      <c r="AO691">
        <f t="shared" ca="1" si="310"/>
        <v>2.2562304480281055E-12</v>
      </c>
    </row>
    <row r="692" spans="1:41" x14ac:dyDescent="0.35">
      <c r="A692">
        <v>543</v>
      </c>
      <c r="B692">
        <v>541.89599999999996</v>
      </c>
      <c r="C692">
        <v>616184.45299999998</v>
      </c>
      <c r="D692">
        <v>3097439.7570000002</v>
      </c>
      <c r="E692">
        <v>632.29100000000005</v>
      </c>
      <c r="F692">
        <v>5.2</v>
      </c>
      <c r="G692">
        <v>0</v>
      </c>
      <c r="H692" t="s">
        <v>186</v>
      </c>
      <c r="I692">
        <v>2.3E-2</v>
      </c>
      <c r="J692">
        <f t="shared" si="311"/>
        <v>1.0009999999999764</v>
      </c>
      <c r="K692">
        <f t="shared" si="312"/>
        <v>51</v>
      </c>
      <c r="L692">
        <f t="shared" ca="1" si="313"/>
        <v>51797.843837663619</v>
      </c>
      <c r="M692">
        <f t="shared" ca="1" si="290"/>
        <v>269348.78795585083</v>
      </c>
      <c r="N692">
        <f t="shared" ca="1" si="291"/>
        <v>2.5998694991876676</v>
      </c>
      <c r="O692">
        <f t="shared" ca="1" si="292"/>
        <v>1.8934557080078435E-4</v>
      </c>
      <c r="P692">
        <f t="shared" ca="1" si="293"/>
        <v>52430.134837663616</v>
      </c>
      <c r="Q692">
        <f t="shared" ca="1" si="294"/>
        <v>52430.134837665442</v>
      </c>
      <c r="R692">
        <f t="shared" ca="1" si="295"/>
        <v>2.2564415439646509E-12</v>
      </c>
      <c r="S692">
        <f t="shared" ca="1" si="314"/>
        <v>5.0000000192085281E-4</v>
      </c>
      <c r="T692">
        <f t="shared" ca="1" si="315"/>
        <v>1</v>
      </c>
      <c r="U692">
        <f t="shared" ca="1" si="296"/>
        <v>51800.26683766341</v>
      </c>
      <c r="V692">
        <f t="shared" ca="1" si="297"/>
        <v>269361.38755584974</v>
      </c>
      <c r="W692">
        <f t="shared" ca="1" si="298"/>
        <v>2.5998695052916441</v>
      </c>
      <c r="X692">
        <f t="shared" ca="1" si="299"/>
        <v>1.8933671400629237E-4</v>
      </c>
      <c r="Y692">
        <f t="shared" ca="1" si="300"/>
        <v>52432.557837663408</v>
      </c>
      <c r="Z692">
        <f t="shared" ca="1" si="301"/>
        <v>52432.557837665234</v>
      </c>
      <c r="AA692">
        <f t="shared" ca="1" si="302"/>
        <v>2.2562304480281055E-12</v>
      </c>
      <c r="AB692">
        <f t="shared" ca="1" si="303"/>
        <v>-4.999999946448952E-4</v>
      </c>
      <c r="AC692">
        <f t="shared" ca="1" si="304"/>
        <v>1</v>
      </c>
      <c r="AD692">
        <f ca="1">IF(V32="Supercritical",L692,IF(V32="Subcritical",U692,IF(AND(T692=1,AC692=1),IF((((F692)*(L692)^2)/2+(G692)*(L692)^3/3+(ABS(K692)^2)/($I$5*MAX(((F692)+(G692)*(L692))*(L692),0.000001)))&gt;=(((F692)*(U692)^2)/2+(G692)*(U692)^3/3+(ABS(K692)^2)/($I$5*MAX(((F692)+(G692)*(U692))*(U692),0.000001))),L692,U692),IF(T692=1,L692,IF(AC692=1,U692,MAX($D$16,POWER((ABS(K692)^2)/($I$5*MAX(F692,0.1)^2),1/3)))))))</f>
        <v>51800.26683766341</v>
      </c>
      <c r="AE692">
        <f t="shared" ca="1" si="305"/>
        <v>52432.557837663408</v>
      </c>
      <c r="AF692">
        <f t="shared" ca="1" si="306"/>
        <v>52432.557837665234</v>
      </c>
      <c r="AI692">
        <v>0</v>
      </c>
      <c r="AJ692">
        <v>0</v>
      </c>
      <c r="AK692">
        <f t="shared" si="307"/>
        <v>0</v>
      </c>
      <c r="AL692">
        <f t="shared" si="316"/>
        <v>0</v>
      </c>
      <c r="AM692">
        <f t="shared" ca="1" si="308"/>
        <v>2.6560383008097266E-7</v>
      </c>
      <c r="AN692" t="str">
        <f t="shared" ca="1" si="309"/>
        <v>Subcritical</v>
      </c>
      <c r="AO692">
        <f t="shared" ca="1" si="310"/>
        <v>2.2562304480281055E-12</v>
      </c>
    </row>
    <row r="693" spans="1:41" x14ac:dyDescent="0.35">
      <c r="A693">
        <v>544</v>
      </c>
      <c r="B693">
        <v>542.89499999999998</v>
      </c>
      <c r="C693">
        <v>616183.97900000005</v>
      </c>
      <c r="D693">
        <v>3097438.8769999999</v>
      </c>
      <c r="E693">
        <v>632.29049999999995</v>
      </c>
      <c r="F693">
        <v>5.2</v>
      </c>
      <c r="G693">
        <v>0</v>
      </c>
      <c r="H693" t="s">
        <v>186</v>
      </c>
      <c r="I693">
        <v>0</v>
      </c>
      <c r="J693">
        <f t="shared" si="311"/>
        <v>0.99900000000002365</v>
      </c>
      <c r="K693">
        <f t="shared" si="312"/>
        <v>51</v>
      </c>
      <c r="L693">
        <f t="shared" ca="1" si="313"/>
        <v>51797.843837663619</v>
      </c>
      <c r="M693">
        <f t="shared" ca="1" si="290"/>
        <v>269348.78795585083</v>
      </c>
      <c r="N693">
        <f t="shared" ca="1" si="291"/>
        <v>2.5998694991876676</v>
      </c>
      <c r="O693">
        <f t="shared" ca="1" si="292"/>
        <v>1.8934557080078435E-4</v>
      </c>
      <c r="P693">
        <f t="shared" ca="1" si="293"/>
        <v>52430.134337663621</v>
      </c>
      <c r="Q693">
        <f t="shared" ca="1" si="294"/>
        <v>52430.134337665448</v>
      </c>
      <c r="R693">
        <f t="shared" ca="1" si="295"/>
        <v>2.2564415439646509E-12</v>
      </c>
      <c r="S693">
        <f t="shared" ca="1" si="314"/>
        <v>4.999999946448952E-4</v>
      </c>
      <c r="T693">
        <f t="shared" ca="1" si="315"/>
        <v>1</v>
      </c>
      <c r="U693">
        <f t="shared" ca="1" si="296"/>
        <v>51800.26683766341</v>
      </c>
      <c r="V693">
        <f t="shared" ca="1" si="297"/>
        <v>269361.38755584974</v>
      </c>
      <c r="W693">
        <f t="shared" ca="1" si="298"/>
        <v>2.5998695052916441</v>
      </c>
      <c r="X693">
        <f t="shared" ca="1" si="299"/>
        <v>1.8933671400629237E-4</v>
      </c>
      <c r="Y693">
        <f t="shared" ca="1" si="300"/>
        <v>52432.557337663413</v>
      </c>
      <c r="Z693">
        <f t="shared" ca="1" si="301"/>
        <v>52432.557337665239</v>
      </c>
      <c r="AA693">
        <f t="shared" ca="1" si="302"/>
        <v>2.2562304480281055E-12</v>
      </c>
      <c r="AB693">
        <f t="shared" ca="1" si="303"/>
        <v>-5.0000000192085281E-4</v>
      </c>
      <c r="AC693">
        <f t="shared" ca="1" si="304"/>
        <v>1</v>
      </c>
      <c r="AD693">
        <f ca="1">IF(V32="Supercritical",L693,IF(V32="Subcritical",U693,IF(AND(T693=1,AC693=1),IF((((F693)*(L693)^2)/2+(G693)*(L693)^3/3+(ABS(K693)^2)/($I$5*MAX(((F693)+(G693)*(L693))*(L693),0.000001)))&gt;=(((F693)*(U693)^2)/2+(G693)*(U693)^3/3+(ABS(K693)^2)/($I$5*MAX(((F693)+(G693)*(U693))*(U693),0.000001))),L693,U693),IF(T693=1,L693,IF(AC693=1,U693,MAX($D$16,POWER((ABS(K693)^2)/($I$5*MAX(F693,0.1)^2),1/3)))))))</f>
        <v>51800.26683766341</v>
      </c>
      <c r="AE693">
        <f t="shared" ca="1" si="305"/>
        <v>52432.557337663413</v>
      </c>
      <c r="AF693">
        <f t="shared" ca="1" si="306"/>
        <v>52432.557337665239</v>
      </c>
      <c r="AI693">
        <v>0</v>
      </c>
      <c r="AJ693">
        <v>0</v>
      </c>
      <c r="AK693">
        <f t="shared" si="307"/>
        <v>0</v>
      </c>
      <c r="AL693">
        <f t="shared" si="316"/>
        <v>0</v>
      </c>
      <c r="AM693">
        <f t="shared" ca="1" si="308"/>
        <v>2.6560383008097266E-7</v>
      </c>
      <c r="AN693" t="str">
        <f t="shared" ca="1" si="309"/>
        <v>Subcritical</v>
      </c>
      <c r="AO693">
        <f t="shared" ca="1" si="310"/>
        <v>2.2562304480281055E-12</v>
      </c>
    </row>
    <row r="694" spans="1:41" x14ac:dyDescent="0.35">
      <c r="A694">
        <v>545</v>
      </c>
      <c r="B694">
        <v>543.89499999999998</v>
      </c>
      <c r="C694">
        <v>616183.505</v>
      </c>
      <c r="D694">
        <v>3097437.997</v>
      </c>
      <c r="E694">
        <v>632.29</v>
      </c>
      <c r="F694">
        <v>5.2</v>
      </c>
      <c r="G694">
        <v>0</v>
      </c>
      <c r="H694" t="s">
        <v>186</v>
      </c>
      <c r="I694">
        <v>2.7E-2</v>
      </c>
      <c r="J694">
        <f t="shared" si="311"/>
        <v>1</v>
      </c>
      <c r="K694">
        <f t="shared" si="312"/>
        <v>51</v>
      </c>
      <c r="L694">
        <f t="shared" ca="1" si="313"/>
        <v>51797.843837663619</v>
      </c>
      <c r="M694">
        <f t="shared" ca="1" si="290"/>
        <v>269348.78795585083</v>
      </c>
      <c r="N694">
        <f t="shared" ca="1" si="291"/>
        <v>2.5998694991876676</v>
      </c>
      <c r="O694">
        <f t="shared" ca="1" si="292"/>
        <v>1.8934557080078435E-4</v>
      </c>
      <c r="P694">
        <f t="shared" ca="1" si="293"/>
        <v>52430.133837663619</v>
      </c>
      <c r="Q694">
        <f t="shared" ca="1" si="294"/>
        <v>52430.133837665446</v>
      </c>
      <c r="R694">
        <f t="shared" ca="1" si="295"/>
        <v>2.2564415439646509E-12</v>
      </c>
      <c r="S694">
        <f t="shared" ca="1" si="314"/>
        <v>5.0000000192085281E-4</v>
      </c>
      <c r="T694">
        <f t="shared" ca="1" si="315"/>
        <v>1</v>
      </c>
      <c r="U694">
        <f t="shared" ca="1" si="296"/>
        <v>51800.26683766341</v>
      </c>
      <c r="V694">
        <f t="shared" ca="1" si="297"/>
        <v>269361.38755584974</v>
      </c>
      <c r="W694">
        <f t="shared" ca="1" si="298"/>
        <v>2.5998695052916441</v>
      </c>
      <c r="X694">
        <f t="shared" ca="1" si="299"/>
        <v>1.8933671400629237E-4</v>
      </c>
      <c r="Y694">
        <f t="shared" ca="1" si="300"/>
        <v>52432.556837663411</v>
      </c>
      <c r="Z694">
        <f t="shared" ca="1" si="301"/>
        <v>52432.556837665237</v>
      </c>
      <c r="AA694">
        <f t="shared" ca="1" si="302"/>
        <v>2.2562304480281055E-12</v>
      </c>
      <c r="AB694">
        <f t="shared" ca="1" si="303"/>
        <v>-5.0000000192085281E-4</v>
      </c>
      <c r="AC694">
        <f t="shared" ca="1" si="304"/>
        <v>1</v>
      </c>
      <c r="AD694">
        <f ca="1">IF(V32="Supercritical",L694,IF(V32="Subcritical",U694,IF(AND(T694=1,AC694=1),IF((((F694)*(L694)^2)/2+(G694)*(L694)^3/3+(ABS(K694)^2)/($I$5*MAX(((F694)+(G694)*(L694))*(L694),0.000001)))&gt;=(((F694)*(U694)^2)/2+(G694)*(U694)^3/3+(ABS(K694)^2)/($I$5*MAX(((F694)+(G694)*(U694))*(U694),0.000001))),L694,U694),IF(T694=1,L694,IF(AC694=1,U694,MAX($D$16,POWER((ABS(K694)^2)/($I$5*MAX(F694,0.1)^2),1/3)))))))</f>
        <v>51800.26683766341</v>
      </c>
      <c r="AE694">
        <f t="shared" ca="1" si="305"/>
        <v>52432.556837663411</v>
      </c>
      <c r="AF694">
        <f t="shared" ca="1" si="306"/>
        <v>52432.556837665237</v>
      </c>
      <c r="AI694">
        <v>0</v>
      </c>
      <c r="AJ694">
        <v>0</v>
      </c>
      <c r="AK694">
        <f t="shared" si="307"/>
        <v>0</v>
      </c>
      <c r="AL694">
        <f t="shared" si="316"/>
        <v>0</v>
      </c>
      <c r="AM694">
        <f t="shared" ca="1" si="308"/>
        <v>2.6560383008097266E-7</v>
      </c>
      <c r="AN694" t="str">
        <f t="shared" ca="1" si="309"/>
        <v>Subcritical</v>
      </c>
      <c r="AO694">
        <f t="shared" ca="1" si="310"/>
        <v>2.2562304480281055E-12</v>
      </c>
    </row>
    <row r="695" spans="1:41" x14ac:dyDescent="0.35">
      <c r="A695">
        <v>546</v>
      </c>
      <c r="B695">
        <v>544.89499999999998</v>
      </c>
      <c r="C695">
        <v>616183.03099999996</v>
      </c>
      <c r="D695">
        <v>3097437.1159999999</v>
      </c>
      <c r="E695">
        <v>632.28949999999998</v>
      </c>
      <c r="F695">
        <v>5.2</v>
      </c>
      <c r="G695">
        <v>0</v>
      </c>
      <c r="H695" t="s">
        <v>186</v>
      </c>
      <c r="I695">
        <v>7.8E-2</v>
      </c>
      <c r="J695">
        <f t="shared" si="311"/>
        <v>1</v>
      </c>
      <c r="K695">
        <f t="shared" si="312"/>
        <v>51</v>
      </c>
      <c r="L695">
        <f t="shared" ca="1" si="313"/>
        <v>51797.843837663619</v>
      </c>
      <c r="M695">
        <f t="shared" ca="1" si="290"/>
        <v>269348.78795585083</v>
      </c>
      <c r="N695">
        <f t="shared" ca="1" si="291"/>
        <v>2.5998694991876676</v>
      </c>
      <c r="O695">
        <f t="shared" ca="1" si="292"/>
        <v>1.8934557080078435E-4</v>
      </c>
      <c r="P695">
        <f t="shared" ca="1" si="293"/>
        <v>52430.133337663618</v>
      </c>
      <c r="Q695">
        <f t="shared" ca="1" si="294"/>
        <v>52430.133337665444</v>
      </c>
      <c r="R695">
        <f t="shared" ca="1" si="295"/>
        <v>2.2564415439646509E-12</v>
      </c>
      <c r="S695">
        <f t="shared" ca="1" si="314"/>
        <v>5.0000000192085281E-4</v>
      </c>
      <c r="T695">
        <f t="shared" ca="1" si="315"/>
        <v>1</v>
      </c>
      <c r="U695">
        <f t="shared" ca="1" si="296"/>
        <v>51800.26683766341</v>
      </c>
      <c r="V695">
        <f t="shared" ca="1" si="297"/>
        <v>269361.38755584974</v>
      </c>
      <c r="W695">
        <f t="shared" ca="1" si="298"/>
        <v>2.5998695052916441</v>
      </c>
      <c r="X695">
        <f t="shared" ca="1" si="299"/>
        <v>1.8933671400629237E-4</v>
      </c>
      <c r="Y695">
        <f t="shared" ca="1" si="300"/>
        <v>52432.556337663409</v>
      </c>
      <c r="Z695">
        <f t="shared" ca="1" si="301"/>
        <v>52432.556337665235</v>
      </c>
      <c r="AA695">
        <f t="shared" ca="1" si="302"/>
        <v>2.2562304480281055E-12</v>
      </c>
      <c r="AB695">
        <f t="shared" ca="1" si="303"/>
        <v>-5.0000000192085281E-4</v>
      </c>
      <c r="AC695">
        <f t="shared" ca="1" si="304"/>
        <v>1</v>
      </c>
      <c r="AD695">
        <f ca="1">IF(V32="Supercritical",L695,IF(V32="Subcritical",U695,IF(AND(T695=1,AC695=1),IF((((F695)*(L695)^2)/2+(G695)*(L695)^3/3+(ABS(K695)^2)/($I$5*MAX(((F695)+(G695)*(L695))*(L695),0.000001)))&gt;=(((F695)*(U695)^2)/2+(G695)*(U695)^3/3+(ABS(K695)^2)/($I$5*MAX(((F695)+(G695)*(U695))*(U695),0.000001))),L695,U695),IF(T695=1,L695,IF(AC695=1,U695,MAX($D$16,POWER((ABS(K695)^2)/($I$5*MAX(F695,0.1)^2),1/3)))))))</f>
        <v>51800.26683766341</v>
      </c>
      <c r="AE695">
        <f t="shared" ca="1" si="305"/>
        <v>52432.556337663409</v>
      </c>
      <c r="AF695">
        <f t="shared" ca="1" si="306"/>
        <v>52432.556337665235</v>
      </c>
      <c r="AI695">
        <v>0</v>
      </c>
      <c r="AJ695">
        <v>0</v>
      </c>
      <c r="AK695">
        <f t="shared" si="307"/>
        <v>0</v>
      </c>
      <c r="AL695">
        <f t="shared" si="316"/>
        <v>0</v>
      </c>
      <c r="AM695">
        <f t="shared" ca="1" si="308"/>
        <v>2.6560383008097266E-7</v>
      </c>
      <c r="AN695" t="str">
        <f t="shared" ca="1" si="309"/>
        <v>Subcritical</v>
      </c>
      <c r="AO695">
        <f t="shared" ca="1" si="310"/>
        <v>2.2562304480281055E-12</v>
      </c>
    </row>
    <row r="696" spans="1:41" x14ac:dyDescent="0.35">
      <c r="A696">
        <v>547</v>
      </c>
      <c r="B696">
        <v>545.89499999999998</v>
      </c>
      <c r="C696">
        <v>616182.55599999998</v>
      </c>
      <c r="D696">
        <v>3097436.236</v>
      </c>
      <c r="E696">
        <v>632.28899999999999</v>
      </c>
      <c r="F696">
        <v>5.2</v>
      </c>
      <c r="G696">
        <v>0</v>
      </c>
      <c r="H696" t="s">
        <v>186</v>
      </c>
      <c r="I696">
        <v>7.8E-2</v>
      </c>
      <c r="J696">
        <f t="shared" si="311"/>
        <v>1</v>
      </c>
      <c r="K696">
        <f t="shared" si="312"/>
        <v>51</v>
      </c>
      <c r="L696">
        <f t="shared" ca="1" si="313"/>
        <v>51797.843837663619</v>
      </c>
      <c r="M696">
        <f t="shared" ca="1" si="290"/>
        <v>269348.78795585083</v>
      </c>
      <c r="N696">
        <f t="shared" ca="1" si="291"/>
        <v>2.5998694991876676</v>
      </c>
      <c r="O696">
        <f t="shared" ca="1" si="292"/>
        <v>1.8934557080078435E-4</v>
      </c>
      <c r="P696">
        <f t="shared" ca="1" si="293"/>
        <v>52430.132837663616</v>
      </c>
      <c r="Q696">
        <f t="shared" ca="1" si="294"/>
        <v>52430.132837665442</v>
      </c>
      <c r="R696">
        <f t="shared" ca="1" si="295"/>
        <v>2.2564415439646509E-12</v>
      </c>
      <c r="S696">
        <f t="shared" ca="1" si="314"/>
        <v>5.0000000192085281E-4</v>
      </c>
      <c r="T696">
        <f t="shared" ca="1" si="315"/>
        <v>1</v>
      </c>
      <c r="U696">
        <f t="shared" ca="1" si="296"/>
        <v>51800.26683766341</v>
      </c>
      <c r="V696">
        <f t="shared" ca="1" si="297"/>
        <v>269361.38755584974</v>
      </c>
      <c r="W696">
        <f t="shared" ca="1" si="298"/>
        <v>2.5998695052916441</v>
      </c>
      <c r="X696">
        <f t="shared" ca="1" si="299"/>
        <v>1.8933671400629237E-4</v>
      </c>
      <c r="Y696">
        <f t="shared" ca="1" si="300"/>
        <v>52432.555837663407</v>
      </c>
      <c r="Z696">
        <f t="shared" ca="1" si="301"/>
        <v>52432.555837665233</v>
      </c>
      <c r="AA696">
        <f t="shared" ca="1" si="302"/>
        <v>2.2562304480281055E-12</v>
      </c>
      <c r="AB696">
        <f t="shared" ca="1" si="303"/>
        <v>-4.999999946448952E-4</v>
      </c>
      <c r="AC696">
        <f t="shared" ca="1" si="304"/>
        <v>1</v>
      </c>
      <c r="AD696">
        <f ca="1">IF(V32="Supercritical",L696,IF(V32="Subcritical",U696,IF(AND(T696=1,AC696=1),IF((((F696)*(L696)^2)/2+(G696)*(L696)^3/3+(ABS(K696)^2)/($I$5*MAX(((F696)+(G696)*(L696))*(L696),0.000001)))&gt;=(((F696)*(U696)^2)/2+(G696)*(U696)^3/3+(ABS(K696)^2)/($I$5*MAX(((F696)+(G696)*(U696))*(U696),0.000001))),L696,U696),IF(T696=1,L696,IF(AC696=1,U696,MAX($D$16,POWER((ABS(K696)^2)/($I$5*MAX(F696,0.1)^2),1/3)))))))</f>
        <v>51800.26683766341</v>
      </c>
      <c r="AE696">
        <f t="shared" ca="1" si="305"/>
        <v>52432.555837663407</v>
      </c>
      <c r="AF696">
        <f t="shared" ca="1" si="306"/>
        <v>52432.555837665233</v>
      </c>
      <c r="AI696">
        <v>0</v>
      </c>
      <c r="AJ696">
        <v>0</v>
      </c>
      <c r="AK696">
        <f t="shared" si="307"/>
        <v>0</v>
      </c>
      <c r="AL696">
        <f t="shared" si="316"/>
        <v>0</v>
      </c>
      <c r="AM696">
        <f t="shared" ca="1" si="308"/>
        <v>2.6560383008097266E-7</v>
      </c>
      <c r="AN696" t="str">
        <f t="shared" ca="1" si="309"/>
        <v>Subcritical</v>
      </c>
      <c r="AO696">
        <f t="shared" ca="1" si="310"/>
        <v>2.2562304480281055E-12</v>
      </c>
    </row>
    <row r="697" spans="1:41" x14ac:dyDescent="0.35">
      <c r="A697">
        <v>548</v>
      </c>
      <c r="B697">
        <v>546.89599999999996</v>
      </c>
      <c r="C697">
        <v>616182.08200000005</v>
      </c>
      <c r="D697">
        <v>3097435.355</v>
      </c>
      <c r="E697">
        <v>632.2885</v>
      </c>
      <c r="F697">
        <v>5.2</v>
      </c>
      <c r="G697">
        <v>0</v>
      </c>
      <c r="H697" t="s">
        <v>186</v>
      </c>
      <c r="I697">
        <v>2.7E-2</v>
      </c>
      <c r="J697">
        <f t="shared" si="311"/>
        <v>1.0009999999999764</v>
      </c>
      <c r="K697">
        <f t="shared" si="312"/>
        <v>51</v>
      </c>
      <c r="L697">
        <f t="shared" ca="1" si="313"/>
        <v>51797.843837663619</v>
      </c>
      <c r="M697">
        <f t="shared" ca="1" si="290"/>
        <v>269348.78795585083</v>
      </c>
      <c r="N697">
        <f t="shared" ca="1" si="291"/>
        <v>2.5998694991876676</v>
      </c>
      <c r="O697">
        <f t="shared" ca="1" si="292"/>
        <v>1.8934557080078435E-4</v>
      </c>
      <c r="P697">
        <f t="shared" ca="1" si="293"/>
        <v>52430.132337663621</v>
      </c>
      <c r="Q697">
        <f t="shared" ca="1" si="294"/>
        <v>52430.132337665447</v>
      </c>
      <c r="R697">
        <f t="shared" ca="1" si="295"/>
        <v>2.2564415439646509E-12</v>
      </c>
      <c r="S697">
        <f t="shared" ca="1" si="314"/>
        <v>4.999999946448952E-4</v>
      </c>
      <c r="T697">
        <f t="shared" ca="1" si="315"/>
        <v>1</v>
      </c>
      <c r="U697">
        <f t="shared" ca="1" si="296"/>
        <v>51800.26683766341</v>
      </c>
      <c r="V697">
        <f t="shared" ca="1" si="297"/>
        <v>269361.38755584974</v>
      </c>
      <c r="W697">
        <f t="shared" ca="1" si="298"/>
        <v>2.5998695052916441</v>
      </c>
      <c r="X697">
        <f t="shared" ca="1" si="299"/>
        <v>1.8933671400629237E-4</v>
      </c>
      <c r="Y697">
        <f t="shared" ca="1" si="300"/>
        <v>52432.555337663413</v>
      </c>
      <c r="Z697">
        <f t="shared" ca="1" si="301"/>
        <v>52432.555337665239</v>
      </c>
      <c r="AA697">
        <f t="shared" ca="1" si="302"/>
        <v>2.2562304480281055E-12</v>
      </c>
      <c r="AB697">
        <f t="shared" ca="1" si="303"/>
        <v>-5.0000000192085281E-4</v>
      </c>
      <c r="AC697">
        <f t="shared" ca="1" si="304"/>
        <v>1</v>
      </c>
      <c r="AD697">
        <f ca="1">IF(V32="Supercritical",L697,IF(V32="Subcritical",U697,IF(AND(T697=1,AC697=1),IF((((F697)*(L697)^2)/2+(G697)*(L697)^3/3+(ABS(K697)^2)/($I$5*MAX(((F697)+(G697)*(L697))*(L697),0.000001)))&gt;=(((F697)*(U697)^2)/2+(G697)*(U697)^3/3+(ABS(K697)^2)/($I$5*MAX(((F697)+(G697)*(U697))*(U697),0.000001))),L697,U697),IF(T697=1,L697,IF(AC697=1,U697,MAX($D$16,POWER((ABS(K697)^2)/($I$5*MAX(F697,0.1)^2),1/3)))))))</f>
        <v>51800.26683766341</v>
      </c>
      <c r="AE697">
        <f t="shared" ca="1" si="305"/>
        <v>52432.555337663413</v>
      </c>
      <c r="AF697">
        <f t="shared" ca="1" si="306"/>
        <v>52432.555337665239</v>
      </c>
      <c r="AI697">
        <v>0</v>
      </c>
      <c r="AJ697">
        <v>0</v>
      </c>
      <c r="AK697">
        <f t="shared" si="307"/>
        <v>0</v>
      </c>
      <c r="AL697">
        <f t="shared" si="316"/>
        <v>0</v>
      </c>
      <c r="AM697">
        <f t="shared" ca="1" si="308"/>
        <v>2.6560383008097266E-7</v>
      </c>
      <c r="AN697" t="str">
        <f t="shared" ca="1" si="309"/>
        <v>Subcritical</v>
      </c>
      <c r="AO697">
        <f t="shared" ca="1" si="310"/>
        <v>2.2562304480281055E-12</v>
      </c>
    </row>
    <row r="698" spans="1:41" x14ac:dyDescent="0.35">
      <c r="A698">
        <v>549</v>
      </c>
      <c r="B698">
        <v>547.89499999999998</v>
      </c>
      <c r="C698">
        <v>616181.60800000001</v>
      </c>
      <c r="D698">
        <v>3097434.4750000001</v>
      </c>
      <c r="E698">
        <v>632.28800000000001</v>
      </c>
      <c r="F698">
        <v>5.2</v>
      </c>
      <c r="G698">
        <v>0</v>
      </c>
      <c r="H698" t="s">
        <v>186</v>
      </c>
      <c r="I698">
        <v>0</v>
      </c>
      <c r="J698">
        <f t="shared" si="311"/>
        <v>0.99900000000002365</v>
      </c>
      <c r="K698">
        <f t="shared" si="312"/>
        <v>51</v>
      </c>
      <c r="L698">
        <f t="shared" ca="1" si="313"/>
        <v>51797.843837663619</v>
      </c>
      <c r="M698">
        <f t="shared" ca="1" si="290"/>
        <v>269348.78795585083</v>
      </c>
      <c r="N698">
        <f t="shared" ca="1" si="291"/>
        <v>2.5998694991876676</v>
      </c>
      <c r="O698">
        <f t="shared" ca="1" si="292"/>
        <v>1.8934557080078435E-4</v>
      </c>
      <c r="P698">
        <f t="shared" ca="1" si="293"/>
        <v>52430.131837663619</v>
      </c>
      <c r="Q698">
        <f t="shared" ca="1" si="294"/>
        <v>52430.131837665445</v>
      </c>
      <c r="R698">
        <f t="shared" ca="1" si="295"/>
        <v>2.2564415439646509E-12</v>
      </c>
      <c r="S698">
        <f t="shared" ca="1" si="314"/>
        <v>5.0000000192085281E-4</v>
      </c>
      <c r="T698">
        <f t="shared" ca="1" si="315"/>
        <v>1</v>
      </c>
      <c r="U698">
        <f t="shared" ca="1" si="296"/>
        <v>51800.26683766341</v>
      </c>
      <c r="V698">
        <f t="shared" ca="1" si="297"/>
        <v>269361.38755584974</v>
      </c>
      <c r="W698">
        <f t="shared" ca="1" si="298"/>
        <v>2.5998695052916441</v>
      </c>
      <c r="X698">
        <f t="shared" ca="1" si="299"/>
        <v>1.8933671400629237E-4</v>
      </c>
      <c r="Y698">
        <f t="shared" ca="1" si="300"/>
        <v>52432.554837663411</v>
      </c>
      <c r="Z698">
        <f t="shared" ca="1" si="301"/>
        <v>52432.554837665237</v>
      </c>
      <c r="AA698">
        <f t="shared" ca="1" si="302"/>
        <v>2.2562304480281055E-12</v>
      </c>
      <c r="AB698">
        <f t="shared" ca="1" si="303"/>
        <v>-5.0000000192085281E-4</v>
      </c>
      <c r="AC698">
        <f t="shared" ca="1" si="304"/>
        <v>1</v>
      </c>
      <c r="AD698">
        <f ca="1">IF(V32="Supercritical",L698,IF(V32="Subcritical",U698,IF(AND(T698=1,AC698=1),IF((((F698)*(L698)^2)/2+(G698)*(L698)^3/3+(ABS(K698)^2)/($I$5*MAX(((F698)+(G698)*(L698))*(L698),0.000001)))&gt;=(((F698)*(U698)^2)/2+(G698)*(U698)^3/3+(ABS(K698)^2)/($I$5*MAX(((F698)+(G698)*(U698))*(U698),0.000001))),L698,U698),IF(T698=1,L698,IF(AC698=1,U698,MAX($D$16,POWER((ABS(K698)^2)/($I$5*MAX(F698,0.1)^2),1/3)))))))</f>
        <v>51800.26683766341</v>
      </c>
      <c r="AE698">
        <f t="shared" ca="1" si="305"/>
        <v>52432.554837663411</v>
      </c>
      <c r="AF698">
        <f t="shared" ca="1" si="306"/>
        <v>52432.554837665237</v>
      </c>
      <c r="AI698">
        <v>0</v>
      </c>
      <c r="AJ698">
        <v>0</v>
      </c>
      <c r="AK698">
        <f t="shared" si="307"/>
        <v>0</v>
      </c>
      <c r="AL698">
        <f t="shared" si="316"/>
        <v>0</v>
      </c>
      <c r="AM698">
        <f t="shared" ca="1" si="308"/>
        <v>2.6560383008097266E-7</v>
      </c>
      <c r="AN698" t="str">
        <f t="shared" ca="1" si="309"/>
        <v>Subcritical</v>
      </c>
      <c r="AO698">
        <f t="shared" ca="1" si="310"/>
        <v>2.2562304480281055E-12</v>
      </c>
    </row>
    <row r="699" spans="1:41" x14ac:dyDescent="0.35">
      <c r="A699">
        <v>550</v>
      </c>
      <c r="B699">
        <v>548.89499999999998</v>
      </c>
      <c r="C699">
        <v>616181.13399999996</v>
      </c>
      <c r="D699">
        <v>3097433.5950000002</v>
      </c>
      <c r="E699">
        <v>632.28750000000002</v>
      </c>
      <c r="F699">
        <v>5.2</v>
      </c>
      <c r="G699">
        <v>0</v>
      </c>
      <c r="H699" t="s">
        <v>186</v>
      </c>
      <c r="I699">
        <v>2.7E-2</v>
      </c>
      <c r="J699">
        <f t="shared" si="311"/>
        <v>1</v>
      </c>
      <c r="K699">
        <f t="shared" si="312"/>
        <v>51</v>
      </c>
      <c r="L699">
        <f t="shared" ca="1" si="313"/>
        <v>51797.843837663619</v>
      </c>
      <c r="M699">
        <f t="shared" ca="1" si="290"/>
        <v>269348.78795585083</v>
      </c>
      <c r="N699">
        <f t="shared" ca="1" si="291"/>
        <v>2.5998694991876676</v>
      </c>
      <c r="O699">
        <f t="shared" ca="1" si="292"/>
        <v>1.8934557080078435E-4</v>
      </c>
      <c r="P699">
        <f t="shared" ca="1" si="293"/>
        <v>52430.131337663617</v>
      </c>
      <c r="Q699">
        <f t="shared" ca="1" si="294"/>
        <v>52430.131337665443</v>
      </c>
      <c r="R699">
        <f t="shared" ca="1" si="295"/>
        <v>2.2564415439646509E-12</v>
      </c>
      <c r="S699">
        <f t="shared" ca="1" si="314"/>
        <v>5.0000000192085281E-4</v>
      </c>
      <c r="T699">
        <f t="shared" ca="1" si="315"/>
        <v>1</v>
      </c>
      <c r="U699">
        <f t="shared" ca="1" si="296"/>
        <v>51800.26683766341</v>
      </c>
      <c r="V699">
        <f t="shared" ca="1" si="297"/>
        <v>269361.38755584974</v>
      </c>
      <c r="W699">
        <f t="shared" ca="1" si="298"/>
        <v>2.5998695052916441</v>
      </c>
      <c r="X699">
        <f t="shared" ca="1" si="299"/>
        <v>1.8933671400629237E-4</v>
      </c>
      <c r="Y699">
        <f t="shared" ca="1" si="300"/>
        <v>52432.554337663409</v>
      </c>
      <c r="Z699">
        <f t="shared" ca="1" si="301"/>
        <v>52432.554337665235</v>
      </c>
      <c r="AA699">
        <f t="shared" ca="1" si="302"/>
        <v>2.2562304480281055E-12</v>
      </c>
      <c r="AB699">
        <f t="shared" ca="1" si="303"/>
        <v>-5.0000000192085281E-4</v>
      </c>
      <c r="AC699">
        <f t="shared" ca="1" si="304"/>
        <v>1</v>
      </c>
      <c r="AD699">
        <f ca="1">IF(V32="Supercritical",L699,IF(V32="Subcritical",U699,IF(AND(T699=1,AC699=1),IF((((F699)*(L699)^2)/2+(G699)*(L699)^3/3+(ABS(K699)^2)/($I$5*MAX(((F699)+(G699)*(L699))*(L699),0.000001)))&gt;=(((F699)*(U699)^2)/2+(G699)*(U699)^3/3+(ABS(K699)^2)/($I$5*MAX(((F699)+(G699)*(U699))*(U699),0.000001))),L699,U699),IF(T699=1,L699,IF(AC699=1,U699,MAX($D$16,POWER((ABS(K699)^2)/($I$5*MAX(F699,0.1)^2),1/3)))))))</f>
        <v>51800.26683766341</v>
      </c>
      <c r="AE699">
        <f t="shared" ca="1" si="305"/>
        <v>52432.554337663409</v>
      </c>
      <c r="AF699">
        <f t="shared" ca="1" si="306"/>
        <v>52432.554337665235</v>
      </c>
      <c r="AI699">
        <v>0</v>
      </c>
      <c r="AJ699">
        <v>0</v>
      </c>
      <c r="AK699">
        <f t="shared" si="307"/>
        <v>0</v>
      </c>
      <c r="AL699">
        <f t="shared" si="316"/>
        <v>0</v>
      </c>
      <c r="AM699">
        <f t="shared" ca="1" si="308"/>
        <v>2.6560383008097266E-7</v>
      </c>
      <c r="AN699" t="str">
        <f t="shared" ca="1" si="309"/>
        <v>Subcritical</v>
      </c>
      <c r="AO699">
        <f t="shared" ca="1" si="310"/>
        <v>2.2562304480281055E-12</v>
      </c>
    </row>
    <row r="700" spans="1:41" x14ac:dyDescent="0.35">
      <c r="A700">
        <v>551</v>
      </c>
      <c r="B700">
        <v>549.89499999999998</v>
      </c>
      <c r="C700">
        <v>616180.66</v>
      </c>
      <c r="D700">
        <v>3097432.7140000002</v>
      </c>
      <c r="E700">
        <v>632.28700000000003</v>
      </c>
      <c r="F700">
        <v>5.2</v>
      </c>
      <c r="G700">
        <v>0</v>
      </c>
      <c r="H700" t="s">
        <v>186</v>
      </c>
      <c r="I700">
        <v>7.8E-2</v>
      </c>
      <c r="J700">
        <f t="shared" si="311"/>
        <v>1</v>
      </c>
      <c r="K700">
        <f t="shared" si="312"/>
        <v>51</v>
      </c>
      <c r="L700">
        <f t="shared" ca="1" si="313"/>
        <v>51797.843837663619</v>
      </c>
      <c r="M700">
        <f t="shared" ca="1" si="290"/>
        <v>269348.78795585083</v>
      </c>
      <c r="N700">
        <f t="shared" ca="1" si="291"/>
        <v>2.5998694991876676</v>
      </c>
      <c r="O700">
        <f t="shared" ca="1" si="292"/>
        <v>1.8934557080078435E-4</v>
      </c>
      <c r="P700">
        <f t="shared" ca="1" si="293"/>
        <v>52430.130837663615</v>
      </c>
      <c r="Q700">
        <f t="shared" ca="1" si="294"/>
        <v>52430.130837665442</v>
      </c>
      <c r="R700">
        <f t="shared" ca="1" si="295"/>
        <v>2.2564415439646509E-12</v>
      </c>
      <c r="S700">
        <f t="shared" ca="1" si="314"/>
        <v>5.0000000192085281E-4</v>
      </c>
      <c r="T700">
        <f t="shared" ca="1" si="315"/>
        <v>1</v>
      </c>
      <c r="U700">
        <f t="shared" ca="1" si="296"/>
        <v>51800.26683766341</v>
      </c>
      <c r="V700">
        <f t="shared" ca="1" si="297"/>
        <v>269361.38755584974</v>
      </c>
      <c r="W700">
        <f t="shared" ca="1" si="298"/>
        <v>2.5998695052916441</v>
      </c>
      <c r="X700">
        <f t="shared" ca="1" si="299"/>
        <v>1.8933671400629237E-4</v>
      </c>
      <c r="Y700">
        <f t="shared" ca="1" si="300"/>
        <v>52432.553837663407</v>
      </c>
      <c r="Z700">
        <f t="shared" ca="1" si="301"/>
        <v>52432.553837665233</v>
      </c>
      <c r="AA700">
        <f t="shared" ca="1" si="302"/>
        <v>2.2562304480281055E-12</v>
      </c>
      <c r="AB700">
        <f t="shared" ca="1" si="303"/>
        <v>-4.999999946448952E-4</v>
      </c>
      <c r="AC700">
        <f t="shared" ca="1" si="304"/>
        <v>1</v>
      </c>
      <c r="AD700">
        <f ca="1">IF(V32="Supercritical",L700,IF(V32="Subcritical",U700,IF(AND(T700=1,AC700=1),IF((((F700)*(L700)^2)/2+(G700)*(L700)^3/3+(ABS(K700)^2)/($I$5*MAX(((F700)+(G700)*(L700))*(L700),0.000001)))&gt;=(((F700)*(U700)^2)/2+(G700)*(U700)^3/3+(ABS(K700)^2)/($I$5*MAX(((F700)+(G700)*(U700))*(U700),0.000001))),L700,U700),IF(T700=1,L700,IF(AC700=1,U700,MAX($D$16,POWER((ABS(K700)^2)/($I$5*MAX(F700,0.1)^2),1/3)))))))</f>
        <v>51800.26683766341</v>
      </c>
      <c r="AE700">
        <f t="shared" ca="1" si="305"/>
        <v>52432.553837663407</v>
      </c>
      <c r="AF700">
        <f t="shared" ca="1" si="306"/>
        <v>52432.553837665233</v>
      </c>
      <c r="AI700">
        <v>0</v>
      </c>
      <c r="AJ700">
        <v>0</v>
      </c>
      <c r="AK700">
        <f t="shared" si="307"/>
        <v>0</v>
      </c>
      <c r="AL700">
        <f t="shared" si="316"/>
        <v>0</v>
      </c>
      <c r="AM700">
        <f t="shared" ca="1" si="308"/>
        <v>2.6560383008097266E-7</v>
      </c>
      <c r="AN700" t="str">
        <f t="shared" ca="1" si="309"/>
        <v>Subcritical</v>
      </c>
      <c r="AO700">
        <f t="shared" ca="1" si="310"/>
        <v>2.2562304480281055E-12</v>
      </c>
    </row>
    <row r="701" spans="1:41" x14ac:dyDescent="0.35">
      <c r="A701">
        <v>552</v>
      </c>
      <c r="B701">
        <v>550.89499999999998</v>
      </c>
      <c r="C701">
        <v>616180.18500000006</v>
      </c>
      <c r="D701">
        <v>3097431.8339999998</v>
      </c>
      <c r="E701">
        <v>632.28650000000005</v>
      </c>
      <c r="F701">
        <v>5.2</v>
      </c>
      <c r="G701">
        <v>0</v>
      </c>
      <c r="H701" t="s">
        <v>186</v>
      </c>
      <c r="I701">
        <v>7.8E-2</v>
      </c>
      <c r="J701">
        <f t="shared" si="311"/>
        <v>1</v>
      </c>
      <c r="K701">
        <f t="shared" si="312"/>
        <v>51</v>
      </c>
      <c r="L701">
        <f t="shared" ca="1" si="313"/>
        <v>51797.843837663619</v>
      </c>
      <c r="M701">
        <f t="shared" ca="1" si="290"/>
        <v>269348.78795585083</v>
      </c>
      <c r="N701">
        <f t="shared" ca="1" si="291"/>
        <v>2.5998694991876676</v>
      </c>
      <c r="O701">
        <f t="shared" ca="1" si="292"/>
        <v>1.8934557080078435E-4</v>
      </c>
      <c r="P701">
        <f t="shared" ca="1" si="293"/>
        <v>52430.130337663621</v>
      </c>
      <c r="Q701">
        <f t="shared" ca="1" si="294"/>
        <v>52430.130337665447</v>
      </c>
      <c r="R701">
        <f t="shared" ca="1" si="295"/>
        <v>2.2564415439646509E-12</v>
      </c>
      <c r="S701">
        <f t="shared" ca="1" si="314"/>
        <v>4.999999946448952E-4</v>
      </c>
      <c r="T701">
        <f t="shared" ca="1" si="315"/>
        <v>1</v>
      </c>
      <c r="U701">
        <f t="shared" ca="1" si="296"/>
        <v>51800.26683766341</v>
      </c>
      <c r="V701">
        <f t="shared" ca="1" si="297"/>
        <v>269361.38755584974</v>
      </c>
      <c r="W701">
        <f t="shared" ca="1" si="298"/>
        <v>2.5998695052916441</v>
      </c>
      <c r="X701">
        <f t="shared" ca="1" si="299"/>
        <v>1.8933671400629237E-4</v>
      </c>
      <c r="Y701">
        <f t="shared" ca="1" si="300"/>
        <v>52432.553337663412</v>
      </c>
      <c r="Z701">
        <f t="shared" ca="1" si="301"/>
        <v>52432.553337665238</v>
      </c>
      <c r="AA701">
        <f t="shared" ca="1" si="302"/>
        <v>2.2562304480281055E-12</v>
      </c>
      <c r="AB701">
        <f t="shared" ca="1" si="303"/>
        <v>-5.0000000192085281E-4</v>
      </c>
      <c r="AC701">
        <f t="shared" ca="1" si="304"/>
        <v>1</v>
      </c>
      <c r="AD701">
        <f ca="1">IF(V32="Supercritical",L701,IF(V32="Subcritical",U701,IF(AND(T701=1,AC701=1),IF((((F701)*(L701)^2)/2+(G701)*(L701)^3/3+(ABS(K701)^2)/($I$5*MAX(((F701)+(G701)*(L701))*(L701),0.000001)))&gt;=(((F701)*(U701)^2)/2+(G701)*(U701)^3/3+(ABS(K701)^2)/($I$5*MAX(((F701)+(G701)*(U701))*(U701),0.000001))),L701,U701),IF(T701=1,L701,IF(AC701=1,U701,MAX($D$16,POWER((ABS(K701)^2)/($I$5*MAX(F701,0.1)^2),1/3)))))))</f>
        <v>51800.26683766341</v>
      </c>
      <c r="AE701">
        <f t="shared" ca="1" si="305"/>
        <v>52432.553337663412</v>
      </c>
      <c r="AF701">
        <f t="shared" ca="1" si="306"/>
        <v>52432.553337665238</v>
      </c>
      <c r="AI701">
        <v>0</v>
      </c>
      <c r="AJ701">
        <v>0</v>
      </c>
      <c r="AK701">
        <f t="shared" si="307"/>
        <v>0</v>
      </c>
      <c r="AL701">
        <f t="shared" si="316"/>
        <v>0</v>
      </c>
      <c r="AM701">
        <f t="shared" ca="1" si="308"/>
        <v>2.6560383008097266E-7</v>
      </c>
      <c r="AN701" t="str">
        <f t="shared" ca="1" si="309"/>
        <v>Subcritical</v>
      </c>
      <c r="AO701">
        <f t="shared" ca="1" si="310"/>
        <v>2.2562304480281055E-12</v>
      </c>
    </row>
    <row r="702" spans="1:41" x14ac:dyDescent="0.35">
      <c r="A702">
        <v>553</v>
      </c>
      <c r="B702">
        <v>551.89599999999996</v>
      </c>
      <c r="C702">
        <v>616179.71100000001</v>
      </c>
      <c r="D702">
        <v>3097430.9530000002</v>
      </c>
      <c r="E702">
        <v>632.28599999999994</v>
      </c>
      <c r="F702">
        <v>5.2</v>
      </c>
      <c r="G702">
        <v>0</v>
      </c>
      <c r="H702" t="s">
        <v>186</v>
      </c>
      <c r="I702">
        <v>2.7E-2</v>
      </c>
      <c r="J702">
        <f t="shared" si="311"/>
        <v>1.0009999999999764</v>
      </c>
      <c r="K702">
        <f t="shared" si="312"/>
        <v>51</v>
      </c>
      <c r="L702">
        <f t="shared" ca="1" si="313"/>
        <v>51797.843837663619</v>
      </c>
      <c r="M702">
        <f t="shared" ca="1" si="290"/>
        <v>269348.78795585083</v>
      </c>
      <c r="N702">
        <f t="shared" ca="1" si="291"/>
        <v>2.5998694991876676</v>
      </c>
      <c r="O702">
        <f t="shared" ca="1" si="292"/>
        <v>1.8934557080078435E-4</v>
      </c>
      <c r="P702">
        <f t="shared" ca="1" si="293"/>
        <v>52430.129837663619</v>
      </c>
      <c r="Q702">
        <f t="shared" ca="1" si="294"/>
        <v>52430.129837665445</v>
      </c>
      <c r="R702">
        <f t="shared" ca="1" si="295"/>
        <v>2.2564415439646509E-12</v>
      </c>
      <c r="S702">
        <f t="shared" ca="1" si="314"/>
        <v>5.0000000192085281E-4</v>
      </c>
      <c r="T702">
        <f t="shared" ca="1" si="315"/>
        <v>1</v>
      </c>
      <c r="U702">
        <f t="shared" ca="1" si="296"/>
        <v>51800.26683766341</v>
      </c>
      <c r="V702">
        <f t="shared" ca="1" si="297"/>
        <v>269361.38755584974</v>
      </c>
      <c r="W702">
        <f t="shared" ca="1" si="298"/>
        <v>2.5998695052916441</v>
      </c>
      <c r="X702">
        <f t="shared" ca="1" si="299"/>
        <v>1.8933671400629237E-4</v>
      </c>
      <c r="Y702">
        <f t="shared" ca="1" si="300"/>
        <v>52432.55283766341</v>
      </c>
      <c r="Z702">
        <f t="shared" ca="1" si="301"/>
        <v>52432.552837665236</v>
      </c>
      <c r="AA702">
        <f t="shared" ca="1" si="302"/>
        <v>2.2562304480281055E-12</v>
      </c>
      <c r="AB702">
        <f t="shared" ca="1" si="303"/>
        <v>-5.0000000192085281E-4</v>
      </c>
      <c r="AC702">
        <f t="shared" ca="1" si="304"/>
        <v>1</v>
      </c>
      <c r="AD702">
        <f ca="1">IF(V32="Supercritical",L702,IF(V32="Subcritical",U702,IF(AND(T702=1,AC702=1),IF((((F702)*(L702)^2)/2+(G702)*(L702)^3/3+(ABS(K702)^2)/($I$5*MAX(((F702)+(G702)*(L702))*(L702),0.000001)))&gt;=(((F702)*(U702)^2)/2+(G702)*(U702)^3/3+(ABS(K702)^2)/($I$5*MAX(((F702)+(G702)*(U702))*(U702),0.000001))),L702,U702),IF(T702=1,L702,IF(AC702=1,U702,MAX($D$16,POWER((ABS(K702)^2)/($I$5*MAX(F702,0.1)^2),1/3)))))))</f>
        <v>51800.26683766341</v>
      </c>
      <c r="AE702">
        <f t="shared" ca="1" si="305"/>
        <v>52432.55283766341</v>
      </c>
      <c r="AF702">
        <f t="shared" ca="1" si="306"/>
        <v>52432.552837665236</v>
      </c>
      <c r="AI702">
        <v>0</v>
      </c>
      <c r="AJ702">
        <v>0</v>
      </c>
      <c r="AK702">
        <f t="shared" si="307"/>
        <v>0</v>
      </c>
      <c r="AL702">
        <f t="shared" si="316"/>
        <v>0</v>
      </c>
      <c r="AM702">
        <f t="shared" ca="1" si="308"/>
        <v>2.6560383008097266E-7</v>
      </c>
      <c r="AN702" t="str">
        <f t="shared" ca="1" si="309"/>
        <v>Subcritical</v>
      </c>
      <c r="AO702">
        <f t="shared" ca="1" si="310"/>
        <v>2.2562304480281055E-12</v>
      </c>
    </row>
    <row r="703" spans="1:41" x14ac:dyDescent="0.35">
      <c r="A703">
        <v>554</v>
      </c>
      <c r="B703">
        <v>552.89499999999998</v>
      </c>
      <c r="C703">
        <v>616179.23699999996</v>
      </c>
      <c r="D703">
        <v>3097430.0729999999</v>
      </c>
      <c r="E703">
        <v>632.28549999999996</v>
      </c>
      <c r="F703">
        <v>5.2</v>
      </c>
      <c r="G703">
        <v>0</v>
      </c>
      <c r="H703" t="s">
        <v>186</v>
      </c>
      <c r="I703">
        <v>0</v>
      </c>
      <c r="J703">
        <f t="shared" si="311"/>
        <v>0.99900000000002365</v>
      </c>
      <c r="K703">
        <f t="shared" si="312"/>
        <v>51</v>
      </c>
      <c r="L703">
        <f t="shared" ca="1" si="313"/>
        <v>51797.843837663619</v>
      </c>
      <c r="M703">
        <f t="shared" ca="1" si="290"/>
        <v>269348.78795585083</v>
      </c>
      <c r="N703">
        <f t="shared" ca="1" si="291"/>
        <v>2.5998694991876676</v>
      </c>
      <c r="O703">
        <f t="shared" ca="1" si="292"/>
        <v>1.8934557080078435E-4</v>
      </c>
      <c r="P703">
        <f t="shared" ca="1" si="293"/>
        <v>52430.129337663617</v>
      </c>
      <c r="Q703">
        <f t="shared" ca="1" si="294"/>
        <v>52430.129337665443</v>
      </c>
      <c r="R703">
        <f t="shared" ca="1" si="295"/>
        <v>2.2564415439646509E-12</v>
      </c>
      <c r="S703">
        <f t="shared" ca="1" si="314"/>
        <v>5.0000000192085281E-4</v>
      </c>
      <c r="T703">
        <f t="shared" ca="1" si="315"/>
        <v>1</v>
      </c>
      <c r="U703">
        <f t="shared" ca="1" si="296"/>
        <v>51800.26683766341</v>
      </c>
      <c r="V703">
        <f t="shared" ca="1" si="297"/>
        <v>269361.38755584974</v>
      </c>
      <c r="W703">
        <f t="shared" ca="1" si="298"/>
        <v>2.5998695052916441</v>
      </c>
      <c r="X703">
        <f t="shared" ca="1" si="299"/>
        <v>1.8933671400629237E-4</v>
      </c>
      <c r="Y703">
        <f t="shared" ca="1" si="300"/>
        <v>52432.552337663408</v>
      </c>
      <c r="Z703">
        <f t="shared" ca="1" si="301"/>
        <v>52432.552337665235</v>
      </c>
      <c r="AA703">
        <f t="shared" ca="1" si="302"/>
        <v>2.2562304480281055E-12</v>
      </c>
      <c r="AB703">
        <f t="shared" ca="1" si="303"/>
        <v>-4.999999946448952E-4</v>
      </c>
      <c r="AC703">
        <f t="shared" ca="1" si="304"/>
        <v>1</v>
      </c>
      <c r="AD703">
        <f ca="1">IF(V32="Supercritical",L703,IF(V32="Subcritical",U703,IF(AND(T703=1,AC703=1),IF((((F703)*(L703)^2)/2+(G703)*(L703)^3/3+(ABS(K703)^2)/($I$5*MAX(((F703)+(G703)*(L703))*(L703),0.000001)))&gt;=(((F703)*(U703)^2)/2+(G703)*(U703)^3/3+(ABS(K703)^2)/($I$5*MAX(((F703)+(G703)*(U703))*(U703),0.000001))),L703,U703),IF(T703=1,L703,IF(AC703=1,U703,MAX($D$16,POWER((ABS(K703)^2)/($I$5*MAX(F703,0.1)^2),1/3)))))))</f>
        <v>51800.26683766341</v>
      </c>
      <c r="AE703">
        <f t="shared" ca="1" si="305"/>
        <v>52432.552337663408</v>
      </c>
      <c r="AF703">
        <f t="shared" ca="1" si="306"/>
        <v>52432.552337665235</v>
      </c>
      <c r="AI703">
        <v>0</v>
      </c>
      <c r="AJ703">
        <v>0</v>
      </c>
      <c r="AK703">
        <f t="shared" si="307"/>
        <v>0</v>
      </c>
      <c r="AL703">
        <f t="shared" si="316"/>
        <v>0</v>
      </c>
      <c r="AM703">
        <f t="shared" ca="1" si="308"/>
        <v>2.6560383008097266E-7</v>
      </c>
      <c r="AN703" t="str">
        <f t="shared" ca="1" si="309"/>
        <v>Subcritical</v>
      </c>
      <c r="AO703">
        <f t="shared" ca="1" si="310"/>
        <v>2.2562304480281055E-12</v>
      </c>
    </row>
    <row r="704" spans="1:41" x14ac:dyDescent="0.35">
      <c r="A704">
        <v>555</v>
      </c>
      <c r="B704">
        <v>553.89499999999998</v>
      </c>
      <c r="C704">
        <v>616178.76300000004</v>
      </c>
      <c r="D704">
        <v>3097429.193</v>
      </c>
      <c r="E704">
        <v>632.28499999999997</v>
      </c>
      <c r="F704">
        <v>5.2</v>
      </c>
      <c r="G704">
        <v>0</v>
      </c>
      <c r="H704" t="s">
        <v>186</v>
      </c>
      <c r="I704">
        <v>2.3E-2</v>
      </c>
      <c r="J704">
        <f t="shared" si="311"/>
        <v>1</v>
      </c>
      <c r="K704">
        <f t="shared" si="312"/>
        <v>51</v>
      </c>
      <c r="L704">
        <f t="shared" ca="1" si="313"/>
        <v>51797.843837663619</v>
      </c>
      <c r="M704">
        <f t="shared" ca="1" si="290"/>
        <v>269348.78795585083</v>
      </c>
      <c r="N704">
        <f t="shared" ca="1" si="291"/>
        <v>2.5998694991876676</v>
      </c>
      <c r="O704">
        <f t="shared" ca="1" si="292"/>
        <v>1.8934557080078435E-4</v>
      </c>
      <c r="P704">
        <f t="shared" ca="1" si="293"/>
        <v>52430.128837663622</v>
      </c>
      <c r="Q704">
        <f t="shared" ca="1" si="294"/>
        <v>52430.128837665448</v>
      </c>
      <c r="R704">
        <f t="shared" ca="1" si="295"/>
        <v>2.2564415439646509E-12</v>
      </c>
      <c r="S704">
        <f t="shared" ca="1" si="314"/>
        <v>4.999999946448952E-4</v>
      </c>
      <c r="T704">
        <f t="shared" ca="1" si="315"/>
        <v>1</v>
      </c>
      <c r="U704">
        <f t="shared" ca="1" si="296"/>
        <v>51800.26683766341</v>
      </c>
      <c r="V704">
        <f t="shared" ca="1" si="297"/>
        <v>269361.38755584974</v>
      </c>
      <c r="W704">
        <f t="shared" ca="1" si="298"/>
        <v>2.5998695052916441</v>
      </c>
      <c r="X704">
        <f t="shared" ca="1" si="299"/>
        <v>1.8933671400629237E-4</v>
      </c>
      <c r="Y704">
        <f t="shared" ca="1" si="300"/>
        <v>52432.551837663414</v>
      </c>
      <c r="Z704">
        <f t="shared" ca="1" si="301"/>
        <v>52432.55183766524</v>
      </c>
      <c r="AA704">
        <f t="shared" ca="1" si="302"/>
        <v>2.2562304480281055E-12</v>
      </c>
      <c r="AB704">
        <f t="shared" ca="1" si="303"/>
        <v>-5.0000000192085281E-4</v>
      </c>
      <c r="AC704">
        <f t="shared" ca="1" si="304"/>
        <v>1</v>
      </c>
      <c r="AD704">
        <f ca="1">IF(V32="Supercritical",L704,IF(V32="Subcritical",U704,IF(AND(T704=1,AC704=1),IF((((F704)*(L704)^2)/2+(G704)*(L704)^3/3+(ABS(K704)^2)/($I$5*MAX(((F704)+(G704)*(L704))*(L704),0.000001)))&gt;=(((F704)*(U704)^2)/2+(G704)*(U704)^3/3+(ABS(K704)^2)/($I$5*MAX(((F704)+(G704)*(U704))*(U704),0.000001))),L704,U704),IF(T704=1,L704,IF(AC704=1,U704,MAX($D$16,POWER((ABS(K704)^2)/($I$5*MAX(F704,0.1)^2),1/3)))))))</f>
        <v>51800.26683766341</v>
      </c>
      <c r="AE704">
        <f t="shared" ca="1" si="305"/>
        <v>52432.551837663414</v>
      </c>
      <c r="AF704">
        <f t="shared" ca="1" si="306"/>
        <v>52432.55183766524</v>
      </c>
      <c r="AI704">
        <v>0</v>
      </c>
      <c r="AJ704">
        <v>0</v>
      </c>
      <c r="AK704">
        <f t="shared" si="307"/>
        <v>0</v>
      </c>
      <c r="AL704">
        <f t="shared" si="316"/>
        <v>0</v>
      </c>
      <c r="AM704">
        <f t="shared" ca="1" si="308"/>
        <v>2.6560383008097266E-7</v>
      </c>
      <c r="AN704" t="str">
        <f t="shared" ca="1" si="309"/>
        <v>Subcritical</v>
      </c>
      <c r="AO704">
        <f t="shared" ca="1" si="310"/>
        <v>2.2562304480281055E-12</v>
      </c>
    </row>
    <row r="705" spans="1:41" x14ac:dyDescent="0.35">
      <c r="A705">
        <v>556</v>
      </c>
      <c r="B705">
        <v>554.89599999999996</v>
      </c>
      <c r="C705">
        <v>616178.28799999994</v>
      </c>
      <c r="D705">
        <v>3097428.3119999999</v>
      </c>
      <c r="E705">
        <v>632.28449999999998</v>
      </c>
      <c r="F705">
        <v>5.2</v>
      </c>
      <c r="G705">
        <v>0</v>
      </c>
      <c r="H705" t="s">
        <v>186</v>
      </c>
      <c r="I705">
        <v>2.3E-2</v>
      </c>
      <c r="J705">
        <f t="shared" si="311"/>
        <v>1.0009999999999764</v>
      </c>
      <c r="K705">
        <f t="shared" si="312"/>
        <v>51</v>
      </c>
      <c r="L705">
        <f t="shared" ca="1" si="313"/>
        <v>51797.843837663619</v>
      </c>
      <c r="M705">
        <f t="shared" ca="1" si="290"/>
        <v>269348.78795585083</v>
      </c>
      <c r="N705">
        <f t="shared" ca="1" si="291"/>
        <v>2.5998694991876676</v>
      </c>
      <c r="O705">
        <f t="shared" ca="1" si="292"/>
        <v>1.8934557080078435E-4</v>
      </c>
      <c r="P705">
        <f t="shared" ca="1" si="293"/>
        <v>52430.12833766362</v>
      </c>
      <c r="Q705">
        <f t="shared" ca="1" si="294"/>
        <v>52430.128337665446</v>
      </c>
      <c r="R705">
        <f t="shared" ca="1" si="295"/>
        <v>2.2564415439646509E-12</v>
      </c>
      <c r="S705">
        <f t="shared" ca="1" si="314"/>
        <v>5.0000000192085281E-4</v>
      </c>
      <c r="T705">
        <f t="shared" ca="1" si="315"/>
        <v>1</v>
      </c>
      <c r="U705">
        <f t="shared" ca="1" si="296"/>
        <v>51800.26683766341</v>
      </c>
      <c r="V705">
        <f t="shared" ca="1" si="297"/>
        <v>269361.38755584974</v>
      </c>
      <c r="W705">
        <f t="shared" ca="1" si="298"/>
        <v>2.5998695052916441</v>
      </c>
      <c r="X705">
        <f t="shared" ca="1" si="299"/>
        <v>1.8933671400629237E-4</v>
      </c>
      <c r="Y705">
        <f t="shared" ca="1" si="300"/>
        <v>52432.551337663412</v>
      </c>
      <c r="Z705">
        <f t="shared" ca="1" si="301"/>
        <v>52432.551337665238</v>
      </c>
      <c r="AA705">
        <f t="shared" ca="1" si="302"/>
        <v>2.2562304480281055E-12</v>
      </c>
      <c r="AB705">
        <f t="shared" ca="1" si="303"/>
        <v>-5.0000000192085281E-4</v>
      </c>
      <c r="AC705">
        <f t="shared" ca="1" si="304"/>
        <v>1</v>
      </c>
      <c r="AD705">
        <f ca="1">IF(V32="Supercritical",L705,IF(V32="Subcritical",U705,IF(AND(T705=1,AC705=1),IF((((F705)*(L705)^2)/2+(G705)*(L705)^3/3+(ABS(K705)^2)/($I$5*MAX(((F705)+(G705)*(L705))*(L705),0.000001)))&gt;=(((F705)*(U705)^2)/2+(G705)*(U705)^3/3+(ABS(K705)^2)/($I$5*MAX(((F705)+(G705)*(U705))*(U705),0.000001))),L705,U705),IF(T705=1,L705,IF(AC705=1,U705,MAX($D$16,POWER((ABS(K705)^2)/($I$5*MAX(F705,0.1)^2),1/3)))))))</f>
        <v>51800.26683766341</v>
      </c>
      <c r="AE705">
        <f t="shared" ca="1" si="305"/>
        <v>52432.551337663412</v>
      </c>
      <c r="AF705">
        <f t="shared" ca="1" si="306"/>
        <v>52432.551337665238</v>
      </c>
      <c r="AI705">
        <v>0</v>
      </c>
      <c r="AJ705">
        <v>0</v>
      </c>
      <c r="AK705">
        <f t="shared" si="307"/>
        <v>0</v>
      </c>
      <c r="AL705">
        <f t="shared" si="316"/>
        <v>0</v>
      </c>
      <c r="AM705">
        <f t="shared" ca="1" si="308"/>
        <v>2.6560383008097266E-7</v>
      </c>
      <c r="AN705" t="str">
        <f t="shared" ca="1" si="309"/>
        <v>Subcritical</v>
      </c>
      <c r="AO705">
        <f t="shared" ca="1" si="310"/>
        <v>2.2562304480281055E-12</v>
      </c>
    </row>
    <row r="706" spans="1:41" x14ac:dyDescent="0.35">
      <c r="A706">
        <v>557</v>
      </c>
      <c r="B706">
        <v>555.89499999999998</v>
      </c>
      <c r="C706">
        <v>616177.81400000001</v>
      </c>
      <c r="D706">
        <v>3097427.432</v>
      </c>
      <c r="E706">
        <v>632.28399999999999</v>
      </c>
      <c r="F706">
        <v>5.2</v>
      </c>
      <c r="G706">
        <v>0</v>
      </c>
      <c r="H706" t="s">
        <v>186</v>
      </c>
      <c r="I706">
        <v>2.7E-2</v>
      </c>
      <c r="J706">
        <f t="shared" si="311"/>
        <v>0.99900000000002365</v>
      </c>
      <c r="K706">
        <f t="shared" si="312"/>
        <v>51</v>
      </c>
      <c r="L706">
        <f t="shared" ca="1" si="313"/>
        <v>51797.843837663619</v>
      </c>
      <c r="M706">
        <f t="shared" ca="1" si="290"/>
        <v>269348.78795585083</v>
      </c>
      <c r="N706">
        <f t="shared" ca="1" si="291"/>
        <v>2.5998694991876676</v>
      </c>
      <c r="O706">
        <f t="shared" ca="1" si="292"/>
        <v>1.8934557080078435E-4</v>
      </c>
      <c r="P706">
        <f t="shared" ca="1" si="293"/>
        <v>52430.127837663618</v>
      </c>
      <c r="Q706">
        <f t="shared" ca="1" si="294"/>
        <v>52430.127837665445</v>
      </c>
      <c r="R706">
        <f t="shared" ca="1" si="295"/>
        <v>2.2564415439646509E-12</v>
      </c>
      <c r="S706">
        <f t="shared" ca="1" si="314"/>
        <v>5.0000000192085281E-4</v>
      </c>
      <c r="T706">
        <f t="shared" ca="1" si="315"/>
        <v>1</v>
      </c>
      <c r="U706">
        <f t="shared" ca="1" si="296"/>
        <v>51800.26683766341</v>
      </c>
      <c r="V706">
        <f t="shared" ca="1" si="297"/>
        <v>269361.38755584974</v>
      </c>
      <c r="W706">
        <f t="shared" ca="1" si="298"/>
        <v>2.5998695052916441</v>
      </c>
      <c r="X706">
        <f t="shared" ca="1" si="299"/>
        <v>1.8933671400629237E-4</v>
      </c>
      <c r="Y706">
        <f t="shared" ca="1" si="300"/>
        <v>52432.55083766341</v>
      </c>
      <c r="Z706">
        <f t="shared" ca="1" si="301"/>
        <v>52432.550837665236</v>
      </c>
      <c r="AA706">
        <f t="shared" ca="1" si="302"/>
        <v>2.2562304480281055E-12</v>
      </c>
      <c r="AB706">
        <f t="shared" ca="1" si="303"/>
        <v>-5.0000000192085281E-4</v>
      </c>
      <c r="AC706">
        <f t="shared" ca="1" si="304"/>
        <v>1</v>
      </c>
      <c r="AD706">
        <f ca="1">IF(V32="Supercritical",L706,IF(V32="Subcritical",U706,IF(AND(T706=1,AC706=1),IF((((F706)*(L706)^2)/2+(G706)*(L706)^3/3+(ABS(K706)^2)/($I$5*MAX(((F706)+(G706)*(L706))*(L706),0.000001)))&gt;=(((F706)*(U706)^2)/2+(G706)*(U706)^3/3+(ABS(K706)^2)/($I$5*MAX(((F706)+(G706)*(U706))*(U706),0.000001))),L706,U706),IF(T706=1,L706,IF(AC706=1,U706,MAX($D$16,POWER((ABS(K706)^2)/($I$5*MAX(F706,0.1)^2),1/3)))))))</f>
        <v>51800.26683766341</v>
      </c>
      <c r="AE706">
        <f t="shared" ca="1" si="305"/>
        <v>52432.55083766341</v>
      </c>
      <c r="AF706">
        <f t="shared" ca="1" si="306"/>
        <v>52432.550837665236</v>
      </c>
      <c r="AI706">
        <v>0</v>
      </c>
      <c r="AJ706">
        <v>0</v>
      </c>
      <c r="AK706">
        <f t="shared" si="307"/>
        <v>0</v>
      </c>
      <c r="AL706">
        <f t="shared" si="316"/>
        <v>0</v>
      </c>
      <c r="AM706">
        <f t="shared" ca="1" si="308"/>
        <v>2.6560383008097266E-7</v>
      </c>
      <c r="AN706" t="str">
        <f t="shared" ca="1" si="309"/>
        <v>Subcritical</v>
      </c>
      <c r="AO706">
        <f t="shared" ca="1" si="310"/>
        <v>2.2562304480281055E-12</v>
      </c>
    </row>
    <row r="707" spans="1:41" x14ac:dyDescent="0.35">
      <c r="A707">
        <v>558</v>
      </c>
      <c r="B707">
        <v>556.89599999999996</v>
      </c>
      <c r="C707">
        <v>616177.34</v>
      </c>
      <c r="D707">
        <v>3097426.551</v>
      </c>
      <c r="E707">
        <v>632.2835</v>
      </c>
      <c r="F707">
        <v>5.2</v>
      </c>
      <c r="G707">
        <v>0</v>
      </c>
      <c r="H707" t="s">
        <v>186</v>
      </c>
      <c r="I707">
        <v>2.7E-2</v>
      </c>
      <c r="J707">
        <f t="shared" si="311"/>
        <v>1.0009999999999764</v>
      </c>
      <c r="K707">
        <f t="shared" si="312"/>
        <v>51</v>
      </c>
      <c r="L707">
        <f t="shared" ca="1" si="313"/>
        <v>51797.843837663619</v>
      </c>
      <c r="M707">
        <f t="shared" ca="1" si="290"/>
        <v>269348.78795585083</v>
      </c>
      <c r="N707">
        <f t="shared" ca="1" si="291"/>
        <v>2.5998694991876676</v>
      </c>
      <c r="O707">
        <f t="shared" ca="1" si="292"/>
        <v>1.8934557080078435E-4</v>
      </c>
      <c r="P707">
        <f t="shared" ca="1" si="293"/>
        <v>52430.127337663616</v>
      </c>
      <c r="Q707">
        <f t="shared" ca="1" si="294"/>
        <v>52430.127337665443</v>
      </c>
      <c r="R707">
        <f t="shared" ca="1" si="295"/>
        <v>2.2564415439646509E-12</v>
      </c>
      <c r="S707">
        <f t="shared" ca="1" si="314"/>
        <v>5.0000000192085281E-4</v>
      </c>
      <c r="T707">
        <f t="shared" ca="1" si="315"/>
        <v>1</v>
      </c>
      <c r="U707">
        <f t="shared" ca="1" si="296"/>
        <v>51800.26683766341</v>
      </c>
      <c r="V707">
        <f t="shared" ca="1" si="297"/>
        <v>269361.38755584974</v>
      </c>
      <c r="W707">
        <f t="shared" ca="1" si="298"/>
        <v>2.5998695052916441</v>
      </c>
      <c r="X707">
        <f t="shared" ca="1" si="299"/>
        <v>1.8933671400629237E-4</v>
      </c>
      <c r="Y707">
        <f t="shared" ca="1" si="300"/>
        <v>52432.550337663408</v>
      </c>
      <c r="Z707">
        <f t="shared" ca="1" si="301"/>
        <v>52432.550337665234</v>
      </c>
      <c r="AA707">
        <f t="shared" ca="1" si="302"/>
        <v>2.2562304480281055E-12</v>
      </c>
      <c r="AB707">
        <f t="shared" ca="1" si="303"/>
        <v>-4.999999946448952E-4</v>
      </c>
      <c r="AC707">
        <f t="shared" ca="1" si="304"/>
        <v>1</v>
      </c>
      <c r="AD707">
        <f ca="1">IF(V32="Supercritical",L707,IF(V32="Subcritical",U707,IF(AND(T707=1,AC707=1),IF((((F707)*(L707)^2)/2+(G707)*(L707)^3/3+(ABS(K707)^2)/($I$5*MAX(((F707)+(G707)*(L707))*(L707),0.000001)))&gt;=(((F707)*(U707)^2)/2+(G707)*(U707)^3/3+(ABS(K707)^2)/($I$5*MAX(((F707)+(G707)*(U707))*(U707),0.000001))),L707,U707),IF(T707=1,L707,IF(AC707=1,U707,MAX($D$16,POWER((ABS(K707)^2)/($I$5*MAX(F707,0.1)^2),1/3)))))))</f>
        <v>51800.26683766341</v>
      </c>
      <c r="AE707">
        <f t="shared" ca="1" si="305"/>
        <v>52432.550337663408</v>
      </c>
      <c r="AF707">
        <f t="shared" ca="1" si="306"/>
        <v>52432.550337665234</v>
      </c>
      <c r="AI707">
        <v>0</v>
      </c>
      <c r="AJ707">
        <v>0</v>
      </c>
      <c r="AK707">
        <f t="shared" si="307"/>
        <v>0</v>
      </c>
      <c r="AL707">
        <f t="shared" si="316"/>
        <v>0</v>
      </c>
      <c r="AM707">
        <f t="shared" ca="1" si="308"/>
        <v>2.6560383008097266E-7</v>
      </c>
      <c r="AN707" t="str">
        <f t="shared" ca="1" si="309"/>
        <v>Subcritical</v>
      </c>
      <c r="AO707">
        <f t="shared" ca="1" si="310"/>
        <v>2.2562304480281055E-12</v>
      </c>
    </row>
    <row r="708" spans="1:41" x14ac:dyDescent="0.35">
      <c r="A708">
        <v>559</v>
      </c>
      <c r="B708">
        <v>557.89499999999998</v>
      </c>
      <c r="C708">
        <v>616176.86600000004</v>
      </c>
      <c r="D708">
        <v>3097425.6710000001</v>
      </c>
      <c r="E708">
        <v>632.28300000000002</v>
      </c>
      <c r="F708">
        <v>5.2</v>
      </c>
      <c r="G708">
        <v>0</v>
      </c>
      <c r="H708" t="s">
        <v>186</v>
      </c>
      <c r="I708">
        <v>0.05</v>
      </c>
      <c r="J708">
        <f t="shared" si="311"/>
        <v>0.99900000000002365</v>
      </c>
      <c r="K708">
        <f t="shared" si="312"/>
        <v>51</v>
      </c>
      <c r="L708">
        <f t="shared" ca="1" si="313"/>
        <v>51797.843837663619</v>
      </c>
      <c r="M708">
        <f t="shared" ca="1" si="290"/>
        <v>269348.78795585083</v>
      </c>
      <c r="N708">
        <f t="shared" ca="1" si="291"/>
        <v>2.5998694991876676</v>
      </c>
      <c r="O708">
        <f t="shared" ca="1" si="292"/>
        <v>1.8934557080078435E-4</v>
      </c>
      <c r="P708">
        <f t="shared" ca="1" si="293"/>
        <v>52430.126837663622</v>
      </c>
      <c r="Q708">
        <f t="shared" ca="1" si="294"/>
        <v>52430.126837665448</v>
      </c>
      <c r="R708">
        <f t="shared" ca="1" si="295"/>
        <v>2.2564415439646509E-12</v>
      </c>
      <c r="S708">
        <f t="shared" ca="1" si="314"/>
        <v>4.999999946448952E-4</v>
      </c>
      <c r="T708">
        <f t="shared" ca="1" si="315"/>
        <v>1</v>
      </c>
      <c r="U708">
        <f t="shared" ca="1" si="296"/>
        <v>51800.26683766341</v>
      </c>
      <c r="V708">
        <f t="shared" ca="1" si="297"/>
        <v>269361.38755584974</v>
      </c>
      <c r="W708">
        <f t="shared" ca="1" si="298"/>
        <v>2.5998695052916441</v>
      </c>
      <c r="X708">
        <f t="shared" ca="1" si="299"/>
        <v>1.8933671400629237E-4</v>
      </c>
      <c r="Y708">
        <f t="shared" ca="1" si="300"/>
        <v>52432.549837663413</v>
      </c>
      <c r="Z708">
        <f t="shared" ca="1" si="301"/>
        <v>52432.549837665239</v>
      </c>
      <c r="AA708">
        <f t="shared" ca="1" si="302"/>
        <v>2.2562304480281055E-12</v>
      </c>
      <c r="AB708">
        <f t="shared" ca="1" si="303"/>
        <v>-5.0000000192085281E-4</v>
      </c>
      <c r="AC708">
        <f t="shared" ca="1" si="304"/>
        <v>1</v>
      </c>
      <c r="AD708">
        <f ca="1">IF(V32="Supercritical",L708,IF(V32="Subcritical",U708,IF(AND(T708=1,AC708=1),IF((((F708)*(L708)^2)/2+(G708)*(L708)^3/3+(ABS(K708)^2)/($I$5*MAX(((F708)+(G708)*(L708))*(L708),0.000001)))&gt;=(((F708)*(U708)^2)/2+(G708)*(U708)^3/3+(ABS(K708)^2)/($I$5*MAX(((F708)+(G708)*(U708))*(U708),0.000001))),L708,U708),IF(T708=1,L708,IF(AC708=1,U708,MAX($D$16,POWER((ABS(K708)^2)/($I$5*MAX(F708,0.1)^2),1/3)))))))</f>
        <v>51800.26683766341</v>
      </c>
      <c r="AE708">
        <f t="shared" ca="1" si="305"/>
        <v>52432.549837663413</v>
      </c>
      <c r="AF708">
        <f t="shared" ca="1" si="306"/>
        <v>52432.549837665239</v>
      </c>
      <c r="AI708">
        <v>0</v>
      </c>
      <c r="AJ708">
        <v>0</v>
      </c>
      <c r="AK708">
        <f t="shared" si="307"/>
        <v>0</v>
      </c>
      <c r="AL708">
        <f t="shared" si="316"/>
        <v>0</v>
      </c>
      <c r="AM708">
        <f t="shared" ca="1" si="308"/>
        <v>2.6560383008097266E-7</v>
      </c>
      <c r="AN708" t="str">
        <f t="shared" ca="1" si="309"/>
        <v>Subcritical</v>
      </c>
      <c r="AO708">
        <f t="shared" ca="1" si="310"/>
        <v>2.2562304480281055E-12</v>
      </c>
    </row>
    <row r="709" spans="1:41" x14ac:dyDescent="0.35">
      <c r="A709">
        <v>560</v>
      </c>
      <c r="B709">
        <v>558.89499999999998</v>
      </c>
      <c r="C709">
        <v>616176.39099999995</v>
      </c>
      <c r="D709">
        <v>3097424.7910000002</v>
      </c>
      <c r="E709">
        <v>632.28250000000003</v>
      </c>
      <c r="F709">
        <v>5.2</v>
      </c>
      <c r="G709">
        <v>0</v>
      </c>
      <c r="H709" t="s">
        <v>186</v>
      </c>
      <c r="I709">
        <v>7.8E-2</v>
      </c>
      <c r="J709">
        <f t="shared" si="311"/>
        <v>1</v>
      </c>
      <c r="K709">
        <f t="shared" si="312"/>
        <v>51</v>
      </c>
      <c r="L709">
        <f t="shared" ca="1" si="313"/>
        <v>51797.843837663619</v>
      </c>
      <c r="M709">
        <f t="shared" ca="1" si="290"/>
        <v>269348.78795585083</v>
      </c>
      <c r="N709">
        <f t="shared" ca="1" si="291"/>
        <v>2.5998694991876676</v>
      </c>
      <c r="O709">
        <f t="shared" ca="1" si="292"/>
        <v>1.8934557080078435E-4</v>
      </c>
      <c r="P709">
        <f t="shared" ca="1" si="293"/>
        <v>52430.12633766362</v>
      </c>
      <c r="Q709">
        <f t="shared" ca="1" si="294"/>
        <v>52430.126337665446</v>
      </c>
      <c r="R709">
        <f t="shared" ca="1" si="295"/>
        <v>2.2564415439646509E-12</v>
      </c>
      <c r="S709">
        <f t="shared" ca="1" si="314"/>
        <v>5.0000000192085281E-4</v>
      </c>
      <c r="T709">
        <f t="shared" ca="1" si="315"/>
        <v>1</v>
      </c>
      <c r="U709">
        <f t="shared" ca="1" si="296"/>
        <v>51800.26683766341</v>
      </c>
      <c r="V709">
        <f t="shared" ca="1" si="297"/>
        <v>269361.38755584974</v>
      </c>
      <c r="W709">
        <f t="shared" ca="1" si="298"/>
        <v>2.5998695052916441</v>
      </c>
      <c r="X709">
        <f t="shared" ca="1" si="299"/>
        <v>1.8933671400629237E-4</v>
      </c>
      <c r="Y709">
        <f t="shared" ca="1" si="300"/>
        <v>52432.549337663411</v>
      </c>
      <c r="Z709">
        <f t="shared" ca="1" si="301"/>
        <v>52432.549337665238</v>
      </c>
      <c r="AA709">
        <f t="shared" ca="1" si="302"/>
        <v>2.2562304480281055E-12</v>
      </c>
      <c r="AB709">
        <f t="shared" ca="1" si="303"/>
        <v>-5.0000000192085281E-4</v>
      </c>
      <c r="AC709">
        <f t="shared" ca="1" si="304"/>
        <v>1</v>
      </c>
      <c r="AD709">
        <f ca="1">IF(V32="Supercritical",L709,IF(V32="Subcritical",U709,IF(AND(T709=1,AC709=1),IF((((F709)*(L709)^2)/2+(G709)*(L709)^3/3+(ABS(K709)^2)/($I$5*MAX(((F709)+(G709)*(L709))*(L709),0.000001)))&gt;=(((F709)*(U709)^2)/2+(G709)*(U709)^3/3+(ABS(K709)^2)/($I$5*MAX(((F709)+(G709)*(U709))*(U709),0.000001))),L709,U709),IF(T709=1,L709,IF(AC709=1,U709,MAX($D$16,POWER((ABS(K709)^2)/($I$5*MAX(F709,0.1)^2),1/3)))))))</f>
        <v>51800.26683766341</v>
      </c>
      <c r="AE709">
        <f t="shared" ca="1" si="305"/>
        <v>52432.549337663411</v>
      </c>
      <c r="AF709">
        <f t="shared" ca="1" si="306"/>
        <v>52432.549337665238</v>
      </c>
      <c r="AI709">
        <v>0</v>
      </c>
      <c r="AJ709">
        <v>0</v>
      </c>
      <c r="AK709">
        <f t="shared" si="307"/>
        <v>0</v>
      </c>
      <c r="AL709">
        <f t="shared" si="316"/>
        <v>0</v>
      </c>
      <c r="AM709">
        <f t="shared" ca="1" si="308"/>
        <v>2.6560383008097266E-7</v>
      </c>
      <c r="AN709" t="str">
        <f t="shared" ca="1" si="309"/>
        <v>Subcritical</v>
      </c>
      <c r="AO709">
        <f t="shared" ca="1" si="310"/>
        <v>2.2562304480281055E-12</v>
      </c>
    </row>
    <row r="710" spans="1:41" x14ac:dyDescent="0.35">
      <c r="A710">
        <v>561</v>
      </c>
      <c r="B710">
        <v>559.89599999999996</v>
      </c>
      <c r="C710">
        <v>616175.91700000002</v>
      </c>
      <c r="D710">
        <v>3097423.91</v>
      </c>
      <c r="E710">
        <v>632.28200000000004</v>
      </c>
      <c r="F710">
        <v>5.2</v>
      </c>
      <c r="G710">
        <v>0</v>
      </c>
      <c r="H710" t="s">
        <v>186</v>
      </c>
      <c r="I710">
        <v>2.7E-2</v>
      </c>
      <c r="J710">
        <f t="shared" si="311"/>
        <v>1.0009999999999764</v>
      </c>
      <c r="K710">
        <f t="shared" si="312"/>
        <v>51</v>
      </c>
      <c r="L710">
        <f t="shared" ca="1" si="313"/>
        <v>51797.843837663619</v>
      </c>
      <c r="M710">
        <f t="shared" ca="1" si="290"/>
        <v>269348.78795585083</v>
      </c>
      <c r="N710">
        <f t="shared" ca="1" si="291"/>
        <v>2.5998694991876676</v>
      </c>
      <c r="O710">
        <f t="shared" ca="1" si="292"/>
        <v>1.8934557080078435E-4</v>
      </c>
      <c r="P710">
        <f t="shared" ca="1" si="293"/>
        <v>52430.125837663618</v>
      </c>
      <c r="Q710">
        <f t="shared" ca="1" si="294"/>
        <v>52430.125837665444</v>
      </c>
      <c r="R710">
        <f t="shared" ca="1" si="295"/>
        <v>2.2564415439646509E-12</v>
      </c>
      <c r="S710">
        <f t="shared" ca="1" si="314"/>
        <v>5.0000000192085281E-4</v>
      </c>
      <c r="T710">
        <f t="shared" ca="1" si="315"/>
        <v>1</v>
      </c>
      <c r="U710">
        <f t="shared" ca="1" si="296"/>
        <v>51800.26683766341</v>
      </c>
      <c r="V710">
        <f t="shared" ca="1" si="297"/>
        <v>269361.38755584974</v>
      </c>
      <c r="W710">
        <f t="shared" ca="1" si="298"/>
        <v>2.5998695052916441</v>
      </c>
      <c r="X710">
        <f t="shared" ca="1" si="299"/>
        <v>1.8933671400629237E-4</v>
      </c>
      <c r="Y710">
        <f t="shared" ca="1" si="300"/>
        <v>52432.548837663409</v>
      </c>
      <c r="Z710">
        <f t="shared" ca="1" si="301"/>
        <v>52432.548837665236</v>
      </c>
      <c r="AA710">
        <f t="shared" ca="1" si="302"/>
        <v>2.2562304480281055E-12</v>
      </c>
      <c r="AB710">
        <f t="shared" ca="1" si="303"/>
        <v>-5.0000000192085281E-4</v>
      </c>
      <c r="AC710">
        <f t="shared" ca="1" si="304"/>
        <v>1</v>
      </c>
      <c r="AD710">
        <f ca="1">IF(V32="Supercritical",L710,IF(V32="Subcritical",U710,IF(AND(T710=1,AC710=1),IF((((F710)*(L710)^2)/2+(G710)*(L710)^3/3+(ABS(K710)^2)/($I$5*MAX(((F710)+(G710)*(L710))*(L710),0.000001)))&gt;=(((F710)*(U710)^2)/2+(G710)*(U710)^3/3+(ABS(K710)^2)/($I$5*MAX(((F710)+(G710)*(U710))*(U710),0.000001))),L710,U710),IF(T710=1,L710,IF(AC710=1,U710,MAX($D$16,POWER((ABS(K710)^2)/($I$5*MAX(F710,0.1)^2),1/3)))))))</f>
        <v>51800.26683766341</v>
      </c>
      <c r="AE710">
        <f t="shared" ca="1" si="305"/>
        <v>52432.548837663409</v>
      </c>
      <c r="AF710">
        <f t="shared" ca="1" si="306"/>
        <v>52432.548837665236</v>
      </c>
      <c r="AI710">
        <v>0</v>
      </c>
      <c r="AJ710">
        <v>0</v>
      </c>
      <c r="AK710">
        <f t="shared" si="307"/>
        <v>0</v>
      </c>
      <c r="AL710">
        <f t="shared" si="316"/>
        <v>0</v>
      </c>
      <c r="AM710">
        <f t="shared" ca="1" si="308"/>
        <v>2.6560383008097266E-7</v>
      </c>
      <c r="AN710" t="str">
        <f t="shared" ca="1" si="309"/>
        <v>Subcritical</v>
      </c>
      <c r="AO710">
        <f t="shared" ca="1" si="310"/>
        <v>2.2562304480281055E-12</v>
      </c>
    </row>
    <row r="711" spans="1:41" x14ac:dyDescent="0.35">
      <c r="A711">
        <v>562</v>
      </c>
      <c r="B711">
        <v>560.89499999999998</v>
      </c>
      <c r="C711">
        <v>616175.44299999997</v>
      </c>
      <c r="D711">
        <v>3097423.03</v>
      </c>
      <c r="E711">
        <v>632.28150000000005</v>
      </c>
      <c r="F711">
        <v>5.2</v>
      </c>
      <c r="G711">
        <v>0</v>
      </c>
      <c r="H711" t="s">
        <v>186</v>
      </c>
      <c r="I711">
        <v>2.7E-2</v>
      </c>
      <c r="J711">
        <f t="shared" si="311"/>
        <v>0.99900000000002365</v>
      </c>
      <c r="K711">
        <f t="shared" si="312"/>
        <v>51</v>
      </c>
      <c r="L711">
        <f t="shared" ca="1" si="313"/>
        <v>51797.843837663619</v>
      </c>
      <c r="M711">
        <f t="shared" ca="1" si="290"/>
        <v>269348.78795585083</v>
      </c>
      <c r="N711">
        <f t="shared" ca="1" si="291"/>
        <v>2.5998694991876676</v>
      </c>
      <c r="O711">
        <f t="shared" ca="1" si="292"/>
        <v>1.8934557080078435E-4</v>
      </c>
      <c r="P711">
        <f t="shared" ca="1" si="293"/>
        <v>52430.125337663616</v>
      </c>
      <c r="Q711">
        <f t="shared" ca="1" si="294"/>
        <v>52430.125337665442</v>
      </c>
      <c r="R711">
        <f t="shared" ca="1" si="295"/>
        <v>2.2564415439646509E-12</v>
      </c>
      <c r="S711">
        <f t="shared" ca="1" si="314"/>
        <v>5.0000000192085281E-4</v>
      </c>
      <c r="T711">
        <f t="shared" ca="1" si="315"/>
        <v>1</v>
      </c>
      <c r="U711">
        <f t="shared" ca="1" si="296"/>
        <v>51800.26683766341</v>
      </c>
      <c r="V711">
        <f t="shared" ca="1" si="297"/>
        <v>269361.38755584974</v>
      </c>
      <c r="W711">
        <f t="shared" ca="1" si="298"/>
        <v>2.5998695052916441</v>
      </c>
      <c r="X711">
        <f t="shared" ca="1" si="299"/>
        <v>1.8933671400629237E-4</v>
      </c>
      <c r="Y711">
        <f t="shared" ca="1" si="300"/>
        <v>52432.548337663407</v>
      </c>
      <c r="Z711">
        <f t="shared" ca="1" si="301"/>
        <v>52432.548337665234</v>
      </c>
      <c r="AA711">
        <f t="shared" ca="1" si="302"/>
        <v>2.2562304480281055E-12</v>
      </c>
      <c r="AB711">
        <f t="shared" ca="1" si="303"/>
        <v>-4.999999946448952E-4</v>
      </c>
      <c r="AC711">
        <f t="shared" ca="1" si="304"/>
        <v>1</v>
      </c>
      <c r="AD711">
        <f ca="1">IF(V32="Supercritical",L711,IF(V32="Subcritical",U711,IF(AND(T711=1,AC711=1),IF((((F711)*(L711)^2)/2+(G711)*(L711)^3/3+(ABS(K711)^2)/($I$5*MAX(((F711)+(G711)*(L711))*(L711),0.000001)))&gt;=(((F711)*(U711)^2)/2+(G711)*(U711)^3/3+(ABS(K711)^2)/($I$5*MAX(((F711)+(G711)*(U711))*(U711),0.000001))),L711,U711),IF(T711=1,L711,IF(AC711=1,U711,MAX($D$16,POWER((ABS(K711)^2)/($I$5*MAX(F711,0.1)^2),1/3)))))))</f>
        <v>51800.26683766341</v>
      </c>
      <c r="AE711">
        <f t="shared" ca="1" si="305"/>
        <v>52432.548337663407</v>
      </c>
      <c r="AF711">
        <f t="shared" ca="1" si="306"/>
        <v>52432.548337665234</v>
      </c>
      <c r="AI711">
        <v>0</v>
      </c>
      <c r="AJ711">
        <v>0</v>
      </c>
      <c r="AK711">
        <f t="shared" si="307"/>
        <v>0</v>
      </c>
      <c r="AL711">
        <f t="shared" si="316"/>
        <v>0</v>
      </c>
      <c r="AM711">
        <f t="shared" ca="1" si="308"/>
        <v>2.6560383008097266E-7</v>
      </c>
      <c r="AN711" t="str">
        <f t="shared" ca="1" si="309"/>
        <v>Subcritical</v>
      </c>
      <c r="AO711">
        <f t="shared" ca="1" si="310"/>
        <v>2.2562304480281055E-12</v>
      </c>
    </row>
    <row r="712" spans="1:41" x14ac:dyDescent="0.35">
      <c r="A712">
        <v>563</v>
      </c>
      <c r="B712">
        <v>561.89599999999996</v>
      </c>
      <c r="C712">
        <v>616174.96900000004</v>
      </c>
      <c r="D712">
        <v>3097422.1490000002</v>
      </c>
      <c r="E712">
        <v>632.28099999999995</v>
      </c>
      <c r="F712">
        <v>5.2</v>
      </c>
      <c r="G712">
        <v>0</v>
      </c>
      <c r="H712" t="s">
        <v>186</v>
      </c>
      <c r="I712">
        <v>2.7E-2</v>
      </c>
      <c r="J712">
        <f t="shared" si="311"/>
        <v>1.0009999999999764</v>
      </c>
      <c r="K712">
        <f t="shared" si="312"/>
        <v>51</v>
      </c>
      <c r="L712">
        <f t="shared" ca="1" si="313"/>
        <v>51797.843837663619</v>
      </c>
      <c r="M712">
        <f t="shared" ca="1" si="290"/>
        <v>269348.78795585083</v>
      </c>
      <c r="N712">
        <f t="shared" ca="1" si="291"/>
        <v>2.5998694991876676</v>
      </c>
      <c r="O712">
        <f t="shared" ca="1" si="292"/>
        <v>1.8934557080078435E-4</v>
      </c>
      <c r="P712">
        <f t="shared" ca="1" si="293"/>
        <v>52430.124837663621</v>
      </c>
      <c r="Q712">
        <f t="shared" ca="1" si="294"/>
        <v>52430.124837665448</v>
      </c>
      <c r="R712">
        <f t="shared" ca="1" si="295"/>
        <v>2.2564415439646509E-12</v>
      </c>
      <c r="S712">
        <f t="shared" ca="1" si="314"/>
        <v>4.999999946448952E-4</v>
      </c>
      <c r="T712">
        <f t="shared" ca="1" si="315"/>
        <v>1</v>
      </c>
      <c r="U712">
        <f t="shared" ca="1" si="296"/>
        <v>51800.26683766341</v>
      </c>
      <c r="V712">
        <f t="shared" ca="1" si="297"/>
        <v>269361.38755584974</v>
      </c>
      <c r="W712">
        <f t="shared" ca="1" si="298"/>
        <v>2.5998695052916441</v>
      </c>
      <c r="X712">
        <f t="shared" ca="1" si="299"/>
        <v>1.8933671400629237E-4</v>
      </c>
      <c r="Y712">
        <f t="shared" ca="1" si="300"/>
        <v>52432.547837663413</v>
      </c>
      <c r="Z712">
        <f t="shared" ca="1" si="301"/>
        <v>52432.547837665239</v>
      </c>
      <c r="AA712">
        <f t="shared" ca="1" si="302"/>
        <v>2.2562304480281055E-12</v>
      </c>
      <c r="AB712">
        <f t="shared" ca="1" si="303"/>
        <v>-5.0000000192085281E-4</v>
      </c>
      <c r="AC712">
        <f t="shared" ca="1" si="304"/>
        <v>1</v>
      </c>
      <c r="AD712">
        <f ca="1">IF(V32="Supercritical",L712,IF(V32="Subcritical",U712,IF(AND(T712=1,AC712=1),IF((((F712)*(L712)^2)/2+(G712)*(L712)^3/3+(ABS(K712)^2)/($I$5*MAX(((F712)+(G712)*(L712))*(L712),0.000001)))&gt;=(((F712)*(U712)^2)/2+(G712)*(U712)^3/3+(ABS(K712)^2)/($I$5*MAX(((F712)+(G712)*(U712))*(U712),0.000001))),L712,U712),IF(T712=1,L712,IF(AC712=1,U712,MAX($D$16,POWER((ABS(K712)^2)/($I$5*MAX(F712,0.1)^2),1/3)))))))</f>
        <v>51800.26683766341</v>
      </c>
      <c r="AE712">
        <f t="shared" ca="1" si="305"/>
        <v>52432.547837663413</v>
      </c>
      <c r="AF712">
        <f t="shared" ca="1" si="306"/>
        <v>52432.547837665239</v>
      </c>
      <c r="AI712">
        <v>0</v>
      </c>
      <c r="AJ712">
        <v>0</v>
      </c>
      <c r="AK712">
        <f t="shared" si="307"/>
        <v>0</v>
      </c>
      <c r="AL712">
        <f t="shared" si="316"/>
        <v>0</v>
      </c>
      <c r="AM712">
        <f t="shared" ca="1" si="308"/>
        <v>2.6560383008097266E-7</v>
      </c>
      <c r="AN712" t="str">
        <f t="shared" ca="1" si="309"/>
        <v>Subcritical</v>
      </c>
      <c r="AO712">
        <f t="shared" ca="1" si="310"/>
        <v>2.2562304480281055E-12</v>
      </c>
    </row>
    <row r="713" spans="1:41" x14ac:dyDescent="0.35">
      <c r="A713">
        <v>564</v>
      </c>
      <c r="B713">
        <v>562.89499999999998</v>
      </c>
      <c r="C713">
        <v>616174.495</v>
      </c>
      <c r="D713">
        <v>3097421.2689999999</v>
      </c>
      <c r="E713">
        <v>632.28049999999996</v>
      </c>
      <c r="F713">
        <v>5.2</v>
      </c>
      <c r="G713">
        <v>0</v>
      </c>
      <c r="H713" t="s">
        <v>186</v>
      </c>
      <c r="I713">
        <v>0.05</v>
      </c>
      <c r="J713">
        <f t="shared" si="311"/>
        <v>0.99900000000002365</v>
      </c>
      <c r="K713">
        <f t="shared" si="312"/>
        <v>51</v>
      </c>
      <c r="L713">
        <f t="shared" ca="1" si="313"/>
        <v>51797.843837663619</v>
      </c>
      <c r="M713">
        <f t="shared" ca="1" si="290"/>
        <v>269348.78795585083</v>
      </c>
      <c r="N713">
        <f t="shared" ca="1" si="291"/>
        <v>2.5998694991876676</v>
      </c>
      <c r="O713">
        <f t="shared" ca="1" si="292"/>
        <v>1.8934557080078435E-4</v>
      </c>
      <c r="P713">
        <f t="shared" ca="1" si="293"/>
        <v>52430.124337663619</v>
      </c>
      <c r="Q713">
        <f t="shared" ca="1" si="294"/>
        <v>52430.124337665446</v>
      </c>
      <c r="R713">
        <f t="shared" ca="1" si="295"/>
        <v>2.2564415439646509E-12</v>
      </c>
      <c r="S713">
        <f t="shared" ca="1" si="314"/>
        <v>5.0000000192085281E-4</v>
      </c>
      <c r="T713">
        <f t="shared" ca="1" si="315"/>
        <v>1</v>
      </c>
      <c r="U713">
        <f t="shared" ca="1" si="296"/>
        <v>51800.26683766341</v>
      </c>
      <c r="V713">
        <f t="shared" ca="1" si="297"/>
        <v>269361.38755584974</v>
      </c>
      <c r="W713">
        <f t="shared" ca="1" si="298"/>
        <v>2.5998695052916441</v>
      </c>
      <c r="X713">
        <f t="shared" ca="1" si="299"/>
        <v>1.8933671400629237E-4</v>
      </c>
      <c r="Y713">
        <f t="shared" ca="1" si="300"/>
        <v>52432.547337663411</v>
      </c>
      <c r="Z713">
        <f t="shared" ca="1" si="301"/>
        <v>52432.547337665237</v>
      </c>
      <c r="AA713">
        <f t="shared" ca="1" si="302"/>
        <v>2.2562304480281055E-12</v>
      </c>
      <c r="AB713">
        <f t="shared" ca="1" si="303"/>
        <v>-5.0000000192085281E-4</v>
      </c>
      <c r="AC713">
        <f t="shared" ca="1" si="304"/>
        <v>1</v>
      </c>
      <c r="AD713">
        <f ca="1">IF(V32="Supercritical",L713,IF(V32="Subcritical",U713,IF(AND(T713=1,AC713=1),IF((((F713)*(L713)^2)/2+(G713)*(L713)^3/3+(ABS(K713)^2)/($I$5*MAX(((F713)+(G713)*(L713))*(L713),0.000001)))&gt;=(((F713)*(U713)^2)/2+(G713)*(U713)^3/3+(ABS(K713)^2)/($I$5*MAX(((F713)+(G713)*(U713))*(U713),0.000001))),L713,U713),IF(T713=1,L713,IF(AC713=1,U713,MAX($D$16,POWER((ABS(K713)^2)/($I$5*MAX(F713,0.1)^2),1/3)))))))</f>
        <v>51800.26683766341</v>
      </c>
      <c r="AE713">
        <f t="shared" ca="1" si="305"/>
        <v>52432.547337663411</v>
      </c>
      <c r="AF713">
        <f t="shared" ca="1" si="306"/>
        <v>52432.547337665237</v>
      </c>
      <c r="AI713">
        <v>0</v>
      </c>
      <c r="AJ713">
        <v>0</v>
      </c>
      <c r="AK713">
        <f t="shared" si="307"/>
        <v>0</v>
      </c>
      <c r="AL713">
        <f t="shared" si="316"/>
        <v>0</v>
      </c>
      <c r="AM713">
        <f t="shared" ca="1" si="308"/>
        <v>2.6560383008097266E-7</v>
      </c>
      <c r="AN713" t="str">
        <f t="shared" ca="1" si="309"/>
        <v>Subcritical</v>
      </c>
      <c r="AO713">
        <f t="shared" ca="1" si="310"/>
        <v>2.2562304480281055E-12</v>
      </c>
    </row>
    <row r="714" spans="1:41" x14ac:dyDescent="0.35">
      <c r="A714">
        <v>565</v>
      </c>
      <c r="B714">
        <v>563.89499999999998</v>
      </c>
      <c r="C714">
        <v>616174.02</v>
      </c>
      <c r="D714">
        <v>3097420.389</v>
      </c>
      <c r="E714">
        <v>632.28</v>
      </c>
      <c r="F714">
        <v>5.2</v>
      </c>
      <c r="G714">
        <v>0</v>
      </c>
      <c r="H714" t="s">
        <v>186</v>
      </c>
      <c r="I714">
        <v>7.8E-2</v>
      </c>
      <c r="J714">
        <f t="shared" si="311"/>
        <v>1</v>
      </c>
      <c r="K714">
        <f t="shared" si="312"/>
        <v>51</v>
      </c>
      <c r="L714">
        <f t="shared" ca="1" si="313"/>
        <v>51797.843837663619</v>
      </c>
      <c r="M714">
        <f t="shared" ca="1" si="290"/>
        <v>269348.78795585083</v>
      </c>
      <c r="N714">
        <f t="shared" ca="1" si="291"/>
        <v>2.5998694991876676</v>
      </c>
      <c r="O714">
        <f t="shared" ca="1" si="292"/>
        <v>1.8934557080078435E-4</v>
      </c>
      <c r="P714">
        <f t="shared" ca="1" si="293"/>
        <v>52430.123837663617</v>
      </c>
      <c r="Q714">
        <f t="shared" ca="1" si="294"/>
        <v>52430.123837665444</v>
      </c>
      <c r="R714">
        <f t="shared" ca="1" si="295"/>
        <v>2.2564415439646509E-12</v>
      </c>
      <c r="S714">
        <f t="shared" ca="1" si="314"/>
        <v>5.0000000192085281E-4</v>
      </c>
      <c r="T714">
        <f t="shared" ca="1" si="315"/>
        <v>1</v>
      </c>
      <c r="U714">
        <f t="shared" ca="1" si="296"/>
        <v>51800.26683766341</v>
      </c>
      <c r="V714">
        <f t="shared" ca="1" si="297"/>
        <v>269361.38755584974</v>
      </c>
      <c r="W714">
        <f t="shared" ca="1" si="298"/>
        <v>2.5998695052916441</v>
      </c>
      <c r="X714">
        <f t="shared" ca="1" si="299"/>
        <v>1.8933671400629237E-4</v>
      </c>
      <c r="Y714">
        <f t="shared" ca="1" si="300"/>
        <v>52432.546837663409</v>
      </c>
      <c r="Z714">
        <f t="shared" ca="1" si="301"/>
        <v>52432.546837665235</v>
      </c>
      <c r="AA714">
        <f t="shared" ca="1" si="302"/>
        <v>2.2562304480281055E-12</v>
      </c>
      <c r="AB714">
        <f t="shared" ca="1" si="303"/>
        <v>-5.0000000192085281E-4</v>
      </c>
      <c r="AC714">
        <f t="shared" ca="1" si="304"/>
        <v>1</v>
      </c>
      <c r="AD714">
        <f ca="1">IF(V32="Supercritical",L714,IF(V32="Subcritical",U714,IF(AND(T714=1,AC714=1),IF((((F714)*(L714)^2)/2+(G714)*(L714)^3/3+(ABS(K714)^2)/($I$5*MAX(((F714)+(G714)*(L714))*(L714),0.000001)))&gt;=(((F714)*(U714)^2)/2+(G714)*(U714)^3/3+(ABS(K714)^2)/($I$5*MAX(((F714)+(G714)*(U714))*(U714),0.000001))),L714,U714),IF(T714=1,L714,IF(AC714=1,U714,MAX($D$16,POWER((ABS(K714)^2)/($I$5*MAX(F714,0.1)^2),1/3)))))))</f>
        <v>51800.26683766341</v>
      </c>
      <c r="AE714">
        <f t="shared" ca="1" si="305"/>
        <v>52432.546837663409</v>
      </c>
      <c r="AF714">
        <f t="shared" ca="1" si="306"/>
        <v>52432.546837665235</v>
      </c>
      <c r="AI714">
        <v>0</v>
      </c>
      <c r="AJ714">
        <v>0</v>
      </c>
      <c r="AK714">
        <f t="shared" si="307"/>
        <v>0</v>
      </c>
      <c r="AL714">
        <f t="shared" si="316"/>
        <v>0</v>
      </c>
      <c r="AM714">
        <f t="shared" ca="1" si="308"/>
        <v>2.6560383008097266E-7</v>
      </c>
      <c r="AN714" t="str">
        <f t="shared" ca="1" si="309"/>
        <v>Subcritical</v>
      </c>
      <c r="AO714">
        <f t="shared" ca="1" si="310"/>
        <v>2.2562304480281055E-12</v>
      </c>
    </row>
    <row r="715" spans="1:41" x14ac:dyDescent="0.35">
      <c r="A715">
        <v>566</v>
      </c>
      <c r="B715">
        <v>564.89599999999996</v>
      </c>
      <c r="C715">
        <v>616173.54599999997</v>
      </c>
      <c r="D715">
        <v>3097419.5079999999</v>
      </c>
      <c r="E715">
        <v>632.27949999999998</v>
      </c>
      <c r="F715">
        <v>5.2</v>
      </c>
      <c r="G715">
        <v>0</v>
      </c>
      <c r="H715" t="s">
        <v>186</v>
      </c>
      <c r="I715">
        <v>2.7E-2</v>
      </c>
      <c r="J715">
        <f t="shared" si="311"/>
        <v>1.0009999999999764</v>
      </c>
      <c r="K715">
        <f t="shared" si="312"/>
        <v>51</v>
      </c>
      <c r="L715">
        <f t="shared" ca="1" si="313"/>
        <v>51797.843837663619</v>
      </c>
      <c r="M715">
        <f t="shared" ca="1" si="290"/>
        <v>269348.78795585083</v>
      </c>
      <c r="N715">
        <f t="shared" ca="1" si="291"/>
        <v>2.5998694991876676</v>
      </c>
      <c r="O715">
        <f t="shared" ca="1" si="292"/>
        <v>1.8934557080078435E-4</v>
      </c>
      <c r="P715">
        <f t="shared" ca="1" si="293"/>
        <v>52430.123337663616</v>
      </c>
      <c r="Q715">
        <f t="shared" ca="1" si="294"/>
        <v>52430.123337665442</v>
      </c>
      <c r="R715">
        <f t="shared" ca="1" si="295"/>
        <v>2.2564415439646509E-12</v>
      </c>
      <c r="S715">
        <f t="shared" ca="1" si="314"/>
        <v>5.0000000192085281E-4</v>
      </c>
      <c r="T715">
        <f t="shared" ca="1" si="315"/>
        <v>1</v>
      </c>
      <c r="U715">
        <f t="shared" ca="1" si="296"/>
        <v>51800.26683766341</v>
      </c>
      <c r="V715">
        <f t="shared" ca="1" si="297"/>
        <v>269361.38755584974</v>
      </c>
      <c r="W715">
        <f t="shared" ca="1" si="298"/>
        <v>2.5998695052916441</v>
      </c>
      <c r="X715">
        <f t="shared" ca="1" si="299"/>
        <v>1.8933671400629237E-4</v>
      </c>
      <c r="Y715">
        <f t="shared" ca="1" si="300"/>
        <v>52432.546337663407</v>
      </c>
      <c r="Z715">
        <f t="shared" ca="1" si="301"/>
        <v>52432.546337665233</v>
      </c>
      <c r="AA715">
        <f t="shared" ca="1" si="302"/>
        <v>2.2562304480281055E-12</v>
      </c>
      <c r="AB715">
        <f t="shared" ca="1" si="303"/>
        <v>-4.999999946448952E-4</v>
      </c>
      <c r="AC715">
        <f t="shared" ca="1" si="304"/>
        <v>1</v>
      </c>
      <c r="AD715">
        <f ca="1">IF(V32="Supercritical",L715,IF(V32="Subcritical",U715,IF(AND(T715=1,AC715=1),IF((((F715)*(L715)^2)/2+(G715)*(L715)^3/3+(ABS(K715)^2)/($I$5*MAX(((F715)+(G715)*(L715))*(L715),0.000001)))&gt;=(((F715)*(U715)^2)/2+(G715)*(U715)^3/3+(ABS(K715)^2)/($I$5*MAX(((F715)+(G715)*(U715))*(U715),0.000001))),L715,U715),IF(T715=1,L715,IF(AC715=1,U715,MAX($D$16,POWER((ABS(K715)^2)/($I$5*MAX(F715,0.1)^2),1/3)))))))</f>
        <v>51800.26683766341</v>
      </c>
      <c r="AE715">
        <f t="shared" ca="1" si="305"/>
        <v>52432.546337663407</v>
      </c>
      <c r="AF715">
        <f t="shared" ca="1" si="306"/>
        <v>52432.546337665233</v>
      </c>
      <c r="AI715">
        <v>0</v>
      </c>
      <c r="AJ715">
        <v>0</v>
      </c>
      <c r="AK715">
        <f t="shared" si="307"/>
        <v>0</v>
      </c>
      <c r="AL715">
        <f t="shared" si="316"/>
        <v>0</v>
      </c>
      <c r="AM715">
        <f t="shared" ca="1" si="308"/>
        <v>2.6560383008097266E-7</v>
      </c>
      <c r="AN715" t="str">
        <f t="shared" ca="1" si="309"/>
        <v>Subcritical</v>
      </c>
      <c r="AO715">
        <f t="shared" ca="1" si="310"/>
        <v>2.2562304480281055E-12</v>
      </c>
    </row>
    <row r="716" spans="1:41" x14ac:dyDescent="0.35">
      <c r="A716">
        <v>567</v>
      </c>
      <c r="B716">
        <v>565.89499999999998</v>
      </c>
      <c r="C716">
        <v>616173.07200000004</v>
      </c>
      <c r="D716">
        <v>3097418.628</v>
      </c>
      <c r="E716">
        <v>632.279</v>
      </c>
      <c r="F716">
        <v>5.2</v>
      </c>
      <c r="G716">
        <v>0</v>
      </c>
      <c r="H716" t="s">
        <v>186</v>
      </c>
      <c r="I716">
        <v>2.7E-2</v>
      </c>
      <c r="J716">
        <f t="shared" si="311"/>
        <v>0.99900000000002365</v>
      </c>
      <c r="K716">
        <f t="shared" si="312"/>
        <v>51</v>
      </c>
      <c r="L716">
        <f t="shared" ca="1" si="313"/>
        <v>51797.843837663619</v>
      </c>
      <c r="M716">
        <f t="shared" ca="1" si="290"/>
        <v>269348.78795585083</v>
      </c>
      <c r="N716">
        <f t="shared" ca="1" si="291"/>
        <v>2.5998694991876676</v>
      </c>
      <c r="O716">
        <f t="shared" ca="1" si="292"/>
        <v>1.8934557080078435E-4</v>
      </c>
      <c r="P716">
        <f t="shared" ca="1" si="293"/>
        <v>52430.122837663621</v>
      </c>
      <c r="Q716">
        <f t="shared" ca="1" si="294"/>
        <v>52430.122837665447</v>
      </c>
      <c r="R716">
        <f t="shared" ca="1" si="295"/>
        <v>2.2564415439646509E-12</v>
      </c>
      <c r="S716">
        <f t="shared" ca="1" si="314"/>
        <v>4.999999946448952E-4</v>
      </c>
      <c r="T716">
        <f t="shared" ca="1" si="315"/>
        <v>1</v>
      </c>
      <c r="U716">
        <f t="shared" ca="1" si="296"/>
        <v>51800.26683766341</v>
      </c>
      <c r="V716">
        <f t="shared" ca="1" si="297"/>
        <v>269361.38755584974</v>
      </c>
      <c r="W716">
        <f t="shared" ca="1" si="298"/>
        <v>2.5998695052916441</v>
      </c>
      <c r="X716">
        <f t="shared" ca="1" si="299"/>
        <v>1.8933671400629237E-4</v>
      </c>
      <c r="Y716">
        <f t="shared" ca="1" si="300"/>
        <v>52432.545837663412</v>
      </c>
      <c r="Z716">
        <f t="shared" ca="1" si="301"/>
        <v>52432.545837665239</v>
      </c>
      <c r="AA716">
        <f t="shared" ca="1" si="302"/>
        <v>2.2562304480281055E-12</v>
      </c>
      <c r="AB716">
        <f t="shared" ca="1" si="303"/>
        <v>-5.0000000192085281E-4</v>
      </c>
      <c r="AC716">
        <f t="shared" ca="1" si="304"/>
        <v>1</v>
      </c>
      <c r="AD716">
        <f ca="1">IF(V32="Supercritical",L716,IF(V32="Subcritical",U716,IF(AND(T716=1,AC716=1),IF((((F716)*(L716)^2)/2+(G716)*(L716)^3/3+(ABS(K716)^2)/($I$5*MAX(((F716)+(G716)*(L716))*(L716),0.000001)))&gt;=(((F716)*(U716)^2)/2+(G716)*(U716)^3/3+(ABS(K716)^2)/($I$5*MAX(((F716)+(G716)*(U716))*(U716),0.000001))),L716,U716),IF(T716=1,L716,IF(AC716=1,U716,MAX($D$16,POWER((ABS(K716)^2)/($I$5*MAX(F716,0.1)^2),1/3)))))))</f>
        <v>51800.26683766341</v>
      </c>
      <c r="AE716">
        <f t="shared" ca="1" si="305"/>
        <v>52432.545837663412</v>
      </c>
      <c r="AF716">
        <f t="shared" ca="1" si="306"/>
        <v>52432.545837665239</v>
      </c>
      <c r="AI716">
        <v>0</v>
      </c>
      <c r="AJ716">
        <v>0</v>
      </c>
      <c r="AK716">
        <f t="shared" si="307"/>
        <v>0</v>
      </c>
      <c r="AL716">
        <f t="shared" si="316"/>
        <v>0</v>
      </c>
      <c r="AM716">
        <f t="shared" ca="1" si="308"/>
        <v>2.6560383008097266E-7</v>
      </c>
      <c r="AN716" t="str">
        <f t="shared" ca="1" si="309"/>
        <v>Subcritical</v>
      </c>
      <c r="AO716">
        <f t="shared" ca="1" si="310"/>
        <v>2.2562304480281055E-12</v>
      </c>
    </row>
    <row r="717" spans="1:41" x14ac:dyDescent="0.35">
      <c r="A717">
        <v>568</v>
      </c>
      <c r="B717">
        <v>566.89499999999998</v>
      </c>
      <c r="C717">
        <v>616172.598</v>
      </c>
      <c r="D717">
        <v>3097417.747</v>
      </c>
      <c r="E717">
        <v>632.27850000000001</v>
      </c>
      <c r="F717">
        <v>5.2</v>
      </c>
      <c r="G717">
        <v>0</v>
      </c>
      <c r="H717" t="s">
        <v>186</v>
      </c>
      <c r="I717">
        <v>7.8E-2</v>
      </c>
      <c r="J717">
        <f t="shared" si="311"/>
        <v>1</v>
      </c>
      <c r="K717">
        <f t="shared" si="312"/>
        <v>51</v>
      </c>
      <c r="L717">
        <f t="shared" ca="1" si="313"/>
        <v>51797.843837663619</v>
      </c>
      <c r="M717">
        <f t="shared" ca="1" si="290"/>
        <v>269348.78795585083</v>
      </c>
      <c r="N717">
        <f t="shared" ca="1" si="291"/>
        <v>2.5998694991876676</v>
      </c>
      <c r="O717">
        <f t="shared" ca="1" si="292"/>
        <v>1.8934557080078435E-4</v>
      </c>
      <c r="P717">
        <f t="shared" ca="1" si="293"/>
        <v>52430.122337663619</v>
      </c>
      <c r="Q717">
        <f t="shared" ca="1" si="294"/>
        <v>52430.122337665445</v>
      </c>
      <c r="R717">
        <f t="shared" ca="1" si="295"/>
        <v>2.2564415439646509E-12</v>
      </c>
      <c r="S717">
        <f t="shared" ca="1" si="314"/>
        <v>5.0000000192085281E-4</v>
      </c>
      <c r="T717">
        <f t="shared" ca="1" si="315"/>
        <v>1</v>
      </c>
      <c r="U717">
        <f t="shared" ca="1" si="296"/>
        <v>51800.26683766341</v>
      </c>
      <c r="V717">
        <f t="shared" ca="1" si="297"/>
        <v>269361.38755584974</v>
      </c>
      <c r="W717">
        <f t="shared" ca="1" si="298"/>
        <v>2.5998695052916441</v>
      </c>
      <c r="X717">
        <f t="shared" ca="1" si="299"/>
        <v>1.8933671400629237E-4</v>
      </c>
      <c r="Y717">
        <f t="shared" ca="1" si="300"/>
        <v>52432.54533766341</v>
      </c>
      <c r="Z717">
        <f t="shared" ca="1" si="301"/>
        <v>52432.545337665237</v>
      </c>
      <c r="AA717">
        <f t="shared" ca="1" si="302"/>
        <v>2.2562304480281055E-12</v>
      </c>
      <c r="AB717">
        <f t="shared" ca="1" si="303"/>
        <v>-5.0000000192085281E-4</v>
      </c>
      <c r="AC717">
        <f t="shared" ca="1" si="304"/>
        <v>1</v>
      </c>
      <c r="AD717">
        <f ca="1">IF(V32="Supercritical",L717,IF(V32="Subcritical",U717,IF(AND(T717=1,AC717=1),IF((((F717)*(L717)^2)/2+(G717)*(L717)^3/3+(ABS(K717)^2)/($I$5*MAX(((F717)+(G717)*(L717))*(L717),0.000001)))&gt;=(((F717)*(U717)^2)/2+(G717)*(U717)^3/3+(ABS(K717)^2)/($I$5*MAX(((F717)+(G717)*(U717))*(U717),0.000001))),L717,U717),IF(T717=1,L717,IF(AC717=1,U717,MAX($D$16,POWER((ABS(K717)^2)/($I$5*MAX(F717,0.1)^2),1/3)))))))</f>
        <v>51800.26683766341</v>
      </c>
      <c r="AE717">
        <f t="shared" ca="1" si="305"/>
        <v>52432.54533766341</v>
      </c>
      <c r="AF717">
        <f t="shared" ca="1" si="306"/>
        <v>52432.545337665237</v>
      </c>
      <c r="AI717">
        <v>0</v>
      </c>
      <c r="AJ717">
        <v>0</v>
      </c>
      <c r="AK717">
        <f t="shared" si="307"/>
        <v>0</v>
      </c>
      <c r="AL717">
        <f t="shared" si="316"/>
        <v>0</v>
      </c>
      <c r="AM717">
        <f t="shared" ca="1" si="308"/>
        <v>2.6560383008097266E-7</v>
      </c>
      <c r="AN717" t="str">
        <f t="shared" ca="1" si="309"/>
        <v>Subcritical</v>
      </c>
      <c r="AO717">
        <f t="shared" ca="1" si="310"/>
        <v>2.2562304480281055E-12</v>
      </c>
    </row>
    <row r="718" spans="1:41" x14ac:dyDescent="0.35">
      <c r="A718">
        <v>569</v>
      </c>
      <c r="B718">
        <v>567.89499999999998</v>
      </c>
      <c r="C718">
        <v>616172.12300000002</v>
      </c>
      <c r="D718">
        <v>3097416.8670000001</v>
      </c>
      <c r="E718">
        <v>632.27800000000002</v>
      </c>
      <c r="F718">
        <v>5.2</v>
      </c>
      <c r="G718">
        <v>0</v>
      </c>
      <c r="H718" t="s">
        <v>186</v>
      </c>
      <c r="I718">
        <v>0.05</v>
      </c>
      <c r="J718">
        <f t="shared" si="311"/>
        <v>1</v>
      </c>
      <c r="K718">
        <f t="shared" si="312"/>
        <v>51</v>
      </c>
      <c r="L718">
        <f t="shared" ca="1" si="313"/>
        <v>51797.843837663619</v>
      </c>
      <c r="M718">
        <f t="shared" ca="1" si="290"/>
        <v>269348.78795585083</v>
      </c>
      <c r="N718">
        <f t="shared" ca="1" si="291"/>
        <v>2.5998694991876676</v>
      </c>
      <c r="O718">
        <f t="shared" ca="1" si="292"/>
        <v>1.8934557080078435E-4</v>
      </c>
      <c r="P718">
        <f t="shared" ca="1" si="293"/>
        <v>52430.121837663617</v>
      </c>
      <c r="Q718">
        <f t="shared" ca="1" si="294"/>
        <v>52430.121837665443</v>
      </c>
      <c r="R718">
        <f t="shared" ca="1" si="295"/>
        <v>2.2564415439646509E-12</v>
      </c>
      <c r="S718">
        <f t="shared" ca="1" si="314"/>
        <v>5.0000000192085281E-4</v>
      </c>
      <c r="T718">
        <f t="shared" ca="1" si="315"/>
        <v>1</v>
      </c>
      <c r="U718">
        <f t="shared" ca="1" si="296"/>
        <v>51800.26683766341</v>
      </c>
      <c r="V718">
        <f t="shared" ca="1" si="297"/>
        <v>269361.38755584974</v>
      </c>
      <c r="W718">
        <f t="shared" ca="1" si="298"/>
        <v>2.5998695052916441</v>
      </c>
      <c r="X718">
        <f t="shared" ca="1" si="299"/>
        <v>1.8933671400629237E-4</v>
      </c>
      <c r="Y718">
        <f t="shared" ca="1" si="300"/>
        <v>52432.544837663409</v>
      </c>
      <c r="Z718">
        <f t="shared" ca="1" si="301"/>
        <v>52432.544837665235</v>
      </c>
      <c r="AA718">
        <f t="shared" ca="1" si="302"/>
        <v>2.2562304480281055E-12</v>
      </c>
      <c r="AB718">
        <f t="shared" ca="1" si="303"/>
        <v>-5.0000000192085281E-4</v>
      </c>
      <c r="AC718">
        <f t="shared" ca="1" si="304"/>
        <v>1</v>
      </c>
      <c r="AD718">
        <f ca="1">IF(V32="Supercritical",L718,IF(V32="Subcritical",U718,IF(AND(T718=1,AC718=1),IF((((F718)*(L718)^2)/2+(G718)*(L718)^3/3+(ABS(K718)^2)/($I$5*MAX(((F718)+(G718)*(L718))*(L718),0.000001)))&gt;=(((F718)*(U718)^2)/2+(G718)*(U718)^3/3+(ABS(K718)^2)/($I$5*MAX(((F718)+(G718)*(U718))*(U718),0.000001))),L718,U718),IF(T718=1,L718,IF(AC718=1,U718,MAX($D$16,POWER((ABS(K718)^2)/($I$5*MAX(F718,0.1)^2),1/3)))))))</f>
        <v>51800.26683766341</v>
      </c>
      <c r="AE718">
        <f t="shared" ca="1" si="305"/>
        <v>52432.544837663409</v>
      </c>
      <c r="AF718">
        <f t="shared" ca="1" si="306"/>
        <v>52432.544837665235</v>
      </c>
      <c r="AI718">
        <v>0</v>
      </c>
      <c r="AJ718">
        <v>0</v>
      </c>
      <c r="AK718">
        <f t="shared" si="307"/>
        <v>0</v>
      </c>
      <c r="AL718">
        <f t="shared" si="316"/>
        <v>0</v>
      </c>
      <c r="AM718">
        <f t="shared" ca="1" si="308"/>
        <v>2.6560383008097266E-7</v>
      </c>
      <c r="AN718" t="str">
        <f t="shared" ca="1" si="309"/>
        <v>Subcritical</v>
      </c>
      <c r="AO718">
        <f t="shared" ca="1" si="310"/>
        <v>2.2562304480281055E-12</v>
      </c>
    </row>
    <row r="719" spans="1:41" x14ac:dyDescent="0.35">
      <c r="A719">
        <v>570</v>
      </c>
      <c r="B719">
        <v>568.89499999999998</v>
      </c>
      <c r="C719">
        <v>616171.64899999998</v>
      </c>
      <c r="D719">
        <v>3097415.9870000002</v>
      </c>
      <c r="E719">
        <v>632.27750000000003</v>
      </c>
      <c r="F719">
        <v>5.2</v>
      </c>
      <c r="G719">
        <v>0</v>
      </c>
      <c r="H719" t="s">
        <v>186</v>
      </c>
      <c r="I719">
        <v>2.7E-2</v>
      </c>
      <c r="J719">
        <f t="shared" si="311"/>
        <v>1</v>
      </c>
      <c r="K719">
        <f t="shared" si="312"/>
        <v>51</v>
      </c>
      <c r="L719">
        <f t="shared" ca="1" si="313"/>
        <v>51797.843837663619</v>
      </c>
      <c r="M719">
        <f t="shared" ca="1" si="290"/>
        <v>269348.78795585083</v>
      </c>
      <c r="N719">
        <f t="shared" ca="1" si="291"/>
        <v>2.5998694991876676</v>
      </c>
      <c r="O719">
        <f t="shared" ca="1" si="292"/>
        <v>1.8934557080078435E-4</v>
      </c>
      <c r="P719">
        <f t="shared" ca="1" si="293"/>
        <v>52430.121337663615</v>
      </c>
      <c r="Q719">
        <f t="shared" ca="1" si="294"/>
        <v>52430.121337665441</v>
      </c>
      <c r="R719">
        <f t="shared" ca="1" si="295"/>
        <v>2.2564415439646509E-12</v>
      </c>
      <c r="S719">
        <f t="shared" ca="1" si="314"/>
        <v>5.0000000192085281E-4</v>
      </c>
      <c r="T719">
        <f t="shared" ca="1" si="315"/>
        <v>1</v>
      </c>
      <c r="U719">
        <f t="shared" ca="1" si="296"/>
        <v>51800.26683766341</v>
      </c>
      <c r="V719">
        <f t="shared" ca="1" si="297"/>
        <v>269361.38755584974</v>
      </c>
      <c r="W719">
        <f t="shared" ca="1" si="298"/>
        <v>2.5998695052916441</v>
      </c>
      <c r="X719">
        <f t="shared" ca="1" si="299"/>
        <v>1.8933671400629237E-4</v>
      </c>
      <c r="Y719">
        <f t="shared" ca="1" si="300"/>
        <v>52432.544337663407</v>
      </c>
      <c r="Z719">
        <f t="shared" ca="1" si="301"/>
        <v>52432.544337665233</v>
      </c>
      <c r="AA719">
        <f t="shared" ca="1" si="302"/>
        <v>2.2562304480281055E-12</v>
      </c>
      <c r="AB719">
        <f t="shared" ca="1" si="303"/>
        <v>-4.999999946448952E-4</v>
      </c>
      <c r="AC719">
        <f t="shared" ca="1" si="304"/>
        <v>1</v>
      </c>
      <c r="AD719">
        <f ca="1">IF(V32="Supercritical",L719,IF(V32="Subcritical",U719,IF(AND(T719=1,AC719=1),IF((((F719)*(L719)^2)/2+(G719)*(L719)^3/3+(ABS(K719)^2)/($I$5*MAX(((F719)+(G719)*(L719))*(L719),0.000001)))&gt;=(((F719)*(U719)^2)/2+(G719)*(U719)^3/3+(ABS(K719)^2)/($I$5*MAX(((F719)+(G719)*(U719))*(U719),0.000001))),L719,U719),IF(T719=1,L719,IF(AC719=1,U719,MAX($D$16,POWER((ABS(K719)^2)/($I$5*MAX(F719,0.1)^2),1/3)))))))</f>
        <v>51800.26683766341</v>
      </c>
      <c r="AE719">
        <f t="shared" ca="1" si="305"/>
        <v>52432.544337663407</v>
      </c>
      <c r="AF719">
        <f t="shared" ca="1" si="306"/>
        <v>52432.544337665233</v>
      </c>
      <c r="AI719">
        <v>0</v>
      </c>
      <c r="AJ719">
        <v>0</v>
      </c>
      <c r="AK719">
        <f t="shared" si="307"/>
        <v>0</v>
      </c>
      <c r="AL719">
        <f t="shared" si="316"/>
        <v>0</v>
      </c>
      <c r="AM719">
        <f t="shared" ca="1" si="308"/>
        <v>2.6560383008097266E-7</v>
      </c>
      <c r="AN719" t="str">
        <f t="shared" ca="1" si="309"/>
        <v>Subcritical</v>
      </c>
      <c r="AO719">
        <f t="shared" ca="1" si="310"/>
        <v>2.2562304480281055E-12</v>
      </c>
    </row>
    <row r="720" spans="1:41" x14ac:dyDescent="0.35">
      <c r="A720">
        <v>571</v>
      </c>
      <c r="B720">
        <v>569.89499999999998</v>
      </c>
      <c r="C720">
        <v>616171.17500000005</v>
      </c>
      <c r="D720">
        <v>3097415.1060000001</v>
      </c>
      <c r="E720">
        <v>632.27700000000004</v>
      </c>
      <c r="F720">
        <v>5.2</v>
      </c>
      <c r="G720">
        <v>0</v>
      </c>
      <c r="H720" t="s">
        <v>186</v>
      </c>
      <c r="I720">
        <v>2.7E-2</v>
      </c>
      <c r="J720">
        <f t="shared" si="311"/>
        <v>1</v>
      </c>
      <c r="K720">
        <f t="shared" si="312"/>
        <v>51</v>
      </c>
      <c r="L720">
        <f t="shared" ca="1" si="313"/>
        <v>51797.843837663619</v>
      </c>
      <c r="M720">
        <f t="shared" ca="1" si="290"/>
        <v>269348.78795585083</v>
      </c>
      <c r="N720">
        <f t="shared" ca="1" si="291"/>
        <v>2.5998694991876676</v>
      </c>
      <c r="O720">
        <f t="shared" ca="1" si="292"/>
        <v>1.8934557080078435E-4</v>
      </c>
      <c r="P720">
        <f t="shared" ca="1" si="293"/>
        <v>52430.12083766362</v>
      </c>
      <c r="Q720">
        <f t="shared" ca="1" si="294"/>
        <v>52430.120837665447</v>
      </c>
      <c r="R720">
        <f t="shared" ca="1" si="295"/>
        <v>2.2564415439646509E-12</v>
      </c>
      <c r="S720">
        <f t="shared" ca="1" si="314"/>
        <v>4.999999946448952E-4</v>
      </c>
      <c r="T720">
        <f t="shared" ca="1" si="315"/>
        <v>1</v>
      </c>
      <c r="U720">
        <f t="shared" ca="1" si="296"/>
        <v>51800.26683766341</v>
      </c>
      <c r="V720">
        <f t="shared" ca="1" si="297"/>
        <v>269361.38755584974</v>
      </c>
      <c r="W720">
        <f t="shared" ca="1" si="298"/>
        <v>2.5998695052916441</v>
      </c>
      <c r="X720">
        <f t="shared" ca="1" si="299"/>
        <v>1.8933671400629237E-4</v>
      </c>
      <c r="Y720">
        <f t="shared" ca="1" si="300"/>
        <v>52432.543837663412</v>
      </c>
      <c r="Z720">
        <f t="shared" ca="1" si="301"/>
        <v>52432.543837665238</v>
      </c>
      <c r="AA720">
        <f t="shared" ca="1" si="302"/>
        <v>2.2562304480281055E-12</v>
      </c>
      <c r="AB720">
        <f t="shared" ca="1" si="303"/>
        <v>-5.0000000192085281E-4</v>
      </c>
      <c r="AC720">
        <f t="shared" ca="1" si="304"/>
        <v>1</v>
      </c>
      <c r="AD720">
        <f ca="1">IF(V32="Supercritical",L720,IF(V32="Subcritical",U720,IF(AND(T720=1,AC720=1),IF((((F720)*(L720)^2)/2+(G720)*(L720)^3/3+(ABS(K720)^2)/($I$5*MAX(((F720)+(G720)*(L720))*(L720),0.000001)))&gt;=(((F720)*(U720)^2)/2+(G720)*(U720)^3/3+(ABS(K720)^2)/($I$5*MAX(((F720)+(G720)*(U720))*(U720),0.000001))),L720,U720),IF(T720=1,L720,IF(AC720=1,U720,MAX($D$16,POWER((ABS(K720)^2)/($I$5*MAX(F720,0.1)^2),1/3)))))))</f>
        <v>51800.26683766341</v>
      </c>
      <c r="AE720">
        <f t="shared" ca="1" si="305"/>
        <v>52432.543837663412</v>
      </c>
      <c r="AF720">
        <f t="shared" ca="1" si="306"/>
        <v>52432.543837665238</v>
      </c>
      <c r="AI720">
        <v>0</v>
      </c>
      <c r="AJ720">
        <v>0</v>
      </c>
      <c r="AK720">
        <f t="shared" si="307"/>
        <v>0</v>
      </c>
      <c r="AL720">
        <f t="shared" si="316"/>
        <v>0</v>
      </c>
      <c r="AM720">
        <f t="shared" ca="1" si="308"/>
        <v>2.6560383008097266E-7</v>
      </c>
      <c r="AN720" t="str">
        <f t="shared" ca="1" si="309"/>
        <v>Subcritical</v>
      </c>
      <c r="AO720">
        <f t="shared" ca="1" si="310"/>
        <v>2.2562304480281055E-12</v>
      </c>
    </row>
    <row r="721" spans="1:41" x14ac:dyDescent="0.35">
      <c r="A721">
        <v>572</v>
      </c>
      <c r="B721">
        <v>570.89499999999998</v>
      </c>
      <c r="C721">
        <v>616170.701</v>
      </c>
      <c r="D721">
        <v>3097414.2259999998</v>
      </c>
      <c r="E721">
        <v>632.27650000000006</v>
      </c>
      <c r="F721">
        <v>5.2</v>
      </c>
      <c r="G721">
        <v>0</v>
      </c>
      <c r="H721" t="s">
        <v>186</v>
      </c>
      <c r="I721">
        <v>2.3E-2</v>
      </c>
      <c r="J721">
        <f t="shared" si="311"/>
        <v>1</v>
      </c>
      <c r="K721">
        <f t="shared" si="312"/>
        <v>51</v>
      </c>
      <c r="L721">
        <f t="shared" ca="1" si="313"/>
        <v>51797.843837663619</v>
      </c>
      <c r="M721">
        <f t="shared" ca="1" si="290"/>
        <v>269348.78795585083</v>
      </c>
      <c r="N721">
        <f t="shared" ca="1" si="291"/>
        <v>2.5998694991876676</v>
      </c>
      <c r="O721">
        <f t="shared" ca="1" si="292"/>
        <v>1.8934557080078435E-4</v>
      </c>
      <c r="P721">
        <f t="shared" ca="1" si="293"/>
        <v>52430.120337663619</v>
      </c>
      <c r="Q721">
        <f t="shared" ca="1" si="294"/>
        <v>52430.120337665445</v>
      </c>
      <c r="R721">
        <f t="shared" ca="1" si="295"/>
        <v>2.2564415439646509E-12</v>
      </c>
      <c r="S721">
        <f t="shared" ca="1" si="314"/>
        <v>5.0000000192085281E-4</v>
      </c>
      <c r="T721">
        <f t="shared" ca="1" si="315"/>
        <v>1</v>
      </c>
      <c r="U721">
        <f t="shared" ca="1" si="296"/>
        <v>51800.26683766341</v>
      </c>
      <c r="V721">
        <f t="shared" ca="1" si="297"/>
        <v>269361.38755584974</v>
      </c>
      <c r="W721">
        <f t="shared" ca="1" si="298"/>
        <v>2.5998695052916441</v>
      </c>
      <c r="X721">
        <f t="shared" ca="1" si="299"/>
        <v>1.8933671400629237E-4</v>
      </c>
      <c r="Y721">
        <f t="shared" ca="1" si="300"/>
        <v>52432.54333766341</v>
      </c>
      <c r="Z721">
        <f t="shared" ca="1" si="301"/>
        <v>52432.543337665236</v>
      </c>
      <c r="AA721">
        <f t="shared" ca="1" si="302"/>
        <v>2.2562304480281055E-12</v>
      </c>
      <c r="AB721">
        <f t="shared" ca="1" si="303"/>
        <v>-5.0000000192085281E-4</v>
      </c>
      <c r="AC721">
        <f t="shared" ca="1" si="304"/>
        <v>1</v>
      </c>
      <c r="AD721">
        <f ca="1">IF(V32="Supercritical",L721,IF(V32="Subcritical",U721,IF(AND(T721=1,AC721=1),IF((((F721)*(L721)^2)/2+(G721)*(L721)^3/3+(ABS(K721)^2)/($I$5*MAX(((F721)+(G721)*(L721))*(L721),0.000001)))&gt;=(((F721)*(U721)^2)/2+(G721)*(U721)^3/3+(ABS(K721)^2)/($I$5*MAX(((F721)+(G721)*(U721))*(U721),0.000001))),L721,U721),IF(T721=1,L721,IF(AC721=1,U721,MAX($D$16,POWER((ABS(K721)^2)/($I$5*MAX(F721,0.1)^2),1/3)))))))</f>
        <v>51800.26683766341</v>
      </c>
      <c r="AE721">
        <f t="shared" ca="1" si="305"/>
        <v>52432.54333766341</v>
      </c>
      <c r="AF721">
        <f t="shared" ca="1" si="306"/>
        <v>52432.543337665236</v>
      </c>
      <c r="AI721">
        <v>0</v>
      </c>
      <c r="AJ721">
        <v>0</v>
      </c>
      <c r="AK721">
        <f t="shared" si="307"/>
        <v>0</v>
      </c>
      <c r="AL721">
        <f t="shared" si="316"/>
        <v>0</v>
      </c>
      <c r="AM721">
        <f t="shared" ca="1" si="308"/>
        <v>2.6560383008097266E-7</v>
      </c>
      <c r="AN721" t="str">
        <f t="shared" ca="1" si="309"/>
        <v>Subcritical</v>
      </c>
      <c r="AO721">
        <f t="shared" ca="1" si="310"/>
        <v>2.2562304480281055E-12</v>
      </c>
    </row>
    <row r="722" spans="1:41" x14ac:dyDescent="0.35">
      <c r="A722">
        <v>573</v>
      </c>
      <c r="B722">
        <v>571.89599999999996</v>
      </c>
      <c r="C722">
        <v>616170.22600000002</v>
      </c>
      <c r="D722">
        <v>3097413.3450000002</v>
      </c>
      <c r="E722">
        <v>632.27599999999995</v>
      </c>
      <c r="F722">
        <v>5.2</v>
      </c>
      <c r="G722">
        <v>0</v>
      </c>
      <c r="H722" t="s">
        <v>186</v>
      </c>
      <c r="I722">
        <v>2.3E-2</v>
      </c>
      <c r="J722">
        <f t="shared" si="311"/>
        <v>1.0009999999999764</v>
      </c>
      <c r="K722">
        <f t="shared" si="312"/>
        <v>51</v>
      </c>
      <c r="L722">
        <f t="shared" ca="1" si="313"/>
        <v>51797.843837663619</v>
      </c>
      <c r="M722">
        <f t="shared" ca="1" si="290"/>
        <v>269348.78795585083</v>
      </c>
      <c r="N722">
        <f t="shared" ca="1" si="291"/>
        <v>2.5998694991876676</v>
      </c>
      <c r="O722">
        <f t="shared" ca="1" si="292"/>
        <v>1.8934557080078435E-4</v>
      </c>
      <c r="P722">
        <f t="shared" ca="1" si="293"/>
        <v>52430.119837663617</v>
      </c>
      <c r="Q722">
        <f t="shared" ca="1" si="294"/>
        <v>52430.119837665443</v>
      </c>
      <c r="R722">
        <f t="shared" ca="1" si="295"/>
        <v>2.2564415439646509E-12</v>
      </c>
      <c r="S722">
        <f t="shared" ca="1" si="314"/>
        <v>5.0000000192085281E-4</v>
      </c>
      <c r="T722">
        <f t="shared" ca="1" si="315"/>
        <v>1</v>
      </c>
      <c r="U722">
        <f t="shared" ca="1" si="296"/>
        <v>51800.26683766341</v>
      </c>
      <c r="V722">
        <f t="shared" ca="1" si="297"/>
        <v>269361.38755584974</v>
      </c>
      <c r="W722">
        <f t="shared" ca="1" si="298"/>
        <v>2.5998695052916441</v>
      </c>
      <c r="X722">
        <f t="shared" ca="1" si="299"/>
        <v>1.8933671400629237E-4</v>
      </c>
      <c r="Y722">
        <f t="shared" ca="1" si="300"/>
        <v>52432.542837663408</v>
      </c>
      <c r="Z722">
        <f t="shared" ca="1" si="301"/>
        <v>52432.542837665234</v>
      </c>
      <c r="AA722">
        <f t="shared" ca="1" si="302"/>
        <v>2.2562304480281055E-12</v>
      </c>
      <c r="AB722">
        <f t="shared" ca="1" si="303"/>
        <v>-4.999999946448952E-4</v>
      </c>
      <c r="AC722">
        <f t="shared" ca="1" si="304"/>
        <v>1</v>
      </c>
      <c r="AD722">
        <f ca="1">IF(V32="Supercritical",L722,IF(V32="Subcritical",U722,IF(AND(T722=1,AC722=1),IF((((F722)*(L722)^2)/2+(G722)*(L722)^3/3+(ABS(K722)^2)/($I$5*MAX(((F722)+(G722)*(L722))*(L722),0.000001)))&gt;=(((F722)*(U722)^2)/2+(G722)*(U722)^3/3+(ABS(K722)^2)/($I$5*MAX(((F722)+(G722)*(U722))*(U722),0.000001))),L722,U722),IF(T722=1,L722,IF(AC722=1,U722,MAX($D$16,POWER((ABS(K722)^2)/($I$5*MAX(F722,0.1)^2),1/3)))))))</f>
        <v>51800.26683766341</v>
      </c>
      <c r="AE722">
        <f t="shared" ca="1" si="305"/>
        <v>52432.542837663408</v>
      </c>
      <c r="AF722">
        <f t="shared" ca="1" si="306"/>
        <v>52432.542837665234</v>
      </c>
      <c r="AI722">
        <v>0</v>
      </c>
      <c r="AJ722">
        <v>0</v>
      </c>
      <c r="AK722">
        <f t="shared" si="307"/>
        <v>0</v>
      </c>
      <c r="AL722">
        <f t="shared" si="316"/>
        <v>0</v>
      </c>
      <c r="AM722">
        <f t="shared" ca="1" si="308"/>
        <v>2.6560383008097266E-7</v>
      </c>
      <c r="AN722" t="str">
        <f t="shared" ca="1" si="309"/>
        <v>Subcritical</v>
      </c>
      <c r="AO722">
        <f t="shared" ca="1" si="310"/>
        <v>2.2562304480281055E-12</v>
      </c>
    </row>
    <row r="723" spans="1:41" x14ac:dyDescent="0.35">
      <c r="A723">
        <v>574</v>
      </c>
      <c r="B723">
        <v>572.89499999999998</v>
      </c>
      <c r="C723">
        <v>616169.75199999998</v>
      </c>
      <c r="D723">
        <v>3097412.4649999999</v>
      </c>
      <c r="E723">
        <v>632.27549999999997</v>
      </c>
      <c r="F723">
        <v>5.2</v>
      </c>
      <c r="G723">
        <v>0</v>
      </c>
      <c r="H723" t="s">
        <v>186</v>
      </c>
      <c r="I723">
        <v>0</v>
      </c>
      <c r="J723">
        <f t="shared" si="311"/>
        <v>0.99900000000002365</v>
      </c>
      <c r="K723">
        <f t="shared" si="312"/>
        <v>51</v>
      </c>
      <c r="L723">
        <f t="shared" ca="1" si="313"/>
        <v>51797.843837663619</v>
      </c>
      <c r="M723">
        <f t="shared" ca="1" si="290"/>
        <v>269348.78795585083</v>
      </c>
      <c r="N723">
        <f t="shared" ca="1" si="291"/>
        <v>2.5998694991876676</v>
      </c>
      <c r="O723">
        <f t="shared" ca="1" si="292"/>
        <v>1.8934557080078435E-4</v>
      </c>
      <c r="P723">
        <f t="shared" ca="1" si="293"/>
        <v>52430.119337663622</v>
      </c>
      <c r="Q723">
        <f t="shared" ca="1" si="294"/>
        <v>52430.119337665448</v>
      </c>
      <c r="R723">
        <f t="shared" ca="1" si="295"/>
        <v>2.2564415439646509E-12</v>
      </c>
      <c r="S723">
        <f t="shared" ca="1" si="314"/>
        <v>4.999999946448952E-4</v>
      </c>
      <c r="T723">
        <f t="shared" ca="1" si="315"/>
        <v>1</v>
      </c>
      <c r="U723">
        <f t="shared" ca="1" si="296"/>
        <v>51800.26683766341</v>
      </c>
      <c r="V723">
        <f t="shared" ca="1" si="297"/>
        <v>269361.38755584974</v>
      </c>
      <c r="W723">
        <f t="shared" ca="1" si="298"/>
        <v>2.5998695052916441</v>
      </c>
      <c r="X723">
        <f t="shared" ca="1" si="299"/>
        <v>1.8933671400629237E-4</v>
      </c>
      <c r="Y723">
        <f t="shared" ca="1" si="300"/>
        <v>52432.542337663413</v>
      </c>
      <c r="Z723">
        <f t="shared" ca="1" si="301"/>
        <v>52432.54233766524</v>
      </c>
      <c r="AA723">
        <f t="shared" ca="1" si="302"/>
        <v>2.2562304480281055E-12</v>
      </c>
      <c r="AB723">
        <f t="shared" ca="1" si="303"/>
        <v>-5.0000000192085281E-4</v>
      </c>
      <c r="AC723">
        <f t="shared" ca="1" si="304"/>
        <v>1</v>
      </c>
      <c r="AD723">
        <f ca="1">IF(V32="Supercritical",L723,IF(V32="Subcritical",U723,IF(AND(T723=1,AC723=1),IF((((F723)*(L723)^2)/2+(G723)*(L723)^3/3+(ABS(K723)^2)/($I$5*MAX(((F723)+(G723)*(L723))*(L723),0.000001)))&gt;=(((F723)*(U723)^2)/2+(G723)*(U723)^3/3+(ABS(K723)^2)/($I$5*MAX(((F723)+(G723)*(U723))*(U723),0.000001))),L723,U723),IF(T723=1,L723,IF(AC723=1,U723,MAX($D$16,POWER((ABS(K723)^2)/($I$5*MAX(F723,0.1)^2),1/3)))))))</f>
        <v>51800.26683766341</v>
      </c>
      <c r="AE723">
        <f t="shared" ca="1" si="305"/>
        <v>52432.542337663413</v>
      </c>
      <c r="AF723">
        <f t="shared" ca="1" si="306"/>
        <v>52432.54233766524</v>
      </c>
      <c r="AI723">
        <v>0</v>
      </c>
      <c r="AJ723">
        <v>0</v>
      </c>
      <c r="AK723">
        <f t="shared" si="307"/>
        <v>0</v>
      </c>
      <c r="AL723">
        <f t="shared" si="316"/>
        <v>0</v>
      </c>
      <c r="AM723">
        <f t="shared" ca="1" si="308"/>
        <v>2.6560383008097266E-7</v>
      </c>
      <c r="AN723" t="str">
        <f t="shared" ca="1" si="309"/>
        <v>Subcritical</v>
      </c>
      <c r="AO723">
        <f t="shared" ca="1" si="310"/>
        <v>2.2562304480281055E-12</v>
      </c>
    </row>
    <row r="724" spans="1:41" x14ac:dyDescent="0.35">
      <c r="A724">
        <v>575</v>
      </c>
      <c r="B724">
        <v>573.89499999999998</v>
      </c>
      <c r="C724">
        <v>616169.27800000005</v>
      </c>
      <c r="D724">
        <v>3097411.585</v>
      </c>
      <c r="E724">
        <v>632.27499999999998</v>
      </c>
      <c r="F724">
        <v>5.2</v>
      </c>
      <c r="G724">
        <v>0</v>
      </c>
      <c r="H724" t="s">
        <v>186</v>
      </c>
      <c r="I724">
        <v>2.7E-2</v>
      </c>
      <c r="J724">
        <f t="shared" si="311"/>
        <v>1</v>
      </c>
      <c r="K724">
        <f t="shared" si="312"/>
        <v>51</v>
      </c>
      <c r="L724">
        <f t="shared" ca="1" si="313"/>
        <v>51797.843837663619</v>
      </c>
      <c r="M724">
        <f t="shared" ca="1" si="290"/>
        <v>269348.78795585083</v>
      </c>
      <c r="N724">
        <f t="shared" ca="1" si="291"/>
        <v>2.5998694991876676</v>
      </c>
      <c r="O724">
        <f t="shared" ca="1" si="292"/>
        <v>1.8934557080078435E-4</v>
      </c>
      <c r="P724">
        <f t="shared" ca="1" si="293"/>
        <v>52430.11883766362</v>
      </c>
      <c r="Q724">
        <f t="shared" ca="1" si="294"/>
        <v>52430.118837665446</v>
      </c>
      <c r="R724">
        <f t="shared" ca="1" si="295"/>
        <v>2.2564415439646509E-12</v>
      </c>
      <c r="S724">
        <f t="shared" ca="1" si="314"/>
        <v>5.0000000192085281E-4</v>
      </c>
      <c r="T724">
        <f t="shared" ca="1" si="315"/>
        <v>1</v>
      </c>
      <c r="U724">
        <f t="shared" ca="1" si="296"/>
        <v>51800.26683766341</v>
      </c>
      <c r="V724">
        <f t="shared" ca="1" si="297"/>
        <v>269361.38755584974</v>
      </c>
      <c r="W724">
        <f t="shared" ca="1" si="298"/>
        <v>2.5998695052916441</v>
      </c>
      <c r="X724">
        <f t="shared" ca="1" si="299"/>
        <v>1.8933671400629237E-4</v>
      </c>
      <c r="Y724">
        <f t="shared" ca="1" si="300"/>
        <v>52432.541837663412</v>
      </c>
      <c r="Z724">
        <f t="shared" ca="1" si="301"/>
        <v>52432.541837665238</v>
      </c>
      <c r="AA724">
        <f t="shared" ca="1" si="302"/>
        <v>2.2562304480281055E-12</v>
      </c>
      <c r="AB724">
        <f t="shared" ca="1" si="303"/>
        <v>-5.0000000192085281E-4</v>
      </c>
      <c r="AC724">
        <f t="shared" ca="1" si="304"/>
        <v>1</v>
      </c>
      <c r="AD724">
        <f ca="1">IF(V32="Supercritical",L724,IF(V32="Subcritical",U724,IF(AND(T724=1,AC724=1),IF((((F724)*(L724)^2)/2+(G724)*(L724)^3/3+(ABS(K724)^2)/($I$5*MAX(((F724)+(G724)*(L724))*(L724),0.000001)))&gt;=(((F724)*(U724)^2)/2+(G724)*(U724)^3/3+(ABS(K724)^2)/($I$5*MAX(((F724)+(G724)*(U724))*(U724),0.000001))),L724,U724),IF(T724=1,L724,IF(AC724=1,U724,MAX($D$16,POWER((ABS(K724)^2)/($I$5*MAX(F724,0.1)^2),1/3)))))))</f>
        <v>51800.26683766341</v>
      </c>
      <c r="AE724">
        <f t="shared" ca="1" si="305"/>
        <v>52432.541837663412</v>
      </c>
      <c r="AF724">
        <f t="shared" ca="1" si="306"/>
        <v>52432.541837665238</v>
      </c>
      <c r="AI724">
        <v>0</v>
      </c>
      <c r="AJ724">
        <v>0</v>
      </c>
      <c r="AK724">
        <f t="shared" si="307"/>
        <v>0</v>
      </c>
      <c r="AL724">
        <f t="shared" si="316"/>
        <v>0</v>
      </c>
      <c r="AM724">
        <f t="shared" ca="1" si="308"/>
        <v>2.6560383008097266E-7</v>
      </c>
      <c r="AN724" t="str">
        <f t="shared" ca="1" si="309"/>
        <v>Subcritical</v>
      </c>
      <c r="AO724">
        <f t="shared" ca="1" si="310"/>
        <v>2.2562304480281055E-12</v>
      </c>
    </row>
    <row r="725" spans="1:41" x14ac:dyDescent="0.35">
      <c r="A725">
        <v>576</v>
      </c>
      <c r="B725">
        <v>574.89499999999998</v>
      </c>
      <c r="C725">
        <v>616168.804</v>
      </c>
      <c r="D725">
        <v>3097410.7039999999</v>
      </c>
      <c r="E725">
        <v>632.27449999999999</v>
      </c>
      <c r="F725">
        <v>5.2</v>
      </c>
      <c r="G725">
        <v>0</v>
      </c>
      <c r="H725" t="s">
        <v>186</v>
      </c>
      <c r="I725">
        <v>2.7E-2</v>
      </c>
      <c r="J725">
        <f t="shared" si="311"/>
        <v>1</v>
      </c>
      <c r="K725">
        <f t="shared" si="312"/>
        <v>51</v>
      </c>
      <c r="L725">
        <f t="shared" ca="1" si="313"/>
        <v>51797.843837663619</v>
      </c>
      <c r="M725">
        <f t="shared" ca="1" si="290"/>
        <v>269348.78795585083</v>
      </c>
      <c r="N725">
        <f t="shared" ca="1" si="291"/>
        <v>2.5998694991876676</v>
      </c>
      <c r="O725">
        <f t="shared" ca="1" si="292"/>
        <v>1.8934557080078435E-4</v>
      </c>
      <c r="P725">
        <f t="shared" ca="1" si="293"/>
        <v>52430.118337663618</v>
      </c>
      <c r="Q725">
        <f t="shared" ca="1" si="294"/>
        <v>52430.118337665444</v>
      </c>
      <c r="R725">
        <f t="shared" ca="1" si="295"/>
        <v>2.2564415439646509E-12</v>
      </c>
      <c r="S725">
        <f t="shared" ca="1" si="314"/>
        <v>5.0000000192085281E-4</v>
      </c>
      <c r="T725">
        <f t="shared" ca="1" si="315"/>
        <v>1</v>
      </c>
      <c r="U725">
        <f t="shared" ca="1" si="296"/>
        <v>51800.26683766341</v>
      </c>
      <c r="V725">
        <f t="shared" ca="1" si="297"/>
        <v>269361.38755584974</v>
      </c>
      <c r="W725">
        <f t="shared" ca="1" si="298"/>
        <v>2.5998695052916441</v>
      </c>
      <c r="X725">
        <f t="shared" ca="1" si="299"/>
        <v>1.8933671400629237E-4</v>
      </c>
      <c r="Y725">
        <f t="shared" ca="1" si="300"/>
        <v>52432.54133766341</v>
      </c>
      <c r="Z725">
        <f t="shared" ca="1" si="301"/>
        <v>52432.541337665236</v>
      </c>
      <c r="AA725">
        <f t="shared" ca="1" si="302"/>
        <v>2.2562304480281055E-12</v>
      </c>
      <c r="AB725">
        <f t="shared" ca="1" si="303"/>
        <v>-5.0000000192085281E-4</v>
      </c>
      <c r="AC725">
        <f t="shared" ca="1" si="304"/>
        <v>1</v>
      </c>
      <c r="AD725">
        <f ca="1">IF(V32="Supercritical",L725,IF(V32="Subcritical",U725,IF(AND(T725=1,AC725=1),IF((((F725)*(L725)^2)/2+(G725)*(L725)^3/3+(ABS(K725)^2)/($I$5*MAX(((F725)+(G725)*(L725))*(L725),0.000001)))&gt;=(((F725)*(U725)^2)/2+(G725)*(U725)^3/3+(ABS(K725)^2)/($I$5*MAX(((F725)+(G725)*(U725))*(U725),0.000001))),L725,U725),IF(T725=1,L725,IF(AC725=1,U725,MAX($D$16,POWER((ABS(K725)^2)/($I$5*MAX(F725,0.1)^2),1/3)))))))</f>
        <v>51800.26683766341</v>
      </c>
      <c r="AE725">
        <f t="shared" ca="1" si="305"/>
        <v>52432.54133766341</v>
      </c>
      <c r="AF725">
        <f t="shared" ca="1" si="306"/>
        <v>52432.541337665236</v>
      </c>
      <c r="AI725">
        <v>0</v>
      </c>
      <c r="AJ725">
        <v>0</v>
      </c>
      <c r="AK725">
        <f t="shared" si="307"/>
        <v>0</v>
      </c>
      <c r="AL725">
        <f t="shared" si="316"/>
        <v>0</v>
      </c>
      <c r="AM725">
        <f t="shared" ca="1" si="308"/>
        <v>2.6560383008097266E-7</v>
      </c>
      <c r="AN725" t="str">
        <f t="shared" ca="1" si="309"/>
        <v>Subcritical</v>
      </c>
      <c r="AO725">
        <f t="shared" ca="1" si="310"/>
        <v>2.2562304480281055E-12</v>
      </c>
    </row>
    <row r="726" spans="1:41" x14ac:dyDescent="0.35">
      <c r="A726">
        <v>577</v>
      </c>
      <c r="B726">
        <v>575.89499999999998</v>
      </c>
      <c r="C726">
        <v>616168.32999999996</v>
      </c>
      <c r="D726">
        <v>3097409.824</v>
      </c>
      <c r="E726">
        <v>632.274</v>
      </c>
      <c r="F726">
        <v>5.2</v>
      </c>
      <c r="G726">
        <v>0</v>
      </c>
      <c r="H726" t="s">
        <v>186</v>
      </c>
      <c r="I726">
        <v>2.3E-2</v>
      </c>
      <c r="J726">
        <f t="shared" si="311"/>
        <v>1</v>
      </c>
      <c r="K726">
        <f t="shared" si="312"/>
        <v>51</v>
      </c>
      <c r="L726">
        <f t="shared" ca="1" si="313"/>
        <v>51797.843837663619</v>
      </c>
      <c r="M726">
        <f t="shared" ref="M726:M789" ca="1" si="317">((F726)+(G726)*(L726))*(L726)</f>
        <v>269348.78795585083</v>
      </c>
      <c r="N726">
        <f t="shared" ref="N726:N789" ca="1" si="318">(((F726)+(G726)*(L726))*(L726))/MAX((F726)+2*(L726)*SQRT(1+(G726)^2),0.000001)</f>
        <v>2.5998694991876676</v>
      </c>
      <c r="O726">
        <f t="shared" ref="O726:O789" ca="1" si="319">ABS(K726)/MAX(((F726)+(G726)*(L726))*(L726),0.000001)</f>
        <v>1.8934557080078435E-4</v>
      </c>
      <c r="P726">
        <f t="shared" ref="P726:P789" ca="1" si="320">E726+L726</f>
        <v>52430.117837663616</v>
      </c>
      <c r="Q726">
        <f t="shared" ref="Q726:Q789" ca="1" si="321">P726+((ABS(K726)/MAX(((F726)+(G726)*(L726))*(L726),0.000001))^2)/(2*$I$5)</f>
        <v>52430.117837665442</v>
      </c>
      <c r="R726">
        <f t="shared" ref="R726:R789" ca="1" si="322">((ABS(K726)*$D$6)/(MAX(((F726)+(G726)*(L726))*(L726),0.000001)*MAX(((((F726)+(G726)*(L726))*(L726))/MAX((F726)+2*(L726)*SQRT(1+(G726)^2),0.000001))^(2/3),0.000001)))^2</f>
        <v>2.2564415439646509E-12</v>
      </c>
      <c r="S726">
        <f t="shared" ca="1" si="314"/>
        <v>5.0000000192085281E-4</v>
      </c>
      <c r="T726">
        <f t="shared" ca="1" si="315"/>
        <v>1</v>
      </c>
      <c r="U726">
        <f t="shared" ref="U726:U789" ca="1" si="323">IF($D$20=0,U727,IF(AC727=0,U727,IF(U726=0,U727,IF(ABS(AB726)&gt;$D$19,MAX($D$16,U726+((AB726)*$D$18*IF((ABS(ABS(K726)/MAX(((F726)+(G726)*(U726))*(U726),0.000001))/SQRT($I$5*MAX((((F726)+(G726)*(U726))*(U726))/MAX((F726)+2*(G726)*(U726),0.000001),0.000001)))&lt;1,1,-1))),U726))))</f>
        <v>51800.26683766341</v>
      </c>
      <c r="V726">
        <f t="shared" ref="V726:V789" ca="1" si="324">((F726)+(G726)*(U726))*(U726)</f>
        <v>269361.38755584974</v>
      </c>
      <c r="W726">
        <f t="shared" ref="W726:W789" ca="1" si="325">(((F726)+(G726)*(U726))*(U726))/MAX((F726)+2*(U726)*SQRT(1+(G726)^2),0.000001)</f>
        <v>2.5998695052916441</v>
      </c>
      <c r="X726">
        <f t="shared" ref="X726:X789" ca="1" si="326">ABS(K726)/MAX(((F726)+(G726)*(U726))*(U726),0.000001)</f>
        <v>1.8933671400629237E-4</v>
      </c>
      <c r="Y726">
        <f t="shared" ref="Y726:Y789" ca="1" si="327">E726+U726</f>
        <v>52432.540837663408</v>
      </c>
      <c r="Z726">
        <f t="shared" ref="Z726:Z789" ca="1" si="328">Y726+((ABS(K726)/MAX(((F726)+(G726)*(U726))*(U726),0.000001))^2)/(2*$I$5)</f>
        <v>52432.540837665234</v>
      </c>
      <c r="AA726">
        <f t="shared" ref="AA726:AA789" ca="1" si="329">((ABS(K726)*$D$6)/(MAX(((F726)+(G726)*(U726))*(U726),0.000001)*MAX(((((F726)+(G726)*(U726))*(U726))/MAX((F726)+2*(U726)*SQRT(1+(G726)^2),0.000001))^(2/3),0.000001)))^2</f>
        <v>2.2562304480281055E-12</v>
      </c>
      <c r="AB726">
        <f t="shared" ref="AB726:AB789" ca="1" si="330">Z727+(((AA726+AA727)/2)*J727)+(IF(X726&gt;X727,$D$8*((X726^2-X727^2)/(2*$I$5)),$D$9*((X727^2-X726^2)/(2*$I$5)))+($D$10*(ABS(I727)/90)*(MAX(X726^2,X727^2)/(2*$I$5))))-Z726</f>
        <v>-4.999999946448952E-4</v>
      </c>
      <c r="AC726">
        <f t="shared" ref="AC726:AC789" ca="1" si="331">IF(ABS(AB726)&lt;$D$19,1,0)</f>
        <v>1</v>
      </c>
      <c r="AD726">
        <f ca="1">IF(V32="Supercritical",L726,IF(V32="Subcritical",U726,IF(AND(T726=1,AC726=1),IF((((F726)*(L726)^2)/2+(G726)*(L726)^3/3+(ABS(K726)^2)/($I$5*MAX(((F726)+(G726)*(L726))*(L726),0.000001)))&gt;=(((F726)*(U726)^2)/2+(G726)*(U726)^3/3+(ABS(K726)^2)/($I$5*MAX(((F726)+(G726)*(U726))*(U726),0.000001))),L726,U726),IF(T726=1,L726,IF(AC726=1,U726,MAX($D$16,POWER((ABS(K726)^2)/($I$5*MAX(F726,0.1)^2),1/3)))))))</f>
        <v>51800.26683766341</v>
      </c>
      <c r="AE726">
        <f t="shared" ref="AE726:AE789" ca="1" si="332">E726+AD726</f>
        <v>52432.540837663408</v>
      </c>
      <c r="AF726">
        <f t="shared" ref="AF726:AF789" ca="1" si="333">AE726+((ABS(K726)/MAX(((F726)+(G726)*(AD726))*(AD726),0.000001))^2)/(2*$I$5)</f>
        <v>52432.540837665234</v>
      </c>
      <c r="AI726">
        <v>0</v>
      </c>
      <c r="AJ726">
        <v>0</v>
      </c>
      <c r="AK726">
        <f t="shared" ref="AK726:AK789" si="334">AI726+AJ726</f>
        <v>0</v>
      </c>
      <c r="AL726">
        <f t="shared" si="316"/>
        <v>0</v>
      </c>
      <c r="AM726">
        <f t="shared" ref="AM726:AM789" ca="1" si="335">ABS(ABS(K726)/MAX(((F726)+(G726)*(AD726))*(AD726),0.000001))/SQRT($I$5*MAX((((F726)+(G726)*(AD726))*(AD726))/MAX((F726)+2*(G726)*(AD726),0.000001),0.000001))</f>
        <v>2.6560383008097266E-7</v>
      </c>
      <c r="AN726" t="str">
        <f t="shared" ref="AN726:AN789" ca="1" si="336">IF(AM726&lt;1,"Subcritical","Supercritical")</f>
        <v>Subcritical</v>
      </c>
      <c r="AO726">
        <f t="shared" ref="AO726:AO789" ca="1" si="337">((ABS(K726)*$D$6)/(MAX(((F726)+(G726)*(AD726))*(AD726),0.000001)*MAX(((((F726)+(G726)*(AD726))*(AD726))/MAX((F726)+2*(AD726)*SQRT(1+(G726)^2),0.000001))^(2/3),0.000001)))^2</f>
        <v>2.2562304480281055E-12</v>
      </c>
    </row>
    <row r="727" spans="1:41" x14ac:dyDescent="0.35">
      <c r="A727">
        <v>578</v>
      </c>
      <c r="B727">
        <v>576.89599999999996</v>
      </c>
      <c r="C727">
        <v>616167.85499999998</v>
      </c>
      <c r="D727">
        <v>3097408.943</v>
      </c>
      <c r="E727">
        <v>632.27350000000001</v>
      </c>
      <c r="F727">
        <v>5.2</v>
      </c>
      <c r="G727">
        <v>0</v>
      </c>
      <c r="H727" t="s">
        <v>186</v>
      </c>
      <c r="I727">
        <v>2.3E-2</v>
      </c>
      <c r="J727">
        <f t="shared" ref="J727:J790" si="338">B727-B726</f>
        <v>1.0009999999999764</v>
      </c>
      <c r="K727">
        <f t="shared" ref="K727:K790" si="339">MAX(0,K726-AK726)</f>
        <v>51</v>
      </c>
      <c r="L727">
        <f t="shared" ref="L727:L790" ca="1" si="340">IF($D$20=0,L726,IF(T726=0,L726,IF(L727=0,L726,IF(ABS(S727)&gt;$D$19,MAX($D$16,L727+((S727)*$D$18*IF((ABS(ABS(K727)/MAX(((F727)+(G727)*(L727))*(L727),0.000001))/SQRT($I$5*MAX((((F727)+(G727)*(L727))*(L727))/MAX((F727)+2*(G727)*(L727),0.000001),0.000001)))&lt;1,1,-1))),L727))))</f>
        <v>51797.843837663619</v>
      </c>
      <c r="M727">
        <f t="shared" ca="1" si="317"/>
        <v>269348.78795585083</v>
      </c>
      <c r="N727">
        <f t="shared" ca="1" si="318"/>
        <v>2.5998694991876676</v>
      </c>
      <c r="O727">
        <f t="shared" ca="1" si="319"/>
        <v>1.8934557080078435E-4</v>
      </c>
      <c r="P727">
        <f t="shared" ca="1" si="320"/>
        <v>52430.117337663622</v>
      </c>
      <c r="Q727">
        <f t="shared" ca="1" si="321"/>
        <v>52430.117337665448</v>
      </c>
      <c r="R727">
        <f t="shared" ca="1" si="322"/>
        <v>2.2564415439646509E-12</v>
      </c>
      <c r="S727">
        <f t="shared" ref="S727:S790" ca="1" si="341">Q726-(((R726+R727)/2)*J727)-(IF(O726&gt;O727,$D$8*((O726^2-O727^2)/(2*$I$5)),$D$9*((O727^2-O726^2)/(2*$I$5)))+($D$10*(ABS(I727)/90)*(MAX(O726^2,O727^2)/(2*$I$5))))-Q727</f>
        <v>4.999999946448952E-4</v>
      </c>
      <c r="T727">
        <f t="shared" ref="T727:T790" ca="1" si="342">IF(ABS(S727)&lt;$D$19,1,0)</f>
        <v>1</v>
      </c>
      <c r="U727">
        <f t="shared" ca="1" si="323"/>
        <v>51800.26683766341</v>
      </c>
      <c r="V727">
        <f t="shared" ca="1" si="324"/>
        <v>269361.38755584974</v>
      </c>
      <c r="W727">
        <f t="shared" ca="1" si="325"/>
        <v>2.5998695052916441</v>
      </c>
      <c r="X727">
        <f t="shared" ca="1" si="326"/>
        <v>1.8933671400629237E-4</v>
      </c>
      <c r="Y727">
        <f t="shared" ca="1" si="327"/>
        <v>52432.540337663413</v>
      </c>
      <c r="Z727">
        <f t="shared" ca="1" si="328"/>
        <v>52432.540337665239</v>
      </c>
      <c r="AA727">
        <f t="shared" ca="1" si="329"/>
        <v>2.2562304480281055E-12</v>
      </c>
      <c r="AB727">
        <f t="shared" ca="1" si="330"/>
        <v>-5.0000000192085281E-4</v>
      </c>
      <c r="AC727">
        <f t="shared" ca="1" si="331"/>
        <v>1</v>
      </c>
      <c r="AD727">
        <f ca="1">IF(V32="Supercritical",L727,IF(V32="Subcritical",U727,IF(AND(T727=1,AC727=1),IF((((F727)*(L727)^2)/2+(G727)*(L727)^3/3+(ABS(K727)^2)/($I$5*MAX(((F727)+(G727)*(L727))*(L727),0.000001)))&gt;=(((F727)*(U727)^2)/2+(G727)*(U727)^3/3+(ABS(K727)^2)/($I$5*MAX(((F727)+(G727)*(U727))*(U727),0.000001))),L727,U727),IF(T727=1,L727,IF(AC727=1,U727,MAX($D$16,POWER((ABS(K727)^2)/($I$5*MAX(F727,0.1)^2),1/3)))))))</f>
        <v>51800.26683766341</v>
      </c>
      <c r="AE727">
        <f t="shared" ca="1" si="332"/>
        <v>52432.540337663413</v>
      </c>
      <c r="AF727">
        <f t="shared" ca="1" si="333"/>
        <v>52432.540337665239</v>
      </c>
      <c r="AI727">
        <v>0</v>
      </c>
      <c r="AJ727">
        <v>0</v>
      </c>
      <c r="AK727">
        <f t="shared" si="334"/>
        <v>0</v>
      </c>
      <c r="AL727">
        <f t="shared" ref="AL727:AL790" si="343">AL726+AK727</f>
        <v>0</v>
      </c>
      <c r="AM727">
        <f t="shared" ca="1" si="335"/>
        <v>2.6560383008097266E-7</v>
      </c>
      <c r="AN727" t="str">
        <f t="shared" ca="1" si="336"/>
        <v>Subcritical</v>
      </c>
      <c r="AO727">
        <f t="shared" ca="1" si="337"/>
        <v>2.2562304480281055E-12</v>
      </c>
    </row>
    <row r="728" spans="1:41" x14ac:dyDescent="0.35">
      <c r="A728">
        <v>579</v>
      </c>
      <c r="B728">
        <v>577.89499999999998</v>
      </c>
      <c r="C728">
        <v>616167.38100000005</v>
      </c>
      <c r="D728">
        <v>3097408.0630000001</v>
      </c>
      <c r="E728">
        <v>632.27300000000002</v>
      </c>
      <c r="F728">
        <v>5.2</v>
      </c>
      <c r="G728">
        <v>0</v>
      </c>
      <c r="H728" t="s">
        <v>186</v>
      </c>
      <c r="I728">
        <v>0</v>
      </c>
      <c r="J728">
        <f t="shared" si="338"/>
        <v>0.99900000000002365</v>
      </c>
      <c r="K728">
        <f t="shared" si="339"/>
        <v>51</v>
      </c>
      <c r="L728">
        <f t="shared" ca="1" si="340"/>
        <v>51797.843837663619</v>
      </c>
      <c r="M728">
        <f t="shared" ca="1" si="317"/>
        <v>269348.78795585083</v>
      </c>
      <c r="N728">
        <f t="shared" ca="1" si="318"/>
        <v>2.5998694991876676</v>
      </c>
      <c r="O728">
        <f t="shared" ca="1" si="319"/>
        <v>1.8934557080078435E-4</v>
      </c>
      <c r="P728">
        <f t="shared" ca="1" si="320"/>
        <v>52430.11683766362</v>
      </c>
      <c r="Q728">
        <f t="shared" ca="1" si="321"/>
        <v>52430.116837665446</v>
      </c>
      <c r="R728">
        <f t="shared" ca="1" si="322"/>
        <v>2.2564415439646509E-12</v>
      </c>
      <c r="S728">
        <f t="shared" ca="1" si="341"/>
        <v>5.0000000192085281E-4</v>
      </c>
      <c r="T728">
        <f t="shared" ca="1" si="342"/>
        <v>1</v>
      </c>
      <c r="U728">
        <f t="shared" ca="1" si="323"/>
        <v>51800.26683766341</v>
      </c>
      <c r="V728">
        <f t="shared" ca="1" si="324"/>
        <v>269361.38755584974</v>
      </c>
      <c r="W728">
        <f t="shared" ca="1" si="325"/>
        <v>2.5998695052916441</v>
      </c>
      <c r="X728">
        <f t="shared" ca="1" si="326"/>
        <v>1.8933671400629237E-4</v>
      </c>
      <c r="Y728">
        <f t="shared" ca="1" si="327"/>
        <v>52432.539837663411</v>
      </c>
      <c r="Z728">
        <f t="shared" ca="1" si="328"/>
        <v>52432.539837665237</v>
      </c>
      <c r="AA728">
        <f t="shared" ca="1" si="329"/>
        <v>2.2562304480281055E-12</v>
      </c>
      <c r="AB728">
        <f t="shared" ca="1" si="330"/>
        <v>-5.0000000192085281E-4</v>
      </c>
      <c r="AC728">
        <f t="shared" ca="1" si="331"/>
        <v>1</v>
      </c>
      <c r="AD728">
        <f ca="1">IF(V32="Supercritical",L728,IF(V32="Subcritical",U728,IF(AND(T728=1,AC728=1),IF((((F728)*(L728)^2)/2+(G728)*(L728)^3/3+(ABS(K728)^2)/($I$5*MAX(((F728)+(G728)*(L728))*(L728),0.000001)))&gt;=(((F728)*(U728)^2)/2+(G728)*(U728)^3/3+(ABS(K728)^2)/($I$5*MAX(((F728)+(G728)*(U728))*(U728),0.000001))),L728,U728),IF(T728=1,L728,IF(AC728=1,U728,MAX($D$16,POWER((ABS(K728)^2)/($I$5*MAX(F728,0.1)^2),1/3)))))))</f>
        <v>51800.26683766341</v>
      </c>
      <c r="AE728">
        <f t="shared" ca="1" si="332"/>
        <v>52432.539837663411</v>
      </c>
      <c r="AF728">
        <f t="shared" ca="1" si="333"/>
        <v>52432.539837665237</v>
      </c>
      <c r="AI728">
        <v>0</v>
      </c>
      <c r="AJ728">
        <v>0</v>
      </c>
      <c r="AK728">
        <f t="shared" si="334"/>
        <v>0</v>
      </c>
      <c r="AL728">
        <f t="shared" si="343"/>
        <v>0</v>
      </c>
      <c r="AM728">
        <f t="shared" ca="1" si="335"/>
        <v>2.6560383008097266E-7</v>
      </c>
      <c r="AN728" t="str">
        <f t="shared" ca="1" si="336"/>
        <v>Subcritical</v>
      </c>
      <c r="AO728">
        <f t="shared" ca="1" si="337"/>
        <v>2.2562304480281055E-12</v>
      </c>
    </row>
    <row r="729" spans="1:41" x14ac:dyDescent="0.35">
      <c r="A729">
        <v>580</v>
      </c>
      <c r="B729">
        <v>578.89499999999998</v>
      </c>
      <c r="C729">
        <v>616166.90700000001</v>
      </c>
      <c r="D729">
        <v>3097407.1830000002</v>
      </c>
      <c r="E729">
        <v>632.27250000000004</v>
      </c>
      <c r="F729">
        <v>5.2</v>
      </c>
      <c r="G729">
        <v>0</v>
      </c>
      <c r="H729" t="s">
        <v>186</v>
      </c>
      <c r="I729">
        <v>2.7E-2</v>
      </c>
      <c r="J729">
        <f t="shared" si="338"/>
        <v>1</v>
      </c>
      <c r="K729">
        <f t="shared" si="339"/>
        <v>51</v>
      </c>
      <c r="L729">
        <f t="shared" ca="1" si="340"/>
        <v>51797.843837663619</v>
      </c>
      <c r="M729">
        <f t="shared" ca="1" si="317"/>
        <v>269348.78795585083</v>
      </c>
      <c r="N729">
        <f t="shared" ca="1" si="318"/>
        <v>2.5998694991876676</v>
      </c>
      <c r="O729">
        <f t="shared" ca="1" si="319"/>
        <v>1.8934557080078435E-4</v>
      </c>
      <c r="P729">
        <f t="shared" ca="1" si="320"/>
        <v>52430.116337663618</v>
      </c>
      <c r="Q729">
        <f t="shared" ca="1" si="321"/>
        <v>52430.116337665444</v>
      </c>
      <c r="R729">
        <f t="shared" ca="1" si="322"/>
        <v>2.2564415439646509E-12</v>
      </c>
      <c r="S729">
        <f t="shared" ca="1" si="341"/>
        <v>5.0000000192085281E-4</v>
      </c>
      <c r="T729">
        <f t="shared" ca="1" si="342"/>
        <v>1</v>
      </c>
      <c r="U729">
        <f t="shared" ca="1" si="323"/>
        <v>51800.26683766341</v>
      </c>
      <c r="V729">
        <f t="shared" ca="1" si="324"/>
        <v>269361.38755584974</v>
      </c>
      <c r="W729">
        <f t="shared" ca="1" si="325"/>
        <v>2.5998695052916441</v>
      </c>
      <c r="X729">
        <f t="shared" ca="1" si="326"/>
        <v>1.8933671400629237E-4</v>
      </c>
      <c r="Y729">
        <f t="shared" ca="1" si="327"/>
        <v>52432.539337663409</v>
      </c>
      <c r="Z729">
        <f t="shared" ca="1" si="328"/>
        <v>52432.539337665236</v>
      </c>
      <c r="AA729">
        <f t="shared" ca="1" si="329"/>
        <v>2.2562304480281055E-12</v>
      </c>
      <c r="AB729">
        <f t="shared" ca="1" si="330"/>
        <v>-5.0000000192085281E-4</v>
      </c>
      <c r="AC729">
        <f t="shared" ca="1" si="331"/>
        <v>1</v>
      </c>
      <c r="AD729">
        <f ca="1">IF(V32="Supercritical",L729,IF(V32="Subcritical",U729,IF(AND(T729=1,AC729=1),IF((((F729)*(L729)^2)/2+(G729)*(L729)^3/3+(ABS(K729)^2)/($I$5*MAX(((F729)+(G729)*(L729))*(L729),0.000001)))&gt;=(((F729)*(U729)^2)/2+(G729)*(U729)^3/3+(ABS(K729)^2)/($I$5*MAX(((F729)+(G729)*(U729))*(U729),0.000001))),L729,U729),IF(T729=1,L729,IF(AC729=1,U729,MAX($D$16,POWER((ABS(K729)^2)/($I$5*MAX(F729,0.1)^2),1/3)))))))</f>
        <v>51800.26683766341</v>
      </c>
      <c r="AE729">
        <f t="shared" ca="1" si="332"/>
        <v>52432.539337663409</v>
      </c>
      <c r="AF729">
        <f t="shared" ca="1" si="333"/>
        <v>52432.539337665236</v>
      </c>
      <c r="AI729">
        <v>0</v>
      </c>
      <c r="AJ729">
        <v>0</v>
      </c>
      <c r="AK729">
        <f t="shared" si="334"/>
        <v>0</v>
      </c>
      <c r="AL729">
        <f t="shared" si="343"/>
        <v>0</v>
      </c>
      <c r="AM729">
        <f t="shared" ca="1" si="335"/>
        <v>2.6560383008097266E-7</v>
      </c>
      <c r="AN729" t="str">
        <f t="shared" ca="1" si="336"/>
        <v>Subcritical</v>
      </c>
      <c r="AO729">
        <f t="shared" ca="1" si="337"/>
        <v>2.2562304480281055E-12</v>
      </c>
    </row>
    <row r="730" spans="1:41" x14ac:dyDescent="0.35">
      <c r="A730">
        <v>581</v>
      </c>
      <c r="B730">
        <v>579.89499999999998</v>
      </c>
      <c r="C730">
        <v>616166.43299999996</v>
      </c>
      <c r="D730">
        <v>3097406.3020000001</v>
      </c>
      <c r="E730">
        <v>632.27200000000005</v>
      </c>
      <c r="F730">
        <v>5.2</v>
      </c>
      <c r="G730">
        <v>0</v>
      </c>
      <c r="H730" t="s">
        <v>186</v>
      </c>
      <c r="I730">
        <v>7.8E-2</v>
      </c>
      <c r="J730">
        <f t="shared" si="338"/>
        <v>1</v>
      </c>
      <c r="K730">
        <f t="shared" si="339"/>
        <v>51</v>
      </c>
      <c r="L730">
        <f t="shared" ca="1" si="340"/>
        <v>51797.843837663619</v>
      </c>
      <c r="M730">
        <f t="shared" ca="1" si="317"/>
        <v>269348.78795585083</v>
      </c>
      <c r="N730">
        <f t="shared" ca="1" si="318"/>
        <v>2.5998694991876676</v>
      </c>
      <c r="O730">
        <f t="shared" ca="1" si="319"/>
        <v>1.8934557080078435E-4</v>
      </c>
      <c r="P730">
        <f t="shared" ca="1" si="320"/>
        <v>52430.115837663616</v>
      </c>
      <c r="Q730">
        <f t="shared" ca="1" si="321"/>
        <v>52430.115837665442</v>
      </c>
      <c r="R730">
        <f t="shared" ca="1" si="322"/>
        <v>2.2564415439646509E-12</v>
      </c>
      <c r="S730">
        <f t="shared" ca="1" si="341"/>
        <v>5.0000000192085281E-4</v>
      </c>
      <c r="T730">
        <f t="shared" ca="1" si="342"/>
        <v>1</v>
      </c>
      <c r="U730">
        <f t="shared" ca="1" si="323"/>
        <v>51800.26683766341</v>
      </c>
      <c r="V730">
        <f t="shared" ca="1" si="324"/>
        <v>269361.38755584974</v>
      </c>
      <c r="W730">
        <f t="shared" ca="1" si="325"/>
        <v>2.5998695052916441</v>
      </c>
      <c r="X730">
        <f t="shared" ca="1" si="326"/>
        <v>1.8933671400629237E-4</v>
      </c>
      <c r="Y730">
        <f t="shared" ca="1" si="327"/>
        <v>52432.538837663407</v>
      </c>
      <c r="Z730">
        <f t="shared" ca="1" si="328"/>
        <v>52432.538837665234</v>
      </c>
      <c r="AA730">
        <f t="shared" ca="1" si="329"/>
        <v>2.2562304480281055E-12</v>
      </c>
      <c r="AB730">
        <f t="shared" ca="1" si="330"/>
        <v>-4.999999946448952E-4</v>
      </c>
      <c r="AC730">
        <f t="shared" ca="1" si="331"/>
        <v>1</v>
      </c>
      <c r="AD730">
        <f ca="1">IF(V32="Supercritical",L730,IF(V32="Subcritical",U730,IF(AND(T730=1,AC730=1),IF((((F730)*(L730)^2)/2+(G730)*(L730)^3/3+(ABS(K730)^2)/($I$5*MAX(((F730)+(G730)*(L730))*(L730),0.000001)))&gt;=(((F730)*(U730)^2)/2+(G730)*(U730)^3/3+(ABS(K730)^2)/($I$5*MAX(((F730)+(G730)*(U730))*(U730),0.000001))),L730,U730),IF(T730=1,L730,IF(AC730=1,U730,MAX($D$16,POWER((ABS(K730)^2)/($I$5*MAX(F730,0.1)^2),1/3)))))))</f>
        <v>51800.26683766341</v>
      </c>
      <c r="AE730">
        <f t="shared" ca="1" si="332"/>
        <v>52432.538837663407</v>
      </c>
      <c r="AF730">
        <f t="shared" ca="1" si="333"/>
        <v>52432.538837665234</v>
      </c>
      <c r="AI730">
        <v>0</v>
      </c>
      <c r="AJ730">
        <v>0</v>
      </c>
      <c r="AK730">
        <f t="shared" si="334"/>
        <v>0</v>
      </c>
      <c r="AL730">
        <f t="shared" si="343"/>
        <v>0</v>
      </c>
      <c r="AM730">
        <f t="shared" ca="1" si="335"/>
        <v>2.6560383008097266E-7</v>
      </c>
      <c r="AN730" t="str">
        <f t="shared" ca="1" si="336"/>
        <v>Subcritical</v>
      </c>
      <c r="AO730">
        <f t="shared" ca="1" si="337"/>
        <v>2.2562304480281055E-12</v>
      </c>
    </row>
    <row r="731" spans="1:41" x14ac:dyDescent="0.35">
      <c r="A731">
        <v>582</v>
      </c>
      <c r="B731">
        <v>580.89499999999998</v>
      </c>
      <c r="C731">
        <v>616165.95799999998</v>
      </c>
      <c r="D731">
        <v>3097405.4219999998</v>
      </c>
      <c r="E731">
        <v>632.27149999999995</v>
      </c>
      <c r="F731">
        <v>5.2</v>
      </c>
      <c r="G731">
        <v>0</v>
      </c>
      <c r="H731" t="s">
        <v>186</v>
      </c>
      <c r="I731">
        <v>7.8E-2</v>
      </c>
      <c r="J731">
        <f t="shared" si="338"/>
        <v>1</v>
      </c>
      <c r="K731">
        <f t="shared" si="339"/>
        <v>51</v>
      </c>
      <c r="L731">
        <f t="shared" ca="1" si="340"/>
        <v>51797.843837663619</v>
      </c>
      <c r="M731">
        <f t="shared" ca="1" si="317"/>
        <v>269348.78795585083</v>
      </c>
      <c r="N731">
        <f t="shared" ca="1" si="318"/>
        <v>2.5998694991876676</v>
      </c>
      <c r="O731">
        <f t="shared" ca="1" si="319"/>
        <v>1.8934557080078435E-4</v>
      </c>
      <c r="P731">
        <f t="shared" ca="1" si="320"/>
        <v>52430.115337663621</v>
      </c>
      <c r="Q731">
        <f t="shared" ca="1" si="321"/>
        <v>52430.115337665447</v>
      </c>
      <c r="R731">
        <f t="shared" ca="1" si="322"/>
        <v>2.2564415439646509E-12</v>
      </c>
      <c r="S731">
        <f t="shared" ca="1" si="341"/>
        <v>4.999999946448952E-4</v>
      </c>
      <c r="T731">
        <f t="shared" ca="1" si="342"/>
        <v>1</v>
      </c>
      <c r="U731">
        <f t="shared" ca="1" si="323"/>
        <v>51800.26683766341</v>
      </c>
      <c r="V731">
        <f t="shared" ca="1" si="324"/>
        <v>269361.38755584974</v>
      </c>
      <c r="W731">
        <f t="shared" ca="1" si="325"/>
        <v>2.5998695052916441</v>
      </c>
      <c r="X731">
        <f t="shared" ca="1" si="326"/>
        <v>1.8933671400629237E-4</v>
      </c>
      <c r="Y731">
        <f t="shared" ca="1" si="327"/>
        <v>52432.538337663413</v>
      </c>
      <c r="Z731">
        <f t="shared" ca="1" si="328"/>
        <v>52432.538337665239</v>
      </c>
      <c r="AA731">
        <f t="shared" ca="1" si="329"/>
        <v>2.2562304480281055E-12</v>
      </c>
      <c r="AB731">
        <f t="shared" ca="1" si="330"/>
        <v>-5.0000000192085281E-4</v>
      </c>
      <c r="AC731">
        <f t="shared" ca="1" si="331"/>
        <v>1</v>
      </c>
      <c r="AD731">
        <f ca="1">IF(V32="Supercritical",L731,IF(V32="Subcritical",U731,IF(AND(T731=1,AC731=1),IF((((F731)*(L731)^2)/2+(G731)*(L731)^3/3+(ABS(K731)^2)/($I$5*MAX(((F731)+(G731)*(L731))*(L731),0.000001)))&gt;=(((F731)*(U731)^2)/2+(G731)*(U731)^3/3+(ABS(K731)^2)/($I$5*MAX(((F731)+(G731)*(U731))*(U731),0.000001))),L731,U731),IF(T731=1,L731,IF(AC731=1,U731,MAX($D$16,POWER((ABS(K731)^2)/($I$5*MAX(F731,0.1)^2),1/3)))))))</f>
        <v>51800.26683766341</v>
      </c>
      <c r="AE731">
        <f t="shared" ca="1" si="332"/>
        <v>52432.538337663413</v>
      </c>
      <c r="AF731">
        <f t="shared" ca="1" si="333"/>
        <v>52432.538337665239</v>
      </c>
      <c r="AI731">
        <v>0</v>
      </c>
      <c r="AJ731">
        <v>0</v>
      </c>
      <c r="AK731">
        <f t="shared" si="334"/>
        <v>0</v>
      </c>
      <c r="AL731">
        <f t="shared" si="343"/>
        <v>0</v>
      </c>
      <c r="AM731">
        <f t="shared" ca="1" si="335"/>
        <v>2.6560383008097266E-7</v>
      </c>
      <c r="AN731" t="str">
        <f t="shared" ca="1" si="336"/>
        <v>Subcritical</v>
      </c>
      <c r="AO731">
        <f t="shared" ca="1" si="337"/>
        <v>2.2562304480281055E-12</v>
      </c>
    </row>
    <row r="732" spans="1:41" x14ac:dyDescent="0.35">
      <c r="A732">
        <v>583</v>
      </c>
      <c r="B732">
        <v>581.89599999999996</v>
      </c>
      <c r="C732">
        <v>616165.48400000005</v>
      </c>
      <c r="D732">
        <v>3097404.5410000002</v>
      </c>
      <c r="E732">
        <v>632.27099999999996</v>
      </c>
      <c r="F732">
        <v>5.2</v>
      </c>
      <c r="G732">
        <v>0</v>
      </c>
      <c r="H732" t="s">
        <v>186</v>
      </c>
      <c r="I732">
        <v>2.7E-2</v>
      </c>
      <c r="J732">
        <f t="shared" si="338"/>
        <v>1.0009999999999764</v>
      </c>
      <c r="K732">
        <f t="shared" si="339"/>
        <v>51</v>
      </c>
      <c r="L732">
        <f t="shared" ca="1" si="340"/>
        <v>51797.843837663619</v>
      </c>
      <c r="M732">
        <f t="shared" ca="1" si="317"/>
        <v>269348.78795585083</v>
      </c>
      <c r="N732">
        <f t="shared" ca="1" si="318"/>
        <v>2.5998694991876676</v>
      </c>
      <c r="O732">
        <f t="shared" ca="1" si="319"/>
        <v>1.8934557080078435E-4</v>
      </c>
      <c r="P732">
        <f t="shared" ca="1" si="320"/>
        <v>52430.114837663619</v>
      </c>
      <c r="Q732">
        <f t="shared" ca="1" si="321"/>
        <v>52430.114837665446</v>
      </c>
      <c r="R732">
        <f t="shared" ca="1" si="322"/>
        <v>2.2564415439646509E-12</v>
      </c>
      <c r="S732">
        <f t="shared" ca="1" si="341"/>
        <v>5.0000000192085281E-4</v>
      </c>
      <c r="T732">
        <f t="shared" ca="1" si="342"/>
        <v>1</v>
      </c>
      <c r="U732">
        <f t="shared" ca="1" si="323"/>
        <v>51800.26683766341</v>
      </c>
      <c r="V732">
        <f t="shared" ca="1" si="324"/>
        <v>269361.38755584974</v>
      </c>
      <c r="W732">
        <f t="shared" ca="1" si="325"/>
        <v>2.5998695052916441</v>
      </c>
      <c r="X732">
        <f t="shared" ca="1" si="326"/>
        <v>1.8933671400629237E-4</v>
      </c>
      <c r="Y732">
        <f t="shared" ca="1" si="327"/>
        <v>52432.537837663411</v>
      </c>
      <c r="Z732">
        <f t="shared" ca="1" si="328"/>
        <v>52432.537837665237</v>
      </c>
      <c r="AA732">
        <f t="shared" ca="1" si="329"/>
        <v>2.2562304480281055E-12</v>
      </c>
      <c r="AB732">
        <f t="shared" ca="1" si="330"/>
        <v>-5.0000000192085281E-4</v>
      </c>
      <c r="AC732">
        <f t="shared" ca="1" si="331"/>
        <v>1</v>
      </c>
      <c r="AD732">
        <f ca="1">IF(V32="Supercritical",L732,IF(V32="Subcritical",U732,IF(AND(T732=1,AC732=1),IF((((F732)*(L732)^2)/2+(G732)*(L732)^3/3+(ABS(K732)^2)/($I$5*MAX(((F732)+(G732)*(L732))*(L732),0.000001)))&gt;=(((F732)*(U732)^2)/2+(G732)*(U732)^3/3+(ABS(K732)^2)/($I$5*MAX(((F732)+(G732)*(U732))*(U732),0.000001))),L732,U732),IF(T732=1,L732,IF(AC732=1,U732,MAX($D$16,POWER((ABS(K732)^2)/($I$5*MAX(F732,0.1)^2),1/3)))))))</f>
        <v>51800.26683766341</v>
      </c>
      <c r="AE732">
        <f t="shared" ca="1" si="332"/>
        <v>52432.537837663411</v>
      </c>
      <c r="AF732">
        <f t="shared" ca="1" si="333"/>
        <v>52432.537837665237</v>
      </c>
      <c r="AI732">
        <v>0</v>
      </c>
      <c r="AJ732">
        <v>0</v>
      </c>
      <c r="AK732">
        <f t="shared" si="334"/>
        <v>0</v>
      </c>
      <c r="AL732">
        <f t="shared" si="343"/>
        <v>0</v>
      </c>
      <c r="AM732">
        <f t="shared" ca="1" si="335"/>
        <v>2.6560383008097266E-7</v>
      </c>
      <c r="AN732" t="str">
        <f t="shared" ca="1" si="336"/>
        <v>Subcritical</v>
      </c>
      <c r="AO732">
        <f t="shared" ca="1" si="337"/>
        <v>2.2562304480281055E-12</v>
      </c>
    </row>
    <row r="733" spans="1:41" x14ac:dyDescent="0.35">
      <c r="A733">
        <v>584</v>
      </c>
      <c r="B733">
        <v>582.89499999999998</v>
      </c>
      <c r="C733">
        <v>616165.01</v>
      </c>
      <c r="D733">
        <v>3097403.6609999998</v>
      </c>
      <c r="E733">
        <v>632.27049999999997</v>
      </c>
      <c r="F733">
        <v>5.2</v>
      </c>
      <c r="G733">
        <v>0</v>
      </c>
      <c r="H733" t="s">
        <v>186</v>
      </c>
      <c r="I733">
        <v>0</v>
      </c>
      <c r="J733">
        <f t="shared" si="338"/>
        <v>0.99900000000002365</v>
      </c>
      <c r="K733">
        <f t="shared" si="339"/>
        <v>51</v>
      </c>
      <c r="L733">
        <f t="shared" ca="1" si="340"/>
        <v>51797.843837663619</v>
      </c>
      <c r="M733">
        <f t="shared" ca="1" si="317"/>
        <v>269348.78795585083</v>
      </c>
      <c r="N733">
        <f t="shared" ca="1" si="318"/>
        <v>2.5998694991876676</v>
      </c>
      <c r="O733">
        <f t="shared" ca="1" si="319"/>
        <v>1.8934557080078435E-4</v>
      </c>
      <c r="P733">
        <f t="shared" ca="1" si="320"/>
        <v>52430.114337663617</v>
      </c>
      <c r="Q733">
        <f t="shared" ca="1" si="321"/>
        <v>52430.114337665444</v>
      </c>
      <c r="R733">
        <f t="shared" ca="1" si="322"/>
        <v>2.2564415439646509E-12</v>
      </c>
      <c r="S733">
        <f t="shared" ca="1" si="341"/>
        <v>5.0000000192085281E-4</v>
      </c>
      <c r="T733">
        <f t="shared" ca="1" si="342"/>
        <v>1</v>
      </c>
      <c r="U733">
        <f t="shared" ca="1" si="323"/>
        <v>51800.26683766341</v>
      </c>
      <c r="V733">
        <f t="shared" ca="1" si="324"/>
        <v>269361.38755584974</v>
      </c>
      <c r="W733">
        <f t="shared" ca="1" si="325"/>
        <v>2.5998695052916441</v>
      </c>
      <c r="X733">
        <f t="shared" ca="1" si="326"/>
        <v>1.8933671400629237E-4</v>
      </c>
      <c r="Y733">
        <f t="shared" ca="1" si="327"/>
        <v>52432.537337663409</v>
      </c>
      <c r="Z733">
        <f t="shared" ca="1" si="328"/>
        <v>52432.537337665235</v>
      </c>
      <c r="AA733">
        <f t="shared" ca="1" si="329"/>
        <v>2.2562304480281055E-12</v>
      </c>
      <c r="AB733">
        <f t="shared" ca="1" si="330"/>
        <v>-5.0000000192085281E-4</v>
      </c>
      <c r="AC733">
        <f t="shared" ca="1" si="331"/>
        <v>1</v>
      </c>
      <c r="AD733">
        <f ca="1">IF(V32="Supercritical",L733,IF(V32="Subcritical",U733,IF(AND(T733=1,AC733=1),IF((((F733)*(L733)^2)/2+(G733)*(L733)^3/3+(ABS(K733)^2)/($I$5*MAX(((F733)+(G733)*(L733))*(L733),0.000001)))&gt;=(((F733)*(U733)^2)/2+(G733)*(U733)^3/3+(ABS(K733)^2)/($I$5*MAX(((F733)+(G733)*(U733))*(U733),0.000001))),L733,U733),IF(T733=1,L733,IF(AC733=1,U733,MAX($D$16,POWER((ABS(K733)^2)/($I$5*MAX(F733,0.1)^2),1/3)))))))</f>
        <v>51800.26683766341</v>
      </c>
      <c r="AE733">
        <f t="shared" ca="1" si="332"/>
        <v>52432.537337663409</v>
      </c>
      <c r="AF733">
        <f t="shared" ca="1" si="333"/>
        <v>52432.537337665235</v>
      </c>
      <c r="AI733">
        <v>0</v>
      </c>
      <c r="AJ733">
        <v>0</v>
      </c>
      <c r="AK733">
        <f t="shared" si="334"/>
        <v>0</v>
      </c>
      <c r="AL733">
        <f t="shared" si="343"/>
        <v>0</v>
      </c>
      <c r="AM733">
        <f t="shared" ca="1" si="335"/>
        <v>2.6560383008097266E-7</v>
      </c>
      <c r="AN733" t="str">
        <f t="shared" ca="1" si="336"/>
        <v>Subcritical</v>
      </c>
      <c r="AO733">
        <f t="shared" ca="1" si="337"/>
        <v>2.2562304480281055E-12</v>
      </c>
    </row>
    <row r="734" spans="1:41" x14ac:dyDescent="0.35">
      <c r="A734">
        <v>585</v>
      </c>
      <c r="B734">
        <v>583.89499999999998</v>
      </c>
      <c r="C734">
        <v>616164.53599999996</v>
      </c>
      <c r="D734">
        <v>3097402.781</v>
      </c>
      <c r="E734">
        <v>632.27</v>
      </c>
      <c r="F734">
        <v>5.2</v>
      </c>
      <c r="G734">
        <v>0</v>
      </c>
      <c r="H734" t="s">
        <v>186</v>
      </c>
      <c r="I734">
        <v>2.3E-2</v>
      </c>
      <c r="J734">
        <f t="shared" si="338"/>
        <v>1</v>
      </c>
      <c r="K734">
        <f t="shared" si="339"/>
        <v>51</v>
      </c>
      <c r="L734">
        <f t="shared" ca="1" si="340"/>
        <v>51797.843837663619</v>
      </c>
      <c r="M734">
        <f t="shared" ca="1" si="317"/>
        <v>269348.78795585083</v>
      </c>
      <c r="N734">
        <f t="shared" ca="1" si="318"/>
        <v>2.5998694991876676</v>
      </c>
      <c r="O734">
        <f t="shared" ca="1" si="319"/>
        <v>1.8934557080078435E-4</v>
      </c>
      <c r="P734">
        <f t="shared" ca="1" si="320"/>
        <v>52430.113837663615</v>
      </c>
      <c r="Q734">
        <f t="shared" ca="1" si="321"/>
        <v>52430.113837665442</v>
      </c>
      <c r="R734">
        <f t="shared" ca="1" si="322"/>
        <v>2.2564415439646509E-12</v>
      </c>
      <c r="S734">
        <f t="shared" ca="1" si="341"/>
        <v>5.0000000192085281E-4</v>
      </c>
      <c r="T734">
        <f t="shared" ca="1" si="342"/>
        <v>1</v>
      </c>
      <c r="U734">
        <f t="shared" ca="1" si="323"/>
        <v>51800.26683766341</v>
      </c>
      <c r="V734">
        <f t="shared" ca="1" si="324"/>
        <v>269361.38755584974</v>
      </c>
      <c r="W734">
        <f t="shared" ca="1" si="325"/>
        <v>2.5998695052916441</v>
      </c>
      <c r="X734">
        <f t="shared" ca="1" si="326"/>
        <v>1.8933671400629237E-4</v>
      </c>
      <c r="Y734">
        <f t="shared" ca="1" si="327"/>
        <v>52432.536837663407</v>
      </c>
      <c r="Z734">
        <f t="shared" ca="1" si="328"/>
        <v>52432.536837665233</v>
      </c>
      <c r="AA734">
        <f t="shared" ca="1" si="329"/>
        <v>2.2562304480281055E-12</v>
      </c>
      <c r="AB734">
        <f t="shared" ca="1" si="330"/>
        <v>-4.999999946448952E-4</v>
      </c>
      <c r="AC734">
        <f t="shared" ca="1" si="331"/>
        <v>1</v>
      </c>
      <c r="AD734">
        <f ca="1">IF(V32="Supercritical",L734,IF(V32="Subcritical",U734,IF(AND(T734=1,AC734=1),IF((((F734)*(L734)^2)/2+(G734)*(L734)^3/3+(ABS(K734)^2)/($I$5*MAX(((F734)+(G734)*(L734))*(L734),0.000001)))&gt;=(((F734)*(U734)^2)/2+(G734)*(U734)^3/3+(ABS(K734)^2)/($I$5*MAX(((F734)+(G734)*(U734))*(U734),0.000001))),L734,U734),IF(T734=1,L734,IF(AC734=1,U734,MAX($D$16,POWER((ABS(K734)^2)/($I$5*MAX(F734,0.1)^2),1/3)))))))</f>
        <v>51800.26683766341</v>
      </c>
      <c r="AE734">
        <f t="shared" ca="1" si="332"/>
        <v>52432.536837663407</v>
      </c>
      <c r="AF734">
        <f t="shared" ca="1" si="333"/>
        <v>52432.536837665233</v>
      </c>
      <c r="AI734">
        <v>0</v>
      </c>
      <c r="AJ734">
        <v>0</v>
      </c>
      <c r="AK734">
        <f t="shared" si="334"/>
        <v>0</v>
      </c>
      <c r="AL734">
        <f t="shared" si="343"/>
        <v>0</v>
      </c>
      <c r="AM734">
        <f t="shared" ca="1" si="335"/>
        <v>2.6560383008097266E-7</v>
      </c>
      <c r="AN734" t="str">
        <f t="shared" ca="1" si="336"/>
        <v>Subcritical</v>
      </c>
      <c r="AO734">
        <f t="shared" ca="1" si="337"/>
        <v>2.2562304480281055E-12</v>
      </c>
    </row>
    <row r="735" spans="1:41" x14ac:dyDescent="0.35">
      <c r="A735">
        <v>586</v>
      </c>
      <c r="B735">
        <v>584.89599999999996</v>
      </c>
      <c r="C735">
        <v>616164.06099999999</v>
      </c>
      <c r="D735">
        <v>3097401.9</v>
      </c>
      <c r="E735">
        <v>632.26949999999999</v>
      </c>
      <c r="F735">
        <v>5.2</v>
      </c>
      <c r="G735">
        <v>0</v>
      </c>
      <c r="H735" t="s">
        <v>186</v>
      </c>
      <c r="I735">
        <v>2.3E-2</v>
      </c>
      <c r="J735">
        <f t="shared" si="338"/>
        <v>1.0009999999999764</v>
      </c>
      <c r="K735">
        <f t="shared" si="339"/>
        <v>51</v>
      </c>
      <c r="L735">
        <f t="shared" ca="1" si="340"/>
        <v>51797.843837663619</v>
      </c>
      <c r="M735">
        <f t="shared" ca="1" si="317"/>
        <v>269348.78795585083</v>
      </c>
      <c r="N735">
        <f t="shared" ca="1" si="318"/>
        <v>2.5998694991876676</v>
      </c>
      <c r="O735">
        <f t="shared" ca="1" si="319"/>
        <v>1.8934557080078435E-4</v>
      </c>
      <c r="P735">
        <f t="shared" ca="1" si="320"/>
        <v>52430.113337663621</v>
      </c>
      <c r="Q735">
        <f t="shared" ca="1" si="321"/>
        <v>52430.113337665447</v>
      </c>
      <c r="R735">
        <f t="shared" ca="1" si="322"/>
        <v>2.2564415439646509E-12</v>
      </c>
      <c r="S735">
        <f t="shared" ca="1" si="341"/>
        <v>4.999999946448952E-4</v>
      </c>
      <c r="T735">
        <f t="shared" ca="1" si="342"/>
        <v>1</v>
      </c>
      <c r="U735">
        <f t="shared" ca="1" si="323"/>
        <v>51800.26683766341</v>
      </c>
      <c r="V735">
        <f t="shared" ca="1" si="324"/>
        <v>269361.38755584974</v>
      </c>
      <c r="W735">
        <f t="shared" ca="1" si="325"/>
        <v>2.5998695052916441</v>
      </c>
      <c r="X735">
        <f t="shared" ca="1" si="326"/>
        <v>1.8933671400629237E-4</v>
      </c>
      <c r="Y735">
        <f t="shared" ca="1" si="327"/>
        <v>52432.536337663412</v>
      </c>
      <c r="Z735">
        <f t="shared" ca="1" si="328"/>
        <v>52432.536337665239</v>
      </c>
      <c r="AA735">
        <f t="shared" ca="1" si="329"/>
        <v>2.2562304480281055E-12</v>
      </c>
      <c r="AB735">
        <f t="shared" ca="1" si="330"/>
        <v>-5.0000000192085281E-4</v>
      </c>
      <c r="AC735">
        <f t="shared" ca="1" si="331"/>
        <v>1</v>
      </c>
      <c r="AD735">
        <f ca="1">IF(V32="Supercritical",L735,IF(V32="Subcritical",U735,IF(AND(T735=1,AC735=1),IF((((F735)*(L735)^2)/2+(G735)*(L735)^3/3+(ABS(K735)^2)/($I$5*MAX(((F735)+(G735)*(L735))*(L735),0.000001)))&gt;=(((F735)*(U735)^2)/2+(G735)*(U735)^3/3+(ABS(K735)^2)/($I$5*MAX(((F735)+(G735)*(U735))*(U735),0.000001))),L735,U735),IF(T735=1,L735,IF(AC735=1,U735,MAX($D$16,POWER((ABS(K735)^2)/($I$5*MAX(F735,0.1)^2),1/3)))))))</f>
        <v>51800.26683766341</v>
      </c>
      <c r="AE735">
        <f t="shared" ca="1" si="332"/>
        <v>52432.536337663412</v>
      </c>
      <c r="AF735">
        <f t="shared" ca="1" si="333"/>
        <v>52432.536337665239</v>
      </c>
      <c r="AI735">
        <v>0</v>
      </c>
      <c r="AJ735">
        <v>0</v>
      </c>
      <c r="AK735">
        <f t="shared" si="334"/>
        <v>0</v>
      </c>
      <c r="AL735">
        <f t="shared" si="343"/>
        <v>0</v>
      </c>
      <c r="AM735">
        <f t="shared" ca="1" si="335"/>
        <v>2.6560383008097266E-7</v>
      </c>
      <c r="AN735" t="str">
        <f t="shared" ca="1" si="336"/>
        <v>Subcritical</v>
      </c>
      <c r="AO735">
        <f t="shared" ca="1" si="337"/>
        <v>2.2562304480281055E-12</v>
      </c>
    </row>
    <row r="736" spans="1:41" x14ac:dyDescent="0.35">
      <c r="A736">
        <v>587</v>
      </c>
      <c r="B736">
        <v>585.89499999999998</v>
      </c>
      <c r="C736">
        <v>616163.58700000006</v>
      </c>
      <c r="D736">
        <v>3097401.02</v>
      </c>
      <c r="E736">
        <v>632.26900000000001</v>
      </c>
      <c r="F736">
        <v>5.2</v>
      </c>
      <c r="G736">
        <v>0</v>
      </c>
      <c r="H736" t="s">
        <v>186</v>
      </c>
      <c r="I736">
        <v>2.7E-2</v>
      </c>
      <c r="J736">
        <f t="shared" si="338"/>
        <v>0.99900000000002365</v>
      </c>
      <c r="K736">
        <f t="shared" si="339"/>
        <v>51</v>
      </c>
      <c r="L736">
        <f t="shared" ca="1" si="340"/>
        <v>51797.843837663619</v>
      </c>
      <c r="M736">
        <f t="shared" ca="1" si="317"/>
        <v>269348.78795585083</v>
      </c>
      <c r="N736">
        <f t="shared" ca="1" si="318"/>
        <v>2.5998694991876676</v>
      </c>
      <c r="O736">
        <f t="shared" ca="1" si="319"/>
        <v>1.8934557080078435E-4</v>
      </c>
      <c r="P736">
        <f t="shared" ca="1" si="320"/>
        <v>52430.112837663619</v>
      </c>
      <c r="Q736">
        <f t="shared" ca="1" si="321"/>
        <v>52430.112837665445</v>
      </c>
      <c r="R736">
        <f t="shared" ca="1" si="322"/>
        <v>2.2564415439646509E-12</v>
      </c>
      <c r="S736">
        <f t="shared" ca="1" si="341"/>
        <v>5.0000000192085281E-4</v>
      </c>
      <c r="T736">
        <f t="shared" ca="1" si="342"/>
        <v>1</v>
      </c>
      <c r="U736">
        <f t="shared" ca="1" si="323"/>
        <v>51800.26683766341</v>
      </c>
      <c r="V736">
        <f t="shared" ca="1" si="324"/>
        <v>269361.38755584974</v>
      </c>
      <c r="W736">
        <f t="shared" ca="1" si="325"/>
        <v>2.5998695052916441</v>
      </c>
      <c r="X736">
        <f t="shared" ca="1" si="326"/>
        <v>1.8933671400629237E-4</v>
      </c>
      <c r="Y736">
        <f t="shared" ca="1" si="327"/>
        <v>52432.53583766341</v>
      </c>
      <c r="Z736">
        <f t="shared" ca="1" si="328"/>
        <v>52432.535837665237</v>
      </c>
      <c r="AA736">
        <f t="shared" ca="1" si="329"/>
        <v>2.2562304480281055E-12</v>
      </c>
      <c r="AB736">
        <f t="shared" ca="1" si="330"/>
        <v>-5.0000000192085281E-4</v>
      </c>
      <c r="AC736">
        <f t="shared" ca="1" si="331"/>
        <v>1</v>
      </c>
      <c r="AD736">
        <f ca="1">IF(V32="Supercritical",L736,IF(V32="Subcritical",U736,IF(AND(T736=1,AC736=1),IF((((F736)*(L736)^2)/2+(G736)*(L736)^3/3+(ABS(K736)^2)/($I$5*MAX(((F736)+(G736)*(L736))*(L736),0.000001)))&gt;=(((F736)*(U736)^2)/2+(G736)*(U736)^3/3+(ABS(K736)^2)/($I$5*MAX(((F736)+(G736)*(U736))*(U736),0.000001))),L736,U736),IF(T736=1,L736,IF(AC736=1,U736,MAX($D$16,POWER((ABS(K736)^2)/($I$5*MAX(F736,0.1)^2),1/3)))))))</f>
        <v>51800.26683766341</v>
      </c>
      <c r="AE736">
        <f t="shared" ca="1" si="332"/>
        <v>52432.53583766341</v>
      </c>
      <c r="AF736">
        <f t="shared" ca="1" si="333"/>
        <v>52432.535837665237</v>
      </c>
      <c r="AI736">
        <v>0</v>
      </c>
      <c r="AJ736">
        <v>0</v>
      </c>
      <c r="AK736">
        <f t="shared" si="334"/>
        <v>0</v>
      </c>
      <c r="AL736">
        <f t="shared" si="343"/>
        <v>0</v>
      </c>
      <c r="AM736">
        <f t="shared" ca="1" si="335"/>
        <v>2.6560383008097266E-7</v>
      </c>
      <c r="AN736" t="str">
        <f t="shared" ca="1" si="336"/>
        <v>Subcritical</v>
      </c>
      <c r="AO736">
        <f t="shared" ca="1" si="337"/>
        <v>2.2562304480281055E-12</v>
      </c>
    </row>
    <row r="737" spans="1:41" x14ac:dyDescent="0.35">
      <c r="A737">
        <v>588</v>
      </c>
      <c r="B737">
        <v>586.89599999999996</v>
      </c>
      <c r="C737">
        <v>616163.11300000001</v>
      </c>
      <c r="D737">
        <v>3097400.139</v>
      </c>
      <c r="E737">
        <v>632.26850000000002</v>
      </c>
      <c r="F737">
        <v>5.2</v>
      </c>
      <c r="G737">
        <v>0</v>
      </c>
      <c r="H737" t="s">
        <v>186</v>
      </c>
      <c r="I737">
        <v>2.7E-2</v>
      </c>
      <c r="J737">
        <f t="shared" si="338"/>
        <v>1.0009999999999764</v>
      </c>
      <c r="K737">
        <f t="shared" si="339"/>
        <v>51</v>
      </c>
      <c r="L737">
        <f t="shared" ca="1" si="340"/>
        <v>51797.843837663619</v>
      </c>
      <c r="M737">
        <f t="shared" ca="1" si="317"/>
        <v>269348.78795585083</v>
      </c>
      <c r="N737">
        <f t="shared" ca="1" si="318"/>
        <v>2.5998694991876676</v>
      </c>
      <c r="O737">
        <f t="shared" ca="1" si="319"/>
        <v>1.8934557080078435E-4</v>
      </c>
      <c r="P737">
        <f t="shared" ca="1" si="320"/>
        <v>52430.112337663617</v>
      </c>
      <c r="Q737">
        <f t="shared" ca="1" si="321"/>
        <v>52430.112337665443</v>
      </c>
      <c r="R737">
        <f t="shared" ca="1" si="322"/>
        <v>2.2564415439646509E-12</v>
      </c>
      <c r="S737">
        <f t="shared" ca="1" si="341"/>
        <v>5.0000000192085281E-4</v>
      </c>
      <c r="T737">
        <f t="shared" ca="1" si="342"/>
        <v>1</v>
      </c>
      <c r="U737">
        <f t="shared" ca="1" si="323"/>
        <v>51800.26683766341</v>
      </c>
      <c r="V737">
        <f t="shared" ca="1" si="324"/>
        <v>269361.38755584974</v>
      </c>
      <c r="W737">
        <f t="shared" ca="1" si="325"/>
        <v>2.5998695052916441</v>
      </c>
      <c r="X737">
        <f t="shared" ca="1" si="326"/>
        <v>1.8933671400629237E-4</v>
      </c>
      <c r="Y737">
        <f t="shared" ca="1" si="327"/>
        <v>52432.535337663408</v>
      </c>
      <c r="Z737">
        <f t="shared" ca="1" si="328"/>
        <v>52432.535337665235</v>
      </c>
      <c r="AA737">
        <f t="shared" ca="1" si="329"/>
        <v>2.2562304480281055E-12</v>
      </c>
      <c r="AB737">
        <f t="shared" ca="1" si="330"/>
        <v>-5.0000000192085281E-4</v>
      </c>
      <c r="AC737">
        <f t="shared" ca="1" si="331"/>
        <v>1</v>
      </c>
      <c r="AD737">
        <f ca="1">IF(V32="Supercritical",L737,IF(V32="Subcritical",U737,IF(AND(T737=1,AC737=1),IF((((F737)*(L737)^2)/2+(G737)*(L737)^3/3+(ABS(K737)^2)/($I$5*MAX(((F737)+(G737)*(L737))*(L737),0.000001)))&gt;=(((F737)*(U737)^2)/2+(G737)*(U737)^3/3+(ABS(K737)^2)/($I$5*MAX(((F737)+(G737)*(U737))*(U737),0.000001))),L737,U737),IF(T737=1,L737,IF(AC737=1,U737,MAX($D$16,POWER((ABS(K737)^2)/($I$5*MAX(F737,0.1)^2),1/3)))))))</f>
        <v>51800.26683766341</v>
      </c>
      <c r="AE737">
        <f t="shared" ca="1" si="332"/>
        <v>52432.535337663408</v>
      </c>
      <c r="AF737">
        <f t="shared" ca="1" si="333"/>
        <v>52432.535337665235</v>
      </c>
      <c r="AI737">
        <v>0</v>
      </c>
      <c r="AJ737">
        <v>0</v>
      </c>
      <c r="AK737">
        <f t="shared" si="334"/>
        <v>0</v>
      </c>
      <c r="AL737">
        <f t="shared" si="343"/>
        <v>0</v>
      </c>
      <c r="AM737">
        <f t="shared" ca="1" si="335"/>
        <v>2.6560383008097266E-7</v>
      </c>
      <c r="AN737" t="str">
        <f t="shared" ca="1" si="336"/>
        <v>Subcritical</v>
      </c>
      <c r="AO737">
        <f t="shared" ca="1" si="337"/>
        <v>2.2562304480281055E-12</v>
      </c>
    </row>
    <row r="738" spans="1:41" x14ac:dyDescent="0.35">
      <c r="A738">
        <v>589</v>
      </c>
      <c r="B738">
        <v>587.89499999999998</v>
      </c>
      <c r="C738">
        <v>616162.63899999997</v>
      </c>
      <c r="D738">
        <v>3097399.2590000001</v>
      </c>
      <c r="E738">
        <v>632.26800000000003</v>
      </c>
      <c r="F738">
        <v>5.2</v>
      </c>
      <c r="G738">
        <v>0</v>
      </c>
      <c r="H738" t="s">
        <v>186</v>
      </c>
      <c r="I738">
        <v>0</v>
      </c>
      <c r="J738">
        <f t="shared" si="338"/>
        <v>0.99900000000002365</v>
      </c>
      <c r="K738">
        <f t="shared" si="339"/>
        <v>51</v>
      </c>
      <c r="L738">
        <f t="shared" ca="1" si="340"/>
        <v>51797.843837663619</v>
      </c>
      <c r="M738">
        <f t="shared" ca="1" si="317"/>
        <v>269348.78795585083</v>
      </c>
      <c r="N738">
        <f t="shared" ca="1" si="318"/>
        <v>2.5998694991876676</v>
      </c>
      <c r="O738">
        <f t="shared" ca="1" si="319"/>
        <v>1.8934557080078435E-4</v>
      </c>
      <c r="P738">
        <f t="shared" ca="1" si="320"/>
        <v>52430.111837663615</v>
      </c>
      <c r="Q738">
        <f t="shared" ca="1" si="321"/>
        <v>52430.111837665441</v>
      </c>
      <c r="R738">
        <f t="shared" ca="1" si="322"/>
        <v>2.2564415439646509E-12</v>
      </c>
      <c r="S738">
        <f t="shared" ca="1" si="341"/>
        <v>5.0000000192085281E-4</v>
      </c>
      <c r="T738">
        <f t="shared" ca="1" si="342"/>
        <v>1</v>
      </c>
      <c r="U738">
        <f t="shared" ca="1" si="323"/>
        <v>51800.26683766341</v>
      </c>
      <c r="V738">
        <f t="shared" ca="1" si="324"/>
        <v>269361.38755584974</v>
      </c>
      <c r="W738">
        <f t="shared" ca="1" si="325"/>
        <v>2.5998695052916441</v>
      </c>
      <c r="X738">
        <f t="shared" ca="1" si="326"/>
        <v>1.8933671400629237E-4</v>
      </c>
      <c r="Y738">
        <f t="shared" ca="1" si="327"/>
        <v>52432.534837663407</v>
      </c>
      <c r="Z738">
        <f t="shared" ca="1" si="328"/>
        <v>52432.534837665233</v>
      </c>
      <c r="AA738">
        <f t="shared" ca="1" si="329"/>
        <v>2.2562304480281055E-12</v>
      </c>
      <c r="AB738">
        <f t="shared" ca="1" si="330"/>
        <v>-4.999999946448952E-4</v>
      </c>
      <c r="AC738">
        <f t="shared" ca="1" si="331"/>
        <v>1</v>
      </c>
      <c r="AD738">
        <f ca="1">IF(V32="Supercritical",L738,IF(V32="Subcritical",U738,IF(AND(T738=1,AC738=1),IF((((F738)*(L738)^2)/2+(G738)*(L738)^3/3+(ABS(K738)^2)/($I$5*MAX(((F738)+(G738)*(L738))*(L738),0.000001)))&gt;=(((F738)*(U738)^2)/2+(G738)*(U738)^3/3+(ABS(K738)^2)/($I$5*MAX(((F738)+(G738)*(U738))*(U738),0.000001))),L738,U738),IF(T738=1,L738,IF(AC738=1,U738,MAX($D$16,POWER((ABS(K738)^2)/($I$5*MAX(F738,0.1)^2),1/3)))))))</f>
        <v>51800.26683766341</v>
      </c>
      <c r="AE738">
        <f t="shared" ca="1" si="332"/>
        <v>52432.534837663407</v>
      </c>
      <c r="AF738">
        <f t="shared" ca="1" si="333"/>
        <v>52432.534837665233</v>
      </c>
      <c r="AI738">
        <v>0</v>
      </c>
      <c r="AJ738">
        <v>0</v>
      </c>
      <c r="AK738">
        <f t="shared" si="334"/>
        <v>0</v>
      </c>
      <c r="AL738">
        <f t="shared" si="343"/>
        <v>0</v>
      </c>
      <c r="AM738">
        <f t="shared" ca="1" si="335"/>
        <v>2.6560383008097266E-7</v>
      </c>
      <c r="AN738" t="str">
        <f t="shared" ca="1" si="336"/>
        <v>Subcritical</v>
      </c>
      <c r="AO738">
        <f t="shared" ca="1" si="337"/>
        <v>2.2562304480281055E-12</v>
      </c>
    </row>
    <row r="739" spans="1:41" x14ac:dyDescent="0.35">
      <c r="A739">
        <v>590</v>
      </c>
      <c r="B739">
        <v>588.89499999999998</v>
      </c>
      <c r="C739">
        <v>616162.16500000004</v>
      </c>
      <c r="D739">
        <v>3097398.3790000002</v>
      </c>
      <c r="E739">
        <v>632.26750000000004</v>
      </c>
      <c r="F739">
        <v>5.2</v>
      </c>
      <c r="G739">
        <v>0</v>
      </c>
      <c r="H739" t="s">
        <v>186</v>
      </c>
      <c r="I739">
        <v>2.3E-2</v>
      </c>
      <c r="J739">
        <f t="shared" si="338"/>
        <v>1</v>
      </c>
      <c r="K739">
        <f t="shared" si="339"/>
        <v>51</v>
      </c>
      <c r="L739">
        <f t="shared" ca="1" si="340"/>
        <v>51797.843837663619</v>
      </c>
      <c r="M739">
        <f t="shared" ca="1" si="317"/>
        <v>269348.78795585083</v>
      </c>
      <c r="N739">
        <f t="shared" ca="1" si="318"/>
        <v>2.5998694991876676</v>
      </c>
      <c r="O739">
        <f t="shared" ca="1" si="319"/>
        <v>1.8934557080078435E-4</v>
      </c>
      <c r="P739">
        <f t="shared" ca="1" si="320"/>
        <v>52430.11133766362</v>
      </c>
      <c r="Q739">
        <f t="shared" ca="1" si="321"/>
        <v>52430.111337665447</v>
      </c>
      <c r="R739">
        <f t="shared" ca="1" si="322"/>
        <v>2.2564415439646509E-12</v>
      </c>
      <c r="S739">
        <f t="shared" ca="1" si="341"/>
        <v>4.999999946448952E-4</v>
      </c>
      <c r="T739">
        <f t="shared" ca="1" si="342"/>
        <v>1</v>
      </c>
      <c r="U739">
        <f t="shared" ca="1" si="323"/>
        <v>51800.26683766341</v>
      </c>
      <c r="V739">
        <f t="shared" ca="1" si="324"/>
        <v>269361.38755584974</v>
      </c>
      <c r="W739">
        <f t="shared" ca="1" si="325"/>
        <v>2.5998695052916441</v>
      </c>
      <c r="X739">
        <f t="shared" ca="1" si="326"/>
        <v>1.8933671400629237E-4</v>
      </c>
      <c r="Y739">
        <f t="shared" ca="1" si="327"/>
        <v>52432.534337663412</v>
      </c>
      <c r="Z739">
        <f t="shared" ca="1" si="328"/>
        <v>52432.534337665238</v>
      </c>
      <c r="AA739">
        <f t="shared" ca="1" si="329"/>
        <v>2.2562304480281055E-12</v>
      </c>
      <c r="AB739">
        <f t="shared" ca="1" si="330"/>
        <v>-5.0000000192085281E-4</v>
      </c>
      <c r="AC739">
        <f t="shared" ca="1" si="331"/>
        <v>1</v>
      </c>
      <c r="AD739">
        <f ca="1">IF(V32="Supercritical",L739,IF(V32="Subcritical",U739,IF(AND(T739=1,AC739=1),IF((((F739)*(L739)^2)/2+(G739)*(L739)^3/3+(ABS(K739)^2)/($I$5*MAX(((F739)+(G739)*(L739))*(L739),0.000001)))&gt;=(((F739)*(U739)^2)/2+(G739)*(U739)^3/3+(ABS(K739)^2)/($I$5*MAX(((F739)+(G739)*(U739))*(U739),0.000001))),L739,U739),IF(T739=1,L739,IF(AC739=1,U739,MAX($D$16,POWER((ABS(K739)^2)/($I$5*MAX(F739,0.1)^2),1/3)))))))</f>
        <v>51800.26683766341</v>
      </c>
      <c r="AE739">
        <f t="shared" ca="1" si="332"/>
        <v>52432.534337663412</v>
      </c>
      <c r="AF739">
        <f t="shared" ca="1" si="333"/>
        <v>52432.534337665238</v>
      </c>
      <c r="AI739">
        <v>0</v>
      </c>
      <c r="AJ739">
        <v>0</v>
      </c>
      <c r="AK739">
        <f t="shared" si="334"/>
        <v>0</v>
      </c>
      <c r="AL739">
        <f t="shared" si="343"/>
        <v>0</v>
      </c>
      <c r="AM739">
        <f t="shared" ca="1" si="335"/>
        <v>2.6560383008097266E-7</v>
      </c>
      <c r="AN739" t="str">
        <f t="shared" ca="1" si="336"/>
        <v>Subcritical</v>
      </c>
      <c r="AO739">
        <f t="shared" ca="1" si="337"/>
        <v>2.2562304480281055E-12</v>
      </c>
    </row>
    <row r="740" spans="1:41" x14ac:dyDescent="0.35">
      <c r="A740">
        <v>591</v>
      </c>
      <c r="B740">
        <v>589.89599999999996</v>
      </c>
      <c r="C740">
        <v>616161.68999999994</v>
      </c>
      <c r="D740">
        <v>3097397.4980000001</v>
      </c>
      <c r="E740">
        <v>632.26700000000005</v>
      </c>
      <c r="F740">
        <v>5.2</v>
      </c>
      <c r="G740">
        <v>0</v>
      </c>
      <c r="H740" t="s">
        <v>186</v>
      </c>
      <c r="I740">
        <v>2.3E-2</v>
      </c>
      <c r="J740">
        <f t="shared" si="338"/>
        <v>1.0009999999999764</v>
      </c>
      <c r="K740">
        <f t="shared" si="339"/>
        <v>51</v>
      </c>
      <c r="L740">
        <f t="shared" ca="1" si="340"/>
        <v>51797.843837663619</v>
      </c>
      <c r="M740">
        <f t="shared" ca="1" si="317"/>
        <v>269348.78795585083</v>
      </c>
      <c r="N740">
        <f t="shared" ca="1" si="318"/>
        <v>2.5998694991876676</v>
      </c>
      <c r="O740">
        <f t="shared" ca="1" si="319"/>
        <v>1.8934557080078435E-4</v>
      </c>
      <c r="P740">
        <f t="shared" ca="1" si="320"/>
        <v>52430.110837663618</v>
      </c>
      <c r="Q740">
        <f t="shared" ca="1" si="321"/>
        <v>52430.110837665445</v>
      </c>
      <c r="R740">
        <f t="shared" ca="1" si="322"/>
        <v>2.2564415439646509E-12</v>
      </c>
      <c r="S740">
        <f t="shared" ca="1" si="341"/>
        <v>5.0000000192085281E-4</v>
      </c>
      <c r="T740">
        <f t="shared" ca="1" si="342"/>
        <v>1</v>
      </c>
      <c r="U740">
        <f t="shared" ca="1" si="323"/>
        <v>51800.26683766341</v>
      </c>
      <c r="V740">
        <f t="shared" ca="1" si="324"/>
        <v>269361.38755584974</v>
      </c>
      <c r="W740">
        <f t="shared" ca="1" si="325"/>
        <v>2.5998695052916441</v>
      </c>
      <c r="X740">
        <f t="shared" ca="1" si="326"/>
        <v>1.8933671400629237E-4</v>
      </c>
      <c r="Y740">
        <f t="shared" ca="1" si="327"/>
        <v>52432.53383766341</v>
      </c>
      <c r="Z740">
        <f t="shared" ca="1" si="328"/>
        <v>52432.533837665236</v>
      </c>
      <c r="AA740">
        <f t="shared" ca="1" si="329"/>
        <v>2.2562304480281055E-12</v>
      </c>
      <c r="AB740">
        <f t="shared" ca="1" si="330"/>
        <v>-5.0000000192085281E-4</v>
      </c>
      <c r="AC740">
        <f t="shared" ca="1" si="331"/>
        <v>1</v>
      </c>
      <c r="AD740">
        <f ca="1">IF(V32="Supercritical",L740,IF(V32="Subcritical",U740,IF(AND(T740=1,AC740=1),IF((((F740)*(L740)^2)/2+(G740)*(L740)^3/3+(ABS(K740)^2)/($I$5*MAX(((F740)+(G740)*(L740))*(L740),0.000001)))&gt;=(((F740)*(U740)^2)/2+(G740)*(U740)^3/3+(ABS(K740)^2)/($I$5*MAX(((F740)+(G740)*(U740))*(U740),0.000001))),L740,U740),IF(T740=1,L740,IF(AC740=1,U740,MAX($D$16,POWER((ABS(K740)^2)/($I$5*MAX(F740,0.1)^2),1/3)))))))</f>
        <v>51800.26683766341</v>
      </c>
      <c r="AE740">
        <f t="shared" ca="1" si="332"/>
        <v>52432.53383766341</v>
      </c>
      <c r="AF740">
        <f t="shared" ca="1" si="333"/>
        <v>52432.533837665236</v>
      </c>
      <c r="AI740">
        <v>0</v>
      </c>
      <c r="AJ740">
        <v>0</v>
      </c>
      <c r="AK740">
        <f t="shared" si="334"/>
        <v>0</v>
      </c>
      <c r="AL740">
        <f t="shared" si="343"/>
        <v>0</v>
      </c>
      <c r="AM740">
        <f t="shared" ca="1" si="335"/>
        <v>2.6560383008097266E-7</v>
      </c>
      <c r="AN740" t="str">
        <f t="shared" ca="1" si="336"/>
        <v>Subcritical</v>
      </c>
      <c r="AO740">
        <f t="shared" ca="1" si="337"/>
        <v>2.2562304480281055E-12</v>
      </c>
    </row>
    <row r="741" spans="1:41" x14ac:dyDescent="0.35">
      <c r="A741">
        <v>592</v>
      </c>
      <c r="B741">
        <v>590.89499999999998</v>
      </c>
      <c r="C741">
        <v>616161.21600000001</v>
      </c>
      <c r="D741">
        <v>3097396.6179999998</v>
      </c>
      <c r="E741">
        <v>632.26649999999995</v>
      </c>
      <c r="F741">
        <v>5.2</v>
      </c>
      <c r="G741">
        <v>0</v>
      </c>
      <c r="H741" t="s">
        <v>186</v>
      </c>
      <c r="I741">
        <v>2.7E-2</v>
      </c>
      <c r="J741">
        <f t="shared" si="338"/>
        <v>0.99900000000002365</v>
      </c>
      <c r="K741">
        <f t="shared" si="339"/>
        <v>51</v>
      </c>
      <c r="L741">
        <f t="shared" ca="1" si="340"/>
        <v>51797.843837663619</v>
      </c>
      <c r="M741">
        <f t="shared" ca="1" si="317"/>
        <v>269348.78795585083</v>
      </c>
      <c r="N741">
        <f t="shared" ca="1" si="318"/>
        <v>2.5998694991876676</v>
      </c>
      <c r="O741">
        <f t="shared" ca="1" si="319"/>
        <v>1.8934557080078435E-4</v>
      </c>
      <c r="P741">
        <f t="shared" ca="1" si="320"/>
        <v>52430.110337663617</v>
      </c>
      <c r="Q741">
        <f t="shared" ca="1" si="321"/>
        <v>52430.110337665443</v>
      </c>
      <c r="R741">
        <f t="shared" ca="1" si="322"/>
        <v>2.2564415439646509E-12</v>
      </c>
      <c r="S741">
        <f t="shared" ca="1" si="341"/>
        <v>5.0000000192085281E-4</v>
      </c>
      <c r="T741">
        <f t="shared" ca="1" si="342"/>
        <v>1</v>
      </c>
      <c r="U741">
        <f t="shared" ca="1" si="323"/>
        <v>51800.26683766341</v>
      </c>
      <c r="V741">
        <f t="shared" ca="1" si="324"/>
        <v>269361.38755584974</v>
      </c>
      <c r="W741">
        <f t="shared" ca="1" si="325"/>
        <v>2.5998695052916441</v>
      </c>
      <c r="X741">
        <f t="shared" ca="1" si="326"/>
        <v>1.8933671400629237E-4</v>
      </c>
      <c r="Y741">
        <f t="shared" ca="1" si="327"/>
        <v>52432.533337663408</v>
      </c>
      <c r="Z741">
        <f t="shared" ca="1" si="328"/>
        <v>52432.533337665234</v>
      </c>
      <c r="AA741">
        <f t="shared" ca="1" si="329"/>
        <v>2.2562304480281055E-12</v>
      </c>
      <c r="AB741">
        <f t="shared" ca="1" si="330"/>
        <v>-4.999999946448952E-4</v>
      </c>
      <c r="AC741">
        <f t="shared" ca="1" si="331"/>
        <v>1</v>
      </c>
      <c r="AD741">
        <f ca="1">IF(V32="Supercritical",L741,IF(V32="Subcritical",U741,IF(AND(T741=1,AC741=1),IF((((F741)*(L741)^2)/2+(G741)*(L741)^3/3+(ABS(K741)^2)/($I$5*MAX(((F741)+(G741)*(L741))*(L741),0.000001)))&gt;=(((F741)*(U741)^2)/2+(G741)*(U741)^3/3+(ABS(K741)^2)/($I$5*MAX(((F741)+(G741)*(U741))*(U741),0.000001))),L741,U741),IF(T741=1,L741,IF(AC741=1,U741,MAX($D$16,POWER((ABS(K741)^2)/($I$5*MAX(F741,0.1)^2),1/3)))))))</f>
        <v>51800.26683766341</v>
      </c>
      <c r="AE741">
        <f t="shared" ca="1" si="332"/>
        <v>52432.533337663408</v>
      </c>
      <c r="AF741">
        <f t="shared" ca="1" si="333"/>
        <v>52432.533337665234</v>
      </c>
      <c r="AI741">
        <v>0</v>
      </c>
      <c r="AJ741">
        <v>0</v>
      </c>
      <c r="AK741">
        <f t="shared" si="334"/>
        <v>0</v>
      </c>
      <c r="AL741">
        <f t="shared" si="343"/>
        <v>0</v>
      </c>
      <c r="AM741">
        <f t="shared" ca="1" si="335"/>
        <v>2.6560383008097266E-7</v>
      </c>
      <c r="AN741" t="str">
        <f t="shared" ca="1" si="336"/>
        <v>Subcritical</v>
      </c>
      <c r="AO741">
        <f t="shared" ca="1" si="337"/>
        <v>2.2562304480281055E-12</v>
      </c>
    </row>
    <row r="742" spans="1:41" x14ac:dyDescent="0.35">
      <c r="A742">
        <v>593</v>
      </c>
      <c r="B742">
        <v>591.89599999999996</v>
      </c>
      <c r="C742">
        <v>616160.74199999997</v>
      </c>
      <c r="D742">
        <v>3097395.7370000002</v>
      </c>
      <c r="E742">
        <v>632.26599999999996</v>
      </c>
      <c r="F742">
        <v>5.2</v>
      </c>
      <c r="G742">
        <v>0</v>
      </c>
      <c r="H742" t="s">
        <v>186</v>
      </c>
      <c r="I742">
        <v>2.7E-2</v>
      </c>
      <c r="J742">
        <f t="shared" si="338"/>
        <v>1.0009999999999764</v>
      </c>
      <c r="K742">
        <f t="shared" si="339"/>
        <v>51</v>
      </c>
      <c r="L742">
        <f t="shared" ca="1" si="340"/>
        <v>51797.843837663619</v>
      </c>
      <c r="M742">
        <f t="shared" ca="1" si="317"/>
        <v>269348.78795585083</v>
      </c>
      <c r="N742">
        <f t="shared" ca="1" si="318"/>
        <v>2.5998694991876676</v>
      </c>
      <c r="O742">
        <f t="shared" ca="1" si="319"/>
        <v>1.8934557080078435E-4</v>
      </c>
      <c r="P742">
        <f t="shared" ca="1" si="320"/>
        <v>52430.109837663622</v>
      </c>
      <c r="Q742">
        <f t="shared" ca="1" si="321"/>
        <v>52430.109837665448</v>
      </c>
      <c r="R742">
        <f t="shared" ca="1" si="322"/>
        <v>2.2564415439646509E-12</v>
      </c>
      <c r="S742">
        <f t="shared" ca="1" si="341"/>
        <v>4.999999946448952E-4</v>
      </c>
      <c r="T742">
        <f t="shared" ca="1" si="342"/>
        <v>1</v>
      </c>
      <c r="U742">
        <f t="shared" ca="1" si="323"/>
        <v>51800.26683766341</v>
      </c>
      <c r="V742">
        <f t="shared" ca="1" si="324"/>
        <v>269361.38755584974</v>
      </c>
      <c r="W742">
        <f t="shared" ca="1" si="325"/>
        <v>2.5998695052916441</v>
      </c>
      <c r="X742">
        <f t="shared" ca="1" si="326"/>
        <v>1.8933671400629237E-4</v>
      </c>
      <c r="Y742">
        <f t="shared" ca="1" si="327"/>
        <v>52432.532837663413</v>
      </c>
      <c r="Z742">
        <f t="shared" ca="1" si="328"/>
        <v>52432.53283766524</v>
      </c>
      <c r="AA742">
        <f t="shared" ca="1" si="329"/>
        <v>2.2562304480281055E-12</v>
      </c>
      <c r="AB742">
        <f t="shared" ca="1" si="330"/>
        <v>-5.0000000192085281E-4</v>
      </c>
      <c r="AC742">
        <f t="shared" ca="1" si="331"/>
        <v>1</v>
      </c>
      <c r="AD742">
        <f ca="1">IF(V32="Supercritical",L742,IF(V32="Subcritical",U742,IF(AND(T742=1,AC742=1),IF((((F742)*(L742)^2)/2+(G742)*(L742)^3/3+(ABS(K742)^2)/($I$5*MAX(((F742)+(G742)*(L742))*(L742),0.000001)))&gt;=(((F742)*(U742)^2)/2+(G742)*(U742)^3/3+(ABS(K742)^2)/($I$5*MAX(((F742)+(G742)*(U742))*(U742),0.000001))),L742,U742),IF(T742=1,L742,IF(AC742=1,U742,MAX($D$16,POWER((ABS(K742)^2)/($I$5*MAX(F742,0.1)^2),1/3)))))))</f>
        <v>51800.26683766341</v>
      </c>
      <c r="AE742">
        <f t="shared" ca="1" si="332"/>
        <v>52432.532837663413</v>
      </c>
      <c r="AF742">
        <f t="shared" ca="1" si="333"/>
        <v>52432.53283766524</v>
      </c>
      <c r="AI742">
        <v>0</v>
      </c>
      <c r="AJ742">
        <v>0</v>
      </c>
      <c r="AK742">
        <f t="shared" si="334"/>
        <v>0</v>
      </c>
      <c r="AL742">
        <f t="shared" si="343"/>
        <v>0</v>
      </c>
      <c r="AM742">
        <f t="shared" ca="1" si="335"/>
        <v>2.6560383008097266E-7</v>
      </c>
      <c r="AN742" t="str">
        <f t="shared" ca="1" si="336"/>
        <v>Subcritical</v>
      </c>
      <c r="AO742">
        <f t="shared" ca="1" si="337"/>
        <v>2.2562304480281055E-12</v>
      </c>
    </row>
    <row r="743" spans="1:41" x14ac:dyDescent="0.35">
      <c r="A743">
        <v>594</v>
      </c>
      <c r="B743">
        <v>592.89499999999998</v>
      </c>
      <c r="C743">
        <v>616160.26800000004</v>
      </c>
      <c r="D743">
        <v>3097394.8569999998</v>
      </c>
      <c r="E743">
        <v>632.26549999999997</v>
      </c>
      <c r="F743">
        <v>5.2</v>
      </c>
      <c r="G743">
        <v>0</v>
      </c>
      <c r="H743" t="s">
        <v>186</v>
      </c>
      <c r="I743">
        <v>0.05</v>
      </c>
      <c r="J743">
        <f t="shared" si="338"/>
        <v>0.99900000000002365</v>
      </c>
      <c r="K743">
        <f t="shared" si="339"/>
        <v>51</v>
      </c>
      <c r="L743">
        <f t="shared" ca="1" si="340"/>
        <v>51797.843837663619</v>
      </c>
      <c r="M743">
        <f t="shared" ca="1" si="317"/>
        <v>269348.78795585083</v>
      </c>
      <c r="N743">
        <f t="shared" ca="1" si="318"/>
        <v>2.5998694991876676</v>
      </c>
      <c r="O743">
        <f t="shared" ca="1" si="319"/>
        <v>1.8934557080078435E-4</v>
      </c>
      <c r="P743">
        <f t="shared" ca="1" si="320"/>
        <v>52430.10933766362</v>
      </c>
      <c r="Q743">
        <f t="shared" ca="1" si="321"/>
        <v>52430.109337665446</v>
      </c>
      <c r="R743">
        <f t="shared" ca="1" si="322"/>
        <v>2.2564415439646509E-12</v>
      </c>
      <c r="S743">
        <f t="shared" ca="1" si="341"/>
        <v>5.0000000192085281E-4</v>
      </c>
      <c r="T743">
        <f t="shared" ca="1" si="342"/>
        <v>1</v>
      </c>
      <c r="U743">
        <f t="shared" ca="1" si="323"/>
        <v>51800.26683766341</v>
      </c>
      <c r="V743">
        <f t="shared" ca="1" si="324"/>
        <v>269361.38755584974</v>
      </c>
      <c r="W743">
        <f t="shared" ca="1" si="325"/>
        <v>2.5998695052916441</v>
      </c>
      <c r="X743">
        <f t="shared" ca="1" si="326"/>
        <v>1.8933671400629237E-4</v>
      </c>
      <c r="Y743">
        <f t="shared" ca="1" si="327"/>
        <v>52432.532337663411</v>
      </c>
      <c r="Z743">
        <f t="shared" ca="1" si="328"/>
        <v>52432.532337665238</v>
      </c>
      <c r="AA743">
        <f t="shared" ca="1" si="329"/>
        <v>2.2562304480281055E-12</v>
      </c>
      <c r="AB743">
        <f t="shared" ca="1" si="330"/>
        <v>-5.0000000192085281E-4</v>
      </c>
      <c r="AC743">
        <f t="shared" ca="1" si="331"/>
        <v>1</v>
      </c>
      <c r="AD743">
        <f ca="1">IF(V32="Supercritical",L743,IF(V32="Subcritical",U743,IF(AND(T743=1,AC743=1),IF((((F743)*(L743)^2)/2+(G743)*(L743)^3/3+(ABS(K743)^2)/($I$5*MAX(((F743)+(G743)*(L743))*(L743),0.000001)))&gt;=(((F743)*(U743)^2)/2+(G743)*(U743)^3/3+(ABS(K743)^2)/($I$5*MAX(((F743)+(G743)*(U743))*(U743),0.000001))),L743,U743),IF(T743=1,L743,IF(AC743=1,U743,MAX($D$16,POWER((ABS(K743)^2)/($I$5*MAX(F743,0.1)^2),1/3)))))))</f>
        <v>51800.26683766341</v>
      </c>
      <c r="AE743">
        <f t="shared" ca="1" si="332"/>
        <v>52432.532337663411</v>
      </c>
      <c r="AF743">
        <f t="shared" ca="1" si="333"/>
        <v>52432.532337665238</v>
      </c>
      <c r="AI743">
        <v>0</v>
      </c>
      <c r="AJ743">
        <v>0</v>
      </c>
      <c r="AK743">
        <f t="shared" si="334"/>
        <v>0</v>
      </c>
      <c r="AL743">
        <f t="shared" si="343"/>
        <v>0</v>
      </c>
      <c r="AM743">
        <f t="shared" ca="1" si="335"/>
        <v>2.6560383008097266E-7</v>
      </c>
      <c r="AN743" t="str">
        <f t="shared" ca="1" si="336"/>
        <v>Subcritical</v>
      </c>
      <c r="AO743">
        <f t="shared" ca="1" si="337"/>
        <v>2.2562304480281055E-12</v>
      </c>
    </row>
    <row r="744" spans="1:41" x14ac:dyDescent="0.35">
      <c r="A744">
        <v>595</v>
      </c>
      <c r="B744">
        <v>593.89499999999998</v>
      </c>
      <c r="C744">
        <v>616159.79299999995</v>
      </c>
      <c r="D744">
        <v>3097393.977</v>
      </c>
      <c r="E744">
        <v>632.26499999999999</v>
      </c>
      <c r="F744">
        <v>5.2</v>
      </c>
      <c r="G744">
        <v>0</v>
      </c>
      <c r="H744" t="s">
        <v>186</v>
      </c>
      <c r="I744">
        <v>7.8E-2</v>
      </c>
      <c r="J744">
        <f t="shared" si="338"/>
        <v>1</v>
      </c>
      <c r="K744">
        <f t="shared" si="339"/>
        <v>51</v>
      </c>
      <c r="L744">
        <f t="shared" ca="1" si="340"/>
        <v>51797.843837663619</v>
      </c>
      <c r="M744">
        <f t="shared" ca="1" si="317"/>
        <v>269348.78795585083</v>
      </c>
      <c r="N744">
        <f t="shared" ca="1" si="318"/>
        <v>2.5998694991876676</v>
      </c>
      <c r="O744">
        <f t="shared" ca="1" si="319"/>
        <v>1.8934557080078435E-4</v>
      </c>
      <c r="P744">
        <f t="shared" ca="1" si="320"/>
        <v>52430.108837663618</v>
      </c>
      <c r="Q744">
        <f t="shared" ca="1" si="321"/>
        <v>52430.108837665444</v>
      </c>
      <c r="R744">
        <f t="shared" ca="1" si="322"/>
        <v>2.2564415439646509E-12</v>
      </c>
      <c r="S744">
        <f t="shared" ca="1" si="341"/>
        <v>5.0000000192085281E-4</v>
      </c>
      <c r="T744">
        <f t="shared" ca="1" si="342"/>
        <v>1</v>
      </c>
      <c r="U744">
        <f t="shared" ca="1" si="323"/>
        <v>51800.26683766341</v>
      </c>
      <c r="V744">
        <f t="shared" ca="1" si="324"/>
        <v>269361.38755584974</v>
      </c>
      <c r="W744">
        <f t="shared" ca="1" si="325"/>
        <v>2.5998695052916441</v>
      </c>
      <c r="X744">
        <f t="shared" ca="1" si="326"/>
        <v>1.8933671400629237E-4</v>
      </c>
      <c r="Y744">
        <f t="shared" ca="1" si="327"/>
        <v>52432.53183766341</v>
      </c>
      <c r="Z744">
        <f t="shared" ca="1" si="328"/>
        <v>52432.531837665236</v>
      </c>
      <c r="AA744">
        <f t="shared" ca="1" si="329"/>
        <v>2.2562304480281055E-12</v>
      </c>
      <c r="AB744">
        <f t="shared" ca="1" si="330"/>
        <v>-5.0000000192085281E-4</v>
      </c>
      <c r="AC744">
        <f t="shared" ca="1" si="331"/>
        <v>1</v>
      </c>
      <c r="AD744">
        <f ca="1">IF(V32="Supercritical",L744,IF(V32="Subcritical",U744,IF(AND(T744=1,AC744=1),IF((((F744)*(L744)^2)/2+(G744)*(L744)^3/3+(ABS(K744)^2)/($I$5*MAX(((F744)+(G744)*(L744))*(L744),0.000001)))&gt;=(((F744)*(U744)^2)/2+(G744)*(U744)^3/3+(ABS(K744)^2)/($I$5*MAX(((F744)+(G744)*(U744))*(U744),0.000001))),L744,U744),IF(T744=1,L744,IF(AC744=1,U744,MAX($D$16,POWER((ABS(K744)^2)/($I$5*MAX(F744,0.1)^2),1/3)))))))</f>
        <v>51800.26683766341</v>
      </c>
      <c r="AE744">
        <f t="shared" ca="1" si="332"/>
        <v>52432.53183766341</v>
      </c>
      <c r="AF744">
        <f t="shared" ca="1" si="333"/>
        <v>52432.531837665236</v>
      </c>
      <c r="AI744">
        <v>0</v>
      </c>
      <c r="AJ744">
        <v>0</v>
      </c>
      <c r="AK744">
        <f t="shared" si="334"/>
        <v>0</v>
      </c>
      <c r="AL744">
        <f t="shared" si="343"/>
        <v>0</v>
      </c>
      <c r="AM744">
        <f t="shared" ca="1" si="335"/>
        <v>2.6560383008097266E-7</v>
      </c>
      <c r="AN744" t="str">
        <f t="shared" ca="1" si="336"/>
        <v>Subcritical</v>
      </c>
      <c r="AO744">
        <f t="shared" ca="1" si="337"/>
        <v>2.2562304480281055E-12</v>
      </c>
    </row>
    <row r="745" spans="1:41" x14ac:dyDescent="0.35">
      <c r="A745">
        <v>596</v>
      </c>
      <c r="B745">
        <v>594.89599999999996</v>
      </c>
      <c r="C745">
        <v>616159.31900000002</v>
      </c>
      <c r="D745">
        <v>3097393.0959999999</v>
      </c>
      <c r="E745">
        <v>632.2645</v>
      </c>
      <c r="F745">
        <v>5.2</v>
      </c>
      <c r="G745">
        <v>0</v>
      </c>
      <c r="H745" t="s">
        <v>186</v>
      </c>
      <c r="I745">
        <v>2.7E-2</v>
      </c>
      <c r="J745">
        <f t="shared" si="338"/>
        <v>1.0009999999999764</v>
      </c>
      <c r="K745">
        <f t="shared" si="339"/>
        <v>51</v>
      </c>
      <c r="L745">
        <f t="shared" ca="1" si="340"/>
        <v>51797.843837663619</v>
      </c>
      <c r="M745">
        <f t="shared" ca="1" si="317"/>
        <v>269348.78795585083</v>
      </c>
      <c r="N745">
        <f t="shared" ca="1" si="318"/>
        <v>2.5998694991876676</v>
      </c>
      <c r="O745">
        <f t="shared" ca="1" si="319"/>
        <v>1.8934557080078435E-4</v>
      </c>
      <c r="P745">
        <f t="shared" ca="1" si="320"/>
        <v>52430.108337663616</v>
      </c>
      <c r="Q745">
        <f t="shared" ca="1" si="321"/>
        <v>52430.108337665442</v>
      </c>
      <c r="R745">
        <f t="shared" ca="1" si="322"/>
        <v>2.2564415439646509E-12</v>
      </c>
      <c r="S745">
        <f t="shared" ca="1" si="341"/>
        <v>5.0000000192085281E-4</v>
      </c>
      <c r="T745">
        <f t="shared" ca="1" si="342"/>
        <v>1</v>
      </c>
      <c r="U745">
        <f t="shared" ca="1" si="323"/>
        <v>51800.26683766341</v>
      </c>
      <c r="V745">
        <f t="shared" ca="1" si="324"/>
        <v>269361.38755584974</v>
      </c>
      <c r="W745">
        <f t="shared" ca="1" si="325"/>
        <v>2.5998695052916441</v>
      </c>
      <c r="X745">
        <f t="shared" ca="1" si="326"/>
        <v>1.8933671400629237E-4</v>
      </c>
      <c r="Y745">
        <f t="shared" ca="1" si="327"/>
        <v>52432.531337663408</v>
      </c>
      <c r="Z745">
        <f t="shared" ca="1" si="328"/>
        <v>52432.531337665234</v>
      </c>
      <c r="AA745">
        <f t="shared" ca="1" si="329"/>
        <v>2.2562304480281055E-12</v>
      </c>
      <c r="AB745">
        <f t="shared" ca="1" si="330"/>
        <v>-4.999999946448952E-4</v>
      </c>
      <c r="AC745">
        <f t="shared" ca="1" si="331"/>
        <v>1</v>
      </c>
      <c r="AD745">
        <f ca="1">IF(V32="Supercritical",L745,IF(V32="Subcritical",U745,IF(AND(T745=1,AC745=1),IF((((F745)*(L745)^2)/2+(G745)*(L745)^3/3+(ABS(K745)^2)/($I$5*MAX(((F745)+(G745)*(L745))*(L745),0.000001)))&gt;=(((F745)*(U745)^2)/2+(G745)*(U745)^3/3+(ABS(K745)^2)/($I$5*MAX(((F745)+(G745)*(U745))*(U745),0.000001))),L745,U745),IF(T745=1,L745,IF(AC745=1,U745,MAX($D$16,POWER((ABS(K745)^2)/($I$5*MAX(F745,0.1)^2),1/3)))))))</f>
        <v>51800.26683766341</v>
      </c>
      <c r="AE745">
        <f t="shared" ca="1" si="332"/>
        <v>52432.531337663408</v>
      </c>
      <c r="AF745">
        <f t="shared" ca="1" si="333"/>
        <v>52432.531337665234</v>
      </c>
      <c r="AI745">
        <v>0</v>
      </c>
      <c r="AJ745">
        <v>0</v>
      </c>
      <c r="AK745">
        <f t="shared" si="334"/>
        <v>0</v>
      </c>
      <c r="AL745">
        <f t="shared" si="343"/>
        <v>0</v>
      </c>
      <c r="AM745">
        <f t="shared" ca="1" si="335"/>
        <v>2.6560383008097266E-7</v>
      </c>
      <c r="AN745" t="str">
        <f t="shared" ca="1" si="336"/>
        <v>Subcritical</v>
      </c>
      <c r="AO745">
        <f t="shared" ca="1" si="337"/>
        <v>2.2562304480281055E-12</v>
      </c>
    </row>
    <row r="746" spans="1:41" x14ac:dyDescent="0.35">
      <c r="A746">
        <v>597</v>
      </c>
      <c r="B746">
        <v>595.89499999999998</v>
      </c>
      <c r="C746">
        <v>616158.84499999997</v>
      </c>
      <c r="D746">
        <v>3097392.216</v>
      </c>
      <c r="E746">
        <v>632.26400000000001</v>
      </c>
      <c r="F746">
        <v>5.2</v>
      </c>
      <c r="G746">
        <v>0</v>
      </c>
      <c r="H746" t="s">
        <v>186</v>
      </c>
      <c r="I746">
        <v>2.7E-2</v>
      </c>
      <c r="J746">
        <f t="shared" si="338"/>
        <v>0.99900000000002365</v>
      </c>
      <c r="K746">
        <f t="shared" si="339"/>
        <v>51</v>
      </c>
      <c r="L746">
        <f t="shared" ca="1" si="340"/>
        <v>51797.843837663619</v>
      </c>
      <c r="M746">
        <f t="shared" ca="1" si="317"/>
        <v>269348.78795585083</v>
      </c>
      <c r="N746">
        <f t="shared" ca="1" si="318"/>
        <v>2.5998694991876676</v>
      </c>
      <c r="O746">
        <f t="shared" ca="1" si="319"/>
        <v>1.8934557080078435E-4</v>
      </c>
      <c r="P746">
        <f t="shared" ca="1" si="320"/>
        <v>52430.107837663621</v>
      </c>
      <c r="Q746">
        <f t="shared" ca="1" si="321"/>
        <v>52430.107837665448</v>
      </c>
      <c r="R746">
        <f t="shared" ca="1" si="322"/>
        <v>2.2564415439646509E-12</v>
      </c>
      <c r="S746">
        <f t="shared" ca="1" si="341"/>
        <v>4.999999946448952E-4</v>
      </c>
      <c r="T746">
        <f t="shared" ca="1" si="342"/>
        <v>1</v>
      </c>
      <c r="U746">
        <f t="shared" ca="1" si="323"/>
        <v>51800.26683766341</v>
      </c>
      <c r="V746">
        <f t="shared" ca="1" si="324"/>
        <v>269361.38755584974</v>
      </c>
      <c r="W746">
        <f t="shared" ca="1" si="325"/>
        <v>2.5998695052916441</v>
      </c>
      <c r="X746">
        <f t="shared" ca="1" si="326"/>
        <v>1.8933671400629237E-4</v>
      </c>
      <c r="Y746">
        <f t="shared" ca="1" si="327"/>
        <v>52432.530837663413</v>
      </c>
      <c r="Z746">
        <f t="shared" ca="1" si="328"/>
        <v>52432.530837665239</v>
      </c>
      <c r="AA746">
        <f t="shared" ca="1" si="329"/>
        <v>2.2562304480281055E-12</v>
      </c>
      <c r="AB746">
        <f t="shared" ca="1" si="330"/>
        <v>-5.0000000192085281E-4</v>
      </c>
      <c r="AC746">
        <f t="shared" ca="1" si="331"/>
        <v>1</v>
      </c>
      <c r="AD746">
        <f ca="1">IF(V32="Supercritical",L746,IF(V32="Subcritical",U746,IF(AND(T746=1,AC746=1),IF((((F746)*(L746)^2)/2+(G746)*(L746)^3/3+(ABS(K746)^2)/($I$5*MAX(((F746)+(G746)*(L746))*(L746),0.000001)))&gt;=(((F746)*(U746)^2)/2+(G746)*(U746)^3/3+(ABS(K746)^2)/($I$5*MAX(((F746)+(G746)*(U746))*(U746),0.000001))),L746,U746),IF(T746=1,L746,IF(AC746=1,U746,MAX($D$16,POWER((ABS(K746)^2)/($I$5*MAX(F746,0.1)^2),1/3)))))))</f>
        <v>51800.26683766341</v>
      </c>
      <c r="AE746">
        <f t="shared" ca="1" si="332"/>
        <v>52432.530837663413</v>
      </c>
      <c r="AF746">
        <f t="shared" ca="1" si="333"/>
        <v>52432.530837665239</v>
      </c>
      <c r="AI746">
        <v>0</v>
      </c>
      <c r="AJ746">
        <v>0</v>
      </c>
      <c r="AK746">
        <f t="shared" si="334"/>
        <v>0</v>
      </c>
      <c r="AL746">
        <f t="shared" si="343"/>
        <v>0</v>
      </c>
      <c r="AM746">
        <f t="shared" ca="1" si="335"/>
        <v>2.6560383008097266E-7</v>
      </c>
      <c r="AN746" t="str">
        <f t="shared" ca="1" si="336"/>
        <v>Subcritical</v>
      </c>
      <c r="AO746">
        <f t="shared" ca="1" si="337"/>
        <v>2.2562304480281055E-12</v>
      </c>
    </row>
    <row r="747" spans="1:41" x14ac:dyDescent="0.35">
      <c r="A747">
        <v>598</v>
      </c>
      <c r="B747">
        <v>596.89499999999998</v>
      </c>
      <c r="C747">
        <v>616158.37100000004</v>
      </c>
      <c r="D747">
        <v>3097391.335</v>
      </c>
      <c r="E747">
        <v>632.26350000000002</v>
      </c>
      <c r="F747">
        <v>5.2</v>
      </c>
      <c r="G747">
        <v>0</v>
      </c>
      <c r="H747" t="s">
        <v>186</v>
      </c>
      <c r="I747">
        <v>7.8E-2</v>
      </c>
      <c r="J747">
        <f t="shared" si="338"/>
        <v>1</v>
      </c>
      <c r="K747">
        <f t="shared" si="339"/>
        <v>51</v>
      </c>
      <c r="L747">
        <f t="shared" ca="1" si="340"/>
        <v>51797.843837663619</v>
      </c>
      <c r="M747">
        <f t="shared" ca="1" si="317"/>
        <v>269348.78795585083</v>
      </c>
      <c r="N747">
        <f t="shared" ca="1" si="318"/>
        <v>2.5998694991876676</v>
      </c>
      <c r="O747">
        <f t="shared" ca="1" si="319"/>
        <v>1.8934557080078435E-4</v>
      </c>
      <c r="P747">
        <f t="shared" ca="1" si="320"/>
        <v>52430.10733766362</v>
      </c>
      <c r="Q747">
        <f t="shared" ca="1" si="321"/>
        <v>52430.107337665446</v>
      </c>
      <c r="R747">
        <f t="shared" ca="1" si="322"/>
        <v>2.2564415439646509E-12</v>
      </c>
      <c r="S747">
        <f t="shared" ca="1" si="341"/>
        <v>5.0000000192085281E-4</v>
      </c>
      <c r="T747">
        <f t="shared" ca="1" si="342"/>
        <v>1</v>
      </c>
      <c r="U747">
        <f t="shared" ca="1" si="323"/>
        <v>51800.26683766341</v>
      </c>
      <c r="V747">
        <f t="shared" ca="1" si="324"/>
        <v>269361.38755584974</v>
      </c>
      <c r="W747">
        <f t="shared" ca="1" si="325"/>
        <v>2.5998695052916441</v>
      </c>
      <c r="X747">
        <f t="shared" ca="1" si="326"/>
        <v>1.8933671400629237E-4</v>
      </c>
      <c r="Y747">
        <f t="shared" ca="1" si="327"/>
        <v>52432.530337663411</v>
      </c>
      <c r="Z747">
        <f t="shared" ca="1" si="328"/>
        <v>52432.530337665237</v>
      </c>
      <c r="AA747">
        <f t="shared" ca="1" si="329"/>
        <v>2.2562304480281055E-12</v>
      </c>
      <c r="AB747">
        <f t="shared" ca="1" si="330"/>
        <v>-5.0000000192085281E-4</v>
      </c>
      <c r="AC747">
        <f t="shared" ca="1" si="331"/>
        <v>1</v>
      </c>
      <c r="AD747">
        <f ca="1">IF(V32="Supercritical",L747,IF(V32="Subcritical",U747,IF(AND(T747=1,AC747=1),IF((((F747)*(L747)^2)/2+(G747)*(L747)^3/3+(ABS(K747)^2)/($I$5*MAX(((F747)+(G747)*(L747))*(L747),0.000001)))&gt;=(((F747)*(U747)^2)/2+(G747)*(U747)^3/3+(ABS(K747)^2)/($I$5*MAX(((F747)+(G747)*(U747))*(U747),0.000001))),L747,U747),IF(T747=1,L747,IF(AC747=1,U747,MAX($D$16,POWER((ABS(K747)^2)/($I$5*MAX(F747,0.1)^2),1/3)))))))</f>
        <v>51800.26683766341</v>
      </c>
      <c r="AE747">
        <f t="shared" ca="1" si="332"/>
        <v>52432.530337663411</v>
      </c>
      <c r="AF747">
        <f t="shared" ca="1" si="333"/>
        <v>52432.530337665237</v>
      </c>
      <c r="AI747">
        <v>0</v>
      </c>
      <c r="AJ747">
        <v>0</v>
      </c>
      <c r="AK747">
        <f t="shared" si="334"/>
        <v>0</v>
      </c>
      <c r="AL747">
        <f t="shared" si="343"/>
        <v>0</v>
      </c>
      <c r="AM747">
        <f t="shared" ca="1" si="335"/>
        <v>2.6560383008097266E-7</v>
      </c>
      <c r="AN747" t="str">
        <f t="shared" ca="1" si="336"/>
        <v>Subcritical</v>
      </c>
      <c r="AO747">
        <f t="shared" ca="1" si="337"/>
        <v>2.2562304480281055E-12</v>
      </c>
    </row>
    <row r="748" spans="1:41" x14ac:dyDescent="0.35">
      <c r="A748">
        <v>599</v>
      </c>
      <c r="B748">
        <v>597.89599999999996</v>
      </c>
      <c r="C748">
        <v>616157.89599999995</v>
      </c>
      <c r="D748">
        <v>3097390.4550000001</v>
      </c>
      <c r="E748">
        <v>632.26300000000003</v>
      </c>
      <c r="F748">
        <v>5.2</v>
      </c>
      <c r="G748">
        <v>0</v>
      </c>
      <c r="H748" t="s">
        <v>186</v>
      </c>
      <c r="I748">
        <v>0.05</v>
      </c>
      <c r="J748">
        <f t="shared" si="338"/>
        <v>1.0009999999999764</v>
      </c>
      <c r="K748">
        <f t="shared" si="339"/>
        <v>51</v>
      </c>
      <c r="L748">
        <f t="shared" ca="1" si="340"/>
        <v>51797.843837663619</v>
      </c>
      <c r="M748">
        <f t="shared" ca="1" si="317"/>
        <v>269348.78795585083</v>
      </c>
      <c r="N748">
        <f t="shared" ca="1" si="318"/>
        <v>2.5998694991876676</v>
      </c>
      <c r="O748">
        <f t="shared" ca="1" si="319"/>
        <v>1.8934557080078435E-4</v>
      </c>
      <c r="P748">
        <f t="shared" ca="1" si="320"/>
        <v>52430.106837663618</v>
      </c>
      <c r="Q748">
        <f t="shared" ca="1" si="321"/>
        <v>52430.106837665444</v>
      </c>
      <c r="R748">
        <f t="shared" ca="1" si="322"/>
        <v>2.2564415439646509E-12</v>
      </c>
      <c r="S748">
        <f t="shared" ca="1" si="341"/>
        <v>5.0000000192085281E-4</v>
      </c>
      <c r="T748">
        <f t="shared" ca="1" si="342"/>
        <v>1</v>
      </c>
      <c r="U748">
        <f t="shared" ca="1" si="323"/>
        <v>51800.26683766341</v>
      </c>
      <c r="V748">
        <f t="shared" ca="1" si="324"/>
        <v>269361.38755584974</v>
      </c>
      <c r="W748">
        <f t="shared" ca="1" si="325"/>
        <v>2.5998695052916441</v>
      </c>
      <c r="X748">
        <f t="shared" ca="1" si="326"/>
        <v>1.8933671400629237E-4</v>
      </c>
      <c r="Y748">
        <f t="shared" ca="1" si="327"/>
        <v>52432.529837663409</v>
      </c>
      <c r="Z748">
        <f t="shared" ca="1" si="328"/>
        <v>52432.529837665235</v>
      </c>
      <c r="AA748">
        <f t="shared" ca="1" si="329"/>
        <v>2.2562304480281055E-12</v>
      </c>
      <c r="AB748">
        <f t="shared" ca="1" si="330"/>
        <v>-5.0000000192085281E-4</v>
      </c>
      <c r="AC748">
        <f t="shared" ca="1" si="331"/>
        <v>1</v>
      </c>
      <c r="AD748">
        <f ca="1">IF(V32="Supercritical",L748,IF(V32="Subcritical",U748,IF(AND(T748=1,AC748=1),IF((((F748)*(L748)^2)/2+(G748)*(L748)^3/3+(ABS(K748)^2)/($I$5*MAX(((F748)+(G748)*(L748))*(L748),0.000001)))&gt;=(((F748)*(U748)^2)/2+(G748)*(U748)^3/3+(ABS(K748)^2)/($I$5*MAX(((F748)+(G748)*(U748))*(U748),0.000001))),L748,U748),IF(T748=1,L748,IF(AC748=1,U748,MAX($D$16,POWER((ABS(K748)^2)/($I$5*MAX(F748,0.1)^2),1/3)))))))</f>
        <v>51800.26683766341</v>
      </c>
      <c r="AE748">
        <f t="shared" ca="1" si="332"/>
        <v>52432.529837663409</v>
      </c>
      <c r="AF748">
        <f t="shared" ca="1" si="333"/>
        <v>52432.529837665235</v>
      </c>
      <c r="AI748">
        <v>0</v>
      </c>
      <c r="AJ748">
        <v>0</v>
      </c>
      <c r="AK748">
        <f t="shared" si="334"/>
        <v>0</v>
      </c>
      <c r="AL748">
        <f t="shared" si="343"/>
        <v>0</v>
      </c>
      <c r="AM748">
        <f t="shared" ca="1" si="335"/>
        <v>2.6560383008097266E-7</v>
      </c>
      <c r="AN748" t="str">
        <f t="shared" ca="1" si="336"/>
        <v>Subcritical</v>
      </c>
      <c r="AO748">
        <f t="shared" ca="1" si="337"/>
        <v>2.2562304480281055E-12</v>
      </c>
    </row>
    <row r="749" spans="1:41" x14ac:dyDescent="0.35">
      <c r="A749">
        <v>600</v>
      </c>
      <c r="B749">
        <v>598.89499999999998</v>
      </c>
      <c r="C749">
        <v>616157.42200000002</v>
      </c>
      <c r="D749">
        <v>3097389.5750000002</v>
      </c>
      <c r="E749">
        <v>632.26250000000005</v>
      </c>
      <c r="F749">
        <v>5.2</v>
      </c>
      <c r="G749">
        <v>0</v>
      </c>
      <c r="H749" t="s">
        <v>186</v>
      </c>
      <c r="I749">
        <v>2.7E-2</v>
      </c>
      <c r="J749">
        <f t="shared" si="338"/>
        <v>0.99900000000002365</v>
      </c>
      <c r="K749">
        <f t="shared" si="339"/>
        <v>51</v>
      </c>
      <c r="L749">
        <f t="shared" ca="1" si="340"/>
        <v>51797.843837663619</v>
      </c>
      <c r="M749">
        <f t="shared" ca="1" si="317"/>
        <v>269348.78795585083</v>
      </c>
      <c r="N749">
        <f t="shared" ca="1" si="318"/>
        <v>2.5998694991876676</v>
      </c>
      <c r="O749">
        <f t="shared" ca="1" si="319"/>
        <v>1.8934557080078435E-4</v>
      </c>
      <c r="P749">
        <f t="shared" ca="1" si="320"/>
        <v>52430.106337663616</v>
      </c>
      <c r="Q749">
        <f t="shared" ca="1" si="321"/>
        <v>52430.106337665442</v>
      </c>
      <c r="R749">
        <f t="shared" ca="1" si="322"/>
        <v>2.2564415439646509E-12</v>
      </c>
      <c r="S749">
        <f t="shared" ca="1" si="341"/>
        <v>5.0000000192085281E-4</v>
      </c>
      <c r="T749">
        <f t="shared" ca="1" si="342"/>
        <v>1</v>
      </c>
      <c r="U749">
        <f t="shared" ca="1" si="323"/>
        <v>51800.26683766341</v>
      </c>
      <c r="V749">
        <f t="shared" ca="1" si="324"/>
        <v>269361.38755584974</v>
      </c>
      <c r="W749">
        <f t="shared" ca="1" si="325"/>
        <v>2.5998695052916441</v>
      </c>
      <c r="X749">
        <f t="shared" ca="1" si="326"/>
        <v>1.8933671400629237E-4</v>
      </c>
      <c r="Y749">
        <f t="shared" ca="1" si="327"/>
        <v>52432.529337663407</v>
      </c>
      <c r="Z749">
        <f t="shared" ca="1" si="328"/>
        <v>52432.529337665233</v>
      </c>
      <c r="AA749">
        <f t="shared" ca="1" si="329"/>
        <v>2.2562304480281055E-12</v>
      </c>
      <c r="AB749">
        <f t="shared" ca="1" si="330"/>
        <v>-4.999999946448952E-4</v>
      </c>
      <c r="AC749">
        <f t="shared" ca="1" si="331"/>
        <v>1</v>
      </c>
      <c r="AD749">
        <f ca="1">IF(V32="Supercritical",L749,IF(V32="Subcritical",U749,IF(AND(T749=1,AC749=1),IF((((F749)*(L749)^2)/2+(G749)*(L749)^3/3+(ABS(K749)^2)/($I$5*MAX(((F749)+(G749)*(L749))*(L749),0.000001)))&gt;=(((F749)*(U749)^2)/2+(G749)*(U749)^3/3+(ABS(K749)^2)/($I$5*MAX(((F749)+(G749)*(U749))*(U749),0.000001))),L749,U749),IF(T749=1,L749,IF(AC749=1,U749,MAX($D$16,POWER((ABS(K749)^2)/($I$5*MAX(F749,0.1)^2),1/3)))))))</f>
        <v>51800.26683766341</v>
      </c>
      <c r="AE749">
        <f t="shared" ca="1" si="332"/>
        <v>52432.529337663407</v>
      </c>
      <c r="AF749">
        <f t="shared" ca="1" si="333"/>
        <v>52432.529337665233</v>
      </c>
      <c r="AI749">
        <v>0</v>
      </c>
      <c r="AJ749">
        <v>0</v>
      </c>
      <c r="AK749">
        <f t="shared" si="334"/>
        <v>0</v>
      </c>
      <c r="AL749">
        <f t="shared" si="343"/>
        <v>0</v>
      </c>
      <c r="AM749">
        <f t="shared" ca="1" si="335"/>
        <v>2.6560383008097266E-7</v>
      </c>
      <c r="AN749" t="str">
        <f t="shared" ca="1" si="336"/>
        <v>Subcritical</v>
      </c>
      <c r="AO749">
        <f t="shared" ca="1" si="337"/>
        <v>2.2562304480281055E-12</v>
      </c>
    </row>
    <row r="750" spans="1:41" x14ac:dyDescent="0.35">
      <c r="A750">
        <v>601</v>
      </c>
      <c r="B750">
        <v>599.89499999999998</v>
      </c>
      <c r="C750">
        <v>616156.94799999997</v>
      </c>
      <c r="D750">
        <v>3097388.6940000001</v>
      </c>
      <c r="E750">
        <v>632.26199999999994</v>
      </c>
      <c r="F750">
        <v>5.2</v>
      </c>
      <c r="G750">
        <v>0</v>
      </c>
      <c r="H750" t="s">
        <v>186</v>
      </c>
      <c r="I750">
        <v>2.7E-2</v>
      </c>
      <c r="J750">
        <f t="shared" si="338"/>
        <v>1</v>
      </c>
      <c r="K750">
        <f t="shared" si="339"/>
        <v>51</v>
      </c>
      <c r="L750">
        <f t="shared" ca="1" si="340"/>
        <v>51797.843837663619</v>
      </c>
      <c r="M750">
        <f t="shared" ca="1" si="317"/>
        <v>269348.78795585083</v>
      </c>
      <c r="N750">
        <f t="shared" ca="1" si="318"/>
        <v>2.5998694991876676</v>
      </c>
      <c r="O750">
        <f t="shared" ca="1" si="319"/>
        <v>1.8934557080078435E-4</v>
      </c>
      <c r="P750">
        <f t="shared" ca="1" si="320"/>
        <v>52430.105837663621</v>
      </c>
      <c r="Q750">
        <f t="shared" ca="1" si="321"/>
        <v>52430.105837665447</v>
      </c>
      <c r="R750">
        <f t="shared" ca="1" si="322"/>
        <v>2.2564415439646509E-12</v>
      </c>
      <c r="S750">
        <f t="shared" ca="1" si="341"/>
        <v>4.999999946448952E-4</v>
      </c>
      <c r="T750">
        <f t="shared" ca="1" si="342"/>
        <v>1</v>
      </c>
      <c r="U750">
        <f t="shared" ca="1" si="323"/>
        <v>51800.26683766341</v>
      </c>
      <c r="V750">
        <f t="shared" ca="1" si="324"/>
        <v>269361.38755584974</v>
      </c>
      <c r="W750">
        <f t="shared" ca="1" si="325"/>
        <v>2.5998695052916441</v>
      </c>
      <c r="X750">
        <f t="shared" ca="1" si="326"/>
        <v>1.8933671400629237E-4</v>
      </c>
      <c r="Y750">
        <f t="shared" ca="1" si="327"/>
        <v>52432.528837663413</v>
      </c>
      <c r="Z750">
        <f t="shared" ca="1" si="328"/>
        <v>52432.528837665239</v>
      </c>
      <c r="AA750">
        <f t="shared" ca="1" si="329"/>
        <v>2.2562304480281055E-12</v>
      </c>
      <c r="AB750">
        <f t="shared" ca="1" si="330"/>
        <v>-5.0000000192085281E-4</v>
      </c>
      <c r="AC750">
        <f t="shared" ca="1" si="331"/>
        <v>1</v>
      </c>
      <c r="AD750">
        <f ca="1">IF(V32="Supercritical",L750,IF(V32="Subcritical",U750,IF(AND(T750=1,AC750=1),IF((((F750)*(L750)^2)/2+(G750)*(L750)^3/3+(ABS(K750)^2)/($I$5*MAX(((F750)+(G750)*(L750))*(L750),0.000001)))&gt;=(((F750)*(U750)^2)/2+(G750)*(U750)^3/3+(ABS(K750)^2)/($I$5*MAX(((F750)+(G750)*(U750))*(U750),0.000001))),L750,U750),IF(T750=1,L750,IF(AC750=1,U750,MAX($D$16,POWER((ABS(K750)^2)/($I$5*MAX(F750,0.1)^2),1/3)))))))</f>
        <v>51800.26683766341</v>
      </c>
      <c r="AE750">
        <f t="shared" ca="1" si="332"/>
        <v>52432.528837663413</v>
      </c>
      <c r="AF750">
        <f t="shared" ca="1" si="333"/>
        <v>52432.528837665239</v>
      </c>
      <c r="AI750">
        <v>0</v>
      </c>
      <c r="AJ750">
        <v>0</v>
      </c>
      <c r="AK750">
        <f t="shared" si="334"/>
        <v>0</v>
      </c>
      <c r="AL750">
        <f t="shared" si="343"/>
        <v>0</v>
      </c>
      <c r="AM750">
        <f t="shared" ca="1" si="335"/>
        <v>2.6560383008097266E-7</v>
      </c>
      <c r="AN750" t="str">
        <f t="shared" ca="1" si="336"/>
        <v>Subcritical</v>
      </c>
      <c r="AO750">
        <f t="shared" ca="1" si="337"/>
        <v>2.2562304480281055E-12</v>
      </c>
    </row>
    <row r="751" spans="1:41" x14ac:dyDescent="0.35">
      <c r="A751">
        <v>602</v>
      </c>
      <c r="B751">
        <v>600.89499999999998</v>
      </c>
      <c r="C751">
        <v>616156.47400000005</v>
      </c>
      <c r="D751">
        <v>3097387.8139999998</v>
      </c>
      <c r="E751">
        <v>632.26149999999996</v>
      </c>
      <c r="F751">
        <v>5.2</v>
      </c>
      <c r="G751">
        <v>0</v>
      </c>
      <c r="H751" t="s">
        <v>186</v>
      </c>
      <c r="I751">
        <v>2.7E-2</v>
      </c>
      <c r="J751">
        <f t="shared" si="338"/>
        <v>1</v>
      </c>
      <c r="K751">
        <f t="shared" si="339"/>
        <v>51</v>
      </c>
      <c r="L751">
        <f t="shared" ca="1" si="340"/>
        <v>51797.843837663619</v>
      </c>
      <c r="M751">
        <f t="shared" ca="1" si="317"/>
        <v>269348.78795585083</v>
      </c>
      <c r="N751">
        <f t="shared" ca="1" si="318"/>
        <v>2.5998694991876676</v>
      </c>
      <c r="O751">
        <f t="shared" ca="1" si="319"/>
        <v>1.8934557080078435E-4</v>
      </c>
      <c r="P751">
        <f t="shared" ca="1" si="320"/>
        <v>52430.105337663619</v>
      </c>
      <c r="Q751">
        <f t="shared" ca="1" si="321"/>
        <v>52430.105337665445</v>
      </c>
      <c r="R751">
        <f t="shared" ca="1" si="322"/>
        <v>2.2564415439646509E-12</v>
      </c>
      <c r="S751">
        <f t="shared" ca="1" si="341"/>
        <v>5.0000000192085281E-4</v>
      </c>
      <c r="T751">
        <f t="shared" ca="1" si="342"/>
        <v>1</v>
      </c>
      <c r="U751">
        <f t="shared" ca="1" si="323"/>
        <v>51800.26683766341</v>
      </c>
      <c r="V751">
        <f t="shared" ca="1" si="324"/>
        <v>269361.38755584974</v>
      </c>
      <c r="W751">
        <f t="shared" ca="1" si="325"/>
        <v>2.5998695052916441</v>
      </c>
      <c r="X751">
        <f t="shared" ca="1" si="326"/>
        <v>1.8933671400629237E-4</v>
      </c>
      <c r="Y751">
        <f t="shared" ca="1" si="327"/>
        <v>52432.528337663411</v>
      </c>
      <c r="Z751">
        <f t="shared" ca="1" si="328"/>
        <v>52432.528337665237</v>
      </c>
      <c r="AA751">
        <f t="shared" ca="1" si="329"/>
        <v>2.2562304480281055E-12</v>
      </c>
      <c r="AB751">
        <f t="shared" ca="1" si="330"/>
        <v>-5.0000000192085281E-4</v>
      </c>
      <c r="AC751">
        <f t="shared" ca="1" si="331"/>
        <v>1</v>
      </c>
      <c r="AD751">
        <f ca="1">IF(V32="Supercritical",L751,IF(V32="Subcritical",U751,IF(AND(T751=1,AC751=1),IF((((F751)*(L751)^2)/2+(G751)*(L751)^3/3+(ABS(K751)^2)/($I$5*MAX(((F751)+(G751)*(L751))*(L751),0.000001)))&gt;=(((F751)*(U751)^2)/2+(G751)*(U751)^3/3+(ABS(K751)^2)/($I$5*MAX(((F751)+(G751)*(U751))*(U751),0.000001))),L751,U751),IF(T751=1,L751,IF(AC751=1,U751,MAX($D$16,POWER((ABS(K751)^2)/($I$5*MAX(F751,0.1)^2),1/3)))))))</f>
        <v>51800.26683766341</v>
      </c>
      <c r="AE751">
        <f t="shared" ca="1" si="332"/>
        <v>52432.528337663411</v>
      </c>
      <c r="AF751">
        <f t="shared" ca="1" si="333"/>
        <v>52432.528337665237</v>
      </c>
      <c r="AI751">
        <v>0</v>
      </c>
      <c r="AJ751">
        <v>0</v>
      </c>
      <c r="AK751">
        <f t="shared" si="334"/>
        <v>0</v>
      </c>
      <c r="AL751">
        <f t="shared" si="343"/>
        <v>0</v>
      </c>
      <c r="AM751">
        <f t="shared" ca="1" si="335"/>
        <v>2.6560383008097266E-7</v>
      </c>
      <c r="AN751" t="str">
        <f t="shared" ca="1" si="336"/>
        <v>Subcritical</v>
      </c>
      <c r="AO751">
        <f t="shared" ca="1" si="337"/>
        <v>2.2562304480281055E-12</v>
      </c>
    </row>
    <row r="752" spans="1:41" x14ac:dyDescent="0.35">
      <c r="A752">
        <v>603</v>
      </c>
      <c r="B752">
        <v>601.89499999999998</v>
      </c>
      <c r="C752">
        <v>616156</v>
      </c>
      <c r="D752">
        <v>3097386.9330000002</v>
      </c>
      <c r="E752">
        <v>632.26099999999997</v>
      </c>
      <c r="F752">
        <v>5.2</v>
      </c>
      <c r="G752">
        <v>0</v>
      </c>
      <c r="H752" t="s">
        <v>186</v>
      </c>
      <c r="I752">
        <v>7.8E-2</v>
      </c>
      <c r="J752">
        <f t="shared" si="338"/>
        <v>1</v>
      </c>
      <c r="K752">
        <f t="shared" si="339"/>
        <v>51</v>
      </c>
      <c r="L752">
        <f t="shared" ca="1" si="340"/>
        <v>51797.843837663619</v>
      </c>
      <c r="M752">
        <f t="shared" ca="1" si="317"/>
        <v>269348.78795585083</v>
      </c>
      <c r="N752">
        <f t="shared" ca="1" si="318"/>
        <v>2.5998694991876676</v>
      </c>
      <c r="O752">
        <f t="shared" ca="1" si="319"/>
        <v>1.8934557080078435E-4</v>
      </c>
      <c r="P752">
        <f t="shared" ca="1" si="320"/>
        <v>52430.104837663617</v>
      </c>
      <c r="Q752">
        <f t="shared" ca="1" si="321"/>
        <v>52430.104837665443</v>
      </c>
      <c r="R752">
        <f t="shared" ca="1" si="322"/>
        <v>2.2564415439646509E-12</v>
      </c>
      <c r="S752">
        <f t="shared" ca="1" si="341"/>
        <v>5.0000000192085281E-4</v>
      </c>
      <c r="T752">
        <f t="shared" ca="1" si="342"/>
        <v>1</v>
      </c>
      <c r="U752">
        <f t="shared" ca="1" si="323"/>
        <v>51800.26683766341</v>
      </c>
      <c r="V752">
        <f t="shared" ca="1" si="324"/>
        <v>269361.38755584974</v>
      </c>
      <c r="W752">
        <f t="shared" ca="1" si="325"/>
        <v>2.5998695052916441</v>
      </c>
      <c r="X752">
        <f t="shared" ca="1" si="326"/>
        <v>1.8933671400629237E-4</v>
      </c>
      <c r="Y752">
        <f t="shared" ca="1" si="327"/>
        <v>52432.527837663409</v>
      </c>
      <c r="Z752">
        <f t="shared" ca="1" si="328"/>
        <v>52432.527837665235</v>
      </c>
      <c r="AA752">
        <f t="shared" ca="1" si="329"/>
        <v>2.2562304480281055E-12</v>
      </c>
      <c r="AB752">
        <f t="shared" ca="1" si="330"/>
        <v>-5.0000000192085281E-4</v>
      </c>
      <c r="AC752">
        <f t="shared" ca="1" si="331"/>
        <v>1</v>
      </c>
      <c r="AD752">
        <f ca="1">IF(V32="Supercritical",L752,IF(V32="Subcritical",U752,IF(AND(T752=1,AC752=1),IF((((F752)*(L752)^2)/2+(G752)*(L752)^3/3+(ABS(K752)^2)/($I$5*MAX(((F752)+(G752)*(L752))*(L752),0.000001)))&gt;=(((F752)*(U752)^2)/2+(G752)*(U752)^3/3+(ABS(K752)^2)/($I$5*MAX(((F752)+(G752)*(U752))*(U752),0.000001))),L752,U752),IF(T752=1,L752,IF(AC752=1,U752,MAX($D$16,POWER((ABS(K752)^2)/($I$5*MAX(F752,0.1)^2),1/3)))))))</f>
        <v>51800.26683766341</v>
      </c>
      <c r="AE752">
        <f t="shared" ca="1" si="332"/>
        <v>52432.527837663409</v>
      </c>
      <c r="AF752">
        <f t="shared" ca="1" si="333"/>
        <v>52432.527837665235</v>
      </c>
      <c r="AI752">
        <v>0</v>
      </c>
      <c r="AJ752">
        <v>0</v>
      </c>
      <c r="AK752">
        <f t="shared" si="334"/>
        <v>0</v>
      </c>
      <c r="AL752">
        <f t="shared" si="343"/>
        <v>0</v>
      </c>
      <c r="AM752">
        <f t="shared" ca="1" si="335"/>
        <v>2.6560383008097266E-7</v>
      </c>
      <c r="AN752" t="str">
        <f t="shared" ca="1" si="336"/>
        <v>Subcritical</v>
      </c>
      <c r="AO752">
        <f t="shared" ca="1" si="337"/>
        <v>2.2562304480281055E-12</v>
      </c>
    </row>
    <row r="753" spans="1:41" x14ac:dyDescent="0.35">
      <c r="A753">
        <v>604</v>
      </c>
      <c r="B753">
        <v>602.89499999999998</v>
      </c>
      <c r="C753">
        <v>616155.52500000002</v>
      </c>
      <c r="D753">
        <v>3097386.0529999998</v>
      </c>
      <c r="E753">
        <v>632.26049999999998</v>
      </c>
      <c r="F753">
        <v>5.2</v>
      </c>
      <c r="G753">
        <v>0</v>
      </c>
      <c r="H753" t="s">
        <v>186</v>
      </c>
      <c r="I753">
        <v>0.05</v>
      </c>
      <c r="J753">
        <f t="shared" si="338"/>
        <v>1</v>
      </c>
      <c r="K753">
        <f t="shared" si="339"/>
        <v>51</v>
      </c>
      <c r="L753">
        <f t="shared" ca="1" si="340"/>
        <v>51797.843837663619</v>
      </c>
      <c r="M753">
        <f t="shared" ca="1" si="317"/>
        <v>269348.78795585083</v>
      </c>
      <c r="N753">
        <f t="shared" ca="1" si="318"/>
        <v>2.5998694991876676</v>
      </c>
      <c r="O753">
        <f t="shared" ca="1" si="319"/>
        <v>1.8934557080078435E-4</v>
      </c>
      <c r="P753">
        <f t="shared" ca="1" si="320"/>
        <v>52430.104337663615</v>
      </c>
      <c r="Q753">
        <f t="shared" ca="1" si="321"/>
        <v>52430.104337665442</v>
      </c>
      <c r="R753">
        <f t="shared" ca="1" si="322"/>
        <v>2.2564415439646509E-12</v>
      </c>
      <c r="S753">
        <f t="shared" ca="1" si="341"/>
        <v>5.0000000192085281E-4</v>
      </c>
      <c r="T753">
        <f t="shared" ca="1" si="342"/>
        <v>1</v>
      </c>
      <c r="U753">
        <f t="shared" ca="1" si="323"/>
        <v>51800.26683766341</v>
      </c>
      <c r="V753">
        <f t="shared" ca="1" si="324"/>
        <v>269361.38755584974</v>
      </c>
      <c r="W753">
        <f t="shared" ca="1" si="325"/>
        <v>2.5998695052916441</v>
      </c>
      <c r="X753">
        <f t="shared" ca="1" si="326"/>
        <v>1.8933671400629237E-4</v>
      </c>
      <c r="Y753">
        <f t="shared" ca="1" si="327"/>
        <v>52432.527337663407</v>
      </c>
      <c r="Z753">
        <f t="shared" ca="1" si="328"/>
        <v>52432.527337665233</v>
      </c>
      <c r="AA753">
        <f t="shared" ca="1" si="329"/>
        <v>2.2562304480281055E-12</v>
      </c>
      <c r="AB753">
        <f t="shared" ca="1" si="330"/>
        <v>-4.999999946448952E-4</v>
      </c>
      <c r="AC753">
        <f t="shared" ca="1" si="331"/>
        <v>1</v>
      </c>
      <c r="AD753">
        <f ca="1">IF(V32="Supercritical",L753,IF(V32="Subcritical",U753,IF(AND(T753=1,AC753=1),IF((((F753)*(L753)^2)/2+(G753)*(L753)^3/3+(ABS(K753)^2)/($I$5*MAX(((F753)+(G753)*(L753))*(L753),0.000001)))&gt;=(((F753)*(U753)^2)/2+(G753)*(U753)^3/3+(ABS(K753)^2)/($I$5*MAX(((F753)+(G753)*(U753))*(U753),0.000001))),L753,U753),IF(T753=1,L753,IF(AC753=1,U753,MAX($D$16,POWER((ABS(K753)^2)/($I$5*MAX(F753,0.1)^2),1/3)))))))</f>
        <v>51800.26683766341</v>
      </c>
      <c r="AE753">
        <f t="shared" ca="1" si="332"/>
        <v>52432.527337663407</v>
      </c>
      <c r="AF753">
        <f t="shared" ca="1" si="333"/>
        <v>52432.527337665233</v>
      </c>
      <c r="AI753">
        <v>0</v>
      </c>
      <c r="AJ753">
        <v>0</v>
      </c>
      <c r="AK753">
        <f t="shared" si="334"/>
        <v>0</v>
      </c>
      <c r="AL753">
        <f t="shared" si="343"/>
        <v>0</v>
      </c>
      <c r="AM753">
        <f t="shared" ca="1" si="335"/>
        <v>2.6560383008097266E-7</v>
      </c>
      <c r="AN753" t="str">
        <f t="shared" ca="1" si="336"/>
        <v>Subcritical</v>
      </c>
      <c r="AO753">
        <f t="shared" ca="1" si="337"/>
        <v>2.2562304480281055E-12</v>
      </c>
    </row>
    <row r="754" spans="1:41" x14ac:dyDescent="0.35">
      <c r="A754">
        <v>605</v>
      </c>
      <c r="B754">
        <v>603.89499999999998</v>
      </c>
      <c r="C754">
        <v>616155.05099999998</v>
      </c>
      <c r="D754">
        <v>3097385.173</v>
      </c>
      <c r="E754">
        <v>632.26</v>
      </c>
      <c r="F754">
        <v>5.2</v>
      </c>
      <c r="G754">
        <v>0</v>
      </c>
      <c r="H754" t="s">
        <v>186</v>
      </c>
      <c r="I754">
        <v>2.7E-2</v>
      </c>
      <c r="J754">
        <f t="shared" si="338"/>
        <v>1</v>
      </c>
      <c r="K754">
        <f t="shared" si="339"/>
        <v>51</v>
      </c>
      <c r="L754">
        <f t="shared" ca="1" si="340"/>
        <v>51797.843837663619</v>
      </c>
      <c r="M754">
        <f t="shared" ca="1" si="317"/>
        <v>269348.78795585083</v>
      </c>
      <c r="N754">
        <f t="shared" ca="1" si="318"/>
        <v>2.5998694991876676</v>
      </c>
      <c r="O754">
        <f t="shared" ca="1" si="319"/>
        <v>1.8934557080078435E-4</v>
      </c>
      <c r="P754">
        <f t="shared" ca="1" si="320"/>
        <v>52430.103837663621</v>
      </c>
      <c r="Q754">
        <f t="shared" ca="1" si="321"/>
        <v>52430.103837665447</v>
      </c>
      <c r="R754">
        <f t="shared" ca="1" si="322"/>
        <v>2.2564415439646509E-12</v>
      </c>
      <c r="S754">
        <f t="shared" ca="1" si="341"/>
        <v>4.999999946448952E-4</v>
      </c>
      <c r="T754">
        <f t="shared" ca="1" si="342"/>
        <v>1</v>
      </c>
      <c r="U754">
        <f t="shared" ca="1" si="323"/>
        <v>51800.26683766341</v>
      </c>
      <c r="V754">
        <f t="shared" ca="1" si="324"/>
        <v>269361.38755584974</v>
      </c>
      <c r="W754">
        <f t="shared" ca="1" si="325"/>
        <v>2.5998695052916441</v>
      </c>
      <c r="X754">
        <f t="shared" ca="1" si="326"/>
        <v>1.8933671400629237E-4</v>
      </c>
      <c r="Y754">
        <f t="shared" ca="1" si="327"/>
        <v>52432.526837663412</v>
      </c>
      <c r="Z754">
        <f t="shared" ca="1" si="328"/>
        <v>52432.526837665238</v>
      </c>
      <c r="AA754">
        <f t="shared" ca="1" si="329"/>
        <v>2.2562304480281055E-12</v>
      </c>
      <c r="AB754">
        <f t="shared" ca="1" si="330"/>
        <v>-5.0000000192085281E-4</v>
      </c>
      <c r="AC754">
        <f t="shared" ca="1" si="331"/>
        <v>1</v>
      </c>
      <c r="AD754">
        <f ca="1">IF(V32="Supercritical",L754,IF(V32="Subcritical",U754,IF(AND(T754=1,AC754=1),IF((((F754)*(L754)^2)/2+(G754)*(L754)^3/3+(ABS(K754)^2)/($I$5*MAX(((F754)+(G754)*(L754))*(L754),0.000001)))&gt;=(((F754)*(U754)^2)/2+(G754)*(U754)^3/3+(ABS(K754)^2)/($I$5*MAX(((F754)+(G754)*(U754))*(U754),0.000001))),L754,U754),IF(T754=1,L754,IF(AC754=1,U754,MAX($D$16,POWER((ABS(K754)^2)/($I$5*MAX(F754,0.1)^2),1/3)))))))</f>
        <v>51800.26683766341</v>
      </c>
      <c r="AE754">
        <f t="shared" ca="1" si="332"/>
        <v>52432.526837663412</v>
      </c>
      <c r="AF754">
        <f t="shared" ca="1" si="333"/>
        <v>52432.526837665238</v>
      </c>
      <c r="AI754">
        <v>0</v>
      </c>
      <c r="AJ754">
        <v>0</v>
      </c>
      <c r="AK754">
        <f t="shared" si="334"/>
        <v>0</v>
      </c>
      <c r="AL754">
        <f t="shared" si="343"/>
        <v>0</v>
      </c>
      <c r="AM754">
        <f t="shared" ca="1" si="335"/>
        <v>2.6560383008097266E-7</v>
      </c>
      <c r="AN754" t="str">
        <f t="shared" ca="1" si="336"/>
        <v>Subcritical</v>
      </c>
      <c r="AO754">
        <f t="shared" ca="1" si="337"/>
        <v>2.2562304480281055E-12</v>
      </c>
    </row>
    <row r="755" spans="1:41" x14ac:dyDescent="0.35">
      <c r="A755">
        <v>606</v>
      </c>
      <c r="B755">
        <v>604.89499999999998</v>
      </c>
      <c r="C755">
        <v>616154.57700000005</v>
      </c>
      <c r="D755">
        <v>3097384.2919999999</v>
      </c>
      <c r="E755">
        <v>632.2595</v>
      </c>
      <c r="F755">
        <v>5.2</v>
      </c>
      <c r="G755">
        <v>0</v>
      </c>
      <c r="H755" t="s">
        <v>186</v>
      </c>
      <c r="I755">
        <v>2.7E-2</v>
      </c>
      <c r="J755">
        <f t="shared" si="338"/>
        <v>1</v>
      </c>
      <c r="K755">
        <f t="shared" si="339"/>
        <v>51</v>
      </c>
      <c r="L755">
        <f t="shared" ca="1" si="340"/>
        <v>51797.843837663619</v>
      </c>
      <c r="M755">
        <f t="shared" ca="1" si="317"/>
        <v>269348.78795585083</v>
      </c>
      <c r="N755">
        <f t="shared" ca="1" si="318"/>
        <v>2.5998694991876676</v>
      </c>
      <c r="O755">
        <f t="shared" ca="1" si="319"/>
        <v>1.8934557080078435E-4</v>
      </c>
      <c r="P755">
        <f t="shared" ca="1" si="320"/>
        <v>52430.103337663619</v>
      </c>
      <c r="Q755">
        <f t="shared" ca="1" si="321"/>
        <v>52430.103337665445</v>
      </c>
      <c r="R755">
        <f t="shared" ca="1" si="322"/>
        <v>2.2564415439646509E-12</v>
      </c>
      <c r="S755">
        <f t="shared" ca="1" si="341"/>
        <v>5.0000000192085281E-4</v>
      </c>
      <c r="T755">
        <f t="shared" ca="1" si="342"/>
        <v>1</v>
      </c>
      <c r="U755">
        <f t="shared" ca="1" si="323"/>
        <v>51800.26683766341</v>
      </c>
      <c r="V755">
        <f t="shared" ca="1" si="324"/>
        <v>269361.38755584974</v>
      </c>
      <c r="W755">
        <f t="shared" ca="1" si="325"/>
        <v>2.5998695052916441</v>
      </c>
      <c r="X755">
        <f t="shared" ca="1" si="326"/>
        <v>1.8933671400629237E-4</v>
      </c>
      <c r="Y755">
        <f t="shared" ca="1" si="327"/>
        <v>52432.52633766341</v>
      </c>
      <c r="Z755">
        <f t="shared" ca="1" si="328"/>
        <v>52432.526337665236</v>
      </c>
      <c r="AA755">
        <f t="shared" ca="1" si="329"/>
        <v>2.2562304480281055E-12</v>
      </c>
      <c r="AB755">
        <f t="shared" ca="1" si="330"/>
        <v>-5.0000000192085281E-4</v>
      </c>
      <c r="AC755">
        <f t="shared" ca="1" si="331"/>
        <v>1</v>
      </c>
      <c r="AD755">
        <f ca="1">IF(V32="Supercritical",L755,IF(V32="Subcritical",U755,IF(AND(T755=1,AC755=1),IF((((F755)*(L755)^2)/2+(G755)*(L755)^3/3+(ABS(K755)^2)/($I$5*MAX(((F755)+(G755)*(L755))*(L755),0.000001)))&gt;=(((F755)*(U755)^2)/2+(G755)*(U755)^3/3+(ABS(K755)^2)/($I$5*MAX(((F755)+(G755)*(U755))*(U755),0.000001))),L755,U755),IF(T755=1,L755,IF(AC755=1,U755,MAX($D$16,POWER((ABS(K755)^2)/($I$5*MAX(F755,0.1)^2),1/3)))))))</f>
        <v>51800.26683766341</v>
      </c>
      <c r="AE755">
        <f t="shared" ca="1" si="332"/>
        <v>52432.52633766341</v>
      </c>
      <c r="AF755">
        <f t="shared" ca="1" si="333"/>
        <v>52432.526337665236</v>
      </c>
      <c r="AI755">
        <v>0</v>
      </c>
      <c r="AJ755">
        <v>0</v>
      </c>
      <c r="AK755">
        <f t="shared" si="334"/>
        <v>0</v>
      </c>
      <c r="AL755">
        <f t="shared" si="343"/>
        <v>0</v>
      </c>
      <c r="AM755">
        <f t="shared" ca="1" si="335"/>
        <v>2.6560383008097266E-7</v>
      </c>
      <c r="AN755" t="str">
        <f t="shared" ca="1" si="336"/>
        <v>Subcritical</v>
      </c>
      <c r="AO755">
        <f t="shared" ca="1" si="337"/>
        <v>2.2562304480281055E-12</v>
      </c>
    </row>
    <row r="756" spans="1:41" x14ac:dyDescent="0.35">
      <c r="A756">
        <v>607</v>
      </c>
      <c r="B756">
        <v>605.89499999999998</v>
      </c>
      <c r="C756">
        <v>616154.103</v>
      </c>
      <c r="D756">
        <v>3097383.412</v>
      </c>
      <c r="E756">
        <v>632.25900000000001</v>
      </c>
      <c r="F756">
        <v>5.2</v>
      </c>
      <c r="G756">
        <v>0</v>
      </c>
      <c r="H756" t="s">
        <v>186</v>
      </c>
      <c r="I756">
        <v>2.3E-2</v>
      </c>
      <c r="J756">
        <f t="shared" si="338"/>
        <v>1</v>
      </c>
      <c r="K756">
        <f t="shared" si="339"/>
        <v>51</v>
      </c>
      <c r="L756">
        <f t="shared" ca="1" si="340"/>
        <v>51797.843837663619</v>
      </c>
      <c r="M756">
        <f t="shared" ca="1" si="317"/>
        <v>269348.78795585083</v>
      </c>
      <c r="N756">
        <f t="shared" ca="1" si="318"/>
        <v>2.5998694991876676</v>
      </c>
      <c r="O756">
        <f t="shared" ca="1" si="319"/>
        <v>1.8934557080078435E-4</v>
      </c>
      <c r="P756">
        <f t="shared" ca="1" si="320"/>
        <v>52430.102837663617</v>
      </c>
      <c r="Q756">
        <f t="shared" ca="1" si="321"/>
        <v>52430.102837665443</v>
      </c>
      <c r="R756">
        <f t="shared" ca="1" si="322"/>
        <v>2.2564415439646509E-12</v>
      </c>
      <c r="S756">
        <f t="shared" ca="1" si="341"/>
        <v>5.0000000192085281E-4</v>
      </c>
      <c r="T756">
        <f t="shared" ca="1" si="342"/>
        <v>1</v>
      </c>
      <c r="U756">
        <f t="shared" ca="1" si="323"/>
        <v>51800.26683766341</v>
      </c>
      <c r="V756">
        <f t="shared" ca="1" si="324"/>
        <v>269361.38755584974</v>
      </c>
      <c r="W756">
        <f t="shared" ca="1" si="325"/>
        <v>2.5998695052916441</v>
      </c>
      <c r="X756">
        <f t="shared" ca="1" si="326"/>
        <v>1.8933671400629237E-4</v>
      </c>
      <c r="Y756">
        <f t="shared" ca="1" si="327"/>
        <v>52432.525837663408</v>
      </c>
      <c r="Z756">
        <f t="shared" ca="1" si="328"/>
        <v>52432.525837665235</v>
      </c>
      <c r="AA756">
        <f t="shared" ca="1" si="329"/>
        <v>2.2562304480281055E-12</v>
      </c>
      <c r="AB756">
        <f t="shared" ca="1" si="330"/>
        <v>-4.999999946448952E-4</v>
      </c>
      <c r="AC756">
        <f t="shared" ca="1" si="331"/>
        <v>1</v>
      </c>
      <c r="AD756">
        <f ca="1">IF(V32="Supercritical",L756,IF(V32="Subcritical",U756,IF(AND(T756=1,AC756=1),IF((((F756)*(L756)^2)/2+(G756)*(L756)^3/3+(ABS(K756)^2)/($I$5*MAX(((F756)+(G756)*(L756))*(L756),0.000001)))&gt;=(((F756)*(U756)^2)/2+(G756)*(U756)^3/3+(ABS(K756)^2)/($I$5*MAX(((F756)+(G756)*(U756))*(U756),0.000001))),L756,U756),IF(T756=1,L756,IF(AC756=1,U756,MAX($D$16,POWER((ABS(K756)^2)/($I$5*MAX(F756,0.1)^2),1/3)))))))</f>
        <v>51800.26683766341</v>
      </c>
      <c r="AE756">
        <f t="shared" ca="1" si="332"/>
        <v>52432.525837663408</v>
      </c>
      <c r="AF756">
        <f t="shared" ca="1" si="333"/>
        <v>52432.525837665235</v>
      </c>
      <c r="AI756">
        <v>0</v>
      </c>
      <c r="AJ756">
        <v>0</v>
      </c>
      <c r="AK756">
        <f t="shared" si="334"/>
        <v>0</v>
      </c>
      <c r="AL756">
        <f t="shared" si="343"/>
        <v>0</v>
      </c>
      <c r="AM756">
        <f t="shared" ca="1" si="335"/>
        <v>2.6560383008097266E-7</v>
      </c>
      <c r="AN756" t="str">
        <f t="shared" ca="1" si="336"/>
        <v>Subcritical</v>
      </c>
      <c r="AO756">
        <f t="shared" ca="1" si="337"/>
        <v>2.2562304480281055E-12</v>
      </c>
    </row>
    <row r="757" spans="1:41" x14ac:dyDescent="0.35">
      <c r="A757">
        <v>608</v>
      </c>
      <c r="B757">
        <v>606.89599999999996</v>
      </c>
      <c r="C757">
        <v>616153.62800000003</v>
      </c>
      <c r="D757">
        <v>3097382.531</v>
      </c>
      <c r="E757">
        <v>632.25850000000003</v>
      </c>
      <c r="F757">
        <v>5.2</v>
      </c>
      <c r="G757">
        <v>0</v>
      </c>
      <c r="H757" t="s">
        <v>186</v>
      </c>
      <c r="I757">
        <v>2.3E-2</v>
      </c>
      <c r="J757">
        <f t="shared" si="338"/>
        <v>1.0009999999999764</v>
      </c>
      <c r="K757">
        <f t="shared" si="339"/>
        <v>51</v>
      </c>
      <c r="L757">
        <f t="shared" ca="1" si="340"/>
        <v>51797.843837663619</v>
      </c>
      <c r="M757">
        <f t="shared" ca="1" si="317"/>
        <v>269348.78795585083</v>
      </c>
      <c r="N757">
        <f t="shared" ca="1" si="318"/>
        <v>2.5998694991876676</v>
      </c>
      <c r="O757">
        <f t="shared" ca="1" si="319"/>
        <v>1.8934557080078435E-4</v>
      </c>
      <c r="P757">
        <f t="shared" ca="1" si="320"/>
        <v>52430.102337663622</v>
      </c>
      <c r="Q757">
        <f t="shared" ca="1" si="321"/>
        <v>52430.102337665448</v>
      </c>
      <c r="R757">
        <f t="shared" ca="1" si="322"/>
        <v>2.2564415439646509E-12</v>
      </c>
      <c r="S757">
        <f t="shared" ca="1" si="341"/>
        <v>4.999999946448952E-4</v>
      </c>
      <c r="T757">
        <f t="shared" ca="1" si="342"/>
        <v>1</v>
      </c>
      <c r="U757">
        <f t="shared" ca="1" si="323"/>
        <v>51800.26683766341</v>
      </c>
      <c r="V757">
        <f t="shared" ca="1" si="324"/>
        <v>269361.38755584974</v>
      </c>
      <c r="W757">
        <f t="shared" ca="1" si="325"/>
        <v>2.5998695052916441</v>
      </c>
      <c r="X757">
        <f t="shared" ca="1" si="326"/>
        <v>1.8933671400629237E-4</v>
      </c>
      <c r="Y757">
        <f t="shared" ca="1" si="327"/>
        <v>52432.525337663414</v>
      </c>
      <c r="Z757">
        <f t="shared" ca="1" si="328"/>
        <v>52432.52533766524</v>
      </c>
      <c r="AA757">
        <f t="shared" ca="1" si="329"/>
        <v>2.2562304480281055E-12</v>
      </c>
      <c r="AB757">
        <f t="shared" ca="1" si="330"/>
        <v>-5.0000000192085281E-4</v>
      </c>
      <c r="AC757">
        <f t="shared" ca="1" si="331"/>
        <v>1</v>
      </c>
      <c r="AD757">
        <f ca="1">IF(V32="Supercritical",L757,IF(V32="Subcritical",U757,IF(AND(T757=1,AC757=1),IF((((F757)*(L757)^2)/2+(G757)*(L757)^3/3+(ABS(K757)^2)/($I$5*MAX(((F757)+(G757)*(L757))*(L757),0.000001)))&gt;=(((F757)*(U757)^2)/2+(G757)*(U757)^3/3+(ABS(K757)^2)/($I$5*MAX(((F757)+(G757)*(U757))*(U757),0.000001))),L757,U757),IF(T757=1,L757,IF(AC757=1,U757,MAX($D$16,POWER((ABS(K757)^2)/($I$5*MAX(F757,0.1)^2),1/3)))))))</f>
        <v>51800.26683766341</v>
      </c>
      <c r="AE757">
        <f t="shared" ca="1" si="332"/>
        <v>52432.525337663414</v>
      </c>
      <c r="AF757">
        <f t="shared" ca="1" si="333"/>
        <v>52432.52533766524</v>
      </c>
      <c r="AI757">
        <v>0</v>
      </c>
      <c r="AJ757">
        <v>0</v>
      </c>
      <c r="AK757">
        <f t="shared" si="334"/>
        <v>0</v>
      </c>
      <c r="AL757">
        <f t="shared" si="343"/>
        <v>0</v>
      </c>
      <c r="AM757">
        <f t="shared" ca="1" si="335"/>
        <v>2.6560383008097266E-7</v>
      </c>
      <c r="AN757" t="str">
        <f t="shared" ca="1" si="336"/>
        <v>Subcritical</v>
      </c>
      <c r="AO757">
        <f t="shared" ca="1" si="337"/>
        <v>2.2562304480281055E-12</v>
      </c>
    </row>
    <row r="758" spans="1:41" x14ac:dyDescent="0.35">
      <c r="A758">
        <v>609</v>
      </c>
      <c r="B758">
        <v>607.89499999999998</v>
      </c>
      <c r="C758">
        <v>616153.15399999998</v>
      </c>
      <c r="D758">
        <v>3097381.6510000001</v>
      </c>
      <c r="E758">
        <v>632.25800000000004</v>
      </c>
      <c r="F758">
        <v>5.2</v>
      </c>
      <c r="G758">
        <v>0</v>
      </c>
      <c r="H758" t="s">
        <v>186</v>
      </c>
      <c r="I758">
        <v>0</v>
      </c>
      <c r="J758">
        <f t="shared" si="338"/>
        <v>0.99900000000002365</v>
      </c>
      <c r="K758">
        <f t="shared" si="339"/>
        <v>51</v>
      </c>
      <c r="L758">
        <f t="shared" ca="1" si="340"/>
        <v>51797.843837663619</v>
      </c>
      <c r="M758">
        <f t="shared" ca="1" si="317"/>
        <v>269348.78795585083</v>
      </c>
      <c r="N758">
        <f t="shared" ca="1" si="318"/>
        <v>2.5998694991876676</v>
      </c>
      <c r="O758">
        <f t="shared" ca="1" si="319"/>
        <v>1.8934557080078435E-4</v>
      </c>
      <c r="P758">
        <f t="shared" ca="1" si="320"/>
        <v>52430.10183766362</v>
      </c>
      <c r="Q758">
        <f t="shared" ca="1" si="321"/>
        <v>52430.101837665447</v>
      </c>
      <c r="R758">
        <f t="shared" ca="1" si="322"/>
        <v>2.2564415439646509E-12</v>
      </c>
      <c r="S758">
        <f t="shared" ca="1" si="341"/>
        <v>5.0000000192085281E-4</v>
      </c>
      <c r="T758">
        <f t="shared" ca="1" si="342"/>
        <v>1</v>
      </c>
      <c r="U758">
        <f t="shared" ca="1" si="323"/>
        <v>51800.26683766341</v>
      </c>
      <c r="V758">
        <f t="shared" ca="1" si="324"/>
        <v>269361.38755584974</v>
      </c>
      <c r="W758">
        <f t="shared" ca="1" si="325"/>
        <v>2.5998695052916441</v>
      </c>
      <c r="X758">
        <f t="shared" ca="1" si="326"/>
        <v>1.8933671400629237E-4</v>
      </c>
      <c r="Y758">
        <f t="shared" ca="1" si="327"/>
        <v>52432.524837663412</v>
      </c>
      <c r="Z758">
        <f t="shared" ca="1" si="328"/>
        <v>52432.524837665238</v>
      </c>
      <c r="AA758">
        <f t="shared" ca="1" si="329"/>
        <v>2.2562304480281055E-12</v>
      </c>
      <c r="AB758">
        <f t="shared" ca="1" si="330"/>
        <v>-5.0000000192085281E-4</v>
      </c>
      <c r="AC758">
        <f t="shared" ca="1" si="331"/>
        <v>1</v>
      </c>
      <c r="AD758">
        <f ca="1">IF(V32="Supercritical",L758,IF(V32="Subcritical",U758,IF(AND(T758=1,AC758=1),IF((((F758)*(L758)^2)/2+(G758)*(L758)^3/3+(ABS(K758)^2)/($I$5*MAX(((F758)+(G758)*(L758))*(L758),0.000001)))&gt;=(((F758)*(U758)^2)/2+(G758)*(U758)^3/3+(ABS(K758)^2)/($I$5*MAX(((F758)+(G758)*(U758))*(U758),0.000001))),L758,U758),IF(T758=1,L758,IF(AC758=1,U758,MAX($D$16,POWER((ABS(K758)^2)/($I$5*MAX(F758,0.1)^2),1/3)))))))</f>
        <v>51800.26683766341</v>
      </c>
      <c r="AE758">
        <f t="shared" ca="1" si="332"/>
        <v>52432.524837663412</v>
      </c>
      <c r="AF758">
        <f t="shared" ca="1" si="333"/>
        <v>52432.524837665238</v>
      </c>
      <c r="AI758">
        <v>0</v>
      </c>
      <c r="AJ758">
        <v>0</v>
      </c>
      <c r="AK758">
        <f t="shared" si="334"/>
        <v>0</v>
      </c>
      <c r="AL758">
        <f t="shared" si="343"/>
        <v>0</v>
      </c>
      <c r="AM758">
        <f t="shared" ca="1" si="335"/>
        <v>2.6560383008097266E-7</v>
      </c>
      <c r="AN758" t="str">
        <f t="shared" ca="1" si="336"/>
        <v>Subcritical</v>
      </c>
      <c r="AO758">
        <f t="shared" ca="1" si="337"/>
        <v>2.2562304480281055E-12</v>
      </c>
    </row>
    <row r="759" spans="1:41" x14ac:dyDescent="0.35">
      <c r="A759">
        <v>610</v>
      </c>
      <c r="B759">
        <v>608.89499999999998</v>
      </c>
      <c r="C759">
        <v>616152.68000000005</v>
      </c>
      <c r="D759">
        <v>3097380.7710000002</v>
      </c>
      <c r="E759">
        <v>632.25750000000005</v>
      </c>
      <c r="F759">
        <v>5.2</v>
      </c>
      <c r="G759">
        <v>0</v>
      </c>
      <c r="H759" t="s">
        <v>186</v>
      </c>
      <c r="I759">
        <v>2.7E-2</v>
      </c>
      <c r="J759">
        <f t="shared" si="338"/>
        <v>1</v>
      </c>
      <c r="K759">
        <f t="shared" si="339"/>
        <v>51</v>
      </c>
      <c r="L759">
        <f t="shared" ca="1" si="340"/>
        <v>51797.843837663619</v>
      </c>
      <c r="M759">
        <f t="shared" ca="1" si="317"/>
        <v>269348.78795585083</v>
      </c>
      <c r="N759">
        <f t="shared" ca="1" si="318"/>
        <v>2.5998694991876676</v>
      </c>
      <c r="O759">
        <f t="shared" ca="1" si="319"/>
        <v>1.8934557080078435E-4</v>
      </c>
      <c r="P759">
        <f t="shared" ca="1" si="320"/>
        <v>52430.101337663618</v>
      </c>
      <c r="Q759">
        <f t="shared" ca="1" si="321"/>
        <v>52430.101337665445</v>
      </c>
      <c r="R759">
        <f t="shared" ca="1" si="322"/>
        <v>2.2564415439646509E-12</v>
      </c>
      <c r="S759">
        <f t="shared" ca="1" si="341"/>
        <v>5.0000000192085281E-4</v>
      </c>
      <c r="T759">
        <f t="shared" ca="1" si="342"/>
        <v>1</v>
      </c>
      <c r="U759">
        <f t="shared" ca="1" si="323"/>
        <v>51800.26683766341</v>
      </c>
      <c r="V759">
        <f t="shared" ca="1" si="324"/>
        <v>269361.38755584974</v>
      </c>
      <c r="W759">
        <f t="shared" ca="1" si="325"/>
        <v>2.5998695052916441</v>
      </c>
      <c r="X759">
        <f t="shared" ca="1" si="326"/>
        <v>1.8933671400629237E-4</v>
      </c>
      <c r="Y759">
        <f t="shared" ca="1" si="327"/>
        <v>52432.52433766341</v>
      </c>
      <c r="Z759">
        <f t="shared" ca="1" si="328"/>
        <v>52432.524337665236</v>
      </c>
      <c r="AA759">
        <f t="shared" ca="1" si="329"/>
        <v>2.2562304480281055E-12</v>
      </c>
      <c r="AB759">
        <f t="shared" ca="1" si="330"/>
        <v>-5.0000000192085281E-4</v>
      </c>
      <c r="AC759">
        <f t="shared" ca="1" si="331"/>
        <v>1</v>
      </c>
      <c r="AD759">
        <f ca="1">IF(V32="Supercritical",L759,IF(V32="Subcritical",U759,IF(AND(T759=1,AC759=1),IF((((F759)*(L759)^2)/2+(G759)*(L759)^3/3+(ABS(K759)^2)/($I$5*MAX(((F759)+(G759)*(L759))*(L759),0.000001)))&gt;=(((F759)*(U759)^2)/2+(G759)*(U759)^3/3+(ABS(K759)^2)/($I$5*MAX(((F759)+(G759)*(U759))*(U759),0.000001))),L759,U759),IF(T759=1,L759,IF(AC759=1,U759,MAX($D$16,POWER((ABS(K759)^2)/($I$5*MAX(F759,0.1)^2),1/3)))))))</f>
        <v>51800.26683766341</v>
      </c>
      <c r="AE759">
        <f t="shared" ca="1" si="332"/>
        <v>52432.52433766341</v>
      </c>
      <c r="AF759">
        <f t="shared" ca="1" si="333"/>
        <v>52432.524337665236</v>
      </c>
      <c r="AI759">
        <v>0</v>
      </c>
      <c r="AJ759">
        <v>0</v>
      </c>
      <c r="AK759">
        <f t="shared" si="334"/>
        <v>0</v>
      </c>
      <c r="AL759">
        <f t="shared" si="343"/>
        <v>0</v>
      </c>
      <c r="AM759">
        <f t="shared" ca="1" si="335"/>
        <v>2.6560383008097266E-7</v>
      </c>
      <c r="AN759" t="str">
        <f t="shared" ca="1" si="336"/>
        <v>Subcritical</v>
      </c>
      <c r="AO759">
        <f t="shared" ca="1" si="337"/>
        <v>2.2562304480281055E-12</v>
      </c>
    </row>
    <row r="760" spans="1:41" x14ac:dyDescent="0.35">
      <c r="A760">
        <v>611</v>
      </c>
      <c r="B760">
        <v>609.89499999999998</v>
      </c>
      <c r="C760">
        <v>616152.20600000001</v>
      </c>
      <c r="D760">
        <v>3097379.89</v>
      </c>
      <c r="E760">
        <v>632.25699999999995</v>
      </c>
      <c r="F760">
        <v>5.2</v>
      </c>
      <c r="G760">
        <v>0</v>
      </c>
      <c r="H760" t="s">
        <v>186</v>
      </c>
      <c r="I760">
        <v>7.8E-2</v>
      </c>
      <c r="J760">
        <f t="shared" si="338"/>
        <v>1</v>
      </c>
      <c r="K760">
        <f t="shared" si="339"/>
        <v>51</v>
      </c>
      <c r="L760">
        <f t="shared" ca="1" si="340"/>
        <v>51797.843837663619</v>
      </c>
      <c r="M760">
        <f t="shared" ca="1" si="317"/>
        <v>269348.78795585083</v>
      </c>
      <c r="N760">
        <f t="shared" ca="1" si="318"/>
        <v>2.5998694991876676</v>
      </c>
      <c r="O760">
        <f t="shared" ca="1" si="319"/>
        <v>1.8934557080078435E-4</v>
      </c>
      <c r="P760">
        <f t="shared" ca="1" si="320"/>
        <v>52430.100837663616</v>
      </c>
      <c r="Q760">
        <f t="shared" ca="1" si="321"/>
        <v>52430.100837665443</v>
      </c>
      <c r="R760">
        <f t="shared" ca="1" si="322"/>
        <v>2.2564415439646509E-12</v>
      </c>
      <c r="S760">
        <f t="shared" ca="1" si="341"/>
        <v>5.0000000192085281E-4</v>
      </c>
      <c r="T760">
        <f t="shared" ca="1" si="342"/>
        <v>1</v>
      </c>
      <c r="U760">
        <f t="shared" ca="1" si="323"/>
        <v>51800.26683766341</v>
      </c>
      <c r="V760">
        <f t="shared" ca="1" si="324"/>
        <v>269361.38755584974</v>
      </c>
      <c r="W760">
        <f t="shared" ca="1" si="325"/>
        <v>2.5998695052916441</v>
      </c>
      <c r="X760">
        <f t="shared" ca="1" si="326"/>
        <v>1.8933671400629237E-4</v>
      </c>
      <c r="Y760">
        <f t="shared" ca="1" si="327"/>
        <v>52432.523837663408</v>
      </c>
      <c r="Z760">
        <f t="shared" ca="1" si="328"/>
        <v>52432.523837665234</v>
      </c>
      <c r="AA760">
        <f t="shared" ca="1" si="329"/>
        <v>2.2562304480281055E-12</v>
      </c>
      <c r="AB760">
        <f t="shared" ca="1" si="330"/>
        <v>-4.999999946448952E-4</v>
      </c>
      <c r="AC760">
        <f t="shared" ca="1" si="331"/>
        <v>1</v>
      </c>
      <c r="AD760">
        <f ca="1">IF(V32="Supercritical",L760,IF(V32="Subcritical",U760,IF(AND(T760=1,AC760=1),IF((((F760)*(L760)^2)/2+(G760)*(L760)^3/3+(ABS(K760)^2)/($I$5*MAX(((F760)+(G760)*(L760))*(L760),0.000001)))&gt;=(((F760)*(U760)^2)/2+(G760)*(U760)^3/3+(ABS(K760)^2)/($I$5*MAX(((F760)+(G760)*(U760))*(U760),0.000001))),L760,U760),IF(T760=1,L760,IF(AC760=1,U760,MAX($D$16,POWER((ABS(K760)^2)/($I$5*MAX(F760,0.1)^2),1/3)))))))</f>
        <v>51800.26683766341</v>
      </c>
      <c r="AE760">
        <f t="shared" ca="1" si="332"/>
        <v>52432.523837663408</v>
      </c>
      <c r="AF760">
        <f t="shared" ca="1" si="333"/>
        <v>52432.523837665234</v>
      </c>
      <c r="AI760">
        <v>0</v>
      </c>
      <c r="AJ760">
        <v>0</v>
      </c>
      <c r="AK760">
        <f t="shared" si="334"/>
        <v>0</v>
      </c>
      <c r="AL760">
        <f t="shared" si="343"/>
        <v>0</v>
      </c>
      <c r="AM760">
        <f t="shared" ca="1" si="335"/>
        <v>2.6560383008097266E-7</v>
      </c>
      <c r="AN760" t="str">
        <f t="shared" ca="1" si="336"/>
        <v>Subcritical</v>
      </c>
      <c r="AO760">
        <f t="shared" ca="1" si="337"/>
        <v>2.2562304480281055E-12</v>
      </c>
    </row>
    <row r="761" spans="1:41" x14ac:dyDescent="0.35">
      <c r="A761">
        <v>612</v>
      </c>
      <c r="B761">
        <v>610.89499999999998</v>
      </c>
      <c r="C761">
        <v>616151.73100000003</v>
      </c>
      <c r="D761">
        <v>3097379.01</v>
      </c>
      <c r="E761">
        <v>632.25649999999996</v>
      </c>
      <c r="F761">
        <v>5.2</v>
      </c>
      <c r="G761">
        <v>0</v>
      </c>
      <c r="H761" t="s">
        <v>186</v>
      </c>
      <c r="I761">
        <v>7.8E-2</v>
      </c>
      <c r="J761">
        <f t="shared" si="338"/>
        <v>1</v>
      </c>
      <c r="K761">
        <f t="shared" si="339"/>
        <v>51</v>
      </c>
      <c r="L761">
        <f t="shared" ca="1" si="340"/>
        <v>51797.843837663619</v>
      </c>
      <c r="M761">
        <f t="shared" ca="1" si="317"/>
        <v>269348.78795585083</v>
      </c>
      <c r="N761">
        <f t="shared" ca="1" si="318"/>
        <v>2.5998694991876676</v>
      </c>
      <c r="O761">
        <f t="shared" ca="1" si="319"/>
        <v>1.8934557080078435E-4</v>
      </c>
      <c r="P761">
        <f t="shared" ca="1" si="320"/>
        <v>52430.100337663622</v>
      </c>
      <c r="Q761">
        <f t="shared" ca="1" si="321"/>
        <v>52430.100337665448</v>
      </c>
      <c r="R761">
        <f t="shared" ca="1" si="322"/>
        <v>2.2564415439646509E-12</v>
      </c>
      <c r="S761">
        <f t="shared" ca="1" si="341"/>
        <v>4.999999946448952E-4</v>
      </c>
      <c r="T761">
        <f t="shared" ca="1" si="342"/>
        <v>1</v>
      </c>
      <c r="U761">
        <f t="shared" ca="1" si="323"/>
        <v>51800.26683766341</v>
      </c>
      <c r="V761">
        <f t="shared" ca="1" si="324"/>
        <v>269361.38755584974</v>
      </c>
      <c r="W761">
        <f t="shared" ca="1" si="325"/>
        <v>2.5998695052916441</v>
      </c>
      <c r="X761">
        <f t="shared" ca="1" si="326"/>
        <v>1.8933671400629237E-4</v>
      </c>
      <c r="Y761">
        <f t="shared" ca="1" si="327"/>
        <v>52432.523337663413</v>
      </c>
      <c r="Z761">
        <f t="shared" ca="1" si="328"/>
        <v>52432.52333766524</v>
      </c>
      <c r="AA761">
        <f t="shared" ca="1" si="329"/>
        <v>2.2562304480281055E-12</v>
      </c>
      <c r="AB761">
        <f t="shared" ca="1" si="330"/>
        <v>-5.0000000192085281E-4</v>
      </c>
      <c r="AC761">
        <f t="shared" ca="1" si="331"/>
        <v>1</v>
      </c>
      <c r="AD761">
        <f ca="1">IF(V32="Supercritical",L761,IF(V32="Subcritical",U761,IF(AND(T761=1,AC761=1),IF((((F761)*(L761)^2)/2+(G761)*(L761)^3/3+(ABS(K761)^2)/($I$5*MAX(((F761)+(G761)*(L761))*(L761),0.000001)))&gt;=(((F761)*(U761)^2)/2+(G761)*(U761)^3/3+(ABS(K761)^2)/($I$5*MAX(((F761)+(G761)*(U761))*(U761),0.000001))),L761,U761),IF(T761=1,L761,IF(AC761=1,U761,MAX($D$16,POWER((ABS(K761)^2)/($I$5*MAX(F761,0.1)^2),1/3)))))))</f>
        <v>51800.26683766341</v>
      </c>
      <c r="AE761">
        <f t="shared" ca="1" si="332"/>
        <v>52432.523337663413</v>
      </c>
      <c r="AF761">
        <f t="shared" ca="1" si="333"/>
        <v>52432.52333766524</v>
      </c>
      <c r="AI761">
        <v>0</v>
      </c>
      <c r="AJ761">
        <v>0</v>
      </c>
      <c r="AK761">
        <f t="shared" si="334"/>
        <v>0</v>
      </c>
      <c r="AL761">
        <f t="shared" si="343"/>
        <v>0</v>
      </c>
      <c r="AM761">
        <f t="shared" ca="1" si="335"/>
        <v>2.6560383008097266E-7</v>
      </c>
      <c r="AN761" t="str">
        <f t="shared" ca="1" si="336"/>
        <v>Subcritical</v>
      </c>
      <c r="AO761">
        <f t="shared" ca="1" si="337"/>
        <v>2.2562304480281055E-12</v>
      </c>
    </row>
    <row r="762" spans="1:41" x14ac:dyDescent="0.35">
      <c r="A762">
        <v>613</v>
      </c>
      <c r="B762">
        <v>611.89599999999996</v>
      </c>
      <c r="C762">
        <v>616151.25699999998</v>
      </c>
      <c r="D762">
        <v>3097378.1290000002</v>
      </c>
      <c r="E762">
        <v>632.25599999999997</v>
      </c>
      <c r="F762">
        <v>5.2</v>
      </c>
      <c r="G762">
        <v>0</v>
      </c>
      <c r="H762" t="s">
        <v>186</v>
      </c>
      <c r="I762">
        <v>2.7E-2</v>
      </c>
      <c r="J762">
        <f t="shared" si="338"/>
        <v>1.0009999999999764</v>
      </c>
      <c r="K762">
        <f t="shared" si="339"/>
        <v>51</v>
      </c>
      <c r="L762">
        <f t="shared" ca="1" si="340"/>
        <v>51797.843837663619</v>
      </c>
      <c r="M762">
        <f t="shared" ca="1" si="317"/>
        <v>269348.78795585083</v>
      </c>
      <c r="N762">
        <f t="shared" ca="1" si="318"/>
        <v>2.5998694991876676</v>
      </c>
      <c r="O762">
        <f t="shared" ca="1" si="319"/>
        <v>1.8934557080078435E-4</v>
      </c>
      <c r="P762">
        <f t="shared" ca="1" si="320"/>
        <v>52430.09983766362</v>
      </c>
      <c r="Q762">
        <f t="shared" ca="1" si="321"/>
        <v>52430.099837665446</v>
      </c>
      <c r="R762">
        <f t="shared" ca="1" si="322"/>
        <v>2.2564415439646509E-12</v>
      </c>
      <c r="S762">
        <f t="shared" ca="1" si="341"/>
        <v>5.0000000192085281E-4</v>
      </c>
      <c r="T762">
        <f t="shared" ca="1" si="342"/>
        <v>1</v>
      </c>
      <c r="U762">
        <f t="shared" ca="1" si="323"/>
        <v>51800.26683766341</v>
      </c>
      <c r="V762">
        <f t="shared" ca="1" si="324"/>
        <v>269361.38755584974</v>
      </c>
      <c r="W762">
        <f t="shared" ca="1" si="325"/>
        <v>2.5998695052916441</v>
      </c>
      <c r="X762">
        <f t="shared" ca="1" si="326"/>
        <v>1.8933671400629237E-4</v>
      </c>
      <c r="Y762">
        <f t="shared" ca="1" si="327"/>
        <v>52432.522837663411</v>
      </c>
      <c r="Z762">
        <f t="shared" ca="1" si="328"/>
        <v>52432.522837665238</v>
      </c>
      <c r="AA762">
        <f t="shared" ca="1" si="329"/>
        <v>2.2562304480281055E-12</v>
      </c>
      <c r="AB762">
        <f t="shared" ca="1" si="330"/>
        <v>-5.0000000192085281E-4</v>
      </c>
      <c r="AC762">
        <f t="shared" ca="1" si="331"/>
        <v>1</v>
      </c>
      <c r="AD762">
        <f ca="1">IF(V32="Supercritical",L762,IF(V32="Subcritical",U762,IF(AND(T762=1,AC762=1),IF((((F762)*(L762)^2)/2+(G762)*(L762)^3/3+(ABS(K762)^2)/($I$5*MAX(((F762)+(G762)*(L762))*(L762),0.000001)))&gt;=(((F762)*(U762)^2)/2+(G762)*(U762)^3/3+(ABS(K762)^2)/($I$5*MAX(((F762)+(G762)*(U762))*(U762),0.000001))),L762,U762),IF(T762=1,L762,IF(AC762=1,U762,MAX($D$16,POWER((ABS(K762)^2)/($I$5*MAX(F762,0.1)^2),1/3)))))))</f>
        <v>51800.26683766341</v>
      </c>
      <c r="AE762">
        <f t="shared" ca="1" si="332"/>
        <v>52432.522837663411</v>
      </c>
      <c r="AF762">
        <f t="shared" ca="1" si="333"/>
        <v>52432.522837665238</v>
      </c>
      <c r="AI762">
        <v>0</v>
      </c>
      <c r="AJ762">
        <v>0</v>
      </c>
      <c r="AK762">
        <f t="shared" si="334"/>
        <v>0</v>
      </c>
      <c r="AL762">
        <f t="shared" si="343"/>
        <v>0</v>
      </c>
      <c r="AM762">
        <f t="shared" ca="1" si="335"/>
        <v>2.6560383008097266E-7</v>
      </c>
      <c r="AN762" t="str">
        <f t="shared" ca="1" si="336"/>
        <v>Subcritical</v>
      </c>
      <c r="AO762">
        <f t="shared" ca="1" si="337"/>
        <v>2.2562304480281055E-12</v>
      </c>
    </row>
    <row r="763" spans="1:41" x14ac:dyDescent="0.35">
      <c r="A763">
        <v>614</v>
      </c>
      <c r="B763">
        <v>612.89499999999998</v>
      </c>
      <c r="C763">
        <v>616150.78300000005</v>
      </c>
      <c r="D763">
        <v>3097377.2489999998</v>
      </c>
      <c r="E763">
        <v>632.25549999999998</v>
      </c>
      <c r="F763">
        <v>5.2</v>
      </c>
      <c r="G763">
        <v>0</v>
      </c>
      <c r="H763" t="s">
        <v>186</v>
      </c>
      <c r="I763">
        <v>0</v>
      </c>
      <c r="J763">
        <f t="shared" si="338"/>
        <v>0.99900000000002365</v>
      </c>
      <c r="K763">
        <f t="shared" si="339"/>
        <v>51</v>
      </c>
      <c r="L763">
        <f t="shared" ca="1" si="340"/>
        <v>51797.843837663619</v>
      </c>
      <c r="M763">
        <f t="shared" ca="1" si="317"/>
        <v>269348.78795585083</v>
      </c>
      <c r="N763">
        <f t="shared" ca="1" si="318"/>
        <v>2.5998694991876676</v>
      </c>
      <c r="O763">
        <f t="shared" ca="1" si="319"/>
        <v>1.8934557080078435E-4</v>
      </c>
      <c r="P763">
        <f t="shared" ca="1" si="320"/>
        <v>52430.099337663618</v>
      </c>
      <c r="Q763">
        <f t="shared" ca="1" si="321"/>
        <v>52430.099337665444</v>
      </c>
      <c r="R763">
        <f t="shared" ca="1" si="322"/>
        <v>2.2564415439646509E-12</v>
      </c>
      <c r="S763">
        <f t="shared" ca="1" si="341"/>
        <v>5.0000000192085281E-4</v>
      </c>
      <c r="T763">
        <f t="shared" ca="1" si="342"/>
        <v>1</v>
      </c>
      <c r="U763">
        <f t="shared" ca="1" si="323"/>
        <v>51800.26683766341</v>
      </c>
      <c r="V763">
        <f t="shared" ca="1" si="324"/>
        <v>269361.38755584974</v>
      </c>
      <c r="W763">
        <f t="shared" ca="1" si="325"/>
        <v>2.5998695052916441</v>
      </c>
      <c r="X763">
        <f t="shared" ca="1" si="326"/>
        <v>1.8933671400629237E-4</v>
      </c>
      <c r="Y763">
        <f t="shared" ca="1" si="327"/>
        <v>52432.522337663409</v>
      </c>
      <c r="Z763">
        <f t="shared" ca="1" si="328"/>
        <v>52432.522337665236</v>
      </c>
      <c r="AA763">
        <f t="shared" ca="1" si="329"/>
        <v>2.2562304480281055E-12</v>
      </c>
      <c r="AB763">
        <f t="shared" ca="1" si="330"/>
        <v>-5.0000000192085281E-4</v>
      </c>
      <c r="AC763">
        <f t="shared" ca="1" si="331"/>
        <v>1</v>
      </c>
      <c r="AD763">
        <f ca="1">IF(V32="Supercritical",L763,IF(V32="Subcritical",U763,IF(AND(T763=1,AC763=1),IF((((F763)*(L763)^2)/2+(G763)*(L763)^3/3+(ABS(K763)^2)/($I$5*MAX(((F763)+(G763)*(L763))*(L763),0.000001)))&gt;=(((F763)*(U763)^2)/2+(G763)*(U763)^3/3+(ABS(K763)^2)/($I$5*MAX(((F763)+(G763)*(U763))*(U763),0.000001))),L763,U763),IF(T763=1,L763,IF(AC763=1,U763,MAX($D$16,POWER((ABS(K763)^2)/($I$5*MAX(F763,0.1)^2),1/3)))))))</f>
        <v>51800.26683766341</v>
      </c>
      <c r="AE763">
        <f t="shared" ca="1" si="332"/>
        <v>52432.522337663409</v>
      </c>
      <c r="AF763">
        <f t="shared" ca="1" si="333"/>
        <v>52432.522337665236</v>
      </c>
      <c r="AI763">
        <v>0</v>
      </c>
      <c r="AJ763">
        <v>0</v>
      </c>
      <c r="AK763">
        <f t="shared" si="334"/>
        <v>0</v>
      </c>
      <c r="AL763">
        <f t="shared" si="343"/>
        <v>0</v>
      </c>
      <c r="AM763">
        <f t="shared" ca="1" si="335"/>
        <v>2.6560383008097266E-7</v>
      </c>
      <c r="AN763" t="str">
        <f t="shared" ca="1" si="336"/>
        <v>Subcritical</v>
      </c>
      <c r="AO763">
        <f t="shared" ca="1" si="337"/>
        <v>2.2562304480281055E-12</v>
      </c>
    </row>
    <row r="764" spans="1:41" x14ac:dyDescent="0.35">
      <c r="A764">
        <v>615</v>
      </c>
      <c r="B764">
        <v>613.89499999999998</v>
      </c>
      <c r="C764">
        <v>616150.30900000001</v>
      </c>
      <c r="D764">
        <v>3097376.3689999999</v>
      </c>
      <c r="E764">
        <v>632.255</v>
      </c>
      <c r="F764">
        <v>5.2</v>
      </c>
      <c r="G764">
        <v>0</v>
      </c>
      <c r="H764" t="s">
        <v>186</v>
      </c>
      <c r="I764">
        <v>2.7E-2</v>
      </c>
      <c r="J764">
        <f t="shared" si="338"/>
        <v>1</v>
      </c>
      <c r="K764">
        <f t="shared" si="339"/>
        <v>51</v>
      </c>
      <c r="L764">
        <f t="shared" ca="1" si="340"/>
        <v>51797.843837663619</v>
      </c>
      <c r="M764">
        <f t="shared" ca="1" si="317"/>
        <v>269348.78795585083</v>
      </c>
      <c r="N764">
        <f t="shared" ca="1" si="318"/>
        <v>2.5998694991876676</v>
      </c>
      <c r="O764">
        <f t="shared" ca="1" si="319"/>
        <v>1.8934557080078435E-4</v>
      </c>
      <c r="P764">
        <f t="shared" ca="1" si="320"/>
        <v>52430.098837663616</v>
      </c>
      <c r="Q764">
        <f t="shared" ca="1" si="321"/>
        <v>52430.098837665442</v>
      </c>
      <c r="R764">
        <f t="shared" ca="1" si="322"/>
        <v>2.2564415439646509E-12</v>
      </c>
      <c r="S764">
        <f t="shared" ca="1" si="341"/>
        <v>5.0000000192085281E-4</v>
      </c>
      <c r="T764">
        <f t="shared" ca="1" si="342"/>
        <v>1</v>
      </c>
      <c r="U764">
        <f t="shared" ca="1" si="323"/>
        <v>51800.26683766341</v>
      </c>
      <c r="V764">
        <f t="shared" ca="1" si="324"/>
        <v>269361.38755584974</v>
      </c>
      <c r="W764">
        <f t="shared" ca="1" si="325"/>
        <v>2.5998695052916441</v>
      </c>
      <c r="X764">
        <f t="shared" ca="1" si="326"/>
        <v>1.8933671400629237E-4</v>
      </c>
      <c r="Y764">
        <f t="shared" ca="1" si="327"/>
        <v>52432.521837663407</v>
      </c>
      <c r="Z764">
        <f t="shared" ca="1" si="328"/>
        <v>52432.521837665234</v>
      </c>
      <c r="AA764">
        <f t="shared" ca="1" si="329"/>
        <v>2.2562304480281055E-12</v>
      </c>
      <c r="AB764">
        <f t="shared" ca="1" si="330"/>
        <v>-4.999999946448952E-4</v>
      </c>
      <c r="AC764">
        <f t="shared" ca="1" si="331"/>
        <v>1</v>
      </c>
      <c r="AD764">
        <f ca="1">IF(V32="Supercritical",L764,IF(V32="Subcritical",U764,IF(AND(T764=1,AC764=1),IF((((F764)*(L764)^2)/2+(G764)*(L764)^3/3+(ABS(K764)^2)/($I$5*MAX(((F764)+(G764)*(L764))*(L764),0.000001)))&gt;=(((F764)*(U764)^2)/2+(G764)*(U764)^3/3+(ABS(K764)^2)/($I$5*MAX(((F764)+(G764)*(U764))*(U764),0.000001))),L764,U764),IF(T764=1,L764,IF(AC764=1,U764,MAX($D$16,POWER((ABS(K764)^2)/($I$5*MAX(F764,0.1)^2),1/3)))))))</f>
        <v>51800.26683766341</v>
      </c>
      <c r="AE764">
        <f t="shared" ca="1" si="332"/>
        <v>52432.521837663407</v>
      </c>
      <c r="AF764">
        <f t="shared" ca="1" si="333"/>
        <v>52432.521837665234</v>
      </c>
      <c r="AI764">
        <v>0</v>
      </c>
      <c r="AJ764">
        <v>0</v>
      </c>
      <c r="AK764">
        <f t="shared" si="334"/>
        <v>0</v>
      </c>
      <c r="AL764">
        <f t="shared" si="343"/>
        <v>0</v>
      </c>
      <c r="AM764">
        <f t="shared" ca="1" si="335"/>
        <v>2.6560383008097266E-7</v>
      </c>
      <c r="AN764" t="str">
        <f t="shared" ca="1" si="336"/>
        <v>Subcritical</v>
      </c>
      <c r="AO764">
        <f t="shared" ca="1" si="337"/>
        <v>2.2562304480281055E-12</v>
      </c>
    </row>
    <row r="765" spans="1:41" x14ac:dyDescent="0.35">
      <c r="A765">
        <v>616</v>
      </c>
      <c r="B765">
        <v>614.89499999999998</v>
      </c>
      <c r="C765">
        <v>616149.83499999996</v>
      </c>
      <c r="D765">
        <v>3097375.4879999999</v>
      </c>
      <c r="E765">
        <v>632.25450000000001</v>
      </c>
      <c r="F765">
        <v>5.2</v>
      </c>
      <c r="G765">
        <v>0</v>
      </c>
      <c r="H765" t="s">
        <v>186</v>
      </c>
      <c r="I765">
        <v>7.8E-2</v>
      </c>
      <c r="J765">
        <f t="shared" si="338"/>
        <v>1</v>
      </c>
      <c r="K765">
        <f t="shared" si="339"/>
        <v>51</v>
      </c>
      <c r="L765">
        <f t="shared" ca="1" si="340"/>
        <v>51797.843837663619</v>
      </c>
      <c r="M765">
        <f t="shared" ca="1" si="317"/>
        <v>269348.78795585083</v>
      </c>
      <c r="N765">
        <f t="shared" ca="1" si="318"/>
        <v>2.5998694991876676</v>
      </c>
      <c r="O765">
        <f t="shared" ca="1" si="319"/>
        <v>1.8934557080078435E-4</v>
      </c>
      <c r="P765">
        <f t="shared" ca="1" si="320"/>
        <v>52430.098337663621</v>
      </c>
      <c r="Q765">
        <f t="shared" ca="1" si="321"/>
        <v>52430.098337665448</v>
      </c>
      <c r="R765">
        <f t="shared" ca="1" si="322"/>
        <v>2.2564415439646509E-12</v>
      </c>
      <c r="S765">
        <f t="shared" ca="1" si="341"/>
        <v>4.999999946448952E-4</v>
      </c>
      <c r="T765">
        <f t="shared" ca="1" si="342"/>
        <v>1</v>
      </c>
      <c r="U765">
        <f t="shared" ca="1" si="323"/>
        <v>51800.26683766341</v>
      </c>
      <c r="V765">
        <f t="shared" ca="1" si="324"/>
        <v>269361.38755584974</v>
      </c>
      <c r="W765">
        <f t="shared" ca="1" si="325"/>
        <v>2.5998695052916441</v>
      </c>
      <c r="X765">
        <f t="shared" ca="1" si="326"/>
        <v>1.8933671400629237E-4</v>
      </c>
      <c r="Y765">
        <f t="shared" ca="1" si="327"/>
        <v>52432.521337663413</v>
      </c>
      <c r="Z765">
        <f t="shared" ca="1" si="328"/>
        <v>52432.521337665239</v>
      </c>
      <c r="AA765">
        <f t="shared" ca="1" si="329"/>
        <v>2.2562304480281055E-12</v>
      </c>
      <c r="AB765">
        <f t="shared" ca="1" si="330"/>
        <v>-5.0000000192085281E-4</v>
      </c>
      <c r="AC765">
        <f t="shared" ca="1" si="331"/>
        <v>1</v>
      </c>
      <c r="AD765">
        <f ca="1">IF(V32="Supercritical",L765,IF(V32="Subcritical",U765,IF(AND(T765=1,AC765=1),IF((((F765)*(L765)^2)/2+(G765)*(L765)^3/3+(ABS(K765)^2)/($I$5*MAX(((F765)+(G765)*(L765))*(L765),0.000001)))&gt;=(((F765)*(U765)^2)/2+(G765)*(U765)^3/3+(ABS(K765)^2)/($I$5*MAX(((F765)+(G765)*(U765))*(U765),0.000001))),L765,U765),IF(T765=1,L765,IF(AC765=1,U765,MAX($D$16,POWER((ABS(K765)^2)/($I$5*MAX(F765,0.1)^2),1/3)))))))</f>
        <v>51800.26683766341</v>
      </c>
      <c r="AE765">
        <f t="shared" ca="1" si="332"/>
        <v>52432.521337663413</v>
      </c>
      <c r="AF765">
        <f t="shared" ca="1" si="333"/>
        <v>52432.521337665239</v>
      </c>
      <c r="AI765">
        <v>0</v>
      </c>
      <c r="AJ765">
        <v>0</v>
      </c>
      <c r="AK765">
        <f t="shared" si="334"/>
        <v>0</v>
      </c>
      <c r="AL765">
        <f t="shared" si="343"/>
        <v>0</v>
      </c>
      <c r="AM765">
        <f t="shared" ca="1" si="335"/>
        <v>2.6560383008097266E-7</v>
      </c>
      <c r="AN765" t="str">
        <f t="shared" ca="1" si="336"/>
        <v>Subcritical</v>
      </c>
      <c r="AO765">
        <f t="shared" ca="1" si="337"/>
        <v>2.2562304480281055E-12</v>
      </c>
    </row>
    <row r="766" spans="1:41" x14ac:dyDescent="0.35">
      <c r="A766">
        <v>617</v>
      </c>
      <c r="B766">
        <v>615.89499999999998</v>
      </c>
      <c r="C766">
        <v>616149.36</v>
      </c>
      <c r="D766">
        <v>3097374.608</v>
      </c>
      <c r="E766">
        <v>632.25400000000002</v>
      </c>
      <c r="F766">
        <v>5.2</v>
      </c>
      <c r="G766">
        <v>0</v>
      </c>
      <c r="H766" t="s">
        <v>186</v>
      </c>
      <c r="I766">
        <v>7.8E-2</v>
      </c>
      <c r="J766">
        <f t="shared" si="338"/>
        <v>1</v>
      </c>
      <c r="K766">
        <f t="shared" si="339"/>
        <v>51</v>
      </c>
      <c r="L766">
        <f t="shared" ca="1" si="340"/>
        <v>51797.843837663619</v>
      </c>
      <c r="M766">
        <f t="shared" ca="1" si="317"/>
        <v>269348.78795585083</v>
      </c>
      <c r="N766">
        <f t="shared" ca="1" si="318"/>
        <v>2.5998694991876676</v>
      </c>
      <c r="O766">
        <f t="shared" ca="1" si="319"/>
        <v>1.8934557080078435E-4</v>
      </c>
      <c r="P766">
        <f t="shared" ca="1" si="320"/>
        <v>52430.097837663619</v>
      </c>
      <c r="Q766">
        <f t="shared" ca="1" si="321"/>
        <v>52430.097837665446</v>
      </c>
      <c r="R766">
        <f t="shared" ca="1" si="322"/>
        <v>2.2564415439646509E-12</v>
      </c>
      <c r="S766">
        <f t="shared" ca="1" si="341"/>
        <v>5.0000000192085281E-4</v>
      </c>
      <c r="T766">
        <f t="shared" ca="1" si="342"/>
        <v>1</v>
      </c>
      <c r="U766">
        <f t="shared" ca="1" si="323"/>
        <v>51800.26683766341</v>
      </c>
      <c r="V766">
        <f t="shared" ca="1" si="324"/>
        <v>269361.38755584974</v>
      </c>
      <c r="W766">
        <f t="shared" ca="1" si="325"/>
        <v>2.5998695052916441</v>
      </c>
      <c r="X766">
        <f t="shared" ca="1" si="326"/>
        <v>1.8933671400629237E-4</v>
      </c>
      <c r="Y766">
        <f t="shared" ca="1" si="327"/>
        <v>52432.520837663411</v>
      </c>
      <c r="Z766">
        <f t="shared" ca="1" si="328"/>
        <v>52432.520837665237</v>
      </c>
      <c r="AA766">
        <f t="shared" ca="1" si="329"/>
        <v>2.2562304480281055E-12</v>
      </c>
      <c r="AB766">
        <f t="shared" ca="1" si="330"/>
        <v>-5.0000000192085281E-4</v>
      </c>
      <c r="AC766">
        <f t="shared" ca="1" si="331"/>
        <v>1</v>
      </c>
      <c r="AD766">
        <f ca="1">IF(V32="Supercritical",L766,IF(V32="Subcritical",U766,IF(AND(T766=1,AC766=1),IF((((F766)*(L766)^2)/2+(G766)*(L766)^3/3+(ABS(K766)^2)/($I$5*MAX(((F766)+(G766)*(L766))*(L766),0.000001)))&gt;=(((F766)*(U766)^2)/2+(G766)*(U766)^3/3+(ABS(K766)^2)/($I$5*MAX(((F766)+(G766)*(U766))*(U766),0.000001))),L766,U766),IF(T766=1,L766,IF(AC766=1,U766,MAX($D$16,POWER((ABS(K766)^2)/($I$5*MAX(F766,0.1)^2),1/3)))))))</f>
        <v>51800.26683766341</v>
      </c>
      <c r="AE766">
        <f t="shared" ca="1" si="332"/>
        <v>52432.520837663411</v>
      </c>
      <c r="AF766">
        <f t="shared" ca="1" si="333"/>
        <v>52432.520837665237</v>
      </c>
      <c r="AI766">
        <v>0</v>
      </c>
      <c r="AJ766">
        <v>0</v>
      </c>
      <c r="AK766">
        <f t="shared" si="334"/>
        <v>0</v>
      </c>
      <c r="AL766">
        <f t="shared" si="343"/>
        <v>0</v>
      </c>
      <c r="AM766">
        <f t="shared" ca="1" si="335"/>
        <v>2.6560383008097266E-7</v>
      </c>
      <c r="AN766" t="str">
        <f t="shared" ca="1" si="336"/>
        <v>Subcritical</v>
      </c>
      <c r="AO766">
        <f t="shared" ca="1" si="337"/>
        <v>2.2562304480281055E-12</v>
      </c>
    </row>
    <row r="767" spans="1:41" x14ac:dyDescent="0.35">
      <c r="A767">
        <v>618</v>
      </c>
      <c r="B767">
        <v>616.89599999999996</v>
      </c>
      <c r="C767">
        <v>616148.88600000006</v>
      </c>
      <c r="D767">
        <v>3097373.727</v>
      </c>
      <c r="E767">
        <v>632.25350000000003</v>
      </c>
      <c r="F767">
        <v>5.2</v>
      </c>
      <c r="G767">
        <v>0</v>
      </c>
      <c r="H767" t="s">
        <v>186</v>
      </c>
      <c r="I767">
        <v>2.7E-2</v>
      </c>
      <c r="J767">
        <f t="shared" si="338"/>
        <v>1.0009999999999764</v>
      </c>
      <c r="K767">
        <f t="shared" si="339"/>
        <v>51</v>
      </c>
      <c r="L767">
        <f t="shared" ca="1" si="340"/>
        <v>51797.843837663619</v>
      </c>
      <c r="M767">
        <f t="shared" ca="1" si="317"/>
        <v>269348.78795585083</v>
      </c>
      <c r="N767">
        <f t="shared" ca="1" si="318"/>
        <v>2.5998694991876676</v>
      </c>
      <c r="O767">
        <f t="shared" ca="1" si="319"/>
        <v>1.8934557080078435E-4</v>
      </c>
      <c r="P767">
        <f t="shared" ca="1" si="320"/>
        <v>52430.097337663618</v>
      </c>
      <c r="Q767">
        <f t="shared" ca="1" si="321"/>
        <v>52430.097337665444</v>
      </c>
      <c r="R767">
        <f t="shared" ca="1" si="322"/>
        <v>2.2564415439646509E-12</v>
      </c>
      <c r="S767">
        <f t="shared" ca="1" si="341"/>
        <v>5.0000000192085281E-4</v>
      </c>
      <c r="T767">
        <f t="shared" ca="1" si="342"/>
        <v>1</v>
      </c>
      <c r="U767">
        <f t="shared" ca="1" si="323"/>
        <v>51800.26683766341</v>
      </c>
      <c r="V767">
        <f t="shared" ca="1" si="324"/>
        <v>269361.38755584974</v>
      </c>
      <c r="W767">
        <f t="shared" ca="1" si="325"/>
        <v>2.5998695052916441</v>
      </c>
      <c r="X767">
        <f t="shared" ca="1" si="326"/>
        <v>1.8933671400629237E-4</v>
      </c>
      <c r="Y767">
        <f t="shared" ca="1" si="327"/>
        <v>52432.520337663409</v>
      </c>
      <c r="Z767">
        <f t="shared" ca="1" si="328"/>
        <v>52432.520337665235</v>
      </c>
      <c r="AA767">
        <f t="shared" ca="1" si="329"/>
        <v>2.2562304480281055E-12</v>
      </c>
      <c r="AB767">
        <f t="shared" ca="1" si="330"/>
        <v>-5.0000000192085281E-4</v>
      </c>
      <c r="AC767">
        <f t="shared" ca="1" si="331"/>
        <v>1</v>
      </c>
      <c r="AD767">
        <f ca="1">IF(V32="Supercritical",L767,IF(V32="Subcritical",U767,IF(AND(T767=1,AC767=1),IF((((F767)*(L767)^2)/2+(G767)*(L767)^3/3+(ABS(K767)^2)/($I$5*MAX(((F767)+(G767)*(L767))*(L767),0.000001)))&gt;=(((F767)*(U767)^2)/2+(G767)*(U767)^3/3+(ABS(K767)^2)/($I$5*MAX(((F767)+(G767)*(U767))*(U767),0.000001))),L767,U767),IF(T767=1,L767,IF(AC767=1,U767,MAX($D$16,POWER((ABS(K767)^2)/($I$5*MAX(F767,0.1)^2),1/3)))))))</f>
        <v>51800.26683766341</v>
      </c>
      <c r="AE767">
        <f t="shared" ca="1" si="332"/>
        <v>52432.520337663409</v>
      </c>
      <c r="AF767">
        <f t="shared" ca="1" si="333"/>
        <v>52432.520337665235</v>
      </c>
      <c r="AI767">
        <v>0</v>
      </c>
      <c r="AJ767">
        <v>0</v>
      </c>
      <c r="AK767">
        <f t="shared" si="334"/>
        <v>0</v>
      </c>
      <c r="AL767">
        <f t="shared" si="343"/>
        <v>0</v>
      </c>
      <c r="AM767">
        <f t="shared" ca="1" si="335"/>
        <v>2.6560383008097266E-7</v>
      </c>
      <c r="AN767" t="str">
        <f t="shared" ca="1" si="336"/>
        <v>Subcritical</v>
      </c>
      <c r="AO767">
        <f t="shared" ca="1" si="337"/>
        <v>2.2562304480281055E-12</v>
      </c>
    </row>
    <row r="768" spans="1:41" x14ac:dyDescent="0.35">
      <c r="A768">
        <v>619</v>
      </c>
      <c r="B768">
        <v>617.89499999999998</v>
      </c>
      <c r="C768">
        <v>616148.41200000001</v>
      </c>
      <c r="D768">
        <v>3097372.8470000001</v>
      </c>
      <c r="E768">
        <v>632.25300000000004</v>
      </c>
      <c r="F768">
        <v>5.2</v>
      </c>
      <c r="G768">
        <v>0</v>
      </c>
      <c r="H768" t="s">
        <v>186</v>
      </c>
      <c r="I768">
        <v>0</v>
      </c>
      <c r="J768">
        <f t="shared" si="338"/>
        <v>0.99900000000002365</v>
      </c>
      <c r="K768">
        <f t="shared" si="339"/>
        <v>51</v>
      </c>
      <c r="L768">
        <f t="shared" ca="1" si="340"/>
        <v>51797.843837663619</v>
      </c>
      <c r="M768">
        <f t="shared" ca="1" si="317"/>
        <v>269348.78795585083</v>
      </c>
      <c r="N768">
        <f t="shared" ca="1" si="318"/>
        <v>2.5998694991876676</v>
      </c>
      <c r="O768">
        <f t="shared" ca="1" si="319"/>
        <v>1.8934557080078435E-4</v>
      </c>
      <c r="P768">
        <f t="shared" ca="1" si="320"/>
        <v>52430.096837663616</v>
      </c>
      <c r="Q768">
        <f t="shared" ca="1" si="321"/>
        <v>52430.096837665442</v>
      </c>
      <c r="R768">
        <f t="shared" ca="1" si="322"/>
        <v>2.2564415439646509E-12</v>
      </c>
      <c r="S768">
        <f t="shared" ca="1" si="341"/>
        <v>5.0000000192085281E-4</v>
      </c>
      <c r="T768">
        <f t="shared" ca="1" si="342"/>
        <v>1</v>
      </c>
      <c r="U768">
        <f t="shared" ca="1" si="323"/>
        <v>51800.26683766341</v>
      </c>
      <c r="V768">
        <f t="shared" ca="1" si="324"/>
        <v>269361.38755584974</v>
      </c>
      <c r="W768">
        <f t="shared" ca="1" si="325"/>
        <v>2.5998695052916441</v>
      </c>
      <c r="X768">
        <f t="shared" ca="1" si="326"/>
        <v>1.8933671400629237E-4</v>
      </c>
      <c r="Y768">
        <f t="shared" ca="1" si="327"/>
        <v>52432.519837663407</v>
      </c>
      <c r="Z768">
        <f t="shared" ca="1" si="328"/>
        <v>52432.519837665233</v>
      </c>
      <c r="AA768">
        <f t="shared" ca="1" si="329"/>
        <v>2.2562304480281055E-12</v>
      </c>
      <c r="AB768">
        <f t="shared" ca="1" si="330"/>
        <v>-4.999999946448952E-4</v>
      </c>
      <c r="AC768">
        <f t="shared" ca="1" si="331"/>
        <v>1</v>
      </c>
      <c r="AD768">
        <f ca="1">IF(V32="Supercritical",L768,IF(V32="Subcritical",U768,IF(AND(T768=1,AC768=1),IF((((F768)*(L768)^2)/2+(G768)*(L768)^3/3+(ABS(K768)^2)/($I$5*MAX(((F768)+(G768)*(L768))*(L768),0.000001)))&gt;=(((F768)*(U768)^2)/2+(G768)*(U768)^3/3+(ABS(K768)^2)/($I$5*MAX(((F768)+(G768)*(U768))*(U768),0.000001))),L768,U768),IF(T768=1,L768,IF(AC768=1,U768,MAX($D$16,POWER((ABS(K768)^2)/($I$5*MAX(F768,0.1)^2),1/3)))))))</f>
        <v>51800.26683766341</v>
      </c>
      <c r="AE768">
        <f t="shared" ca="1" si="332"/>
        <v>52432.519837663407</v>
      </c>
      <c r="AF768">
        <f t="shared" ca="1" si="333"/>
        <v>52432.519837665233</v>
      </c>
      <c r="AI768">
        <v>0</v>
      </c>
      <c r="AJ768">
        <v>0</v>
      </c>
      <c r="AK768">
        <f t="shared" si="334"/>
        <v>0</v>
      </c>
      <c r="AL768">
        <f t="shared" si="343"/>
        <v>0</v>
      </c>
      <c r="AM768">
        <f t="shared" ca="1" si="335"/>
        <v>2.6560383008097266E-7</v>
      </c>
      <c r="AN768" t="str">
        <f t="shared" ca="1" si="336"/>
        <v>Subcritical</v>
      </c>
      <c r="AO768">
        <f t="shared" ca="1" si="337"/>
        <v>2.2562304480281055E-12</v>
      </c>
    </row>
    <row r="769" spans="1:41" x14ac:dyDescent="0.35">
      <c r="A769">
        <v>620</v>
      </c>
      <c r="B769">
        <v>618.89499999999998</v>
      </c>
      <c r="C769">
        <v>616147.93799999997</v>
      </c>
      <c r="D769">
        <v>3097371.9670000002</v>
      </c>
      <c r="E769">
        <v>632.25250000000005</v>
      </c>
      <c r="F769">
        <v>5.2</v>
      </c>
      <c r="G769">
        <v>0</v>
      </c>
      <c r="H769" t="s">
        <v>186</v>
      </c>
      <c r="I769">
        <v>2.3E-2</v>
      </c>
      <c r="J769">
        <f t="shared" si="338"/>
        <v>1</v>
      </c>
      <c r="K769">
        <f t="shared" si="339"/>
        <v>51</v>
      </c>
      <c r="L769">
        <f t="shared" ca="1" si="340"/>
        <v>51797.843837663619</v>
      </c>
      <c r="M769">
        <f t="shared" ca="1" si="317"/>
        <v>269348.78795585083</v>
      </c>
      <c r="N769">
        <f t="shared" ca="1" si="318"/>
        <v>2.5998694991876676</v>
      </c>
      <c r="O769">
        <f t="shared" ca="1" si="319"/>
        <v>1.8934557080078435E-4</v>
      </c>
      <c r="P769">
        <f t="shared" ca="1" si="320"/>
        <v>52430.096337663621</v>
      </c>
      <c r="Q769">
        <f t="shared" ca="1" si="321"/>
        <v>52430.096337665447</v>
      </c>
      <c r="R769">
        <f t="shared" ca="1" si="322"/>
        <v>2.2564415439646509E-12</v>
      </c>
      <c r="S769">
        <f t="shared" ca="1" si="341"/>
        <v>4.999999946448952E-4</v>
      </c>
      <c r="T769">
        <f t="shared" ca="1" si="342"/>
        <v>1</v>
      </c>
      <c r="U769">
        <f t="shared" ca="1" si="323"/>
        <v>51800.26683766341</v>
      </c>
      <c r="V769">
        <f t="shared" ca="1" si="324"/>
        <v>269361.38755584974</v>
      </c>
      <c r="W769">
        <f t="shared" ca="1" si="325"/>
        <v>2.5998695052916441</v>
      </c>
      <c r="X769">
        <f t="shared" ca="1" si="326"/>
        <v>1.8933671400629237E-4</v>
      </c>
      <c r="Y769">
        <f t="shared" ca="1" si="327"/>
        <v>52432.519337663412</v>
      </c>
      <c r="Z769">
        <f t="shared" ca="1" si="328"/>
        <v>52432.519337665239</v>
      </c>
      <c r="AA769">
        <f t="shared" ca="1" si="329"/>
        <v>2.2562304480281055E-12</v>
      </c>
      <c r="AB769">
        <f t="shared" ca="1" si="330"/>
        <v>-5.0000000192085281E-4</v>
      </c>
      <c r="AC769">
        <f t="shared" ca="1" si="331"/>
        <v>1</v>
      </c>
      <c r="AD769">
        <f ca="1">IF(V32="Supercritical",L769,IF(V32="Subcritical",U769,IF(AND(T769=1,AC769=1),IF((((F769)*(L769)^2)/2+(G769)*(L769)^3/3+(ABS(K769)^2)/($I$5*MAX(((F769)+(G769)*(L769))*(L769),0.000001)))&gt;=(((F769)*(U769)^2)/2+(G769)*(U769)^3/3+(ABS(K769)^2)/($I$5*MAX(((F769)+(G769)*(U769))*(U769),0.000001))),L769,U769),IF(T769=1,L769,IF(AC769=1,U769,MAX($D$16,POWER((ABS(K769)^2)/($I$5*MAX(F769,0.1)^2),1/3)))))))</f>
        <v>51800.26683766341</v>
      </c>
      <c r="AE769">
        <f t="shared" ca="1" si="332"/>
        <v>52432.519337663412</v>
      </c>
      <c r="AF769">
        <f t="shared" ca="1" si="333"/>
        <v>52432.519337665239</v>
      </c>
      <c r="AI769">
        <v>0</v>
      </c>
      <c r="AJ769">
        <v>0</v>
      </c>
      <c r="AK769">
        <f t="shared" si="334"/>
        <v>0</v>
      </c>
      <c r="AL769">
        <f t="shared" si="343"/>
        <v>0</v>
      </c>
      <c r="AM769">
        <f t="shared" ca="1" si="335"/>
        <v>2.6560383008097266E-7</v>
      </c>
      <c r="AN769" t="str">
        <f t="shared" ca="1" si="336"/>
        <v>Subcritical</v>
      </c>
      <c r="AO769">
        <f t="shared" ca="1" si="337"/>
        <v>2.2562304480281055E-12</v>
      </c>
    </row>
    <row r="770" spans="1:41" x14ac:dyDescent="0.35">
      <c r="A770">
        <v>621</v>
      </c>
      <c r="B770">
        <v>619.89599999999996</v>
      </c>
      <c r="C770">
        <v>616147.46299999999</v>
      </c>
      <c r="D770">
        <v>3097371.0860000001</v>
      </c>
      <c r="E770">
        <v>632.25199999999995</v>
      </c>
      <c r="F770">
        <v>5.2</v>
      </c>
      <c r="G770">
        <v>0</v>
      </c>
      <c r="H770" t="s">
        <v>186</v>
      </c>
      <c r="I770">
        <v>2.3E-2</v>
      </c>
      <c r="J770">
        <f t="shared" si="338"/>
        <v>1.0009999999999764</v>
      </c>
      <c r="K770">
        <f t="shared" si="339"/>
        <v>51</v>
      </c>
      <c r="L770">
        <f t="shared" ca="1" si="340"/>
        <v>51797.843837663619</v>
      </c>
      <c r="M770">
        <f t="shared" ca="1" si="317"/>
        <v>269348.78795585083</v>
      </c>
      <c r="N770">
        <f t="shared" ca="1" si="318"/>
        <v>2.5998694991876676</v>
      </c>
      <c r="O770">
        <f t="shared" ca="1" si="319"/>
        <v>1.8934557080078435E-4</v>
      </c>
      <c r="P770">
        <f t="shared" ca="1" si="320"/>
        <v>52430.095837663619</v>
      </c>
      <c r="Q770">
        <f t="shared" ca="1" si="321"/>
        <v>52430.095837665445</v>
      </c>
      <c r="R770">
        <f t="shared" ca="1" si="322"/>
        <v>2.2564415439646509E-12</v>
      </c>
      <c r="S770">
        <f t="shared" ca="1" si="341"/>
        <v>5.0000000192085281E-4</v>
      </c>
      <c r="T770">
        <f t="shared" ca="1" si="342"/>
        <v>1</v>
      </c>
      <c r="U770">
        <f t="shared" ca="1" si="323"/>
        <v>51800.26683766341</v>
      </c>
      <c r="V770">
        <f t="shared" ca="1" si="324"/>
        <v>269361.38755584974</v>
      </c>
      <c r="W770">
        <f t="shared" ca="1" si="325"/>
        <v>2.5998695052916441</v>
      </c>
      <c r="X770">
        <f t="shared" ca="1" si="326"/>
        <v>1.8933671400629237E-4</v>
      </c>
      <c r="Y770">
        <f t="shared" ca="1" si="327"/>
        <v>52432.518837663411</v>
      </c>
      <c r="Z770">
        <f t="shared" ca="1" si="328"/>
        <v>52432.518837665237</v>
      </c>
      <c r="AA770">
        <f t="shared" ca="1" si="329"/>
        <v>2.2562304480281055E-12</v>
      </c>
      <c r="AB770">
        <f t="shared" ca="1" si="330"/>
        <v>-5.0000000192085281E-4</v>
      </c>
      <c r="AC770">
        <f t="shared" ca="1" si="331"/>
        <v>1</v>
      </c>
      <c r="AD770">
        <f ca="1">IF(V32="Supercritical",L770,IF(V32="Subcritical",U770,IF(AND(T770=1,AC770=1),IF((((F770)*(L770)^2)/2+(G770)*(L770)^3/3+(ABS(K770)^2)/($I$5*MAX(((F770)+(G770)*(L770))*(L770),0.000001)))&gt;=(((F770)*(U770)^2)/2+(G770)*(U770)^3/3+(ABS(K770)^2)/($I$5*MAX(((F770)+(G770)*(U770))*(U770),0.000001))),L770,U770),IF(T770=1,L770,IF(AC770=1,U770,MAX($D$16,POWER((ABS(K770)^2)/($I$5*MAX(F770,0.1)^2),1/3)))))))</f>
        <v>51800.26683766341</v>
      </c>
      <c r="AE770">
        <f t="shared" ca="1" si="332"/>
        <v>52432.518837663411</v>
      </c>
      <c r="AF770">
        <f t="shared" ca="1" si="333"/>
        <v>52432.518837665237</v>
      </c>
      <c r="AI770">
        <v>0</v>
      </c>
      <c r="AJ770">
        <v>0</v>
      </c>
      <c r="AK770">
        <f t="shared" si="334"/>
        <v>0</v>
      </c>
      <c r="AL770">
        <f t="shared" si="343"/>
        <v>0</v>
      </c>
      <c r="AM770">
        <f t="shared" ca="1" si="335"/>
        <v>2.6560383008097266E-7</v>
      </c>
      <c r="AN770" t="str">
        <f t="shared" ca="1" si="336"/>
        <v>Subcritical</v>
      </c>
      <c r="AO770">
        <f t="shared" ca="1" si="337"/>
        <v>2.2562304480281055E-12</v>
      </c>
    </row>
    <row r="771" spans="1:41" x14ac:dyDescent="0.35">
      <c r="A771">
        <v>622</v>
      </c>
      <c r="B771">
        <v>620.89499999999998</v>
      </c>
      <c r="C771">
        <v>616146.98899999994</v>
      </c>
      <c r="D771">
        <v>3097370.2059999998</v>
      </c>
      <c r="E771">
        <v>632.25149999999996</v>
      </c>
      <c r="F771">
        <v>5.2</v>
      </c>
      <c r="G771">
        <v>0</v>
      </c>
      <c r="H771" t="s">
        <v>186</v>
      </c>
      <c r="I771">
        <v>2.7E-2</v>
      </c>
      <c r="J771">
        <f t="shared" si="338"/>
        <v>0.99900000000002365</v>
      </c>
      <c r="K771">
        <f t="shared" si="339"/>
        <v>51</v>
      </c>
      <c r="L771">
        <f t="shared" ca="1" si="340"/>
        <v>51797.843837663619</v>
      </c>
      <c r="M771">
        <f t="shared" ca="1" si="317"/>
        <v>269348.78795585083</v>
      </c>
      <c r="N771">
        <f t="shared" ca="1" si="318"/>
        <v>2.5998694991876676</v>
      </c>
      <c r="O771">
        <f t="shared" ca="1" si="319"/>
        <v>1.8934557080078435E-4</v>
      </c>
      <c r="P771">
        <f t="shared" ca="1" si="320"/>
        <v>52430.095337663617</v>
      </c>
      <c r="Q771">
        <f t="shared" ca="1" si="321"/>
        <v>52430.095337665443</v>
      </c>
      <c r="R771">
        <f t="shared" ca="1" si="322"/>
        <v>2.2564415439646509E-12</v>
      </c>
      <c r="S771">
        <f t="shared" ca="1" si="341"/>
        <v>5.0000000192085281E-4</v>
      </c>
      <c r="T771">
        <f t="shared" ca="1" si="342"/>
        <v>1</v>
      </c>
      <c r="U771">
        <f t="shared" ca="1" si="323"/>
        <v>51800.26683766341</v>
      </c>
      <c r="V771">
        <f t="shared" ca="1" si="324"/>
        <v>269361.38755584974</v>
      </c>
      <c r="W771">
        <f t="shared" ca="1" si="325"/>
        <v>2.5998695052916441</v>
      </c>
      <c r="X771">
        <f t="shared" ca="1" si="326"/>
        <v>1.8933671400629237E-4</v>
      </c>
      <c r="Y771">
        <f t="shared" ca="1" si="327"/>
        <v>52432.518337663409</v>
      </c>
      <c r="Z771">
        <f t="shared" ca="1" si="328"/>
        <v>52432.518337665235</v>
      </c>
      <c r="AA771">
        <f t="shared" ca="1" si="329"/>
        <v>2.2562304480281055E-12</v>
      </c>
      <c r="AB771">
        <f t="shared" ca="1" si="330"/>
        <v>-5.0000000192085281E-4</v>
      </c>
      <c r="AC771">
        <f t="shared" ca="1" si="331"/>
        <v>1</v>
      </c>
      <c r="AD771">
        <f ca="1">IF(V32="Supercritical",L771,IF(V32="Subcritical",U771,IF(AND(T771=1,AC771=1),IF((((F771)*(L771)^2)/2+(G771)*(L771)^3/3+(ABS(K771)^2)/($I$5*MAX(((F771)+(G771)*(L771))*(L771),0.000001)))&gt;=(((F771)*(U771)^2)/2+(G771)*(U771)^3/3+(ABS(K771)^2)/($I$5*MAX(((F771)+(G771)*(U771))*(U771),0.000001))),L771,U771),IF(T771=1,L771,IF(AC771=1,U771,MAX($D$16,POWER((ABS(K771)^2)/($I$5*MAX(F771,0.1)^2),1/3)))))))</f>
        <v>51800.26683766341</v>
      </c>
      <c r="AE771">
        <f t="shared" ca="1" si="332"/>
        <v>52432.518337663409</v>
      </c>
      <c r="AF771">
        <f t="shared" ca="1" si="333"/>
        <v>52432.518337665235</v>
      </c>
      <c r="AI771">
        <v>0</v>
      </c>
      <c r="AJ771">
        <v>0</v>
      </c>
      <c r="AK771">
        <f t="shared" si="334"/>
        <v>0</v>
      </c>
      <c r="AL771">
        <f t="shared" si="343"/>
        <v>0</v>
      </c>
      <c r="AM771">
        <f t="shared" ca="1" si="335"/>
        <v>2.6560383008097266E-7</v>
      </c>
      <c r="AN771" t="str">
        <f t="shared" ca="1" si="336"/>
        <v>Subcritical</v>
      </c>
      <c r="AO771">
        <f t="shared" ca="1" si="337"/>
        <v>2.2562304480281055E-12</v>
      </c>
    </row>
    <row r="772" spans="1:41" x14ac:dyDescent="0.35">
      <c r="A772">
        <v>623</v>
      </c>
      <c r="B772">
        <v>621.89599999999996</v>
      </c>
      <c r="C772">
        <v>616146.51500000001</v>
      </c>
      <c r="D772">
        <v>3097369.3250000002</v>
      </c>
      <c r="E772">
        <v>632.25099999999998</v>
      </c>
      <c r="F772">
        <v>5.2</v>
      </c>
      <c r="G772">
        <v>0</v>
      </c>
      <c r="H772" t="s">
        <v>186</v>
      </c>
      <c r="I772">
        <v>2.7E-2</v>
      </c>
      <c r="J772">
        <f t="shared" si="338"/>
        <v>1.0009999999999764</v>
      </c>
      <c r="K772">
        <f t="shared" si="339"/>
        <v>51</v>
      </c>
      <c r="L772">
        <f t="shared" ca="1" si="340"/>
        <v>51797.843837663619</v>
      </c>
      <c r="M772">
        <f t="shared" ca="1" si="317"/>
        <v>269348.78795585083</v>
      </c>
      <c r="N772">
        <f t="shared" ca="1" si="318"/>
        <v>2.5998694991876676</v>
      </c>
      <c r="O772">
        <f t="shared" ca="1" si="319"/>
        <v>1.8934557080078435E-4</v>
      </c>
      <c r="P772">
        <f t="shared" ca="1" si="320"/>
        <v>52430.094837663615</v>
      </c>
      <c r="Q772">
        <f t="shared" ca="1" si="321"/>
        <v>52430.094837665441</v>
      </c>
      <c r="R772">
        <f t="shared" ca="1" si="322"/>
        <v>2.2564415439646509E-12</v>
      </c>
      <c r="S772">
        <f t="shared" ca="1" si="341"/>
        <v>5.0000000192085281E-4</v>
      </c>
      <c r="T772">
        <f t="shared" ca="1" si="342"/>
        <v>1</v>
      </c>
      <c r="U772">
        <f t="shared" ca="1" si="323"/>
        <v>51800.26683766341</v>
      </c>
      <c r="V772">
        <f t="shared" ca="1" si="324"/>
        <v>269361.38755584974</v>
      </c>
      <c r="W772">
        <f t="shared" ca="1" si="325"/>
        <v>2.5998695052916441</v>
      </c>
      <c r="X772">
        <f t="shared" ca="1" si="326"/>
        <v>1.8933671400629237E-4</v>
      </c>
      <c r="Y772">
        <f t="shared" ca="1" si="327"/>
        <v>52432.517837663407</v>
      </c>
      <c r="Z772">
        <f t="shared" ca="1" si="328"/>
        <v>52432.517837665233</v>
      </c>
      <c r="AA772">
        <f t="shared" ca="1" si="329"/>
        <v>2.2562304480281055E-12</v>
      </c>
      <c r="AB772">
        <f t="shared" ca="1" si="330"/>
        <v>-4.999999946448952E-4</v>
      </c>
      <c r="AC772">
        <f t="shared" ca="1" si="331"/>
        <v>1</v>
      </c>
      <c r="AD772">
        <f ca="1">IF(V32="Supercritical",L772,IF(V32="Subcritical",U772,IF(AND(T772=1,AC772=1),IF((((F772)*(L772)^2)/2+(G772)*(L772)^3/3+(ABS(K772)^2)/($I$5*MAX(((F772)+(G772)*(L772))*(L772),0.000001)))&gt;=(((F772)*(U772)^2)/2+(G772)*(U772)^3/3+(ABS(K772)^2)/($I$5*MAX(((F772)+(G772)*(U772))*(U772),0.000001))),L772,U772),IF(T772=1,L772,IF(AC772=1,U772,MAX($D$16,POWER((ABS(K772)^2)/($I$5*MAX(F772,0.1)^2),1/3)))))))</f>
        <v>51800.26683766341</v>
      </c>
      <c r="AE772">
        <f t="shared" ca="1" si="332"/>
        <v>52432.517837663407</v>
      </c>
      <c r="AF772">
        <f t="shared" ca="1" si="333"/>
        <v>52432.517837665233</v>
      </c>
      <c r="AI772">
        <v>0</v>
      </c>
      <c r="AJ772">
        <v>0</v>
      </c>
      <c r="AK772">
        <f t="shared" si="334"/>
        <v>0</v>
      </c>
      <c r="AL772">
        <f t="shared" si="343"/>
        <v>0</v>
      </c>
      <c r="AM772">
        <f t="shared" ca="1" si="335"/>
        <v>2.6560383008097266E-7</v>
      </c>
      <c r="AN772" t="str">
        <f t="shared" ca="1" si="336"/>
        <v>Subcritical</v>
      </c>
      <c r="AO772">
        <f t="shared" ca="1" si="337"/>
        <v>2.2562304480281055E-12</v>
      </c>
    </row>
    <row r="773" spans="1:41" x14ac:dyDescent="0.35">
      <c r="A773">
        <v>624</v>
      </c>
      <c r="B773">
        <v>622.89499999999998</v>
      </c>
      <c r="C773">
        <v>616146.04099999997</v>
      </c>
      <c r="D773">
        <v>3097368.4449999998</v>
      </c>
      <c r="E773">
        <v>632.25049999999999</v>
      </c>
      <c r="F773">
        <v>5.2</v>
      </c>
      <c r="G773">
        <v>0</v>
      </c>
      <c r="H773" t="s">
        <v>186</v>
      </c>
      <c r="I773">
        <v>0.05</v>
      </c>
      <c r="J773">
        <f t="shared" si="338"/>
        <v>0.99900000000002365</v>
      </c>
      <c r="K773">
        <f t="shared" si="339"/>
        <v>51</v>
      </c>
      <c r="L773">
        <f t="shared" ca="1" si="340"/>
        <v>51797.843837663619</v>
      </c>
      <c r="M773">
        <f t="shared" ca="1" si="317"/>
        <v>269348.78795585083</v>
      </c>
      <c r="N773">
        <f t="shared" ca="1" si="318"/>
        <v>2.5998694991876676</v>
      </c>
      <c r="O773">
        <f t="shared" ca="1" si="319"/>
        <v>1.8934557080078435E-4</v>
      </c>
      <c r="P773">
        <f t="shared" ca="1" si="320"/>
        <v>52430.094337663621</v>
      </c>
      <c r="Q773">
        <f t="shared" ca="1" si="321"/>
        <v>52430.094337665447</v>
      </c>
      <c r="R773">
        <f t="shared" ca="1" si="322"/>
        <v>2.2564415439646509E-12</v>
      </c>
      <c r="S773">
        <f t="shared" ca="1" si="341"/>
        <v>4.999999946448952E-4</v>
      </c>
      <c r="T773">
        <f t="shared" ca="1" si="342"/>
        <v>1</v>
      </c>
      <c r="U773">
        <f t="shared" ca="1" si="323"/>
        <v>51800.26683766341</v>
      </c>
      <c r="V773">
        <f t="shared" ca="1" si="324"/>
        <v>269361.38755584974</v>
      </c>
      <c r="W773">
        <f t="shared" ca="1" si="325"/>
        <v>2.5998695052916441</v>
      </c>
      <c r="X773">
        <f t="shared" ca="1" si="326"/>
        <v>1.8933671400629237E-4</v>
      </c>
      <c r="Y773">
        <f t="shared" ca="1" si="327"/>
        <v>52432.517337663412</v>
      </c>
      <c r="Z773">
        <f t="shared" ca="1" si="328"/>
        <v>52432.517337665238</v>
      </c>
      <c r="AA773">
        <f t="shared" ca="1" si="329"/>
        <v>2.2562304480281055E-12</v>
      </c>
      <c r="AB773">
        <f t="shared" ca="1" si="330"/>
        <v>-5.0000000192085281E-4</v>
      </c>
      <c r="AC773">
        <f t="shared" ca="1" si="331"/>
        <v>1</v>
      </c>
      <c r="AD773">
        <f ca="1">IF(V32="Supercritical",L773,IF(V32="Subcritical",U773,IF(AND(T773=1,AC773=1),IF((((F773)*(L773)^2)/2+(G773)*(L773)^3/3+(ABS(K773)^2)/($I$5*MAX(((F773)+(G773)*(L773))*(L773),0.000001)))&gt;=(((F773)*(U773)^2)/2+(G773)*(U773)^3/3+(ABS(K773)^2)/($I$5*MAX(((F773)+(G773)*(U773))*(U773),0.000001))),L773,U773),IF(T773=1,L773,IF(AC773=1,U773,MAX($D$16,POWER((ABS(K773)^2)/($I$5*MAX(F773,0.1)^2),1/3)))))))</f>
        <v>51800.26683766341</v>
      </c>
      <c r="AE773">
        <f t="shared" ca="1" si="332"/>
        <v>52432.517337663412</v>
      </c>
      <c r="AF773">
        <f t="shared" ca="1" si="333"/>
        <v>52432.517337665238</v>
      </c>
      <c r="AI773">
        <v>0</v>
      </c>
      <c r="AJ773">
        <v>0</v>
      </c>
      <c r="AK773">
        <f t="shared" si="334"/>
        <v>0</v>
      </c>
      <c r="AL773">
        <f t="shared" si="343"/>
        <v>0</v>
      </c>
      <c r="AM773">
        <f t="shared" ca="1" si="335"/>
        <v>2.6560383008097266E-7</v>
      </c>
      <c r="AN773" t="str">
        <f t="shared" ca="1" si="336"/>
        <v>Subcritical</v>
      </c>
      <c r="AO773">
        <f t="shared" ca="1" si="337"/>
        <v>2.2562304480281055E-12</v>
      </c>
    </row>
    <row r="774" spans="1:41" x14ac:dyDescent="0.35">
      <c r="A774">
        <v>625</v>
      </c>
      <c r="B774">
        <v>623.89499999999998</v>
      </c>
      <c r="C774">
        <v>616145.56599999999</v>
      </c>
      <c r="D774">
        <v>3097367.5649999999</v>
      </c>
      <c r="E774">
        <v>632.25</v>
      </c>
      <c r="F774">
        <v>5.2</v>
      </c>
      <c r="G774">
        <v>0</v>
      </c>
      <c r="H774" t="s">
        <v>186</v>
      </c>
      <c r="I774">
        <v>7.8E-2</v>
      </c>
      <c r="J774">
        <f t="shared" si="338"/>
        <v>1</v>
      </c>
      <c r="K774">
        <f t="shared" si="339"/>
        <v>51</v>
      </c>
      <c r="L774">
        <f t="shared" ca="1" si="340"/>
        <v>51797.843837663619</v>
      </c>
      <c r="M774">
        <f t="shared" ca="1" si="317"/>
        <v>269348.78795585083</v>
      </c>
      <c r="N774">
        <f t="shared" ca="1" si="318"/>
        <v>2.5998694991876676</v>
      </c>
      <c r="O774">
        <f t="shared" ca="1" si="319"/>
        <v>1.8934557080078435E-4</v>
      </c>
      <c r="P774">
        <f t="shared" ca="1" si="320"/>
        <v>52430.093837663619</v>
      </c>
      <c r="Q774">
        <f t="shared" ca="1" si="321"/>
        <v>52430.093837665445</v>
      </c>
      <c r="R774">
        <f t="shared" ca="1" si="322"/>
        <v>2.2564415439646509E-12</v>
      </c>
      <c r="S774">
        <f t="shared" ca="1" si="341"/>
        <v>5.0000000192085281E-4</v>
      </c>
      <c r="T774">
        <f t="shared" ca="1" si="342"/>
        <v>1</v>
      </c>
      <c r="U774">
        <f t="shared" ca="1" si="323"/>
        <v>51800.26683766341</v>
      </c>
      <c r="V774">
        <f t="shared" ca="1" si="324"/>
        <v>269361.38755584974</v>
      </c>
      <c r="W774">
        <f t="shared" ca="1" si="325"/>
        <v>2.5998695052916441</v>
      </c>
      <c r="X774">
        <f t="shared" ca="1" si="326"/>
        <v>1.8933671400629237E-4</v>
      </c>
      <c r="Y774">
        <f t="shared" ca="1" si="327"/>
        <v>52432.51683766341</v>
      </c>
      <c r="Z774">
        <f t="shared" ca="1" si="328"/>
        <v>52432.516837665236</v>
      </c>
      <c r="AA774">
        <f t="shared" ca="1" si="329"/>
        <v>2.2562304480281055E-12</v>
      </c>
      <c r="AB774">
        <f t="shared" ca="1" si="330"/>
        <v>-5.0000000192085281E-4</v>
      </c>
      <c r="AC774">
        <f t="shared" ca="1" si="331"/>
        <v>1</v>
      </c>
      <c r="AD774">
        <f ca="1">IF(V32="Supercritical",L774,IF(V32="Subcritical",U774,IF(AND(T774=1,AC774=1),IF((((F774)*(L774)^2)/2+(G774)*(L774)^3/3+(ABS(K774)^2)/($I$5*MAX(((F774)+(G774)*(L774))*(L774),0.000001)))&gt;=(((F774)*(U774)^2)/2+(G774)*(U774)^3/3+(ABS(K774)^2)/($I$5*MAX(((F774)+(G774)*(U774))*(U774),0.000001))),L774,U774),IF(T774=1,L774,IF(AC774=1,U774,MAX($D$16,POWER((ABS(K774)^2)/($I$5*MAX(F774,0.1)^2),1/3)))))))</f>
        <v>51800.26683766341</v>
      </c>
      <c r="AE774">
        <f t="shared" ca="1" si="332"/>
        <v>52432.51683766341</v>
      </c>
      <c r="AF774">
        <f t="shared" ca="1" si="333"/>
        <v>52432.516837665236</v>
      </c>
      <c r="AI774">
        <v>0</v>
      </c>
      <c r="AJ774">
        <v>0</v>
      </c>
      <c r="AK774">
        <f t="shared" si="334"/>
        <v>0</v>
      </c>
      <c r="AL774">
        <f t="shared" si="343"/>
        <v>0</v>
      </c>
      <c r="AM774">
        <f t="shared" ca="1" si="335"/>
        <v>2.6560383008097266E-7</v>
      </c>
      <c r="AN774" t="str">
        <f t="shared" ca="1" si="336"/>
        <v>Subcritical</v>
      </c>
      <c r="AO774">
        <f t="shared" ca="1" si="337"/>
        <v>2.2562304480281055E-12</v>
      </c>
    </row>
    <row r="775" spans="1:41" x14ac:dyDescent="0.35">
      <c r="A775">
        <v>626</v>
      </c>
      <c r="B775">
        <v>624.89599999999996</v>
      </c>
      <c r="C775">
        <v>616145.09199999995</v>
      </c>
      <c r="D775">
        <v>3097366.6839999999</v>
      </c>
      <c r="E775">
        <v>632.24950000000001</v>
      </c>
      <c r="F775">
        <v>5.2</v>
      </c>
      <c r="G775">
        <v>0</v>
      </c>
      <c r="H775" t="s">
        <v>186</v>
      </c>
      <c r="I775">
        <v>2.7E-2</v>
      </c>
      <c r="J775">
        <f t="shared" si="338"/>
        <v>1.0009999999999764</v>
      </c>
      <c r="K775">
        <f t="shared" si="339"/>
        <v>51</v>
      </c>
      <c r="L775">
        <f t="shared" ca="1" si="340"/>
        <v>51797.843837663619</v>
      </c>
      <c r="M775">
        <f t="shared" ca="1" si="317"/>
        <v>269348.78795585083</v>
      </c>
      <c r="N775">
        <f t="shared" ca="1" si="318"/>
        <v>2.5998694991876676</v>
      </c>
      <c r="O775">
        <f t="shared" ca="1" si="319"/>
        <v>1.8934557080078435E-4</v>
      </c>
      <c r="P775">
        <f t="shared" ca="1" si="320"/>
        <v>52430.093337663617</v>
      </c>
      <c r="Q775">
        <f t="shared" ca="1" si="321"/>
        <v>52430.093337665443</v>
      </c>
      <c r="R775">
        <f t="shared" ca="1" si="322"/>
        <v>2.2564415439646509E-12</v>
      </c>
      <c r="S775">
        <f t="shared" ca="1" si="341"/>
        <v>5.0000000192085281E-4</v>
      </c>
      <c r="T775">
        <f t="shared" ca="1" si="342"/>
        <v>1</v>
      </c>
      <c r="U775">
        <f t="shared" ca="1" si="323"/>
        <v>51800.26683766341</v>
      </c>
      <c r="V775">
        <f t="shared" ca="1" si="324"/>
        <v>269361.38755584974</v>
      </c>
      <c r="W775">
        <f t="shared" ca="1" si="325"/>
        <v>2.5998695052916441</v>
      </c>
      <c r="X775">
        <f t="shared" ca="1" si="326"/>
        <v>1.8933671400629237E-4</v>
      </c>
      <c r="Y775">
        <f t="shared" ca="1" si="327"/>
        <v>52432.516337663408</v>
      </c>
      <c r="Z775">
        <f t="shared" ca="1" si="328"/>
        <v>52432.516337665234</v>
      </c>
      <c r="AA775">
        <f t="shared" ca="1" si="329"/>
        <v>2.2562304480281055E-12</v>
      </c>
      <c r="AB775">
        <f t="shared" ca="1" si="330"/>
        <v>-4.999999946448952E-4</v>
      </c>
      <c r="AC775">
        <f t="shared" ca="1" si="331"/>
        <v>1</v>
      </c>
      <c r="AD775">
        <f ca="1">IF(V32="Supercritical",L775,IF(V32="Subcritical",U775,IF(AND(T775=1,AC775=1),IF((((F775)*(L775)^2)/2+(G775)*(L775)^3/3+(ABS(K775)^2)/($I$5*MAX(((F775)+(G775)*(L775))*(L775),0.000001)))&gt;=(((F775)*(U775)^2)/2+(G775)*(U775)^3/3+(ABS(K775)^2)/($I$5*MAX(((F775)+(G775)*(U775))*(U775),0.000001))),L775,U775),IF(T775=1,L775,IF(AC775=1,U775,MAX($D$16,POWER((ABS(K775)^2)/($I$5*MAX(F775,0.1)^2),1/3)))))))</f>
        <v>51800.26683766341</v>
      </c>
      <c r="AE775">
        <f t="shared" ca="1" si="332"/>
        <v>52432.516337663408</v>
      </c>
      <c r="AF775">
        <f t="shared" ca="1" si="333"/>
        <v>52432.516337665234</v>
      </c>
      <c r="AI775">
        <v>0</v>
      </c>
      <c r="AJ775">
        <v>0</v>
      </c>
      <c r="AK775">
        <f t="shared" si="334"/>
        <v>0</v>
      </c>
      <c r="AL775">
        <f t="shared" si="343"/>
        <v>0</v>
      </c>
      <c r="AM775">
        <f t="shared" ca="1" si="335"/>
        <v>2.6560383008097266E-7</v>
      </c>
      <c r="AN775" t="str">
        <f t="shared" ca="1" si="336"/>
        <v>Subcritical</v>
      </c>
      <c r="AO775">
        <f t="shared" ca="1" si="337"/>
        <v>2.2562304480281055E-12</v>
      </c>
    </row>
    <row r="776" spans="1:41" x14ac:dyDescent="0.35">
      <c r="A776">
        <v>627</v>
      </c>
      <c r="B776">
        <v>625.89499999999998</v>
      </c>
      <c r="C776">
        <v>616144.61800000002</v>
      </c>
      <c r="D776">
        <v>3097365.804</v>
      </c>
      <c r="E776">
        <v>632.24900000000002</v>
      </c>
      <c r="F776">
        <v>5.2</v>
      </c>
      <c r="G776">
        <v>0</v>
      </c>
      <c r="H776" t="s">
        <v>186</v>
      </c>
      <c r="I776">
        <v>2.7E-2</v>
      </c>
      <c r="J776">
        <f t="shared" si="338"/>
        <v>0.99900000000002365</v>
      </c>
      <c r="K776">
        <f t="shared" si="339"/>
        <v>51</v>
      </c>
      <c r="L776">
        <f t="shared" ca="1" si="340"/>
        <v>51797.843837663619</v>
      </c>
      <c r="M776">
        <f t="shared" ca="1" si="317"/>
        <v>269348.78795585083</v>
      </c>
      <c r="N776">
        <f t="shared" ca="1" si="318"/>
        <v>2.5998694991876676</v>
      </c>
      <c r="O776">
        <f t="shared" ca="1" si="319"/>
        <v>1.8934557080078435E-4</v>
      </c>
      <c r="P776">
        <f t="shared" ca="1" si="320"/>
        <v>52430.092837663622</v>
      </c>
      <c r="Q776">
        <f t="shared" ca="1" si="321"/>
        <v>52430.092837665448</v>
      </c>
      <c r="R776">
        <f t="shared" ca="1" si="322"/>
        <v>2.2564415439646509E-12</v>
      </c>
      <c r="S776">
        <f t="shared" ca="1" si="341"/>
        <v>4.999999946448952E-4</v>
      </c>
      <c r="T776">
        <f t="shared" ca="1" si="342"/>
        <v>1</v>
      </c>
      <c r="U776">
        <f t="shared" ca="1" si="323"/>
        <v>51800.26683766341</v>
      </c>
      <c r="V776">
        <f t="shared" ca="1" si="324"/>
        <v>269361.38755584974</v>
      </c>
      <c r="W776">
        <f t="shared" ca="1" si="325"/>
        <v>2.5998695052916441</v>
      </c>
      <c r="X776">
        <f t="shared" ca="1" si="326"/>
        <v>1.8933671400629237E-4</v>
      </c>
      <c r="Y776">
        <f t="shared" ca="1" si="327"/>
        <v>52432.515837663414</v>
      </c>
      <c r="Z776">
        <f t="shared" ca="1" si="328"/>
        <v>52432.51583766524</v>
      </c>
      <c r="AA776">
        <f t="shared" ca="1" si="329"/>
        <v>2.2562304480281055E-12</v>
      </c>
      <c r="AB776">
        <f t="shared" ca="1" si="330"/>
        <v>-5.0000000192085281E-4</v>
      </c>
      <c r="AC776">
        <f t="shared" ca="1" si="331"/>
        <v>1</v>
      </c>
      <c r="AD776">
        <f ca="1">IF(V32="Supercritical",L776,IF(V32="Subcritical",U776,IF(AND(T776=1,AC776=1),IF((((F776)*(L776)^2)/2+(G776)*(L776)^3/3+(ABS(K776)^2)/($I$5*MAX(((F776)+(G776)*(L776))*(L776),0.000001)))&gt;=(((F776)*(U776)^2)/2+(G776)*(U776)^3/3+(ABS(K776)^2)/($I$5*MAX(((F776)+(G776)*(U776))*(U776),0.000001))),L776,U776),IF(T776=1,L776,IF(AC776=1,U776,MAX($D$16,POWER((ABS(K776)^2)/($I$5*MAX(F776,0.1)^2),1/3)))))))</f>
        <v>51800.26683766341</v>
      </c>
      <c r="AE776">
        <f t="shared" ca="1" si="332"/>
        <v>52432.515837663414</v>
      </c>
      <c r="AF776">
        <f t="shared" ca="1" si="333"/>
        <v>52432.51583766524</v>
      </c>
      <c r="AI776">
        <v>0</v>
      </c>
      <c r="AJ776">
        <v>0</v>
      </c>
      <c r="AK776">
        <f t="shared" si="334"/>
        <v>0</v>
      </c>
      <c r="AL776">
        <f t="shared" si="343"/>
        <v>0</v>
      </c>
      <c r="AM776">
        <f t="shared" ca="1" si="335"/>
        <v>2.6560383008097266E-7</v>
      </c>
      <c r="AN776" t="str">
        <f t="shared" ca="1" si="336"/>
        <v>Subcritical</v>
      </c>
      <c r="AO776">
        <f t="shared" ca="1" si="337"/>
        <v>2.2562304480281055E-12</v>
      </c>
    </row>
    <row r="777" spans="1:41" x14ac:dyDescent="0.35">
      <c r="A777">
        <v>628</v>
      </c>
      <c r="B777">
        <v>626.89599999999996</v>
      </c>
      <c r="C777">
        <v>616144.14399999997</v>
      </c>
      <c r="D777">
        <v>3097364.923</v>
      </c>
      <c r="E777">
        <v>632.24850000000004</v>
      </c>
      <c r="F777">
        <v>5.2</v>
      </c>
      <c r="G777">
        <v>0</v>
      </c>
      <c r="H777" t="s">
        <v>186</v>
      </c>
      <c r="I777">
        <v>2.7E-2</v>
      </c>
      <c r="J777">
        <f t="shared" si="338"/>
        <v>1.0009999999999764</v>
      </c>
      <c r="K777">
        <f t="shared" si="339"/>
        <v>51</v>
      </c>
      <c r="L777">
        <f t="shared" ca="1" si="340"/>
        <v>51797.843837663619</v>
      </c>
      <c r="M777">
        <f t="shared" ca="1" si="317"/>
        <v>269348.78795585083</v>
      </c>
      <c r="N777">
        <f t="shared" ca="1" si="318"/>
        <v>2.5998694991876676</v>
      </c>
      <c r="O777">
        <f t="shared" ca="1" si="319"/>
        <v>1.8934557080078435E-4</v>
      </c>
      <c r="P777">
        <f t="shared" ca="1" si="320"/>
        <v>52430.09233766362</v>
      </c>
      <c r="Q777">
        <f t="shared" ca="1" si="321"/>
        <v>52430.092337665446</v>
      </c>
      <c r="R777">
        <f t="shared" ca="1" si="322"/>
        <v>2.2564415439646509E-12</v>
      </c>
      <c r="S777">
        <f t="shared" ca="1" si="341"/>
        <v>5.0000000192085281E-4</v>
      </c>
      <c r="T777">
        <f t="shared" ca="1" si="342"/>
        <v>1</v>
      </c>
      <c r="U777">
        <f t="shared" ca="1" si="323"/>
        <v>51800.26683766341</v>
      </c>
      <c r="V777">
        <f t="shared" ca="1" si="324"/>
        <v>269361.38755584974</v>
      </c>
      <c r="W777">
        <f t="shared" ca="1" si="325"/>
        <v>2.5998695052916441</v>
      </c>
      <c r="X777">
        <f t="shared" ca="1" si="326"/>
        <v>1.8933671400629237E-4</v>
      </c>
      <c r="Y777">
        <f t="shared" ca="1" si="327"/>
        <v>52432.515337663412</v>
      </c>
      <c r="Z777">
        <f t="shared" ca="1" si="328"/>
        <v>52432.515337665238</v>
      </c>
      <c r="AA777">
        <f t="shared" ca="1" si="329"/>
        <v>2.2562304480281055E-12</v>
      </c>
      <c r="AB777">
        <f t="shared" ca="1" si="330"/>
        <v>-5.0000000192085281E-4</v>
      </c>
      <c r="AC777">
        <f t="shared" ca="1" si="331"/>
        <v>1</v>
      </c>
      <c r="AD777">
        <f ca="1">IF(V32="Supercritical",L777,IF(V32="Subcritical",U777,IF(AND(T777=1,AC777=1),IF((((F777)*(L777)^2)/2+(G777)*(L777)^3/3+(ABS(K777)^2)/($I$5*MAX(((F777)+(G777)*(L777))*(L777),0.000001)))&gt;=(((F777)*(U777)^2)/2+(G777)*(U777)^3/3+(ABS(K777)^2)/($I$5*MAX(((F777)+(G777)*(U777))*(U777),0.000001))),L777,U777),IF(T777=1,L777,IF(AC777=1,U777,MAX($D$16,POWER((ABS(K777)^2)/($I$5*MAX(F777,0.1)^2),1/3)))))))</f>
        <v>51800.26683766341</v>
      </c>
      <c r="AE777">
        <f t="shared" ca="1" si="332"/>
        <v>52432.515337663412</v>
      </c>
      <c r="AF777">
        <f t="shared" ca="1" si="333"/>
        <v>52432.515337665238</v>
      </c>
      <c r="AI777">
        <v>0</v>
      </c>
      <c r="AJ777">
        <v>0</v>
      </c>
      <c r="AK777">
        <f t="shared" si="334"/>
        <v>0</v>
      </c>
      <c r="AL777">
        <f t="shared" si="343"/>
        <v>0</v>
      </c>
      <c r="AM777">
        <f t="shared" ca="1" si="335"/>
        <v>2.6560383008097266E-7</v>
      </c>
      <c r="AN777" t="str">
        <f t="shared" ca="1" si="336"/>
        <v>Subcritical</v>
      </c>
      <c r="AO777">
        <f t="shared" ca="1" si="337"/>
        <v>2.2562304480281055E-12</v>
      </c>
    </row>
    <row r="778" spans="1:41" x14ac:dyDescent="0.35">
      <c r="A778">
        <v>629</v>
      </c>
      <c r="B778">
        <v>627.89499999999998</v>
      </c>
      <c r="C778">
        <v>616143.67000000004</v>
      </c>
      <c r="D778">
        <v>3097364.0430000001</v>
      </c>
      <c r="E778">
        <v>632.24800000000005</v>
      </c>
      <c r="F778">
        <v>5.2</v>
      </c>
      <c r="G778">
        <v>0</v>
      </c>
      <c r="H778" t="s">
        <v>186</v>
      </c>
      <c r="I778">
        <v>0.05</v>
      </c>
      <c r="J778">
        <f t="shared" si="338"/>
        <v>0.99900000000002365</v>
      </c>
      <c r="K778">
        <f t="shared" si="339"/>
        <v>51</v>
      </c>
      <c r="L778">
        <f t="shared" ca="1" si="340"/>
        <v>51797.843837663619</v>
      </c>
      <c r="M778">
        <f t="shared" ca="1" si="317"/>
        <v>269348.78795585083</v>
      </c>
      <c r="N778">
        <f t="shared" ca="1" si="318"/>
        <v>2.5998694991876676</v>
      </c>
      <c r="O778">
        <f t="shared" ca="1" si="319"/>
        <v>1.8934557080078435E-4</v>
      </c>
      <c r="P778">
        <f t="shared" ca="1" si="320"/>
        <v>52430.091837663618</v>
      </c>
      <c r="Q778">
        <f t="shared" ca="1" si="321"/>
        <v>52430.091837665444</v>
      </c>
      <c r="R778">
        <f t="shared" ca="1" si="322"/>
        <v>2.2564415439646509E-12</v>
      </c>
      <c r="S778">
        <f t="shared" ca="1" si="341"/>
        <v>5.0000000192085281E-4</v>
      </c>
      <c r="T778">
        <f t="shared" ca="1" si="342"/>
        <v>1</v>
      </c>
      <c r="U778">
        <f t="shared" ca="1" si="323"/>
        <v>51800.26683766341</v>
      </c>
      <c r="V778">
        <f t="shared" ca="1" si="324"/>
        <v>269361.38755584974</v>
      </c>
      <c r="W778">
        <f t="shared" ca="1" si="325"/>
        <v>2.5998695052916441</v>
      </c>
      <c r="X778">
        <f t="shared" ca="1" si="326"/>
        <v>1.8933671400629237E-4</v>
      </c>
      <c r="Y778">
        <f t="shared" ca="1" si="327"/>
        <v>52432.51483766341</v>
      </c>
      <c r="Z778">
        <f t="shared" ca="1" si="328"/>
        <v>52432.514837665236</v>
      </c>
      <c r="AA778">
        <f t="shared" ca="1" si="329"/>
        <v>2.2562304480281055E-12</v>
      </c>
      <c r="AB778">
        <f t="shared" ca="1" si="330"/>
        <v>-5.0000000192085281E-4</v>
      </c>
      <c r="AC778">
        <f t="shared" ca="1" si="331"/>
        <v>1</v>
      </c>
      <c r="AD778">
        <f ca="1">IF(V32="Supercritical",L778,IF(V32="Subcritical",U778,IF(AND(T778=1,AC778=1),IF((((F778)*(L778)^2)/2+(G778)*(L778)^3/3+(ABS(K778)^2)/($I$5*MAX(((F778)+(G778)*(L778))*(L778),0.000001)))&gt;=(((F778)*(U778)^2)/2+(G778)*(U778)^3/3+(ABS(K778)^2)/($I$5*MAX(((F778)+(G778)*(U778))*(U778),0.000001))),L778,U778),IF(T778=1,L778,IF(AC778=1,U778,MAX($D$16,POWER((ABS(K778)^2)/($I$5*MAX(F778,0.1)^2),1/3)))))))</f>
        <v>51800.26683766341</v>
      </c>
      <c r="AE778">
        <f t="shared" ca="1" si="332"/>
        <v>52432.51483766341</v>
      </c>
      <c r="AF778">
        <f t="shared" ca="1" si="333"/>
        <v>52432.514837665236</v>
      </c>
      <c r="AI778">
        <v>0</v>
      </c>
      <c r="AJ778">
        <v>0</v>
      </c>
      <c r="AK778">
        <f t="shared" si="334"/>
        <v>0</v>
      </c>
      <c r="AL778">
        <f t="shared" si="343"/>
        <v>0</v>
      </c>
      <c r="AM778">
        <f t="shared" ca="1" si="335"/>
        <v>2.6560383008097266E-7</v>
      </c>
      <c r="AN778" t="str">
        <f t="shared" ca="1" si="336"/>
        <v>Subcritical</v>
      </c>
      <c r="AO778">
        <f t="shared" ca="1" si="337"/>
        <v>2.2562304480281055E-12</v>
      </c>
    </row>
    <row r="779" spans="1:41" x14ac:dyDescent="0.35">
      <c r="A779">
        <v>630</v>
      </c>
      <c r="B779">
        <v>628.89499999999998</v>
      </c>
      <c r="C779">
        <v>616143.19499999995</v>
      </c>
      <c r="D779">
        <v>3097363.1630000002</v>
      </c>
      <c r="E779">
        <v>632.24749999999995</v>
      </c>
      <c r="F779">
        <v>5.2</v>
      </c>
      <c r="G779">
        <v>0</v>
      </c>
      <c r="H779" t="s">
        <v>186</v>
      </c>
      <c r="I779">
        <v>7.8E-2</v>
      </c>
      <c r="J779">
        <f t="shared" si="338"/>
        <v>1</v>
      </c>
      <c r="K779">
        <f t="shared" si="339"/>
        <v>51</v>
      </c>
      <c r="L779">
        <f t="shared" ca="1" si="340"/>
        <v>51797.843837663619</v>
      </c>
      <c r="M779">
        <f t="shared" ca="1" si="317"/>
        <v>269348.78795585083</v>
      </c>
      <c r="N779">
        <f t="shared" ca="1" si="318"/>
        <v>2.5998694991876676</v>
      </c>
      <c r="O779">
        <f t="shared" ca="1" si="319"/>
        <v>1.8934557080078435E-4</v>
      </c>
      <c r="P779">
        <f t="shared" ca="1" si="320"/>
        <v>52430.091337663616</v>
      </c>
      <c r="Q779">
        <f t="shared" ca="1" si="321"/>
        <v>52430.091337665443</v>
      </c>
      <c r="R779">
        <f t="shared" ca="1" si="322"/>
        <v>2.2564415439646509E-12</v>
      </c>
      <c r="S779">
        <f t="shared" ca="1" si="341"/>
        <v>5.0000000192085281E-4</v>
      </c>
      <c r="T779">
        <f t="shared" ca="1" si="342"/>
        <v>1</v>
      </c>
      <c r="U779">
        <f t="shared" ca="1" si="323"/>
        <v>51800.26683766341</v>
      </c>
      <c r="V779">
        <f t="shared" ca="1" si="324"/>
        <v>269361.38755584974</v>
      </c>
      <c r="W779">
        <f t="shared" ca="1" si="325"/>
        <v>2.5998695052916441</v>
      </c>
      <c r="X779">
        <f t="shared" ca="1" si="326"/>
        <v>1.8933671400629237E-4</v>
      </c>
      <c r="Y779">
        <f t="shared" ca="1" si="327"/>
        <v>52432.514337663408</v>
      </c>
      <c r="Z779">
        <f t="shared" ca="1" si="328"/>
        <v>52432.514337665234</v>
      </c>
      <c r="AA779">
        <f t="shared" ca="1" si="329"/>
        <v>2.2562304480281055E-12</v>
      </c>
      <c r="AB779">
        <f t="shared" ca="1" si="330"/>
        <v>-4.999999946448952E-4</v>
      </c>
      <c r="AC779">
        <f t="shared" ca="1" si="331"/>
        <v>1</v>
      </c>
      <c r="AD779">
        <f ca="1">IF(V32="Supercritical",L779,IF(V32="Subcritical",U779,IF(AND(T779=1,AC779=1),IF((((F779)*(L779)^2)/2+(G779)*(L779)^3/3+(ABS(K779)^2)/($I$5*MAX(((F779)+(G779)*(L779))*(L779),0.000001)))&gt;=(((F779)*(U779)^2)/2+(G779)*(U779)^3/3+(ABS(K779)^2)/($I$5*MAX(((F779)+(G779)*(U779))*(U779),0.000001))),L779,U779),IF(T779=1,L779,IF(AC779=1,U779,MAX($D$16,POWER((ABS(K779)^2)/($I$5*MAX(F779,0.1)^2),1/3)))))))</f>
        <v>51800.26683766341</v>
      </c>
      <c r="AE779">
        <f t="shared" ca="1" si="332"/>
        <v>52432.514337663408</v>
      </c>
      <c r="AF779">
        <f t="shared" ca="1" si="333"/>
        <v>52432.514337665234</v>
      </c>
      <c r="AI779">
        <v>0</v>
      </c>
      <c r="AJ779">
        <v>0</v>
      </c>
      <c r="AK779">
        <f t="shared" si="334"/>
        <v>0</v>
      </c>
      <c r="AL779">
        <f t="shared" si="343"/>
        <v>0</v>
      </c>
      <c r="AM779">
        <f t="shared" ca="1" si="335"/>
        <v>2.6560383008097266E-7</v>
      </c>
      <c r="AN779" t="str">
        <f t="shared" ca="1" si="336"/>
        <v>Subcritical</v>
      </c>
      <c r="AO779">
        <f t="shared" ca="1" si="337"/>
        <v>2.2562304480281055E-12</v>
      </c>
    </row>
    <row r="780" spans="1:41" x14ac:dyDescent="0.35">
      <c r="A780">
        <v>631</v>
      </c>
      <c r="B780">
        <v>629.89499999999998</v>
      </c>
      <c r="C780">
        <v>616142.72100000002</v>
      </c>
      <c r="D780">
        <v>3097362.2820000001</v>
      </c>
      <c r="E780">
        <v>632.24699999999996</v>
      </c>
      <c r="F780">
        <v>5.2</v>
      </c>
      <c r="G780">
        <v>0</v>
      </c>
      <c r="H780" t="s">
        <v>186</v>
      </c>
      <c r="I780">
        <v>2.7E-2</v>
      </c>
      <c r="J780">
        <f t="shared" si="338"/>
        <v>1</v>
      </c>
      <c r="K780">
        <f t="shared" si="339"/>
        <v>51</v>
      </c>
      <c r="L780">
        <f t="shared" ca="1" si="340"/>
        <v>51797.843837663619</v>
      </c>
      <c r="M780">
        <f t="shared" ca="1" si="317"/>
        <v>269348.78795585083</v>
      </c>
      <c r="N780">
        <f t="shared" ca="1" si="318"/>
        <v>2.5998694991876676</v>
      </c>
      <c r="O780">
        <f t="shared" ca="1" si="319"/>
        <v>1.8934557080078435E-4</v>
      </c>
      <c r="P780">
        <f t="shared" ca="1" si="320"/>
        <v>52430.090837663622</v>
      </c>
      <c r="Q780">
        <f t="shared" ca="1" si="321"/>
        <v>52430.090837665448</v>
      </c>
      <c r="R780">
        <f t="shared" ca="1" si="322"/>
        <v>2.2564415439646509E-12</v>
      </c>
      <c r="S780">
        <f t="shared" ca="1" si="341"/>
        <v>4.999999946448952E-4</v>
      </c>
      <c r="T780">
        <f t="shared" ca="1" si="342"/>
        <v>1</v>
      </c>
      <c r="U780">
        <f t="shared" ca="1" si="323"/>
        <v>51800.26683766341</v>
      </c>
      <c r="V780">
        <f t="shared" ca="1" si="324"/>
        <v>269361.38755584974</v>
      </c>
      <c r="W780">
        <f t="shared" ca="1" si="325"/>
        <v>2.5998695052916441</v>
      </c>
      <c r="X780">
        <f t="shared" ca="1" si="326"/>
        <v>1.8933671400629237E-4</v>
      </c>
      <c r="Y780">
        <f t="shared" ca="1" si="327"/>
        <v>52432.513837663413</v>
      </c>
      <c r="Z780">
        <f t="shared" ca="1" si="328"/>
        <v>52432.513837665239</v>
      </c>
      <c r="AA780">
        <f t="shared" ca="1" si="329"/>
        <v>2.2562304480281055E-12</v>
      </c>
      <c r="AB780">
        <f t="shared" ca="1" si="330"/>
        <v>-5.0000000192085281E-4</v>
      </c>
      <c r="AC780">
        <f t="shared" ca="1" si="331"/>
        <v>1</v>
      </c>
      <c r="AD780">
        <f ca="1">IF(V32="Supercritical",L780,IF(V32="Subcritical",U780,IF(AND(T780=1,AC780=1),IF((((F780)*(L780)^2)/2+(G780)*(L780)^3/3+(ABS(K780)^2)/($I$5*MAX(((F780)+(G780)*(L780))*(L780),0.000001)))&gt;=(((F780)*(U780)^2)/2+(G780)*(U780)^3/3+(ABS(K780)^2)/($I$5*MAX(((F780)+(G780)*(U780))*(U780),0.000001))),L780,U780),IF(T780=1,L780,IF(AC780=1,U780,MAX($D$16,POWER((ABS(K780)^2)/($I$5*MAX(F780,0.1)^2),1/3)))))))</f>
        <v>51800.26683766341</v>
      </c>
      <c r="AE780">
        <f t="shared" ca="1" si="332"/>
        <v>52432.513837663413</v>
      </c>
      <c r="AF780">
        <f t="shared" ca="1" si="333"/>
        <v>52432.513837665239</v>
      </c>
      <c r="AI780">
        <v>0</v>
      </c>
      <c r="AJ780">
        <v>0</v>
      </c>
      <c r="AK780">
        <f t="shared" si="334"/>
        <v>0</v>
      </c>
      <c r="AL780">
        <f t="shared" si="343"/>
        <v>0</v>
      </c>
      <c r="AM780">
        <f t="shared" ca="1" si="335"/>
        <v>2.6560383008097266E-7</v>
      </c>
      <c r="AN780" t="str">
        <f t="shared" ca="1" si="336"/>
        <v>Subcritical</v>
      </c>
      <c r="AO780">
        <f t="shared" ca="1" si="337"/>
        <v>2.2562304480281055E-12</v>
      </c>
    </row>
    <row r="781" spans="1:41" x14ac:dyDescent="0.35">
      <c r="A781">
        <v>632</v>
      </c>
      <c r="B781">
        <v>630.89499999999998</v>
      </c>
      <c r="C781">
        <v>616142.24699999997</v>
      </c>
      <c r="D781">
        <v>3097361.4019999998</v>
      </c>
      <c r="E781">
        <v>632.24649999999997</v>
      </c>
      <c r="F781">
        <v>5.2</v>
      </c>
      <c r="G781">
        <v>0</v>
      </c>
      <c r="H781" t="s">
        <v>186</v>
      </c>
      <c r="I781">
        <v>2.7E-2</v>
      </c>
      <c r="J781">
        <f t="shared" si="338"/>
        <v>1</v>
      </c>
      <c r="K781">
        <f t="shared" si="339"/>
        <v>51</v>
      </c>
      <c r="L781">
        <f t="shared" ca="1" si="340"/>
        <v>51797.843837663619</v>
      </c>
      <c r="M781">
        <f t="shared" ca="1" si="317"/>
        <v>269348.78795585083</v>
      </c>
      <c r="N781">
        <f t="shared" ca="1" si="318"/>
        <v>2.5998694991876676</v>
      </c>
      <c r="O781">
        <f t="shared" ca="1" si="319"/>
        <v>1.8934557080078435E-4</v>
      </c>
      <c r="P781">
        <f t="shared" ca="1" si="320"/>
        <v>52430.09033766362</v>
      </c>
      <c r="Q781">
        <f t="shared" ca="1" si="321"/>
        <v>52430.090337665446</v>
      </c>
      <c r="R781">
        <f t="shared" ca="1" si="322"/>
        <v>2.2564415439646509E-12</v>
      </c>
      <c r="S781">
        <f t="shared" ca="1" si="341"/>
        <v>5.0000000192085281E-4</v>
      </c>
      <c r="T781">
        <f t="shared" ca="1" si="342"/>
        <v>1</v>
      </c>
      <c r="U781">
        <f t="shared" ca="1" si="323"/>
        <v>51800.26683766341</v>
      </c>
      <c r="V781">
        <f t="shared" ca="1" si="324"/>
        <v>269361.38755584974</v>
      </c>
      <c r="W781">
        <f t="shared" ca="1" si="325"/>
        <v>2.5998695052916441</v>
      </c>
      <c r="X781">
        <f t="shared" ca="1" si="326"/>
        <v>1.8933671400629237E-4</v>
      </c>
      <c r="Y781">
        <f t="shared" ca="1" si="327"/>
        <v>52432.513337663411</v>
      </c>
      <c r="Z781">
        <f t="shared" ca="1" si="328"/>
        <v>52432.513337665237</v>
      </c>
      <c r="AA781">
        <f t="shared" ca="1" si="329"/>
        <v>2.2562304480281055E-12</v>
      </c>
      <c r="AB781">
        <f t="shared" ca="1" si="330"/>
        <v>-5.0000000192085281E-4</v>
      </c>
      <c r="AC781">
        <f t="shared" ca="1" si="331"/>
        <v>1</v>
      </c>
      <c r="AD781">
        <f ca="1">IF(V32="Supercritical",L781,IF(V32="Subcritical",U781,IF(AND(T781=1,AC781=1),IF((((F781)*(L781)^2)/2+(G781)*(L781)^3/3+(ABS(K781)^2)/($I$5*MAX(((F781)+(G781)*(L781))*(L781),0.000001)))&gt;=(((F781)*(U781)^2)/2+(G781)*(U781)^3/3+(ABS(K781)^2)/($I$5*MAX(((F781)+(G781)*(U781))*(U781),0.000001))),L781,U781),IF(T781=1,L781,IF(AC781=1,U781,MAX($D$16,POWER((ABS(K781)^2)/($I$5*MAX(F781,0.1)^2),1/3)))))))</f>
        <v>51800.26683766341</v>
      </c>
      <c r="AE781">
        <f t="shared" ca="1" si="332"/>
        <v>52432.513337663411</v>
      </c>
      <c r="AF781">
        <f t="shared" ca="1" si="333"/>
        <v>52432.513337665237</v>
      </c>
      <c r="AI781">
        <v>0</v>
      </c>
      <c r="AJ781">
        <v>0</v>
      </c>
      <c r="AK781">
        <f t="shared" si="334"/>
        <v>0</v>
      </c>
      <c r="AL781">
        <f t="shared" si="343"/>
        <v>0</v>
      </c>
      <c r="AM781">
        <f t="shared" ca="1" si="335"/>
        <v>2.6560383008097266E-7</v>
      </c>
      <c r="AN781" t="str">
        <f t="shared" ca="1" si="336"/>
        <v>Subcritical</v>
      </c>
      <c r="AO781">
        <f t="shared" ca="1" si="337"/>
        <v>2.2562304480281055E-12</v>
      </c>
    </row>
    <row r="782" spans="1:41" x14ac:dyDescent="0.35">
      <c r="A782">
        <v>633</v>
      </c>
      <c r="B782">
        <v>631.89499999999998</v>
      </c>
      <c r="C782">
        <v>616141.77300000004</v>
      </c>
      <c r="D782">
        <v>3097360.5210000002</v>
      </c>
      <c r="E782">
        <v>632.24599999999998</v>
      </c>
      <c r="F782">
        <v>5.2</v>
      </c>
      <c r="G782">
        <v>0</v>
      </c>
      <c r="H782" t="s">
        <v>186</v>
      </c>
      <c r="I782">
        <v>7.8E-2</v>
      </c>
      <c r="J782">
        <f t="shared" si="338"/>
        <v>1</v>
      </c>
      <c r="K782">
        <f t="shared" si="339"/>
        <v>51</v>
      </c>
      <c r="L782">
        <f t="shared" ca="1" si="340"/>
        <v>51797.843837663619</v>
      </c>
      <c r="M782">
        <f t="shared" ca="1" si="317"/>
        <v>269348.78795585083</v>
      </c>
      <c r="N782">
        <f t="shared" ca="1" si="318"/>
        <v>2.5998694991876676</v>
      </c>
      <c r="O782">
        <f t="shared" ca="1" si="319"/>
        <v>1.8934557080078435E-4</v>
      </c>
      <c r="P782">
        <f t="shared" ca="1" si="320"/>
        <v>52430.089837663618</v>
      </c>
      <c r="Q782">
        <f t="shared" ca="1" si="321"/>
        <v>52430.089837665444</v>
      </c>
      <c r="R782">
        <f t="shared" ca="1" si="322"/>
        <v>2.2564415439646509E-12</v>
      </c>
      <c r="S782">
        <f t="shared" ca="1" si="341"/>
        <v>5.0000000192085281E-4</v>
      </c>
      <c r="T782">
        <f t="shared" ca="1" si="342"/>
        <v>1</v>
      </c>
      <c r="U782">
        <f t="shared" ca="1" si="323"/>
        <v>51800.26683766341</v>
      </c>
      <c r="V782">
        <f t="shared" ca="1" si="324"/>
        <v>269361.38755584974</v>
      </c>
      <c r="W782">
        <f t="shared" ca="1" si="325"/>
        <v>2.5998695052916441</v>
      </c>
      <c r="X782">
        <f t="shared" ca="1" si="326"/>
        <v>1.8933671400629237E-4</v>
      </c>
      <c r="Y782">
        <f t="shared" ca="1" si="327"/>
        <v>52432.512837663409</v>
      </c>
      <c r="Z782">
        <f t="shared" ca="1" si="328"/>
        <v>52432.512837665236</v>
      </c>
      <c r="AA782">
        <f t="shared" ca="1" si="329"/>
        <v>2.2562304480281055E-12</v>
      </c>
      <c r="AB782">
        <f t="shared" ca="1" si="330"/>
        <v>-5.0000000192085281E-4</v>
      </c>
      <c r="AC782">
        <f t="shared" ca="1" si="331"/>
        <v>1</v>
      </c>
      <c r="AD782">
        <f ca="1">IF(V32="Supercritical",L782,IF(V32="Subcritical",U782,IF(AND(T782=1,AC782=1),IF((((F782)*(L782)^2)/2+(G782)*(L782)^3/3+(ABS(K782)^2)/($I$5*MAX(((F782)+(G782)*(L782))*(L782),0.000001)))&gt;=(((F782)*(U782)^2)/2+(G782)*(U782)^3/3+(ABS(K782)^2)/($I$5*MAX(((F782)+(G782)*(U782))*(U782),0.000001))),L782,U782),IF(T782=1,L782,IF(AC782=1,U782,MAX($D$16,POWER((ABS(K782)^2)/($I$5*MAX(F782,0.1)^2),1/3)))))))</f>
        <v>51800.26683766341</v>
      </c>
      <c r="AE782">
        <f t="shared" ca="1" si="332"/>
        <v>52432.512837663409</v>
      </c>
      <c r="AF782">
        <f t="shared" ca="1" si="333"/>
        <v>52432.512837665236</v>
      </c>
      <c r="AI782">
        <v>0</v>
      </c>
      <c r="AJ782">
        <v>0</v>
      </c>
      <c r="AK782">
        <f t="shared" si="334"/>
        <v>0</v>
      </c>
      <c r="AL782">
        <f t="shared" si="343"/>
        <v>0</v>
      </c>
      <c r="AM782">
        <f t="shared" ca="1" si="335"/>
        <v>2.6560383008097266E-7</v>
      </c>
      <c r="AN782" t="str">
        <f t="shared" ca="1" si="336"/>
        <v>Subcritical</v>
      </c>
      <c r="AO782">
        <f t="shared" ca="1" si="337"/>
        <v>2.2562304480281055E-12</v>
      </c>
    </row>
    <row r="783" spans="1:41" x14ac:dyDescent="0.35">
      <c r="A783">
        <v>634</v>
      </c>
      <c r="B783">
        <v>632.89499999999998</v>
      </c>
      <c r="C783">
        <v>616141.29799999995</v>
      </c>
      <c r="D783">
        <v>3097359.6409999998</v>
      </c>
      <c r="E783">
        <v>632.24549999999999</v>
      </c>
      <c r="F783">
        <v>5.2</v>
      </c>
      <c r="G783">
        <v>0</v>
      </c>
      <c r="H783" t="s">
        <v>186</v>
      </c>
      <c r="I783">
        <v>0.05</v>
      </c>
      <c r="J783">
        <f t="shared" si="338"/>
        <v>1</v>
      </c>
      <c r="K783">
        <f t="shared" si="339"/>
        <v>51</v>
      </c>
      <c r="L783">
        <f t="shared" ca="1" si="340"/>
        <v>51797.843837663619</v>
      </c>
      <c r="M783">
        <f t="shared" ca="1" si="317"/>
        <v>269348.78795585083</v>
      </c>
      <c r="N783">
        <f t="shared" ca="1" si="318"/>
        <v>2.5998694991876676</v>
      </c>
      <c r="O783">
        <f t="shared" ca="1" si="319"/>
        <v>1.8934557080078435E-4</v>
      </c>
      <c r="P783">
        <f t="shared" ca="1" si="320"/>
        <v>52430.089337663616</v>
      </c>
      <c r="Q783">
        <f t="shared" ca="1" si="321"/>
        <v>52430.089337665442</v>
      </c>
      <c r="R783">
        <f t="shared" ca="1" si="322"/>
        <v>2.2564415439646509E-12</v>
      </c>
      <c r="S783">
        <f t="shared" ca="1" si="341"/>
        <v>5.0000000192085281E-4</v>
      </c>
      <c r="T783">
        <f t="shared" ca="1" si="342"/>
        <v>1</v>
      </c>
      <c r="U783">
        <f t="shared" ca="1" si="323"/>
        <v>51800.26683766341</v>
      </c>
      <c r="V783">
        <f t="shared" ca="1" si="324"/>
        <v>269361.38755584974</v>
      </c>
      <c r="W783">
        <f t="shared" ca="1" si="325"/>
        <v>2.5998695052916441</v>
      </c>
      <c r="X783">
        <f t="shared" ca="1" si="326"/>
        <v>1.8933671400629237E-4</v>
      </c>
      <c r="Y783">
        <f t="shared" ca="1" si="327"/>
        <v>52432.512337663407</v>
      </c>
      <c r="Z783">
        <f t="shared" ca="1" si="328"/>
        <v>52432.512337665234</v>
      </c>
      <c r="AA783">
        <f t="shared" ca="1" si="329"/>
        <v>2.2562304480281055E-12</v>
      </c>
      <c r="AB783">
        <f t="shared" ca="1" si="330"/>
        <v>-4.999999946448952E-4</v>
      </c>
      <c r="AC783">
        <f t="shared" ca="1" si="331"/>
        <v>1</v>
      </c>
      <c r="AD783">
        <f ca="1">IF(V32="Supercritical",L783,IF(V32="Subcritical",U783,IF(AND(T783=1,AC783=1),IF((((F783)*(L783)^2)/2+(G783)*(L783)^3/3+(ABS(K783)^2)/($I$5*MAX(((F783)+(G783)*(L783))*(L783),0.000001)))&gt;=(((F783)*(U783)^2)/2+(G783)*(U783)^3/3+(ABS(K783)^2)/($I$5*MAX(((F783)+(G783)*(U783))*(U783),0.000001))),L783,U783),IF(T783=1,L783,IF(AC783=1,U783,MAX($D$16,POWER((ABS(K783)^2)/($I$5*MAX(F783,0.1)^2),1/3)))))))</f>
        <v>51800.26683766341</v>
      </c>
      <c r="AE783">
        <f t="shared" ca="1" si="332"/>
        <v>52432.512337663407</v>
      </c>
      <c r="AF783">
        <f t="shared" ca="1" si="333"/>
        <v>52432.512337665234</v>
      </c>
      <c r="AI783">
        <v>0</v>
      </c>
      <c r="AJ783">
        <v>0</v>
      </c>
      <c r="AK783">
        <f t="shared" si="334"/>
        <v>0</v>
      </c>
      <c r="AL783">
        <f t="shared" si="343"/>
        <v>0</v>
      </c>
      <c r="AM783">
        <f t="shared" ca="1" si="335"/>
        <v>2.6560383008097266E-7</v>
      </c>
      <c r="AN783" t="str">
        <f t="shared" ca="1" si="336"/>
        <v>Subcritical</v>
      </c>
      <c r="AO783">
        <f t="shared" ca="1" si="337"/>
        <v>2.2562304480281055E-12</v>
      </c>
    </row>
    <row r="784" spans="1:41" x14ac:dyDescent="0.35">
      <c r="A784">
        <v>635</v>
      </c>
      <c r="B784">
        <v>633.89499999999998</v>
      </c>
      <c r="C784">
        <v>616140.82400000002</v>
      </c>
      <c r="D784">
        <v>3097358.7609999999</v>
      </c>
      <c r="E784">
        <v>632.245</v>
      </c>
      <c r="F784">
        <v>5.2</v>
      </c>
      <c r="G784">
        <v>0</v>
      </c>
      <c r="H784" t="s">
        <v>186</v>
      </c>
      <c r="I784">
        <v>2.7E-2</v>
      </c>
      <c r="J784">
        <f t="shared" si="338"/>
        <v>1</v>
      </c>
      <c r="K784">
        <f t="shared" si="339"/>
        <v>51</v>
      </c>
      <c r="L784">
        <f t="shared" ca="1" si="340"/>
        <v>51797.843837663619</v>
      </c>
      <c r="M784">
        <f t="shared" ca="1" si="317"/>
        <v>269348.78795585083</v>
      </c>
      <c r="N784">
        <f t="shared" ca="1" si="318"/>
        <v>2.5998694991876676</v>
      </c>
      <c r="O784">
        <f t="shared" ca="1" si="319"/>
        <v>1.8934557080078435E-4</v>
      </c>
      <c r="P784">
        <f t="shared" ca="1" si="320"/>
        <v>52430.088837663621</v>
      </c>
      <c r="Q784">
        <f t="shared" ca="1" si="321"/>
        <v>52430.088837665447</v>
      </c>
      <c r="R784">
        <f t="shared" ca="1" si="322"/>
        <v>2.2564415439646509E-12</v>
      </c>
      <c r="S784">
        <f t="shared" ca="1" si="341"/>
        <v>4.999999946448952E-4</v>
      </c>
      <c r="T784">
        <f t="shared" ca="1" si="342"/>
        <v>1</v>
      </c>
      <c r="U784">
        <f t="shared" ca="1" si="323"/>
        <v>51800.26683766341</v>
      </c>
      <c r="V784">
        <f t="shared" ca="1" si="324"/>
        <v>269361.38755584974</v>
      </c>
      <c r="W784">
        <f t="shared" ca="1" si="325"/>
        <v>2.5998695052916441</v>
      </c>
      <c r="X784">
        <f t="shared" ca="1" si="326"/>
        <v>1.8933671400629237E-4</v>
      </c>
      <c r="Y784">
        <f t="shared" ca="1" si="327"/>
        <v>52432.511837663413</v>
      </c>
      <c r="Z784">
        <f t="shared" ca="1" si="328"/>
        <v>52432.511837665239</v>
      </c>
      <c r="AA784">
        <f t="shared" ca="1" si="329"/>
        <v>2.2562304480281055E-12</v>
      </c>
      <c r="AB784">
        <f t="shared" ca="1" si="330"/>
        <v>-5.0000000192085281E-4</v>
      </c>
      <c r="AC784">
        <f t="shared" ca="1" si="331"/>
        <v>1</v>
      </c>
      <c r="AD784">
        <f ca="1">IF(V32="Supercritical",L784,IF(V32="Subcritical",U784,IF(AND(T784=1,AC784=1),IF((((F784)*(L784)^2)/2+(G784)*(L784)^3/3+(ABS(K784)^2)/($I$5*MAX(((F784)+(G784)*(L784))*(L784),0.000001)))&gt;=(((F784)*(U784)^2)/2+(G784)*(U784)^3/3+(ABS(K784)^2)/($I$5*MAX(((F784)+(G784)*(U784))*(U784),0.000001))),L784,U784),IF(T784=1,L784,IF(AC784=1,U784,MAX($D$16,POWER((ABS(K784)^2)/($I$5*MAX(F784,0.1)^2),1/3)))))))</f>
        <v>51800.26683766341</v>
      </c>
      <c r="AE784">
        <f t="shared" ca="1" si="332"/>
        <v>52432.511837663413</v>
      </c>
      <c r="AF784">
        <f t="shared" ca="1" si="333"/>
        <v>52432.511837665239</v>
      </c>
      <c r="AI784">
        <v>0</v>
      </c>
      <c r="AJ784">
        <v>0</v>
      </c>
      <c r="AK784">
        <f t="shared" si="334"/>
        <v>0</v>
      </c>
      <c r="AL784">
        <f t="shared" si="343"/>
        <v>0</v>
      </c>
      <c r="AM784">
        <f t="shared" ca="1" si="335"/>
        <v>2.6560383008097266E-7</v>
      </c>
      <c r="AN784" t="str">
        <f t="shared" ca="1" si="336"/>
        <v>Subcritical</v>
      </c>
      <c r="AO784">
        <f t="shared" ca="1" si="337"/>
        <v>2.2562304480281055E-12</v>
      </c>
    </row>
    <row r="785" spans="1:41" x14ac:dyDescent="0.35">
      <c r="A785">
        <v>636</v>
      </c>
      <c r="B785">
        <v>634.89499999999998</v>
      </c>
      <c r="C785">
        <v>616140.35</v>
      </c>
      <c r="D785">
        <v>3097357.88</v>
      </c>
      <c r="E785">
        <v>632.24450000000002</v>
      </c>
      <c r="F785">
        <v>5.2</v>
      </c>
      <c r="G785">
        <v>0</v>
      </c>
      <c r="H785" t="s">
        <v>186</v>
      </c>
      <c r="I785">
        <v>2.7E-2</v>
      </c>
      <c r="J785">
        <f t="shared" si="338"/>
        <v>1</v>
      </c>
      <c r="K785">
        <f t="shared" si="339"/>
        <v>51</v>
      </c>
      <c r="L785">
        <f t="shared" ca="1" si="340"/>
        <v>51797.843837663619</v>
      </c>
      <c r="M785">
        <f t="shared" ca="1" si="317"/>
        <v>269348.78795585083</v>
      </c>
      <c r="N785">
        <f t="shared" ca="1" si="318"/>
        <v>2.5998694991876676</v>
      </c>
      <c r="O785">
        <f t="shared" ca="1" si="319"/>
        <v>1.8934557080078435E-4</v>
      </c>
      <c r="P785">
        <f t="shared" ca="1" si="320"/>
        <v>52430.088337663619</v>
      </c>
      <c r="Q785">
        <f t="shared" ca="1" si="321"/>
        <v>52430.088337665446</v>
      </c>
      <c r="R785">
        <f t="shared" ca="1" si="322"/>
        <v>2.2564415439646509E-12</v>
      </c>
      <c r="S785">
        <f t="shared" ca="1" si="341"/>
        <v>5.0000000192085281E-4</v>
      </c>
      <c r="T785">
        <f t="shared" ca="1" si="342"/>
        <v>1</v>
      </c>
      <c r="U785">
        <f t="shared" ca="1" si="323"/>
        <v>51800.26683766341</v>
      </c>
      <c r="V785">
        <f t="shared" ca="1" si="324"/>
        <v>269361.38755584974</v>
      </c>
      <c r="W785">
        <f t="shared" ca="1" si="325"/>
        <v>2.5998695052916441</v>
      </c>
      <c r="X785">
        <f t="shared" ca="1" si="326"/>
        <v>1.8933671400629237E-4</v>
      </c>
      <c r="Y785">
        <f t="shared" ca="1" si="327"/>
        <v>52432.511337663411</v>
      </c>
      <c r="Z785">
        <f t="shared" ca="1" si="328"/>
        <v>52432.511337665237</v>
      </c>
      <c r="AA785">
        <f t="shared" ca="1" si="329"/>
        <v>2.2562304480281055E-12</v>
      </c>
      <c r="AB785">
        <f t="shared" ca="1" si="330"/>
        <v>-5.0000000192085281E-4</v>
      </c>
      <c r="AC785">
        <f t="shared" ca="1" si="331"/>
        <v>1</v>
      </c>
      <c r="AD785">
        <f ca="1">IF(V32="Supercritical",L785,IF(V32="Subcritical",U785,IF(AND(T785=1,AC785=1),IF((((F785)*(L785)^2)/2+(G785)*(L785)^3/3+(ABS(K785)^2)/($I$5*MAX(((F785)+(G785)*(L785))*(L785),0.000001)))&gt;=(((F785)*(U785)^2)/2+(G785)*(U785)^3/3+(ABS(K785)^2)/($I$5*MAX(((F785)+(G785)*(U785))*(U785),0.000001))),L785,U785),IF(T785=1,L785,IF(AC785=1,U785,MAX($D$16,POWER((ABS(K785)^2)/($I$5*MAX(F785,0.1)^2),1/3)))))))</f>
        <v>51800.26683766341</v>
      </c>
      <c r="AE785">
        <f t="shared" ca="1" si="332"/>
        <v>52432.511337663411</v>
      </c>
      <c r="AF785">
        <f t="shared" ca="1" si="333"/>
        <v>52432.511337665237</v>
      </c>
      <c r="AI785">
        <v>0</v>
      </c>
      <c r="AJ785">
        <v>0</v>
      </c>
      <c r="AK785">
        <f t="shared" si="334"/>
        <v>0</v>
      </c>
      <c r="AL785">
        <f t="shared" si="343"/>
        <v>0</v>
      </c>
      <c r="AM785">
        <f t="shared" ca="1" si="335"/>
        <v>2.6560383008097266E-7</v>
      </c>
      <c r="AN785" t="str">
        <f t="shared" ca="1" si="336"/>
        <v>Subcritical</v>
      </c>
      <c r="AO785">
        <f t="shared" ca="1" si="337"/>
        <v>2.2562304480281055E-12</v>
      </c>
    </row>
    <row r="786" spans="1:41" x14ac:dyDescent="0.35">
      <c r="A786">
        <v>637</v>
      </c>
      <c r="B786">
        <v>635.89499999999998</v>
      </c>
      <c r="C786">
        <v>616139.87600000005</v>
      </c>
      <c r="D786">
        <v>3097357</v>
      </c>
      <c r="E786">
        <v>632.24400000000003</v>
      </c>
      <c r="F786">
        <v>5.2</v>
      </c>
      <c r="G786">
        <v>0</v>
      </c>
      <c r="H786" t="s">
        <v>186</v>
      </c>
      <c r="I786">
        <v>2.3E-2</v>
      </c>
      <c r="J786">
        <f t="shared" si="338"/>
        <v>1</v>
      </c>
      <c r="K786">
        <f t="shared" si="339"/>
        <v>51</v>
      </c>
      <c r="L786">
        <f t="shared" ca="1" si="340"/>
        <v>51797.843837663619</v>
      </c>
      <c r="M786">
        <f t="shared" ca="1" si="317"/>
        <v>269348.78795585083</v>
      </c>
      <c r="N786">
        <f t="shared" ca="1" si="318"/>
        <v>2.5998694991876676</v>
      </c>
      <c r="O786">
        <f t="shared" ca="1" si="319"/>
        <v>1.8934557080078435E-4</v>
      </c>
      <c r="P786">
        <f t="shared" ca="1" si="320"/>
        <v>52430.087837663617</v>
      </c>
      <c r="Q786">
        <f t="shared" ca="1" si="321"/>
        <v>52430.087837665444</v>
      </c>
      <c r="R786">
        <f t="shared" ca="1" si="322"/>
        <v>2.2564415439646509E-12</v>
      </c>
      <c r="S786">
        <f t="shared" ca="1" si="341"/>
        <v>5.0000000192085281E-4</v>
      </c>
      <c r="T786">
        <f t="shared" ca="1" si="342"/>
        <v>1</v>
      </c>
      <c r="U786">
        <f t="shared" ca="1" si="323"/>
        <v>51800.26683766341</v>
      </c>
      <c r="V786">
        <f t="shared" ca="1" si="324"/>
        <v>269361.38755584974</v>
      </c>
      <c r="W786">
        <f t="shared" ca="1" si="325"/>
        <v>2.5998695052916441</v>
      </c>
      <c r="X786">
        <f t="shared" ca="1" si="326"/>
        <v>1.8933671400629237E-4</v>
      </c>
      <c r="Y786">
        <f t="shared" ca="1" si="327"/>
        <v>52432.510837663409</v>
      </c>
      <c r="Z786">
        <f t="shared" ca="1" si="328"/>
        <v>52432.510837665235</v>
      </c>
      <c r="AA786">
        <f t="shared" ca="1" si="329"/>
        <v>2.2562304480281055E-12</v>
      </c>
      <c r="AB786">
        <f t="shared" ca="1" si="330"/>
        <v>-5.0000000192085281E-4</v>
      </c>
      <c r="AC786">
        <f t="shared" ca="1" si="331"/>
        <v>1</v>
      </c>
      <c r="AD786">
        <f ca="1">IF(V32="Supercritical",L786,IF(V32="Subcritical",U786,IF(AND(T786=1,AC786=1),IF((((F786)*(L786)^2)/2+(G786)*(L786)^3/3+(ABS(K786)^2)/($I$5*MAX(((F786)+(G786)*(L786))*(L786),0.000001)))&gt;=(((F786)*(U786)^2)/2+(G786)*(U786)^3/3+(ABS(K786)^2)/($I$5*MAX(((F786)+(G786)*(U786))*(U786),0.000001))),L786,U786),IF(T786=1,L786,IF(AC786=1,U786,MAX($D$16,POWER((ABS(K786)^2)/($I$5*MAX(F786,0.1)^2),1/3)))))))</f>
        <v>51800.26683766341</v>
      </c>
      <c r="AE786">
        <f t="shared" ca="1" si="332"/>
        <v>52432.510837663409</v>
      </c>
      <c r="AF786">
        <f t="shared" ca="1" si="333"/>
        <v>52432.510837665235</v>
      </c>
      <c r="AI786">
        <v>0</v>
      </c>
      <c r="AJ786">
        <v>0</v>
      </c>
      <c r="AK786">
        <f t="shared" si="334"/>
        <v>0</v>
      </c>
      <c r="AL786">
        <f t="shared" si="343"/>
        <v>0</v>
      </c>
      <c r="AM786">
        <f t="shared" ca="1" si="335"/>
        <v>2.6560383008097266E-7</v>
      </c>
      <c r="AN786" t="str">
        <f t="shared" ca="1" si="336"/>
        <v>Subcritical</v>
      </c>
      <c r="AO786">
        <f t="shared" ca="1" si="337"/>
        <v>2.2562304480281055E-12</v>
      </c>
    </row>
    <row r="787" spans="1:41" x14ac:dyDescent="0.35">
      <c r="A787">
        <v>638</v>
      </c>
      <c r="B787">
        <v>636.89599999999996</v>
      </c>
      <c r="C787">
        <v>616139.40099999995</v>
      </c>
      <c r="D787">
        <v>3097356.1189999999</v>
      </c>
      <c r="E787">
        <v>632.24350000000004</v>
      </c>
      <c r="F787">
        <v>5.2</v>
      </c>
      <c r="G787">
        <v>0</v>
      </c>
      <c r="H787" t="s">
        <v>186</v>
      </c>
      <c r="I787">
        <v>2.3E-2</v>
      </c>
      <c r="J787">
        <f t="shared" si="338"/>
        <v>1.0009999999999764</v>
      </c>
      <c r="K787">
        <f t="shared" si="339"/>
        <v>51</v>
      </c>
      <c r="L787">
        <f t="shared" ca="1" si="340"/>
        <v>51797.843837663619</v>
      </c>
      <c r="M787">
        <f t="shared" ca="1" si="317"/>
        <v>269348.78795585083</v>
      </c>
      <c r="N787">
        <f t="shared" ca="1" si="318"/>
        <v>2.5998694991876676</v>
      </c>
      <c r="O787">
        <f t="shared" ca="1" si="319"/>
        <v>1.8934557080078435E-4</v>
      </c>
      <c r="P787">
        <f t="shared" ca="1" si="320"/>
        <v>52430.087337663615</v>
      </c>
      <c r="Q787">
        <f t="shared" ca="1" si="321"/>
        <v>52430.087337665442</v>
      </c>
      <c r="R787">
        <f t="shared" ca="1" si="322"/>
        <v>2.2564415439646509E-12</v>
      </c>
      <c r="S787">
        <f t="shared" ca="1" si="341"/>
        <v>5.0000000192085281E-4</v>
      </c>
      <c r="T787">
        <f t="shared" ca="1" si="342"/>
        <v>1</v>
      </c>
      <c r="U787">
        <f t="shared" ca="1" si="323"/>
        <v>51800.26683766341</v>
      </c>
      <c r="V787">
        <f t="shared" ca="1" si="324"/>
        <v>269361.38755584974</v>
      </c>
      <c r="W787">
        <f t="shared" ca="1" si="325"/>
        <v>2.5998695052916441</v>
      </c>
      <c r="X787">
        <f t="shared" ca="1" si="326"/>
        <v>1.8933671400629237E-4</v>
      </c>
      <c r="Y787">
        <f t="shared" ca="1" si="327"/>
        <v>52432.510337663407</v>
      </c>
      <c r="Z787">
        <f t="shared" ca="1" si="328"/>
        <v>52432.510337665233</v>
      </c>
      <c r="AA787">
        <f t="shared" ca="1" si="329"/>
        <v>2.2562304480281055E-12</v>
      </c>
      <c r="AB787">
        <f t="shared" ca="1" si="330"/>
        <v>-4.999999946448952E-4</v>
      </c>
      <c r="AC787">
        <f t="shared" ca="1" si="331"/>
        <v>1</v>
      </c>
      <c r="AD787">
        <f ca="1">IF(V32="Supercritical",L787,IF(V32="Subcritical",U787,IF(AND(T787=1,AC787=1),IF((((F787)*(L787)^2)/2+(G787)*(L787)^3/3+(ABS(K787)^2)/($I$5*MAX(((F787)+(G787)*(L787))*(L787),0.000001)))&gt;=(((F787)*(U787)^2)/2+(G787)*(U787)^3/3+(ABS(K787)^2)/($I$5*MAX(((F787)+(G787)*(U787))*(U787),0.000001))),L787,U787),IF(T787=1,L787,IF(AC787=1,U787,MAX($D$16,POWER((ABS(K787)^2)/($I$5*MAX(F787,0.1)^2),1/3)))))))</f>
        <v>51800.26683766341</v>
      </c>
      <c r="AE787">
        <f t="shared" ca="1" si="332"/>
        <v>52432.510337663407</v>
      </c>
      <c r="AF787">
        <f t="shared" ca="1" si="333"/>
        <v>52432.510337665233</v>
      </c>
      <c r="AI787">
        <v>0</v>
      </c>
      <c r="AJ787">
        <v>0</v>
      </c>
      <c r="AK787">
        <f t="shared" si="334"/>
        <v>0</v>
      </c>
      <c r="AL787">
        <f t="shared" si="343"/>
        <v>0</v>
      </c>
      <c r="AM787">
        <f t="shared" ca="1" si="335"/>
        <v>2.6560383008097266E-7</v>
      </c>
      <c r="AN787" t="str">
        <f t="shared" ca="1" si="336"/>
        <v>Subcritical</v>
      </c>
      <c r="AO787">
        <f t="shared" ca="1" si="337"/>
        <v>2.2562304480281055E-12</v>
      </c>
    </row>
    <row r="788" spans="1:41" x14ac:dyDescent="0.35">
      <c r="A788">
        <v>639</v>
      </c>
      <c r="B788">
        <v>637.89499999999998</v>
      </c>
      <c r="C788">
        <v>616138.92700000003</v>
      </c>
      <c r="D788">
        <v>3097355.2390000001</v>
      </c>
      <c r="E788">
        <v>632.24300000000005</v>
      </c>
      <c r="F788">
        <v>5.2</v>
      </c>
      <c r="G788">
        <v>0</v>
      </c>
      <c r="H788" t="s">
        <v>186</v>
      </c>
      <c r="I788">
        <v>0</v>
      </c>
      <c r="J788">
        <f t="shared" si="338"/>
        <v>0.99900000000002365</v>
      </c>
      <c r="K788">
        <f t="shared" si="339"/>
        <v>51</v>
      </c>
      <c r="L788">
        <f t="shared" ca="1" si="340"/>
        <v>51797.843837663619</v>
      </c>
      <c r="M788">
        <f t="shared" ca="1" si="317"/>
        <v>269348.78795585083</v>
      </c>
      <c r="N788">
        <f t="shared" ca="1" si="318"/>
        <v>2.5998694991876676</v>
      </c>
      <c r="O788">
        <f t="shared" ca="1" si="319"/>
        <v>1.8934557080078435E-4</v>
      </c>
      <c r="P788">
        <f t="shared" ca="1" si="320"/>
        <v>52430.086837663621</v>
      </c>
      <c r="Q788">
        <f t="shared" ca="1" si="321"/>
        <v>52430.086837665447</v>
      </c>
      <c r="R788">
        <f t="shared" ca="1" si="322"/>
        <v>2.2564415439646509E-12</v>
      </c>
      <c r="S788">
        <f t="shared" ca="1" si="341"/>
        <v>4.999999946448952E-4</v>
      </c>
      <c r="T788">
        <f t="shared" ca="1" si="342"/>
        <v>1</v>
      </c>
      <c r="U788">
        <f t="shared" ca="1" si="323"/>
        <v>51800.26683766341</v>
      </c>
      <c r="V788">
        <f t="shared" ca="1" si="324"/>
        <v>269361.38755584974</v>
      </c>
      <c r="W788">
        <f t="shared" ca="1" si="325"/>
        <v>2.5998695052916441</v>
      </c>
      <c r="X788">
        <f t="shared" ca="1" si="326"/>
        <v>1.8933671400629237E-4</v>
      </c>
      <c r="Y788">
        <f t="shared" ca="1" si="327"/>
        <v>52432.509837663412</v>
      </c>
      <c r="Z788">
        <f t="shared" ca="1" si="328"/>
        <v>52432.509837665239</v>
      </c>
      <c r="AA788">
        <f t="shared" ca="1" si="329"/>
        <v>2.2562304480281055E-12</v>
      </c>
      <c r="AB788">
        <f t="shared" ca="1" si="330"/>
        <v>-5.0000000192085281E-4</v>
      </c>
      <c r="AC788">
        <f t="shared" ca="1" si="331"/>
        <v>1</v>
      </c>
      <c r="AD788">
        <f ca="1">IF(V32="Supercritical",L788,IF(V32="Subcritical",U788,IF(AND(T788=1,AC788=1),IF((((F788)*(L788)^2)/2+(G788)*(L788)^3/3+(ABS(K788)^2)/($I$5*MAX(((F788)+(G788)*(L788))*(L788),0.000001)))&gt;=(((F788)*(U788)^2)/2+(G788)*(U788)^3/3+(ABS(K788)^2)/($I$5*MAX(((F788)+(G788)*(U788))*(U788),0.000001))),L788,U788),IF(T788=1,L788,IF(AC788=1,U788,MAX($D$16,POWER((ABS(K788)^2)/($I$5*MAX(F788,0.1)^2),1/3)))))))</f>
        <v>51800.26683766341</v>
      </c>
      <c r="AE788">
        <f t="shared" ca="1" si="332"/>
        <v>52432.509837663412</v>
      </c>
      <c r="AF788">
        <f t="shared" ca="1" si="333"/>
        <v>52432.509837665239</v>
      </c>
      <c r="AI788">
        <v>0</v>
      </c>
      <c r="AJ788">
        <v>0</v>
      </c>
      <c r="AK788">
        <f t="shared" si="334"/>
        <v>0</v>
      </c>
      <c r="AL788">
        <f t="shared" si="343"/>
        <v>0</v>
      </c>
      <c r="AM788">
        <f t="shared" ca="1" si="335"/>
        <v>2.6560383008097266E-7</v>
      </c>
      <c r="AN788" t="str">
        <f t="shared" ca="1" si="336"/>
        <v>Subcritical</v>
      </c>
      <c r="AO788">
        <f t="shared" ca="1" si="337"/>
        <v>2.2562304480281055E-12</v>
      </c>
    </row>
    <row r="789" spans="1:41" x14ac:dyDescent="0.35">
      <c r="A789">
        <v>640</v>
      </c>
      <c r="B789">
        <v>638.89499999999998</v>
      </c>
      <c r="C789">
        <v>616138.45299999998</v>
      </c>
      <c r="D789">
        <v>3097354.3590000002</v>
      </c>
      <c r="E789">
        <v>632.24249999999995</v>
      </c>
      <c r="F789">
        <v>5.2</v>
      </c>
      <c r="G789">
        <v>0</v>
      </c>
      <c r="H789" t="s">
        <v>186</v>
      </c>
      <c r="I789">
        <v>2.7E-2</v>
      </c>
      <c r="J789">
        <f t="shared" si="338"/>
        <v>1</v>
      </c>
      <c r="K789">
        <f t="shared" si="339"/>
        <v>51</v>
      </c>
      <c r="L789">
        <f t="shared" ca="1" si="340"/>
        <v>51797.843837663619</v>
      </c>
      <c r="M789">
        <f t="shared" ca="1" si="317"/>
        <v>269348.78795585083</v>
      </c>
      <c r="N789">
        <f t="shared" ca="1" si="318"/>
        <v>2.5998694991876676</v>
      </c>
      <c r="O789">
        <f t="shared" ca="1" si="319"/>
        <v>1.8934557080078435E-4</v>
      </c>
      <c r="P789">
        <f t="shared" ca="1" si="320"/>
        <v>52430.086337663619</v>
      </c>
      <c r="Q789">
        <f t="shared" ca="1" si="321"/>
        <v>52430.086337665445</v>
      </c>
      <c r="R789">
        <f t="shared" ca="1" si="322"/>
        <v>2.2564415439646509E-12</v>
      </c>
      <c r="S789">
        <f t="shared" ca="1" si="341"/>
        <v>5.0000000192085281E-4</v>
      </c>
      <c r="T789">
        <f t="shared" ca="1" si="342"/>
        <v>1</v>
      </c>
      <c r="U789">
        <f t="shared" ca="1" si="323"/>
        <v>51800.26683766341</v>
      </c>
      <c r="V789">
        <f t="shared" ca="1" si="324"/>
        <v>269361.38755584974</v>
      </c>
      <c r="W789">
        <f t="shared" ca="1" si="325"/>
        <v>2.5998695052916441</v>
      </c>
      <c r="X789">
        <f t="shared" ca="1" si="326"/>
        <v>1.8933671400629237E-4</v>
      </c>
      <c r="Y789">
        <f t="shared" ca="1" si="327"/>
        <v>52432.50933766341</v>
      </c>
      <c r="Z789">
        <f t="shared" ca="1" si="328"/>
        <v>52432.509337665237</v>
      </c>
      <c r="AA789">
        <f t="shared" ca="1" si="329"/>
        <v>2.2562304480281055E-12</v>
      </c>
      <c r="AB789">
        <f t="shared" ca="1" si="330"/>
        <v>-5.0000000192085281E-4</v>
      </c>
      <c r="AC789">
        <f t="shared" ca="1" si="331"/>
        <v>1</v>
      </c>
      <c r="AD789">
        <f ca="1">IF(V32="Supercritical",L789,IF(V32="Subcritical",U789,IF(AND(T789=1,AC789=1),IF((((F789)*(L789)^2)/2+(G789)*(L789)^3/3+(ABS(K789)^2)/($I$5*MAX(((F789)+(G789)*(L789))*(L789),0.000001)))&gt;=(((F789)*(U789)^2)/2+(G789)*(U789)^3/3+(ABS(K789)^2)/($I$5*MAX(((F789)+(G789)*(U789))*(U789),0.000001))),L789,U789),IF(T789=1,L789,IF(AC789=1,U789,MAX($D$16,POWER((ABS(K789)^2)/($I$5*MAX(F789,0.1)^2),1/3)))))))</f>
        <v>51800.26683766341</v>
      </c>
      <c r="AE789">
        <f t="shared" ca="1" si="332"/>
        <v>52432.50933766341</v>
      </c>
      <c r="AF789">
        <f t="shared" ca="1" si="333"/>
        <v>52432.509337665237</v>
      </c>
      <c r="AI789">
        <v>0</v>
      </c>
      <c r="AJ789">
        <v>0</v>
      </c>
      <c r="AK789">
        <f t="shared" si="334"/>
        <v>0</v>
      </c>
      <c r="AL789">
        <f t="shared" si="343"/>
        <v>0</v>
      </c>
      <c r="AM789">
        <f t="shared" ca="1" si="335"/>
        <v>2.6560383008097266E-7</v>
      </c>
      <c r="AN789" t="str">
        <f t="shared" ca="1" si="336"/>
        <v>Subcritical</v>
      </c>
      <c r="AO789">
        <f t="shared" ca="1" si="337"/>
        <v>2.2562304480281055E-12</v>
      </c>
    </row>
    <row r="790" spans="1:41" x14ac:dyDescent="0.35">
      <c r="A790">
        <v>641</v>
      </c>
      <c r="B790">
        <v>639.89499999999998</v>
      </c>
      <c r="C790">
        <v>616137.97900000005</v>
      </c>
      <c r="D790">
        <v>3097353.4780000001</v>
      </c>
      <c r="E790">
        <v>632.24199999999996</v>
      </c>
      <c r="F790">
        <v>5.2</v>
      </c>
      <c r="G790">
        <v>0</v>
      </c>
      <c r="H790" t="s">
        <v>186</v>
      </c>
      <c r="I790">
        <v>2.7E-2</v>
      </c>
      <c r="J790">
        <f t="shared" si="338"/>
        <v>1</v>
      </c>
      <c r="K790">
        <f t="shared" si="339"/>
        <v>51</v>
      </c>
      <c r="L790">
        <f t="shared" ca="1" si="340"/>
        <v>51797.843837663619</v>
      </c>
      <c r="M790">
        <f t="shared" ref="M790:M853" ca="1" si="344">((F790)+(G790)*(L790))*(L790)</f>
        <v>269348.78795585083</v>
      </c>
      <c r="N790">
        <f t="shared" ref="N790:N853" ca="1" si="345">(((F790)+(G790)*(L790))*(L790))/MAX((F790)+2*(L790)*SQRT(1+(G790)^2),0.000001)</f>
        <v>2.5998694991876676</v>
      </c>
      <c r="O790">
        <f t="shared" ref="O790:O853" ca="1" si="346">ABS(K790)/MAX(((F790)+(G790)*(L790))*(L790),0.000001)</f>
        <v>1.8934557080078435E-4</v>
      </c>
      <c r="P790">
        <f t="shared" ref="P790:P853" ca="1" si="347">E790+L790</f>
        <v>52430.085837663617</v>
      </c>
      <c r="Q790">
        <f t="shared" ref="Q790:Q853" ca="1" si="348">P790+((ABS(K790)/MAX(((F790)+(G790)*(L790))*(L790),0.000001))^2)/(2*$I$5)</f>
        <v>52430.085837665443</v>
      </c>
      <c r="R790">
        <f t="shared" ref="R790:R853" ca="1" si="349">((ABS(K790)*$D$6)/(MAX(((F790)+(G790)*(L790))*(L790),0.000001)*MAX(((((F790)+(G790)*(L790))*(L790))/MAX((F790)+2*(L790)*SQRT(1+(G790)^2),0.000001))^(2/3),0.000001)))^2</f>
        <v>2.2564415439646509E-12</v>
      </c>
      <c r="S790">
        <f t="shared" ca="1" si="341"/>
        <v>5.0000000192085281E-4</v>
      </c>
      <c r="T790">
        <f t="shared" ca="1" si="342"/>
        <v>1</v>
      </c>
      <c r="U790">
        <f t="shared" ref="U790:U853" ca="1" si="350">IF($D$20=0,U791,IF(AC791=0,U791,IF(U790=0,U791,IF(ABS(AB790)&gt;$D$19,MAX($D$16,U790+((AB790)*$D$18*IF((ABS(ABS(K790)/MAX(((F790)+(G790)*(U790))*(U790),0.000001))/SQRT($I$5*MAX((((F790)+(G790)*(U790))*(U790))/MAX((F790)+2*(G790)*(U790),0.000001),0.000001)))&lt;1,1,-1))),U790))))</f>
        <v>51800.26683766341</v>
      </c>
      <c r="V790">
        <f t="shared" ref="V790:V853" ca="1" si="351">((F790)+(G790)*(U790))*(U790)</f>
        <v>269361.38755584974</v>
      </c>
      <c r="W790">
        <f t="shared" ref="W790:W853" ca="1" si="352">(((F790)+(G790)*(U790))*(U790))/MAX((F790)+2*(U790)*SQRT(1+(G790)^2),0.000001)</f>
        <v>2.5998695052916441</v>
      </c>
      <c r="X790">
        <f t="shared" ref="X790:X853" ca="1" si="353">ABS(K790)/MAX(((F790)+(G790)*(U790))*(U790),0.000001)</f>
        <v>1.8933671400629237E-4</v>
      </c>
      <c r="Y790">
        <f t="shared" ref="Y790:Y853" ca="1" si="354">E790+U790</f>
        <v>52432.508837663408</v>
      </c>
      <c r="Z790">
        <f t="shared" ref="Z790:Z853" ca="1" si="355">Y790+((ABS(K790)/MAX(((F790)+(G790)*(U790))*(U790),0.000001))^2)/(2*$I$5)</f>
        <v>52432.508837665235</v>
      </c>
      <c r="AA790">
        <f t="shared" ref="AA790:AA853" ca="1" si="356">((ABS(K790)*$D$6)/(MAX(((F790)+(G790)*(U790))*(U790),0.000001)*MAX(((((F790)+(G790)*(U790))*(U790))/MAX((F790)+2*(U790)*SQRT(1+(G790)^2),0.000001))^(2/3),0.000001)))^2</f>
        <v>2.2562304480281055E-12</v>
      </c>
      <c r="AB790">
        <f t="shared" ref="AB790:AB853" ca="1" si="357">Z791+(((AA790+AA791)/2)*J791)+(IF(X790&gt;X791,$D$8*((X790^2-X791^2)/(2*$I$5)),$D$9*((X791^2-X790^2)/(2*$I$5)))+($D$10*(ABS(I791)/90)*(MAX(X790^2,X791^2)/(2*$I$5))))-Z790</f>
        <v>-5.0000000192085281E-4</v>
      </c>
      <c r="AC790">
        <f t="shared" ref="AC790:AC853" ca="1" si="358">IF(ABS(AB790)&lt;$D$19,1,0)</f>
        <v>1</v>
      </c>
      <c r="AD790">
        <f ca="1">IF(V32="Supercritical",L790,IF(V32="Subcritical",U790,IF(AND(T790=1,AC790=1),IF((((F790)*(L790)^2)/2+(G790)*(L790)^3/3+(ABS(K790)^2)/($I$5*MAX(((F790)+(G790)*(L790))*(L790),0.000001)))&gt;=(((F790)*(U790)^2)/2+(G790)*(U790)^3/3+(ABS(K790)^2)/($I$5*MAX(((F790)+(G790)*(U790))*(U790),0.000001))),L790,U790),IF(T790=1,L790,IF(AC790=1,U790,MAX($D$16,POWER((ABS(K790)^2)/($I$5*MAX(F790,0.1)^2),1/3)))))))</f>
        <v>51800.26683766341</v>
      </c>
      <c r="AE790">
        <f t="shared" ref="AE790:AE853" ca="1" si="359">E790+AD790</f>
        <v>52432.508837663408</v>
      </c>
      <c r="AF790">
        <f t="shared" ref="AF790:AF853" ca="1" si="360">AE790+((ABS(K790)/MAX(((F790)+(G790)*(AD790))*(AD790),0.000001))^2)/(2*$I$5)</f>
        <v>52432.508837665235</v>
      </c>
      <c r="AI790">
        <v>0</v>
      </c>
      <c r="AJ790">
        <v>0</v>
      </c>
      <c r="AK790">
        <f t="shared" ref="AK790:AK853" si="361">AI790+AJ790</f>
        <v>0</v>
      </c>
      <c r="AL790">
        <f t="shared" si="343"/>
        <v>0</v>
      </c>
      <c r="AM790">
        <f t="shared" ref="AM790:AM853" ca="1" si="362">ABS(ABS(K790)/MAX(((F790)+(G790)*(AD790))*(AD790),0.000001))/SQRT($I$5*MAX((((F790)+(G790)*(AD790))*(AD790))/MAX((F790)+2*(G790)*(AD790),0.000001),0.000001))</f>
        <v>2.6560383008097266E-7</v>
      </c>
      <c r="AN790" t="str">
        <f t="shared" ref="AN790:AN853" ca="1" si="363">IF(AM790&lt;1,"Subcritical","Supercritical")</f>
        <v>Subcritical</v>
      </c>
      <c r="AO790">
        <f t="shared" ref="AO790:AO853" ca="1" si="364">((ABS(K790)*$D$6)/(MAX(((F790)+(G790)*(AD790))*(AD790),0.000001)*MAX(((((F790)+(G790)*(AD790))*(AD790))/MAX((F790)+2*(AD790)*SQRT(1+(G790)^2),0.000001))^(2/3),0.000001)))^2</f>
        <v>2.2562304480281055E-12</v>
      </c>
    </row>
    <row r="791" spans="1:41" x14ac:dyDescent="0.35">
      <c r="A791">
        <v>642</v>
      </c>
      <c r="B791">
        <v>640.89499999999998</v>
      </c>
      <c r="C791">
        <v>616137.505</v>
      </c>
      <c r="D791">
        <v>3097352.5980000002</v>
      </c>
      <c r="E791">
        <v>632.24149999999997</v>
      </c>
      <c r="F791">
        <v>5.2</v>
      </c>
      <c r="G791">
        <v>0</v>
      </c>
      <c r="H791" t="s">
        <v>186</v>
      </c>
      <c r="I791">
        <v>2.3E-2</v>
      </c>
      <c r="J791">
        <f t="shared" ref="J791:J854" si="365">B791-B790</f>
        <v>1</v>
      </c>
      <c r="K791">
        <f t="shared" ref="K791:K854" si="366">MAX(0,K790-AK790)</f>
        <v>51</v>
      </c>
      <c r="L791">
        <f t="shared" ref="L791:L854" ca="1" si="367">IF($D$20=0,L790,IF(T790=0,L790,IF(L791=0,L790,IF(ABS(S791)&gt;$D$19,MAX($D$16,L791+((S791)*$D$18*IF((ABS(ABS(K791)/MAX(((F791)+(G791)*(L791))*(L791),0.000001))/SQRT($I$5*MAX((((F791)+(G791)*(L791))*(L791))/MAX((F791)+2*(G791)*(L791),0.000001),0.000001)))&lt;1,1,-1))),L791))))</f>
        <v>51797.843837663619</v>
      </c>
      <c r="M791">
        <f t="shared" ca="1" si="344"/>
        <v>269348.78795585083</v>
      </c>
      <c r="N791">
        <f t="shared" ca="1" si="345"/>
        <v>2.5998694991876676</v>
      </c>
      <c r="O791">
        <f t="shared" ca="1" si="346"/>
        <v>1.8934557080078435E-4</v>
      </c>
      <c r="P791">
        <f t="shared" ca="1" si="347"/>
        <v>52430.085337663615</v>
      </c>
      <c r="Q791">
        <f t="shared" ca="1" si="348"/>
        <v>52430.085337665441</v>
      </c>
      <c r="R791">
        <f t="shared" ca="1" si="349"/>
        <v>2.2564415439646509E-12</v>
      </c>
      <c r="S791">
        <f t="shared" ref="S791:S854" ca="1" si="368">Q790-(((R790+R791)/2)*J791)-(IF(O790&gt;O791,$D$8*((O790^2-O791^2)/(2*$I$5)),$D$9*((O791^2-O790^2)/(2*$I$5)))+($D$10*(ABS(I791)/90)*(MAX(O790^2,O791^2)/(2*$I$5))))-Q791</f>
        <v>5.0000000192085281E-4</v>
      </c>
      <c r="T791">
        <f t="shared" ref="T791:T854" ca="1" si="369">IF(ABS(S791)&lt;$D$19,1,0)</f>
        <v>1</v>
      </c>
      <c r="U791">
        <f t="shared" ca="1" si="350"/>
        <v>51800.26683766341</v>
      </c>
      <c r="V791">
        <f t="shared" ca="1" si="351"/>
        <v>269361.38755584974</v>
      </c>
      <c r="W791">
        <f t="shared" ca="1" si="352"/>
        <v>2.5998695052916441</v>
      </c>
      <c r="X791">
        <f t="shared" ca="1" si="353"/>
        <v>1.8933671400629237E-4</v>
      </c>
      <c r="Y791">
        <f t="shared" ca="1" si="354"/>
        <v>52432.508337663407</v>
      </c>
      <c r="Z791">
        <f t="shared" ca="1" si="355"/>
        <v>52432.508337665233</v>
      </c>
      <c r="AA791">
        <f t="shared" ca="1" si="356"/>
        <v>2.2562304480281055E-12</v>
      </c>
      <c r="AB791">
        <f t="shared" ca="1" si="357"/>
        <v>-4.999999946448952E-4</v>
      </c>
      <c r="AC791">
        <f t="shared" ca="1" si="358"/>
        <v>1</v>
      </c>
      <c r="AD791">
        <f ca="1">IF(V32="Supercritical",L791,IF(V32="Subcritical",U791,IF(AND(T791=1,AC791=1),IF((((F791)*(L791)^2)/2+(G791)*(L791)^3/3+(ABS(K791)^2)/($I$5*MAX(((F791)+(G791)*(L791))*(L791),0.000001)))&gt;=(((F791)*(U791)^2)/2+(G791)*(U791)^3/3+(ABS(K791)^2)/($I$5*MAX(((F791)+(G791)*(U791))*(U791),0.000001))),L791,U791),IF(T791=1,L791,IF(AC791=1,U791,MAX($D$16,POWER((ABS(K791)^2)/($I$5*MAX(F791,0.1)^2),1/3)))))))</f>
        <v>51800.26683766341</v>
      </c>
      <c r="AE791">
        <f t="shared" ca="1" si="359"/>
        <v>52432.508337663407</v>
      </c>
      <c r="AF791">
        <f t="shared" ca="1" si="360"/>
        <v>52432.508337665233</v>
      </c>
      <c r="AI791">
        <v>0</v>
      </c>
      <c r="AJ791">
        <v>0</v>
      </c>
      <c r="AK791">
        <f t="shared" si="361"/>
        <v>0</v>
      </c>
      <c r="AL791">
        <f t="shared" ref="AL791:AL854" si="370">AL790+AK791</f>
        <v>0</v>
      </c>
      <c r="AM791">
        <f t="shared" ca="1" si="362"/>
        <v>2.6560383008097266E-7</v>
      </c>
      <c r="AN791" t="str">
        <f t="shared" ca="1" si="363"/>
        <v>Subcritical</v>
      </c>
      <c r="AO791">
        <f t="shared" ca="1" si="364"/>
        <v>2.2562304480281055E-12</v>
      </c>
    </row>
    <row r="792" spans="1:41" x14ac:dyDescent="0.35">
      <c r="A792">
        <v>643</v>
      </c>
      <c r="B792">
        <v>641.89599999999996</v>
      </c>
      <c r="C792">
        <v>616137.03</v>
      </c>
      <c r="D792">
        <v>3097351.7170000002</v>
      </c>
      <c r="E792">
        <v>632.24099999999999</v>
      </c>
      <c r="F792">
        <v>5.2</v>
      </c>
      <c r="G792">
        <v>0</v>
      </c>
      <c r="H792" t="s">
        <v>186</v>
      </c>
      <c r="I792">
        <v>2.3E-2</v>
      </c>
      <c r="J792">
        <f t="shared" si="365"/>
        <v>1.0009999999999764</v>
      </c>
      <c r="K792">
        <f t="shared" si="366"/>
        <v>51</v>
      </c>
      <c r="L792">
        <f t="shared" ca="1" si="367"/>
        <v>51797.843837663619</v>
      </c>
      <c r="M792">
        <f t="shared" ca="1" si="344"/>
        <v>269348.78795585083</v>
      </c>
      <c r="N792">
        <f t="shared" ca="1" si="345"/>
        <v>2.5998694991876676</v>
      </c>
      <c r="O792">
        <f t="shared" ca="1" si="346"/>
        <v>1.8934557080078435E-4</v>
      </c>
      <c r="P792">
        <f t="shared" ca="1" si="347"/>
        <v>52430.08483766362</v>
      </c>
      <c r="Q792">
        <f t="shared" ca="1" si="348"/>
        <v>52430.084837665447</v>
      </c>
      <c r="R792">
        <f t="shared" ca="1" si="349"/>
        <v>2.2564415439646509E-12</v>
      </c>
      <c r="S792">
        <f t="shared" ca="1" si="368"/>
        <v>4.999999946448952E-4</v>
      </c>
      <c r="T792">
        <f t="shared" ca="1" si="369"/>
        <v>1</v>
      </c>
      <c r="U792">
        <f t="shared" ca="1" si="350"/>
        <v>51800.26683766341</v>
      </c>
      <c r="V792">
        <f t="shared" ca="1" si="351"/>
        <v>269361.38755584974</v>
      </c>
      <c r="W792">
        <f t="shared" ca="1" si="352"/>
        <v>2.5998695052916441</v>
      </c>
      <c r="X792">
        <f t="shared" ca="1" si="353"/>
        <v>1.8933671400629237E-4</v>
      </c>
      <c r="Y792">
        <f t="shared" ca="1" si="354"/>
        <v>52432.507837663412</v>
      </c>
      <c r="Z792">
        <f t="shared" ca="1" si="355"/>
        <v>52432.507837665238</v>
      </c>
      <c r="AA792">
        <f t="shared" ca="1" si="356"/>
        <v>2.2562304480281055E-12</v>
      </c>
      <c r="AB792">
        <f t="shared" ca="1" si="357"/>
        <v>-5.0000000192085281E-4</v>
      </c>
      <c r="AC792">
        <f t="shared" ca="1" si="358"/>
        <v>1</v>
      </c>
      <c r="AD792">
        <f ca="1">IF(V32="Supercritical",L792,IF(V32="Subcritical",U792,IF(AND(T792=1,AC792=1),IF((((F792)*(L792)^2)/2+(G792)*(L792)^3/3+(ABS(K792)^2)/($I$5*MAX(((F792)+(G792)*(L792))*(L792),0.000001)))&gt;=(((F792)*(U792)^2)/2+(G792)*(U792)^3/3+(ABS(K792)^2)/($I$5*MAX(((F792)+(G792)*(U792))*(U792),0.000001))),L792,U792),IF(T792=1,L792,IF(AC792=1,U792,MAX($D$16,POWER((ABS(K792)^2)/($I$5*MAX(F792,0.1)^2),1/3)))))))</f>
        <v>51800.26683766341</v>
      </c>
      <c r="AE792">
        <f t="shared" ca="1" si="359"/>
        <v>52432.507837663412</v>
      </c>
      <c r="AF792">
        <f t="shared" ca="1" si="360"/>
        <v>52432.507837665238</v>
      </c>
      <c r="AI792">
        <v>0</v>
      </c>
      <c r="AJ792">
        <v>0</v>
      </c>
      <c r="AK792">
        <f t="shared" si="361"/>
        <v>0</v>
      </c>
      <c r="AL792">
        <f t="shared" si="370"/>
        <v>0</v>
      </c>
      <c r="AM792">
        <f t="shared" ca="1" si="362"/>
        <v>2.6560383008097266E-7</v>
      </c>
      <c r="AN792" t="str">
        <f t="shared" ca="1" si="363"/>
        <v>Subcritical</v>
      </c>
      <c r="AO792">
        <f t="shared" ca="1" si="364"/>
        <v>2.2562304480281055E-12</v>
      </c>
    </row>
    <row r="793" spans="1:41" x14ac:dyDescent="0.35">
      <c r="A793">
        <v>644</v>
      </c>
      <c r="B793">
        <v>642.89499999999998</v>
      </c>
      <c r="C793">
        <v>616136.55599999998</v>
      </c>
      <c r="D793">
        <v>3097350.8369999998</v>
      </c>
      <c r="E793">
        <v>632.2405</v>
      </c>
      <c r="F793">
        <v>5.2</v>
      </c>
      <c r="G793">
        <v>0</v>
      </c>
      <c r="H793" t="s">
        <v>186</v>
      </c>
      <c r="I793">
        <v>0</v>
      </c>
      <c r="J793">
        <f t="shared" si="365"/>
        <v>0.99900000000002365</v>
      </c>
      <c r="K793">
        <f t="shared" si="366"/>
        <v>51</v>
      </c>
      <c r="L793">
        <f t="shared" ca="1" si="367"/>
        <v>51797.843837663619</v>
      </c>
      <c r="M793">
        <f t="shared" ca="1" si="344"/>
        <v>269348.78795585083</v>
      </c>
      <c r="N793">
        <f t="shared" ca="1" si="345"/>
        <v>2.5998694991876676</v>
      </c>
      <c r="O793">
        <f t="shared" ca="1" si="346"/>
        <v>1.8934557080078435E-4</v>
      </c>
      <c r="P793">
        <f t="shared" ca="1" si="347"/>
        <v>52430.084337663618</v>
      </c>
      <c r="Q793">
        <f t="shared" ca="1" si="348"/>
        <v>52430.084337665445</v>
      </c>
      <c r="R793">
        <f t="shared" ca="1" si="349"/>
        <v>2.2564415439646509E-12</v>
      </c>
      <c r="S793">
        <f t="shared" ca="1" si="368"/>
        <v>5.0000000192085281E-4</v>
      </c>
      <c r="T793">
        <f t="shared" ca="1" si="369"/>
        <v>1</v>
      </c>
      <c r="U793">
        <f t="shared" ca="1" si="350"/>
        <v>51800.26683766341</v>
      </c>
      <c r="V793">
        <f t="shared" ca="1" si="351"/>
        <v>269361.38755584974</v>
      </c>
      <c r="W793">
        <f t="shared" ca="1" si="352"/>
        <v>2.5998695052916441</v>
      </c>
      <c r="X793">
        <f t="shared" ca="1" si="353"/>
        <v>1.8933671400629237E-4</v>
      </c>
      <c r="Y793">
        <f t="shared" ca="1" si="354"/>
        <v>52432.50733766341</v>
      </c>
      <c r="Z793">
        <f t="shared" ca="1" si="355"/>
        <v>52432.507337665236</v>
      </c>
      <c r="AA793">
        <f t="shared" ca="1" si="356"/>
        <v>2.2562304480281055E-12</v>
      </c>
      <c r="AB793">
        <f t="shared" ca="1" si="357"/>
        <v>-5.0000000192085281E-4</v>
      </c>
      <c r="AC793">
        <f t="shared" ca="1" si="358"/>
        <v>1</v>
      </c>
      <c r="AD793">
        <f ca="1">IF(V32="Supercritical",L793,IF(V32="Subcritical",U793,IF(AND(T793=1,AC793=1),IF((((F793)*(L793)^2)/2+(G793)*(L793)^3/3+(ABS(K793)^2)/($I$5*MAX(((F793)+(G793)*(L793))*(L793),0.000001)))&gt;=(((F793)*(U793)^2)/2+(G793)*(U793)^3/3+(ABS(K793)^2)/($I$5*MAX(((F793)+(G793)*(U793))*(U793),0.000001))),L793,U793),IF(T793=1,L793,IF(AC793=1,U793,MAX($D$16,POWER((ABS(K793)^2)/($I$5*MAX(F793,0.1)^2),1/3)))))))</f>
        <v>51800.26683766341</v>
      </c>
      <c r="AE793">
        <f t="shared" ca="1" si="359"/>
        <v>52432.50733766341</v>
      </c>
      <c r="AF793">
        <f t="shared" ca="1" si="360"/>
        <v>52432.507337665236</v>
      </c>
      <c r="AI793">
        <v>0</v>
      </c>
      <c r="AJ793">
        <v>0</v>
      </c>
      <c r="AK793">
        <f t="shared" si="361"/>
        <v>0</v>
      </c>
      <c r="AL793">
        <f t="shared" si="370"/>
        <v>0</v>
      </c>
      <c r="AM793">
        <f t="shared" ca="1" si="362"/>
        <v>2.6560383008097266E-7</v>
      </c>
      <c r="AN793" t="str">
        <f t="shared" ca="1" si="363"/>
        <v>Subcritical</v>
      </c>
      <c r="AO793">
        <f t="shared" ca="1" si="364"/>
        <v>2.2562304480281055E-12</v>
      </c>
    </row>
    <row r="794" spans="1:41" x14ac:dyDescent="0.35">
      <c r="A794">
        <v>645</v>
      </c>
      <c r="B794">
        <v>643.89499999999998</v>
      </c>
      <c r="C794">
        <v>616136.08200000005</v>
      </c>
      <c r="D794">
        <v>3097349.9569999999</v>
      </c>
      <c r="E794">
        <v>632.24</v>
      </c>
      <c r="F794">
        <v>5.2</v>
      </c>
      <c r="G794">
        <v>0</v>
      </c>
      <c r="H794" t="s">
        <v>186</v>
      </c>
      <c r="I794">
        <v>2.7E-2</v>
      </c>
      <c r="J794">
        <f t="shared" si="365"/>
        <v>1</v>
      </c>
      <c r="K794">
        <f t="shared" si="366"/>
        <v>51</v>
      </c>
      <c r="L794">
        <f t="shared" ca="1" si="367"/>
        <v>51797.843837663619</v>
      </c>
      <c r="M794">
        <f t="shared" ca="1" si="344"/>
        <v>269348.78795585083</v>
      </c>
      <c r="N794">
        <f t="shared" ca="1" si="345"/>
        <v>2.5998694991876676</v>
      </c>
      <c r="O794">
        <f t="shared" ca="1" si="346"/>
        <v>1.8934557080078435E-4</v>
      </c>
      <c r="P794">
        <f t="shared" ca="1" si="347"/>
        <v>52430.083837663617</v>
      </c>
      <c r="Q794">
        <f t="shared" ca="1" si="348"/>
        <v>52430.083837665443</v>
      </c>
      <c r="R794">
        <f t="shared" ca="1" si="349"/>
        <v>2.2564415439646509E-12</v>
      </c>
      <c r="S794">
        <f t="shared" ca="1" si="368"/>
        <v>5.0000000192085281E-4</v>
      </c>
      <c r="T794">
        <f t="shared" ca="1" si="369"/>
        <v>1</v>
      </c>
      <c r="U794">
        <f t="shared" ca="1" si="350"/>
        <v>51800.26683766341</v>
      </c>
      <c r="V794">
        <f t="shared" ca="1" si="351"/>
        <v>269361.38755584974</v>
      </c>
      <c r="W794">
        <f t="shared" ca="1" si="352"/>
        <v>2.5998695052916441</v>
      </c>
      <c r="X794">
        <f t="shared" ca="1" si="353"/>
        <v>1.8933671400629237E-4</v>
      </c>
      <c r="Y794">
        <f t="shared" ca="1" si="354"/>
        <v>52432.506837663408</v>
      </c>
      <c r="Z794">
        <f t="shared" ca="1" si="355"/>
        <v>52432.506837665234</v>
      </c>
      <c r="AA794">
        <f t="shared" ca="1" si="356"/>
        <v>2.2562304480281055E-12</v>
      </c>
      <c r="AB794">
        <f t="shared" ca="1" si="357"/>
        <v>-4.999999946448952E-4</v>
      </c>
      <c r="AC794">
        <f t="shared" ca="1" si="358"/>
        <v>1</v>
      </c>
      <c r="AD794">
        <f ca="1">IF(V32="Supercritical",L794,IF(V32="Subcritical",U794,IF(AND(T794=1,AC794=1),IF((((F794)*(L794)^2)/2+(G794)*(L794)^3/3+(ABS(K794)^2)/($I$5*MAX(((F794)+(G794)*(L794))*(L794),0.000001)))&gt;=(((F794)*(U794)^2)/2+(G794)*(U794)^3/3+(ABS(K794)^2)/($I$5*MAX(((F794)+(G794)*(U794))*(U794),0.000001))),L794,U794),IF(T794=1,L794,IF(AC794=1,U794,MAX($D$16,POWER((ABS(K794)^2)/($I$5*MAX(F794,0.1)^2),1/3)))))))</f>
        <v>51800.26683766341</v>
      </c>
      <c r="AE794">
        <f t="shared" ca="1" si="359"/>
        <v>52432.506837663408</v>
      </c>
      <c r="AF794">
        <f t="shared" ca="1" si="360"/>
        <v>52432.506837665234</v>
      </c>
      <c r="AI794">
        <v>0</v>
      </c>
      <c r="AJ794">
        <v>0</v>
      </c>
      <c r="AK794">
        <f t="shared" si="361"/>
        <v>0</v>
      </c>
      <c r="AL794">
        <f t="shared" si="370"/>
        <v>0</v>
      </c>
      <c r="AM794">
        <f t="shared" ca="1" si="362"/>
        <v>2.6560383008097266E-7</v>
      </c>
      <c r="AN794" t="str">
        <f t="shared" ca="1" si="363"/>
        <v>Subcritical</v>
      </c>
      <c r="AO794">
        <f t="shared" ca="1" si="364"/>
        <v>2.2562304480281055E-12</v>
      </c>
    </row>
    <row r="795" spans="1:41" x14ac:dyDescent="0.35">
      <c r="A795">
        <v>646</v>
      </c>
      <c r="B795">
        <v>644.89499999999998</v>
      </c>
      <c r="C795">
        <v>616135.60800000001</v>
      </c>
      <c r="D795">
        <v>3097349.0759999999</v>
      </c>
      <c r="E795">
        <v>632.23950000000002</v>
      </c>
      <c r="F795">
        <v>5.2</v>
      </c>
      <c r="G795">
        <v>0</v>
      </c>
      <c r="H795" t="s">
        <v>186</v>
      </c>
      <c r="I795">
        <v>7.8E-2</v>
      </c>
      <c r="J795">
        <f t="shared" si="365"/>
        <v>1</v>
      </c>
      <c r="K795">
        <f t="shared" si="366"/>
        <v>51</v>
      </c>
      <c r="L795">
        <f t="shared" ca="1" si="367"/>
        <v>51797.843837663619</v>
      </c>
      <c r="M795">
        <f t="shared" ca="1" si="344"/>
        <v>269348.78795585083</v>
      </c>
      <c r="N795">
        <f t="shared" ca="1" si="345"/>
        <v>2.5998694991876676</v>
      </c>
      <c r="O795">
        <f t="shared" ca="1" si="346"/>
        <v>1.8934557080078435E-4</v>
      </c>
      <c r="P795">
        <f t="shared" ca="1" si="347"/>
        <v>52430.083337663622</v>
      </c>
      <c r="Q795">
        <f t="shared" ca="1" si="348"/>
        <v>52430.083337665448</v>
      </c>
      <c r="R795">
        <f t="shared" ca="1" si="349"/>
        <v>2.2564415439646509E-12</v>
      </c>
      <c r="S795">
        <f t="shared" ca="1" si="368"/>
        <v>4.999999946448952E-4</v>
      </c>
      <c r="T795">
        <f t="shared" ca="1" si="369"/>
        <v>1</v>
      </c>
      <c r="U795">
        <f t="shared" ca="1" si="350"/>
        <v>51800.26683766341</v>
      </c>
      <c r="V795">
        <f t="shared" ca="1" si="351"/>
        <v>269361.38755584974</v>
      </c>
      <c r="W795">
        <f t="shared" ca="1" si="352"/>
        <v>2.5998695052916441</v>
      </c>
      <c r="X795">
        <f t="shared" ca="1" si="353"/>
        <v>1.8933671400629237E-4</v>
      </c>
      <c r="Y795">
        <f t="shared" ca="1" si="354"/>
        <v>52432.506337663413</v>
      </c>
      <c r="Z795">
        <f t="shared" ca="1" si="355"/>
        <v>52432.50633766524</v>
      </c>
      <c r="AA795">
        <f t="shared" ca="1" si="356"/>
        <v>2.2562304480281055E-12</v>
      </c>
      <c r="AB795">
        <f t="shared" ca="1" si="357"/>
        <v>-5.0000000192085281E-4</v>
      </c>
      <c r="AC795">
        <f t="shared" ca="1" si="358"/>
        <v>1</v>
      </c>
      <c r="AD795">
        <f ca="1">IF(V32="Supercritical",L795,IF(V32="Subcritical",U795,IF(AND(T795=1,AC795=1),IF((((F795)*(L795)^2)/2+(G795)*(L795)^3/3+(ABS(K795)^2)/($I$5*MAX(((F795)+(G795)*(L795))*(L795),0.000001)))&gt;=(((F795)*(U795)^2)/2+(G795)*(U795)^3/3+(ABS(K795)^2)/($I$5*MAX(((F795)+(G795)*(U795))*(U795),0.000001))),L795,U795),IF(T795=1,L795,IF(AC795=1,U795,MAX($D$16,POWER((ABS(K795)^2)/($I$5*MAX(F795,0.1)^2),1/3)))))))</f>
        <v>51800.26683766341</v>
      </c>
      <c r="AE795">
        <f t="shared" ca="1" si="359"/>
        <v>52432.506337663413</v>
      </c>
      <c r="AF795">
        <f t="shared" ca="1" si="360"/>
        <v>52432.50633766524</v>
      </c>
      <c r="AI795">
        <v>0</v>
      </c>
      <c r="AJ795">
        <v>0</v>
      </c>
      <c r="AK795">
        <f t="shared" si="361"/>
        <v>0</v>
      </c>
      <c r="AL795">
        <f t="shared" si="370"/>
        <v>0</v>
      </c>
      <c r="AM795">
        <f t="shared" ca="1" si="362"/>
        <v>2.6560383008097266E-7</v>
      </c>
      <c r="AN795" t="str">
        <f t="shared" ca="1" si="363"/>
        <v>Subcritical</v>
      </c>
      <c r="AO795">
        <f t="shared" ca="1" si="364"/>
        <v>2.2562304480281055E-12</v>
      </c>
    </row>
    <row r="796" spans="1:41" x14ac:dyDescent="0.35">
      <c r="A796">
        <v>647</v>
      </c>
      <c r="B796">
        <v>645.89499999999998</v>
      </c>
      <c r="C796">
        <v>616135.13300000003</v>
      </c>
      <c r="D796">
        <v>3097348.196</v>
      </c>
      <c r="E796">
        <v>632.23900000000003</v>
      </c>
      <c r="F796">
        <v>5.2</v>
      </c>
      <c r="G796">
        <v>0</v>
      </c>
      <c r="H796" t="s">
        <v>186</v>
      </c>
      <c r="I796">
        <v>7.8E-2</v>
      </c>
      <c r="J796">
        <f t="shared" si="365"/>
        <v>1</v>
      </c>
      <c r="K796">
        <f t="shared" si="366"/>
        <v>51</v>
      </c>
      <c r="L796">
        <f t="shared" ca="1" si="367"/>
        <v>51797.843837663619</v>
      </c>
      <c r="M796">
        <f t="shared" ca="1" si="344"/>
        <v>269348.78795585083</v>
      </c>
      <c r="N796">
        <f t="shared" ca="1" si="345"/>
        <v>2.5998694991876676</v>
      </c>
      <c r="O796">
        <f t="shared" ca="1" si="346"/>
        <v>1.8934557080078435E-4</v>
      </c>
      <c r="P796">
        <f t="shared" ca="1" si="347"/>
        <v>52430.08283766362</v>
      </c>
      <c r="Q796">
        <f t="shared" ca="1" si="348"/>
        <v>52430.082837665446</v>
      </c>
      <c r="R796">
        <f t="shared" ca="1" si="349"/>
        <v>2.2564415439646509E-12</v>
      </c>
      <c r="S796">
        <f t="shared" ca="1" si="368"/>
        <v>5.0000000192085281E-4</v>
      </c>
      <c r="T796">
        <f t="shared" ca="1" si="369"/>
        <v>1</v>
      </c>
      <c r="U796">
        <f t="shared" ca="1" si="350"/>
        <v>51800.26683766341</v>
      </c>
      <c r="V796">
        <f t="shared" ca="1" si="351"/>
        <v>269361.38755584974</v>
      </c>
      <c r="W796">
        <f t="shared" ca="1" si="352"/>
        <v>2.5998695052916441</v>
      </c>
      <c r="X796">
        <f t="shared" ca="1" si="353"/>
        <v>1.8933671400629237E-4</v>
      </c>
      <c r="Y796">
        <f t="shared" ca="1" si="354"/>
        <v>52432.505837663412</v>
      </c>
      <c r="Z796">
        <f t="shared" ca="1" si="355"/>
        <v>52432.505837665238</v>
      </c>
      <c r="AA796">
        <f t="shared" ca="1" si="356"/>
        <v>2.2562304480281055E-12</v>
      </c>
      <c r="AB796">
        <f t="shared" ca="1" si="357"/>
        <v>-5.0000000192085281E-4</v>
      </c>
      <c r="AC796">
        <f t="shared" ca="1" si="358"/>
        <v>1</v>
      </c>
      <c r="AD796">
        <f ca="1">IF(V32="Supercritical",L796,IF(V32="Subcritical",U796,IF(AND(T796=1,AC796=1),IF((((F796)*(L796)^2)/2+(G796)*(L796)^3/3+(ABS(K796)^2)/($I$5*MAX(((F796)+(G796)*(L796))*(L796),0.000001)))&gt;=(((F796)*(U796)^2)/2+(G796)*(U796)^3/3+(ABS(K796)^2)/($I$5*MAX(((F796)+(G796)*(U796))*(U796),0.000001))),L796,U796),IF(T796=1,L796,IF(AC796=1,U796,MAX($D$16,POWER((ABS(K796)^2)/($I$5*MAX(F796,0.1)^2),1/3)))))))</f>
        <v>51800.26683766341</v>
      </c>
      <c r="AE796">
        <f t="shared" ca="1" si="359"/>
        <v>52432.505837663412</v>
      </c>
      <c r="AF796">
        <f t="shared" ca="1" si="360"/>
        <v>52432.505837665238</v>
      </c>
      <c r="AI796">
        <v>0</v>
      </c>
      <c r="AJ796">
        <v>0</v>
      </c>
      <c r="AK796">
        <f t="shared" si="361"/>
        <v>0</v>
      </c>
      <c r="AL796">
        <f t="shared" si="370"/>
        <v>0</v>
      </c>
      <c r="AM796">
        <f t="shared" ca="1" si="362"/>
        <v>2.6560383008097266E-7</v>
      </c>
      <c r="AN796" t="str">
        <f t="shared" ca="1" si="363"/>
        <v>Subcritical</v>
      </c>
      <c r="AO796">
        <f t="shared" ca="1" si="364"/>
        <v>2.2562304480281055E-12</v>
      </c>
    </row>
    <row r="797" spans="1:41" x14ac:dyDescent="0.35">
      <c r="A797">
        <v>648</v>
      </c>
      <c r="B797">
        <v>646.89599999999996</v>
      </c>
      <c r="C797">
        <v>616134.65899999999</v>
      </c>
      <c r="D797">
        <v>3097347.3149999999</v>
      </c>
      <c r="E797">
        <v>632.23850000000004</v>
      </c>
      <c r="F797">
        <v>5.2</v>
      </c>
      <c r="G797">
        <v>0</v>
      </c>
      <c r="H797" t="s">
        <v>186</v>
      </c>
      <c r="I797">
        <v>2.7E-2</v>
      </c>
      <c r="J797">
        <f t="shared" si="365"/>
        <v>1.0009999999999764</v>
      </c>
      <c r="K797">
        <f t="shared" si="366"/>
        <v>51</v>
      </c>
      <c r="L797">
        <f t="shared" ca="1" si="367"/>
        <v>51797.843837663619</v>
      </c>
      <c r="M797">
        <f t="shared" ca="1" si="344"/>
        <v>269348.78795585083</v>
      </c>
      <c r="N797">
        <f t="shared" ca="1" si="345"/>
        <v>2.5998694991876676</v>
      </c>
      <c r="O797">
        <f t="shared" ca="1" si="346"/>
        <v>1.8934557080078435E-4</v>
      </c>
      <c r="P797">
        <f t="shared" ca="1" si="347"/>
        <v>52430.082337663618</v>
      </c>
      <c r="Q797">
        <f t="shared" ca="1" si="348"/>
        <v>52430.082337665444</v>
      </c>
      <c r="R797">
        <f t="shared" ca="1" si="349"/>
        <v>2.2564415439646509E-12</v>
      </c>
      <c r="S797">
        <f t="shared" ca="1" si="368"/>
        <v>5.0000000192085281E-4</v>
      </c>
      <c r="T797">
        <f t="shared" ca="1" si="369"/>
        <v>1</v>
      </c>
      <c r="U797">
        <f t="shared" ca="1" si="350"/>
        <v>51800.26683766341</v>
      </c>
      <c r="V797">
        <f t="shared" ca="1" si="351"/>
        <v>269361.38755584974</v>
      </c>
      <c r="W797">
        <f t="shared" ca="1" si="352"/>
        <v>2.5998695052916441</v>
      </c>
      <c r="X797">
        <f t="shared" ca="1" si="353"/>
        <v>1.8933671400629237E-4</v>
      </c>
      <c r="Y797">
        <f t="shared" ca="1" si="354"/>
        <v>52432.50533766341</v>
      </c>
      <c r="Z797">
        <f t="shared" ca="1" si="355"/>
        <v>52432.505337665236</v>
      </c>
      <c r="AA797">
        <f t="shared" ca="1" si="356"/>
        <v>2.2562304480281055E-12</v>
      </c>
      <c r="AB797">
        <f t="shared" ca="1" si="357"/>
        <v>-5.0000000192085281E-4</v>
      </c>
      <c r="AC797">
        <f t="shared" ca="1" si="358"/>
        <v>1</v>
      </c>
      <c r="AD797">
        <f ca="1">IF(V32="Supercritical",L797,IF(V32="Subcritical",U797,IF(AND(T797=1,AC797=1),IF((((F797)*(L797)^2)/2+(G797)*(L797)^3/3+(ABS(K797)^2)/($I$5*MAX(((F797)+(G797)*(L797))*(L797),0.000001)))&gt;=(((F797)*(U797)^2)/2+(G797)*(U797)^3/3+(ABS(K797)^2)/($I$5*MAX(((F797)+(G797)*(U797))*(U797),0.000001))),L797,U797),IF(T797=1,L797,IF(AC797=1,U797,MAX($D$16,POWER((ABS(K797)^2)/($I$5*MAX(F797,0.1)^2),1/3)))))))</f>
        <v>51800.26683766341</v>
      </c>
      <c r="AE797">
        <f t="shared" ca="1" si="359"/>
        <v>52432.50533766341</v>
      </c>
      <c r="AF797">
        <f t="shared" ca="1" si="360"/>
        <v>52432.505337665236</v>
      </c>
      <c r="AI797">
        <v>0</v>
      </c>
      <c r="AJ797">
        <v>0</v>
      </c>
      <c r="AK797">
        <f t="shared" si="361"/>
        <v>0</v>
      </c>
      <c r="AL797">
        <f t="shared" si="370"/>
        <v>0</v>
      </c>
      <c r="AM797">
        <f t="shared" ca="1" si="362"/>
        <v>2.6560383008097266E-7</v>
      </c>
      <c r="AN797" t="str">
        <f t="shared" ca="1" si="363"/>
        <v>Subcritical</v>
      </c>
      <c r="AO797">
        <f t="shared" ca="1" si="364"/>
        <v>2.2562304480281055E-12</v>
      </c>
    </row>
    <row r="798" spans="1:41" x14ac:dyDescent="0.35">
      <c r="A798">
        <v>649</v>
      </c>
      <c r="B798">
        <v>647.89499999999998</v>
      </c>
      <c r="C798">
        <v>616134.18500000006</v>
      </c>
      <c r="D798">
        <v>3097346.4350000001</v>
      </c>
      <c r="E798">
        <v>632.23800000000006</v>
      </c>
      <c r="F798">
        <v>5.2</v>
      </c>
      <c r="G798">
        <v>0</v>
      </c>
      <c r="H798" t="s">
        <v>186</v>
      </c>
      <c r="I798">
        <v>0</v>
      </c>
      <c r="J798">
        <f t="shared" si="365"/>
        <v>0.99900000000002365</v>
      </c>
      <c r="K798">
        <f t="shared" si="366"/>
        <v>51</v>
      </c>
      <c r="L798">
        <f t="shared" ca="1" si="367"/>
        <v>51797.843837663619</v>
      </c>
      <c r="M798">
        <f t="shared" ca="1" si="344"/>
        <v>269348.78795585083</v>
      </c>
      <c r="N798">
        <f t="shared" ca="1" si="345"/>
        <v>2.5998694991876676</v>
      </c>
      <c r="O798">
        <f t="shared" ca="1" si="346"/>
        <v>1.8934557080078435E-4</v>
      </c>
      <c r="P798">
        <f t="shared" ca="1" si="347"/>
        <v>52430.081837663616</v>
      </c>
      <c r="Q798">
        <f t="shared" ca="1" si="348"/>
        <v>52430.081837665442</v>
      </c>
      <c r="R798">
        <f t="shared" ca="1" si="349"/>
        <v>2.2564415439646509E-12</v>
      </c>
      <c r="S798">
        <f t="shared" ca="1" si="368"/>
        <v>5.0000000192085281E-4</v>
      </c>
      <c r="T798">
        <f t="shared" ca="1" si="369"/>
        <v>1</v>
      </c>
      <c r="U798">
        <f t="shared" ca="1" si="350"/>
        <v>51800.26683766341</v>
      </c>
      <c r="V798">
        <f t="shared" ca="1" si="351"/>
        <v>269361.38755584974</v>
      </c>
      <c r="W798">
        <f t="shared" ca="1" si="352"/>
        <v>2.5998695052916441</v>
      </c>
      <c r="X798">
        <f t="shared" ca="1" si="353"/>
        <v>1.8933671400629237E-4</v>
      </c>
      <c r="Y798">
        <f t="shared" ca="1" si="354"/>
        <v>52432.504837663408</v>
      </c>
      <c r="Z798">
        <f t="shared" ca="1" si="355"/>
        <v>52432.504837665234</v>
      </c>
      <c r="AA798">
        <f t="shared" ca="1" si="356"/>
        <v>2.2562304480281055E-12</v>
      </c>
      <c r="AB798">
        <f t="shared" ca="1" si="357"/>
        <v>-4.999999946448952E-4</v>
      </c>
      <c r="AC798">
        <f t="shared" ca="1" si="358"/>
        <v>1</v>
      </c>
      <c r="AD798">
        <f ca="1">IF(V32="Supercritical",L798,IF(V32="Subcritical",U798,IF(AND(T798=1,AC798=1),IF((((F798)*(L798)^2)/2+(G798)*(L798)^3/3+(ABS(K798)^2)/($I$5*MAX(((F798)+(G798)*(L798))*(L798),0.000001)))&gt;=(((F798)*(U798)^2)/2+(G798)*(U798)^3/3+(ABS(K798)^2)/($I$5*MAX(((F798)+(G798)*(U798))*(U798),0.000001))),L798,U798),IF(T798=1,L798,IF(AC798=1,U798,MAX($D$16,POWER((ABS(K798)^2)/($I$5*MAX(F798,0.1)^2),1/3)))))))</f>
        <v>51800.26683766341</v>
      </c>
      <c r="AE798">
        <f t="shared" ca="1" si="359"/>
        <v>52432.504837663408</v>
      </c>
      <c r="AF798">
        <f t="shared" ca="1" si="360"/>
        <v>52432.504837665234</v>
      </c>
      <c r="AI798">
        <v>0</v>
      </c>
      <c r="AJ798">
        <v>0</v>
      </c>
      <c r="AK798">
        <f t="shared" si="361"/>
        <v>0</v>
      </c>
      <c r="AL798">
        <f t="shared" si="370"/>
        <v>0</v>
      </c>
      <c r="AM798">
        <f t="shared" ca="1" si="362"/>
        <v>2.6560383008097266E-7</v>
      </c>
      <c r="AN798" t="str">
        <f t="shared" ca="1" si="363"/>
        <v>Subcritical</v>
      </c>
      <c r="AO798">
        <f t="shared" ca="1" si="364"/>
        <v>2.2562304480281055E-12</v>
      </c>
    </row>
    <row r="799" spans="1:41" x14ac:dyDescent="0.35">
      <c r="A799">
        <v>650</v>
      </c>
      <c r="B799">
        <v>648.89499999999998</v>
      </c>
      <c r="C799">
        <v>616133.71100000001</v>
      </c>
      <c r="D799">
        <v>3097345.5550000002</v>
      </c>
      <c r="E799">
        <v>632.23749999999995</v>
      </c>
      <c r="F799">
        <v>5.2</v>
      </c>
      <c r="G799">
        <v>0</v>
      </c>
      <c r="H799" t="s">
        <v>186</v>
      </c>
      <c r="I799">
        <v>2.3E-2</v>
      </c>
      <c r="J799">
        <f t="shared" si="365"/>
        <v>1</v>
      </c>
      <c r="K799">
        <f t="shared" si="366"/>
        <v>51</v>
      </c>
      <c r="L799">
        <f t="shared" ca="1" si="367"/>
        <v>51797.843837663619</v>
      </c>
      <c r="M799">
        <f t="shared" ca="1" si="344"/>
        <v>269348.78795585083</v>
      </c>
      <c r="N799">
        <f t="shared" ca="1" si="345"/>
        <v>2.5998694991876676</v>
      </c>
      <c r="O799">
        <f t="shared" ca="1" si="346"/>
        <v>1.8934557080078435E-4</v>
      </c>
      <c r="P799">
        <f t="shared" ca="1" si="347"/>
        <v>52430.081337663622</v>
      </c>
      <c r="Q799">
        <f t="shared" ca="1" si="348"/>
        <v>52430.081337665448</v>
      </c>
      <c r="R799">
        <f t="shared" ca="1" si="349"/>
        <v>2.2564415439646509E-12</v>
      </c>
      <c r="S799">
        <f t="shared" ca="1" si="368"/>
        <v>4.999999946448952E-4</v>
      </c>
      <c r="T799">
        <f t="shared" ca="1" si="369"/>
        <v>1</v>
      </c>
      <c r="U799">
        <f t="shared" ca="1" si="350"/>
        <v>51800.26683766341</v>
      </c>
      <c r="V799">
        <f t="shared" ca="1" si="351"/>
        <v>269361.38755584974</v>
      </c>
      <c r="W799">
        <f t="shared" ca="1" si="352"/>
        <v>2.5998695052916441</v>
      </c>
      <c r="X799">
        <f t="shared" ca="1" si="353"/>
        <v>1.8933671400629237E-4</v>
      </c>
      <c r="Y799">
        <f t="shared" ca="1" si="354"/>
        <v>52432.504337663413</v>
      </c>
      <c r="Z799">
        <f t="shared" ca="1" si="355"/>
        <v>52432.504337665239</v>
      </c>
      <c r="AA799">
        <f t="shared" ca="1" si="356"/>
        <v>2.2562304480281055E-12</v>
      </c>
      <c r="AB799">
        <f t="shared" ca="1" si="357"/>
        <v>-5.0000000192085281E-4</v>
      </c>
      <c r="AC799">
        <f t="shared" ca="1" si="358"/>
        <v>1</v>
      </c>
      <c r="AD799">
        <f ca="1">IF(V32="Supercritical",L799,IF(V32="Subcritical",U799,IF(AND(T799=1,AC799=1),IF((((F799)*(L799)^2)/2+(G799)*(L799)^3/3+(ABS(K799)^2)/($I$5*MAX(((F799)+(G799)*(L799))*(L799),0.000001)))&gt;=(((F799)*(U799)^2)/2+(G799)*(U799)^3/3+(ABS(K799)^2)/($I$5*MAX(((F799)+(G799)*(U799))*(U799),0.000001))),L799,U799),IF(T799=1,L799,IF(AC799=1,U799,MAX($D$16,POWER((ABS(K799)^2)/($I$5*MAX(F799,0.1)^2),1/3)))))))</f>
        <v>51800.26683766341</v>
      </c>
      <c r="AE799">
        <f t="shared" ca="1" si="359"/>
        <v>52432.504337663413</v>
      </c>
      <c r="AF799">
        <f t="shared" ca="1" si="360"/>
        <v>52432.504337665239</v>
      </c>
      <c r="AI799">
        <v>0</v>
      </c>
      <c r="AJ799">
        <v>0</v>
      </c>
      <c r="AK799">
        <f t="shared" si="361"/>
        <v>0</v>
      </c>
      <c r="AL799">
        <f t="shared" si="370"/>
        <v>0</v>
      </c>
      <c r="AM799">
        <f t="shared" ca="1" si="362"/>
        <v>2.6560383008097266E-7</v>
      </c>
      <c r="AN799" t="str">
        <f t="shared" ca="1" si="363"/>
        <v>Subcritical</v>
      </c>
      <c r="AO799">
        <f t="shared" ca="1" si="364"/>
        <v>2.2562304480281055E-12</v>
      </c>
    </row>
    <row r="800" spans="1:41" x14ac:dyDescent="0.35">
      <c r="A800">
        <v>651</v>
      </c>
      <c r="B800">
        <v>649.89599999999996</v>
      </c>
      <c r="C800">
        <v>616133.23600000003</v>
      </c>
      <c r="D800">
        <v>3097344.6740000001</v>
      </c>
      <c r="E800">
        <v>632.23699999999997</v>
      </c>
      <c r="F800">
        <v>5.2</v>
      </c>
      <c r="G800">
        <v>0</v>
      </c>
      <c r="H800" t="s">
        <v>186</v>
      </c>
      <c r="I800">
        <v>2.3E-2</v>
      </c>
      <c r="J800">
        <f t="shared" si="365"/>
        <v>1.0009999999999764</v>
      </c>
      <c r="K800">
        <f t="shared" si="366"/>
        <v>51</v>
      </c>
      <c r="L800">
        <f t="shared" ca="1" si="367"/>
        <v>51797.843837663619</v>
      </c>
      <c r="M800">
        <f t="shared" ca="1" si="344"/>
        <v>269348.78795585083</v>
      </c>
      <c r="N800">
        <f t="shared" ca="1" si="345"/>
        <v>2.5998694991876676</v>
      </c>
      <c r="O800">
        <f t="shared" ca="1" si="346"/>
        <v>1.8934557080078435E-4</v>
      </c>
      <c r="P800">
        <f t="shared" ca="1" si="347"/>
        <v>52430.08083766362</v>
      </c>
      <c r="Q800">
        <f t="shared" ca="1" si="348"/>
        <v>52430.080837665446</v>
      </c>
      <c r="R800">
        <f t="shared" ca="1" si="349"/>
        <v>2.2564415439646509E-12</v>
      </c>
      <c r="S800">
        <f t="shared" ca="1" si="368"/>
        <v>5.0000000192085281E-4</v>
      </c>
      <c r="T800">
        <f t="shared" ca="1" si="369"/>
        <v>1</v>
      </c>
      <c r="U800">
        <f t="shared" ca="1" si="350"/>
        <v>51800.26683766341</v>
      </c>
      <c r="V800">
        <f t="shared" ca="1" si="351"/>
        <v>269361.38755584974</v>
      </c>
      <c r="W800">
        <f t="shared" ca="1" si="352"/>
        <v>2.5998695052916441</v>
      </c>
      <c r="X800">
        <f t="shared" ca="1" si="353"/>
        <v>1.8933671400629237E-4</v>
      </c>
      <c r="Y800">
        <f t="shared" ca="1" si="354"/>
        <v>52432.503837663411</v>
      </c>
      <c r="Z800">
        <f t="shared" ca="1" si="355"/>
        <v>52432.503837665237</v>
      </c>
      <c r="AA800">
        <f t="shared" ca="1" si="356"/>
        <v>2.2562304480281055E-12</v>
      </c>
      <c r="AB800">
        <f t="shared" ca="1" si="357"/>
        <v>-5.0000000192085281E-4</v>
      </c>
      <c r="AC800">
        <f t="shared" ca="1" si="358"/>
        <v>1</v>
      </c>
      <c r="AD800">
        <f ca="1">IF(V32="Supercritical",L800,IF(V32="Subcritical",U800,IF(AND(T800=1,AC800=1),IF((((F800)*(L800)^2)/2+(G800)*(L800)^3/3+(ABS(K800)^2)/($I$5*MAX(((F800)+(G800)*(L800))*(L800),0.000001)))&gt;=(((F800)*(U800)^2)/2+(G800)*(U800)^3/3+(ABS(K800)^2)/($I$5*MAX(((F800)+(G800)*(U800))*(U800),0.000001))),L800,U800),IF(T800=1,L800,IF(AC800=1,U800,MAX($D$16,POWER((ABS(K800)^2)/($I$5*MAX(F800,0.1)^2),1/3)))))))</f>
        <v>51800.26683766341</v>
      </c>
      <c r="AE800">
        <f t="shared" ca="1" si="359"/>
        <v>52432.503837663411</v>
      </c>
      <c r="AF800">
        <f t="shared" ca="1" si="360"/>
        <v>52432.503837665237</v>
      </c>
      <c r="AI800">
        <v>0</v>
      </c>
      <c r="AJ800">
        <v>0</v>
      </c>
      <c r="AK800">
        <f t="shared" si="361"/>
        <v>0</v>
      </c>
      <c r="AL800">
        <f t="shared" si="370"/>
        <v>0</v>
      </c>
      <c r="AM800">
        <f t="shared" ca="1" si="362"/>
        <v>2.6560383008097266E-7</v>
      </c>
      <c r="AN800" t="str">
        <f t="shared" ca="1" si="363"/>
        <v>Subcritical</v>
      </c>
      <c r="AO800">
        <f t="shared" ca="1" si="364"/>
        <v>2.2562304480281055E-12</v>
      </c>
    </row>
    <row r="801" spans="1:41" x14ac:dyDescent="0.35">
      <c r="A801">
        <v>652</v>
      </c>
      <c r="B801">
        <v>650.89499999999998</v>
      </c>
      <c r="C801">
        <v>616132.76199999999</v>
      </c>
      <c r="D801">
        <v>3097343.7940000002</v>
      </c>
      <c r="E801">
        <v>632.23649999999998</v>
      </c>
      <c r="F801">
        <v>5.2</v>
      </c>
      <c r="G801">
        <v>0</v>
      </c>
      <c r="H801" t="s">
        <v>186</v>
      </c>
      <c r="I801">
        <v>2.7E-2</v>
      </c>
      <c r="J801">
        <f t="shared" si="365"/>
        <v>0.99900000000002365</v>
      </c>
      <c r="K801">
        <f t="shared" si="366"/>
        <v>51</v>
      </c>
      <c r="L801">
        <f t="shared" ca="1" si="367"/>
        <v>51797.843837663619</v>
      </c>
      <c r="M801">
        <f t="shared" ca="1" si="344"/>
        <v>269348.78795585083</v>
      </c>
      <c r="N801">
        <f t="shared" ca="1" si="345"/>
        <v>2.5998694991876676</v>
      </c>
      <c r="O801">
        <f t="shared" ca="1" si="346"/>
        <v>1.8934557080078435E-4</v>
      </c>
      <c r="P801">
        <f t="shared" ca="1" si="347"/>
        <v>52430.080337663618</v>
      </c>
      <c r="Q801">
        <f t="shared" ca="1" si="348"/>
        <v>52430.080337665444</v>
      </c>
      <c r="R801">
        <f t="shared" ca="1" si="349"/>
        <v>2.2564415439646509E-12</v>
      </c>
      <c r="S801">
        <f t="shared" ca="1" si="368"/>
        <v>5.0000000192085281E-4</v>
      </c>
      <c r="T801">
        <f t="shared" ca="1" si="369"/>
        <v>1</v>
      </c>
      <c r="U801">
        <f t="shared" ca="1" si="350"/>
        <v>51800.26683766341</v>
      </c>
      <c r="V801">
        <f t="shared" ca="1" si="351"/>
        <v>269361.38755584974</v>
      </c>
      <c r="W801">
        <f t="shared" ca="1" si="352"/>
        <v>2.5998695052916441</v>
      </c>
      <c r="X801">
        <f t="shared" ca="1" si="353"/>
        <v>1.8933671400629237E-4</v>
      </c>
      <c r="Y801">
        <f t="shared" ca="1" si="354"/>
        <v>52432.503337663409</v>
      </c>
      <c r="Z801">
        <f t="shared" ca="1" si="355"/>
        <v>52432.503337665235</v>
      </c>
      <c r="AA801">
        <f t="shared" ca="1" si="356"/>
        <v>2.2562304480281055E-12</v>
      </c>
      <c r="AB801">
        <f t="shared" ca="1" si="357"/>
        <v>-5.0000000192085281E-4</v>
      </c>
      <c r="AC801">
        <f t="shared" ca="1" si="358"/>
        <v>1</v>
      </c>
      <c r="AD801">
        <f ca="1">IF(V32="Supercritical",L801,IF(V32="Subcritical",U801,IF(AND(T801=1,AC801=1),IF((((F801)*(L801)^2)/2+(G801)*(L801)^3/3+(ABS(K801)^2)/($I$5*MAX(((F801)+(G801)*(L801))*(L801),0.000001)))&gt;=(((F801)*(U801)^2)/2+(G801)*(U801)^3/3+(ABS(K801)^2)/($I$5*MAX(((F801)+(G801)*(U801))*(U801),0.000001))),L801,U801),IF(T801=1,L801,IF(AC801=1,U801,MAX($D$16,POWER((ABS(K801)^2)/($I$5*MAX(F801,0.1)^2),1/3)))))))</f>
        <v>51800.26683766341</v>
      </c>
      <c r="AE801">
        <f t="shared" ca="1" si="359"/>
        <v>52432.503337663409</v>
      </c>
      <c r="AF801">
        <f t="shared" ca="1" si="360"/>
        <v>52432.503337665235</v>
      </c>
      <c r="AI801">
        <v>0</v>
      </c>
      <c r="AJ801">
        <v>0</v>
      </c>
      <c r="AK801">
        <f t="shared" si="361"/>
        <v>0</v>
      </c>
      <c r="AL801">
        <f t="shared" si="370"/>
        <v>0</v>
      </c>
      <c r="AM801">
        <f t="shared" ca="1" si="362"/>
        <v>2.6560383008097266E-7</v>
      </c>
      <c r="AN801" t="str">
        <f t="shared" ca="1" si="363"/>
        <v>Subcritical</v>
      </c>
      <c r="AO801">
        <f t="shared" ca="1" si="364"/>
        <v>2.2562304480281055E-12</v>
      </c>
    </row>
    <row r="802" spans="1:41" x14ac:dyDescent="0.35">
      <c r="A802">
        <v>653</v>
      </c>
      <c r="B802">
        <v>651.89599999999996</v>
      </c>
      <c r="C802">
        <v>616132.28799999994</v>
      </c>
      <c r="D802">
        <v>3097342.9130000002</v>
      </c>
      <c r="E802">
        <v>632.23599999999999</v>
      </c>
      <c r="F802">
        <v>5.2</v>
      </c>
      <c r="G802">
        <v>0</v>
      </c>
      <c r="H802" t="s">
        <v>186</v>
      </c>
      <c r="I802">
        <v>2.7E-2</v>
      </c>
      <c r="J802">
        <f t="shared" si="365"/>
        <v>1.0009999999999764</v>
      </c>
      <c r="K802">
        <f t="shared" si="366"/>
        <v>51</v>
      </c>
      <c r="L802">
        <f t="shared" ca="1" si="367"/>
        <v>51797.843837663619</v>
      </c>
      <c r="M802">
        <f t="shared" ca="1" si="344"/>
        <v>269348.78795585083</v>
      </c>
      <c r="N802">
        <f t="shared" ca="1" si="345"/>
        <v>2.5998694991876676</v>
      </c>
      <c r="O802">
        <f t="shared" ca="1" si="346"/>
        <v>1.8934557080078435E-4</v>
      </c>
      <c r="P802">
        <f t="shared" ca="1" si="347"/>
        <v>52430.079837663616</v>
      </c>
      <c r="Q802">
        <f t="shared" ca="1" si="348"/>
        <v>52430.079837665442</v>
      </c>
      <c r="R802">
        <f t="shared" ca="1" si="349"/>
        <v>2.2564415439646509E-12</v>
      </c>
      <c r="S802">
        <f t="shared" ca="1" si="368"/>
        <v>5.0000000192085281E-4</v>
      </c>
      <c r="T802">
        <f t="shared" ca="1" si="369"/>
        <v>1</v>
      </c>
      <c r="U802">
        <f t="shared" ca="1" si="350"/>
        <v>51800.26683766341</v>
      </c>
      <c r="V802">
        <f t="shared" ca="1" si="351"/>
        <v>269361.38755584974</v>
      </c>
      <c r="W802">
        <f t="shared" ca="1" si="352"/>
        <v>2.5998695052916441</v>
      </c>
      <c r="X802">
        <f t="shared" ca="1" si="353"/>
        <v>1.8933671400629237E-4</v>
      </c>
      <c r="Y802">
        <f t="shared" ca="1" si="354"/>
        <v>52432.502837663407</v>
      </c>
      <c r="Z802">
        <f t="shared" ca="1" si="355"/>
        <v>52432.502837665234</v>
      </c>
      <c r="AA802">
        <f t="shared" ca="1" si="356"/>
        <v>2.2562304480281055E-12</v>
      </c>
      <c r="AB802">
        <f t="shared" ca="1" si="357"/>
        <v>-4.999999946448952E-4</v>
      </c>
      <c r="AC802">
        <f t="shared" ca="1" si="358"/>
        <v>1</v>
      </c>
      <c r="AD802">
        <f ca="1">IF(V32="Supercritical",L802,IF(V32="Subcritical",U802,IF(AND(T802=1,AC802=1),IF((((F802)*(L802)^2)/2+(G802)*(L802)^3/3+(ABS(K802)^2)/($I$5*MAX(((F802)+(G802)*(L802))*(L802),0.000001)))&gt;=(((F802)*(U802)^2)/2+(G802)*(U802)^3/3+(ABS(K802)^2)/($I$5*MAX(((F802)+(G802)*(U802))*(U802),0.000001))),L802,U802),IF(T802=1,L802,IF(AC802=1,U802,MAX($D$16,POWER((ABS(K802)^2)/($I$5*MAX(F802,0.1)^2),1/3)))))))</f>
        <v>51800.26683766341</v>
      </c>
      <c r="AE802">
        <f t="shared" ca="1" si="359"/>
        <v>52432.502837663407</v>
      </c>
      <c r="AF802">
        <f t="shared" ca="1" si="360"/>
        <v>52432.502837665234</v>
      </c>
      <c r="AI802">
        <v>0</v>
      </c>
      <c r="AJ802">
        <v>0</v>
      </c>
      <c r="AK802">
        <f t="shared" si="361"/>
        <v>0</v>
      </c>
      <c r="AL802">
        <f t="shared" si="370"/>
        <v>0</v>
      </c>
      <c r="AM802">
        <f t="shared" ca="1" si="362"/>
        <v>2.6560383008097266E-7</v>
      </c>
      <c r="AN802" t="str">
        <f t="shared" ca="1" si="363"/>
        <v>Subcritical</v>
      </c>
      <c r="AO802">
        <f t="shared" ca="1" si="364"/>
        <v>2.2562304480281055E-12</v>
      </c>
    </row>
    <row r="803" spans="1:41" x14ac:dyDescent="0.35">
      <c r="A803">
        <v>654</v>
      </c>
      <c r="B803">
        <v>652.89499999999998</v>
      </c>
      <c r="C803">
        <v>616131.81400000001</v>
      </c>
      <c r="D803">
        <v>3097342.0329999998</v>
      </c>
      <c r="E803">
        <v>632.2355</v>
      </c>
      <c r="F803">
        <v>5.2</v>
      </c>
      <c r="G803">
        <v>0</v>
      </c>
      <c r="H803" t="s">
        <v>186</v>
      </c>
      <c r="I803">
        <v>0</v>
      </c>
      <c r="J803">
        <f t="shared" si="365"/>
        <v>0.99900000000002365</v>
      </c>
      <c r="K803">
        <f t="shared" si="366"/>
        <v>51</v>
      </c>
      <c r="L803">
        <f t="shared" ca="1" si="367"/>
        <v>51797.843837663619</v>
      </c>
      <c r="M803">
        <f t="shared" ca="1" si="344"/>
        <v>269348.78795585083</v>
      </c>
      <c r="N803">
        <f t="shared" ca="1" si="345"/>
        <v>2.5998694991876676</v>
      </c>
      <c r="O803">
        <f t="shared" ca="1" si="346"/>
        <v>1.8934557080078435E-4</v>
      </c>
      <c r="P803">
        <f t="shared" ca="1" si="347"/>
        <v>52430.079337663621</v>
      </c>
      <c r="Q803">
        <f t="shared" ca="1" si="348"/>
        <v>52430.079337665447</v>
      </c>
      <c r="R803">
        <f t="shared" ca="1" si="349"/>
        <v>2.2564415439646509E-12</v>
      </c>
      <c r="S803">
        <f t="shared" ca="1" si="368"/>
        <v>4.999999946448952E-4</v>
      </c>
      <c r="T803">
        <f t="shared" ca="1" si="369"/>
        <v>1</v>
      </c>
      <c r="U803">
        <f t="shared" ca="1" si="350"/>
        <v>51800.26683766341</v>
      </c>
      <c r="V803">
        <f t="shared" ca="1" si="351"/>
        <v>269361.38755584974</v>
      </c>
      <c r="W803">
        <f t="shared" ca="1" si="352"/>
        <v>2.5998695052916441</v>
      </c>
      <c r="X803">
        <f t="shared" ca="1" si="353"/>
        <v>1.8933671400629237E-4</v>
      </c>
      <c r="Y803">
        <f t="shared" ca="1" si="354"/>
        <v>52432.502337663413</v>
      </c>
      <c r="Z803">
        <f t="shared" ca="1" si="355"/>
        <v>52432.502337665239</v>
      </c>
      <c r="AA803">
        <f t="shared" ca="1" si="356"/>
        <v>2.2562304480281055E-12</v>
      </c>
      <c r="AB803">
        <f t="shared" ca="1" si="357"/>
        <v>-5.0000000192085281E-4</v>
      </c>
      <c r="AC803">
        <f t="shared" ca="1" si="358"/>
        <v>1</v>
      </c>
      <c r="AD803">
        <f ca="1">IF(V32="Supercritical",L803,IF(V32="Subcritical",U803,IF(AND(T803=1,AC803=1),IF((((F803)*(L803)^2)/2+(G803)*(L803)^3/3+(ABS(K803)^2)/($I$5*MAX(((F803)+(G803)*(L803))*(L803),0.000001)))&gt;=(((F803)*(U803)^2)/2+(G803)*(U803)^3/3+(ABS(K803)^2)/($I$5*MAX(((F803)+(G803)*(U803))*(U803),0.000001))),L803,U803),IF(T803=1,L803,IF(AC803=1,U803,MAX($D$16,POWER((ABS(K803)^2)/($I$5*MAX(F803,0.1)^2),1/3)))))))</f>
        <v>51800.26683766341</v>
      </c>
      <c r="AE803">
        <f t="shared" ca="1" si="359"/>
        <v>52432.502337663413</v>
      </c>
      <c r="AF803">
        <f t="shared" ca="1" si="360"/>
        <v>52432.502337665239</v>
      </c>
      <c r="AI803">
        <v>0</v>
      </c>
      <c r="AJ803">
        <v>0</v>
      </c>
      <c r="AK803">
        <f t="shared" si="361"/>
        <v>0</v>
      </c>
      <c r="AL803">
        <f t="shared" si="370"/>
        <v>0</v>
      </c>
      <c r="AM803">
        <f t="shared" ca="1" si="362"/>
        <v>2.6560383008097266E-7</v>
      </c>
      <c r="AN803" t="str">
        <f t="shared" ca="1" si="363"/>
        <v>Subcritical</v>
      </c>
      <c r="AO803">
        <f t="shared" ca="1" si="364"/>
        <v>2.2562304480281055E-12</v>
      </c>
    </row>
    <row r="804" spans="1:41" x14ac:dyDescent="0.35">
      <c r="A804">
        <v>655</v>
      </c>
      <c r="B804">
        <v>653.89499999999998</v>
      </c>
      <c r="C804">
        <v>616131.34</v>
      </c>
      <c r="D804">
        <v>3097341.1529999999</v>
      </c>
      <c r="E804">
        <v>632.23500000000001</v>
      </c>
      <c r="F804">
        <v>5.2</v>
      </c>
      <c r="G804">
        <v>0</v>
      </c>
      <c r="H804" t="s">
        <v>186</v>
      </c>
      <c r="I804">
        <v>2.3E-2</v>
      </c>
      <c r="J804">
        <f t="shared" si="365"/>
        <v>1</v>
      </c>
      <c r="K804">
        <f t="shared" si="366"/>
        <v>51</v>
      </c>
      <c r="L804">
        <f t="shared" ca="1" si="367"/>
        <v>51797.843837663619</v>
      </c>
      <c r="M804">
        <f t="shared" ca="1" si="344"/>
        <v>269348.78795585083</v>
      </c>
      <c r="N804">
        <f t="shared" ca="1" si="345"/>
        <v>2.5998694991876676</v>
      </c>
      <c r="O804">
        <f t="shared" ca="1" si="346"/>
        <v>1.8934557080078435E-4</v>
      </c>
      <c r="P804">
        <f t="shared" ca="1" si="347"/>
        <v>52430.078837663619</v>
      </c>
      <c r="Q804">
        <f t="shared" ca="1" si="348"/>
        <v>52430.078837665445</v>
      </c>
      <c r="R804">
        <f t="shared" ca="1" si="349"/>
        <v>2.2564415439646509E-12</v>
      </c>
      <c r="S804">
        <f t="shared" ca="1" si="368"/>
        <v>5.0000000192085281E-4</v>
      </c>
      <c r="T804">
        <f t="shared" ca="1" si="369"/>
        <v>1</v>
      </c>
      <c r="U804">
        <f t="shared" ca="1" si="350"/>
        <v>51800.26683766341</v>
      </c>
      <c r="V804">
        <f t="shared" ca="1" si="351"/>
        <v>269361.38755584974</v>
      </c>
      <c r="W804">
        <f t="shared" ca="1" si="352"/>
        <v>2.5998695052916441</v>
      </c>
      <c r="X804">
        <f t="shared" ca="1" si="353"/>
        <v>1.8933671400629237E-4</v>
      </c>
      <c r="Y804">
        <f t="shared" ca="1" si="354"/>
        <v>52432.501837663411</v>
      </c>
      <c r="Z804">
        <f t="shared" ca="1" si="355"/>
        <v>52432.501837665237</v>
      </c>
      <c r="AA804">
        <f t="shared" ca="1" si="356"/>
        <v>2.2562304480281055E-12</v>
      </c>
      <c r="AB804">
        <f t="shared" ca="1" si="357"/>
        <v>-5.0000000192085281E-4</v>
      </c>
      <c r="AC804">
        <f t="shared" ca="1" si="358"/>
        <v>1</v>
      </c>
      <c r="AD804">
        <f ca="1">IF(V32="Supercritical",L804,IF(V32="Subcritical",U804,IF(AND(T804=1,AC804=1),IF((((F804)*(L804)^2)/2+(G804)*(L804)^3/3+(ABS(K804)^2)/($I$5*MAX(((F804)+(G804)*(L804))*(L804),0.000001)))&gt;=(((F804)*(U804)^2)/2+(G804)*(U804)^3/3+(ABS(K804)^2)/($I$5*MAX(((F804)+(G804)*(U804))*(U804),0.000001))),L804,U804),IF(T804=1,L804,IF(AC804=1,U804,MAX($D$16,POWER((ABS(K804)^2)/($I$5*MAX(F804,0.1)^2),1/3)))))))</f>
        <v>51800.26683766341</v>
      </c>
      <c r="AE804">
        <f t="shared" ca="1" si="359"/>
        <v>52432.501837663411</v>
      </c>
      <c r="AF804">
        <f t="shared" ca="1" si="360"/>
        <v>52432.501837665237</v>
      </c>
      <c r="AI804">
        <v>0</v>
      </c>
      <c r="AJ804">
        <v>0</v>
      </c>
      <c r="AK804">
        <f t="shared" si="361"/>
        <v>0</v>
      </c>
      <c r="AL804">
        <f t="shared" si="370"/>
        <v>0</v>
      </c>
      <c r="AM804">
        <f t="shared" ca="1" si="362"/>
        <v>2.6560383008097266E-7</v>
      </c>
      <c r="AN804" t="str">
        <f t="shared" ca="1" si="363"/>
        <v>Subcritical</v>
      </c>
      <c r="AO804">
        <f t="shared" ca="1" si="364"/>
        <v>2.2562304480281055E-12</v>
      </c>
    </row>
    <row r="805" spans="1:41" x14ac:dyDescent="0.35">
      <c r="A805">
        <v>656</v>
      </c>
      <c r="B805">
        <v>654.89599999999996</v>
      </c>
      <c r="C805">
        <v>616130.86499999999</v>
      </c>
      <c r="D805">
        <v>3097340.2719999999</v>
      </c>
      <c r="E805">
        <v>632.23450000000003</v>
      </c>
      <c r="F805">
        <v>5.2</v>
      </c>
      <c r="G805">
        <v>0</v>
      </c>
      <c r="H805" t="s">
        <v>186</v>
      </c>
      <c r="I805">
        <v>2.3E-2</v>
      </c>
      <c r="J805">
        <f t="shared" si="365"/>
        <v>1.0009999999999764</v>
      </c>
      <c r="K805">
        <f t="shared" si="366"/>
        <v>51</v>
      </c>
      <c r="L805">
        <f t="shared" ca="1" si="367"/>
        <v>51797.843837663619</v>
      </c>
      <c r="M805">
        <f t="shared" ca="1" si="344"/>
        <v>269348.78795585083</v>
      </c>
      <c r="N805">
        <f t="shared" ca="1" si="345"/>
        <v>2.5998694991876676</v>
      </c>
      <c r="O805">
        <f t="shared" ca="1" si="346"/>
        <v>1.8934557080078435E-4</v>
      </c>
      <c r="P805">
        <f t="shared" ca="1" si="347"/>
        <v>52430.078337663617</v>
      </c>
      <c r="Q805">
        <f t="shared" ca="1" si="348"/>
        <v>52430.078337665444</v>
      </c>
      <c r="R805">
        <f t="shared" ca="1" si="349"/>
        <v>2.2564415439646509E-12</v>
      </c>
      <c r="S805">
        <f t="shared" ca="1" si="368"/>
        <v>5.0000000192085281E-4</v>
      </c>
      <c r="T805">
        <f t="shared" ca="1" si="369"/>
        <v>1</v>
      </c>
      <c r="U805">
        <f t="shared" ca="1" si="350"/>
        <v>51800.26683766341</v>
      </c>
      <c r="V805">
        <f t="shared" ca="1" si="351"/>
        <v>269361.38755584974</v>
      </c>
      <c r="W805">
        <f t="shared" ca="1" si="352"/>
        <v>2.5998695052916441</v>
      </c>
      <c r="X805">
        <f t="shared" ca="1" si="353"/>
        <v>1.8933671400629237E-4</v>
      </c>
      <c r="Y805">
        <f t="shared" ca="1" si="354"/>
        <v>52432.501337663409</v>
      </c>
      <c r="Z805">
        <f t="shared" ca="1" si="355"/>
        <v>52432.501337665235</v>
      </c>
      <c r="AA805">
        <f t="shared" ca="1" si="356"/>
        <v>2.2562304480281055E-12</v>
      </c>
      <c r="AB805">
        <f t="shared" ca="1" si="357"/>
        <v>-5.0000000192085281E-4</v>
      </c>
      <c r="AC805">
        <f t="shared" ca="1" si="358"/>
        <v>1</v>
      </c>
      <c r="AD805">
        <f ca="1">IF(V32="Supercritical",L805,IF(V32="Subcritical",U805,IF(AND(T805=1,AC805=1),IF((((F805)*(L805)^2)/2+(G805)*(L805)^3/3+(ABS(K805)^2)/($I$5*MAX(((F805)+(G805)*(L805))*(L805),0.000001)))&gt;=(((F805)*(U805)^2)/2+(G805)*(U805)^3/3+(ABS(K805)^2)/($I$5*MAX(((F805)+(G805)*(U805))*(U805),0.000001))),L805,U805),IF(T805=1,L805,IF(AC805=1,U805,MAX($D$16,POWER((ABS(K805)^2)/($I$5*MAX(F805,0.1)^2),1/3)))))))</f>
        <v>51800.26683766341</v>
      </c>
      <c r="AE805">
        <f t="shared" ca="1" si="359"/>
        <v>52432.501337663409</v>
      </c>
      <c r="AF805">
        <f t="shared" ca="1" si="360"/>
        <v>52432.501337665235</v>
      </c>
      <c r="AI805">
        <v>0</v>
      </c>
      <c r="AJ805">
        <v>0</v>
      </c>
      <c r="AK805">
        <f t="shared" si="361"/>
        <v>0</v>
      </c>
      <c r="AL805">
        <f t="shared" si="370"/>
        <v>0</v>
      </c>
      <c r="AM805">
        <f t="shared" ca="1" si="362"/>
        <v>2.6560383008097266E-7</v>
      </c>
      <c r="AN805" t="str">
        <f t="shared" ca="1" si="363"/>
        <v>Subcritical</v>
      </c>
      <c r="AO805">
        <f t="shared" ca="1" si="364"/>
        <v>2.2562304480281055E-12</v>
      </c>
    </row>
    <row r="806" spans="1:41" x14ac:dyDescent="0.35">
      <c r="A806">
        <v>657</v>
      </c>
      <c r="B806">
        <v>655.89499999999998</v>
      </c>
      <c r="C806">
        <v>616130.39099999995</v>
      </c>
      <c r="D806">
        <v>3097339.392</v>
      </c>
      <c r="E806">
        <v>632.23400000000004</v>
      </c>
      <c r="F806">
        <v>5.2</v>
      </c>
      <c r="G806">
        <v>0</v>
      </c>
      <c r="H806" t="s">
        <v>186</v>
      </c>
      <c r="I806">
        <v>2.7E-2</v>
      </c>
      <c r="J806">
        <f t="shared" si="365"/>
        <v>0.99900000000002365</v>
      </c>
      <c r="K806">
        <f t="shared" si="366"/>
        <v>51</v>
      </c>
      <c r="L806">
        <f t="shared" ca="1" si="367"/>
        <v>51797.843837663619</v>
      </c>
      <c r="M806">
        <f t="shared" ca="1" si="344"/>
        <v>269348.78795585083</v>
      </c>
      <c r="N806">
        <f t="shared" ca="1" si="345"/>
        <v>2.5998694991876676</v>
      </c>
      <c r="O806">
        <f t="shared" ca="1" si="346"/>
        <v>1.8934557080078435E-4</v>
      </c>
      <c r="P806">
        <f t="shared" ca="1" si="347"/>
        <v>52430.077837663615</v>
      </c>
      <c r="Q806">
        <f t="shared" ca="1" si="348"/>
        <v>52430.077837665442</v>
      </c>
      <c r="R806">
        <f t="shared" ca="1" si="349"/>
        <v>2.2564415439646509E-12</v>
      </c>
      <c r="S806">
        <f t="shared" ca="1" si="368"/>
        <v>5.0000000192085281E-4</v>
      </c>
      <c r="T806">
        <f t="shared" ca="1" si="369"/>
        <v>1</v>
      </c>
      <c r="U806">
        <f t="shared" ca="1" si="350"/>
        <v>51800.26683766341</v>
      </c>
      <c r="V806">
        <f t="shared" ca="1" si="351"/>
        <v>269361.38755584974</v>
      </c>
      <c r="W806">
        <f t="shared" ca="1" si="352"/>
        <v>2.5998695052916441</v>
      </c>
      <c r="X806">
        <f t="shared" ca="1" si="353"/>
        <v>1.8933671400629237E-4</v>
      </c>
      <c r="Y806">
        <f t="shared" ca="1" si="354"/>
        <v>52432.500837663407</v>
      </c>
      <c r="Z806">
        <f t="shared" ca="1" si="355"/>
        <v>52432.500837665233</v>
      </c>
      <c r="AA806">
        <f t="shared" ca="1" si="356"/>
        <v>2.2562304480281055E-12</v>
      </c>
      <c r="AB806">
        <f t="shared" ca="1" si="357"/>
        <v>-4.999999946448952E-4</v>
      </c>
      <c r="AC806">
        <f t="shared" ca="1" si="358"/>
        <v>1</v>
      </c>
      <c r="AD806">
        <f ca="1">IF(V32="Supercritical",L806,IF(V32="Subcritical",U806,IF(AND(T806=1,AC806=1),IF((((F806)*(L806)^2)/2+(G806)*(L806)^3/3+(ABS(K806)^2)/($I$5*MAX(((F806)+(G806)*(L806))*(L806),0.000001)))&gt;=(((F806)*(U806)^2)/2+(G806)*(U806)^3/3+(ABS(K806)^2)/($I$5*MAX(((F806)+(G806)*(U806))*(U806),0.000001))),L806,U806),IF(T806=1,L806,IF(AC806=1,U806,MAX($D$16,POWER((ABS(K806)^2)/($I$5*MAX(F806,0.1)^2),1/3)))))))</f>
        <v>51800.26683766341</v>
      </c>
      <c r="AE806">
        <f t="shared" ca="1" si="359"/>
        <v>52432.500837663407</v>
      </c>
      <c r="AF806">
        <f t="shared" ca="1" si="360"/>
        <v>52432.500837665233</v>
      </c>
      <c r="AI806">
        <v>0</v>
      </c>
      <c r="AJ806">
        <v>0</v>
      </c>
      <c r="AK806">
        <f t="shared" si="361"/>
        <v>0</v>
      </c>
      <c r="AL806">
        <f t="shared" si="370"/>
        <v>0</v>
      </c>
      <c r="AM806">
        <f t="shared" ca="1" si="362"/>
        <v>2.6560383008097266E-7</v>
      </c>
      <c r="AN806" t="str">
        <f t="shared" ca="1" si="363"/>
        <v>Subcritical</v>
      </c>
      <c r="AO806">
        <f t="shared" ca="1" si="364"/>
        <v>2.2562304480281055E-12</v>
      </c>
    </row>
    <row r="807" spans="1:41" x14ac:dyDescent="0.35">
      <c r="A807">
        <v>658</v>
      </c>
      <c r="B807">
        <v>656.89599999999996</v>
      </c>
      <c r="C807">
        <v>616129.91700000002</v>
      </c>
      <c r="D807">
        <v>3097338.5109999999</v>
      </c>
      <c r="E807">
        <v>632.23350000000005</v>
      </c>
      <c r="F807">
        <v>5.2</v>
      </c>
      <c r="G807">
        <v>0</v>
      </c>
      <c r="H807" t="s">
        <v>186</v>
      </c>
      <c r="I807">
        <v>2.7E-2</v>
      </c>
      <c r="J807">
        <f t="shared" si="365"/>
        <v>1.0009999999999764</v>
      </c>
      <c r="K807">
        <f t="shared" si="366"/>
        <v>51</v>
      </c>
      <c r="L807">
        <f t="shared" ca="1" si="367"/>
        <v>51797.843837663619</v>
      </c>
      <c r="M807">
        <f t="shared" ca="1" si="344"/>
        <v>269348.78795585083</v>
      </c>
      <c r="N807">
        <f t="shared" ca="1" si="345"/>
        <v>2.5998694991876676</v>
      </c>
      <c r="O807">
        <f t="shared" ca="1" si="346"/>
        <v>1.8934557080078435E-4</v>
      </c>
      <c r="P807">
        <f t="shared" ca="1" si="347"/>
        <v>52430.077337663621</v>
      </c>
      <c r="Q807">
        <f t="shared" ca="1" si="348"/>
        <v>52430.077337665447</v>
      </c>
      <c r="R807">
        <f t="shared" ca="1" si="349"/>
        <v>2.2564415439646509E-12</v>
      </c>
      <c r="S807">
        <f t="shared" ca="1" si="368"/>
        <v>4.999999946448952E-4</v>
      </c>
      <c r="T807">
        <f t="shared" ca="1" si="369"/>
        <v>1</v>
      </c>
      <c r="U807">
        <f t="shared" ca="1" si="350"/>
        <v>51800.26683766341</v>
      </c>
      <c r="V807">
        <f t="shared" ca="1" si="351"/>
        <v>269361.38755584974</v>
      </c>
      <c r="W807">
        <f t="shared" ca="1" si="352"/>
        <v>2.5998695052916441</v>
      </c>
      <c r="X807">
        <f t="shared" ca="1" si="353"/>
        <v>1.8933671400629237E-4</v>
      </c>
      <c r="Y807">
        <f t="shared" ca="1" si="354"/>
        <v>52432.500337663412</v>
      </c>
      <c r="Z807">
        <f t="shared" ca="1" si="355"/>
        <v>52432.500337665238</v>
      </c>
      <c r="AA807">
        <f t="shared" ca="1" si="356"/>
        <v>2.2562304480281055E-12</v>
      </c>
      <c r="AB807">
        <f t="shared" ca="1" si="357"/>
        <v>-5.0000000192085281E-4</v>
      </c>
      <c r="AC807">
        <f t="shared" ca="1" si="358"/>
        <v>1</v>
      </c>
      <c r="AD807">
        <f ca="1">IF(V32="Supercritical",L807,IF(V32="Subcritical",U807,IF(AND(T807=1,AC807=1),IF((((F807)*(L807)^2)/2+(G807)*(L807)^3/3+(ABS(K807)^2)/($I$5*MAX(((F807)+(G807)*(L807))*(L807),0.000001)))&gt;=(((F807)*(U807)^2)/2+(G807)*(U807)^3/3+(ABS(K807)^2)/($I$5*MAX(((F807)+(G807)*(U807))*(U807),0.000001))),L807,U807),IF(T807=1,L807,IF(AC807=1,U807,MAX($D$16,POWER((ABS(K807)^2)/($I$5*MAX(F807,0.1)^2),1/3)))))))</f>
        <v>51800.26683766341</v>
      </c>
      <c r="AE807">
        <f t="shared" ca="1" si="359"/>
        <v>52432.500337663412</v>
      </c>
      <c r="AF807">
        <f t="shared" ca="1" si="360"/>
        <v>52432.500337665238</v>
      </c>
      <c r="AI807">
        <v>0</v>
      </c>
      <c r="AJ807">
        <v>0</v>
      </c>
      <c r="AK807">
        <f t="shared" si="361"/>
        <v>0</v>
      </c>
      <c r="AL807">
        <f t="shared" si="370"/>
        <v>0</v>
      </c>
      <c r="AM807">
        <f t="shared" ca="1" si="362"/>
        <v>2.6560383008097266E-7</v>
      </c>
      <c r="AN807" t="str">
        <f t="shared" ca="1" si="363"/>
        <v>Subcritical</v>
      </c>
      <c r="AO807">
        <f t="shared" ca="1" si="364"/>
        <v>2.2562304480281055E-12</v>
      </c>
    </row>
    <row r="808" spans="1:41" x14ac:dyDescent="0.35">
      <c r="A808">
        <v>659</v>
      </c>
      <c r="B808">
        <v>657.89499999999998</v>
      </c>
      <c r="C808">
        <v>616129.44299999997</v>
      </c>
      <c r="D808">
        <v>3097337.6310000001</v>
      </c>
      <c r="E808">
        <v>632.23299999999995</v>
      </c>
      <c r="F808">
        <v>5.2</v>
      </c>
      <c r="G808">
        <v>0</v>
      </c>
      <c r="H808" t="s">
        <v>186</v>
      </c>
      <c r="I808">
        <v>0.05</v>
      </c>
      <c r="J808">
        <f t="shared" si="365"/>
        <v>0.99900000000002365</v>
      </c>
      <c r="K808">
        <f t="shared" si="366"/>
        <v>51</v>
      </c>
      <c r="L808">
        <f t="shared" ca="1" si="367"/>
        <v>51797.843837663619</v>
      </c>
      <c r="M808">
        <f t="shared" ca="1" si="344"/>
        <v>269348.78795585083</v>
      </c>
      <c r="N808">
        <f t="shared" ca="1" si="345"/>
        <v>2.5998694991876676</v>
      </c>
      <c r="O808">
        <f t="shared" ca="1" si="346"/>
        <v>1.8934557080078435E-4</v>
      </c>
      <c r="P808">
        <f t="shared" ca="1" si="347"/>
        <v>52430.076837663619</v>
      </c>
      <c r="Q808">
        <f t="shared" ca="1" si="348"/>
        <v>52430.076837665445</v>
      </c>
      <c r="R808">
        <f t="shared" ca="1" si="349"/>
        <v>2.2564415439646509E-12</v>
      </c>
      <c r="S808">
        <f t="shared" ca="1" si="368"/>
        <v>5.0000000192085281E-4</v>
      </c>
      <c r="T808">
        <f t="shared" ca="1" si="369"/>
        <v>1</v>
      </c>
      <c r="U808">
        <f t="shared" ca="1" si="350"/>
        <v>51800.26683766341</v>
      </c>
      <c r="V808">
        <f t="shared" ca="1" si="351"/>
        <v>269361.38755584974</v>
      </c>
      <c r="W808">
        <f t="shared" ca="1" si="352"/>
        <v>2.5998695052916441</v>
      </c>
      <c r="X808">
        <f t="shared" ca="1" si="353"/>
        <v>1.8933671400629237E-4</v>
      </c>
      <c r="Y808">
        <f t="shared" ca="1" si="354"/>
        <v>52432.49983766341</v>
      </c>
      <c r="Z808">
        <f t="shared" ca="1" si="355"/>
        <v>52432.499837665237</v>
      </c>
      <c r="AA808">
        <f t="shared" ca="1" si="356"/>
        <v>2.2562304480281055E-12</v>
      </c>
      <c r="AB808">
        <f t="shared" ca="1" si="357"/>
        <v>-5.0000000192085281E-4</v>
      </c>
      <c r="AC808">
        <f t="shared" ca="1" si="358"/>
        <v>1</v>
      </c>
      <c r="AD808">
        <f ca="1">IF(V32="Supercritical",L808,IF(V32="Subcritical",U808,IF(AND(T808=1,AC808=1),IF((((F808)*(L808)^2)/2+(G808)*(L808)^3/3+(ABS(K808)^2)/($I$5*MAX(((F808)+(G808)*(L808))*(L808),0.000001)))&gt;=(((F808)*(U808)^2)/2+(G808)*(U808)^3/3+(ABS(K808)^2)/($I$5*MAX(((F808)+(G808)*(U808))*(U808),0.000001))),L808,U808),IF(T808=1,L808,IF(AC808=1,U808,MAX($D$16,POWER((ABS(K808)^2)/($I$5*MAX(F808,0.1)^2),1/3)))))))</f>
        <v>51800.26683766341</v>
      </c>
      <c r="AE808">
        <f t="shared" ca="1" si="359"/>
        <v>52432.49983766341</v>
      </c>
      <c r="AF808">
        <f t="shared" ca="1" si="360"/>
        <v>52432.499837665237</v>
      </c>
      <c r="AI808">
        <v>0</v>
      </c>
      <c r="AJ808">
        <v>0</v>
      </c>
      <c r="AK808">
        <f t="shared" si="361"/>
        <v>0</v>
      </c>
      <c r="AL808">
        <f t="shared" si="370"/>
        <v>0</v>
      </c>
      <c r="AM808">
        <f t="shared" ca="1" si="362"/>
        <v>2.6560383008097266E-7</v>
      </c>
      <c r="AN808" t="str">
        <f t="shared" ca="1" si="363"/>
        <v>Subcritical</v>
      </c>
      <c r="AO808">
        <f t="shared" ca="1" si="364"/>
        <v>2.2562304480281055E-12</v>
      </c>
    </row>
    <row r="809" spans="1:41" x14ac:dyDescent="0.35">
      <c r="A809">
        <v>660</v>
      </c>
      <c r="B809">
        <v>658.89499999999998</v>
      </c>
      <c r="C809">
        <v>616128.96799999999</v>
      </c>
      <c r="D809">
        <v>3097336.7510000002</v>
      </c>
      <c r="E809">
        <v>632.23249999999996</v>
      </c>
      <c r="F809">
        <v>5.2</v>
      </c>
      <c r="G809">
        <v>0</v>
      </c>
      <c r="H809" t="s">
        <v>186</v>
      </c>
      <c r="I809">
        <v>7.8E-2</v>
      </c>
      <c r="J809">
        <f t="shared" si="365"/>
        <v>1</v>
      </c>
      <c r="K809">
        <f t="shared" si="366"/>
        <v>51</v>
      </c>
      <c r="L809">
        <f t="shared" ca="1" si="367"/>
        <v>51797.843837663619</v>
      </c>
      <c r="M809">
        <f t="shared" ca="1" si="344"/>
        <v>269348.78795585083</v>
      </c>
      <c r="N809">
        <f t="shared" ca="1" si="345"/>
        <v>2.5998694991876676</v>
      </c>
      <c r="O809">
        <f t="shared" ca="1" si="346"/>
        <v>1.8934557080078435E-4</v>
      </c>
      <c r="P809">
        <f t="shared" ca="1" si="347"/>
        <v>52430.076337663617</v>
      </c>
      <c r="Q809">
        <f t="shared" ca="1" si="348"/>
        <v>52430.076337665443</v>
      </c>
      <c r="R809">
        <f t="shared" ca="1" si="349"/>
        <v>2.2564415439646509E-12</v>
      </c>
      <c r="S809">
        <f t="shared" ca="1" si="368"/>
        <v>5.0000000192085281E-4</v>
      </c>
      <c r="T809">
        <f t="shared" ca="1" si="369"/>
        <v>1</v>
      </c>
      <c r="U809">
        <f t="shared" ca="1" si="350"/>
        <v>51800.26683766341</v>
      </c>
      <c r="V809">
        <f t="shared" ca="1" si="351"/>
        <v>269361.38755584974</v>
      </c>
      <c r="W809">
        <f t="shared" ca="1" si="352"/>
        <v>2.5998695052916441</v>
      </c>
      <c r="X809">
        <f t="shared" ca="1" si="353"/>
        <v>1.8933671400629237E-4</v>
      </c>
      <c r="Y809">
        <f t="shared" ca="1" si="354"/>
        <v>52432.499337663408</v>
      </c>
      <c r="Z809">
        <f t="shared" ca="1" si="355"/>
        <v>52432.499337665235</v>
      </c>
      <c r="AA809">
        <f t="shared" ca="1" si="356"/>
        <v>2.2562304480281055E-12</v>
      </c>
      <c r="AB809">
        <f t="shared" ca="1" si="357"/>
        <v>-4.999999946448952E-4</v>
      </c>
      <c r="AC809">
        <f t="shared" ca="1" si="358"/>
        <v>1</v>
      </c>
      <c r="AD809">
        <f ca="1">IF(V32="Supercritical",L809,IF(V32="Subcritical",U809,IF(AND(T809=1,AC809=1),IF((((F809)*(L809)^2)/2+(G809)*(L809)^3/3+(ABS(K809)^2)/($I$5*MAX(((F809)+(G809)*(L809))*(L809),0.000001)))&gt;=(((F809)*(U809)^2)/2+(G809)*(U809)^3/3+(ABS(K809)^2)/($I$5*MAX(((F809)+(G809)*(U809))*(U809),0.000001))),L809,U809),IF(T809=1,L809,IF(AC809=1,U809,MAX($D$16,POWER((ABS(K809)^2)/($I$5*MAX(F809,0.1)^2),1/3)))))))</f>
        <v>51800.26683766341</v>
      </c>
      <c r="AE809">
        <f t="shared" ca="1" si="359"/>
        <v>52432.499337663408</v>
      </c>
      <c r="AF809">
        <f t="shared" ca="1" si="360"/>
        <v>52432.499337665235</v>
      </c>
      <c r="AI809">
        <v>0</v>
      </c>
      <c r="AJ809">
        <v>0</v>
      </c>
      <c r="AK809">
        <f t="shared" si="361"/>
        <v>0</v>
      </c>
      <c r="AL809">
        <f t="shared" si="370"/>
        <v>0</v>
      </c>
      <c r="AM809">
        <f t="shared" ca="1" si="362"/>
        <v>2.6560383008097266E-7</v>
      </c>
      <c r="AN809" t="str">
        <f t="shared" ca="1" si="363"/>
        <v>Subcritical</v>
      </c>
      <c r="AO809">
        <f t="shared" ca="1" si="364"/>
        <v>2.2562304480281055E-12</v>
      </c>
    </row>
    <row r="810" spans="1:41" x14ac:dyDescent="0.35">
      <c r="A810">
        <v>661</v>
      </c>
      <c r="B810">
        <v>659.89599999999996</v>
      </c>
      <c r="C810">
        <v>616128.49399999995</v>
      </c>
      <c r="D810">
        <v>3097335.87</v>
      </c>
      <c r="E810">
        <v>632.23199999999997</v>
      </c>
      <c r="F810">
        <v>5.2</v>
      </c>
      <c r="G810">
        <v>0</v>
      </c>
      <c r="H810" t="s">
        <v>186</v>
      </c>
      <c r="I810">
        <v>2.7E-2</v>
      </c>
      <c r="J810">
        <f t="shared" si="365"/>
        <v>1.0009999999999764</v>
      </c>
      <c r="K810">
        <f t="shared" si="366"/>
        <v>51</v>
      </c>
      <c r="L810">
        <f t="shared" ca="1" si="367"/>
        <v>51797.843837663619</v>
      </c>
      <c r="M810">
        <f t="shared" ca="1" si="344"/>
        <v>269348.78795585083</v>
      </c>
      <c r="N810">
        <f t="shared" ca="1" si="345"/>
        <v>2.5998694991876676</v>
      </c>
      <c r="O810">
        <f t="shared" ca="1" si="346"/>
        <v>1.8934557080078435E-4</v>
      </c>
      <c r="P810">
        <f t="shared" ca="1" si="347"/>
        <v>52430.075837663622</v>
      </c>
      <c r="Q810">
        <f t="shared" ca="1" si="348"/>
        <v>52430.075837665448</v>
      </c>
      <c r="R810">
        <f t="shared" ca="1" si="349"/>
        <v>2.2564415439646509E-12</v>
      </c>
      <c r="S810">
        <f t="shared" ca="1" si="368"/>
        <v>4.999999946448952E-4</v>
      </c>
      <c r="T810">
        <f t="shared" ca="1" si="369"/>
        <v>1</v>
      </c>
      <c r="U810">
        <f t="shared" ca="1" si="350"/>
        <v>51800.26683766341</v>
      </c>
      <c r="V810">
        <f t="shared" ca="1" si="351"/>
        <v>269361.38755584974</v>
      </c>
      <c r="W810">
        <f t="shared" ca="1" si="352"/>
        <v>2.5998695052916441</v>
      </c>
      <c r="X810">
        <f t="shared" ca="1" si="353"/>
        <v>1.8933671400629237E-4</v>
      </c>
      <c r="Y810">
        <f t="shared" ca="1" si="354"/>
        <v>52432.498837663414</v>
      </c>
      <c r="Z810">
        <f t="shared" ca="1" si="355"/>
        <v>52432.49883766524</v>
      </c>
      <c r="AA810">
        <f t="shared" ca="1" si="356"/>
        <v>2.2562304480281055E-12</v>
      </c>
      <c r="AB810">
        <f t="shared" ca="1" si="357"/>
        <v>-5.0000000192085281E-4</v>
      </c>
      <c r="AC810">
        <f t="shared" ca="1" si="358"/>
        <v>1</v>
      </c>
      <c r="AD810">
        <f ca="1">IF(V32="Supercritical",L810,IF(V32="Subcritical",U810,IF(AND(T810=1,AC810=1),IF((((F810)*(L810)^2)/2+(G810)*(L810)^3/3+(ABS(K810)^2)/($I$5*MAX(((F810)+(G810)*(L810))*(L810),0.000001)))&gt;=(((F810)*(U810)^2)/2+(G810)*(U810)^3/3+(ABS(K810)^2)/($I$5*MAX(((F810)+(G810)*(U810))*(U810),0.000001))),L810,U810),IF(T810=1,L810,IF(AC810=1,U810,MAX($D$16,POWER((ABS(K810)^2)/($I$5*MAX(F810,0.1)^2),1/3)))))))</f>
        <v>51800.26683766341</v>
      </c>
      <c r="AE810">
        <f t="shared" ca="1" si="359"/>
        <v>52432.498837663414</v>
      </c>
      <c r="AF810">
        <f t="shared" ca="1" si="360"/>
        <v>52432.49883766524</v>
      </c>
      <c r="AI810">
        <v>0</v>
      </c>
      <c r="AJ810">
        <v>0</v>
      </c>
      <c r="AK810">
        <f t="shared" si="361"/>
        <v>0</v>
      </c>
      <c r="AL810">
        <f t="shared" si="370"/>
        <v>0</v>
      </c>
      <c r="AM810">
        <f t="shared" ca="1" si="362"/>
        <v>2.6560383008097266E-7</v>
      </c>
      <c r="AN810" t="str">
        <f t="shared" ca="1" si="363"/>
        <v>Subcritical</v>
      </c>
      <c r="AO810">
        <f t="shared" ca="1" si="364"/>
        <v>2.2562304480281055E-12</v>
      </c>
    </row>
    <row r="811" spans="1:41" x14ac:dyDescent="0.35">
      <c r="A811">
        <v>662</v>
      </c>
      <c r="B811">
        <v>660.89499999999998</v>
      </c>
      <c r="C811">
        <v>616128.02</v>
      </c>
      <c r="D811">
        <v>3097334.99</v>
      </c>
      <c r="E811">
        <v>632.23149999999998</v>
      </c>
      <c r="F811">
        <v>5.2</v>
      </c>
      <c r="G811">
        <v>0</v>
      </c>
      <c r="H811" t="s">
        <v>186</v>
      </c>
      <c r="I811">
        <v>2.7E-2</v>
      </c>
      <c r="J811">
        <f t="shared" si="365"/>
        <v>0.99900000000002365</v>
      </c>
      <c r="K811">
        <f t="shared" si="366"/>
        <v>51</v>
      </c>
      <c r="L811">
        <f t="shared" ca="1" si="367"/>
        <v>51797.843837663619</v>
      </c>
      <c r="M811">
        <f t="shared" ca="1" si="344"/>
        <v>269348.78795585083</v>
      </c>
      <c r="N811">
        <f t="shared" ca="1" si="345"/>
        <v>2.5998694991876676</v>
      </c>
      <c r="O811">
        <f t="shared" ca="1" si="346"/>
        <v>1.8934557080078435E-4</v>
      </c>
      <c r="P811">
        <f t="shared" ca="1" si="347"/>
        <v>52430.07533766362</v>
      </c>
      <c r="Q811">
        <f t="shared" ca="1" si="348"/>
        <v>52430.075337665447</v>
      </c>
      <c r="R811">
        <f t="shared" ca="1" si="349"/>
        <v>2.2564415439646509E-12</v>
      </c>
      <c r="S811">
        <f t="shared" ca="1" si="368"/>
        <v>5.0000000192085281E-4</v>
      </c>
      <c r="T811">
        <f t="shared" ca="1" si="369"/>
        <v>1</v>
      </c>
      <c r="U811">
        <f t="shared" ca="1" si="350"/>
        <v>51800.26683766341</v>
      </c>
      <c r="V811">
        <f t="shared" ca="1" si="351"/>
        <v>269361.38755584974</v>
      </c>
      <c r="W811">
        <f t="shared" ca="1" si="352"/>
        <v>2.5998695052916441</v>
      </c>
      <c r="X811">
        <f t="shared" ca="1" si="353"/>
        <v>1.8933671400629237E-4</v>
      </c>
      <c r="Y811">
        <f t="shared" ca="1" si="354"/>
        <v>52432.498337663412</v>
      </c>
      <c r="Z811">
        <f t="shared" ca="1" si="355"/>
        <v>52432.498337665238</v>
      </c>
      <c r="AA811">
        <f t="shared" ca="1" si="356"/>
        <v>2.2562304480281055E-12</v>
      </c>
      <c r="AB811">
        <f t="shared" ca="1" si="357"/>
        <v>-5.0000000192085281E-4</v>
      </c>
      <c r="AC811">
        <f t="shared" ca="1" si="358"/>
        <v>1</v>
      </c>
      <c r="AD811">
        <f ca="1">IF(V32="Supercritical",L811,IF(V32="Subcritical",U811,IF(AND(T811=1,AC811=1),IF((((F811)*(L811)^2)/2+(G811)*(L811)^3/3+(ABS(K811)^2)/($I$5*MAX(((F811)+(G811)*(L811))*(L811),0.000001)))&gt;=(((F811)*(U811)^2)/2+(G811)*(U811)^3/3+(ABS(K811)^2)/($I$5*MAX(((F811)+(G811)*(U811))*(U811),0.000001))),L811,U811),IF(T811=1,L811,IF(AC811=1,U811,MAX($D$16,POWER((ABS(K811)^2)/($I$5*MAX(F811,0.1)^2),1/3)))))))</f>
        <v>51800.26683766341</v>
      </c>
      <c r="AE811">
        <f t="shared" ca="1" si="359"/>
        <v>52432.498337663412</v>
      </c>
      <c r="AF811">
        <f t="shared" ca="1" si="360"/>
        <v>52432.498337665238</v>
      </c>
      <c r="AI811">
        <v>0</v>
      </c>
      <c r="AJ811">
        <v>0</v>
      </c>
      <c r="AK811">
        <f t="shared" si="361"/>
        <v>0</v>
      </c>
      <c r="AL811">
        <f t="shared" si="370"/>
        <v>0</v>
      </c>
      <c r="AM811">
        <f t="shared" ca="1" si="362"/>
        <v>2.6560383008097266E-7</v>
      </c>
      <c r="AN811" t="str">
        <f t="shared" ca="1" si="363"/>
        <v>Subcritical</v>
      </c>
      <c r="AO811">
        <f t="shared" ca="1" si="364"/>
        <v>2.2562304480281055E-12</v>
      </c>
    </row>
    <row r="812" spans="1:41" x14ac:dyDescent="0.35">
      <c r="A812">
        <v>663</v>
      </c>
      <c r="B812">
        <v>661.89499999999998</v>
      </c>
      <c r="C812">
        <v>616127.54599999997</v>
      </c>
      <c r="D812">
        <v>3097334.1090000002</v>
      </c>
      <c r="E812">
        <v>632.23099999999999</v>
      </c>
      <c r="F812">
        <v>5.2</v>
      </c>
      <c r="G812">
        <v>0</v>
      </c>
      <c r="H812" t="s">
        <v>186</v>
      </c>
      <c r="I812">
        <v>7.8E-2</v>
      </c>
      <c r="J812">
        <f t="shared" si="365"/>
        <v>1</v>
      </c>
      <c r="K812">
        <f t="shared" si="366"/>
        <v>51</v>
      </c>
      <c r="L812">
        <f t="shared" ca="1" si="367"/>
        <v>51797.843837663619</v>
      </c>
      <c r="M812">
        <f t="shared" ca="1" si="344"/>
        <v>269348.78795585083</v>
      </c>
      <c r="N812">
        <f t="shared" ca="1" si="345"/>
        <v>2.5998694991876676</v>
      </c>
      <c r="O812">
        <f t="shared" ca="1" si="346"/>
        <v>1.8934557080078435E-4</v>
      </c>
      <c r="P812">
        <f t="shared" ca="1" si="347"/>
        <v>52430.074837663618</v>
      </c>
      <c r="Q812">
        <f t="shared" ca="1" si="348"/>
        <v>52430.074837665445</v>
      </c>
      <c r="R812">
        <f t="shared" ca="1" si="349"/>
        <v>2.2564415439646509E-12</v>
      </c>
      <c r="S812">
        <f t="shared" ca="1" si="368"/>
        <v>5.0000000192085281E-4</v>
      </c>
      <c r="T812">
        <f t="shared" ca="1" si="369"/>
        <v>1</v>
      </c>
      <c r="U812">
        <f t="shared" ca="1" si="350"/>
        <v>51800.26683766341</v>
      </c>
      <c r="V812">
        <f t="shared" ca="1" si="351"/>
        <v>269361.38755584974</v>
      </c>
      <c r="W812">
        <f t="shared" ca="1" si="352"/>
        <v>2.5998695052916441</v>
      </c>
      <c r="X812">
        <f t="shared" ca="1" si="353"/>
        <v>1.8933671400629237E-4</v>
      </c>
      <c r="Y812">
        <f t="shared" ca="1" si="354"/>
        <v>52432.49783766341</v>
      </c>
      <c r="Z812">
        <f t="shared" ca="1" si="355"/>
        <v>52432.497837665236</v>
      </c>
      <c r="AA812">
        <f t="shared" ca="1" si="356"/>
        <v>2.2562304480281055E-12</v>
      </c>
      <c r="AB812">
        <f t="shared" ca="1" si="357"/>
        <v>-5.0000000192085281E-4</v>
      </c>
      <c r="AC812">
        <f t="shared" ca="1" si="358"/>
        <v>1</v>
      </c>
      <c r="AD812">
        <f ca="1">IF(V32="Supercritical",L812,IF(V32="Subcritical",U812,IF(AND(T812=1,AC812=1),IF((((F812)*(L812)^2)/2+(G812)*(L812)^3/3+(ABS(K812)^2)/($I$5*MAX(((F812)+(G812)*(L812))*(L812),0.000001)))&gt;=(((F812)*(U812)^2)/2+(G812)*(U812)^3/3+(ABS(K812)^2)/($I$5*MAX(((F812)+(G812)*(U812))*(U812),0.000001))),L812,U812),IF(T812=1,L812,IF(AC812=1,U812,MAX($D$16,POWER((ABS(K812)^2)/($I$5*MAX(F812,0.1)^2),1/3)))))))</f>
        <v>51800.26683766341</v>
      </c>
      <c r="AE812">
        <f t="shared" ca="1" si="359"/>
        <v>52432.49783766341</v>
      </c>
      <c r="AF812">
        <f t="shared" ca="1" si="360"/>
        <v>52432.497837665236</v>
      </c>
      <c r="AI812">
        <v>0</v>
      </c>
      <c r="AJ812">
        <v>0</v>
      </c>
      <c r="AK812">
        <f t="shared" si="361"/>
        <v>0</v>
      </c>
      <c r="AL812">
        <f t="shared" si="370"/>
        <v>0</v>
      </c>
      <c r="AM812">
        <f t="shared" ca="1" si="362"/>
        <v>2.6560383008097266E-7</v>
      </c>
      <c r="AN812" t="str">
        <f t="shared" ca="1" si="363"/>
        <v>Subcritical</v>
      </c>
      <c r="AO812">
        <f t="shared" ca="1" si="364"/>
        <v>2.2562304480281055E-12</v>
      </c>
    </row>
    <row r="813" spans="1:41" x14ac:dyDescent="0.35">
      <c r="A813">
        <v>664</v>
      </c>
      <c r="B813">
        <v>662.89499999999998</v>
      </c>
      <c r="C813">
        <v>616127.071</v>
      </c>
      <c r="D813">
        <v>3097333.2289999998</v>
      </c>
      <c r="E813">
        <v>632.23050000000001</v>
      </c>
      <c r="F813">
        <v>5.2</v>
      </c>
      <c r="G813">
        <v>0</v>
      </c>
      <c r="H813" t="s">
        <v>186</v>
      </c>
      <c r="I813">
        <v>0.05</v>
      </c>
      <c r="J813">
        <f t="shared" si="365"/>
        <v>1</v>
      </c>
      <c r="K813">
        <f t="shared" si="366"/>
        <v>51</v>
      </c>
      <c r="L813">
        <f t="shared" ca="1" si="367"/>
        <v>51797.843837663619</v>
      </c>
      <c r="M813">
        <f t="shared" ca="1" si="344"/>
        <v>269348.78795585083</v>
      </c>
      <c r="N813">
        <f t="shared" ca="1" si="345"/>
        <v>2.5998694991876676</v>
      </c>
      <c r="O813">
        <f t="shared" ca="1" si="346"/>
        <v>1.8934557080078435E-4</v>
      </c>
      <c r="P813">
        <f t="shared" ca="1" si="347"/>
        <v>52430.074337663616</v>
      </c>
      <c r="Q813">
        <f t="shared" ca="1" si="348"/>
        <v>52430.074337665443</v>
      </c>
      <c r="R813">
        <f t="shared" ca="1" si="349"/>
        <v>2.2564415439646509E-12</v>
      </c>
      <c r="S813">
        <f t="shared" ca="1" si="368"/>
        <v>5.0000000192085281E-4</v>
      </c>
      <c r="T813">
        <f t="shared" ca="1" si="369"/>
        <v>1</v>
      </c>
      <c r="U813">
        <f t="shared" ca="1" si="350"/>
        <v>51800.26683766341</v>
      </c>
      <c r="V813">
        <f t="shared" ca="1" si="351"/>
        <v>269361.38755584974</v>
      </c>
      <c r="W813">
        <f t="shared" ca="1" si="352"/>
        <v>2.5998695052916441</v>
      </c>
      <c r="X813">
        <f t="shared" ca="1" si="353"/>
        <v>1.8933671400629237E-4</v>
      </c>
      <c r="Y813">
        <f t="shared" ca="1" si="354"/>
        <v>52432.497337663408</v>
      </c>
      <c r="Z813">
        <f t="shared" ca="1" si="355"/>
        <v>52432.497337665234</v>
      </c>
      <c r="AA813">
        <f t="shared" ca="1" si="356"/>
        <v>2.2562304480281055E-12</v>
      </c>
      <c r="AB813">
        <f t="shared" ca="1" si="357"/>
        <v>-4.999999946448952E-4</v>
      </c>
      <c r="AC813">
        <f t="shared" ca="1" si="358"/>
        <v>1</v>
      </c>
      <c r="AD813">
        <f ca="1">IF(V32="Supercritical",L813,IF(V32="Subcritical",U813,IF(AND(T813=1,AC813=1),IF((((F813)*(L813)^2)/2+(G813)*(L813)^3/3+(ABS(K813)^2)/($I$5*MAX(((F813)+(G813)*(L813))*(L813),0.000001)))&gt;=(((F813)*(U813)^2)/2+(G813)*(U813)^3/3+(ABS(K813)^2)/($I$5*MAX(((F813)+(G813)*(U813))*(U813),0.000001))),L813,U813),IF(T813=1,L813,IF(AC813=1,U813,MAX($D$16,POWER((ABS(K813)^2)/($I$5*MAX(F813,0.1)^2),1/3)))))))</f>
        <v>51800.26683766341</v>
      </c>
      <c r="AE813">
        <f t="shared" ca="1" si="359"/>
        <v>52432.497337663408</v>
      </c>
      <c r="AF813">
        <f t="shared" ca="1" si="360"/>
        <v>52432.497337665234</v>
      </c>
      <c r="AI813">
        <v>0</v>
      </c>
      <c r="AJ813">
        <v>0</v>
      </c>
      <c r="AK813">
        <f t="shared" si="361"/>
        <v>0</v>
      </c>
      <c r="AL813">
        <f t="shared" si="370"/>
        <v>0</v>
      </c>
      <c r="AM813">
        <f t="shared" ca="1" si="362"/>
        <v>2.6560383008097266E-7</v>
      </c>
      <c r="AN813" t="str">
        <f t="shared" ca="1" si="363"/>
        <v>Subcritical</v>
      </c>
      <c r="AO813">
        <f t="shared" ca="1" si="364"/>
        <v>2.2562304480281055E-12</v>
      </c>
    </row>
    <row r="814" spans="1:41" x14ac:dyDescent="0.35">
      <c r="A814">
        <v>665</v>
      </c>
      <c r="B814">
        <v>663.89499999999998</v>
      </c>
      <c r="C814">
        <v>616126.59699999995</v>
      </c>
      <c r="D814">
        <v>3097332.3489999999</v>
      </c>
      <c r="E814">
        <v>632.23</v>
      </c>
      <c r="F814">
        <v>5.2</v>
      </c>
      <c r="G814">
        <v>0</v>
      </c>
      <c r="H814" t="s">
        <v>186</v>
      </c>
      <c r="I814">
        <v>2.7E-2</v>
      </c>
      <c r="J814">
        <f t="shared" si="365"/>
        <v>1</v>
      </c>
      <c r="K814">
        <f t="shared" si="366"/>
        <v>51</v>
      </c>
      <c r="L814">
        <f t="shared" ca="1" si="367"/>
        <v>51797.843837663619</v>
      </c>
      <c r="M814">
        <f t="shared" ca="1" si="344"/>
        <v>269348.78795585083</v>
      </c>
      <c r="N814">
        <f t="shared" ca="1" si="345"/>
        <v>2.5998694991876676</v>
      </c>
      <c r="O814">
        <f t="shared" ca="1" si="346"/>
        <v>1.8934557080078435E-4</v>
      </c>
      <c r="P814">
        <f t="shared" ca="1" si="347"/>
        <v>52430.073837663622</v>
      </c>
      <c r="Q814">
        <f t="shared" ca="1" si="348"/>
        <v>52430.073837665448</v>
      </c>
      <c r="R814">
        <f t="shared" ca="1" si="349"/>
        <v>2.2564415439646509E-12</v>
      </c>
      <c r="S814">
        <f t="shared" ca="1" si="368"/>
        <v>4.999999946448952E-4</v>
      </c>
      <c r="T814">
        <f t="shared" ca="1" si="369"/>
        <v>1</v>
      </c>
      <c r="U814">
        <f t="shared" ca="1" si="350"/>
        <v>51800.26683766341</v>
      </c>
      <c r="V814">
        <f t="shared" ca="1" si="351"/>
        <v>269361.38755584974</v>
      </c>
      <c r="W814">
        <f t="shared" ca="1" si="352"/>
        <v>2.5998695052916441</v>
      </c>
      <c r="X814">
        <f t="shared" ca="1" si="353"/>
        <v>1.8933671400629237E-4</v>
      </c>
      <c r="Y814">
        <f t="shared" ca="1" si="354"/>
        <v>52432.496837663413</v>
      </c>
      <c r="Z814">
        <f t="shared" ca="1" si="355"/>
        <v>52432.49683766524</v>
      </c>
      <c r="AA814">
        <f t="shared" ca="1" si="356"/>
        <v>2.2562304480281055E-12</v>
      </c>
      <c r="AB814">
        <f t="shared" ca="1" si="357"/>
        <v>-5.0000000192085281E-4</v>
      </c>
      <c r="AC814">
        <f t="shared" ca="1" si="358"/>
        <v>1</v>
      </c>
      <c r="AD814">
        <f ca="1">IF(V32="Supercritical",L814,IF(V32="Subcritical",U814,IF(AND(T814=1,AC814=1),IF((((F814)*(L814)^2)/2+(G814)*(L814)^3/3+(ABS(K814)^2)/($I$5*MAX(((F814)+(G814)*(L814))*(L814),0.000001)))&gt;=(((F814)*(U814)^2)/2+(G814)*(U814)^3/3+(ABS(K814)^2)/($I$5*MAX(((F814)+(G814)*(U814))*(U814),0.000001))),L814,U814),IF(T814=1,L814,IF(AC814=1,U814,MAX($D$16,POWER((ABS(K814)^2)/($I$5*MAX(F814,0.1)^2),1/3)))))))</f>
        <v>51800.26683766341</v>
      </c>
      <c r="AE814">
        <f t="shared" ca="1" si="359"/>
        <v>52432.496837663413</v>
      </c>
      <c r="AF814">
        <f t="shared" ca="1" si="360"/>
        <v>52432.49683766524</v>
      </c>
      <c r="AI814">
        <v>0</v>
      </c>
      <c r="AJ814">
        <v>0</v>
      </c>
      <c r="AK814">
        <f t="shared" si="361"/>
        <v>0</v>
      </c>
      <c r="AL814">
        <f t="shared" si="370"/>
        <v>0</v>
      </c>
      <c r="AM814">
        <f t="shared" ca="1" si="362"/>
        <v>2.6560383008097266E-7</v>
      </c>
      <c r="AN814" t="str">
        <f t="shared" ca="1" si="363"/>
        <v>Subcritical</v>
      </c>
      <c r="AO814">
        <f t="shared" ca="1" si="364"/>
        <v>2.2562304480281055E-12</v>
      </c>
    </row>
    <row r="815" spans="1:41" x14ac:dyDescent="0.35">
      <c r="A815">
        <v>666</v>
      </c>
      <c r="B815">
        <v>664.89499999999998</v>
      </c>
      <c r="C815">
        <v>616126.12300000002</v>
      </c>
      <c r="D815">
        <v>3097331.4679999999</v>
      </c>
      <c r="E815">
        <v>632.22950000000003</v>
      </c>
      <c r="F815">
        <v>5.2</v>
      </c>
      <c r="G815">
        <v>0</v>
      </c>
      <c r="H815" t="s">
        <v>186</v>
      </c>
      <c r="I815">
        <v>2.7E-2</v>
      </c>
      <c r="J815">
        <f t="shared" si="365"/>
        <v>1</v>
      </c>
      <c r="K815">
        <f t="shared" si="366"/>
        <v>51</v>
      </c>
      <c r="L815">
        <f t="shared" ca="1" si="367"/>
        <v>51797.843837663619</v>
      </c>
      <c r="M815">
        <f t="shared" ca="1" si="344"/>
        <v>269348.78795585083</v>
      </c>
      <c r="N815">
        <f t="shared" ca="1" si="345"/>
        <v>2.5998694991876676</v>
      </c>
      <c r="O815">
        <f t="shared" ca="1" si="346"/>
        <v>1.8934557080078435E-4</v>
      </c>
      <c r="P815">
        <f t="shared" ca="1" si="347"/>
        <v>52430.07333766362</v>
      </c>
      <c r="Q815">
        <f t="shared" ca="1" si="348"/>
        <v>52430.073337665446</v>
      </c>
      <c r="R815">
        <f t="shared" ca="1" si="349"/>
        <v>2.2564415439646509E-12</v>
      </c>
      <c r="S815">
        <f t="shared" ca="1" si="368"/>
        <v>5.0000000192085281E-4</v>
      </c>
      <c r="T815">
        <f t="shared" ca="1" si="369"/>
        <v>1</v>
      </c>
      <c r="U815">
        <f t="shared" ca="1" si="350"/>
        <v>51800.26683766341</v>
      </c>
      <c r="V815">
        <f t="shared" ca="1" si="351"/>
        <v>269361.38755584974</v>
      </c>
      <c r="W815">
        <f t="shared" ca="1" si="352"/>
        <v>2.5998695052916441</v>
      </c>
      <c r="X815">
        <f t="shared" ca="1" si="353"/>
        <v>1.8933671400629237E-4</v>
      </c>
      <c r="Y815">
        <f t="shared" ca="1" si="354"/>
        <v>52432.496337663411</v>
      </c>
      <c r="Z815">
        <f t="shared" ca="1" si="355"/>
        <v>52432.496337665238</v>
      </c>
      <c r="AA815">
        <f t="shared" ca="1" si="356"/>
        <v>2.2562304480281055E-12</v>
      </c>
      <c r="AB815">
        <f t="shared" ca="1" si="357"/>
        <v>-5.0000000192085281E-4</v>
      </c>
      <c r="AC815">
        <f t="shared" ca="1" si="358"/>
        <v>1</v>
      </c>
      <c r="AD815">
        <f ca="1">IF(V32="Supercritical",L815,IF(V32="Subcritical",U815,IF(AND(T815=1,AC815=1),IF((((F815)*(L815)^2)/2+(G815)*(L815)^3/3+(ABS(K815)^2)/($I$5*MAX(((F815)+(G815)*(L815))*(L815),0.000001)))&gt;=(((F815)*(U815)^2)/2+(G815)*(U815)^3/3+(ABS(K815)^2)/($I$5*MAX(((F815)+(G815)*(U815))*(U815),0.000001))),L815,U815),IF(T815=1,L815,IF(AC815=1,U815,MAX($D$16,POWER((ABS(K815)^2)/($I$5*MAX(F815,0.1)^2),1/3)))))))</f>
        <v>51800.26683766341</v>
      </c>
      <c r="AE815">
        <f t="shared" ca="1" si="359"/>
        <v>52432.496337663411</v>
      </c>
      <c r="AF815">
        <f t="shared" ca="1" si="360"/>
        <v>52432.496337665238</v>
      </c>
      <c r="AI815">
        <v>0</v>
      </c>
      <c r="AJ815">
        <v>0</v>
      </c>
      <c r="AK815">
        <f t="shared" si="361"/>
        <v>0</v>
      </c>
      <c r="AL815">
        <f t="shared" si="370"/>
        <v>0</v>
      </c>
      <c r="AM815">
        <f t="shared" ca="1" si="362"/>
        <v>2.6560383008097266E-7</v>
      </c>
      <c r="AN815" t="str">
        <f t="shared" ca="1" si="363"/>
        <v>Subcritical</v>
      </c>
      <c r="AO815">
        <f t="shared" ca="1" si="364"/>
        <v>2.2562304480281055E-12</v>
      </c>
    </row>
    <row r="816" spans="1:41" x14ac:dyDescent="0.35">
      <c r="A816">
        <v>667</v>
      </c>
      <c r="B816">
        <v>665.89499999999998</v>
      </c>
      <c r="C816">
        <v>616125.64899999998</v>
      </c>
      <c r="D816">
        <v>3097330.588</v>
      </c>
      <c r="E816">
        <v>632.22900000000004</v>
      </c>
      <c r="F816">
        <v>5.2</v>
      </c>
      <c r="G816">
        <v>0</v>
      </c>
      <c r="H816" t="s">
        <v>186</v>
      </c>
      <c r="I816">
        <v>2.7E-2</v>
      </c>
      <c r="J816">
        <f t="shared" si="365"/>
        <v>1</v>
      </c>
      <c r="K816">
        <f t="shared" si="366"/>
        <v>51</v>
      </c>
      <c r="L816">
        <f t="shared" ca="1" si="367"/>
        <v>51797.843837663619</v>
      </c>
      <c r="M816">
        <f t="shared" ca="1" si="344"/>
        <v>269348.78795585083</v>
      </c>
      <c r="N816">
        <f t="shared" ca="1" si="345"/>
        <v>2.5998694991876676</v>
      </c>
      <c r="O816">
        <f t="shared" ca="1" si="346"/>
        <v>1.8934557080078435E-4</v>
      </c>
      <c r="P816">
        <f t="shared" ca="1" si="347"/>
        <v>52430.072837663618</v>
      </c>
      <c r="Q816">
        <f t="shared" ca="1" si="348"/>
        <v>52430.072837665444</v>
      </c>
      <c r="R816">
        <f t="shared" ca="1" si="349"/>
        <v>2.2564415439646509E-12</v>
      </c>
      <c r="S816">
        <f t="shared" ca="1" si="368"/>
        <v>5.0000000192085281E-4</v>
      </c>
      <c r="T816">
        <f t="shared" ca="1" si="369"/>
        <v>1</v>
      </c>
      <c r="U816">
        <f t="shared" ca="1" si="350"/>
        <v>51800.26683766341</v>
      </c>
      <c r="V816">
        <f t="shared" ca="1" si="351"/>
        <v>269361.38755584974</v>
      </c>
      <c r="W816">
        <f t="shared" ca="1" si="352"/>
        <v>2.5998695052916441</v>
      </c>
      <c r="X816">
        <f t="shared" ca="1" si="353"/>
        <v>1.8933671400629237E-4</v>
      </c>
      <c r="Y816">
        <f t="shared" ca="1" si="354"/>
        <v>52432.495837663409</v>
      </c>
      <c r="Z816">
        <f t="shared" ca="1" si="355"/>
        <v>52432.495837665236</v>
      </c>
      <c r="AA816">
        <f t="shared" ca="1" si="356"/>
        <v>2.2562304480281055E-12</v>
      </c>
      <c r="AB816">
        <f t="shared" ca="1" si="357"/>
        <v>-5.0000000192085281E-4</v>
      </c>
      <c r="AC816">
        <f t="shared" ca="1" si="358"/>
        <v>1</v>
      </c>
      <c r="AD816">
        <f ca="1">IF(V32="Supercritical",L816,IF(V32="Subcritical",U816,IF(AND(T816=1,AC816=1),IF((((F816)*(L816)^2)/2+(G816)*(L816)^3/3+(ABS(K816)^2)/($I$5*MAX(((F816)+(G816)*(L816))*(L816),0.000001)))&gt;=(((F816)*(U816)^2)/2+(G816)*(U816)^3/3+(ABS(K816)^2)/($I$5*MAX(((F816)+(G816)*(U816))*(U816),0.000001))),L816,U816),IF(T816=1,L816,IF(AC816=1,U816,MAX($D$16,POWER((ABS(K816)^2)/($I$5*MAX(F816,0.1)^2),1/3)))))))</f>
        <v>51800.26683766341</v>
      </c>
      <c r="AE816">
        <f t="shared" ca="1" si="359"/>
        <v>52432.495837663409</v>
      </c>
      <c r="AF816">
        <f t="shared" ca="1" si="360"/>
        <v>52432.495837665236</v>
      </c>
      <c r="AI816">
        <v>0</v>
      </c>
      <c r="AJ816">
        <v>0</v>
      </c>
      <c r="AK816">
        <f t="shared" si="361"/>
        <v>0</v>
      </c>
      <c r="AL816">
        <f t="shared" si="370"/>
        <v>0</v>
      </c>
      <c r="AM816">
        <f t="shared" ca="1" si="362"/>
        <v>2.6560383008097266E-7</v>
      </c>
      <c r="AN816" t="str">
        <f t="shared" ca="1" si="363"/>
        <v>Subcritical</v>
      </c>
      <c r="AO816">
        <f t="shared" ca="1" si="364"/>
        <v>2.2562304480281055E-12</v>
      </c>
    </row>
    <row r="817" spans="1:41" x14ac:dyDescent="0.35">
      <c r="A817">
        <v>668</v>
      </c>
      <c r="B817">
        <v>666.89499999999998</v>
      </c>
      <c r="C817">
        <v>616125.17500000005</v>
      </c>
      <c r="D817">
        <v>3097329.7069999999</v>
      </c>
      <c r="E817">
        <v>632.22850000000005</v>
      </c>
      <c r="F817">
        <v>5.2</v>
      </c>
      <c r="G817">
        <v>0</v>
      </c>
      <c r="H817" t="s">
        <v>186</v>
      </c>
      <c r="I817">
        <v>7.8E-2</v>
      </c>
      <c r="J817">
        <f t="shared" si="365"/>
        <v>1</v>
      </c>
      <c r="K817">
        <f t="shared" si="366"/>
        <v>51</v>
      </c>
      <c r="L817">
        <f t="shared" ca="1" si="367"/>
        <v>51797.843837663619</v>
      </c>
      <c r="M817">
        <f t="shared" ca="1" si="344"/>
        <v>269348.78795585083</v>
      </c>
      <c r="N817">
        <f t="shared" ca="1" si="345"/>
        <v>2.5998694991876676</v>
      </c>
      <c r="O817">
        <f t="shared" ca="1" si="346"/>
        <v>1.8934557080078435E-4</v>
      </c>
      <c r="P817">
        <f t="shared" ca="1" si="347"/>
        <v>52430.072337663616</v>
      </c>
      <c r="Q817">
        <f t="shared" ca="1" si="348"/>
        <v>52430.072337665442</v>
      </c>
      <c r="R817">
        <f t="shared" ca="1" si="349"/>
        <v>2.2564415439646509E-12</v>
      </c>
      <c r="S817">
        <f t="shared" ca="1" si="368"/>
        <v>5.0000000192085281E-4</v>
      </c>
      <c r="T817">
        <f t="shared" ca="1" si="369"/>
        <v>1</v>
      </c>
      <c r="U817">
        <f t="shared" ca="1" si="350"/>
        <v>51800.26683766341</v>
      </c>
      <c r="V817">
        <f t="shared" ca="1" si="351"/>
        <v>269361.38755584974</v>
      </c>
      <c r="W817">
        <f t="shared" ca="1" si="352"/>
        <v>2.5998695052916441</v>
      </c>
      <c r="X817">
        <f t="shared" ca="1" si="353"/>
        <v>1.8933671400629237E-4</v>
      </c>
      <c r="Y817">
        <f t="shared" ca="1" si="354"/>
        <v>52432.495337663408</v>
      </c>
      <c r="Z817">
        <f t="shared" ca="1" si="355"/>
        <v>52432.495337665234</v>
      </c>
      <c r="AA817">
        <f t="shared" ca="1" si="356"/>
        <v>2.2562304480281055E-12</v>
      </c>
      <c r="AB817">
        <f t="shared" ca="1" si="357"/>
        <v>-4.999999946448952E-4</v>
      </c>
      <c r="AC817">
        <f t="shared" ca="1" si="358"/>
        <v>1</v>
      </c>
      <c r="AD817">
        <f ca="1">IF(V32="Supercritical",L817,IF(V32="Subcritical",U817,IF(AND(T817=1,AC817=1),IF((((F817)*(L817)^2)/2+(G817)*(L817)^3/3+(ABS(K817)^2)/($I$5*MAX(((F817)+(G817)*(L817))*(L817),0.000001)))&gt;=(((F817)*(U817)^2)/2+(G817)*(U817)^3/3+(ABS(K817)^2)/($I$5*MAX(((F817)+(G817)*(U817))*(U817),0.000001))),L817,U817),IF(T817=1,L817,IF(AC817=1,U817,MAX($D$16,POWER((ABS(K817)^2)/($I$5*MAX(F817,0.1)^2),1/3)))))))</f>
        <v>51800.26683766341</v>
      </c>
      <c r="AE817">
        <f t="shared" ca="1" si="359"/>
        <v>52432.495337663408</v>
      </c>
      <c r="AF817">
        <f t="shared" ca="1" si="360"/>
        <v>52432.495337665234</v>
      </c>
      <c r="AI817">
        <v>0</v>
      </c>
      <c r="AJ817">
        <v>0</v>
      </c>
      <c r="AK817">
        <f t="shared" si="361"/>
        <v>0</v>
      </c>
      <c r="AL817">
        <f t="shared" si="370"/>
        <v>0</v>
      </c>
      <c r="AM817">
        <f t="shared" ca="1" si="362"/>
        <v>2.6560383008097266E-7</v>
      </c>
      <c r="AN817" t="str">
        <f t="shared" ca="1" si="363"/>
        <v>Subcritical</v>
      </c>
      <c r="AO817">
        <f t="shared" ca="1" si="364"/>
        <v>2.2562304480281055E-12</v>
      </c>
    </row>
    <row r="818" spans="1:41" x14ac:dyDescent="0.35">
      <c r="A818">
        <v>669</v>
      </c>
      <c r="B818">
        <v>667.89499999999998</v>
      </c>
      <c r="C818">
        <v>616124.69999999995</v>
      </c>
      <c r="D818">
        <v>3097328.827</v>
      </c>
      <c r="E818">
        <v>632.22799999999995</v>
      </c>
      <c r="F818">
        <v>5.2</v>
      </c>
      <c r="G818">
        <v>0</v>
      </c>
      <c r="H818" t="s">
        <v>186</v>
      </c>
      <c r="I818">
        <v>0.05</v>
      </c>
      <c r="J818">
        <f t="shared" si="365"/>
        <v>1</v>
      </c>
      <c r="K818">
        <f t="shared" si="366"/>
        <v>51</v>
      </c>
      <c r="L818">
        <f t="shared" ca="1" si="367"/>
        <v>51797.843837663619</v>
      </c>
      <c r="M818">
        <f t="shared" ca="1" si="344"/>
        <v>269348.78795585083</v>
      </c>
      <c r="N818">
        <f t="shared" ca="1" si="345"/>
        <v>2.5998694991876676</v>
      </c>
      <c r="O818">
        <f t="shared" ca="1" si="346"/>
        <v>1.8934557080078435E-4</v>
      </c>
      <c r="P818">
        <f t="shared" ca="1" si="347"/>
        <v>52430.071837663621</v>
      </c>
      <c r="Q818">
        <f t="shared" ca="1" si="348"/>
        <v>52430.071837665448</v>
      </c>
      <c r="R818">
        <f t="shared" ca="1" si="349"/>
        <v>2.2564415439646509E-12</v>
      </c>
      <c r="S818">
        <f t="shared" ca="1" si="368"/>
        <v>4.999999946448952E-4</v>
      </c>
      <c r="T818">
        <f t="shared" ca="1" si="369"/>
        <v>1</v>
      </c>
      <c r="U818">
        <f t="shared" ca="1" si="350"/>
        <v>51800.26683766341</v>
      </c>
      <c r="V818">
        <f t="shared" ca="1" si="351"/>
        <v>269361.38755584974</v>
      </c>
      <c r="W818">
        <f t="shared" ca="1" si="352"/>
        <v>2.5998695052916441</v>
      </c>
      <c r="X818">
        <f t="shared" ca="1" si="353"/>
        <v>1.8933671400629237E-4</v>
      </c>
      <c r="Y818">
        <f t="shared" ca="1" si="354"/>
        <v>52432.494837663413</v>
      </c>
      <c r="Z818">
        <f t="shared" ca="1" si="355"/>
        <v>52432.494837665239</v>
      </c>
      <c r="AA818">
        <f t="shared" ca="1" si="356"/>
        <v>2.2562304480281055E-12</v>
      </c>
      <c r="AB818">
        <f t="shared" ca="1" si="357"/>
        <v>-5.0000000192085281E-4</v>
      </c>
      <c r="AC818">
        <f t="shared" ca="1" si="358"/>
        <v>1</v>
      </c>
      <c r="AD818">
        <f ca="1">IF(V32="Supercritical",L818,IF(V32="Subcritical",U818,IF(AND(T818=1,AC818=1),IF((((F818)*(L818)^2)/2+(G818)*(L818)^3/3+(ABS(K818)^2)/($I$5*MAX(((F818)+(G818)*(L818))*(L818),0.000001)))&gt;=(((F818)*(U818)^2)/2+(G818)*(U818)^3/3+(ABS(K818)^2)/($I$5*MAX(((F818)+(G818)*(U818))*(U818),0.000001))),L818,U818),IF(T818=1,L818,IF(AC818=1,U818,MAX($D$16,POWER((ABS(K818)^2)/($I$5*MAX(F818,0.1)^2),1/3)))))))</f>
        <v>51800.26683766341</v>
      </c>
      <c r="AE818">
        <f t="shared" ca="1" si="359"/>
        <v>52432.494837663413</v>
      </c>
      <c r="AF818">
        <f t="shared" ca="1" si="360"/>
        <v>52432.494837665239</v>
      </c>
      <c r="AI818">
        <v>0</v>
      </c>
      <c r="AJ818">
        <v>0</v>
      </c>
      <c r="AK818">
        <f t="shared" si="361"/>
        <v>0</v>
      </c>
      <c r="AL818">
        <f t="shared" si="370"/>
        <v>0</v>
      </c>
      <c r="AM818">
        <f t="shared" ca="1" si="362"/>
        <v>2.6560383008097266E-7</v>
      </c>
      <c r="AN818" t="str">
        <f t="shared" ca="1" si="363"/>
        <v>Subcritical</v>
      </c>
      <c r="AO818">
        <f t="shared" ca="1" si="364"/>
        <v>2.2562304480281055E-12</v>
      </c>
    </row>
    <row r="819" spans="1:41" x14ac:dyDescent="0.35">
      <c r="A819">
        <v>670</v>
      </c>
      <c r="B819">
        <v>668.89499999999998</v>
      </c>
      <c r="C819">
        <v>616124.22600000002</v>
      </c>
      <c r="D819">
        <v>3097327.9470000002</v>
      </c>
      <c r="E819">
        <v>632.22749999999996</v>
      </c>
      <c r="F819">
        <v>5.2</v>
      </c>
      <c r="G819">
        <v>0</v>
      </c>
      <c r="H819" t="s">
        <v>186</v>
      </c>
      <c r="I819">
        <v>2.7E-2</v>
      </c>
      <c r="J819">
        <f t="shared" si="365"/>
        <v>1</v>
      </c>
      <c r="K819">
        <f t="shared" si="366"/>
        <v>51</v>
      </c>
      <c r="L819">
        <f t="shared" ca="1" si="367"/>
        <v>51797.843837663619</v>
      </c>
      <c r="M819">
        <f t="shared" ca="1" si="344"/>
        <v>269348.78795585083</v>
      </c>
      <c r="N819">
        <f t="shared" ca="1" si="345"/>
        <v>2.5998694991876676</v>
      </c>
      <c r="O819">
        <f t="shared" ca="1" si="346"/>
        <v>1.8934557080078435E-4</v>
      </c>
      <c r="P819">
        <f t="shared" ca="1" si="347"/>
        <v>52430.071337663619</v>
      </c>
      <c r="Q819">
        <f t="shared" ca="1" si="348"/>
        <v>52430.071337665446</v>
      </c>
      <c r="R819">
        <f t="shared" ca="1" si="349"/>
        <v>2.2564415439646509E-12</v>
      </c>
      <c r="S819">
        <f t="shared" ca="1" si="368"/>
        <v>5.0000000192085281E-4</v>
      </c>
      <c r="T819">
        <f t="shared" ca="1" si="369"/>
        <v>1</v>
      </c>
      <c r="U819">
        <f t="shared" ca="1" si="350"/>
        <v>51800.26683766341</v>
      </c>
      <c r="V819">
        <f t="shared" ca="1" si="351"/>
        <v>269361.38755584974</v>
      </c>
      <c r="W819">
        <f t="shared" ca="1" si="352"/>
        <v>2.5998695052916441</v>
      </c>
      <c r="X819">
        <f t="shared" ca="1" si="353"/>
        <v>1.8933671400629237E-4</v>
      </c>
      <c r="Y819">
        <f t="shared" ca="1" si="354"/>
        <v>52432.494337663411</v>
      </c>
      <c r="Z819">
        <f t="shared" ca="1" si="355"/>
        <v>52432.494337665237</v>
      </c>
      <c r="AA819">
        <f t="shared" ca="1" si="356"/>
        <v>2.2562304480281055E-12</v>
      </c>
      <c r="AB819">
        <f t="shared" ca="1" si="357"/>
        <v>-5.0000000192085281E-4</v>
      </c>
      <c r="AC819">
        <f t="shared" ca="1" si="358"/>
        <v>1</v>
      </c>
      <c r="AD819">
        <f ca="1">IF(V32="Supercritical",L819,IF(V32="Subcritical",U819,IF(AND(T819=1,AC819=1),IF((((F819)*(L819)^2)/2+(G819)*(L819)^3/3+(ABS(K819)^2)/($I$5*MAX(((F819)+(G819)*(L819))*(L819),0.000001)))&gt;=(((F819)*(U819)^2)/2+(G819)*(U819)^3/3+(ABS(K819)^2)/($I$5*MAX(((F819)+(G819)*(U819))*(U819),0.000001))),L819,U819),IF(T819=1,L819,IF(AC819=1,U819,MAX($D$16,POWER((ABS(K819)^2)/($I$5*MAX(F819,0.1)^2),1/3)))))))</f>
        <v>51800.26683766341</v>
      </c>
      <c r="AE819">
        <f t="shared" ca="1" si="359"/>
        <v>52432.494337663411</v>
      </c>
      <c r="AF819">
        <f t="shared" ca="1" si="360"/>
        <v>52432.494337665237</v>
      </c>
      <c r="AI819">
        <v>0</v>
      </c>
      <c r="AJ819">
        <v>0</v>
      </c>
      <c r="AK819">
        <f t="shared" si="361"/>
        <v>0</v>
      </c>
      <c r="AL819">
        <f t="shared" si="370"/>
        <v>0</v>
      </c>
      <c r="AM819">
        <f t="shared" ca="1" si="362"/>
        <v>2.6560383008097266E-7</v>
      </c>
      <c r="AN819" t="str">
        <f t="shared" ca="1" si="363"/>
        <v>Subcritical</v>
      </c>
      <c r="AO819">
        <f t="shared" ca="1" si="364"/>
        <v>2.2562304480281055E-12</v>
      </c>
    </row>
    <row r="820" spans="1:41" x14ac:dyDescent="0.35">
      <c r="A820">
        <v>671</v>
      </c>
      <c r="B820">
        <v>669.89499999999998</v>
      </c>
      <c r="C820">
        <v>616123.75199999998</v>
      </c>
      <c r="D820">
        <v>3097327.0660000001</v>
      </c>
      <c r="E820">
        <v>632.22699999999998</v>
      </c>
      <c r="F820">
        <v>5.2</v>
      </c>
      <c r="G820">
        <v>0</v>
      </c>
      <c r="H820" t="s">
        <v>186</v>
      </c>
      <c r="I820">
        <v>2.7E-2</v>
      </c>
      <c r="J820">
        <f t="shared" si="365"/>
        <v>1</v>
      </c>
      <c r="K820">
        <f t="shared" si="366"/>
        <v>51</v>
      </c>
      <c r="L820">
        <f t="shared" ca="1" si="367"/>
        <v>51797.843837663619</v>
      </c>
      <c r="M820">
        <f t="shared" ca="1" si="344"/>
        <v>269348.78795585083</v>
      </c>
      <c r="N820">
        <f t="shared" ca="1" si="345"/>
        <v>2.5998694991876676</v>
      </c>
      <c r="O820">
        <f t="shared" ca="1" si="346"/>
        <v>1.8934557080078435E-4</v>
      </c>
      <c r="P820">
        <f t="shared" ca="1" si="347"/>
        <v>52430.070837663618</v>
      </c>
      <c r="Q820">
        <f t="shared" ca="1" si="348"/>
        <v>52430.070837665444</v>
      </c>
      <c r="R820">
        <f t="shared" ca="1" si="349"/>
        <v>2.2564415439646509E-12</v>
      </c>
      <c r="S820">
        <f t="shared" ca="1" si="368"/>
        <v>5.0000000192085281E-4</v>
      </c>
      <c r="T820">
        <f t="shared" ca="1" si="369"/>
        <v>1</v>
      </c>
      <c r="U820">
        <f t="shared" ca="1" si="350"/>
        <v>51800.26683766341</v>
      </c>
      <c r="V820">
        <f t="shared" ca="1" si="351"/>
        <v>269361.38755584974</v>
      </c>
      <c r="W820">
        <f t="shared" ca="1" si="352"/>
        <v>2.5998695052916441</v>
      </c>
      <c r="X820">
        <f t="shared" ca="1" si="353"/>
        <v>1.8933671400629237E-4</v>
      </c>
      <c r="Y820">
        <f t="shared" ca="1" si="354"/>
        <v>52432.493837663409</v>
      </c>
      <c r="Z820">
        <f t="shared" ca="1" si="355"/>
        <v>52432.493837665235</v>
      </c>
      <c r="AA820">
        <f t="shared" ca="1" si="356"/>
        <v>2.2562304480281055E-12</v>
      </c>
      <c r="AB820">
        <f t="shared" ca="1" si="357"/>
        <v>-5.0000000192085281E-4</v>
      </c>
      <c r="AC820">
        <f t="shared" ca="1" si="358"/>
        <v>1</v>
      </c>
      <c r="AD820">
        <f ca="1">IF(V32="Supercritical",L820,IF(V32="Subcritical",U820,IF(AND(T820=1,AC820=1),IF((((F820)*(L820)^2)/2+(G820)*(L820)^3/3+(ABS(K820)^2)/($I$5*MAX(((F820)+(G820)*(L820))*(L820),0.000001)))&gt;=(((F820)*(U820)^2)/2+(G820)*(U820)^3/3+(ABS(K820)^2)/($I$5*MAX(((F820)+(G820)*(U820))*(U820),0.000001))),L820,U820),IF(T820=1,L820,IF(AC820=1,U820,MAX($D$16,POWER((ABS(K820)^2)/($I$5*MAX(F820,0.1)^2),1/3)))))))</f>
        <v>51800.26683766341</v>
      </c>
      <c r="AE820">
        <f t="shared" ca="1" si="359"/>
        <v>52432.493837663409</v>
      </c>
      <c r="AF820">
        <f t="shared" ca="1" si="360"/>
        <v>52432.493837665235</v>
      </c>
      <c r="AI820">
        <v>0</v>
      </c>
      <c r="AJ820">
        <v>0</v>
      </c>
      <c r="AK820">
        <f t="shared" si="361"/>
        <v>0</v>
      </c>
      <c r="AL820">
        <f t="shared" si="370"/>
        <v>0</v>
      </c>
      <c r="AM820">
        <f t="shared" ca="1" si="362"/>
        <v>2.6560383008097266E-7</v>
      </c>
      <c r="AN820" t="str">
        <f t="shared" ca="1" si="363"/>
        <v>Subcritical</v>
      </c>
      <c r="AO820">
        <f t="shared" ca="1" si="364"/>
        <v>2.2562304480281055E-12</v>
      </c>
    </row>
    <row r="821" spans="1:41" x14ac:dyDescent="0.35">
      <c r="A821">
        <v>672</v>
      </c>
      <c r="B821">
        <v>670.89499999999998</v>
      </c>
      <c r="C821">
        <v>616123.27800000005</v>
      </c>
      <c r="D821">
        <v>3097326.1860000002</v>
      </c>
      <c r="E821">
        <v>632.22649999999999</v>
      </c>
      <c r="F821">
        <v>5.2</v>
      </c>
      <c r="G821">
        <v>0</v>
      </c>
      <c r="H821" t="s">
        <v>186</v>
      </c>
      <c r="I821">
        <v>2.3E-2</v>
      </c>
      <c r="J821">
        <f t="shared" si="365"/>
        <v>1</v>
      </c>
      <c r="K821">
        <f t="shared" si="366"/>
        <v>51</v>
      </c>
      <c r="L821">
        <f t="shared" ca="1" si="367"/>
        <v>51797.843837663619</v>
      </c>
      <c r="M821">
        <f t="shared" ca="1" si="344"/>
        <v>269348.78795585083</v>
      </c>
      <c r="N821">
        <f t="shared" ca="1" si="345"/>
        <v>2.5998694991876676</v>
      </c>
      <c r="O821">
        <f t="shared" ca="1" si="346"/>
        <v>1.8934557080078435E-4</v>
      </c>
      <c r="P821">
        <f t="shared" ca="1" si="347"/>
        <v>52430.070337663616</v>
      </c>
      <c r="Q821">
        <f t="shared" ca="1" si="348"/>
        <v>52430.070337665442</v>
      </c>
      <c r="R821">
        <f t="shared" ca="1" si="349"/>
        <v>2.2564415439646509E-12</v>
      </c>
      <c r="S821">
        <f t="shared" ca="1" si="368"/>
        <v>5.0000000192085281E-4</v>
      </c>
      <c r="T821">
        <f t="shared" ca="1" si="369"/>
        <v>1</v>
      </c>
      <c r="U821">
        <f t="shared" ca="1" si="350"/>
        <v>51800.26683766341</v>
      </c>
      <c r="V821">
        <f t="shared" ca="1" si="351"/>
        <v>269361.38755584974</v>
      </c>
      <c r="W821">
        <f t="shared" ca="1" si="352"/>
        <v>2.5998695052916441</v>
      </c>
      <c r="X821">
        <f t="shared" ca="1" si="353"/>
        <v>1.8933671400629237E-4</v>
      </c>
      <c r="Y821">
        <f t="shared" ca="1" si="354"/>
        <v>52432.493337663407</v>
      </c>
      <c r="Z821">
        <f t="shared" ca="1" si="355"/>
        <v>52432.493337665233</v>
      </c>
      <c r="AA821">
        <f t="shared" ca="1" si="356"/>
        <v>2.2562304480281055E-12</v>
      </c>
      <c r="AB821">
        <f t="shared" ca="1" si="357"/>
        <v>-4.999999946448952E-4</v>
      </c>
      <c r="AC821">
        <f t="shared" ca="1" si="358"/>
        <v>1</v>
      </c>
      <c r="AD821">
        <f ca="1">IF(V32="Supercritical",L821,IF(V32="Subcritical",U821,IF(AND(T821=1,AC821=1),IF((((F821)*(L821)^2)/2+(G821)*(L821)^3/3+(ABS(K821)^2)/($I$5*MAX(((F821)+(G821)*(L821))*(L821),0.000001)))&gt;=(((F821)*(U821)^2)/2+(G821)*(U821)^3/3+(ABS(K821)^2)/($I$5*MAX(((F821)+(G821)*(U821))*(U821),0.000001))),L821,U821),IF(T821=1,L821,IF(AC821=1,U821,MAX($D$16,POWER((ABS(K821)^2)/($I$5*MAX(F821,0.1)^2),1/3)))))))</f>
        <v>51800.26683766341</v>
      </c>
      <c r="AE821">
        <f t="shared" ca="1" si="359"/>
        <v>52432.493337663407</v>
      </c>
      <c r="AF821">
        <f t="shared" ca="1" si="360"/>
        <v>52432.493337665233</v>
      </c>
      <c r="AI821">
        <v>0</v>
      </c>
      <c r="AJ821">
        <v>0</v>
      </c>
      <c r="AK821">
        <f t="shared" si="361"/>
        <v>0</v>
      </c>
      <c r="AL821">
        <f t="shared" si="370"/>
        <v>0</v>
      </c>
      <c r="AM821">
        <f t="shared" ca="1" si="362"/>
        <v>2.6560383008097266E-7</v>
      </c>
      <c r="AN821" t="str">
        <f t="shared" ca="1" si="363"/>
        <v>Subcritical</v>
      </c>
      <c r="AO821">
        <f t="shared" ca="1" si="364"/>
        <v>2.2562304480281055E-12</v>
      </c>
    </row>
    <row r="822" spans="1:41" x14ac:dyDescent="0.35">
      <c r="A822">
        <v>673</v>
      </c>
      <c r="B822">
        <v>671.89599999999996</v>
      </c>
      <c r="C822">
        <v>616122.80299999996</v>
      </c>
      <c r="D822">
        <v>3097325.3050000002</v>
      </c>
      <c r="E822">
        <v>632.226</v>
      </c>
      <c r="F822">
        <v>5.2</v>
      </c>
      <c r="G822">
        <v>0</v>
      </c>
      <c r="H822" t="s">
        <v>186</v>
      </c>
      <c r="I822">
        <v>2.3E-2</v>
      </c>
      <c r="J822">
        <f t="shared" si="365"/>
        <v>1.0009999999999764</v>
      </c>
      <c r="K822">
        <f t="shared" si="366"/>
        <v>51</v>
      </c>
      <c r="L822">
        <f t="shared" ca="1" si="367"/>
        <v>51797.843837663619</v>
      </c>
      <c r="M822">
        <f t="shared" ca="1" si="344"/>
        <v>269348.78795585083</v>
      </c>
      <c r="N822">
        <f t="shared" ca="1" si="345"/>
        <v>2.5998694991876676</v>
      </c>
      <c r="O822">
        <f t="shared" ca="1" si="346"/>
        <v>1.8934557080078435E-4</v>
      </c>
      <c r="P822">
        <f t="shared" ca="1" si="347"/>
        <v>52430.069837663621</v>
      </c>
      <c r="Q822">
        <f t="shared" ca="1" si="348"/>
        <v>52430.069837665447</v>
      </c>
      <c r="R822">
        <f t="shared" ca="1" si="349"/>
        <v>2.2564415439646509E-12</v>
      </c>
      <c r="S822">
        <f t="shared" ca="1" si="368"/>
        <v>4.999999946448952E-4</v>
      </c>
      <c r="T822">
        <f t="shared" ca="1" si="369"/>
        <v>1</v>
      </c>
      <c r="U822">
        <f t="shared" ca="1" si="350"/>
        <v>51800.26683766341</v>
      </c>
      <c r="V822">
        <f t="shared" ca="1" si="351"/>
        <v>269361.38755584974</v>
      </c>
      <c r="W822">
        <f t="shared" ca="1" si="352"/>
        <v>2.5998695052916441</v>
      </c>
      <c r="X822">
        <f t="shared" ca="1" si="353"/>
        <v>1.8933671400629237E-4</v>
      </c>
      <c r="Y822">
        <f t="shared" ca="1" si="354"/>
        <v>52432.492837663413</v>
      </c>
      <c r="Z822">
        <f t="shared" ca="1" si="355"/>
        <v>52432.492837665239</v>
      </c>
      <c r="AA822">
        <f t="shared" ca="1" si="356"/>
        <v>2.2562304480281055E-12</v>
      </c>
      <c r="AB822">
        <f t="shared" ca="1" si="357"/>
        <v>-5.0000000192085281E-4</v>
      </c>
      <c r="AC822">
        <f t="shared" ca="1" si="358"/>
        <v>1</v>
      </c>
      <c r="AD822">
        <f ca="1">IF(V32="Supercritical",L822,IF(V32="Subcritical",U822,IF(AND(T822=1,AC822=1),IF((((F822)*(L822)^2)/2+(G822)*(L822)^3/3+(ABS(K822)^2)/($I$5*MAX(((F822)+(G822)*(L822))*(L822),0.000001)))&gt;=(((F822)*(U822)^2)/2+(G822)*(U822)^3/3+(ABS(K822)^2)/($I$5*MAX(((F822)+(G822)*(U822))*(U822),0.000001))),L822,U822),IF(T822=1,L822,IF(AC822=1,U822,MAX($D$16,POWER((ABS(K822)^2)/($I$5*MAX(F822,0.1)^2),1/3)))))))</f>
        <v>51800.26683766341</v>
      </c>
      <c r="AE822">
        <f t="shared" ca="1" si="359"/>
        <v>52432.492837663413</v>
      </c>
      <c r="AF822">
        <f t="shared" ca="1" si="360"/>
        <v>52432.492837665239</v>
      </c>
      <c r="AI822">
        <v>0</v>
      </c>
      <c r="AJ822">
        <v>0</v>
      </c>
      <c r="AK822">
        <f t="shared" si="361"/>
        <v>0</v>
      </c>
      <c r="AL822">
        <f t="shared" si="370"/>
        <v>0</v>
      </c>
      <c r="AM822">
        <f t="shared" ca="1" si="362"/>
        <v>2.6560383008097266E-7</v>
      </c>
      <c r="AN822" t="str">
        <f t="shared" ca="1" si="363"/>
        <v>Subcritical</v>
      </c>
      <c r="AO822">
        <f t="shared" ca="1" si="364"/>
        <v>2.2562304480281055E-12</v>
      </c>
    </row>
    <row r="823" spans="1:41" x14ac:dyDescent="0.35">
      <c r="A823">
        <v>674</v>
      </c>
      <c r="B823">
        <v>672.89499999999998</v>
      </c>
      <c r="C823">
        <v>616122.32900000003</v>
      </c>
      <c r="D823">
        <v>3097324.4249999998</v>
      </c>
      <c r="E823">
        <v>632.22550000000001</v>
      </c>
      <c r="F823">
        <v>5.2</v>
      </c>
      <c r="G823">
        <v>0</v>
      </c>
      <c r="H823" t="s">
        <v>186</v>
      </c>
      <c r="I823">
        <v>0</v>
      </c>
      <c r="J823">
        <f t="shared" si="365"/>
        <v>0.99900000000002365</v>
      </c>
      <c r="K823">
        <f t="shared" si="366"/>
        <v>51</v>
      </c>
      <c r="L823">
        <f t="shared" ca="1" si="367"/>
        <v>51797.843837663619</v>
      </c>
      <c r="M823">
        <f t="shared" ca="1" si="344"/>
        <v>269348.78795585083</v>
      </c>
      <c r="N823">
        <f t="shared" ca="1" si="345"/>
        <v>2.5998694991876676</v>
      </c>
      <c r="O823">
        <f t="shared" ca="1" si="346"/>
        <v>1.8934557080078435E-4</v>
      </c>
      <c r="P823">
        <f t="shared" ca="1" si="347"/>
        <v>52430.069337663619</v>
      </c>
      <c r="Q823">
        <f t="shared" ca="1" si="348"/>
        <v>52430.069337665445</v>
      </c>
      <c r="R823">
        <f t="shared" ca="1" si="349"/>
        <v>2.2564415439646509E-12</v>
      </c>
      <c r="S823">
        <f t="shared" ca="1" si="368"/>
        <v>5.0000000192085281E-4</v>
      </c>
      <c r="T823">
        <f t="shared" ca="1" si="369"/>
        <v>1</v>
      </c>
      <c r="U823">
        <f t="shared" ca="1" si="350"/>
        <v>51800.26683766341</v>
      </c>
      <c r="V823">
        <f t="shared" ca="1" si="351"/>
        <v>269361.38755584974</v>
      </c>
      <c r="W823">
        <f t="shared" ca="1" si="352"/>
        <v>2.5998695052916441</v>
      </c>
      <c r="X823">
        <f t="shared" ca="1" si="353"/>
        <v>1.8933671400629237E-4</v>
      </c>
      <c r="Y823">
        <f t="shared" ca="1" si="354"/>
        <v>52432.492337663411</v>
      </c>
      <c r="Z823">
        <f t="shared" ca="1" si="355"/>
        <v>52432.492337665237</v>
      </c>
      <c r="AA823">
        <f t="shared" ca="1" si="356"/>
        <v>2.2562304480281055E-12</v>
      </c>
      <c r="AB823">
        <f t="shared" ca="1" si="357"/>
        <v>-5.0000000192085281E-4</v>
      </c>
      <c r="AC823">
        <f t="shared" ca="1" si="358"/>
        <v>1</v>
      </c>
      <c r="AD823">
        <f ca="1">IF(V32="Supercritical",L823,IF(V32="Subcritical",U823,IF(AND(T823=1,AC823=1),IF((((F823)*(L823)^2)/2+(G823)*(L823)^3/3+(ABS(K823)^2)/($I$5*MAX(((F823)+(G823)*(L823))*(L823),0.000001)))&gt;=(((F823)*(U823)^2)/2+(G823)*(U823)^3/3+(ABS(K823)^2)/($I$5*MAX(((F823)+(G823)*(U823))*(U823),0.000001))),L823,U823),IF(T823=1,L823,IF(AC823=1,U823,MAX($D$16,POWER((ABS(K823)^2)/($I$5*MAX(F823,0.1)^2),1/3)))))))</f>
        <v>51800.26683766341</v>
      </c>
      <c r="AE823">
        <f t="shared" ca="1" si="359"/>
        <v>52432.492337663411</v>
      </c>
      <c r="AF823">
        <f t="shared" ca="1" si="360"/>
        <v>52432.492337665237</v>
      </c>
      <c r="AI823">
        <v>0</v>
      </c>
      <c r="AJ823">
        <v>0</v>
      </c>
      <c r="AK823">
        <f t="shared" si="361"/>
        <v>0</v>
      </c>
      <c r="AL823">
        <f t="shared" si="370"/>
        <v>0</v>
      </c>
      <c r="AM823">
        <f t="shared" ca="1" si="362"/>
        <v>2.6560383008097266E-7</v>
      </c>
      <c r="AN823" t="str">
        <f t="shared" ca="1" si="363"/>
        <v>Subcritical</v>
      </c>
      <c r="AO823">
        <f t="shared" ca="1" si="364"/>
        <v>2.2562304480281055E-12</v>
      </c>
    </row>
    <row r="824" spans="1:41" x14ac:dyDescent="0.35">
      <c r="A824">
        <v>675</v>
      </c>
      <c r="B824">
        <v>673.89499999999998</v>
      </c>
      <c r="C824">
        <v>616121.85499999998</v>
      </c>
      <c r="D824">
        <v>3097323.5449999999</v>
      </c>
      <c r="E824">
        <v>632.22500000000002</v>
      </c>
      <c r="F824">
        <v>5.2</v>
      </c>
      <c r="G824">
        <v>0</v>
      </c>
      <c r="H824" t="s">
        <v>186</v>
      </c>
      <c r="I824">
        <v>2.7E-2</v>
      </c>
      <c r="J824">
        <f t="shared" si="365"/>
        <v>1</v>
      </c>
      <c r="K824">
        <f t="shared" si="366"/>
        <v>51</v>
      </c>
      <c r="L824">
        <f t="shared" ca="1" si="367"/>
        <v>51797.843837663619</v>
      </c>
      <c r="M824">
        <f t="shared" ca="1" si="344"/>
        <v>269348.78795585083</v>
      </c>
      <c r="N824">
        <f t="shared" ca="1" si="345"/>
        <v>2.5998694991876676</v>
      </c>
      <c r="O824">
        <f t="shared" ca="1" si="346"/>
        <v>1.8934557080078435E-4</v>
      </c>
      <c r="P824">
        <f t="shared" ca="1" si="347"/>
        <v>52430.068837663617</v>
      </c>
      <c r="Q824">
        <f t="shared" ca="1" si="348"/>
        <v>52430.068837665443</v>
      </c>
      <c r="R824">
        <f t="shared" ca="1" si="349"/>
        <v>2.2564415439646509E-12</v>
      </c>
      <c r="S824">
        <f t="shared" ca="1" si="368"/>
        <v>5.0000000192085281E-4</v>
      </c>
      <c r="T824">
        <f t="shared" ca="1" si="369"/>
        <v>1</v>
      </c>
      <c r="U824">
        <f t="shared" ca="1" si="350"/>
        <v>51800.26683766341</v>
      </c>
      <c r="V824">
        <f t="shared" ca="1" si="351"/>
        <v>269361.38755584974</v>
      </c>
      <c r="W824">
        <f t="shared" ca="1" si="352"/>
        <v>2.5998695052916441</v>
      </c>
      <c r="X824">
        <f t="shared" ca="1" si="353"/>
        <v>1.8933671400629237E-4</v>
      </c>
      <c r="Y824">
        <f t="shared" ca="1" si="354"/>
        <v>52432.491837663409</v>
      </c>
      <c r="Z824">
        <f t="shared" ca="1" si="355"/>
        <v>52432.491837665235</v>
      </c>
      <c r="AA824">
        <f t="shared" ca="1" si="356"/>
        <v>2.2562304480281055E-12</v>
      </c>
      <c r="AB824">
        <f t="shared" ca="1" si="357"/>
        <v>-5.0000000192085281E-4</v>
      </c>
      <c r="AC824">
        <f t="shared" ca="1" si="358"/>
        <v>1</v>
      </c>
      <c r="AD824">
        <f ca="1">IF(V32="Supercritical",L824,IF(V32="Subcritical",U824,IF(AND(T824=1,AC824=1),IF((((F824)*(L824)^2)/2+(G824)*(L824)^3/3+(ABS(K824)^2)/($I$5*MAX(((F824)+(G824)*(L824))*(L824),0.000001)))&gt;=(((F824)*(U824)^2)/2+(G824)*(U824)^3/3+(ABS(K824)^2)/($I$5*MAX(((F824)+(G824)*(U824))*(U824),0.000001))),L824,U824),IF(T824=1,L824,IF(AC824=1,U824,MAX($D$16,POWER((ABS(K824)^2)/($I$5*MAX(F824,0.1)^2),1/3)))))))</f>
        <v>51800.26683766341</v>
      </c>
      <c r="AE824">
        <f t="shared" ca="1" si="359"/>
        <v>52432.491837663409</v>
      </c>
      <c r="AF824">
        <f t="shared" ca="1" si="360"/>
        <v>52432.491837665235</v>
      </c>
      <c r="AI824">
        <v>0</v>
      </c>
      <c r="AJ824">
        <v>0</v>
      </c>
      <c r="AK824">
        <f t="shared" si="361"/>
        <v>0</v>
      </c>
      <c r="AL824">
        <f t="shared" si="370"/>
        <v>0</v>
      </c>
      <c r="AM824">
        <f t="shared" ca="1" si="362"/>
        <v>2.6560383008097266E-7</v>
      </c>
      <c r="AN824" t="str">
        <f t="shared" ca="1" si="363"/>
        <v>Subcritical</v>
      </c>
      <c r="AO824">
        <f t="shared" ca="1" si="364"/>
        <v>2.2562304480281055E-12</v>
      </c>
    </row>
    <row r="825" spans="1:41" x14ac:dyDescent="0.35">
      <c r="A825">
        <v>676</v>
      </c>
      <c r="B825">
        <v>674.89499999999998</v>
      </c>
      <c r="C825">
        <v>616121.38100000005</v>
      </c>
      <c r="D825">
        <v>3097322.6639999999</v>
      </c>
      <c r="E825">
        <v>632.22450000000003</v>
      </c>
      <c r="F825">
        <v>5.2</v>
      </c>
      <c r="G825">
        <v>0</v>
      </c>
      <c r="H825" t="s">
        <v>186</v>
      </c>
      <c r="I825">
        <v>7.8E-2</v>
      </c>
      <c r="J825">
        <f t="shared" si="365"/>
        <v>1</v>
      </c>
      <c r="K825">
        <f t="shared" si="366"/>
        <v>51</v>
      </c>
      <c r="L825">
        <f t="shared" ca="1" si="367"/>
        <v>51797.843837663619</v>
      </c>
      <c r="M825">
        <f t="shared" ca="1" si="344"/>
        <v>269348.78795585083</v>
      </c>
      <c r="N825">
        <f t="shared" ca="1" si="345"/>
        <v>2.5998694991876676</v>
      </c>
      <c r="O825">
        <f t="shared" ca="1" si="346"/>
        <v>1.8934557080078435E-4</v>
      </c>
      <c r="P825">
        <f t="shared" ca="1" si="347"/>
        <v>52430.068337663615</v>
      </c>
      <c r="Q825">
        <f t="shared" ca="1" si="348"/>
        <v>52430.068337665442</v>
      </c>
      <c r="R825">
        <f t="shared" ca="1" si="349"/>
        <v>2.2564415439646509E-12</v>
      </c>
      <c r="S825">
        <f t="shared" ca="1" si="368"/>
        <v>5.0000000192085281E-4</v>
      </c>
      <c r="T825">
        <f t="shared" ca="1" si="369"/>
        <v>1</v>
      </c>
      <c r="U825">
        <f t="shared" ca="1" si="350"/>
        <v>51800.26683766341</v>
      </c>
      <c r="V825">
        <f t="shared" ca="1" si="351"/>
        <v>269361.38755584974</v>
      </c>
      <c r="W825">
        <f t="shared" ca="1" si="352"/>
        <v>2.5998695052916441</v>
      </c>
      <c r="X825">
        <f t="shared" ca="1" si="353"/>
        <v>1.8933671400629237E-4</v>
      </c>
      <c r="Y825">
        <f t="shared" ca="1" si="354"/>
        <v>52432.491337663407</v>
      </c>
      <c r="Z825">
        <f t="shared" ca="1" si="355"/>
        <v>52432.491337665233</v>
      </c>
      <c r="AA825">
        <f t="shared" ca="1" si="356"/>
        <v>2.2562304480281055E-12</v>
      </c>
      <c r="AB825">
        <f t="shared" ca="1" si="357"/>
        <v>-4.999999946448952E-4</v>
      </c>
      <c r="AC825">
        <f t="shared" ca="1" si="358"/>
        <v>1</v>
      </c>
      <c r="AD825">
        <f ca="1">IF(V32="Supercritical",L825,IF(V32="Subcritical",U825,IF(AND(T825=1,AC825=1),IF((((F825)*(L825)^2)/2+(G825)*(L825)^3/3+(ABS(K825)^2)/($I$5*MAX(((F825)+(G825)*(L825))*(L825),0.000001)))&gt;=(((F825)*(U825)^2)/2+(G825)*(U825)^3/3+(ABS(K825)^2)/($I$5*MAX(((F825)+(G825)*(U825))*(U825),0.000001))),L825,U825),IF(T825=1,L825,IF(AC825=1,U825,MAX($D$16,POWER((ABS(K825)^2)/($I$5*MAX(F825,0.1)^2),1/3)))))))</f>
        <v>51800.26683766341</v>
      </c>
      <c r="AE825">
        <f t="shared" ca="1" si="359"/>
        <v>52432.491337663407</v>
      </c>
      <c r="AF825">
        <f t="shared" ca="1" si="360"/>
        <v>52432.491337665233</v>
      </c>
      <c r="AI825">
        <v>0</v>
      </c>
      <c r="AJ825">
        <v>0</v>
      </c>
      <c r="AK825">
        <f t="shared" si="361"/>
        <v>0</v>
      </c>
      <c r="AL825">
        <f t="shared" si="370"/>
        <v>0</v>
      </c>
      <c r="AM825">
        <f t="shared" ca="1" si="362"/>
        <v>2.6560383008097266E-7</v>
      </c>
      <c r="AN825" t="str">
        <f t="shared" ca="1" si="363"/>
        <v>Subcritical</v>
      </c>
      <c r="AO825">
        <f t="shared" ca="1" si="364"/>
        <v>2.2562304480281055E-12</v>
      </c>
    </row>
    <row r="826" spans="1:41" x14ac:dyDescent="0.35">
      <c r="A826">
        <v>677</v>
      </c>
      <c r="B826">
        <v>675.89499999999998</v>
      </c>
      <c r="C826">
        <v>616120.90599999996</v>
      </c>
      <c r="D826">
        <v>3097321.784</v>
      </c>
      <c r="E826">
        <v>632.22400000000005</v>
      </c>
      <c r="F826">
        <v>5.2</v>
      </c>
      <c r="G826">
        <v>0</v>
      </c>
      <c r="H826" t="s">
        <v>186</v>
      </c>
      <c r="I826">
        <v>7.8E-2</v>
      </c>
      <c r="J826">
        <f t="shared" si="365"/>
        <v>1</v>
      </c>
      <c r="K826">
        <f t="shared" si="366"/>
        <v>51</v>
      </c>
      <c r="L826">
        <f t="shared" ca="1" si="367"/>
        <v>51797.843837663619</v>
      </c>
      <c r="M826">
        <f t="shared" ca="1" si="344"/>
        <v>269348.78795585083</v>
      </c>
      <c r="N826">
        <f t="shared" ca="1" si="345"/>
        <v>2.5998694991876676</v>
      </c>
      <c r="O826">
        <f t="shared" ca="1" si="346"/>
        <v>1.8934557080078435E-4</v>
      </c>
      <c r="P826">
        <f t="shared" ca="1" si="347"/>
        <v>52430.067837663621</v>
      </c>
      <c r="Q826">
        <f t="shared" ca="1" si="348"/>
        <v>52430.067837665447</v>
      </c>
      <c r="R826">
        <f t="shared" ca="1" si="349"/>
        <v>2.2564415439646509E-12</v>
      </c>
      <c r="S826">
        <f t="shared" ca="1" si="368"/>
        <v>4.999999946448952E-4</v>
      </c>
      <c r="T826">
        <f t="shared" ca="1" si="369"/>
        <v>1</v>
      </c>
      <c r="U826">
        <f t="shared" ca="1" si="350"/>
        <v>51800.26683766341</v>
      </c>
      <c r="V826">
        <f t="shared" ca="1" si="351"/>
        <v>269361.38755584974</v>
      </c>
      <c r="W826">
        <f t="shared" ca="1" si="352"/>
        <v>2.5998695052916441</v>
      </c>
      <c r="X826">
        <f t="shared" ca="1" si="353"/>
        <v>1.8933671400629237E-4</v>
      </c>
      <c r="Y826">
        <f t="shared" ca="1" si="354"/>
        <v>52432.490837663412</v>
      </c>
      <c r="Z826">
        <f t="shared" ca="1" si="355"/>
        <v>52432.490837665238</v>
      </c>
      <c r="AA826">
        <f t="shared" ca="1" si="356"/>
        <v>2.2562304480281055E-12</v>
      </c>
      <c r="AB826">
        <f t="shared" ca="1" si="357"/>
        <v>-5.0000000192085281E-4</v>
      </c>
      <c r="AC826">
        <f t="shared" ca="1" si="358"/>
        <v>1</v>
      </c>
      <c r="AD826">
        <f ca="1">IF(V32="Supercritical",L826,IF(V32="Subcritical",U826,IF(AND(T826=1,AC826=1),IF((((F826)*(L826)^2)/2+(G826)*(L826)^3/3+(ABS(K826)^2)/($I$5*MAX(((F826)+(G826)*(L826))*(L826),0.000001)))&gt;=(((F826)*(U826)^2)/2+(G826)*(U826)^3/3+(ABS(K826)^2)/($I$5*MAX(((F826)+(G826)*(U826))*(U826),0.000001))),L826,U826),IF(T826=1,L826,IF(AC826=1,U826,MAX($D$16,POWER((ABS(K826)^2)/($I$5*MAX(F826,0.1)^2),1/3)))))))</f>
        <v>51800.26683766341</v>
      </c>
      <c r="AE826">
        <f t="shared" ca="1" si="359"/>
        <v>52432.490837663412</v>
      </c>
      <c r="AF826">
        <f t="shared" ca="1" si="360"/>
        <v>52432.490837665238</v>
      </c>
      <c r="AI826">
        <v>0</v>
      </c>
      <c r="AJ826">
        <v>0</v>
      </c>
      <c r="AK826">
        <f t="shared" si="361"/>
        <v>0</v>
      </c>
      <c r="AL826">
        <f t="shared" si="370"/>
        <v>0</v>
      </c>
      <c r="AM826">
        <f t="shared" ca="1" si="362"/>
        <v>2.6560383008097266E-7</v>
      </c>
      <c r="AN826" t="str">
        <f t="shared" ca="1" si="363"/>
        <v>Subcritical</v>
      </c>
      <c r="AO826">
        <f t="shared" ca="1" si="364"/>
        <v>2.2562304480281055E-12</v>
      </c>
    </row>
    <row r="827" spans="1:41" x14ac:dyDescent="0.35">
      <c r="A827">
        <v>678</v>
      </c>
      <c r="B827">
        <v>676.89599999999996</v>
      </c>
      <c r="C827">
        <v>616120.43200000003</v>
      </c>
      <c r="D827">
        <v>3097320.9029999999</v>
      </c>
      <c r="E827">
        <v>632.22349999999994</v>
      </c>
      <c r="F827">
        <v>5.2</v>
      </c>
      <c r="G827">
        <v>0</v>
      </c>
      <c r="H827" t="s">
        <v>186</v>
      </c>
      <c r="I827">
        <v>2.7E-2</v>
      </c>
      <c r="J827">
        <f t="shared" si="365"/>
        <v>1.0009999999999764</v>
      </c>
      <c r="K827">
        <f t="shared" si="366"/>
        <v>51</v>
      </c>
      <c r="L827">
        <f t="shared" ca="1" si="367"/>
        <v>51797.843837663619</v>
      </c>
      <c r="M827">
        <f t="shared" ca="1" si="344"/>
        <v>269348.78795585083</v>
      </c>
      <c r="N827">
        <f t="shared" ca="1" si="345"/>
        <v>2.5998694991876676</v>
      </c>
      <c r="O827">
        <f t="shared" ca="1" si="346"/>
        <v>1.8934557080078435E-4</v>
      </c>
      <c r="P827">
        <f t="shared" ca="1" si="347"/>
        <v>52430.067337663619</v>
      </c>
      <c r="Q827">
        <f t="shared" ca="1" si="348"/>
        <v>52430.067337665445</v>
      </c>
      <c r="R827">
        <f t="shared" ca="1" si="349"/>
        <v>2.2564415439646509E-12</v>
      </c>
      <c r="S827">
        <f t="shared" ca="1" si="368"/>
        <v>5.0000000192085281E-4</v>
      </c>
      <c r="T827">
        <f t="shared" ca="1" si="369"/>
        <v>1</v>
      </c>
      <c r="U827">
        <f t="shared" ca="1" si="350"/>
        <v>51800.26683766341</v>
      </c>
      <c r="V827">
        <f t="shared" ca="1" si="351"/>
        <v>269361.38755584974</v>
      </c>
      <c r="W827">
        <f t="shared" ca="1" si="352"/>
        <v>2.5998695052916441</v>
      </c>
      <c r="X827">
        <f t="shared" ca="1" si="353"/>
        <v>1.8933671400629237E-4</v>
      </c>
      <c r="Y827">
        <f t="shared" ca="1" si="354"/>
        <v>52432.49033766341</v>
      </c>
      <c r="Z827">
        <f t="shared" ca="1" si="355"/>
        <v>52432.490337665236</v>
      </c>
      <c r="AA827">
        <f t="shared" ca="1" si="356"/>
        <v>2.2562304480281055E-12</v>
      </c>
      <c r="AB827">
        <f t="shared" ca="1" si="357"/>
        <v>-5.0000000192085281E-4</v>
      </c>
      <c r="AC827">
        <f t="shared" ca="1" si="358"/>
        <v>1</v>
      </c>
      <c r="AD827">
        <f ca="1">IF(V32="Supercritical",L827,IF(V32="Subcritical",U827,IF(AND(T827=1,AC827=1),IF((((F827)*(L827)^2)/2+(G827)*(L827)^3/3+(ABS(K827)^2)/($I$5*MAX(((F827)+(G827)*(L827))*(L827),0.000001)))&gt;=(((F827)*(U827)^2)/2+(G827)*(U827)^3/3+(ABS(K827)^2)/($I$5*MAX(((F827)+(G827)*(U827))*(U827),0.000001))),L827,U827),IF(T827=1,L827,IF(AC827=1,U827,MAX($D$16,POWER((ABS(K827)^2)/($I$5*MAX(F827,0.1)^2),1/3)))))))</f>
        <v>51800.26683766341</v>
      </c>
      <c r="AE827">
        <f t="shared" ca="1" si="359"/>
        <v>52432.49033766341</v>
      </c>
      <c r="AF827">
        <f t="shared" ca="1" si="360"/>
        <v>52432.490337665236</v>
      </c>
      <c r="AI827">
        <v>0</v>
      </c>
      <c r="AJ827">
        <v>0</v>
      </c>
      <c r="AK827">
        <f t="shared" si="361"/>
        <v>0</v>
      </c>
      <c r="AL827">
        <f t="shared" si="370"/>
        <v>0</v>
      </c>
      <c r="AM827">
        <f t="shared" ca="1" si="362"/>
        <v>2.6560383008097266E-7</v>
      </c>
      <c r="AN827" t="str">
        <f t="shared" ca="1" si="363"/>
        <v>Subcritical</v>
      </c>
      <c r="AO827">
        <f t="shared" ca="1" si="364"/>
        <v>2.2562304480281055E-12</v>
      </c>
    </row>
    <row r="828" spans="1:41" x14ac:dyDescent="0.35">
      <c r="A828">
        <v>679</v>
      </c>
      <c r="B828">
        <v>677.89499999999998</v>
      </c>
      <c r="C828">
        <v>616119.95799999998</v>
      </c>
      <c r="D828">
        <v>3097320.023</v>
      </c>
      <c r="E828">
        <v>632.22299999999996</v>
      </c>
      <c r="F828">
        <v>5.2</v>
      </c>
      <c r="G828">
        <v>0</v>
      </c>
      <c r="H828" t="s">
        <v>186</v>
      </c>
      <c r="I828">
        <v>0</v>
      </c>
      <c r="J828">
        <f t="shared" si="365"/>
        <v>0.99900000000002365</v>
      </c>
      <c r="K828">
        <f t="shared" si="366"/>
        <v>51</v>
      </c>
      <c r="L828">
        <f t="shared" ca="1" si="367"/>
        <v>51797.843837663619</v>
      </c>
      <c r="M828">
        <f t="shared" ca="1" si="344"/>
        <v>269348.78795585083</v>
      </c>
      <c r="N828">
        <f t="shared" ca="1" si="345"/>
        <v>2.5998694991876676</v>
      </c>
      <c r="O828">
        <f t="shared" ca="1" si="346"/>
        <v>1.8934557080078435E-4</v>
      </c>
      <c r="P828">
        <f t="shared" ca="1" si="347"/>
        <v>52430.066837663617</v>
      </c>
      <c r="Q828">
        <f t="shared" ca="1" si="348"/>
        <v>52430.066837665443</v>
      </c>
      <c r="R828">
        <f t="shared" ca="1" si="349"/>
        <v>2.2564415439646509E-12</v>
      </c>
      <c r="S828">
        <f t="shared" ca="1" si="368"/>
        <v>5.0000000192085281E-4</v>
      </c>
      <c r="T828">
        <f t="shared" ca="1" si="369"/>
        <v>1</v>
      </c>
      <c r="U828">
        <f t="shared" ca="1" si="350"/>
        <v>51800.26683766341</v>
      </c>
      <c r="V828">
        <f t="shared" ca="1" si="351"/>
        <v>269361.38755584974</v>
      </c>
      <c r="W828">
        <f t="shared" ca="1" si="352"/>
        <v>2.5998695052916441</v>
      </c>
      <c r="X828">
        <f t="shared" ca="1" si="353"/>
        <v>1.8933671400629237E-4</v>
      </c>
      <c r="Y828">
        <f t="shared" ca="1" si="354"/>
        <v>52432.489837663408</v>
      </c>
      <c r="Z828">
        <f t="shared" ca="1" si="355"/>
        <v>52432.489837665235</v>
      </c>
      <c r="AA828">
        <f t="shared" ca="1" si="356"/>
        <v>2.2562304480281055E-12</v>
      </c>
      <c r="AB828">
        <f t="shared" ca="1" si="357"/>
        <v>-4.999999946448952E-4</v>
      </c>
      <c r="AC828">
        <f t="shared" ca="1" si="358"/>
        <v>1</v>
      </c>
      <c r="AD828">
        <f ca="1">IF(V32="Supercritical",L828,IF(V32="Subcritical",U828,IF(AND(T828=1,AC828=1),IF((((F828)*(L828)^2)/2+(G828)*(L828)^3/3+(ABS(K828)^2)/($I$5*MAX(((F828)+(G828)*(L828))*(L828),0.000001)))&gt;=(((F828)*(U828)^2)/2+(G828)*(U828)^3/3+(ABS(K828)^2)/($I$5*MAX(((F828)+(G828)*(U828))*(U828),0.000001))),L828,U828),IF(T828=1,L828,IF(AC828=1,U828,MAX($D$16,POWER((ABS(K828)^2)/($I$5*MAX(F828,0.1)^2),1/3)))))))</f>
        <v>51800.26683766341</v>
      </c>
      <c r="AE828">
        <f t="shared" ca="1" si="359"/>
        <v>52432.489837663408</v>
      </c>
      <c r="AF828">
        <f t="shared" ca="1" si="360"/>
        <v>52432.489837665235</v>
      </c>
      <c r="AI828">
        <v>0</v>
      </c>
      <c r="AJ828">
        <v>0</v>
      </c>
      <c r="AK828">
        <f t="shared" si="361"/>
        <v>0</v>
      </c>
      <c r="AL828">
        <f t="shared" si="370"/>
        <v>0</v>
      </c>
      <c r="AM828">
        <f t="shared" ca="1" si="362"/>
        <v>2.6560383008097266E-7</v>
      </c>
      <c r="AN828" t="str">
        <f t="shared" ca="1" si="363"/>
        <v>Subcritical</v>
      </c>
      <c r="AO828">
        <f t="shared" ca="1" si="364"/>
        <v>2.2562304480281055E-12</v>
      </c>
    </row>
    <row r="829" spans="1:41" x14ac:dyDescent="0.35">
      <c r="A829">
        <v>680</v>
      </c>
      <c r="B829">
        <v>678.89499999999998</v>
      </c>
      <c r="C829">
        <v>616119.48400000005</v>
      </c>
      <c r="D829">
        <v>3097319.1430000002</v>
      </c>
      <c r="E829">
        <v>632.22249999999997</v>
      </c>
      <c r="F829">
        <v>5.2</v>
      </c>
      <c r="G829">
        <v>0</v>
      </c>
      <c r="H829" t="s">
        <v>186</v>
      </c>
      <c r="I829">
        <v>2.7E-2</v>
      </c>
      <c r="J829">
        <f t="shared" si="365"/>
        <v>1</v>
      </c>
      <c r="K829">
        <f t="shared" si="366"/>
        <v>51</v>
      </c>
      <c r="L829">
        <f t="shared" ca="1" si="367"/>
        <v>51797.843837663619</v>
      </c>
      <c r="M829">
        <f t="shared" ca="1" si="344"/>
        <v>269348.78795585083</v>
      </c>
      <c r="N829">
        <f t="shared" ca="1" si="345"/>
        <v>2.5998694991876676</v>
      </c>
      <c r="O829">
        <f t="shared" ca="1" si="346"/>
        <v>1.8934557080078435E-4</v>
      </c>
      <c r="P829">
        <f t="shared" ca="1" si="347"/>
        <v>52430.066337663622</v>
      </c>
      <c r="Q829">
        <f t="shared" ca="1" si="348"/>
        <v>52430.066337665448</v>
      </c>
      <c r="R829">
        <f t="shared" ca="1" si="349"/>
        <v>2.2564415439646509E-12</v>
      </c>
      <c r="S829">
        <f t="shared" ca="1" si="368"/>
        <v>4.999999946448952E-4</v>
      </c>
      <c r="T829">
        <f t="shared" ca="1" si="369"/>
        <v>1</v>
      </c>
      <c r="U829">
        <f t="shared" ca="1" si="350"/>
        <v>51800.26683766341</v>
      </c>
      <c r="V829">
        <f t="shared" ca="1" si="351"/>
        <v>269361.38755584974</v>
      </c>
      <c r="W829">
        <f t="shared" ca="1" si="352"/>
        <v>2.5998695052916441</v>
      </c>
      <c r="X829">
        <f t="shared" ca="1" si="353"/>
        <v>1.8933671400629237E-4</v>
      </c>
      <c r="Y829">
        <f t="shared" ca="1" si="354"/>
        <v>52432.489337663414</v>
      </c>
      <c r="Z829">
        <f t="shared" ca="1" si="355"/>
        <v>52432.48933766524</v>
      </c>
      <c r="AA829">
        <f t="shared" ca="1" si="356"/>
        <v>2.2562304480281055E-12</v>
      </c>
      <c r="AB829">
        <f t="shared" ca="1" si="357"/>
        <v>-5.0000000192085281E-4</v>
      </c>
      <c r="AC829">
        <f t="shared" ca="1" si="358"/>
        <v>1</v>
      </c>
      <c r="AD829">
        <f ca="1">IF(V32="Supercritical",L829,IF(V32="Subcritical",U829,IF(AND(T829=1,AC829=1),IF((((F829)*(L829)^2)/2+(G829)*(L829)^3/3+(ABS(K829)^2)/($I$5*MAX(((F829)+(G829)*(L829))*(L829),0.000001)))&gt;=(((F829)*(U829)^2)/2+(G829)*(U829)^3/3+(ABS(K829)^2)/($I$5*MAX(((F829)+(G829)*(U829))*(U829),0.000001))),L829,U829),IF(T829=1,L829,IF(AC829=1,U829,MAX($D$16,POWER((ABS(K829)^2)/($I$5*MAX(F829,0.1)^2),1/3)))))))</f>
        <v>51800.26683766341</v>
      </c>
      <c r="AE829">
        <f t="shared" ca="1" si="359"/>
        <v>52432.489337663414</v>
      </c>
      <c r="AF829">
        <f t="shared" ca="1" si="360"/>
        <v>52432.48933766524</v>
      </c>
      <c r="AI829">
        <v>0</v>
      </c>
      <c r="AJ829">
        <v>0</v>
      </c>
      <c r="AK829">
        <f t="shared" si="361"/>
        <v>0</v>
      </c>
      <c r="AL829">
        <f t="shared" si="370"/>
        <v>0</v>
      </c>
      <c r="AM829">
        <f t="shared" ca="1" si="362"/>
        <v>2.6560383008097266E-7</v>
      </c>
      <c r="AN829" t="str">
        <f t="shared" ca="1" si="363"/>
        <v>Subcritical</v>
      </c>
      <c r="AO829">
        <f t="shared" ca="1" si="364"/>
        <v>2.2562304480281055E-12</v>
      </c>
    </row>
    <row r="830" spans="1:41" x14ac:dyDescent="0.35">
      <c r="A830">
        <v>681</v>
      </c>
      <c r="B830">
        <v>679.89499999999998</v>
      </c>
      <c r="C830">
        <v>616119.01</v>
      </c>
      <c r="D830">
        <v>3097318.2620000001</v>
      </c>
      <c r="E830">
        <v>632.22199999999998</v>
      </c>
      <c r="F830">
        <v>5.2</v>
      </c>
      <c r="G830">
        <v>0</v>
      </c>
      <c r="H830" t="s">
        <v>186</v>
      </c>
      <c r="I830">
        <v>7.8E-2</v>
      </c>
      <c r="J830">
        <f t="shared" si="365"/>
        <v>1</v>
      </c>
      <c r="K830">
        <f t="shared" si="366"/>
        <v>51</v>
      </c>
      <c r="L830">
        <f t="shared" ca="1" si="367"/>
        <v>51797.843837663619</v>
      </c>
      <c r="M830">
        <f t="shared" ca="1" si="344"/>
        <v>269348.78795585083</v>
      </c>
      <c r="N830">
        <f t="shared" ca="1" si="345"/>
        <v>2.5998694991876676</v>
      </c>
      <c r="O830">
        <f t="shared" ca="1" si="346"/>
        <v>1.8934557080078435E-4</v>
      </c>
      <c r="P830">
        <f t="shared" ca="1" si="347"/>
        <v>52430.06583766362</v>
      </c>
      <c r="Q830">
        <f t="shared" ca="1" si="348"/>
        <v>52430.065837665446</v>
      </c>
      <c r="R830">
        <f t="shared" ca="1" si="349"/>
        <v>2.2564415439646509E-12</v>
      </c>
      <c r="S830">
        <f t="shared" ca="1" si="368"/>
        <v>5.0000000192085281E-4</v>
      </c>
      <c r="T830">
        <f t="shared" ca="1" si="369"/>
        <v>1</v>
      </c>
      <c r="U830">
        <f t="shared" ca="1" si="350"/>
        <v>51800.26683766341</v>
      </c>
      <c r="V830">
        <f t="shared" ca="1" si="351"/>
        <v>269361.38755584974</v>
      </c>
      <c r="W830">
        <f t="shared" ca="1" si="352"/>
        <v>2.5998695052916441</v>
      </c>
      <c r="X830">
        <f t="shared" ca="1" si="353"/>
        <v>1.8933671400629237E-4</v>
      </c>
      <c r="Y830">
        <f t="shared" ca="1" si="354"/>
        <v>52432.488837663412</v>
      </c>
      <c r="Z830">
        <f t="shared" ca="1" si="355"/>
        <v>52432.488837665238</v>
      </c>
      <c r="AA830">
        <f t="shared" ca="1" si="356"/>
        <v>2.2562304480281055E-12</v>
      </c>
      <c r="AB830">
        <f t="shared" ca="1" si="357"/>
        <v>-5.0000000192085281E-4</v>
      </c>
      <c r="AC830">
        <f t="shared" ca="1" si="358"/>
        <v>1</v>
      </c>
      <c r="AD830">
        <f ca="1">IF(V32="Supercritical",L830,IF(V32="Subcritical",U830,IF(AND(T830=1,AC830=1),IF((((F830)*(L830)^2)/2+(G830)*(L830)^3/3+(ABS(K830)^2)/($I$5*MAX(((F830)+(G830)*(L830))*(L830),0.000001)))&gt;=(((F830)*(U830)^2)/2+(G830)*(U830)^3/3+(ABS(K830)^2)/($I$5*MAX(((F830)+(G830)*(U830))*(U830),0.000001))),L830,U830),IF(T830=1,L830,IF(AC830=1,U830,MAX($D$16,POWER((ABS(K830)^2)/($I$5*MAX(F830,0.1)^2),1/3)))))))</f>
        <v>51800.26683766341</v>
      </c>
      <c r="AE830">
        <f t="shared" ca="1" si="359"/>
        <v>52432.488837663412</v>
      </c>
      <c r="AF830">
        <f t="shared" ca="1" si="360"/>
        <v>52432.488837665238</v>
      </c>
      <c r="AI830">
        <v>0</v>
      </c>
      <c r="AJ830">
        <v>0</v>
      </c>
      <c r="AK830">
        <f t="shared" si="361"/>
        <v>0</v>
      </c>
      <c r="AL830">
        <f t="shared" si="370"/>
        <v>0</v>
      </c>
      <c r="AM830">
        <f t="shared" ca="1" si="362"/>
        <v>2.6560383008097266E-7</v>
      </c>
      <c r="AN830" t="str">
        <f t="shared" ca="1" si="363"/>
        <v>Subcritical</v>
      </c>
      <c r="AO830">
        <f t="shared" ca="1" si="364"/>
        <v>2.2562304480281055E-12</v>
      </c>
    </row>
    <row r="831" spans="1:41" x14ac:dyDescent="0.35">
      <c r="A831">
        <v>682</v>
      </c>
      <c r="B831">
        <v>680.89499999999998</v>
      </c>
      <c r="C831">
        <v>616118.53500000003</v>
      </c>
      <c r="D831">
        <v>3097317.3820000002</v>
      </c>
      <c r="E831">
        <v>632.22149999999999</v>
      </c>
      <c r="F831">
        <v>5.2</v>
      </c>
      <c r="G831">
        <v>0</v>
      </c>
      <c r="H831" t="s">
        <v>186</v>
      </c>
      <c r="I831">
        <v>7.8E-2</v>
      </c>
      <c r="J831">
        <f t="shared" si="365"/>
        <v>1</v>
      </c>
      <c r="K831">
        <f t="shared" si="366"/>
        <v>51</v>
      </c>
      <c r="L831">
        <f t="shared" ca="1" si="367"/>
        <v>51797.843837663619</v>
      </c>
      <c r="M831">
        <f t="shared" ca="1" si="344"/>
        <v>269348.78795585083</v>
      </c>
      <c r="N831">
        <f t="shared" ca="1" si="345"/>
        <v>2.5998694991876676</v>
      </c>
      <c r="O831">
        <f t="shared" ca="1" si="346"/>
        <v>1.8934557080078435E-4</v>
      </c>
      <c r="P831">
        <f t="shared" ca="1" si="347"/>
        <v>52430.065337663618</v>
      </c>
      <c r="Q831">
        <f t="shared" ca="1" si="348"/>
        <v>52430.065337665445</v>
      </c>
      <c r="R831">
        <f t="shared" ca="1" si="349"/>
        <v>2.2564415439646509E-12</v>
      </c>
      <c r="S831">
        <f t="shared" ca="1" si="368"/>
        <v>5.0000000192085281E-4</v>
      </c>
      <c r="T831">
        <f t="shared" ca="1" si="369"/>
        <v>1</v>
      </c>
      <c r="U831">
        <f t="shared" ca="1" si="350"/>
        <v>51800.26683766341</v>
      </c>
      <c r="V831">
        <f t="shared" ca="1" si="351"/>
        <v>269361.38755584974</v>
      </c>
      <c r="W831">
        <f t="shared" ca="1" si="352"/>
        <v>2.5998695052916441</v>
      </c>
      <c r="X831">
        <f t="shared" ca="1" si="353"/>
        <v>1.8933671400629237E-4</v>
      </c>
      <c r="Y831">
        <f t="shared" ca="1" si="354"/>
        <v>52432.48833766341</v>
      </c>
      <c r="Z831">
        <f t="shared" ca="1" si="355"/>
        <v>52432.488337665236</v>
      </c>
      <c r="AA831">
        <f t="shared" ca="1" si="356"/>
        <v>2.2562304480281055E-12</v>
      </c>
      <c r="AB831">
        <f t="shared" ca="1" si="357"/>
        <v>-5.0000000192085281E-4</v>
      </c>
      <c r="AC831">
        <f t="shared" ca="1" si="358"/>
        <v>1</v>
      </c>
      <c r="AD831">
        <f ca="1">IF(V32="Supercritical",L831,IF(V32="Subcritical",U831,IF(AND(T831=1,AC831=1),IF((((F831)*(L831)^2)/2+(G831)*(L831)^3/3+(ABS(K831)^2)/($I$5*MAX(((F831)+(G831)*(L831))*(L831),0.000001)))&gt;=(((F831)*(U831)^2)/2+(G831)*(U831)^3/3+(ABS(K831)^2)/($I$5*MAX(((F831)+(G831)*(U831))*(U831),0.000001))),L831,U831),IF(T831=1,L831,IF(AC831=1,U831,MAX($D$16,POWER((ABS(K831)^2)/($I$5*MAX(F831,0.1)^2),1/3)))))))</f>
        <v>51800.26683766341</v>
      </c>
      <c r="AE831">
        <f t="shared" ca="1" si="359"/>
        <v>52432.48833766341</v>
      </c>
      <c r="AF831">
        <f t="shared" ca="1" si="360"/>
        <v>52432.488337665236</v>
      </c>
      <c r="AI831">
        <v>0</v>
      </c>
      <c r="AJ831">
        <v>0</v>
      </c>
      <c r="AK831">
        <f t="shared" si="361"/>
        <v>0</v>
      </c>
      <c r="AL831">
        <f t="shared" si="370"/>
        <v>0</v>
      </c>
      <c r="AM831">
        <f t="shared" ca="1" si="362"/>
        <v>2.6560383008097266E-7</v>
      </c>
      <c r="AN831" t="str">
        <f t="shared" ca="1" si="363"/>
        <v>Subcritical</v>
      </c>
      <c r="AO831">
        <f t="shared" ca="1" si="364"/>
        <v>2.2562304480281055E-12</v>
      </c>
    </row>
    <row r="832" spans="1:41" x14ac:dyDescent="0.35">
      <c r="A832">
        <v>683</v>
      </c>
      <c r="B832">
        <v>681.89599999999996</v>
      </c>
      <c r="C832">
        <v>616118.06099999999</v>
      </c>
      <c r="D832">
        <v>3097316.5010000002</v>
      </c>
      <c r="E832">
        <v>632.221</v>
      </c>
      <c r="F832">
        <v>5.2</v>
      </c>
      <c r="G832">
        <v>0</v>
      </c>
      <c r="H832" t="s">
        <v>186</v>
      </c>
      <c r="I832">
        <v>2.7E-2</v>
      </c>
      <c r="J832">
        <f t="shared" si="365"/>
        <v>1.0009999999999764</v>
      </c>
      <c r="K832">
        <f t="shared" si="366"/>
        <v>51</v>
      </c>
      <c r="L832">
        <f t="shared" ca="1" si="367"/>
        <v>51797.843837663619</v>
      </c>
      <c r="M832">
        <f t="shared" ca="1" si="344"/>
        <v>269348.78795585083</v>
      </c>
      <c r="N832">
        <f t="shared" ca="1" si="345"/>
        <v>2.5998694991876676</v>
      </c>
      <c r="O832">
        <f t="shared" ca="1" si="346"/>
        <v>1.8934557080078435E-4</v>
      </c>
      <c r="P832">
        <f t="shared" ca="1" si="347"/>
        <v>52430.064837663616</v>
      </c>
      <c r="Q832">
        <f t="shared" ca="1" si="348"/>
        <v>52430.064837665443</v>
      </c>
      <c r="R832">
        <f t="shared" ca="1" si="349"/>
        <v>2.2564415439646509E-12</v>
      </c>
      <c r="S832">
        <f t="shared" ca="1" si="368"/>
        <v>5.0000000192085281E-4</v>
      </c>
      <c r="T832">
        <f t="shared" ca="1" si="369"/>
        <v>1</v>
      </c>
      <c r="U832">
        <f t="shared" ca="1" si="350"/>
        <v>51800.26683766341</v>
      </c>
      <c r="V832">
        <f t="shared" ca="1" si="351"/>
        <v>269361.38755584974</v>
      </c>
      <c r="W832">
        <f t="shared" ca="1" si="352"/>
        <v>2.5998695052916441</v>
      </c>
      <c r="X832">
        <f t="shared" ca="1" si="353"/>
        <v>1.8933671400629237E-4</v>
      </c>
      <c r="Y832">
        <f t="shared" ca="1" si="354"/>
        <v>52432.487837663408</v>
      </c>
      <c r="Z832">
        <f t="shared" ca="1" si="355"/>
        <v>52432.487837665234</v>
      </c>
      <c r="AA832">
        <f t="shared" ca="1" si="356"/>
        <v>2.2562304480281055E-12</v>
      </c>
      <c r="AB832">
        <f t="shared" ca="1" si="357"/>
        <v>-4.999999946448952E-4</v>
      </c>
      <c r="AC832">
        <f t="shared" ca="1" si="358"/>
        <v>1</v>
      </c>
      <c r="AD832">
        <f ca="1">IF(V32="Supercritical",L832,IF(V32="Subcritical",U832,IF(AND(T832=1,AC832=1),IF((((F832)*(L832)^2)/2+(G832)*(L832)^3/3+(ABS(K832)^2)/($I$5*MAX(((F832)+(G832)*(L832))*(L832),0.000001)))&gt;=(((F832)*(U832)^2)/2+(G832)*(U832)^3/3+(ABS(K832)^2)/($I$5*MAX(((F832)+(G832)*(U832))*(U832),0.000001))),L832,U832),IF(T832=1,L832,IF(AC832=1,U832,MAX($D$16,POWER((ABS(K832)^2)/($I$5*MAX(F832,0.1)^2),1/3)))))))</f>
        <v>51800.26683766341</v>
      </c>
      <c r="AE832">
        <f t="shared" ca="1" si="359"/>
        <v>52432.487837663408</v>
      </c>
      <c r="AF832">
        <f t="shared" ca="1" si="360"/>
        <v>52432.487837665234</v>
      </c>
      <c r="AI832">
        <v>0</v>
      </c>
      <c r="AJ832">
        <v>0</v>
      </c>
      <c r="AK832">
        <f t="shared" si="361"/>
        <v>0</v>
      </c>
      <c r="AL832">
        <f t="shared" si="370"/>
        <v>0</v>
      </c>
      <c r="AM832">
        <f t="shared" ca="1" si="362"/>
        <v>2.6560383008097266E-7</v>
      </c>
      <c r="AN832" t="str">
        <f t="shared" ca="1" si="363"/>
        <v>Subcritical</v>
      </c>
      <c r="AO832">
        <f t="shared" ca="1" si="364"/>
        <v>2.2562304480281055E-12</v>
      </c>
    </row>
    <row r="833" spans="1:41" x14ac:dyDescent="0.35">
      <c r="A833">
        <v>684</v>
      </c>
      <c r="B833">
        <v>682.89499999999998</v>
      </c>
      <c r="C833">
        <v>616117.58700000006</v>
      </c>
      <c r="D833">
        <v>3097315.6209999998</v>
      </c>
      <c r="E833">
        <v>632.22050000000002</v>
      </c>
      <c r="F833">
        <v>5.2</v>
      </c>
      <c r="G833">
        <v>0</v>
      </c>
      <c r="H833" t="s">
        <v>186</v>
      </c>
      <c r="I833">
        <v>0</v>
      </c>
      <c r="J833">
        <f t="shared" si="365"/>
        <v>0.99900000000002365</v>
      </c>
      <c r="K833">
        <f t="shared" si="366"/>
        <v>51</v>
      </c>
      <c r="L833">
        <f t="shared" ca="1" si="367"/>
        <v>51797.843837663619</v>
      </c>
      <c r="M833">
        <f t="shared" ca="1" si="344"/>
        <v>269348.78795585083</v>
      </c>
      <c r="N833">
        <f t="shared" ca="1" si="345"/>
        <v>2.5998694991876676</v>
      </c>
      <c r="O833">
        <f t="shared" ca="1" si="346"/>
        <v>1.8934557080078435E-4</v>
      </c>
      <c r="P833">
        <f t="shared" ca="1" si="347"/>
        <v>52430.064337663622</v>
      </c>
      <c r="Q833">
        <f t="shared" ca="1" si="348"/>
        <v>52430.064337665448</v>
      </c>
      <c r="R833">
        <f t="shared" ca="1" si="349"/>
        <v>2.2564415439646509E-12</v>
      </c>
      <c r="S833">
        <f t="shared" ca="1" si="368"/>
        <v>4.999999946448952E-4</v>
      </c>
      <c r="T833">
        <f t="shared" ca="1" si="369"/>
        <v>1</v>
      </c>
      <c r="U833">
        <f t="shared" ca="1" si="350"/>
        <v>51800.26683766341</v>
      </c>
      <c r="V833">
        <f t="shared" ca="1" si="351"/>
        <v>269361.38755584974</v>
      </c>
      <c r="W833">
        <f t="shared" ca="1" si="352"/>
        <v>2.5998695052916441</v>
      </c>
      <c r="X833">
        <f t="shared" ca="1" si="353"/>
        <v>1.8933671400629237E-4</v>
      </c>
      <c r="Y833">
        <f t="shared" ca="1" si="354"/>
        <v>52432.487337663413</v>
      </c>
      <c r="Z833">
        <f t="shared" ca="1" si="355"/>
        <v>52432.487337665239</v>
      </c>
      <c r="AA833">
        <f t="shared" ca="1" si="356"/>
        <v>2.2562304480281055E-12</v>
      </c>
      <c r="AB833">
        <f t="shared" ca="1" si="357"/>
        <v>-5.0000000192085281E-4</v>
      </c>
      <c r="AC833">
        <f t="shared" ca="1" si="358"/>
        <v>1</v>
      </c>
      <c r="AD833">
        <f ca="1">IF(V32="Supercritical",L833,IF(V32="Subcritical",U833,IF(AND(T833=1,AC833=1),IF((((F833)*(L833)^2)/2+(G833)*(L833)^3/3+(ABS(K833)^2)/($I$5*MAX(((F833)+(G833)*(L833))*(L833),0.000001)))&gt;=(((F833)*(U833)^2)/2+(G833)*(U833)^3/3+(ABS(K833)^2)/($I$5*MAX(((F833)+(G833)*(U833))*(U833),0.000001))),L833,U833),IF(T833=1,L833,IF(AC833=1,U833,MAX($D$16,POWER((ABS(K833)^2)/($I$5*MAX(F833,0.1)^2),1/3)))))))</f>
        <v>51800.26683766341</v>
      </c>
      <c r="AE833">
        <f t="shared" ca="1" si="359"/>
        <v>52432.487337663413</v>
      </c>
      <c r="AF833">
        <f t="shared" ca="1" si="360"/>
        <v>52432.487337665239</v>
      </c>
      <c r="AI833">
        <v>0</v>
      </c>
      <c r="AJ833">
        <v>0</v>
      </c>
      <c r="AK833">
        <f t="shared" si="361"/>
        <v>0</v>
      </c>
      <c r="AL833">
        <f t="shared" si="370"/>
        <v>0</v>
      </c>
      <c r="AM833">
        <f t="shared" ca="1" si="362"/>
        <v>2.6560383008097266E-7</v>
      </c>
      <c r="AN833" t="str">
        <f t="shared" ca="1" si="363"/>
        <v>Subcritical</v>
      </c>
      <c r="AO833">
        <f t="shared" ca="1" si="364"/>
        <v>2.2562304480281055E-12</v>
      </c>
    </row>
    <row r="834" spans="1:41" x14ac:dyDescent="0.35">
      <c r="A834">
        <v>685</v>
      </c>
      <c r="B834">
        <v>683.89499999999998</v>
      </c>
      <c r="C834">
        <v>616117.11300000001</v>
      </c>
      <c r="D834">
        <v>3097314.7409999999</v>
      </c>
      <c r="E834">
        <v>632.22</v>
      </c>
      <c r="F834">
        <v>5.2</v>
      </c>
      <c r="G834">
        <v>0</v>
      </c>
      <c r="H834" t="s">
        <v>186</v>
      </c>
      <c r="I834">
        <v>2.3E-2</v>
      </c>
      <c r="J834">
        <f t="shared" si="365"/>
        <v>1</v>
      </c>
      <c r="K834">
        <f t="shared" si="366"/>
        <v>51</v>
      </c>
      <c r="L834">
        <f t="shared" ca="1" si="367"/>
        <v>51797.843837663619</v>
      </c>
      <c r="M834">
        <f t="shared" ca="1" si="344"/>
        <v>269348.78795585083</v>
      </c>
      <c r="N834">
        <f t="shared" ca="1" si="345"/>
        <v>2.5998694991876676</v>
      </c>
      <c r="O834">
        <f t="shared" ca="1" si="346"/>
        <v>1.8934557080078435E-4</v>
      </c>
      <c r="P834">
        <f t="shared" ca="1" si="347"/>
        <v>52430.06383766362</v>
      </c>
      <c r="Q834">
        <f t="shared" ca="1" si="348"/>
        <v>52430.063837665446</v>
      </c>
      <c r="R834">
        <f t="shared" ca="1" si="349"/>
        <v>2.2564415439646509E-12</v>
      </c>
      <c r="S834">
        <f t="shared" ca="1" si="368"/>
        <v>5.0000000192085281E-4</v>
      </c>
      <c r="T834">
        <f t="shared" ca="1" si="369"/>
        <v>1</v>
      </c>
      <c r="U834">
        <f t="shared" ca="1" si="350"/>
        <v>51800.26683766341</v>
      </c>
      <c r="V834">
        <f t="shared" ca="1" si="351"/>
        <v>269361.38755584974</v>
      </c>
      <c r="W834">
        <f t="shared" ca="1" si="352"/>
        <v>2.5998695052916441</v>
      </c>
      <c r="X834">
        <f t="shared" ca="1" si="353"/>
        <v>1.8933671400629237E-4</v>
      </c>
      <c r="Y834">
        <f t="shared" ca="1" si="354"/>
        <v>52432.486837663411</v>
      </c>
      <c r="Z834">
        <f t="shared" ca="1" si="355"/>
        <v>52432.486837665238</v>
      </c>
      <c r="AA834">
        <f t="shared" ca="1" si="356"/>
        <v>2.2562304480281055E-12</v>
      </c>
      <c r="AB834">
        <f t="shared" ca="1" si="357"/>
        <v>-5.0000000192085281E-4</v>
      </c>
      <c r="AC834">
        <f t="shared" ca="1" si="358"/>
        <v>1</v>
      </c>
      <c r="AD834">
        <f ca="1">IF(V32="Supercritical",L834,IF(V32="Subcritical",U834,IF(AND(T834=1,AC834=1),IF((((F834)*(L834)^2)/2+(G834)*(L834)^3/3+(ABS(K834)^2)/($I$5*MAX(((F834)+(G834)*(L834))*(L834),0.000001)))&gt;=(((F834)*(U834)^2)/2+(G834)*(U834)^3/3+(ABS(K834)^2)/($I$5*MAX(((F834)+(G834)*(U834))*(U834),0.000001))),L834,U834),IF(T834=1,L834,IF(AC834=1,U834,MAX($D$16,POWER((ABS(K834)^2)/($I$5*MAX(F834,0.1)^2),1/3)))))))</f>
        <v>51800.26683766341</v>
      </c>
      <c r="AE834">
        <f t="shared" ca="1" si="359"/>
        <v>52432.486837663411</v>
      </c>
      <c r="AF834">
        <f t="shared" ca="1" si="360"/>
        <v>52432.486837665238</v>
      </c>
      <c r="AI834">
        <v>0</v>
      </c>
      <c r="AJ834">
        <v>0</v>
      </c>
      <c r="AK834">
        <f t="shared" si="361"/>
        <v>0</v>
      </c>
      <c r="AL834">
        <f t="shared" si="370"/>
        <v>0</v>
      </c>
      <c r="AM834">
        <f t="shared" ca="1" si="362"/>
        <v>2.6560383008097266E-7</v>
      </c>
      <c r="AN834" t="str">
        <f t="shared" ca="1" si="363"/>
        <v>Subcritical</v>
      </c>
      <c r="AO834">
        <f t="shared" ca="1" si="364"/>
        <v>2.2562304480281055E-12</v>
      </c>
    </row>
    <row r="835" spans="1:41" x14ac:dyDescent="0.35">
      <c r="A835">
        <v>686</v>
      </c>
      <c r="B835">
        <v>684.89599999999996</v>
      </c>
      <c r="C835">
        <v>616116.63800000004</v>
      </c>
      <c r="D835">
        <v>3097313.86</v>
      </c>
      <c r="E835">
        <v>632.21950000000004</v>
      </c>
      <c r="F835">
        <v>5.2</v>
      </c>
      <c r="G835">
        <v>0</v>
      </c>
      <c r="H835" t="s">
        <v>186</v>
      </c>
      <c r="I835">
        <v>2.3E-2</v>
      </c>
      <c r="J835">
        <f t="shared" si="365"/>
        <v>1.0009999999999764</v>
      </c>
      <c r="K835">
        <f t="shared" si="366"/>
        <v>51</v>
      </c>
      <c r="L835">
        <f t="shared" ca="1" si="367"/>
        <v>51797.843837663619</v>
      </c>
      <c r="M835">
        <f t="shared" ca="1" si="344"/>
        <v>269348.78795585083</v>
      </c>
      <c r="N835">
        <f t="shared" ca="1" si="345"/>
        <v>2.5998694991876676</v>
      </c>
      <c r="O835">
        <f t="shared" ca="1" si="346"/>
        <v>1.8934557080078435E-4</v>
      </c>
      <c r="P835">
        <f t="shared" ca="1" si="347"/>
        <v>52430.063337663618</v>
      </c>
      <c r="Q835">
        <f t="shared" ca="1" si="348"/>
        <v>52430.063337665444</v>
      </c>
      <c r="R835">
        <f t="shared" ca="1" si="349"/>
        <v>2.2564415439646509E-12</v>
      </c>
      <c r="S835">
        <f t="shared" ca="1" si="368"/>
        <v>5.0000000192085281E-4</v>
      </c>
      <c r="T835">
        <f t="shared" ca="1" si="369"/>
        <v>1</v>
      </c>
      <c r="U835">
        <f t="shared" ca="1" si="350"/>
        <v>51800.26683766341</v>
      </c>
      <c r="V835">
        <f t="shared" ca="1" si="351"/>
        <v>269361.38755584974</v>
      </c>
      <c r="W835">
        <f t="shared" ca="1" si="352"/>
        <v>2.5998695052916441</v>
      </c>
      <c r="X835">
        <f t="shared" ca="1" si="353"/>
        <v>1.8933671400629237E-4</v>
      </c>
      <c r="Y835">
        <f t="shared" ca="1" si="354"/>
        <v>52432.486337663409</v>
      </c>
      <c r="Z835">
        <f t="shared" ca="1" si="355"/>
        <v>52432.486337665236</v>
      </c>
      <c r="AA835">
        <f t="shared" ca="1" si="356"/>
        <v>2.2562304480281055E-12</v>
      </c>
      <c r="AB835">
        <f t="shared" ca="1" si="357"/>
        <v>-5.0000000192085281E-4</v>
      </c>
      <c r="AC835">
        <f t="shared" ca="1" si="358"/>
        <v>1</v>
      </c>
      <c r="AD835">
        <f ca="1">IF(V32="Supercritical",L835,IF(V32="Subcritical",U835,IF(AND(T835=1,AC835=1),IF((((F835)*(L835)^2)/2+(G835)*(L835)^3/3+(ABS(K835)^2)/($I$5*MAX(((F835)+(G835)*(L835))*(L835),0.000001)))&gt;=(((F835)*(U835)^2)/2+(G835)*(U835)^3/3+(ABS(K835)^2)/($I$5*MAX(((F835)+(G835)*(U835))*(U835),0.000001))),L835,U835),IF(T835=1,L835,IF(AC835=1,U835,MAX($D$16,POWER((ABS(K835)^2)/($I$5*MAX(F835,0.1)^2),1/3)))))))</f>
        <v>51800.26683766341</v>
      </c>
      <c r="AE835">
        <f t="shared" ca="1" si="359"/>
        <v>52432.486337663409</v>
      </c>
      <c r="AF835">
        <f t="shared" ca="1" si="360"/>
        <v>52432.486337665236</v>
      </c>
      <c r="AI835">
        <v>0</v>
      </c>
      <c r="AJ835">
        <v>0</v>
      </c>
      <c r="AK835">
        <f t="shared" si="361"/>
        <v>0</v>
      </c>
      <c r="AL835">
        <f t="shared" si="370"/>
        <v>0</v>
      </c>
      <c r="AM835">
        <f t="shared" ca="1" si="362"/>
        <v>2.6560383008097266E-7</v>
      </c>
      <c r="AN835" t="str">
        <f t="shared" ca="1" si="363"/>
        <v>Subcritical</v>
      </c>
      <c r="AO835">
        <f t="shared" ca="1" si="364"/>
        <v>2.2562304480281055E-12</v>
      </c>
    </row>
    <row r="836" spans="1:41" x14ac:dyDescent="0.35">
      <c r="A836">
        <v>687</v>
      </c>
      <c r="B836">
        <v>685.89499999999998</v>
      </c>
      <c r="C836">
        <v>616116.16399999999</v>
      </c>
      <c r="D836">
        <v>3097312.98</v>
      </c>
      <c r="E836">
        <v>632.21900000000005</v>
      </c>
      <c r="F836">
        <v>5.2</v>
      </c>
      <c r="G836">
        <v>0</v>
      </c>
      <c r="H836" t="s">
        <v>186</v>
      </c>
      <c r="I836">
        <v>2.7E-2</v>
      </c>
      <c r="J836">
        <f t="shared" si="365"/>
        <v>0.99900000000002365</v>
      </c>
      <c r="K836">
        <f t="shared" si="366"/>
        <v>51</v>
      </c>
      <c r="L836">
        <f t="shared" ca="1" si="367"/>
        <v>51797.843837663619</v>
      </c>
      <c r="M836">
        <f t="shared" ca="1" si="344"/>
        <v>269348.78795585083</v>
      </c>
      <c r="N836">
        <f t="shared" ca="1" si="345"/>
        <v>2.5998694991876676</v>
      </c>
      <c r="O836">
        <f t="shared" ca="1" si="346"/>
        <v>1.8934557080078435E-4</v>
      </c>
      <c r="P836">
        <f t="shared" ca="1" si="347"/>
        <v>52430.062837663616</v>
      </c>
      <c r="Q836">
        <f t="shared" ca="1" si="348"/>
        <v>52430.062837665442</v>
      </c>
      <c r="R836">
        <f t="shared" ca="1" si="349"/>
        <v>2.2564415439646509E-12</v>
      </c>
      <c r="S836">
        <f t="shared" ca="1" si="368"/>
        <v>5.0000000192085281E-4</v>
      </c>
      <c r="T836">
        <f t="shared" ca="1" si="369"/>
        <v>1</v>
      </c>
      <c r="U836">
        <f t="shared" ca="1" si="350"/>
        <v>51800.26683766341</v>
      </c>
      <c r="V836">
        <f t="shared" ca="1" si="351"/>
        <v>269361.38755584974</v>
      </c>
      <c r="W836">
        <f t="shared" ca="1" si="352"/>
        <v>2.5998695052916441</v>
      </c>
      <c r="X836">
        <f t="shared" ca="1" si="353"/>
        <v>1.8933671400629237E-4</v>
      </c>
      <c r="Y836">
        <f t="shared" ca="1" si="354"/>
        <v>52432.485837663407</v>
      </c>
      <c r="Z836">
        <f t="shared" ca="1" si="355"/>
        <v>52432.485837665234</v>
      </c>
      <c r="AA836">
        <f t="shared" ca="1" si="356"/>
        <v>2.2562304480281055E-12</v>
      </c>
      <c r="AB836">
        <f t="shared" ca="1" si="357"/>
        <v>-4.999999946448952E-4</v>
      </c>
      <c r="AC836">
        <f t="shared" ca="1" si="358"/>
        <v>1</v>
      </c>
      <c r="AD836">
        <f ca="1">IF(V32="Supercritical",L836,IF(V32="Subcritical",U836,IF(AND(T836=1,AC836=1),IF((((F836)*(L836)^2)/2+(G836)*(L836)^3/3+(ABS(K836)^2)/($I$5*MAX(((F836)+(G836)*(L836))*(L836),0.000001)))&gt;=(((F836)*(U836)^2)/2+(G836)*(U836)^3/3+(ABS(K836)^2)/($I$5*MAX(((F836)+(G836)*(U836))*(U836),0.000001))),L836,U836),IF(T836=1,L836,IF(AC836=1,U836,MAX($D$16,POWER((ABS(K836)^2)/($I$5*MAX(F836,0.1)^2),1/3)))))))</f>
        <v>51800.26683766341</v>
      </c>
      <c r="AE836">
        <f t="shared" ca="1" si="359"/>
        <v>52432.485837663407</v>
      </c>
      <c r="AF836">
        <f t="shared" ca="1" si="360"/>
        <v>52432.485837665234</v>
      </c>
      <c r="AI836">
        <v>0</v>
      </c>
      <c r="AJ836">
        <v>0</v>
      </c>
      <c r="AK836">
        <f t="shared" si="361"/>
        <v>0</v>
      </c>
      <c r="AL836">
        <f t="shared" si="370"/>
        <v>0</v>
      </c>
      <c r="AM836">
        <f t="shared" ca="1" si="362"/>
        <v>2.6560383008097266E-7</v>
      </c>
      <c r="AN836" t="str">
        <f t="shared" ca="1" si="363"/>
        <v>Subcritical</v>
      </c>
      <c r="AO836">
        <f t="shared" ca="1" si="364"/>
        <v>2.2562304480281055E-12</v>
      </c>
    </row>
    <row r="837" spans="1:41" x14ac:dyDescent="0.35">
      <c r="A837">
        <v>688</v>
      </c>
      <c r="B837">
        <v>686.89599999999996</v>
      </c>
      <c r="C837">
        <v>616115.68999999994</v>
      </c>
      <c r="D837">
        <v>3097312.0989999999</v>
      </c>
      <c r="E837">
        <v>632.21849999999995</v>
      </c>
      <c r="F837">
        <v>5.2</v>
      </c>
      <c r="G837">
        <v>0</v>
      </c>
      <c r="H837" t="s">
        <v>186</v>
      </c>
      <c r="I837">
        <v>2.7E-2</v>
      </c>
      <c r="J837">
        <f t="shared" si="365"/>
        <v>1.0009999999999764</v>
      </c>
      <c r="K837">
        <f t="shared" si="366"/>
        <v>51</v>
      </c>
      <c r="L837">
        <f t="shared" ca="1" si="367"/>
        <v>51797.843837663619</v>
      </c>
      <c r="M837">
        <f t="shared" ca="1" si="344"/>
        <v>269348.78795585083</v>
      </c>
      <c r="N837">
        <f t="shared" ca="1" si="345"/>
        <v>2.5998694991876676</v>
      </c>
      <c r="O837">
        <f t="shared" ca="1" si="346"/>
        <v>1.8934557080078435E-4</v>
      </c>
      <c r="P837">
        <f t="shared" ca="1" si="347"/>
        <v>52430.062337663621</v>
      </c>
      <c r="Q837">
        <f t="shared" ca="1" si="348"/>
        <v>52430.062337665448</v>
      </c>
      <c r="R837">
        <f t="shared" ca="1" si="349"/>
        <v>2.2564415439646509E-12</v>
      </c>
      <c r="S837">
        <f t="shared" ca="1" si="368"/>
        <v>4.999999946448952E-4</v>
      </c>
      <c r="T837">
        <f t="shared" ca="1" si="369"/>
        <v>1</v>
      </c>
      <c r="U837">
        <f t="shared" ca="1" si="350"/>
        <v>51800.26683766341</v>
      </c>
      <c r="V837">
        <f t="shared" ca="1" si="351"/>
        <v>269361.38755584974</v>
      </c>
      <c r="W837">
        <f t="shared" ca="1" si="352"/>
        <v>2.5998695052916441</v>
      </c>
      <c r="X837">
        <f t="shared" ca="1" si="353"/>
        <v>1.8933671400629237E-4</v>
      </c>
      <c r="Y837">
        <f t="shared" ca="1" si="354"/>
        <v>52432.485337663413</v>
      </c>
      <c r="Z837">
        <f t="shared" ca="1" si="355"/>
        <v>52432.485337665239</v>
      </c>
      <c r="AA837">
        <f t="shared" ca="1" si="356"/>
        <v>2.2562304480281055E-12</v>
      </c>
      <c r="AB837">
        <f t="shared" ca="1" si="357"/>
        <v>-5.0000000192085281E-4</v>
      </c>
      <c r="AC837">
        <f t="shared" ca="1" si="358"/>
        <v>1</v>
      </c>
      <c r="AD837">
        <f ca="1">IF(V32="Supercritical",L837,IF(V32="Subcritical",U837,IF(AND(T837=1,AC837=1),IF((((F837)*(L837)^2)/2+(G837)*(L837)^3/3+(ABS(K837)^2)/($I$5*MAX(((F837)+(G837)*(L837))*(L837),0.000001)))&gt;=(((F837)*(U837)^2)/2+(G837)*(U837)^3/3+(ABS(K837)^2)/($I$5*MAX(((F837)+(G837)*(U837))*(U837),0.000001))),L837,U837),IF(T837=1,L837,IF(AC837=1,U837,MAX($D$16,POWER((ABS(K837)^2)/($I$5*MAX(F837,0.1)^2),1/3)))))))</f>
        <v>51800.26683766341</v>
      </c>
      <c r="AE837">
        <f t="shared" ca="1" si="359"/>
        <v>52432.485337663413</v>
      </c>
      <c r="AF837">
        <f t="shared" ca="1" si="360"/>
        <v>52432.485337665239</v>
      </c>
      <c r="AI837">
        <v>0</v>
      </c>
      <c r="AJ837">
        <v>0</v>
      </c>
      <c r="AK837">
        <f t="shared" si="361"/>
        <v>0</v>
      </c>
      <c r="AL837">
        <f t="shared" si="370"/>
        <v>0</v>
      </c>
      <c r="AM837">
        <f t="shared" ca="1" si="362"/>
        <v>2.6560383008097266E-7</v>
      </c>
      <c r="AN837" t="str">
        <f t="shared" ca="1" si="363"/>
        <v>Subcritical</v>
      </c>
      <c r="AO837">
        <f t="shared" ca="1" si="364"/>
        <v>2.2562304480281055E-12</v>
      </c>
    </row>
    <row r="838" spans="1:41" x14ac:dyDescent="0.35">
      <c r="A838">
        <v>689</v>
      </c>
      <c r="B838">
        <v>687.89499999999998</v>
      </c>
      <c r="C838">
        <v>616115.21600000001</v>
      </c>
      <c r="D838">
        <v>3097311.219</v>
      </c>
      <c r="E838">
        <v>632.21799999999996</v>
      </c>
      <c r="F838">
        <v>5.2</v>
      </c>
      <c r="G838">
        <v>0</v>
      </c>
      <c r="H838" t="s">
        <v>186</v>
      </c>
      <c r="I838">
        <v>0.05</v>
      </c>
      <c r="J838">
        <f t="shared" si="365"/>
        <v>0.99900000000002365</v>
      </c>
      <c r="K838">
        <f t="shared" si="366"/>
        <v>51</v>
      </c>
      <c r="L838">
        <f t="shared" ca="1" si="367"/>
        <v>51797.843837663619</v>
      </c>
      <c r="M838">
        <f t="shared" ca="1" si="344"/>
        <v>269348.78795585083</v>
      </c>
      <c r="N838">
        <f t="shared" ca="1" si="345"/>
        <v>2.5998694991876676</v>
      </c>
      <c r="O838">
        <f t="shared" ca="1" si="346"/>
        <v>1.8934557080078435E-4</v>
      </c>
      <c r="P838">
        <f t="shared" ca="1" si="347"/>
        <v>52430.061837663619</v>
      </c>
      <c r="Q838">
        <f t="shared" ca="1" si="348"/>
        <v>52430.061837665446</v>
      </c>
      <c r="R838">
        <f t="shared" ca="1" si="349"/>
        <v>2.2564415439646509E-12</v>
      </c>
      <c r="S838">
        <f t="shared" ca="1" si="368"/>
        <v>5.0000000192085281E-4</v>
      </c>
      <c r="T838">
        <f t="shared" ca="1" si="369"/>
        <v>1</v>
      </c>
      <c r="U838">
        <f t="shared" ca="1" si="350"/>
        <v>51800.26683766341</v>
      </c>
      <c r="V838">
        <f t="shared" ca="1" si="351"/>
        <v>269361.38755584974</v>
      </c>
      <c r="W838">
        <f t="shared" ca="1" si="352"/>
        <v>2.5998695052916441</v>
      </c>
      <c r="X838">
        <f t="shared" ca="1" si="353"/>
        <v>1.8933671400629237E-4</v>
      </c>
      <c r="Y838">
        <f t="shared" ca="1" si="354"/>
        <v>52432.484837663411</v>
      </c>
      <c r="Z838">
        <f t="shared" ca="1" si="355"/>
        <v>52432.484837665237</v>
      </c>
      <c r="AA838">
        <f t="shared" ca="1" si="356"/>
        <v>2.2562304480281055E-12</v>
      </c>
      <c r="AB838">
        <f t="shared" ca="1" si="357"/>
        <v>-5.0000000192085281E-4</v>
      </c>
      <c r="AC838">
        <f t="shared" ca="1" si="358"/>
        <v>1</v>
      </c>
      <c r="AD838">
        <f ca="1">IF(V32="Supercritical",L838,IF(V32="Subcritical",U838,IF(AND(T838=1,AC838=1),IF((((F838)*(L838)^2)/2+(G838)*(L838)^3/3+(ABS(K838)^2)/($I$5*MAX(((F838)+(G838)*(L838))*(L838),0.000001)))&gt;=(((F838)*(U838)^2)/2+(G838)*(U838)^3/3+(ABS(K838)^2)/($I$5*MAX(((F838)+(G838)*(U838))*(U838),0.000001))),L838,U838),IF(T838=1,L838,IF(AC838=1,U838,MAX($D$16,POWER((ABS(K838)^2)/($I$5*MAX(F838,0.1)^2),1/3)))))))</f>
        <v>51800.26683766341</v>
      </c>
      <c r="AE838">
        <f t="shared" ca="1" si="359"/>
        <v>52432.484837663411</v>
      </c>
      <c r="AF838">
        <f t="shared" ca="1" si="360"/>
        <v>52432.484837665237</v>
      </c>
      <c r="AI838">
        <v>0</v>
      </c>
      <c r="AJ838">
        <v>0</v>
      </c>
      <c r="AK838">
        <f t="shared" si="361"/>
        <v>0</v>
      </c>
      <c r="AL838">
        <f t="shared" si="370"/>
        <v>0</v>
      </c>
      <c r="AM838">
        <f t="shared" ca="1" si="362"/>
        <v>2.6560383008097266E-7</v>
      </c>
      <c r="AN838" t="str">
        <f t="shared" ca="1" si="363"/>
        <v>Subcritical</v>
      </c>
      <c r="AO838">
        <f t="shared" ca="1" si="364"/>
        <v>2.2562304480281055E-12</v>
      </c>
    </row>
    <row r="839" spans="1:41" x14ac:dyDescent="0.35">
      <c r="A839">
        <v>690</v>
      </c>
      <c r="B839">
        <v>688.89499999999998</v>
      </c>
      <c r="C839">
        <v>616114.74100000004</v>
      </c>
      <c r="D839">
        <v>3097310.3390000002</v>
      </c>
      <c r="E839">
        <v>632.21749999999997</v>
      </c>
      <c r="F839">
        <v>5.2</v>
      </c>
      <c r="G839">
        <v>0</v>
      </c>
      <c r="H839" t="s">
        <v>186</v>
      </c>
      <c r="I839">
        <v>7.8E-2</v>
      </c>
      <c r="J839">
        <f t="shared" si="365"/>
        <v>1</v>
      </c>
      <c r="K839">
        <f t="shared" si="366"/>
        <v>51</v>
      </c>
      <c r="L839">
        <f t="shared" ca="1" si="367"/>
        <v>51797.843837663619</v>
      </c>
      <c r="M839">
        <f t="shared" ca="1" si="344"/>
        <v>269348.78795585083</v>
      </c>
      <c r="N839">
        <f t="shared" ca="1" si="345"/>
        <v>2.5998694991876676</v>
      </c>
      <c r="O839">
        <f t="shared" ca="1" si="346"/>
        <v>1.8934557080078435E-4</v>
      </c>
      <c r="P839">
        <f t="shared" ca="1" si="347"/>
        <v>52430.061337663617</v>
      </c>
      <c r="Q839">
        <f t="shared" ca="1" si="348"/>
        <v>52430.061337665444</v>
      </c>
      <c r="R839">
        <f t="shared" ca="1" si="349"/>
        <v>2.2564415439646509E-12</v>
      </c>
      <c r="S839">
        <f t="shared" ca="1" si="368"/>
        <v>5.0000000192085281E-4</v>
      </c>
      <c r="T839">
        <f t="shared" ca="1" si="369"/>
        <v>1</v>
      </c>
      <c r="U839">
        <f t="shared" ca="1" si="350"/>
        <v>51800.26683766341</v>
      </c>
      <c r="V839">
        <f t="shared" ca="1" si="351"/>
        <v>269361.38755584974</v>
      </c>
      <c r="W839">
        <f t="shared" ca="1" si="352"/>
        <v>2.5998695052916441</v>
      </c>
      <c r="X839">
        <f t="shared" ca="1" si="353"/>
        <v>1.8933671400629237E-4</v>
      </c>
      <c r="Y839">
        <f t="shared" ca="1" si="354"/>
        <v>52432.484337663409</v>
      </c>
      <c r="Z839">
        <f t="shared" ca="1" si="355"/>
        <v>52432.484337665235</v>
      </c>
      <c r="AA839">
        <f t="shared" ca="1" si="356"/>
        <v>2.2562304480281055E-12</v>
      </c>
      <c r="AB839">
        <f t="shared" ca="1" si="357"/>
        <v>-5.0000000192085281E-4</v>
      </c>
      <c r="AC839">
        <f t="shared" ca="1" si="358"/>
        <v>1</v>
      </c>
      <c r="AD839">
        <f ca="1">IF(V32="Supercritical",L839,IF(V32="Subcritical",U839,IF(AND(T839=1,AC839=1),IF((((F839)*(L839)^2)/2+(G839)*(L839)^3/3+(ABS(K839)^2)/($I$5*MAX(((F839)+(G839)*(L839))*(L839),0.000001)))&gt;=(((F839)*(U839)^2)/2+(G839)*(U839)^3/3+(ABS(K839)^2)/($I$5*MAX(((F839)+(G839)*(U839))*(U839),0.000001))),L839,U839),IF(T839=1,L839,IF(AC839=1,U839,MAX($D$16,POWER((ABS(K839)^2)/($I$5*MAX(F839,0.1)^2),1/3)))))))</f>
        <v>51800.26683766341</v>
      </c>
      <c r="AE839">
        <f t="shared" ca="1" si="359"/>
        <v>52432.484337663409</v>
      </c>
      <c r="AF839">
        <f t="shared" ca="1" si="360"/>
        <v>52432.484337665235</v>
      </c>
      <c r="AI839">
        <v>0</v>
      </c>
      <c r="AJ839">
        <v>0</v>
      </c>
      <c r="AK839">
        <f t="shared" si="361"/>
        <v>0</v>
      </c>
      <c r="AL839">
        <f t="shared" si="370"/>
        <v>0</v>
      </c>
      <c r="AM839">
        <f t="shared" ca="1" si="362"/>
        <v>2.6560383008097266E-7</v>
      </c>
      <c r="AN839" t="str">
        <f t="shared" ca="1" si="363"/>
        <v>Subcritical</v>
      </c>
      <c r="AO839">
        <f t="shared" ca="1" si="364"/>
        <v>2.2562304480281055E-12</v>
      </c>
    </row>
    <row r="840" spans="1:41" x14ac:dyDescent="0.35">
      <c r="A840">
        <v>691</v>
      </c>
      <c r="B840">
        <v>689.89599999999996</v>
      </c>
      <c r="C840">
        <v>616114.26699999999</v>
      </c>
      <c r="D840">
        <v>3097309.4580000001</v>
      </c>
      <c r="E840">
        <v>632.21699999999998</v>
      </c>
      <c r="F840">
        <v>5.2</v>
      </c>
      <c r="G840">
        <v>0</v>
      </c>
      <c r="H840" t="s">
        <v>186</v>
      </c>
      <c r="I840">
        <v>2.7E-2</v>
      </c>
      <c r="J840">
        <f t="shared" si="365"/>
        <v>1.0009999999999764</v>
      </c>
      <c r="K840">
        <f t="shared" si="366"/>
        <v>51</v>
      </c>
      <c r="L840">
        <f t="shared" ca="1" si="367"/>
        <v>51797.843837663619</v>
      </c>
      <c r="M840">
        <f t="shared" ca="1" si="344"/>
        <v>269348.78795585083</v>
      </c>
      <c r="N840">
        <f t="shared" ca="1" si="345"/>
        <v>2.5998694991876676</v>
      </c>
      <c r="O840">
        <f t="shared" ca="1" si="346"/>
        <v>1.8934557080078435E-4</v>
      </c>
      <c r="P840">
        <f t="shared" ca="1" si="347"/>
        <v>52430.060837663616</v>
      </c>
      <c r="Q840">
        <f t="shared" ca="1" si="348"/>
        <v>52430.060837665442</v>
      </c>
      <c r="R840">
        <f t="shared" ca="1" si="349"/>
        <v>2.2564415439646509E-12</v>
      </c>
      <c r="S840">
        <f t="shared" ca="1" si="368"/>
        <v>5.0000000192085281E-4</v>
      </c>
      <c r="T840">
        <f t="shared" ca="1" si="369"/>
        <v>1</v>
      </c>
      <c r="U840">
        <f t="shared" ca="1" si="350"/>
        <v>51800.26683766341</v>
      </c>
      <c r="V840">
        <f t="shared" ca="1" si="351"/>
        <v>269361.38755584974</v>
      </c>
      <c r="W840">
        <f t="shared" ca="1" si="352"/>
        <v>2.5998695052916441</v>
      </c>
      <c r="X840">
        <f t="shared" ca="1" si="353"/>
        <v>1.8933671400629237E-4</v>
      </c>
      <c r="Y840">
        <f t="shared" ca="1" si="354"/>
        <v>52432.483837663407</v>
      </c>
      <c r="Z840">
        <f t="shared" ca="1" si="355"/>
        <v>52432.483837665233</v>
      </c>
      <c r="AA840">
        <f t="shared" ca="1" si="356"/>
        <v>2.2562304480281055E-12</v>
      </c>
      <c r="AB840">
        <f t="shared" ca="1" si="357"/>
        <v>-4.999999946448952E-4</v>
      </c>
      <c r="AC840">
        <f t="shared" ca="1" si="358"/>
        <v>1</v>
      </c>
      <c r="AD840">
        <f ca="1">IF(V32="Supercritical",L840,IF(V32="Subcritical",U840,IF(AND(T840=1,AC840=1),IF((((F840)*(L840)^2)/2+(G840)*(L840)^3/3+(ABS(K840)^2)/($I$5*MAX(((F840)+(G840)*(L840))*(L840),0.000001)))&gt;=(((F840)*(U840)^2)/2+(G840)*(U840)^3/3+(ABS(K840)^2)/($I$5*MAX(((F840)+(G840)*(U840))*(U840),0.000001))),L840,U840),IF(T840=1,L840,IF(AC840=1,U840,MAX($D$16,POWER((ABS(K840)^2)/($I$5*MAX(F840,0.1)^2),1/3)))))))</f>
        <v>51800.26683766341</v>
      </c>
      <c r="AE840">
        <f t="shared" ca="1" si="359"/>
        <v>52432.483837663407</v>
      </c>
      <c r="AF840">
        <f t="shared" ca="1" si="360"/>
        <v>52432.483837665233</v>
      </c>
      <c r="AI840">
        <v>0</v>
      </c>
      <c r="AJ840">
        <v>0</v>
      </c>
      <c r="AK840">
        <f t="shared" si="361"/>
        <v>0</v>
      </c>
      <c r="AL840">
        <f t="shared" si="370"/>
        <v>0</v>
      </c>
      <c r="AM840">
        <f t="shared" ca="1" si="362"/>
        <v>2.6560383008097266E-7</v>
      </c>
      <c r="AN840" t="str">
        <f t="shared" ca="1" si="363"/>
        <v>Subcritical</v>
      </c>
      <c r="AO840">
        <f t="shared" ca="1" si="364"/>
        <v>2.2562304480281055E-12</v>
      </c>
    </row>
    <row r="841" spans="1:41" x14ac:dyDescent="0.35">
      <c r="A841">
        <v>692</v>
      </c>
      <c r="B841">
        <v>690.89499999999998</v>
      </c>
      <c r="C841">
        <v>616113.79299999995</v>
      </c>
      <c r="D841">
        <v>3097308.5780000002</v>
      </c>
      <c r="E841">
        <v>632.2165</v>
      </c>
      <c r="F841">
        <v>5.2</v>
      </c>
      <c r="G841">
        <v>0</v>
      </c>
      <c r="H841" t="s">
        <v>186</v>
      </c>
      <c r="I841">
        <v>2.7E-2</v>
      </c>
      <c r="J841">
        <f t="shared" si="365"/>
        <v>0.99900000000002365</v>
      </c>
      <c r="K841">
        <f t="shared" si="366"/>
        <v>51</v>
      </c>
      <c r="L841">
        <f t="shared" ca="1" si="367"/>
        <v>51797.843837663619</v>
      </c>
      <c r="M841">
        <f t="shared" ca="1" si="344"/>
        <v>269348.78795585083</v>
      </c>
      <c r="N841">
        <f t="shared" ca="1" si="345"/>
        <v>2.5998694991876676</v>
      </c>
      <c r="O841">
        <f t="shared" ca="1" si="346"/>
        <v>1.8934557080078435E-4</v>
      </c>
      <c r="P841">
        <f t="shared" ca="1" si="347"/>
        <v>52430.060337663621</v>
      </c>
      <c r="Q841">
        <f t="shared" ca="1" si="348"/>
        <v>52430.060337665447</v>
      </c>
      <c r="R841">
        <f t="shared" ca="1" si="349"/>
        <v>2.2564415439646509E-12</v>
      </c>
      <c r="S841">
        <f t="shared" ca="1" si="368"/>
        <v>4.999999946448952E-4</v>
      </c>
      <c r="T841">
        <f t="shared" ca="1" si="369"/>
        <v>1</v>
      </c>
      <c r="U841">
        <f t="shared" ca="1" si="350"/>
        <v>51800.26683766341</v>
      </c>
      <c r="V841">
        <f t="shared" ca="1" si="351"/>
        <v>269361.38755584974</v>
      </c>
      <c r="W841">
        <f t="shared" ca="1" si="352"/>
        <v>2.5998695052916441</v>
      </c>
      <c r="X841">
        <f t="shared" ca="1" si="353"/>
        <v>1.8933671400629237E-4</v>
      </c>
      <c r="Y841">
        <f t="shared" ca="1" si="354"/>
        <v>52432.483337663412</v>
      </c>
      <c r="Z841">
        <f t="shared" ca="1" si="355"/>
        <v>52432.483337665239</v>
      </c>
      <c r="AA841">
        <f t="shared" ca="1" si="356"/>
        <v>2.2562304480281055E-12</v>
      </c>
      <c r="AB841">
        <f t="shared" ca="1" si="357"/>
        <v>-5.0000000192085281E-4</v>
      </c>
      <c r="AC841">
        <f t="shared" ca="1" si="358"/>
        <v>1</v>
      </c>
      <c r="AD841">
        <f ca="1">IF(V32="Supercritical",L841,IF(V32="Subcritical",U841,IF(AND(T841=1,AC841=1),IF((((F841)*(L841)^2)/2+(G841)*(L841)^3/3+(ABS(K841)^2)/($I$5*MAX(((F841)+(G841)*(L841))*(L841),0.000001)))&gt;=(((F841)*(U841)^2)/2+(G841)*(U841)^3/3+(ABS(K841)^2)/($I$5*MAX(((F841)+(G841)*(U841))*(U841),0.000001))),L841,U841),IF(T841=1,L841,IF(AC841=1,U841,MAX($D$16,POWER((ABS(K841)^2)/($I$5*MAX(F841,0.1)^2),1/3)))))))</f>
        <v>51800.26683766341</v>
      </c>
      <c r="AE841">
        <f t="shared" ca="1" si="359"/>
        <v>52432.483337663412</v>
      </c>
      <c r="AF841">
        <f t="shared" ca="1" si="360"/>
        <v>52432.483337665239</v>
      </c>
      <c r="AI841">
        <v>0</v>
      </c>
      <c r="AJ841">
        <v>0</v>
      </c>
      <c r="AK841">
        <f t="shared" si="361"/>
        <v>0</v>
      </c>
      <c r="AL841">
        <f t="shared" si="370"/>
        <v>0</v>
      </c>
      <c r="AM841">
        <f t="shared" ca="1" si="362"/>
        <v>2.6560383008097266E-7</v>
      </c>
      <c r="AN841" t="str">
        <f t="shared" ca="1" si="363"/>
        <v>Subcritical</v>
      </c>
      <c r="AO841">
        <f t="shared" ca="1" si="364"/>
        <v>2.2562304480281055E-12</v>
      </c>
    </row>
    <row r="842" spans="1:41" x14ac:dyDescent="0.35">
      <c r="A842">
        <v>693</v>
      </c>
      <c r="B842">
        <v>691.89499999999998</v>
      </c>
      <c r="C842">
        <v>616113.31900000002</v>
      </c>
      <c r="D842">
        <v>3097307.6970000002</v>
      </c>
      <c r="E842">
        <v>632.21600000000001</v>
      </c>
      <c r="F842">
        <v>5.2</v>
      </c>
      <c r="G842">
        <v>0</v>
      </c>
      <c r="H842" t="s">
        <v>186</v>
      </c>
      <c r="I842">
        <v>2.7E-2</v>
      </c>
      <c r="J842">
        <f t="shared" si="365"/>
        <v>1</v>
      </c>
      <c r="K842">
        <f t="shared" si="366"/>
        <v>51</v>
      </c>
      <c r="L842">
        <f t="shared" ca="1" si="367"/>
        <v>51797.843837663619</v>
      </c>
      <c r="M842">
        <f t="shared" ca="1" si="344"/>
        <v>269348.78795585083</v>
      </c>
      <c r="N842">
        <f t="shared" ca="1" si="345"/>
        <v>2.5998694991876676</v>
      </c>
      <c r="O842">
        <f t="shared" ca="1" si="346"/>
        <v>1.8934557080078435E-4</v>
      </c>
      <c r="P842">
        <f t="shared" ca="1" si="347"/>
        <v>52430.059837663619</v>
      </c>
      <c r="Q842">
        <f t="shared" ca="1" si="348"/>
        <v>52430.059837665445</v>
      </c>
      <c r="R842">
        <f t="shared" ca="1" si="349"/>
        <v>2.2564415439646509E-12</v>
      </c>
      <c r="S842">
        <f t="shared" ca="1" si="368"/>
        <v>5.0000000192085281E-4</v>
      </c>
      <c r="T842">
        <f t="shared" ca="1" si="369"/>
        <v>1</v>
      </c>
      <c r="U842">
        <f t="shared" ca="1" si="350"/>
        <v>51800.26683766341</v>
      </c>
      <c r="V842">
        <f t="shared" ca="1" si="351"/>
        <v>269361.38755584974</v>
      </c>
      <c r="W842">
        <f t="shared" ca="1" si="352"/>
        <v>2.5998695052916441</v>
      </c>
      <c r="X842">
        <f t="shared" ca="1" si="353"/>
        <v>1.8933671400629237E-4</v>
      </c>
      <c r="Y842">
        <f t="shared" ca="1" si="354"/>
        <v>52432.48283766341</v>
      </c>
      <c r="Z842">
        <f t="shared" ca="1" si="355"/>
        <v>52432.482837665237</v>
      </c>
      <c r="AA842">
        <f t="shared" ca="1" si="356"/>
        <v>2.2562304480281055E-12</v>
      </c>
      <c r="AB842">
        <f t="shared" ca="1" si="357"/>
        <v>-5.0000000192085281E-4</v>
      </c>
      <c r="AC842">
        <f t="shared" ca="1" si="358"/>
        <v>1</v>
      </c>
      <c r="AD842">
        <f ca="1">IF(V32="Supercritical",L842,IF(V32="Subcritical",U842,IF(AND(T842=1,AC842=1),IF((((F842)*(L842)^2)/2+(G842)*(L842)^3/3+(ABS(K842)^2)/($I$5*MAX(((F842)+(G842)*(L842))*(L842),0.000001)))&gt;=(((F842)*(U842)^2)/2+(G842)*(U842)^3/3+(ABS(K842)^2)/($I$5*MAX(((F842)+(G842)*(U842))*(U842),0.000001))),L842,U842),IF(T842=1,L842,IF(AC842=1,U842,MAX($D$16,POWER((ABS(K842)^2)/($I$5*MAX(F842,0.1)^2),1/3)))))))</f>
        <v>51800.26683766341</v>
      </c>
      <c r="AE842">
        <f t="shared" ca="1" si="359"/>
        <v>52432.48283766341</v>
      </c>
      <c r="AF842">
        <f t="shared" ca="1" si="360"/>
        <v>52432.482837665237</v>
      </c>
      <c r="AI842">
        <v>0</v>
      </c>
      <c r="AJ842">
        <v>0</v>
      </c>
      <c r="AK842">
        <f t="shared" si="361"/>
        <v>0</v>
      </c>
      <c r="AL842">
        <f t="shared" si="370"/>
        <v>0</v>
      </c>
      <c r="AM842">
        <f t="shared" ca="1" si="362"/>
        <v>2.6560383008097266E-7</v>
      </c>
      <c r="AN842" t="str">
        <f t="shared" ca="1" si="363"/>
        <v>Subcritical</v>
      </c>
      <c r="AO842">
        <f t="shared" ca="1" si="364"/>
        <v>2.2562304480281055E-12</v>
      </c>
    </row>
    <row r="843" spans="1:41" x14ac:dyDescent="0.35">
      <c r="A843">
        <v>694</v>
      </c>
      <c r="B843">
        <v>692.89499999999998</v>
      </c>
      <c r="C843">
        <v>616112.84499999997</v>
      </c>
      <c r="D843">
        <v>3097306.8169999998</v>
      </c>
      <c r="E843">
        <v>632.21550000000002</v>
      </c>
      <c r="F843">
        <v>5.2</v>
      </c>
      <c r="G843">
        <v>0</v>
      </c>
      <c r="H843" t="s">
        <v>186</v>
      </c>
      <c r="I843">
        <v>0.05</v>
      </c>
      <c r="J843">
        <f t="shared" si="365"/>
        <v>1</v>
      </c>
      <c r="K843">
        <f t="shared" si="366"/>
        <v>51</v>
      </c>
      <c r="L843">
        <f t="shared" ca="1" si="367"/>
        <v>51797.843837663619</v>
      </c>
      <c r="M843">
        <f t="shared" ca="1" si="344"/>
        <v>269348.78795585083</v>
      </c>
      <c r="N843">
        <f t="shared" ca="1" si="345"/>
        <v>2.5998694991876676</v>
      </c>
      <c r="O843">
        <f t="shared" ca="1" si="346"/>
        <v>1.8934557080078435E-4</v>
      </c>
      <c r="P843">
        <f t="shared" ca="1" si="347"/>
        <v>52430.059337663617</v>
      </c>
      <c r="Q843">
        <f t="shared" ca="1" si="348"/>
        <v>52430.059337665443</v>
      </c>
      <c r="R843">
        <f t="shared" ca="1" si="349"/>
        <v>2.2564415439646509E-12</v>
      </c>
      <c r="S843">
        <f t="shared" ca="1" si="368"/>
        <v>5.0000000192085281E-4</v>
      </c>
      <c r="T843">
        <f t="shared" ca="1" si="369"/>
        <v>1</v>
      </c>
      <c r="U843">
        <f t="shared" ca="1" si="350"/>
        <v>51800.26683766341</v>
      </c>
      <c r="V843">
        <f t="shared" ca="1" si="351"/>
        <v>269361.38755584974</v>
      </c>
      <c r="W843">
        <f t="shared" ca="1" si="352"/>
        <v>2.5998695052916441</v>
      </c>
      <c r="X843">
        <f t="shared" ca="1" si="353"/>
        <v>1.8933671400629237E-4</v>
      </c>
      <c r="Y843">
        <f t="shared" ca="1" si="354"/>
        <v>52432.482337663409</v>
      </c>
      <c r="Z843">
        <f t="shared" ca="1" si="355"/>
        <v>52432.482337665235</v>
      </c>
      <c r="AA843">
        <f t="shared" ca="1" si="356"/>
        <v>2.2562304480281055E-12</v>
      </c>
      <c r="AB843">
        <f t="shared" ca="1" si="357"/>
        <v>-5.0000000192085281E-4</v>
      </c>
      <c r="AC843">
        <f t="shared" ca="1" si="358"/>
        <v>1</v>
      </c>
      <c r="AD843">
        <f ca="1">IF(V32="Supercritical",L843,IF(V32="Subcritical",U843,IF(AND(T843=1,AC843=1),IF((((F843)*(L843)^2)/2+(G843)*(L843)^3/3+(ABS(K843)^2)/($I$5*MAX(((F843)+(G843)*(L843))*(L843),0.000001)))&gt;=(((F843)*(U843)^2)/2+(G843)*(U843)^3/3+(ABS(K843)^2)/($I$5*MAX(((F843)+(G843)*(U843))*(U843),0.000001))),L843,U843),IF(T843=1,L843,IF(AC843=1,U843,MAX($D$16,POWER((ABS(K843)^2)/($I$5*MAX(F843,0.1)^2),1/3)))))))</f>
        <v>51800.26683766341</v>
      </c>
      <c r="AE843">
        <f t="shared" ca="1" si="359"/>
        <v>52432.482337663409</v>
      </c>
      <c r="AF843">
        <f t="shared" ca="1" si="360"/>
        <v>52432.482337665235</v>
      </c>
      <c r="AI843">
        <v>0</v>
      </c>
      <c r="AJ843">
        <v>0</v>
      </c>
      <c r="AK843">
        <f t="shared" si="361"/>
        <v>0</v>
      </c>
      <c r="AL843">
        <f t="shared" si="370"/>
        <v>0</v>
      </c>
      <c r="AM843">
        <f t="shared" ca="1" si="362"/>
        <v>2.6560383008097266E-7</v>
      </c>
      <c r="AN843" t="str">
        <f t="shared" ca="1" si="363"/>
        <v>Subcritical</v>
      </c>
      <c r="AO843">
        <f t="shared" ca="1" si="364"/>
        <v>2.2562304480281055E-12</v>
      </c>
    </row>
    <row r="844" spans="1:41" x14ac:dyDescent="0.35">
      <c r="A844">
        <v>695</v>
      </c>
      <c r="B844">
        <v>693.89499999999998</v>
      </c>
      <c r="C844">
        <v>616112.37</v>
      </c>
      <c r="D844">
        <v>3097305.9369999999</v>
      </c>
      <c r="E844">
        <v>632.21500000000003</v>
      </c>
      <c r="F844">
        <v>5.2</v>
      </c>
      <c r="G844">
        <v>0</v>
      </c>
      <c r="H844" t="s">
        <v>186</v>
      </c>
      <c r="I844">
        <v>7.8E-2</v>
      </c>
      <c r="J844">
        <f t="shared" si="365"/>
        <v>1</v>
      </c>
      <c r="K844">
        <f t="shared" si="366"/>
        <v>51</v>
      </c>
      <c r="L844">
        <f t="shared" ca="1" si="367"/>
        <v>51797.843837663619</v>
      </c>
      <c r="M844">
        <f t="shared" ca="1" si="344"/>
        <v>269348.78795585083</v>
      </c>
      <c r="N844">
        <f t="shared" ca="1" si="345"/>
        <v>2.5998694991876676</v>
      </c>
      <c r="O844">
        <f t="shared" ca="1" si="346"/>
        <v>1.8934557080078435E-4</v>
      </c>
      <c r="P844">
        <f t="shared" ca="1" si="347"/>
        <v>52430.058837663615</v>
      </c>
      <c r="Q844">
        <f t="shared" ca="1" si="348"/>
        <v>52430.058837665441</v>
      </c>
      <c r="R844">
        <f t="shared" ca="1" si="349"/>
        <v>2.2564415439646509E-12</v>
      </c>
      <c r="S844">
        <f t="shared" ca="1" si="368"/>
        <v>5.0000000192085281E-4</v>
      </c>
      <c r="T844">
        <f t="shared" ca="1" si="369"/>
        <v>1</v>
      </c>
      <c r="U844">
        <f t="shared" ca="1" si="350"/>
        <v>51800.26683766341</v>
      </c>
      <c r="V844">
        <f t="shared" ca="1" si="351"/>
        <v>269361.38755584974</v>
      </c>
      <c r="W844">
        <f t="shared" ca="1" si="352"/>
        <v>2.5998695052916441</v>
      </c>
      <c r="X844">
        <f t="shared" ca="1" si="353"/>
        <v>1.8933671400629237E-4</v>
      </c>
      <c r="Y844">
        <f t="shared" ca="1" si="354"/>
        <v>52432.481837663407</v>
      </c>
      <c r="Z844">
        <f t="shared" ca="1" si="355"/>
        <v>52432.481837665233</v>
      </c>
      <c r="AA844">
        <f t="shared" ca="1" si="356"/>
        <v>2.2562304480281055E-12</v>
      </c>
      <c r="AB844">
        <f t="shared" ca="1" si="357"/>
        <v>-4.999999946448952E-4</v>
      </c>
      <c r="AC844">
        <f t="shared" ca="1" si="358"/>
        <v>1</v>
      </c>
      <c r="AD844">
        <f ca="1">IF(V32="Supercritical",L844,IF(V32="Subcritical",U844,IF(AND(T844=1,AC844=1),IF((((F844)*(L844)^2)/2+(G844)*(L844)^3/3+(ABS(K844)^2)/($I$5*MAX(((F844)+(G844)*(L844))*(L844),0.000001)))&gt;=(((F844)*(U844)^2)/2+(G844)*(U844)^3/3+(ABS(K844)^2)/($I$5*MAX(((F844)+(G844)*(U844))*(U844),0.000001))),L844,U844),IF(T844=1,L844,IF(AC844=1,U844,MAX($D$16,POWER((ABS(K844)^2)/($I$5*MAX(F844,0.1)^2),1/3)))))))</f>
        <v>51800.26683766341</v>
      </c>
      <c r="AE844">
        <f t="shared" ca="1" si="359"/>
        <v>52432.481837663407</v>
      </c>
      <c r="AF844">
        <f t="shared" ca="1" si="360"/>
        <v>52432.481837665233</v>
      </c>
      <c r="AI844">
        <v>0</v>
      </c>
      <c r="AJ844">
        <v>0</v>
      </c>
      <c r="AK844">
        <f t="shared" si="361"/>
        <v>0</v>
      </c>
      <c r="AL844">
        <f t="shared" si="370"/>
        <v>0</v>
      </c>
      <c r="AM844">
        <f t="shared" ca="1" si="362"/>
        <v>2.6560383008097266E-7</v>
      </c>
      <c r="AN844" t="str">
        <f t="shared" ca="1" si="363"/>
        <v>Subcritical</v>
      </c>
      <c r="AO844">
        <f t="shared" ca="1" si="364"/>
        <v>2.2562304480281055E-12</v>
      </c>
    </row>
    <row r="845" spans="1:41" x14ac:dyDescent="0.35">
      <c r="A845">
        <v>696</v>
      </c>
      <c r="B845">
        <v>694.89499999999998</v>
      </c>
      <c r="C845">
        <v>616111.89599999995</v>
      </c>
      <c r="D845">
        <v>3097305.0559999999</v>
      </c>
      <c r="E845">
        <v>632.21450000000004</v>
      </c>
      <c r="F845">
        <v>5.2</v>
      </c>
      <c r="G845">
        <v>0</v>
      </c>
      <c r="H845" t="s">
        <v>186</v>
      </c>
      <c r="I845">
        <v>2.7E-2</v>
      </c>
      <c r="J845">
        <f t="shared" si="365"/>
        <v>1</v>
      </c>
      <c r="K845">
        <f t="shared" si="366"/>
        <v>51</v>
      </c>
      <c r="L845">
        <f t="shared" ca="1" si="367"/>
        <v>51797.843837663619</v>
      </c>
      <c r="M845">
        <f t="shared" ca="1" si="344"/>
        <v>269348.78795585083</v>
      </c>
      <c r="N845">
        <f t="shared" ca="1" si="345"/>
        <v>2.5998694991876676</v>
      </c>
      <c r="O845">
        <f t="shared" ca="1" si="346"/>
        <v>1.8934557080078435E-4</v>
      </c>
      <c r="P845">
        <f t="shared" ca="1" si="347"/>
        <v>52430.05833766362</v>
      </c>
      <c r="Q845">
        <f t="shared" ca="1" si="348"/>
        <v>52430.058337665447</v>
      </c>
      <c r="R845">
        <f t="shared" ca="1" si="349"/>
        <v>2.2564415439646509E-12</v>
      </c>
      <c r="S845">
        <f t="shared" ca="1" si="368"/>
        <v>4.999999946448952E-4</v>
      </c>
      <c r="T845">
        <f t="shared" ca="1" si="369"/>
        <v>1</v>
      </c>
      <c r="U845">
        <f t="shared" ca="1" si="350"/>
        <v>51800.26683766341</v>
      </c>
      <c r="V845">
        <f t="shared" ca="1" si="351"/>
        <v>269361.38755584974</v>
      </c>
      <c r="W845">
        <f t="shared" ca="1" si="352"/>
        <v>2.5998695052916441</v>
      </c>
      <c r="X845">
        <f t="shared" ca="1" si="353"/>
        <v>1.8933671400629237E-4</v>
      </c>
      <c r="Y845">
        <f t="shared" ca="1" si="354"/>
        <v>52432.481337663412</v>
      </c>
      <c r="Z845">
        <f t="shared" ca="1" si="355"/>
        <v>52432.481337665238</v>
      </c>
      <c r="AA845">
        <f t="shared" ca="1" si="356"/>
        <v>2.2562304480281055E-12</v>
      </c>
      <c r="AB845">
        <f t="shared" ca="1" si="357"/>
        <v>-5.0000000192085281E-4</v>
      </c>
      <c r="AC845">
        <f t="shared" ca="1" si="358"/>
        <v>1</v>
      </c>
      <c r="AD845">
        <f ca="1">IF(V32="Supercritical",L845,IF(V32="Subcritical",U845,IF(AND(T845=1,AC845=1),IF((((F845)*(L845)^2)/2+(G845)*(L845)^3/3+(ABS(K845)^2)/($I$5*MAX(((F845)+(G845)*(L845))*(L845),0.000001)))&gt;=(((F845)*(U845)^2)/2+(G845)*(U845)^3/3+(ABS(K845)^2)/($I$5*MAX(((F845)+(G845)*(U845))*(U845),0.000001))),L845,U845),IF(T845=1,L845,IF(AC845=1,U845,MAX($D$16,POWER((ABS(K845)^2)/($I$5*MAX(F845,0.1)^2),1/3)))))))</f>
        <v>51800.26683766341</v>
      </c>
      <c r="AE845">
        <f t="shared" ca="1" si="359"/>
        <v>52432.481337663412</v>
      </c>
      <c r="AF845">
        <f t="shared" ca="1" si="360"/>
        <v>52432.481337665238</v>
      </c>
      <c r="AI845">
        <v>0</v>
      </c>
      <c r="AJ845">
        <v>0</v>
      </c>
      <c r="AK845">
        <f t="shared" si="361"/>
        <v>0</v>
      </c>
      <c r="AL845">
        <f t="shared" si="370"/>
        <v>0</v>
      </c>
      <c r="AM845">
        <f t="shared" ca="1" si="362"/>
        <v>2.6560383008097266E-7</v>
      </c>
      <c r="AN845" t="str">
        <f t="shared" ca="1" si="363"/>
        <v>Subcritical</v>
      </c>
      <c r="AO845">
        <f t="shared" ca="1" si="364"/>
        <v>2.2562304480281055E-12</v>
      </c>
    </row>
    <row r="846" spans="1:41" x14ac:dyDescent="0.35">
      <c r="A846">
        <v>697</v>
      </c>
      <c r="B846">
        <v>695.89499999999998</v>
      </c>
      <c r="C846">
        <v>616111.42200000002</v>
      </c>
      <c r="D846">
        <v>3097304.176</v>
      </c>
      <c r="E846">
        <v>632.21400000000006</v>
      </c>
      <c r="F846">
        <v>5.2</v>
      </c>
      <c r="G846">
        <v>0</v>
      </c>
      <c r="H846" t="s">
        <v>186</v>
      </c>
      <c r="I846">
        <v>2.7E-2</v>
      </c>
      <c r="J846">
        <f t="shared" si="365"/>
        <v>1</v>
      </c>
      <c r="K846">
        <f t="shared" si="366"/>
        <v>51</v>
      </c>
      <c r="L846">
        <f t="shared" ca="1" si="367"/>
        <v>51797.843837663619</v>
      </c>
      <c r="M846">
        <f t="shared" ca="1" si="344"/>
        <v>269348.78795585083</v>
      </c>
      <c r="N846">
        <f t="shared" ca="1" si="345"/>
        <v>2.5998694991876676</v>
      </c>
      <c r="O846">
        <f t="shared" ca="1" si="346"/>
        <v>1.8934557080078435E-4</v>
      </c>
      <c r="P846">
        <f t="shared" ca="1" si="347"/>
        <v>52430.057837663619</v>
      </c>
      <c r="Q846">
        <f t="shared" ca="1" si="348"/>
        <v>52430.057837665445</v>
      </c>
      <c r="R846">
        <f t="shared" ca="1" si="349"/>
        <v>2.2564415439646509E-12</v>
      </c>
      <c r="S846">
        <f t="shared" ca="1" si="368"/>
        <v>5.0000000192085281E-4</v>
      </c>
      <c r="T846">
        <f t="shared" ca="1" si="369"/>
        <v>1</v>
      </c>
      <c r="U846">
        <f t="shared" ca="1" si="350"/>
        <v>51800.26683766341</v>
      </c>
      <c r="V846">
        <f t="shared" ca="1" si="351"/>
        <v>269361.38755584974</v>
      </c>
      <c r="W846">
        <f t="shared" ca="1" si="352"/>
        <v>2.5998695052916441</v>
      </c>
      <c r="X846">
        <f t="shared" ca="1" si="353"/>
        <v>1.8933671400629237E-4</v>
      </c>
      <c r="Y846">
        <f t="shared" ca="1" si="354"/>
        <v>52432.48083766341</v>
      </c>
      <c r="Z846">
        <f t="shared" ca="1" si="355"/>
        <v>52432.480837665236</v>
      </c>
      <c r="AA846">
        <f t="shared" ca="1" si="356"/>
        <v>2.2562304480281055E-12</v>
      </c>
      <c r="AB846">
        <f t="shared" ca="1" si="357"/>
        <v>-5.0000000192085281E-4</v>
      </c>
      <c r="AC846">
        <f t="shared" ca="1" si="358"/>
        <v>1</v>
      </c>
      <c r="AD846">
        <f ca="1">IF(V32="Supercritical",L846,IF(V32="Subcritical",U846,IF(AND(T846=1,AC846=1),IF((((F846)*(L846)^2)/2+(G846)*(L846)^3/3+(ABS(K846)^2)/($I$5*MAX(((F846)+(G846)*(L846))*(L846),0.000001)))&gt;=(((F846)*(U846)^2)/2+(G846)*(U846)^3/3+(ABS(K846)^2)/($I$5*MAX(((F846)+(G846)*(U846))*(U846),0.000001))),L846,U846),IF(T846=1,L846,IF(AC846=1,U846,MAX($D$16,POWER((ABS(K846)^2)/($I$5*MAX(F846,0.1)^2),1/3)))))))</f>
        <v>51800.26683766341</v>
      </c>
      <c r="AE846">
        <f t="shared" ca="1" si="359"/>
        <v>52432.48083766341</v>
      </c>
      <c r="AF846">
        <f t="shared" ca="1" si="360"/>
        <v>52432.480837665236</v>
      </c>
      <c r="AI846">
        <v>0</v>
      </c>
      <c r="AJ846">
        <v>0</v>
      </c>
      <c r="AK846">
        <f t="shared" si="361"/>
        <v>0</v>
      </c>
      <c r="AL846">
        <f t="shared" si="370"/>
        <v>0</v>
      </c>
      <c r="AM846">
        <f t="shared" ca="1" si="362"/>
        <v>2.6560383008097266E-7</v>
      </c>
      <c r="AN846" t="str">
        <f t="shared" ca="1" si="363"/>
        <v>Subcritical</v>
      </c>
      <c r="AO846">
        <f t="shared" ca="1" si="364"/>
        <v>2.2562304480281055E-12</v>
      </c>
    </row>
    <row r="847" spans="1:41" x14ac:dyDescent="0.35">
      <c r="A847">
        <v>698</v>
      </c>
      <c r="B847">
        <v>696.89499999999998</v>
      </c>
      <c r="C847">
        <v>616110.94799999997</v>
      </c>
      <c r="D847">
        <v>3097303.2949999999</v>
      </c>
      <c r="E847">
        <v>632.21349999999995</v>
      </c>
      <c r="F847">
        <v>5.2</v>
      </c>
      <c r="G847">
        <v>0</v>
      </c>
      <c r="H847" t="s">
        <v>186</v>
      </c>
      <c r="I847">
        <v>7.8E-2</v>
      </c>
      <c r="J847">
        <f t="shared" si="365"/>
        <v>1</v>
      </c>
      <c r="K847">
        <f t="shared" si="366"/>
        <v>51</v>
      </c>
      <c r="L847">
        <f t="shared" ca="1" si="367"/>
        <v>51797.843837663619</v>
      </c>
      <c r="M847">
        <f t="shared" ca="1" si="344"/>
        <v>269348.78795585083</v>
      </c>
      <c r="N847">
        <f t="shared" ca="1" si="345"/>
        <v>2.5998694991876676</v>
      </c>
      <c r="O847">
        <f t="shared" ca="1" si="346"/>
        <v>1.8934557080078435E-4</v>
      </c>
      <c r="P847">
        <f t="shared" ca="1" si="347"/>
        <v>52430.057337663617</v>
      </c>
      <c r="Q847">
        <f t="shared" ca="1" si="348"/>
        <v>52430.057337665443</v>
      </c>
      <c r="R847">
        <f t="shared" ca="1" si="349"/>
        <v>2.2564415439646509E-12</v>
      </c>
      <c r="S847">
        <f t="shared" ca="1" si="368"/>
        <v>5.0000000192085281E-4</v>
      </c>
      <c r="T847">
        <f t="shared" ca="1" si="369"/>
        <v>1</v>
      </c>
      <c r="U847">
        <f t="shared" ca="1" si="350"/>
        <v>51800.26683766341</v>
      </c>
      <c r="V847">
        <f t="shared" ca="1" si="351"/>
        <v>269361.38755584974</v>
      </c>
      <c r="W847">
        <f t="shared" ca="1" si="352"/>
        <v>2.5998695052916441</v>
      </c>
      <c r="X847">
        <f t="shared" ca="1" si="353"/>
        <v>1.8933671400629237E-4</v>
      </c>
      <c r="Y847">
        <f t="shared" ca="1" si="354"/>
        <v>52432.480337663408</v>
      </c>
      <c r="Z847">
        <f t="shared" ca="1" si="355"/>
        <v>52432.480337665234</v>
      </c>
      <c r="AA847">
        <f t="shared" ca="1" si="356"/>
        <v>2.2562304480281055E-12</v>
      </c>
      <c r="AB847">
        <f t="shared" ca="1" si="357"/>
        <v>-4.999999946448952E-4</v>
      </c>
      <c r="AC847">
        <f t="shared" ca="1" si="358"/>
        <v>1</v>
      </c>
      <c r="AD847">
        <f ca="1">IF(V32="Supercritical",L847,IF(V32="Subcritical",U847,IF(AND(T847=1,AC847=1),IF((((F847)*(L847)^2)/2+(G847)*(L847)^3/3+(ABS(K847)^2)/($I$5*MAX(((F847)+(G847)*(L847))*(L847),0.000001)))&gt;=(((F847)*(U847)^2)/2+(G847)*(U847)^3/3+(ABS(K847)^2)/($I$5*MAX(((F847)+(G847)*(U847))*(U847),0.000001))),L847,U847),IF(T847=1,L847,IF(AC847=1,U847,MAX($D$16,POWER((ABS(K847)^2)/($I$5*MAX(F847,0.1)^2),1/3)))))))</f>
        <v>51800.26683766341</v>
      </c>
      <c r="AE847">
        <f t="shared" ca="1" si="359"/>
        <v>52432.480337663408</v>
      </c>
      <c r="AF847">
        <f t="shared" ca="1" si="360"/>
        <v>52432.480337665234</v>
      </c>
      <c r="AI847">
        <v>0</v>
      </c>
      <c r="AJ847">
        <v>0</v>
      </c>
      <c r="AK847">
        <f t="shared" si="361"/>
        <v>0</v>
      </c>
      <c r="AL847">
        <f t="shared" si="370"/>
        <v>0</v>
      </c>
      <c r="AM847">
        <f t="shared" ca="1" si="362"/>
        <v>2.6560383008097266E-7</v>
      </c>
      <c r="AN847" t="str">
        <f t="shared" ca="1" si="363"/>
        <v>Subcritical</v>
      </c>
      <c r="AO847">
        <f t="shared" ca="1" si="364"/>
        <v>2.2562304480281055E-12</v>
      </c>
    </row>
    <row r="848" spans="1:41" x14ac:dyDescent="0.35">
      <c r="A848">
        <v>699</v>
      </c>
      <c r="B848">
        <v>697.89499999999998</v>
      </c>
      <c r="C848">
        <v>616110.473</v>
      </c>
      <c r="D848">
        <v>3097302.415</v>
      </c>
      <c r="E848">
        <v>632.21299999999997</v>
      </c>
      <c r="F848">
        <v>5.2</v>
      </c>
      <c r="G848">
        <v>0</v>
      </c>
      <c r="H848" t="s">
        <v>186</v>
      </c>
      <c r="I848">
        <v>0.05</v>
      </c>
      <c r="J848">
        <f t="shared" si="365"/>
        <v>1</v>
      </c>
      <c r="K848">
        <f t="shared" si="366"/>
        <v>51</v>
      </c>
      <c r="L848">
        <f t="shared" ca="1" si="367"/>
        <v>51797.843837663619</v>
      </c>
      <c r="M848">
        <f t="shared" ca="1" si="344"/>
        <v>269348.78795585083</v>
      </c>
      <c r="N848">
        <f t="shared" ca="1" si="345"/>
        <v>2.5998694991876676</v>
      </c>
      <c r="O848">
        <f t="shared" ca="1" si="346"/>
        <v>1.8934557080078435E-4</v>
      </c>
      <c r="P848">
        <f t="shared" ca="1" si="347"/>
        <v>52430.056837663622</v>
      </c>
      <c r="Q848">
        <f t="shared" ca="1" si="348"/>
        <v>52430.056837665448</v>
      </c>
      <c r="R848">
        <f t="shared" ca="1" si="349"/>
        <v>2.2564415439646509E-12</v>
      </c>
      <c r="S848">
        <f t="shared" ca="1" si="368"/>
        <v>4.999999946448952E-4</v>
      </c>
      <c r="T848">
        <f t="shared" ca="1" si="369"/>
        <v>1</v>
      </c>
      <c r="U848">
        <f t="shared" ca="1" si="350"/>
        <v>51800.26683766341</v>
      </c>
      <c r="V848">
        <f t="shared" ca="1" si="351"/>
        <v>269361.38755584974</v>
      </c>
      <c r="W848">
        <f t="shared" ca="1" si="352"/>
        <v>2.5998695052916441</v>
      </c>
      <c r="X848">
        <f t="shared" ca="1" si="353"/>
        <v>1.8933671400629237E-4</v>
      </c>
      <c r="Y848">
        <f t="shared" ca="1" si="354"/>
        <v>52432.479837663413</v>
      </c>
      <c r="Z848">
        <f t="shared" ca="1" si="355"/>
        <v>52432.47983766524</v>
      </c>
      <c r="AA848">
        <f t="shared" ca="1" si="356"/>
        <v>2.2562304480281055E-12</v>
      </c>
      <c r="AB848">
        <f t="shared" ca="1" si="357"/>
        <v>-5.0000000192085281E-4</v>
      </c>
      <c r="AC848">
        <f t="shared" ca="1" si="358"/>
        <v>1</v>
      </c>
      <c r="AD848">
        <f ca="1">IF(V32="Supercritical",L848,IF(V32="Subcritical",U848,IF(AND(T848=1,AC848=1),IF((((F848)*(L848)^2)/2+(G848)*(L848)^3/3+(ABS(K848)^2)/($I$5*MAX(((F848)+(G848)*(L848))*(L848),0.000001)))&gt;=(((F848)*(U848)^2)/2+(G848)*(U848)^3/3+(ABS(K848)^2)/($I$5*MAX(((F848)+(G848)*(U848))*(U848),0.000001))),L848,U848),IF(T848=1,L848,IF(AC848=1,U848,MAX($D$16,POWER((ABS(K848)^2)/($I$5*MAX(F848,0.1)^2),1/3)))))))</f>
        <v>51800.26683766341</v>
      </c>
      <c r="AE848">
        <f t="shared" ca="1" si="359"/>
        <v>52432.479837663413</v>
      </c>
      <c r="AF848">
        <f t="shared" ca="1" si="360"/>
        <v>52432.47983766524</v>
      </c>
      <c r="AI848">
        <v>0</v>
      </c>
      <c r="AJ848">
        <v>0</v>
      </c>
      <c r="AK848">
        <f t="shared" si="361"/>
        <v>0</v>
      </c>
      <c r="AL848">
        <f t="shared" si="370"/>
        <v>0</v>
      </c>
      <c r="AM848">
        <f t="shared" ca="1" si="362"/>
        <v>2.6560383008097266E-7</v>
      </c>
      <c r="AN848" t="str">
        <f t="shared" ca="1" si="363"/>
        <v>Subcritical</v>
      </c>
      <c r="AO848">
        <f t="shared" ca="1" si="364"/>
        <v>2.2562304480281055E-12</v>
      </c>
    </row>
    <row r="849" spans="1:41" x14ac:dyDescent="0.35">
      <c r="A849">
        <v>700</v>
      </c>
      <c r="B849">
        <v>698.89499999999998</v>
      </c>
      <c r="C849">
        <v>616109.99899999995</v>
      </c>
      <c r="D849">
        <v>3097301.5350000001</v>
      </c>
      <c r="E849">
        <v>632.21249999999998</v>
      </c>
      <c r="F849">
        <v>5.2</v>
      </c>
      <c r="G849">
        <v>0</v>
      </c>
      <c r="H849" t="s">
        <v>186</v>
      </c>
      <c r="I849">
        <v>2.7E-2</v>
      </c>
      <c r="J849">
        <f t="shared" si="365"/>
        <v>1</v>
      </c>
      <c r="K849">
        <f t="shared" si="366"/>
        <v>51</v>
      </c>
      <c r="L849">
        <f t="shared" ca="1" si="367"/>
        <v>51797.843837663619</v>
      </c>
      <c r="M849">
        <f t="shared" ca="1" si="344"/>
        <v>269348.78795585083</v>
      </c>
      <c r="N849">
        <f t="shared" ca="1" si="345"/>
        <v>2.5998694991876676</v>
      </c>
      <c r="O849">
        <f t="shared" ca="1" si="346"/>
        <v>1.8934557080078435E-4</v>
      </c>
      <c r="P849">
        <f t="shared" ca="1" si="347"/>
        <v>52430.05633766362</v>
      </c>
      <c r="Q849">
        <f t="shared" ca="1" si="348"/>
        <v>52430.056337665446</v>
      </c>
      <c r="R849">
        <f t="shared" ca="1" si="349"/>
        <v>2.2564415439646509E-12</v>
      </c>
      <c r="S849">
        <f t="shared" ca="1" si="368"/>
        <v>5.0000000192085281E-4</v>
      </c>
      <c r="T849">
        <f t="shared" ca="1" si="369"/>
        <v>1</v>
      </c>
      <c r="U849">
        <f t="shared" ca="1" si="350"/>
        <v>51800.26683766341</v>
      </c>
      <c r="V849">
        <f t="shared" ca="1" si="351"/>
        <v>269361.38755584974</v>
      </c>
      <c r="W849">
        <f t="shared" ca="1" si="352"/>
        <v>2.5998695052916441</v>
      </c>
      <c r="X849">
        <f t="shared" ca="1" si="353"/>
        <v>1.8933671400629237E-4</v>
      </c>
      <c r="Y849">
        <f t="shared" ca="1" si="354"/>
        <v>52432.479337663412</v>
      </c>
      <c r="Z849">
        <f t="shared" ca="1" si="355"/>
        <v>52432.479337665238</v>
      </c>
      <c r="AA849">
        <f t="shared" ca="1" si="356"/>
        <v>2.2562304480281055E-12</v>
      </c>
      <c r="AB849">
        <f t="shared" ca="1" si="357"/>
        <v>-5.0000000192085281E-4</v>
      </c>
      <c r="AC849">
        <f t="shared" ca="1" si="358"/>
        <v>1</v>
      </c>
      <c r="AD849">
        <f ca="1">IF(V32="Supercritical",L849,IF(V32="Subcritical",U849,IF(AND(T849=1,AC849=1),IF((((F849)*(L849)^2)/2+(G849)*(L849)^3/3+(ABS(K849)^2)/($I$5*MAX(((F849)+(G849)*(L849))*(L849),0.000001)))&gt;=(((F849)*(U849)^2)/2+(G849)*(U849)^3/3+(ABS(K849)^2)/($I$5*MAX(((F849)+(G849)*(U849))*(U849),0.000001))),L849,U849),IF(T849=1,L849,IF(AC849=1,U849,MAX($D$16,POWER((ABS(K849)^2)/($I$5*MAX(F849,0.1)^2),1/3)))))))</f>
        <v>51800.26683766341</v>
      </c>
      <c r="AE849">
        <f t="shared" ca="1" si="359"/>
        <v>52432.479337663412</v>
      </c>
      <c r="AF849">
        <f t="shared" ca="1" si="360"/>
        <v>52432.479337665238</v>
      </c>
      <c r="AI849">
        <v>0</v>
      </c>
      <c r="AJ849">
        <v>0</v>
      </c>
      <c r="AK849">
        <f t="shared" si="361"/>
        <v>0</v>
      </c>
      <c r="AL849">
        <f t="shared" si="370"/>
        <v>0</v>
      </c>
      <c r="AM849">
        <f t="shared" ca="1" si="362"/>
        <v>2.6560383008097266E-7</v>
      </c>
      <c r="AN849" t="str">
        <f t="shared" ca="1" si="363"/>
        <v>Subcritical</v>
      </c>
      <c r="AO849">
        <f t="shared" ca="1" si="364"/>
        <v>2.2562304480281055E-12</v>
      </c>
    </row>
    <row r="850" spans="1:41" x14ac:dyDescent="0.35">
      <c r="A850">
        <v>701</v>
      </c>
      <c r="B850">
        <v>699.89499999999998</v>
      </c>
      <c r="C850">
        <v>616109.52500000002</v>
      </c>
      <c r="D850">
        <v>3097300.6540000001</v>
      </c>
      <c r="E850">
        <v>632.21199999999999</v>
      </c>
      <c r="F850">
        <v>5.2</v>
      </c>
      <c r="G850">
        <v>0</v>
      </c>
      <c r="H850" t="s">
        <v>186</v>
      </c>
      <c r="I850">
        <v>2.7E-2</v>
      </c>
      <c r="J850">
        <f t="shared" si="365"/>
        <v>1</v>
      </c>
      <c r="K850">
        <f t="shared" si="366"/>
        <v>51</v>
      </c>
      <c r="L850">
        <f t="shared" ca="1" si="367"/>
        <v>51797.843837663619</v>
      </c>
      <c r="M850">
        <f t="shared" ca="1" si="344"/>
        <v>269348.78795585083</v>
      </c>
      <c r="N850">
        <f t="shared" ca="1" si="345"/>
        <v>2.5998694991876676</v>
      </c>
      <c r="O850">
        <f t="shared" ca="1" si="346"/>
        <v>1.8934557080078435E-4</v>
      </c>
      <c r="P850">
        <f t="shared" ca="1" si="347"/>
        <v>52430.055837663618</v>
      </c>
      <c r="Q850">
        <f t="shared" ca="1" si="348"/>
        <v>52430.055837665444</v>
      </c>
      <c r="R850">
        <f t="shared" ca="1" si="349"/>
        <v>2.2564415439646509E-12</v>
      </c>
      <c r="S850">
        <f t="shared" ca="1" si="368"/>
        <v>5.0000000192085281E-4</v>
      </c>
      <c r="T850">
        <f t="shared" ca="1" si="369"/>
        <v>1</v>
      </c>
      <c r="U850">
        <f t="shared" ca="1" si="350"/>
        <v>51800.26683766341</v>
      </c>
      <c r="V850">
        <f t="shared" ca="1" si="351"/>
        <v>269361.38755584974</v>
      </c>
      <c r="W850">
        <f t="shared" ca="1" si="352"/>
        <v>2.5998695052916441</v>
      </c>
      <c r="X850">
        <f t="shared" ca="1" si="353"/>
        <v>1.8933671400629237E-4</v>
      </c>
      <c r="Y850">
        <f t="shared" ca="1" si="354"/>
        <v>52432.47883766341</v>
      </c>
      <c r="Z850">
        <f t="shared" ca="1" si="355"/>
        <v>52432.478837665236</v>
      </c>
      <c r="AA850">
        <f t="shared" ca="1" si="356"/>
        <v>2.2562304480281055E-12</v>
      </c>
      <c r="AB850">
        <f t="shared" ca="1" si="357"/>
        <v>-5.0000000192085281E-4</v>
      </c>
      <c r="AC850">
        <f t="shared" ca="1" si="358"/>
        <v>1</v>
      </c>
      <c r="AD850">
        <f ca="1">IF(V32="Supercritical",L850,IF(V32="Subcritical",U850,IF(AND(T850=1,AC850=1),IF((((F850)*(L850)^2)/2+(G850)*(L850)^3/3+(ABS(K850)^2)/($I$5*MAX(((F850)+(G850)*(L850))*(L850),0.000001)))&gt;=(((F850)*(U850)^2)/2+(G850)*(U850)^3/3+(ABS(K850)^2)/($I$5*MAX(((F850)+(G850)*(U850))*(U850),0.000001))),L850,U850),IF(T850=1,L850,IF(AC850=1,U850,MAX($D$16,POWER((ABS(K850)^2)/($I$5*MAX(F850,0.1)^2),1/3)))))))</f>
        <v>51800.26683766341</v>
      </c>
      <c r="AE850">
        <f t="shared" ca="1" si="359"/>
        <v>52432.47883766341</v>
      </c>
      <c r="AF850">
        <f t="shared" ca="1" si="360"/>
        <v>52432.478837665236</v>
      </c>
      <c r="AI850">
        <v>0</v>
      </c>
      <c r="AJ850">
        <v>0</v>
      </c>
      <c r="AK850">
        <f t="shared" si="361"/>
        <v>0</v>
      </c>
      <c r="AL850">
        <f t="shared" si="370"/>
        <v>0</v>
      </c>
      <c r="AM850">
        <f t="shared" ca="1" si="362"/>
        <v>2.6560383008097266E-7</v>
      </c>
      <c r="AN850" t="str">
        <f t="shared" ca="1" si="363"/>
        <v>Subcritical</v>
      </c>
      <c r="AO850">
        <f t="shared" ca="1" si="364"/>
        <v>2.2562304480281055E-12</v>
      </c>
    </row>
    <row r="851" spans="1:41" x14ac:dyDescent="0.35">
      <c r="A851">
        <v>702</v>
      </c>
      <c r="B851">
        <v>700.89499999999998</v>
      </c>
      <c r="C851">
        <v>616109.05099999998</v>
      </c>
      <c r="D851">
        <v>3097299.7740000002</v>
      </c>
      <c r="E851">
        <v>632.2115</v>
      </c>
      <c r="F851">
        <v>5.2</v>
      </c>
      <c r="G851">
        <v>0</v>
      </c>
      <c r="H851" t="s">
        <v>186</v>
      </c>
      <c r="I851">
        <v>2.3E-2</v>
      </c>
      <c r="J851">
        <f t="shared" si="365"/>
        <v>1</v>
      </c>
      <c r="K851">
        <f t="shared" si="366"/>
        <v>51</v>
      </c>
      <c r="L851">
        <f t="shared" ca="1" si="367"/>
        <v>51797.843837663619</v>
      </c>
      <c r="M851">
        <f t="shared" ca="1" si="344"/>
        <v>269348.78795585083</v>
      </c>
      <c r="N851">
        <f t="shared" ca="1" si="345"/>
        <v>2.5998694991876676</v>
      </c>
      <c r="O851">
        <f t="shared" ca="1" si="346"/>
        <v>1.8934557080078435E-4</v>
      </c>
      <c r="P851">
        <f t="shared" ca="1" si="347"/>
        <v>52430.055337663616</v>
      </c>
      <c r="Q851">
        <f t="shared" ca="1" si="348"/>
        <v>52430.055337665442</v>
      </c>
      <c r="R851">
        <f t="shared" ca="1" si="349"/>
        <v>2.2564415439646509E-12</v>
      </c>
      <c r="S851">
        <f t="shared" ca="1" si="368"/>
        <v>5.0000000192085281E-4</v>
      </c>
      <c r="T851">
        <f t="shared" ca="1" si="369"/>
        <v>1</v>
      </c>
      <c r="U851">
        <f t="shared" ca="1" si="350"/>
        <v>51800.26683766341</v>
      </c>
      <c r="V851">
        <f t="shared" ca="1" si="351"/>
        <v>269361.38755584974</v>
      </c>
      <c r="W851">
        <f t="shared" ca="1" si="352"/>
        <v>2.5998695052916441</v>
      </c>
      <c r="X851">
        <f t="shared" ca="1" si="353"/>
        <v>1.8933671400629237E-4</v>
      </c>
      <c r="Y851">
        <f t="shared" ca="1" si="354"/>
        <v>52432.478337663408</v>
      </c>
      <c r="Z851">
        <f t="shared" ca="1" si="355"/>
        <v>52432.478337665234</v>
      </c>
      <c r="AA851">
        <f t="shared" ca="1" si="356"/>
        <v>2.2562304480281055E-12</v>
      </c>
      <c r="AB851">
        <f t="shared" ca="1" si="357"/>
        <v>-4.999999946448952E-4</v>
      </c>
      <c r="AC851">
        <f t="shared" ca="1" si="358"/>
        <v>1</v>
      </c>
      <c r="AD851">
        <f ca="1">IF(V32="Supercritical",L851,IF(V32="Subcritical",U851,IF(AND(T851=1,AC851=1),IF((((F851)*(L851)^2)/2+(G851)*(L851)^3/3+(ABS(K851)^2)/($I$5*MAX(((F851)+(G851)*(L851))*(L851),0.000001)))&gt;=(((F851)*(U851)^2)/2+(G851)*(U851)^3/3+(ABS(K851)^2)/($I$5*MAX(((F851)+(G851)*(U851))*(U851),0.000001))),L851,U851),IF(T851=1,L851,IF(AC851=1,U851,MAX($D$16,POWER((ABS(K851)^2)/($I$5*MAX(F851,0.1)^2),1/3)))))))</f>
        <v>51800.26683766341</v>
      </c>
      <c r="AE851">
        <f t="shared" ca="1" si="359"/>
        <v>52432.478337663408</v>
      </c>
      <c r="AF851">
        <f t="shared" ca="1" si="360"/>
        <v>52432.478337665234</v>
      </c>
      <c r="AI851">
        <v>0</v>
      </c>
      <c r="AJ851">
        <v>0</v>
      </c>
      <c r="AK851">
        <f t="shared" si="361"/>
        <v>0</v>
      </c>
      <c r="AL851">
        <f t="shared" si="370"/>
        <v>0</v>
      </c>
      <c r="AM851">
        <f t="shared" ca="1" si="362"/>
        <v>2.6560383008097266E-7</v>
      </c>
      <c r="AN851" t="str">
        <f t="shared" ca="1" si="363"/>
        <v>Subcritical</v>
      </c>
      <c r="AO851">
        <f t="shared" ca="1" si="364"/>
        <v>2.2562304480281055E-12</v>
      </c>
    </row>
    <row r="852" spans="1:41" x14ac:dyDescent="0.35">
      <c r="A852">
        <v>703</v>
      </c>
      <c r="B852">
        <v>701.89599999999996</v>
      </c>
      <c r="C852">
        <v>616108.576</v>
      </c>
      <c r="D852">
        <v>3097298.8930000002</v>
      </c>
      <c r="E852">
        <v>632.21100000000001</v>
      </c>
      <c r="F852">
        <v>5.2</v>
      </c>
      <c r="G852">
        <v>0</v>
      </c>
      <c r="H852" t="s">
        <v>186</v>
      </c>
      <c r="I852">
        <v>2.3E-2</v>
      </c>
      <c r="J852">
        <f t="shared" si="365"/>
        <v>1.0009999999999764</v>
      </c>
      <c r="K852">
        <f t="shared" si="366"/>
        <v>51</v>
      </c>
      <c r="L852">
        <f t="shared" ca="1" si="367"/>
        <v>51797.843837663619</v>
      </c>
      <c r="M852">
        <f t="shared" ca="1" si="344"/>
        <v>269348.78795585083</v>
      </c>
      <c r="N852">
        <f t="shared" ca="1" si="345"/>
        <v>2.5998694991876676</v>
      </c>
      <c r="O852">
        <f t="shared" ca="1" si="346"/>
        <v>1.8934557080078435E-4</v>
      </c>
      <c r="P852">
        <f t="shared" ca="1" si="347"/>
        <v>52430.054837663622</v>
      </c>
      <c r="Q852">
        <f t="shared" ca="1" si="348"/>
        <v>52430.054837665448</v>
      </c>
      <c r="R852">
        <f t="shared" ca="1" si="349"/>
        <v>2.2564415439646509E-12</v>
      </c>
      <c r="S852">
        <f t="shared" ca="1" si="368"/>
        <v>4.999999946448952E-4</v>
      </c>
      <c r="T852">
        <f t="shared" ca="1" si="369"/>
        <v>1</v>
      </c>
      <c r="U852">
        <f t="shared" ca="1" si="350"/>
        <v>51800.26683766341</v>
      </c>
      <c r="V852">
        <f t="shared" ca="1" si="351"/>
        <v>269361.38755584974</v>
      </c>
      <c r="W852">
        <f t="shared" ca="1" si="352"/>
        <v>2.5998695052916441</v>
      </c>
      <c r="X852">
        <f t="shared" ca="1" si="353"/>
        <v>1.8933671400629237E-4</v>
      </c>
      <c r="Y852">
        <f t="shared" ca="1" si="354"/>
        <v>52432.477837663413</v>
      </c>
      <c r="Z852">
        <f t="shared" ca="1" si="355"/>
        <v>52432.477837665239</v>
      </c>
      <c r="AA852">
        <f t="shared" ca="1" si="356"/>
        <v>2.2562304480281055E-12</v>
      </c>
      <c r="AB852">
        <f t="shared" ca="1" si="357"/>
        <v>-5.0000000192085281E-4</v>
      </c>
      <c r="AC852">
        <f t="shared" ca="1" si="358"/>
        <v>1</v>
      </c>
      <c r="AD852">
        <f ca="1">IF(V32="Supercritical",L852,IF(V32="Subcritical",U852,IF(AND(T852=1,AC852=1),IF((((F852)*(L852)^2)/2+(G852)*(L852)^3/3+(ABS(K852)^2)/($I$5*MAX(((F852)+(G852)*(L852))*(L852),0.000001)))&gt;=(((F852)*(U852)^2)/2+(G852)*(U852)^3/3+(ABS(K852)^2)/($I$5*MAX(((F852)+(G852)*(U852))*(U852),0.000001))),L852,U852),IF(T852=1,L852,IF(AC852=1,U852,MAX($D$16,POWER((ABS(K852)^2)/($I$5*MAX(F852,0.1)^2),1/3)))))))</f>
        <v>51800.26683766341</v>
      </c>
      <c r="AE852">
        <f t="shared" ca="1" si="359"/>
        <v>52432.477837663413</v>
      </c>
      <c r="AF852">
        <f t="shared" ca="1" si="360"/>
        <v>52432.477837665239</v>
      </c>
      <c r="AI852">
        <v>0</v>
      </c>
      <c r="AJ852">
        <v>0</v>
      </c>
      <c r="AK852">
        <f t="shared" si="361"/>
        <v>0</v>
      </c>
      <c r="AL852">
        <f t="shared" si="370"/>
        <v>0</v>
      </c>
      <c r="AM852">
        <f t="shared" ca="1" si="362"/>
        <v>2.6560383008097266E-7</v>
      </c>
      <c r="AN852" t="str">
        <f t="shared" ca="1" si="363"/>
        <v>Subcritical</v>
      </c>
      <c r="AO852">
        <f t="shared" ca="1" si="364"/>
        <v>2.2562304480281055E-12</v>
      </c>
    </row>
    <row r="853" spans="1:41" x14ac:dyDescent="0.35">
      <c r="A853">
        <v>704</v>
      </c>
      <c r="B853">
        <v>702.89499999999998</v>
      </c>
      <c r="C853">
        <v>616108.10199999996</v>
      </c>
      <c r="D853">
        <v>3097298.0129999998</v>
      </c>
      <c r="E853">
        <v>632.21050000000002</v>
      </c>
      <c r="F853">
        <v>5.2</v>
      </c>
      <c r="G853">
        <v>0</v>
      </c>
      <c r="H853" t="s">
        <v>186</v>
      </c>
      <c r="I853">
        <v>0</v>
      </c>
      <c r="J853">
        <f t="shared" si="365"/>
        <v>0.99900000000002365</v>
      </c>
      <c r="K853">
        <f t="shared" si="366"/>
        <v>51</v>
      </c>
      <c r="L853">
        <f t="shared" ca="1" si="367"/>
        <v>51797.843837663619</v>
      </c>
      <c r="M853">
        <f t="shared" ca="1" si="344"/>
        <v>269348.78795585083</v>
      </c>
      <c r="N853">
        <f t="shared" ca="1" si="345"/>
        <v>2.5998694991876676</v>
      </c>
      <c r="O853">
        <f t="shared" ca="1" si="346"/>
        <v>1.8934557080078435E-4</v>
      </c>
      <c r="P853">
        <f t="shared" ca="1" si="347"/>
        <v>52430.05433766362</v>
      </c>
      <c r="Q853">
        <f t="shared" ca="1" si="348"/>
        <v>52430.054337665446</v>
      </c>
      <c r="R853">
        <f t="shared" ca="1" si="349"/>
        <v>2.2564415439646509E-12</v>
      </c>
      <c r="S853">
        <f t="shared" ca="1" si="368"/>
        <v>5.0000000192085281E-4</v>
      </c>
      <c r="T853">
        <f t="shared" ca="1" si="369"/>
        <v>1</v>
      </c>
      <c r="U853">
        <f t="shared" ca="1" si="350"/>
        <v>51800.26683766341</v>
      </c>
      <c r="V853">
        <f t="shared" ca="1" si="351"/>
        <v>269361.38755584974</v>
      </c>
      <c r="W853">
        <f t="shared" ca="1" si="352"/>
        <v>2.5998695052916441</v>
      </c>
      <c r="X853">
        <f t="shared" ca="1" si="353"/>
        <v>1.8933671400629237E-4</v>
      </c>
      <c r="Y853">
        <f t="shared" ca="1" si="354"/>
        <v>52432.477337663411</v>
      </c>
      <c r="Z853">
        <f t="shared" ca="1" si="355"/>
        <v>52432.477337665237</v>
      </c>
      <c r="AA853">
        <f t="shared" ca="1" si="356"/>
        <v>2.2562304480281055E-12</v>
      </c>
      <c r="AB853">
        <f t="shared" ca="1" si="357"/>
        <v>-5.0000000192085281E-4</v>
      </c>
      <c r="AC853">
        <f t="shared" ca="1" si="358"/>
        <v>1</v>
      </c>
      <c r="AD853">
        <f ca="1">IF(V32="Supercritical",L853,IF(V32="Subcritical",U853,IF(AND(T853=1,AC853=1),IF((((F853)*(L853)^2)/2+(G853)*(L853)^3/3+(ABS(K853)^2)/($I$5*MAX(((F853)+(G853)*(L853))*(L853),0.000001)))&gt;=(((F853)*(U853)^2)/2+(G853)*(U853)^3/3+(ABS(K853)^2)/($I$5*MAX(((F853)+(G853)*(U853))*(U853),0.000001))),L853,U853),IF(T853=1,L853,IF(AC853=1,U853,MAX($D$16,POWER((ABS(K853)^2)/($I$5*MAX(F853,0.1)^2),1/3)))))))</f>
        <v>51800.26683766341</v>
      </c>
      <c r="AE853">
        <f t="shared" ca="1" si="359"/>
        <v>52432.477337663411</v>
      </c>
      <c r="AF853">
        <f t="shared" ca="1" si="360"/>
        <v>52432.477337665237</v>
      </c>
      <c r="AI853">
        <v>0</v>
      </c>
      <c r="AJ853">
        <v>0</v>
      </c>
      <c r="AK853">
        <f t="shared" si="361"/>
        <v>0</v>
      </c>
      <c r="AL853">
        <f t="shared" si="370"/>
        <v>0</v>
      </c>
      <c r="AM853">
        <f t="shared" ca="1" si="362"/>
        <v>2.6560383008097266E-7</v>
      </c>
      <c r="AN853" t="str">
        <f t="shared" ca="1" si="363"/>
        <v>Subcritical</v>
      </c>
      <c r="AO853">
        <f t="shared" ca="1" si="364"/>
        <v>2.2562304480281055E-12</v>
      </c>
    </row>
    <row r="854" spans="1:41" x14ac:dyDescent="0.35">
      <c r="A854">
        <v>705</v>
      </c>
      <c r="B854">
        <v>703.89499999999998</v>
      </c>
      <c r="C854">
        <v>616107.62800000003</v>
      </c>
      <c r="D854">
        <v>3097297.1329999999</v>
      </c>
      <c r="E854">
        <v>632.21</v>
      </c>
      <c r="F854">
        <v>5.2</v>
      </c>
      <c r="G854">
        <v>0</v>
      </c>
      <c r="H854" t="s">
        <v>186</v>
      </c>
      <c r="I854">
        <v>2.7E-2</v>
      </c>
      <c r="J854">
        <f t="shared" si="365"/>
        <v>1</v>
      </c>
      <c r="K854">
        <f t="shared" si="366"/>
        <v>51</v>
      </c>
      <c r="L854">
        <f t="shared" ca="1" si="367"/>
        <v>51797.843837663619</v>
      </c>
      <c r="M854">
        <f t="shared" ref="M854:M917" ca="1" si="371">((F854)+(G854)*(L854))*(L854)</f>
        <v>269348.78795585083</v>
      </c>
      <c r="N854">
        <f t="shared" ref="N854:N917" ca="1" si="372">(((F854)+(G854)*(L854))*(L854))/MAX((F854)+2*(L854)*SQRT(1+(G854)^2),0.000001)</f>
        <v>2.5998694991876676</v>
      </c>
      <c r="O854">
        <f t="shared" ref="O854:O917" ca="1" si="373">ABS(K854)/MAX(((F854)+(G854)*(L854))*(L854),0.000001)</f>
        <v>1.8934557080078435E-4</v>
      </c>
      <c r="P854">
        <f t="shared" ref="P854:P917" ca="1" si="374">E854+L854</f>
        <v>52430.053837663618</v>
      </c>
      <c r="Q854">
        <f t="shared" ref="Q854:Q917" ca="1" si="375">P854+((ABS(K854)/MAX(((F854)+(G854)*(L854))*(L854),0.000001))^2)/(2*$I$5)</f>
        <v>52430.053837665444</v>
      </c>
      <c r="R854">
        <f t="shared" ref="R854:R917" ca="1" si="376">((ABS(K854)*$D$6)/(MAX(((F854)+(G854)*(L854))*(L854),0.000001)*MAX(((((F854)+(G854)*(L854))*(L854))/MAX((F854)+2*(L854)*SQRT(1+(G854)^2),0.000001))^(2/3),0.000001)))^2</f>
        <v>2.2564415439646509E-12</v>
      </c>
      <c r="S854">
        <f t="shared" ca="1" si="368"/>
        <v>5.0000000192085281E-4</v>
      </c>
      <c r="T854">
        <f t="shared" ca="1" si="369"/>
        <v>1</v>
      </c>
      <c r="U854">
        <f t="shared" ref="U854:U917" ca="1" si="377">IF($D$20=0,U855,IF(AC855=0,U855,IF(U854=0,U855,IF(ABS(AB854)&gt;$D$19,MAX($D$16,U854+((AB854)*$D$18*IF((ABS(ABS(K854)/MAX(((F854)+(G854)*(U854))*(U854),0.000001))/SQRT($I$5*MAX((((F854)+(G854)*(U854))*(U854))/MAX((F854)+2*(G854)*(U854),0.000001),0.000001)))&lt;1,1,-1))),U854))))</f>
        <v>51800.26683766341</v>
      </c>
      <c r="V854">
        <f t="shared" ref="V854:V917" ca="1" si="378">((F854)+(G854)*(U854))*(U854)</f>
        <v>269361.38755584974</v>
      </c>
      <c r="W854">
        <f t="shared" ref="W854:W917" ca="1" si="379">(((F854)+(G854)*(U854))*(U854))/MAX((F854)+2*(U854)*SQRT(1+(G854)^2),0.000001)</f>
        <v>2.5998695052916441</v>
      </c>
      <c r="X854">
        <f t="shared" ref="X854:X917" ca="1" si="380">ABS(K854)/MAX(((F854)+(G854)*(U854))*(U854),0.000001)</f>
        <v>1.8933671400629237E-4</v>
      </c>
      <c r="Y854">
        <f t="shared" ref="Y854:Y917" ca="1" si="381">E854+U854</f>
        <v>52432.476837663409</v>
      </c>
      <c r="Z854">
        <f t="shared" ref="Z854:Z917" ca="1" si="382">Y854+((ABS(K854)/MAX(((F854)+(G854)*(U854))*(U854),0.000001))^2)/(2*$I$5)</f>
        <v>52432.476837665236</v>
      </c>
      <c r="AA854">
        <f t="shared" ref="AA854:AA917" ca="1" si="383">((ABS(K854)*$D$6)/(MAX(((F854)+(G854)*(U854))*(U854),0.000001)*MAX(((((F854)+(G854)*(U854))*(U854))/MAX((F854)+2*(U854)*SQRT(1+(G854)^2),0.000001))^(2/3),0.000001)))^2</f>
        <v>2.2562304480281055E-12</v>
      </c>
      <c r="AB854">
        <f t="shared" ref="AB854:AB917" ca="1" si="384">Z855+(((AA854+AA855)/2)*J855)+(IF(X854&gt;X855,$D$8*((X854^2-X855^2)/(2*$I$5)),$D$9*((X855^2-X854^2)/(2*$I$5)))+($D$10*(ABS(I855)/90)*(MAX(X854^2,X855^2)/(2*$I$5))))-Z854</f>
        <v>-5.0000000192085281E-4</v>
      </c>
      <c r="AC854">
        <f t="shared" ref="AC854:AC917" ca="1" si="385">IF(ABS(AB854)&lt;$D$19,1,0)</f>
        <v>1</v>
      </c>
      <c r="AD854">
        <f ca="1">IF(V32="Supercritical",L854,IF(V32="Subcritical",U854,IF(AND(T854=1,AC854=1),IF((((F854)*(L854)^2)/2+(G854)*(L854)^3/3+(ABS(K854)^2)/($I$5*MAX(((F854)+(G854)*(L854))*(L854),0.000001)))&gt;=(((F854)*(U854)^2)/2+(G854)*(U854)^3/3+(ABS(K854)^2)/($I$5*MAX(((F854)+(G854)*(U854))*(U854),0.000001))),L854,U854),IF(T854=1,L854,IF(AC854=1,U854,MAX($D$16,POWER((ABS(K854)^2)/($I$5*MAX(F854,0.1)^2),1/3)))))))</f>
        <v>51800.26683766341</v>
      </c>
      <c r="AE854">
        <f t="shared" ref="AE854:AE917" ca="1" si="386">E854+AD854</f>
        <v>52432.476837663409</v>
      </c>
      <c r="AF854">
        <f t="shared" ref="AF854:AF917" ca="1" si="387">AE854+((ABS(K854)/MAX(((F854)+(G854)*(AD854))*(AD854),0.000001))^2)/(2*$I$5)</f>
        <v>52432.476837665236</v>
      </c>
      <c r="AI854">
        <v>0</v>
      </c>
      <c r="AJ854">
        <v>0</v>
      </c>
      <c r="AK854">
        <f t="shared" ref="AK854:AK917" si="388">AI854+AJ854</f>
        <v>0</v>
      </c>
      <c r="AL854">
        <f t="shared" si="370"/>
        <v>0</v>
      </c>
      <c r="AM854">
        <f t="shared" ref="AM854:AM917" ca="1" si="389">ABS(ABS(K854)/MAX(((F854)+(G854)*(AD854))*(AD854),0.000001))/SQRT($I$5*MAX((((F854)+(G854)*(AD854))*(AD854))/MAX((F854)+2*(G854)*(AD854),0.000001),0.000001))</f>
        <v>2.6560383008097266E-7</v>
      </c>
      <c r="AN854" t="str">
        <f t="shared" ref="AN854:AN917" ca="1" si="390">IF(AM854&lt;1,"Subcritical","Supercritical")</f>
        <v>Subcritical</v>
      </c>
      <c r="AO854">
        <f t="shared" ref="AO854:AO917" ca="1" si="391">((ABS(K854)*$D$6)/(MAX(((F854)+(G854)*(AD854))*(AD854),0.000001)*MAX(((((F854)+(G854)*(AD854))*(AD854))/MAX((F854)+2*(AD854)*SQRT(1+(G854)^2),0.000001))^(2/3),0.000001)))^2</f>
        <v>2.2562304480281055E-12</v>
      </c>
    </row>
    <row r="855" spans="1:41" x14ac:dyDescent="0.35">
      <c r="A855">
        <v>706</v>
      </c>
      <c r="B855">
        <v>704.89499999999998</v>
      </c>
      <c r="C855">
        <v>616107.15399999998</v>
      </c>
      <c r="D855">
        <v>3097296.2519999999</v>
      </c>
      <c r="E855">
        <v>632.20950000000005</v>
      </c>
      <c r="F855">
        <v>5.2</v>
      </c>
      <c r="G855">
        <v>0</v>
      </c>
      <c r="H855" t="s">
        <v>186</v>
      </c>
      <c r="I855">
        <v>2.7E-2</v>
      </c>
      <c r="J855">
        <f t="shared" ref="J855:J918" si="392">B855-B854</f>
        <v>1</v>
      </c>
      <c r="K855">
        <f t="shared" ref="K855:K918" si="393">MAX(0,K854-AK854)</f>
        <v>51</v>
      </c>
      <c r="L855">
        <f t="shared" ref="L855:L918" ca="1" si="394">IF($D$20=0,L854,IF(T854=0,L854,IF(L855=0,L854,IF(ABS(S855)&gt;$D$19,MAX($D$16,L855+((S855)*$D$18*IF((ABS(ABS(K855)/MAX(((F855)+(G855)*(L855))*(L855),0.000001))/SQRT($I$5*MAX((((F855)+(G855)*(L855))*(L855))/MAX((F855)+2*(G855)*(L855),0.000001),0.000001)))&lt;1,1,-1))),L855))))</f>
        <v>51797.843837663619</v>
      </c>
      <c r="M855">
        <f t="shared" ca="1" si="371"/>
        <v>269348.78795585083</v>
      </c>
      <c r="N855">
        <f t="shared" ca="1" si="372"/>
        <v>2.5998694991876676</v>
      </c>
      <c r="O855">
        <f t="shared" ca="1" si="373"/>
        <v>1.8934557080078435E-4</v>
      </c>
      <c r="P855">
        <f t="shared" ca="1" si="374"/>
        <v>52430.053337663616</v>
      </c>
      <c r="Q855">
        <f t="shared" ca="1" si="375"/>
        <v>52430.053337665442</v>
      </c>
      <c r="R855">
        <f t="shared" ca="1" si="376"/>
        <v>2.2564415439646509E-12</v>
      </c>
      <c r="S855">
        <f t="shared" ref="S855:S918" ca="1" si="395">Q854-(((R854+R855)/2)*J855)-(IF(O854&gt;O855,$D$8*((O854^2-O855^2)/(2*$I$5)),$D$9*((O855^2-O854^2)/(2*$I$5)))+($D$10*(ABS(I855)/90)*(MAX(O854^2,O855^2)/(2*$I$5))))-Q855</f>
        <v>5.0000000192085281E-4</v>
      </c>
      <c r="T855">
        <f t="shared" ref="T855:T918" ca="1" si="396">IF(ABS(S855)&lt;$D$19,1,0)</f>
        <v>1</v>
      </c>
      <c r="U855">
        <f t="shared" ca="1" si="377"/>
        <v>51800.26683766341</v>
      </c>
      <c r="V855">
        <f t="shared" ca="1" si="378"/>
        <v>269361.38755584974</v>
      </c>
      <c r="W855">
        <f t="shared" ca="1" si="379"/>
        <v>2.5998695052916441</v>
      </c>
      <c r="X855">
        <f t="shared" ca="1" si="380"/>
        <v>1.8933671400629237E-4</v>
      </c>
      <c r="Y855">
        <f t="shared" ca="1" si="381"/>
        <v>52432.476337663407</v>
      </c>
      <c r="Z855">
        <f t="shared" ca="1" si="382"/>
        <v>52432.476337665234</v>
      </c>
      <c r="AA855">
        <f t="shared" ca="1" si="383"/>
        <v>2.2562304480281055E-12</v>
      </c>
      <c r="AB855">
        <f t="shared" ca="1" si="384"/>
        <v>-4.999999946448952E-4</v>
      </c>
      <c r="AC855">
        <f t="shared" ca="1" si="385"/>
        <v>1</v>
      </c>
      <c r="AD855">
        <f ca="1">IF(V32="Supercritical",L855,IF(V32="Subcritical",U855,IF(AND(T855=1,AC855=1),IF((((F855)*(L855)^2)/2+(G855)*(L855)^3/3+(ABS(K855)^2)/($I$5*MAX(((F855)+(G855)*(L855))*(L855),0.000001)))&gt;=(((F855)*(U855)^2)/2+(G855)*(U855)^3/3+(ABS(K855)^2)/($I$5*MAX(((F855)+(G855)*(U855))*(U855),0.000001))),L855,U855),IF(T855=1,L855,IF(AC855=1,U855,MAX($D$16,POWER((ABS(K855)^2)/($I$5*MAX(F855,0.1)^2),1/3)))))))</f>
        <v>51800.26683766341</v>
      </c>
      <c r="AE855">
        <f t="shared" ca="1" si="386"/>
        <v>52432.476337663407</v>
      </c>
      <c r="AF855">
        <f t="shared" ca="1" si="387"/>
        <v>52432.476337665234</v>
      </c>
      <c r="AI855">
        <v>0</v>
      </c>
      <c r="AJ855">
        <v>0</v>
      </c>
      <c r="AK855">
        <f t="shared" si="388"/>
        <v>0</v>
      </c>
      <c r="AL855">
        <f t="shared" ref="AL855:AL918" si="397">AL854+AK855</f>
        <v>0</v>
      </c>
      <c r="AM855">
        <f t="shared" ca="1" si="389"/>
        <v>2.6560383008097266E-7</v>
      </c>
      <c r="AN855" t="str">
        <f t="shared" ca="1" si="390"/>
        <v>Subcritical</v>
      </c>
      <c r="AO855">
        <f t="shared" ca="1" si="391"/>
        <v>2.2562304480281055E-12</v>
      </c>
    </row>
    <row r="856" spans="1:41" x14ac:dyDescent="0.35">
      <c r="A856">
        <v>707</v>
      </c>
      <c r="B856">
        <v>705.89499999999998</v>
      </c>
      <c r="C856">
        <v>616106.68000000005</v>
      </c>
      <c r="D856">
        <v>3097295.372</v>
      </c>
      <c r="E856">
        <v>632.20899999999995</v>
      </c>
      <c r="F856">
        <v>5.2</v>
      </c>
      <c r="G856">
        <v>0</v>
      </c>
      <c r="H856" t="s">
        <v>186</v>
      </c>
      <c r="I856">
        <v>2.3E-2</v>
      </c>
      <c r="J856">
        <f t="shared" si="392"/>
        <v>1</v>
      </c>
      <c r="K856">
        <f t="shared" si="393"/>
        <v>51</v>
      </c>
      <c r="L856">
        <f t="shared" ca="1" si="394"/>
        <v>51797.843837663619</v>
      </c>
      <c r="M856">
        <f t="shared" ca="1" si="371"/>
        <v>269348.78795585083</v>
      </c>
      <c r="N856">
        <f t="shared" ca="1" si="372"/>
        <v>2.5998694991876676</v>
      </c>
      <c r="O856">
        <f t="shared" ca="1" si="373"/>
        <v>1.8934557080078435E-4</v>
      </c>
      <c r="P856">
        <f t="shared" ca="1" si="374"/>
        <v>52430.052837663621</v>
      </c>
      <c r="Q856">
        <f t="shared" ca="1" si="375"/>
        <v>52430.052837665447</v>
      </c>
      <c r="R856">
        <f t="shared" ca="1" si="376"/>
        <v>2.2564415439646509E-12</v>
      </c>
      <c r="S856">
        <f t="shared" ca="1" si="395"/>
        <v>4.999999946448952E-4</v>
      </c>
      <c r="T856">
        <f t="shared" ca="1" si="396"/>
        <v>1</v>
      </c>
      <c r="U856">
        <f t="shared" ca="1" si="377"/>
        <v>51800.26683766341</v>
      </c>
      <c r="V856">
        <f t="shared" ca="1" si="378"/>
        <v>269361.38755584974</v>
      </c>
      <c r="W856">
        <f t="shared" ca="1" si="379"/>
        <v>2.5998695052916441</v>
      </c>
      <c r="X856">
        <f t="shared" ca="1" si="380"/>
        <v>1.8933671400629237E-4</v>
      </c>
      <c r="Y856">
        <f t="shared" ca="1" si="381"/>
        <v>52432.475837663413</v>
      </c>
      <c r="Z856">
        <f t="shared" ca="1" si="382"/>
        <v>52432.475837665239</v>
      </c>
      <c r="AA856">
        <f t="shared" ca="1" si="383"/>
        <v>2.2562304480281055E-12</v>
      </c>
      <c r="AB856">
        <f t="shared" ca="1" si="384"/>
        <v>-5.0000000192085281E-4</v>
      </c>
      <c r="AC856">
        <f t="shared" ca="1" si="385"/>
        <v>1</v>
      </c>
      <c r="AD856">
        <f ca="1">IF(V32="Supercritical",L856,IF(V32="Subcritical",U856,IF(AND(T856=1,AC856=1),IF((((F856)*(L856)^2)/2+(G856)*(L856)^3/3+(ABS(K856)^2)/($I$5*MAX(((F856)+(G856)*(L856))*(L856),0.000001)))&gt;=(((F856)*(U856)^2)/2+(G856)*(U856)^3/3+(ABS(K856)^2)/($I$5*MAX(((F856)+(G856)*(U856))*(U856),0.000001))),L856,U856),IF(T856=1,L856,IF(AC856=1,U856,MAX($D$16,POWER((ABS(K856)^2)/($I$5*MAX(F856,0.1)^2),1/3)))))))</f>
        <v>51800.26683766341</v>
      </c>
      <c r="AE856">
        <f t="shared" ca="1" si="386"/>
        <v>52432.475837663413</v>
      </c>
      <c r="AF856">
        <f t="shared" ca="1" si="387"/>
        <v>52432.475837665239</v>
      </c>
      <c r="AI856">
        <v>0</v>
      </c>
      <c r="AJ856">
        <v>0</v>
      </c>
      <c r="AK856">
        <f t="shared" si="388"/>
        <v>0</v>
      </c>
      <c r="AL856">
        <f t="shared" si="397"/>
        <v>0</v>
      </c>
      <c r="AM856">
        <f t="shared" ca="1" si="389"/>
        <v>2.6560383008097266E-7</v>
      </c>
      <c r="AN856" t="str">
        <f t="shared" ca="1" si="390"/>
        <v>Subcritical</v>
      </c>
      <c r="AO856">
        <f t="shared" ca="1" si="391"/>
        <v>2.2562304480281055E-12</v>
      </c>
    </row>
    <row r="857" spans="1:41" x14ac:dyDescent="0.35">
      <c r="A857">
        <v>708</v>
      </c>
      <c r="B857">
        <v>706.89599999999996</v>
      </c>
      <c r="C857">
        <v>616106.20499999996</v>
      </c>
      <c r="D857">
        <v>3097294.4909999999</v>
      </c>
      <c r="E857">
        <v>632.20849999999996</v>
      </c>
      <c r="F857">
        <v>5.2</v>
      </c>
      <c r="G857">
        <v>0</v>
      </c>
      <c r="H857" t="s">
        <v>186</v>
      </c>
      <c r="I857">
        <v>2.3E-2</v>
      </c>
      <c r="J857">
        <f t="shared" si="392"/>
        <v>1.0009999999999764</v>
      </c>
      <c r="K857">
        <f t="shared" si="393"/>
        <v>51</v>
      </c>
      <c r="L857">
        <f t="shared" ca="1" si="394"/>
        <v>51797.843837663619</v>
      </c>
      <c r="M857">
        <f t="shared" ca="1" si="371"/>
        <v>269348.78795585083</v>
      </c>
      <c r="N857">
        <f t="shared" ca="1" si="372"/>
        <v>2.5998694991876676</v>
      </c>
      <c r="O857">
        <f t="shared" ca="1" si="373"/>
        <v>1.8934557080078435E-4</v>
      </c>
      <c r="P857">
        <f t="shared" ca="1" si="374"/>
        <v>52430.052337663619</v>
      </c>
      <c r="Q857">
        <f t="shared" ca="1" si="375"/>
        <v>52430.052337665446</v>
      </c>
      <c r="R857">
        <f t="shared" ca="1" si="376"/>
        <v>2.2564415439646509E-12</v>
      </c>
      <c r="S857">
        <f t="shared" ca="1" si="395"/>
        <v>5.0000000192085281E-4</v>
      </c>
      <c r="T857">
        <f t="shared" ca="1" si="396"/>
        <v>1</v>
      </c>
      <c r="U857">
        <f t="shared" ca="1" si="377"/>
        <v>51800.26683766341</v>
      </c>
      <c r="V857">
        <f t="shared" ca="1" si="378"/>
        <v>269361.38755584974</v>
      </c>
      <c r="W857">
        <f t="shared" ca="1" si="379"/>
        <v>2.5998695052916441</v>
      </c>
      <c r="X857">
        <f t="shared" ca="1" si="380"/>
        <v>1.8933671400629237E-4</v>
      </c>
      <c r="Y857">
        <f t="shared" ca="1" si="381"/>
        <v>52432.475337663411</v>
      </c>
      <c r="Z857">
        <f t="shared" ca="1" si="382"/>
        <v>52432.475337665237</v>
      </c>
      <c r="AA857">
        <f t="shared" ca="1" si="383"/>
        <v>2.2562304480281055E-12</v>
      </c>
      <c r="AB857">
        <f t="shared" ca="1" si="384"/>
        <v>-5.0000000192085281E-4</v>
      </c>
      <c r="AC857">
        <f t="shared" ca="1" si="385"/>
        <v>1</v>
      </c>
      <c r="AD857">
        <f ca="1">IF(V32="Supercritical",L857,IF(V32="Subcritical",U857,IF(AND(T857=1,AC857=1),IF((((F857)*(L857)^2)/2+(G857)*(L857)^3/3+(ABS(K857)^2)/($I$5*MAX(((F857)+(G857)*(L857))*(L857),0.000001)))&gt;=(((F857)*(U857)^2)/2+(G857)*(U857)^3/3+(ABS(K857)^2)/($I$5*MAX(((F857)+(G857)*(U857))*(U857),0.000001))),L857,U857),IF(T857=1,L857,IF(AC857=1,U857,MAX($D$16,POWER((ABS(K857)^2)/($I$5*MAX(F857,0.1)^2),1/3)))))))</f>
        <v>51800.26683766341</v>
      </c>
      <c r="AE857">
        <f t="shared" ca="1" si="386"/>
        <v>52432.475337663411</v>
      </c>
      <c r="AF857">
        <f t="shared" ca="1" si="387"/>
        <v>52432.475337665237</v>
      </c>
      <c r="AI857">
        <v>0</v>
      </c>
      <c r="AJ857">
        <v>0</v>
      </c>
      <c r="AK857">
        <f t="shared" si="388"/>
        <v>0</v>
      </c>
      <c r="AL857">
        <f t="shared" si="397"/>
        <v>0</v>
      </c>
      <c r="AM857">
        <f t="shared" ca="1" si="389"/>
        <v>2.6560383008097266E-7</v>
      </c>
      <c r="AN857" t="str">
        <f t="shared" ca="1" si="390"/>
        <v>Subcritical</v>
      </c>
      <c r="AO857">
        <f t="shared" ca="1" si="391"/>
        <v>2.2562304480281055E-12</v>
      </c>
    </row>
    <row r="858" spans="1:41" x14ac:dyDescent="0.35">
      <c r="A858">
        <v>709</v>
      </c>
      <c r="B858">
        <v>707.89499999999998</v>
      </c>
      <c r="C858">
        <v>616105.73100000003</v>
      </c>
      <c r="D858">
        <v>3097293.611</v>
      </c>
      <c r="E858">
        <v>632.20799999999997</v>
      </c>
      <c r="F858">
        <v>5.2</v>
      </c>
      <c r="G858">
        <v>0</v>
      </c>
      <c r="H858" t="s">
        <v>186</v>
      </c>
      <c r="I858">
        <v>0</v>
      </c>
      <c r="J858">
        <f t="shared" si="392"/>
        <v>0.99900000000002365</v>
      </c>
      <c r="K858">
        <f t="shared" si="393"/>
        <v>51</v>
      </c>
      <c r="L858">
        <f t="shared" ca="1" si="394"/>
        <v>51797.843837663619</v>
      </c>
      <c r="M858">
        <f t="shared" ca="1" si="371"/>
        <v>269348.78795585083</v>
      </c>
      <c r="N858">
        <f t="shared" ca="1" si="372"/>
        <v>2.5998694991876676</v>
      </c>
      <c r="O858">
        <f t="shared" ca="1" si="373"/>
        <v>1.8934557080078435E-4</v>
      </c>
      <c r="P858">
        <f t="shared" ca="1" si="374"/>
        <v>52430.051837663617</v>
      </c>
      <c r="Q858">
        <f t="shared" ca="1" si="375"/>
        <v>52430.051837665444</v>
      </c>
      <c r="R858">
        <f t="shared" ca="1" si="376"/>
        <v>2.2564415439646509E-12</v>
      </c>
      <c r="S858">
        <f t="shared" ca="1" si="395"/>
        <v>5.0000000192085281E-4</v>
      </c>
      <c r="T858">
        <f t="shared" ca="1" si="396"/>
        <v>1</v>
      </c>
      <c r="U858">
        <f t="shared" ca="1" si="377"/>
        <v>51800.26683766341</v>
      </c>
      <c r="V858">
        <f t="shared" ca="1" si="378"/>
        <v>269361.38755584974</v>
      </c>
      <c r="W858">
        <f t="shared" ca="1" si="379"/>
        <v>2.5998695052916441</v>
      </c>
      <c r="X858">
        <f t="shared" ca="1" si="380"/>
        <v>1.8933671400629237E-4</v>
      </c>
      <c r="Y858">
        <f t="shared" ca="1" si="381"/>
        <v>52432.474837663409</v>
      </c>
      <c r="Z858">
        <f t="shared" ca="1" si="382"/>
        <v>52432.474837665235</v>
      </c>
      <c r="AA858">
        <f t="shared" ca="1" si="383"/>
        <v>2.2562304480281055E-12</v>
      </c>
      <c r="AB858">
        <f t="shared" ca="1" si="384"/>
        <v>-5.0000000192085281E-4</v>
      </c>
      <c r="AC858">
        <f t="shared" ca="1" si="385"/>
        <v>1</v>
      </c>
      <c r="AD858">
        <f ca="1">IF(V32="Supercritical",L858,IF(V32="Subcritical",U858,IF(AND(T858=1,AC858=1),IF((((F858)*(L858)^2)/2+(G858)*(L858)^3/3+(ABS(K858)^2)/($I$5*MAX(((F858)+(G858)*(L858))*(L858),0.000001)))&gt;=(((F858)*(U858)^2)/2+(G858)*(U858)^3/3+(ABS(K858)^2)/($I$5*MAX(((F858)+(G858)*(U858))*(U858),0.000001))),L858,U858),IF(T858=1,L858,IF(AC858=1,U858,MAX($D$16,POWER((ABS(K858)^2)/($I$5*MAX(F858,0.1)^2),1/3)))))))</f>
        <v>51800.26683766341</v>
      </c>
      <c r="AE858">
        <f t="shared" ca="1" si="386"/>
        <v>52432.474837663409</v>
      </c>
      <c r="AF858">
        <f t="shared" ca="1" si="387"/>
        <v>52432.474837665235</v>
      </c>
      <c r="AI858">
        <v>0</v>
      </c>
      <c r="AJ858">
        <v>0</v>
      </c>
      <c r="AK858">
        <f t="shared" si="388"/>
        <v>0</v>
      </c>
      <c r="AL858">
        <f t="shared" si="397"/>
        <v>0</v>
      </c>
      <c r="AM858">
        <f t="shared" ca="1" si="389"/>
        <v>2.6560383008097266E-7</v>
      </c>
      <c r="AN858" t="str">
        <f t="shared" ca="1" si="390"/>
        <v>Subcritical</v>
      </c>
      <c r="AO858">
        <f t="shared" ca="1" si="391"/>
        <v>2.2562304480281055E-12</v>
      </c>
    </row>
    <row r="859" spans="1:41" x14ac:dyDescent="0.35">
      <c r="A859">
        <v>710</v>
      </c>
      <c r="B859">
        <v>708.89499999999998</v>
      </c>
      <c r="C859">
        <v>616105.25699999998</v>
      </c>
      <c r="D859">
        <v>3097292.7310000001</v>
      </c>
      <c r="E859">
        <v>632.20749999999998</v>
      </c>
      <c r="F859">
        <v>5.2</v>
      </c>
      <c r="G859">
        <v>0</v>
      </c>
      <c r="H859" t="s">
        <v>186</v>
      </c>
      <c r="I859">
        <v>2.7E-2</v>
      </c>
      <c r="J859">
        <f t="shared" si="392"/>
        <v>1</v>
      </c>
      <c r="K859">
        <f t="shared" si="393"/>
        <v>51</v>
      </c>
      <c r="L859">
        <f t="shared" ca="1" si="394"/>
        <v>51797.843837663619</v>
      </c>
      <c r="M859">
        <f t="shared" ca="1" si="371"/>
        <v>269348.78795585083</v>
      </c>
      <c r="N859">
        <f t="shared" ca="1" si="372"/>
        <v>2.5998694991876676</v>
      </c>
      <c r="O859">
        <f t="shared" ca="1" si="373"/>
        <v>1.8934557080078435E-4</v>
      </c>
      <c r="P859">
        <f t="shared" ca="1" si="374"/>
        <v>52430.051337663615</v>
      </c>
      <c r="Q859">
        <f t="shared" ca="1" si="375"/>
        <v>52430.051337665442</v>
      </c>
      <c r="R859">
        <f t="shared" ca="1" si="376"/>
        <v>2.2564415439646509E-12</v>
      </c>
      <c r="S859">
        <f t="shared" ca="1" si="395"/>
        <v>5.0000000192085281E-4</v>
      </c>
      <c r="T859">
        <f t="shared" ca="1" si="396"/>
        <v>1</v>
      </c>
      <c r="U859">
        <f t="shared" ca="1" si="377"/>
        <v>51800.26683766341</v>
      </c>
      <c r="V859">
        <f t="shared" ca="1" si="378"/>
        <v>269361.38755584974</v>
      </c>
      <c r="W859">
        <f t="shared" ca="1" si="379"/>
        <v>2.5998695052916441</v>
      </c>
      <c r="X859">
        <f t="shared" ca="1" si="380"/>
        <v>1.8933671400629237E-4</v>
      </c>
      <c r="Y859">
        <f t="shared" ca="1" si="381"/>
        <v>52432.474337663407</v>
      </c>
      <c r="Z859">
        <f t="shared" ca="1" si="382"/>
        <v>52432.474337665233</v>
      </c>
      <c r="AA859">
        <f t="shared" ca="1" si="383"/>
        <v>2.2562304480281055E-12</v>
      </c>
      <c r="AB859">
        <f t="shared" ca="1" si="384"/>
        <v>-4.999999946448952E-4</v>
      </c>
      <c r="AC859">
        <f t="shared" ca="1" si="385"/>
        <v>1</v>
      </c>
      <c r="AD859">
        <f ca="1">IF(V32="Supercritical",L859,IF(V32="Subcritical",U859,IF(AND(T859=1,AC859=1),IF((((F859)*(L859)^2)/2+(G859)*(L859)^3/3+(ABS(K859)^2)/($I$5*MAX(((F859)+(G859)*(L859))*(L859),0.000001)))&gt;=(((F859)*(U859)^2)/2+(G859)*(U859)^3/3+(ABS(K859)^2)/($I$5*MAX(((F859)+(G859)*(U859))*(U859),0.000001))),L859,U859),IF(T859=1,L859,IF(AC859=1,U859,MAX($D$16,POWER((ABS(K859)^2)/($I$5*MAX(F859,0.1)^2),1/3)))))))</f>
        <v>51800.26683766341</v>
      </c>
      <c r="AE859">
        <f t="shared" ca="1" si="386"/>
        <v>52432.474337663407</v>
      </c>
      <c r="AF859">
        <f t="shared" ca="1" si="387"/>
        <v>52432.474337665233</v>
      </c>
      <c r="AI859">
        <v>0</v>
      </c>
      <c r="AJ859">
        <v>0</v>
      </c>
      <c r="AK859">
        <f t="shared" si="388"/>
        <v>0</v>
      </c>
      <c r="AL859">
        <f t="shared" si="397"/>
        <v>0</v>
      </c>
      <c r="AM859">
        <f t="shared" ca="1" si="389"/>
        <v>2.6560383008097266E-7</v>
      </c>
      <c r="AN859" t="str">
        <f t="shared" ca="1" si="390"/>
        <v>Subcritical</v>
      </c>
      <c r="AO859">
        <f t="shared" ca="1" si="391"/>
        <v>2.2562304480281055E-12</v>
      </c>
    </row>
    <row r="860" spans="1:41" x14ac:dyDescent="0.35">
      <c r="A860">
        <v>711</v>
      </c>
      <c r="B860">
        <v>709.89499999999998</v>
      </c>
      <c r="C860">
        <v>616104.78300000005</v>
      </c>
      <c r="D860">
        <v>3097291.85</v>
      </c>
      <c r="E860">
        <v>632.20699999999999</v>
      </c>
      <c r="F860">
        <v>5.2</v>
      </c>
      <c r="G860">
        <v>0</v>
      </c>
      <c r="H860" t="s">
        <v>186</v>
      </c>
      <c r="I860">
        <v>7.8E-2</v>
      </c>
      <c r="J860">
        <f t="shared" si="392"/>
        <v>1</v>
      </c>
      <c r="K860">
        <f t="shared" si="393"/>
        <v>51</v>
      </c>
      <c r="L860">
        <f t="shared" ca="1" si="394"/>
        <v>51797.843837663619</v>
      </c>
      <c r="M860">
        <f t="shared" ca="1" si="371"/>
        <v>269348.78795585083</v>
      </c>
      <c r="N860">
        <f t="shared" ca="1" si="372"/>
        <v>2.5998694991876676</v>
      </c>
      <c r="O860">
        <f t="shared" ca="1" si="373"/>
        <v>1.8934557080078435E-4</v>
      </c>
      <c r="P860">
        <f t="shared" ca="1" si="374"/>
        <v>52430.050837663621</v>
      </c>
      <c r="Q860">
        <f t="shared" ca="1" si="375"/>
        <v>52430.050837665447</v>
      </c>
      <c r="R860">
        <f t="shared" ca="1" si="376"/>
        <v>2.2564415439646509E-12</v>
      </c>
      <c r="S860">
        <f t="shared" ca="1" si="395"/>
        <v>4.999999946448952E-4</v>
      </c>
      <c r="T860">
        <f t="shared" ca="1" si="396"/>
        <v>1</v>
      </c>
      <c r="U860">
        <f t="shared" ca="1" si="377"/>
        <v>51800.26683766341</v>
      </c>
      <c r="V860">
        <f t="shared" ca="1" si="378"/>
        <v>269361.38755584974</v>
      </c>
      <c r="W860">
        <f t="shared" ca="1" si="379"/>
        <v>2.5998695052916441</v>
      </c>
      <c r="X860">
        <f t="shared" ca="1" si="380"/>
        <v>1.8933671400629237E-4</v>
      </c>
      <c r="Y860">
        <f t="shared" ca="1" si="381"/>
        <v>52432.473837663412</v>
      </c>
      <c r="Z860">
        <f t="shared" ca="1" si="382"/>
        <v>52432.473837665239</v>
      </c>
      <c r="AA860">
        <f t="shared" ca="1" si="383"/>
        <v>2.2562304480281055E-12</v>
      </c>
      <c r="AB860">
        <f t="shared" ca="1" si="384"/>
        <v>-5.0000000192085281E-4</v>
      </c>
      <c r="AC860">
        <f t="shared" ca="1" si="385"/>
        <v>1</v>
      </c>
      <c r="AD860">
        <f ca="1">IF(V32="Supercritical",L860,IF(V32="Subcritical",U860,IF(AND(T860=1,AC860=1),IF((((F860)*(L860)^2)/2+(G860)*(L860)^3/3+(ABS(K860)^2)/($I$5*MAX(((F860)+(G860)*(L860))*(L860),0.000001)))&gt;=(((F860)*(U860)^2)/2+(G860)*(U860)^3/3+(ABS(K860)^2)/($I$5*MAX(((F860)+(G860)*(U860))*(U860),0.000001))),L860,U860),IF(T860=1,L860,IF(AC860=1,U860,MAX($D$16,POWER((ABS(K860)^2)/($I$5*MAX(F860,0.1)^2),1/3)))))))</f>
        <v>51800.26683766341</v>
      </c>
      <c r="AE860">
        <f t="shared" ca="1" si="386"/>
        <v>52432.473837663412</v>
      </c>
      <c r="AF860">
        <f t="shared" ca="1" si="387"/>
        <v>52432.473837665239</v>
      </c>
      <c r="AI860">
        <v>0</v>
      </c>
      <c r="AJ860">
        <v>0</v>
      </c>
      <c r="AK860">
        <f t="shared" si="388"/>
        <v>0</v>
      </c>
      <c r="AL860">
        <f t="shared" si="397"/>
        <v>0</v>
      </c>
      <c r="AM860">
        <f t="shared" ca="1" si="389"/>
        <v>2.6560383008097266E-7</v>
      </c>
      <c r="AN860" t="str">
        <f t="shared" ca="1" si="390"/>
        <v>Subcritical</v>
      </c>
      <c r="AO860">
        <f t="shared" ca="1" si="391"/>
        <v>2.2562304480281055E-12</v>
      </c>
    </row>
    <row r="861" spans="1:41" x14ac:dyDescent="0.35">
      <c r="A861">
        <v>712</v>
      </c>
      <c r="B861">
        <v>710.89499999999998</v>
      </c>
      <c r="C861">
        <v>616104.30799999996</v>
      </c>
      <c r="D861">
        <v>3097290.97</v>
      </c>
      <c r="E861">
        <v>632.20650000000001</v>
      </c>
      <c r="F861">
        <v>5.2</v>
      </c>
      <c r="G861">
        <v>0</v>
      </c>
      <c r="H861" t="s">
        <v>186</v>
      </c>
      <c r="I861">
        <v>7.8E-2</v>
      </c>
      <c r="J861">
        <f t="shared" si="392"/>
        <v>1</v>
      </c>
      <c r="K861">
        <f t="shared" si="393"/>
        <v>51</v>
      </c>
      <c r="L861">
        <f t="shared" ca="1" si="394"/>
        <v>51797.843837663619</v>
      </c>
      <c r="M861">
        <f t="shared" ca="1" si="371"/>
        <v>269348.78795585083</v>
      </c>
      <c r="N861">
        <f t="shared" ca="1" si="372"/>
        <v>2.5998694991876676</v>
      </c>
      <c r="O861">
        <f t="shared" ca="1" si="373"/>
        <v>1.8934557080078435E-4</v>
      </c>
      <c r="P861">
        <f t="shared" ca="1" si="374"/>
        <v>52430.050337663619</v>
      </c>
      <c r="Q861">
        <f t="shared" ca="1" si="375"/>
        <v>52430.050337665445</v>
      </c>
      <c r="R861">
        <f t="shared" ca="1" si="376"/>
        <v>2.2564415439646509E-12</v>
      </c>
      <c r="S861">
        <f t="shared" ca="1" si="395"/>
        <v>5.0000000192085281E-4</v>
      </c>
      <c r="T861">
        <f t="shared" ca="1" si="396"/>
        <v>1</v>
      </c>
      <c r="U861">
        <f t="shared" ca="1" si="377"/>
        <v>51800.26683766341</v>
      </c>
      <c r="V861">
        <f t="shared" ca="1" si="378"/>
        <v>269361.38755584974</v>
      </c>
      <c r="W861">
        <f t="shared" ca="1" si="379"/>
        <v>2.5998695052916441</v>
      </c>
      <c r="X861">
        <f t="shared" ca="1" si="380"/>
        <v>1.8933671400629237E-4</v>
      </c>
      <c r="Y861">
        <f t="shared" ca="1" si="381"/>
        <v>52432.47333766341</v>
      </c>
      <c r="Z861">
        <f t="shared" ca="1" si="382"/>
        <v>52432.473337665237</v>
      </c>
      <c r="AA861">
        <f t="shared" ca="1" si="383"/>
        <v>2.2562304480281055E-12</v>
      </c>
      <c r="AB861">
        <f t="shared" ca="1" si="384"/>
        <v>-5.0000000192085281E-4</v>
      </c>
      <c r="AC861">
        <f t="shared" ca="1" si="385"/>
        <v>1</v>
      </c>
      <c r="AD861">
        <f ca="1">IF(V32="Supercritical",L861,IF(V32="Subcritical",U861,IF(AND(T861=1,AC861=1),IF((((F861)*(L861)^2)/2+(G861)*(L861)^3/3+(ABS(K861)^2)/($I$5*MAX(((F861)+(G861)*(L861))*(L861),0.000001)))&gt;=(((F861)*(U861)^2)/2+(G861)*(U861)^3/3+(ABS(K861)^2)/($I$5*MAX(((F861)+(G861)*(U861))*(U861),0.000001))),L861,U861),IF(T861=1,L861,IF(AC861=1,U861,MAX($D$16,POWER((ABS(K861)^2)/($I$5*MAX(F861,0.1)^2),1/3)))))))</f>
        <v>51800.26683766341</v>
      </c>
      <c r="AE861">
        <f t="shared" ca="1" si="386"/>
        <v>52432.47333766341</v>
      </c>
      <c r="AF861">
        <f t="shared" ca="1" si="387"/>
        <v>52432.473337665237</v>
      </c>
      <c r="AI861">
        <v>0</v>
      </c>
      <c r="AJ861">
        <v>0</v>
      </c>
      <c r="AK861">
        <f t="shared" si="388"/>
        <v>0</v>
      </c>
      <c r="AL861">
        <f t="shared" si="397"/>
        <v>0</v>
      </c>
      <c r="AM861">
        <f t="shared" ca="1" si="389"/>
        <v>2.6560383008097266E-7</v>
      </c>
      <c r="AN861" t="str">
        <f t="shared" ca="1" si="390"/>
        <v>Subcritical</v>
      </c>
      <c r="AO861">
        <f t="shared" ca="1" si="391"/>
        <v>2.2562304480281055E-12</v>
      </c>
    </row>
    <row r="862" spans="1:41" x14ac:dyDescent="0.35">
      <c r="A862">
        <v>713</v>
      </c>
      <c r="B862">
        <v>711.89599999999996</v>
      </c>
      <c r="C862">
        <v>616103.83400000003</v>
      </c>
      <c r="D862">
        <v>3097290.0890000002</v>
      </c>
      <c r="E862">
        <v>632.20600000000002</v>
      </c>
      <c r="F862">
        <v>5.2</v>
      </c>
      <c r="G862">
        <v>0</v>
      </c>
      <c r="H862" t="s">
        <v>186</v>
      </c>
      <c r="I862">
        <v>2.7E-2</v>
      </c>
      <c r="J862">
        <f t="shared" si="392"/>
        <v>1.0009999999999764</v>
      </c>
      <c r="K862">
        <f t="shared" si="393"/>
        <v>51</v>
      </c>
      <c r="L862">
        <f t="shared" ca="1" si="394"/>
        <v>51797.843837663619</v>
      </c>
      <c r="M862">
        <f t="shared" ca="1" si="371"/>
        <v>269348.78795585083</v>
      </c>
      <c r="N862">
        <f t="shared" ca="1" si="372"/>
        <v>2.5998694991876676</v>
      </c>
      <c r="O862">
        <f t="shared" ca="1" si="373"/>
        <v>1.8934557080078435E-4</v>
      </c>
      <c r="P862">
        <f t="shared" ca="1" si="374"/>
        <v>52430.049837663617</v>
      </c>
      <c r="Q862">
        <f t="shared" ca="1" si="375"/>
        <v>52430.049837665443</v>
      </c>
      <c r="R862">
        <f t="shared" ca="1" si="376"/>
        <v>2.2564415439646509E-12</v>
      </c>
      <c r="S862">
        <f t="shared" ca="1" si="395"/>
        <v>5.0000000192085281E-4</v>
      </c>
      <c r="T862">
        <f t="shared" ca="1" si="396"/>
        <v>1</v>
      </c>
      <c r="U862">
        <f t="shared" ca="1" si="377"/>
        <v>51800.26683766341</v>
      </c>
      <c r="V862">
        <f t="shared" ca="1" si="378"/>
        <v>269361.38755584974</v>
      </c>
      <c r="W862">
        <f t="shared" ca="1" si="379"/>
        <v>2.5998695052916441</v>
      </c>
      <c r="X862">
        <f t="shared" ca="1" si="380"/>
        <v>1.8933671400629237E-4</v>
      </c>
      <c r="Y862">
        <f t="shared" ca="1" si="381"/>
        <v>52432.472837663408</v>
      </c>
      <c r="Z862">
        <f t="shared" ca="1" si="382"/>
        <v>52432.472837665235</v>
      </c>
      <c r="AA862">
        <f t="shared" ca="1" si="383"/>
        <v>2.2562304480281055E-12</v>
      </c>
      <c r="AB862">
        <f t="shared" ca="1" si="384"/>
        <v>-4.9999997281702235E-4</v>
      </c>
      <c r="AC862">
        <f t="shared" ca="1" si="385"/>
        <v>1</v>
      </c>
      <c r="AD862">
        <f ca="1">IF(V32="Supercritical",L862,IF(V32="Subcritical",U862,IF(AND(T862=1,AC862=1),IF((((F862)*(L862)^2)/2+(G862)*(L862)^3/3+(ABS(K862)^2)/($I$5*MAX(((F862)+(G862)*(L862))*(L862),0.000001)))&gt;=(((F862)*(U862)^2)/2+(G862)*(U862)^3/3+(ABS(K862)^2)/($I$5*MAX(((F862)+(G862)*(U862))*(U862),0.000001))),L862,U862),IF(T862=1,L862,IF(AC862=1,U862,MAX($D$16,POWER((ABS(K862)^2)/($I$5*MAX(F862,0.1)^2),1/3)))))))</f>
        <v>51800.26683766341</v>
      </c>
      <c r="AE862">
        <f t="shared" ca="1" si="386"/>
        <v>52432.472837663408</v>
      </c>
      <c r="AF862">
        <f t="shared" ca="1" si="387"/>
        <v>52432.472837665235</v>
      </c>
      <c r="AI862">
        <v>0</v>
      </c>
      <c r="AJ862">
        <v>0</v>
      </c>
      <c r="AK862">
        <f t="shared" si="388"/>
        <v>0</v>
      </c>
      <c r="AL862">
        <f t="shared" si="397"/>
        <v>0</v>
      </c>
      <c r="AM862">
        <f t="shared" ca="1" si="389"/>
        <v>2.6560383008097266E-7</v>
      </c>
      <c r="AN862" t="str">
        <f t="shared" ca="1" si="390"/>
        <v>Subcritical</v>
      </c>
      <c r="AO862">
        <f t="shared" ca="1" si="391"/>
        <v>2.2562304480281055E-12</v>
      </c>
    </row>
    <row r="863" spans="1:41" x14ac:dyDescent="0.35">
      <c r="A863">
        <v>714</v>
      </c>
      <c r="B863">
        <v>712.89499999999998</v>
      </c>
      <c r="C863">
        <v>616103.36</v>
      </c>
      <c r="D863">
        <v>3097289.2089999998</v>
      </c>
      <c r="E863">
        <v>632.20550000000003</v>
      </c>
      <c r="F863">
        <v>5.2</v>
      </c>
      <c r="G863">
        <v>0</v>
      </c>
      <c r="H863" t="s">
        <v>186</v>
      </c>
      <c r="I863">
        <v>10.347</v>
      </c>
      <c r="J863">
        <f t="shared" si="392"/>
        <v>0.99900000000002365</v>
      </c>
      <c r="K863">
        <f t="shared" si="393"/>
        <v>51</v>
      </c>
      <c r="L863">
        <f t="shared" ca="1" si="394"/>
        <v>51797.843837663619</v>
      </c>
      <c r="M863">
        <f t="shared" ca="1" si="371"/>
        <v>269348.78795585083</v>
      </c>
      <c r="N863">
        <f t="shared" ca="1" si="372"/>
        <v>2.5998694991876676</v>
      </c>
      <c r="O863">
        <f t="shared" ca="1" si="373"/>
        <v>1.8934557080078435E-4</v>
      </c>
      <c r="P863">
        <f t="shared" ca="1" si="374"/>
        <v>52430.049337663615</v>
      </c>
      <c r="Q863">
        <f t="shared" ca="1" si="375"/>
        <v>52430.049337665441</v>
      </c>
      <c r="R863">
        <f t="shared" ca="1" si="376"/>
        <v>2.2564415439646509E-12</v>
      </c>
      <c r="S863">
        <f t="shared" ca="1" si="395"/>
        <v>4.9999997281702235E-4</v>
      </c>
      <c r="T863">
        <f t="shared" ca="1" si="396"/>
        <v>1</v>
      </c>
      <c r="U863">
        <f t="shared" ca="1" si="377"/>
        <v>51800.26683766341</v>
      </c>
      <c r="V863">
        <f t="shared" ca="1" si="378"/>
        <v>269361.38755584974</v>
      </c>
      <c r="W863">
        <f t="shared" ca="1" si="379"/>
        <v>2.5998695052916441</v>
      </c>
      <c r="X863">
        <f t="shared" ca="1" si="380"/>
        <v>1.8933671400629237E-4</v>
      </c>
      <c r="Y863">
        <f t="shared" ca="1" si="381"/>
        <v>52432.472337663407</v>
      </c>
      <c r="Z863">
        <f t="shared" ca="1" si="382"/>
        <v>52432.472337665233</v>
      </c>
      <c r="AA863">
        <f t="shared" ca="1" si="383"/>
        <v>2.2562304480281055E-12</v>
      </c>
      <c r="AB863">
        <f t="shared" ca="1" si="384"/>
        <v>-4.9999988550553098E-4</v>
      </c>
      <c r="AC863">
        <f t="shared" ca="1" si="385"/>
        <v>1</v>
      </c>
      <c r="AD863">
        <f ca="1">IF(V32="Supercritical",L863,IF(V32="Subcritical",U863,IF(AND(T863=1,AC863=1),IF((((F863)*(L863)^2)/2+(G863)*(L863)^3/3+(ABS(K863)^2)/($I$5*MAX(((F863)+(G863)*(L863))*(L863),0.000001)))&gt;=(((F863)*(U863)^2)/2+(G863)*(U863)^3/3+(ABS(K863)^2)/($I$5*MAX(((F863)+(G863)*(U863))*(U863),0.000001))),L863,U863),IF(T863=1,L863,IF(AC863=1,U863,MAX($D$16,POWER((ABS(K863)^2)/($I$5*MAX(F863,0.1)^2),1/3)))))))</f>
        <v>51800.26683766341</v>
      </c>
      <c r="AE863">
        <f t="shared" ca="1" si="386"/>
        <v>52432.472337663407</v>
      </c>
      <c r="AF863">
        <f t="shared" ca="1" si="387"/>
        <v>52432.472337665233</v>
      </c>
      <c r="AI863">
        <v>0</v>
      </c>
      <c r="AJ863">
        <v>0</v>
      </c>
      <c r="AK863">
        <f t="shared" si="388"/>
        <v>0</v>
      </c>
      <c r="AL863">
        <f t="shared" si="397"/>
        <v>0</v>
      </c>
      <c r="AM863">
        <f t="shared" ca="1" si="389"/>
        <v>2.6560383008097266E-7</v>
      </c>
      <c r="AN863" t="str">
        <f t="shared" ca="1" si="390"/>
        <v>Subcritical</v>
      </c>
      <c r="AO863">
        <f t="shared" ca="1" si="391"/>
        <v>2.2562304480281055E-12</v>
      </c>
    </row>
    <row r="864" spans="1:41" x14ac:dyDescent="0.35">
      <c r="A864">
        <v>715</v>
      </c>
      <c r="B864">
        <v>713.89099999999996</v>
      </c>
      <c r="C864">
        <v>616103.05299999996</v>
      </c>
      <c r="D864">
        <v>3097288.2620000001</v>
      </c>
      <c r="E864">
        <v>632.20500000000004</v>
      </c>
      <c r="F864">
        <v>5.0670000000000002</v>
      </c>
      <c r="G864">
        <v>0</v>
      </c>
      <c r="H864" t="s">
        <v>186</v>
      </c>
      <c r="I864">
        <v>2.6059999999999999</v>
      </c>
      <c r="J864">
        <f t="shared" si="392"/>
        <v>0.9959999999999809</v>
      </c>
      <c r="K864">
        <f t="shared" si="393"/>
        <v>51</v>
      </c>
      <c r="L864">
        <f t="shared" ca="1" si="394"/>
        <v>51797.843837663619</v>
      </c>
      <c r="M864">
        <f t="shared" ca="1" si="371"/>
        <v>262459.67472544155</v>
      </c>
      <c r="N864">
        <f t="shared" ca="1" si="372"/>
        <v>2.5333760892761812</v>
      </c>
      <c r="O864">
        <f t="shared" ca="1" si="373"/>
        <v>1.9431556506099834E-4</v>
      </c>
      <c r="P864">
        <f t="shared" ca="1" si="374"/>
        <v>52430.04883766362</v>
      </c>
      <c r="Q864">
        <f t="shared" ca="1" si="375"/>
        <v>52430.048837665541</v>
      </c>
      <c r="R864">
        <f t="shared" ca="1" si="376"/>
        <v>2.4599794254593593E-12</v>
      </c>
      <c r="S864">
        <f t="shared" ca="1" si="395"/>
        <v>4.9999988550553098E-4</v>
      </c>
      <c r="T864">
        <f t="shared" ca="1" si="396"/>
        <v>1</v>
      </c>
      <c r="U864">
        <f t="shared" ca="1" si="377"/>
        <v>51800.26683766341</v>
      </c>
      <c r="V864">
        <f t="shared" ca="1" si="378"/>
        <v>262471.95206644048</v>
      </c>
      <c r="W864">
        <f t="shared" ca="1" si="379"/>
        <v>2.5333760950719233</v>
      </c>
      <c r="X864">
        <f t="shared" ca="1" si="380"/>
        <v>1.943064757909454E-4</v>
      </c>
      <c r="Y864">
        <f t="shared" ca="1" si="381"/>
        <v>52432.471837663412</v>
      </c>
      <c r="Z864">
        <f t="shared" ca="1" si="382"/>
        <v>52432.471837665333</v>
      </c>
      <c r="AA864">
        <f t="shared" ca="1" si="383"/>
        <v>2.459749288225039E-12</v>
      </c>
      <c r="AB864">
        <f t="shared" ca="1" si="384"/>
        <v>-5.0000000192085281E-4</v>
      </c>
      <c r="AC864">
        <f t="shared" ca="1" si="385"/>
        <v>1</v>
      </c>
      <c r="AD864">
        <f ca="1">IF(V32="Supercritical",L864,IF(V32="Subcritical",U864,IF(AND(T864=1,AC864=1),IF((((F864)*(L864)^2)/2+(G864)*(L864)^3/3+(ABS(K864)^2)/($I$5*MAX(((F864)+(G864)*(L864))*(L864),0.000001)))&gt;=(((F864)*(U864)^2)/2+(G864)*(U864)^3/3+(ABS(K864)^2)/($I$5*MAX(((F864)+(G864)*(U864))*(U864),0.000001))),L864,U864),IF(T864=1,L864,IF(AC864=1,U864,MAX($D$16,POWER((ABS(K864)^2)/($I$5*MAX(F864,0.1)^2),1/3)))))))</f>
        <v>51800.26683766341</v>
      </c>
      <c r="AE864">
        <f t="shared" ca="1" si="386"/>
        <v>52432.471837663412</v>
      </c>
      <c r="AF864">
        <f t="shared" ca="1" si="387"/>
        <v>52432.471837665333</v>
      </c>
      <c r="AI864">
        <v>0</v>
      </c>
      <c r="AJ864">
        <v>0</v>
      </c>
      <c r="AK864">
        <f t="shared" si="388"/>
        <v>0</v>
      </c>
      <c r="AL864">
        <f t="shared" si="397"/>
        <v>0</v>
      </c>
      <c r="AM864">
        <f t="shared" ca="1" si="389"/>
        <v>2.7257547195994827E-7</v>
      </c>
      <c r="AN864" t="str">
        <f t="shared" ca="1" si="390"/>
        <v>Subcritical</v>
      </c>
      <c r="AO864">
        <f t="shared" ca="1" si="391"/>
        <v>2.459749288225039E-12</v>
      </c>
    </row>
    <row r="865" spans="1:41" x14ac:dyDescent="0.35">
      <c r="A865">
        <v>716</v>
      </c>
      <c r="B865">
        <v>714.89099999999996</v>
      </c>
      <c r="C865">
        <v>616102.78799999994</v>
      </c>
      <c r="D865">
        <v>3097287.2969999998</v>
      </c>
      <c r="E865">
        <v>632.20450000000005</v>
      </c>
      <c r="F865">
        <v>5.0670000000000002</v>
      </c>
      <c r="G865">
        <v>0</v>
      </c>
      <c r="H865" t="s">
        <v>186</v>
      </c>
      <c r="I865">
        <v>1.4999999999999999E-2</v>
      </c>
      <c r="J865">
        <f t="shared" si="392"/>
        <v>1</v>
      </c>
      <c r="K865">
        <f t="shared" si="393"/>
        <v>51</v>
      </c>
      <c r="L865">
        <f t="shared" ca="1" si="394"/>
        <v>51797.843837663619</v>
      </c>
      <c r="M865">
        <f t="shared" ca="1" si="371"/>
        <v>262459.67472544155</v>
      </c>
      <c r="N865">
        <f t="shared" ca="1" si="372"/>
        <v>2.5333760892761812</v>
      </c>
      <c r="O865">
        <f t="shared" ca="1" si="373"/>
        <v>1.9431556506099834E-4</v>
      </c>
      <c r="P865">
        <f t="shared" ca="1" si="374"/>
        <v>52430.048337663618</v>
      </c>
      <c r="Q865">
        <f t="shared" ca="1" si="375"/>
        <v>52430.048337665547</v>
      </c>
      <c r="R865">
        <f t="shared" ca="1" si="376"/>
        <v>2.4599794254593593E-12</v>
      </c>
      <c r="S865">
        <f t="shared" ca="1" si="395"/>
        <v>4.999999946448952E-4</v>
      </c>
      <c r="T865">
        <f t="shared" ca="1" si="396"/>
        <v>1</v>
      </c>
      <c r="U865">
        <f t="shared" ca="1" si="377"/>
        <v>51800.26683766341</v>
      </c>
      <c r="V865">
        <f t="shared" ca="1" si="378"/>
        <v>262471.95206644048</v>
      </c>
      <c r="W865">
        <f t="shared" ca="1" si="379"/>
        <v>2.5333760950719233</v>
      </c>
      <c r="X865">
        <f t="shared" ca="1" si="380"/>
        <v>1.943064757909454E-4</v>
      </c>
      <c r="Y865">
        <f t="shared" ca="1" si="381"/>
        <v>52432.47133766341</v>
      </c>
      <c r="Z865">
        <f t="shared" ca="1" si="382"/>
        <v>52432.471337665331</v>
      </c>
      <c r="AA865">
        <f t="shared" ca="1" si="383"/>
        <v>2.459749288225039E-12</v>
      </c>
      <c r="AB865">
        <f t="shared" ca="1" si="384"/>
        <v>-5.0000000192085281E-4</v>
      </c>
      <c r="AC865">
        <f t="shared" ca="1" si="385"/>
        <v>1</v>
      </c>
      <c r="AD865">
        <f ca="1">IF(V32="Supercritical",L865,IF(V32="Subcritical",U865,IF(AND(T865=1,AC865=1),IF((((F865)*(L865)^2)/2+(G865)*(L865)^3/3+(ABS(K865)^2)/($I$5*MAX(((F865)+(G865)*(L865))*(L865),0.000001)))&gt;=(((F865)*(U865)^2)/2+(G865)*(U865)^3/3+(ABS(K865)^2)/($I$5*MAX(((F865)+(G865)*(U865))*(U865),0.000001))),L865,U865),IF(T865=1,L865,IF(AC865=1,U865,MAX($D$16,POWER((ABS(K865)^2)/($I$5*MAX(F865,0.1)^2),1/3)))))))</f>
        <v>51800.26683766341</v>
      </c>
      <c r="AE865">
        <f t="shared" ca="1" si="386"/>
        <v>52432.47133766341</v>
      </c>
      <c r="AF865">
        <f t="shared" ca="1" si="387"/>
        <v>52432.471337665331</v>
      </c>
      <c r="AI865">
        <v>0</v>
      </c>
      <c r="AJ865">
        <v>0</v>
      </c>
      <c r="AK865">
        <f t="shared" si="388"/>
        <v>0</v>
      </c>
      <c r="AL865">
        <f t="shared" si="397"/>
        <v>0</v>
      </c>
      <c r="AM865">
        <f t="shared" ca="1" si="389"/>
        <v>2.7257547195994827E-7</v>
      </c>
      <c r="AN865" t="str">
        <f t="shared" ca="1" si="390"/>
        <v>Subcritical</v>
      </c>
      <c r="AO865">
        <f t="shared" ca="1" si="391"/>
        <v>2.459749288225039E-12</v>
      </c>
    </row>
    <row r="866" spans="1:41" x14ac:dyDescent="0.35">
      <c r="A866">
        <v>717</v>
      </c>
      <c r="B866">
        <v>715.89099999999996</v>
      </c>
      <c r="C866">
        <v>616102.52300000004</v>
      </c>
      <c r="D866">
        <v>3097286.3330000001</v>
      </c>
      <c r="E866">
        <v>632.20399999999995</v>
      </c>
      <c r="F866">
        <v>5.0670000000000002</v>
      </c>
      <c r="G866">
        <v>0</v>
      </c>
      <c r="H866" t="s">
        <v>186</v>
      </c>
      <c r="I866">
        <v>5.5E-2</v>
      </c>
      <c r="J866">
        <f t="shared" si="392"/>
        <v>1</v>
      </c>
      <c r="K866">
        <f t="shared" si="393"/>
        <v>51</v>
      </c>
      <c r="L866">
        <f t="shared" ca="1" si="394"/>
        <v>51797.843837663619</v>
      </c>
      <c r="M866">
        <f t="shared" ca="1" si="371"/>
        <v>262459.67472544155</v>
      </c>
      <c r="N866">
        <f t="shared" ca="1" si="372"/>
        <v>2.5333760892761812</v>
      </c>
      <c r="O866">
        <f t="shared" ca="1" si="373"/>
        <v>1.9431556506099834E-4</v>
      </c>
      <c r="P866">
        <f t="shared" ca="1" si="374"/>
        <v>52430.047837663617</v>
      </c>
      <c r="Q866">
        <f t="shared" ca="1" si="375"/>
        <v>52430.047837665537</v>
      </c>
      <c r="R866">
        <f t="shared" ca="1" si="376"/>
        <v>2.4599794254593593E-12</v>
      </c>
      <c r="S866">
        <f t="shared" ca="1" si="395"/>
        <v>5.0000000919681042E-4</v>
      </c>
      <c r="T866">
        <f t="shared" ca="1" si="396"/>
        <v>1</v>
      </c>
      <c r="U866">
        <f t="shared" ca="1" si="377"/>
        <v>51800.26683766341</v>
      </c>
      <c r="V866">
        <f t="shared" ca="1" si="378"/>
        <v>262471.95206644048</v>
      </c>
      <c r="W866">
        <f t="shared" ca="1" si="379"/>
        <v>2.5333760950719233</v>
      </c>
      <c r="X866">
        <f t="shared" ca="1" si="380"/>
        <v>1.943064757909454E-4</v>
      </c>
      <c r="Y866">
        <f t="shared" ca="1" si="381"/>
        <v>52432.470837663408</v>
      </c>
      <c r="Z866">
        <f t="shared" ca="1" si="382"/>
        <v>52432.470837665329</v>
      </c>
      <c r="AA866">
        <f t="shared" ca="1" si="383"/>
        <v>2.459749288225039E-12</v>
      </c>
      <c r="AB866">
        <f t="shared" ca="1" si="384"/>
        <v>-4.999999946448952E-4</v>
      </c>
      <c r="AC866">
        <f t="shared" ca="1" si="385"/>
        <v>1</v>
      </c>
      <c r="AD866">
        <f ca="1">IF(V32="Supercritical",L866,IF(V32="Subcritical",U866,IF(AND(T866=1,AC866=1),IF((((F866)*(L866)^2)/2+(G866)*(L866)^3/3+(ABS(K866)^2)/($I$5*MAX(((F866)+(G866)*(L866))*(L866),0.000001)))&gt;=(((F866)*(U866)^2)/2+(G866)*(U866)^3/3+(ABS(K866)^2)/($I$5*MAX(((F866)+(G866)*(U866))*(U866),0.000001))),L866,U866),IF(T866=1,L866,IF(AC866=1,U866,MAX($D$16,POWER((ABS(K866)^2)/($I$5*MAX(F866,0.1)^2),1/3)))))))</f>
        <v>51800.26683766341</v>
      </c>
      <c r="AE866">
        <f t="shared" ca="1" si="386"/>
        <v>52432.470837663408</v>
      </c>
      <c r="AF866">
        <f t="shared" ca="1" si="387"/>
        <v>52432.470837665329</v>
      </c>
      <c r="AI866">
        <v>0</v>
      </c>
      <c r="AJ866">
        <v>0</v>
      </c>
      <c r="AK866">
        <f t="shared" si="388"/>
        <v>0</v>
      </c>
      <c r="AL866">
        <f t="shared" si="397"/>
        <v>0</v>
      </c>
      <c r="AM866">
        <f t="shared" ca="1" si="389"/>
        <v>2.7257547195994827E-7</v>
      </c>
      <c r="AN866" t="str">
        <f t="shared" ca="1" si="390"/>
        <v>Subcritical</v>
      </c>
      <c r="AO866">
        <f t="shared" ca="1" si="391"/>
        <v>2.459749288225039E-12</v>
      </c>
    </row>
    <row r="867" spans="1:41" x14ac:dyDescent="0.35">
      <c r="A867">
        <v>718</v>
      </c>
      <c r="B867">
        <v>716.89099999999996</v>
      </c>
      <c r="C867">
        <v>616102.25899999996</v>
      </c>
      <c r="D867">
        <v>3097285.3689999999</v>
      </c>
      <c r="E867">
        <v>632.20349999999996</v>
      </c>
      <c r="F867">
        <v>5.0670000000000002</v>
      </c>
      <c r="G867">
        <v>0</v>
      </c>
      <c r="H867" t="s">
        <v>186</v>
      </c>
      <c r="I867">
        <v>0.04</v>
      </c>
      <c r="J867">
        <f t="shared" si="392"/>
        <v>1</v>
      </c>
      <c r="K867">
        <f t="shared" si="393"/>
        <v>51</v>
      </c>
      <c r="L867">
        <f t="shared" ca="1" si="394"/>
        <v>51797.843837663619</v>
      </c>
      <c r="M867">
        <f t="shared" ca="1" si="371"/>
        <v>262459.67472544155</v>
      </c>
      <c r="N867">
        <f t="shared" ca="1" si="372"/>
        <v>2.5333760892761812</v>
      </c>
      <c r="O867">
        <f t="shared" ca="1" si="373"/>
        <v>1.9431556506099834E-4</v>
      </c>
      <c r="P867">
        <f t="shared" ca="1" si="374"/>
        <v>52430.047337663622</v>
      </c>
      <c r="Q867">
        <f t="shared" ca="1" si="375"/>
        <v>52430.047337665543</v>
      </c>
      <c r="R867">
        <f t="shared" ca="1" si="376"/>
        <v>2.4599794254593593E-12</v>
      </c>
      <c r="S867">
        <f t="shared" ca="1" si="395"/>
        <v>4.999999946448952E-4</v>
      </c>
      <c r="T867">
        <f t="shared" ca="1" si="396"/>
        <v>1</v>
      </c>
      <c r="U867">
        <f t="shared" ca="1" si="377"/>
        <v>51800.26683766341</v>
      </c>
      <c r="V867">
        <f t="shared" ca="1" si="378"/>
        <v>262471.95206644048</v>
      </c>
      <c r="W867">
        <f t="shared" ca="1" si="379"/>
        <v>2.5333760950719233</v>
      </c>
      <c r="X867">
        <f t="shared" ca="1" si="380"/>
        <v>1.943064757909454E-4</v>
      </c>
      <c r="Y867">
        <f t="shared" ca="1" si="381"/>
        <v>52432.470337663413</v>
      </c>
      <c r="Z867">
        <f t="shared" ca="1" si="382"/>
        <v>52432.470337665334</v>
      </c>
      <c r="AA867">
        <f t="shared" ca="1" si="383"/>
        <v>2.459749288225039E-12</v>
      </c>
      <c r="AB867">
        <f t="shared" ca="1" si="384"/>
        <v>-5.0000000192085281E-4</v>
      </c>
      <c r="AC867">
        <f t="shared" ca="1" si="385"/>
        <v>1</v>
      </c>
      <c r="AD867">
        <f ca="1">IF(V32="Supercritical",L867,IF(V32="Subcritical",U867,IF(AND(T867=1,AC867=1),IF((((F867)*(L867)^2)/2+(G867)*(L867)^3/3+(ABS(K867)^2)/($I$5*MAX(((F867)+(G867)*(L867))*(L867),0.000001)))&gt;=(((F867)*(U867)^2)/2+(G867)*(U867)^3/3+(ABS(K867)^2)/($I$5*MAX(((F867)+(G867)*(U867))*(U867),0.000001))),L867,U867),IF(T867=1,L867,IF(AC867=1,U867,MAX($D$16,POWER((ABS(K867)^2)/($I$5*MAX(F867,0.1)^2),1/3)))))))</f>
        <v>51800.26683766341</v>
      </c>
      <c r="AE867">
        <f t="shared" ca="1" si="386"/>
        <v>52432.470337663413</v>
      </c>
      <c r="AF867">
        <f t="shared" ca="1" si="387"/>
        <v>52432.470337665334</v>
      </c>
      <c r="AI867">
        <v>0</v>
      </c>
      <c r="AJ867">
        <v>0</v>
      </c>
      <c r="AK867">
        <f t="shared" si="388"/>
        <v>0</v>
      </c>
      <c r="AL867">
        <f t="shared" si="397"/>
        <v>0</v>
      </c>
      <c r="AM867">
        <f t="shared" ca="1" si="389"/>
        <v>2.7257547195994827E-7</v>
      </c>
      <c r="AN867" t="str">
        <f t="shared" ca="1" si="390"/>
        <v>Subcritical</v>
      </c>
      <c r="AO867">
        <f t="shared" ca="1" si="391"/>
        <v>2.459749288225039E-12</v>
      </c>
    </row>
    <row r="868" spans="1:41" x14ac:dyDescent="0.35">
      <c r="A868">
        <v>719</v>
      </c>
      <c r="B868">
        <v>717.89099999999996</v>
      </c>
      <c r="C868">
        <v>616101.99399999995</v>
      </c>
      <c r="D868">
        <v>3097284.4040000001</v>
      </c>
      <c r="E868">
        <v>632.20299999999997</v>
      </c>
      <c r="F868">
        <v>5.0670000000000002</v>
      </c>
      <c r="G868">
        <v>0</v>
      </c>
      <c r="H868" t="s">
        <v>186</v>
      </c>
      <c r="I868">
        <v>0.04</v>
      </c>
      <c r="J868">
        <f t="shared" si="392"/>
        <v>1</v>
      </c>
      <c r="K868">
        <f t="shared" si="393"/>
        <v>51</v>
      </c>
      <c r="L868">
        <f t="shared" ca="1" si="394"/>
        <v>51797.843837663619</v>
      </c>
      <c r="M868">
        <f t="shared" ca="1" si="371"/>
        <v>262459.67472544155</v>
      </c>
      <c r="N868">
        <f t="shared" ca="1" si="372"/>
        <v>2.5333760892761812</v>
      </c>
      <c r="O868">
        <f t="shared" ca="1" si="373"/>
        <v>1.9431556506099834E-4</v>
      </c>
      <c r="P868">
        <f t="shared" ca="1" si="374"/>
        <v>52430.04683766362</v>
      </c>
      <c r="Q868">
        <f t="shared" ca="1" si="375"/>
        <v>52430.046837665548</v>
      </c>
      <c r="R868">
        <f t="shared" ca="1" si="376"/>
        <v>2.4599794254593593E-12</v>
      </c>
      <c r="S868">
        <f t="shared" ca="1" si="395"/>
        <v>4.999999946448952E-4</v>
      </c>
      <c r="T868">
        <f t="shared" ca="1" si="396"/>
        <v>1</v>
      </c>
      <c r="U868">
        <f t="shared" ca="1" si="377"/>
        <v>51800.26683766341</v>
      </c>
      <c r="V868">
        <f t="shared" ca="1" si="378"/>
        <v>262471.95206644048</v>
      </c>
      <c r="W868">
        <f t="shared" ca="1" si="379"/>
        <v>2.5333760950719233</v>
      </c>
      <c r="X868">
        <f t="shared" ca="1" si="380"/>
        <v>1.943064757909454E-4</v>
      </c>
      <c r="Y868">
        <f t="shared" ca="1" si="381"/>
        <v>52432.469837663411</v>
      </c>
      <c r="Z868">
        <f t="shared" ca="1" si="382"/>
        <v>52432.469837665332</v>
      </c>
      <c r="AA868">
        <f t="shared" ca="1" si="383"/>
        <v>2.459749288225039E-12</v>
      </c>
      <c r="AB868">
        <f t="shared" ca="1" si="384"/>
        <v>-5.0000000192085281E-4</v>
      </c>
      <c r="AC868">
        <f t="shared" ca="1" si="385"/>
        <v>1</v>
      </c>
      <c r="AD868">
        <f ca="1">IF(V32="Supercritical",L868,IF(V32="Subcritical",U868,IF(AND(T868=1,AC868=1),IF((((F868)*(L868)^2)/2+(G868)*(L868)^3/3+(ABS(K868)^2)/($I$5*MAX(((F868)+(G868)*(L868))*(L868),0.000001)))&gt;=(((F868)*(U868)^2)/2+(G868)*(U868)^3/3+(ABS(K868)^2)/($I$5*MAX(((F868)+(G868)*(U868))*(U868),0.000001))),L868,U868),IF(T868=1,L868,IF(AC868=1,U868,MAX($D$16,POWER((ABS(K868)^2)/($I$5*MAX(F868,0.1)^2),1/3)))))))</f>
        <v>51800.26683766341</v>
      </c>
      <c r="AE868">
        <f t="shared" ca="1" si="386"/>
        <v>52432.469837663411</v>
      </c>
      <c r="AF868">
        <f t="shared" ca="1" si="387"/>
        <v>52432.469837665332</v>
      </c>
      <c r="AI868">
        <v>0</v>
      </c>
      <c r="AJ868">
        <v>0</v>
      </c>
      <c r="AK868">
        <f t="shared" si="388"/>
        <v>0</v>
      </c>
      <c r="AL868">
        <f t="shared" si="397"/>
        <v>0</v>
      </c>
      <c r="AM868">
        <f t="shared" ca="1" si="389"/>
        <v>2.7257547195994827E-7</v>
      </c>
      <c r="AN868" t="str">
        <f t="shared" ca="1" si="390"/>
        <v>Subcritical</v>
      </c>
      <c r="AO868">
        <f t="shared" ca="1" si="391"/>
        <v>2.459749288225039E-12</v>
      </c>
    </row>
    <row r="869" spans="1:41" x14ac:dyDescent="0.35">
      <c r="A869">
        <v>720</v>
      </c>
      <c r="B869">
        <v>718.89099999999996</v>
      </c>
      <c r="C869">
        <v>616101.73</v>
      </c>
      <c r="D869">
        <v>3097283.44</v>
      </c>
      <c r="E869">
        <v>632.20249999999999</v>
      </c>
      <c r="F869">
        <v>5.0670000000000002</v>
      </c>
      <c r="G869">
        <v>0</v>
      </c>
      <c r="H869" t="s">
        <v>186</v>
      </c>
      <c r="I869">
        <v>0.04</v>
      </c>
      <c r="J869">
        <f t="shared" si="392"/>
        <v>1</v>
      </c>
      <c r="K869">
        <f t="shared" si="393"/>
        <v>51</v>
      </c>
      <c r="L869">
        <f t="shared" ca="1" si="394"/>
        <v>51797.843837663619</v>
      </c>
      <c r="M869">
        <f t="shared" ca="1" si="371"/>
        <v>262459.67472544155</v>
      </c>
      <c r="N869">
        <f t="shared" ca="1" si="372"/>
        <v>2.5333760892761812</v>
      </c>
      <c r="O869">
        <f t="shared" ca="1" si="373"/>
        <v>1.9431556506099834E-4</v>
      </c>
      <c r="P869">
        <f t="shared" ca="1" si="374"/>
        <v>52430.046337663618</v>
      </c>
      <c r="Q869">
        <f t="shared" ca="1" si="375"/>
        <v>52430.046337665539</v>
      </c>
      <c r="R869">
        <f t="shared" ca="1" si="376"/>
        <v>2.4599794254593593E-12</v>
      </c>
      <c r="S869">
        <f t="shared" ca="1" si="395"/>
        <v>5.0000000919681042E-4</v>
      </c>
      <c r="T869">
        <f t="shared" ca="1" si="396"/>
        <v>1</v>
      </c>
      <c r="U869">
        <f t="shared" ca="1" si="377"/>
        <v>51800.26683766341</v>
      </c>
      <c r="V869">
        <f t="shared" ca="1" si="378"/>
        <v>262471.95206644048</v>
      </c>
      <c r="W869">
        <f t="shared" ca="1" si="379"/>
        <v>2.5333760950719233</v>
      </c>
      <c r="X869">
        <f t="shared" ca="1" si="380"/>
        <v>1.943064757909454E-4</v>
      </c>
      <c r="Y869">
        <f t="shared" ca="1" si="381"/>
        <v>52432.46933766341</v>
      </c>
      <c r="Z869">
        <f t="shared" ca="1" si="382"/>
        <v>52432.46933766533</v>
      </c>
      <c r="AA869">
        <f t="shared" ca="1" si="383"/>
        <v>2.459749288225039E-12</v>
      </c>
      <c r="AB869">
        <f t="shared" ca="1" si="384"/>
        <v>-5.0000000192085281E-4</v>
      </c>
      <c r="AC869">
        <f t="shared" ca="1" si="385"/>
        <v>1</v>
      </c>
      <c r="AD869">
        <f ca="1">IF(V32="Supercritical",L869,IF(V32="Subcritical",U869,IF(AND(T869=1,AC869=1),IF((((F869)*(L869)^2)/2+(G869)*(L869)^3/3+(ABS(K869)^2)/($I$5*MAX(((F869)+(G869)*(L869))*(L869),0.000001)))&gt;=(((F869)*(U869)^2)/2+(G869)*(U869)^3/3+(ABS(K869)^2)/($I$5*MAX(((F869)+(G869)*(U869))*(U869),0.000001))),L869,U869),IF(T869=1,L869,IF(AC869=1,U869,MAX($D$16,POWER((ABS(K869)^2)/($I$5*MAX(F869,0.1)^2),1/3)))))))</f>
        <v>51800.26683766341</v>
      </c>
      <c r="AE869">
        <f t="shared" ca="1" si="386"/>
        <v>52432.46933766341</v>
      </c>
      <c r="AF869">
        <f t="shared" ca="1" si="387"/>
        <v>52432.46933766533</v>
      </c>
      <c r="AI869">
        <v>0</v>
      </c>
      <c r="AJ869">
        <v>0</v>
      </c>
      <c r="AK869">
        <f t="shared" si="388"/>
        <v>0</v>
      </c>
      <c r="AL869">
        <f t="shared" si="397"/>
        <v>0</v>
      </c>
      <c r="AM869">
        <f t="shared" ca="1" si="389"/>
        <v>2.7257547195994827E-7</v>
      </c>
      <c r="AN869" t="str">
        <f t="shared" ca="1" si="390"/>
        <v>Subcritical</v>
      </c>
      <c r="AO869">
        <f t="shared" ca="1" si="391"/>
        <v>2.459749288225039E-12</v>
      </c>
    </row>
    <row r="870" spans="1:41" x14ac:dyDescent="0.35">
      <c r="A870">
        <v>721</v>
      </c>
      <c r="B870">
        <v>719.89200000000005</v>
      </c>
      <c r="C870">
        <v>616101.46499999997</v>
      </c>
      <c r="D870">
        <v>3097282.4750000001</v>
      </c>
      <c r="E870">
        <v>632.202</v>
      </c>
      <c r="F870">
        <v>5.0670000000000002</v>
      </c>
      <c r="G870">
        <v>0</v>
      </c>
      <c r="H870" t="s">
        <v>186</v>
      </c>
      <c r="I870">
        <v>1.4999999999999999E-2</v>
      </c>
      <c r="J870">
        <f t="shared" si="392"/>
        <v>1.00100000000009</v>
      </c>
      <c r="K870">
        <f t="shared" si="393"/>
        <v>51</v>
      </c>
      <c r="L870">
        <f t="shared" ca="1" si="394"/>
        <v>51797.843837663619</v>
      </c>
      <c r="M870">
        <f t="shared" ca="1" si="371"/>
        <v>262459.67472544155</v>
      </c>
      <c r="N870">
        <f t="shared" ca="1" si="372"/>
        <v>2.5333760892761812</v>
      </c>
      <c r="O870">
        <f t="shared" ca="1" si="373"/>
        <v>1.9431556506099834E-4</v>
      </c>
      <c r="P870">
        <f t="shared" ca="1" si="374"/>
        <v>52430.045837663616</v>
      </c>
      <c r="Q870">
        <f t="shared" ca="1" si="375"/>
        <v>52430.045837665544</v>
      </c>
      <c r="R870">
        <f t="shared" ca="1" si="376"/>
        <v>2.4599794254593593E-12</v>
      </c>
      <c r="S870">
        <f t="shared" ca="1" si="395"/>
        <v>4.999999946448952E-4</v>
      </c>
      <c r="T870">
        <f t="shared" ca="1" si="396"/>
        <v>1</v>
      </c>
      <c r="U870">
        <f t="shared" ca="1" si="377"/>
        <v>51800.26683766341</v>
      </c>
      <c r="V870">
        <f t="shared" ca="1" si="378"/>
        <v>262471.95206644048</v>
      </c>
      <c r="W870">
        <f t="shared" ca="1" si="379"/>
        <v>2.5333760950719233</v>
      </c>
      <c r="X870">
        <f t="shared" ca="1" si="380"/>
        <v>1.943064757909454E-4</v>
      </c>
      <c r="Y870">
        <f t="shared" ca="1" si="381"/>
        <v>52432.468837663408</v>
      </c>
      <c r="Z870">
        <f t="shared" ca="1" si="382"/>
        <v>52432.468837665328</v>
      </c>
      <c r="AA870">
        <f t="shared" ca="1" si="383"/>
        <v>2.459749288225039E-12</v>
      </c>
      <c r="AB870">
        <f t="shared" ca="1" si="384"/>
        <v>-4.999999946448952E-4</v>
      </c>
      <c r="AC870">
        <f t="shared" ca="1" si="385"/>
        <v>1</v>
      </c>
      <c r="AD870">
        <f ca="1">IF(V32="Supercritical",L870,IF(V32="Subcritical",U870,IF(AND(T870=1,AC870=1),IF((((F870)*(L870)^2)/2+(G870)*(L870)^3/3+(ABS(K870)^2)/($I$5*MAX(((F870)+(G870)*(L870))*(L870),0.000001)))&gt;=(((F870)*(U870)^2)/2+(G870)*(U870)^3/3+(ABS(K870)^2)/($I$5*MAX(((F870)+(G870)*(U870))*(U870),0.000001))),L870,U870),IF(T870=1,L870,IF(AC870=1,U870,MAX($D$16,POWER((ABS(K870)^2)/($I$5*MAX(F870,0.1)^2),1/3)))))))</f>
        <v>51800.26683766341</v>
      </c>
      <c r="AE870">
        <f t="shared" ca="1" si="386"/>
        <v>52432.468837663408</v>
      </c>
      <c r="AF870">
        <f t="shared" ca="1" si="387"/>
        <v>52432.468837665328</v>
      </c>
      <c r="AI870">
        <v>0</v>
      </c>
      <c r="AJ870">
        <v>0</v>
      </c>
      <c r="AK870">
        <f t="shared" si="388"/>
        <v>0</v>
      </c>
      <c r="AL870">
        <f t="shared" si="397"/>
        <v>0</v>
      </c>
      <c r="AM870">
        <f t="shared" ca="1" si="389"/>
        <v>2.7257547195994827E-7</v>
      </c>
      <c r="AN870" t="str">
        <f t="shared" ca="1" si="390"/>
        <v>Subcritical</v>
      </c>
      <c r="AO870">
        <f t="shared" ca="1" si="391"/>
        <v>2.459749288225039E-12</v>
      </c>
    </row>
    <row r="871" spans="1:41" x14ac:dyDescent="0.35">
      <c r="A871">
        <v>722</v>
      </c>
      <c r="B871">
        <v>720.89099999999996</v>
      </c>
      <c r="C871">
        <v>616101.19999999995</v>
      </c>
      <c r="D871">
        <v>3097281.5109999999</v>
      </c>
      <c r="E871">
        <v>632.20150000000001</v>
      </c>
      <c r="F871">
        <v>5.0670000000000002</v>
      </c>
      <c r="G871">
        <v>0</v>
      </c>
      <c r="H871" t="s">
        <v>186</v>
      </c>
      <c r="I871">
        <v>5.5E-2</v>
      </c>
      <c r="J871">
        <f t="shared" si="392"/>
        <v>0.99899999999990996</v>
      </c>
      <c r="K871">
        <f t="shared" si="393"/>
        <v>51</v>
      </c>
      <c r="L871">
        <f t="shared" ca="1" si="394"/>
        <v>51797.843837663619</v>
      </c>
      <c r="M871">
        <f t="shared" ca="1" si="371"/>
        <v>262459.67472544155</v>
      </c>
      <c r="N871">
        <f t="shared" ca="1" si="372"/>
        <v>2.5333760892761812</v>
      </c>
      <c r="O871">
        <f t="shared" ca="1" si="373"/>
        <v>1.9431556506099834E-4</v>
      </c>
      <c r="P871">
        <f t="shared" ca="1" si="374"/>
        <v>52430.045337663621</v>
      </c>
      <c r="Q871">
        <f t="shared" ca="1" si="375"/>
        <v>52430.04533766555</v>
      </c>
      <c r="R871">
        <f t="shared" ca="1" si="376"/>
        <v>2.4599794254593593E-12</v>
      </c>
      <c r="S871">
        <f t="shared" ca="1" si="395"/>
        <v>4.999999946448952E-4</v>
      </c>
      <c r="T871">
        <f t="shared" ca="1" si="396"/>
        <v>1</v>
      </c>
      <c r="U871">
        <f t="shared" ca="1" si="377"/>
        <v>51800.26683766341</v>
      </c>
      <c r="V871">
        <f t="shared" ca="1" si="378"/>
        <v>262471.95206644048</v>
      </c>
      <c r="W871">
        <f t="shared" ca="1" si="379"/>
        <v>2.5333760950719233</v>
      </c>
      <c r="X871">
        <f t="shared" ca="1" si="380"/>
        <v>1.943064757909454E-4</v>
      </c>
      <c r="Y871">
        <f t="shared" ca="1" si="381"/>
        <v>52432.468337663413</v>
      </c>
      <c r="Z871">
        <f t="shared" ca="1" si="382"/>
        <v>52432.468337665334</v>
      </c>
      <c r="AA871">
        <f t="shared" ca="1" si="383"/>
        <v>2.459749288225039E-12</v>
      </c>
      <c r="AB871">
        <f t="shared" ca="1" si="384"/>
        <v>-5.0000000192085281E-4</v>
      </c>
      <c r="AC871">
        <f t="shared" ca="1" si="385"/>
        <v>1</v>
      </c>
      <c r="AD871">
        <f ca="1">IF(V32="Supercritical",L871,IF(V32="Subcritical",U871,IF(AND(T871=1,AC871=1),IF((((F871)*(L871)^2)/2+(G871)*(L871)^3/3+(ABS(K871)^2)/($I$5*MAX(((F871)+(G871)*(L871))*(L871),0.000001)))&gt;=(((F871)*(U871)^2)/2+(G871)*(U871)^3/3+(ABS(K871)^2)/($I$5*MAX(((F871)+(G871)*(U871))*(U871),0.000001))),L871,U871),IF(T871=1,L871,IF(AC871=1,U871,MAX($D$16,POWER((ABS(K871)^2)/($I$5*MAX(F871,0.1)^2),1/3)))))))</f>
        <v>51800.26683766341</v>
      </c>
      <c r="AE871">
        <f t="shared" ca="1" si="386"/>
        <v>52432.468337663413</v>
      </c>
      <c r="AF871">
        <f t="shared" ca="1" si="387"/>
        <v>52432.468337665334</v>
      </c>
      <c r="AI871">
        <v>0</v>
      </c>
      <c r="AJ871">
        <v>0</v>
      </c>
      <c r="AK871">
        <f t="shared" si="388"/>
        <v>0</v>
      </c>
      <c r="AL871">
        <f t="shared" si="397"/>
        <v>0</v>
      </c>
      <c r="AM871">
        <f t="shared" ca="1" si="389"/>
        <v>2.7257547195994827E-7</v>
      </c>
      <c r="AN871" t="str">
        <f t="shared" ca="1" si="390"/>
        <v>Subcritical</v>
      </c>
      <c r="AO871">
        <f t="shared" ca="1" si="391"/>
        <v>2.459749288225039E-12</v>
      </c>
    </row>
    <row r="872" spans="1:41" x14ac:dyDescent="0.35">
      <c r="A872">
        <v>723</v>
      </c>
      <c r="B872">
        <v>721.89099999999996</v>
      </c>
      <c r="C872">
        <v>616100.93599999999</v>
      </c>
      <c r="D872">
        <v>3097280.5469999998</v>
      </c>
      <c r="E872">
        <v>632.20100000000002</v>
      </c>
      <c r="F872">
        <v>5.0670000000000002</v>
      </c>
      <c r="G872">
        <v>0</v>
      </c>
      <c r="H872" t="s">
        <v>186</v>
      </c>
      <c r="I872">
        <v>0.04</v>
      </c>
      <c r="J872">
        <f t="shared" si="392"/>
        <v>1</v>
      </c>
      <c r="K872">
        <f t="shared" si="393"/>
        <v>51</v>
      </c>
      <c r="L872">
        <f t="shared" ca="1" si="394"/>
        <v>51797.843837663619</v>
      </c>
      <c r="M872">
        <f t="shared" ca="1" si="371"/>
        <v>262459.67472544155</v>
      </c>
      <c r="N872">
        <f t="shared" ca="1" si="372"/>
        <v>2.5333760892761812</v>
      </c>
      <c r="O872">
        <f t="shared" ca="1" si="373"/>
        <v>1.9431556506099834E-4</v>
      </c>
      <c r="P872">
        <f t="shared" ca="1" si="374"/>
        <v>52430.04483766362</v>
      </c>
      <c r="Q872">
        <f t="shared" ca="1" si="375"/>
        <v>52430.04483766554</v>
      </c>
      <c r="R872">
        <f t="shared" ca="1" si="376"/>
        <v>2.4599794254593593E-12</v>
      </c>
      <c r="S872">
        <f t="shared" ca="1" si="395"/>
        <v>5.0000000919681042E-4</v>
      </c>
      <c r="T872">
        <f t="shared" ca="1" si="396"/>
        <v>1</v>
      </c>
      <c r="U872">
        <f t="shared" ca="1" si="377"/>
        <v>51800.26683766341</v>
      </c>
      <c r="V872">
        <f t="shared" ca="1" si="378"/>
        <v>262471.95206644048</v>
      </c>
      <c r="W872">
        <f t="shared" ca="1" si="379"/>
        <v>2.5333760950719233</v>
      </c>
      <c r="X872">
        <f t="shared" ca="1" si="380"/>
        <v>1.943064757909454E-4</v>
      </c>
      <c r="Y872">
        <f t="shared" ca="1" si="381"/>
        <v>52432.467837663411</v>
      </c>
      <c r="Z872">
        <f t="shared" ca="1" si="382"/>
        <v>52432.467837665332</v>
      </c>
      <c r="AA872">
        <f t="shared" ca="1" si="383"/>
        <v>2.459749288225039E-12</v>
      </c>
      <c r="AB872">
        <f t="shared" ca="1" si="384"/>
        <v>-5.0000000192085281E-4</v>
      </c>
      <c r="AC872">
        <f t="shared" ca="1" si="385"/>
        <v>1</v>
      </c>
      <c r="AD872">
        <f ca="1">IF(V32="Supercritical",L872,IF(V32="Subcritical",U872,IF(AND(T872=1,AC872=1),IF((((F872)*(L872)^2)/2+(G872)*(L872)^3/3+(ABS(K872)^2)/($I$5*MAX(((F872)+(G872)*(L872))*(L872),0.000001)))&gt;=(((F872)*(U872)^2)/2+(G872)*(U872)^3/3+(ABS(K872)^2)/($I$5*MAX(((F872)+(G872)*(U872))*(U872),0.000001))),L872,U872),IF(T872=1,L872,IF(AC872=1,U872,MAX($D$16,POWER((ABS(K872)^2)/($I$5*MAX(F872,0.1)^2),1/3)))))))</f>
        <v>51800.26683766341</v>
      </c>
      <c r="AE872">
        <f t="shared" ca="1" si="386"/>
        <v>52432.467837663411</v>
      </c>
      <c r="AF872">
        <f t="shared" ca="1" si="387"/>
        <v>52432.467837665332</v>
      </c>
      <c r="AI872">
        <v>0</v>
      </c>
      <c r="AJ872">
        <v>0</v>
      </c>
      <c r="AK872">
        <f t="shared" si="388"/>
        <v>0</v>
      </c>
      <c r="AL872">
        <f t="shared" si="397"/>
        <v>0</v>
      </c>
      <c r="AM872">
        <f t="shared" ca="1" si="389"/>
        <v>2.7257547195994827E-7</v>
      </c>
      <c r="AN872" t="str">
        <f t="shared" ca="1" si="390"/>
        <v>Subcritical</v>
      </c>
      <c r="AO872">
        <f t="shared" ca="1" si="391"/>
        <v>2.459749288225039E-12</v>
      </c>
    </row>
    <row r="873" spans="1:41" x14ac:dyDescent="0.35">
      <c r="A873">
        <v>724</v>
      </c>
      <c r="B873">
        <v>722.89200000000005</v>
      </c>
      <c r="C873">
        <v>616100.67099999997</v>
      </c>
      <c r="D873">
        <v>3097279.5819999999</v>
      </c>
      <c r="E873">
        <v>632.20050000000003</v>
      </c>
      <c r="F873">
        <v>5.0670000000000002</v>
      </c>
      <c r="G873">
        <v>0</v>
      </c>
      <c r="H873" t="s">
        <v>186</v>
      </c>
      <c r="I873">
        <v>0.04</v>
      </c>
      <c r="J873">
        <f t="shared" si="392"/>
        <v>1.00100000000009</v>
      </c>
      <c r="K873">
        <f t="shared" si="393"/>
        <v>51</v>
      </c>
      <c r="L873">
        <f t="shared" ca="1" si="394"/>
        <v>51797.843837663619</v>
      </c>
      <c r="M873">
        <f t="shared" ca="1" si="371"/>
        <v>262459.67472544155</v>
      </c>
      <c r="N873">
        <f t="shared" ca="1" si="372"/>
        <v>2.5333760892761812</v>
      </c>
      <c r="O873">
        <f t="shared" ca="1" si="373"/>
        <v>1.9431556506099834E-4</v>
      </c>
      <c r="P873">
        <f t="shared" ca="1" si="374"/>
        <v>52430.044337663618</v>
      </c>
      <c r="Q873">
        <f t="shared" ca="1" si="375"/>
        <v>52430.044337665546</v>
      </c>
      <c r="R873">
        <f t="shared" ca="1" si="376"/>
        <v>2.4599794254593593E-12</v>
      </c>
      <c r="S873">
        <f t="shared" ca="1" si="395"/>
        <v>4.999999946448952E-4</v>
      </c>
      <c r="T873">
        <f t="shared" ca="1" si="396"/>
        <v>1</v>
      </c>
      <c r="U873">
        <f t="shared" ca="1" si="377"/>
        <v>51800.26683766341</v>
      </c>
      <c r="V873">
        <f t="shared" ca="1" si="378"/>
        <v>262471.95206644048</v>
      </c>
      <c r="W873">
        <f t="shared" ca="1" si="379"/>
        <v>2.5333760950719233</v>
      </c>
      <c r="X873">
        <f t="shared" ca="1" si="380"/>
        <v>1.943064757909454E-4</v>
      </c>
      <c r="Y873">
        <f t="shared" ca="1" si="381"/>
        <v>52432.467337663409</v>
      </c>
      <c r="Z873">
        <f t="shared" ca="1" si="382"/>
        <v>52432.46733766533</v>
      </c>
      <c r="AA873">
        <f t="shared" ca="1" si="383"/>
        <v>2.459749288225039E-12</v>
      </c>
      <c r="AB873">
        <f t="shared" ca="1" si="384"/>
        <v>-5.0000000192085281E-4</v>
      </c>
      <c r="AC873">
        <f t="shared" ca="1" si="385"/>
        <v>1</v>
      </c>
      <c r="AD873">
        <f ca="1">IF(V32="Supercritical",L873,IF(V32="Subcritical",U873,IF(AND(T873=1,AC873=1),IF((((F873)*(L873)^2)/2+(G873)*(L873)^3/3+(ABS(K873)^2)/($I$5*MAX(((F873)+(G873)*(L873))*(L873),0.000001)))&gt;=(((F873)*(U873)^2)/2+(G873)*(U873)^3/3+(ABS(K873)^2)/($I$5*MAX(((F873)+(G873)*(U873))*(U873),0.000001))),L873,U873),IF(T873=1,L873,IF(AC873=1,U873,MAX($D$16,POWER((ABS(K873)^2)/($I$5*MAX(F873,0.1)^2),1/3)))))))</f>
        <v>51800.26683766341</v>
      </c>
      <c r="AE873">
        <f t="shared" ca="1" si="386"/>
        <v>52432.467337663409</v>
      </c>
      <c r="AF873">
        <f t="shared" ca="1" si="387"/>
        <v>52432.46733766533</v>
      </c>
      <c r="AI873">
        <v>0</v>
      </c>
      <c r="AJ873">
        <v>0</v>
      </c>
      <c r="AK873">
        <f t="shared" si="388"/>
        <v>0</v>
      </c>
      <c r="AL873">
        <f t="shared" si="397"/>
        <v>0</v>
      </c>
      <c r="AM873">
        <f t="shared" ca="1" si="389"/>
        <v>2.7257547195994827E-7</v>
      </c>
      <c r="AN873" t="str">
        <f t="shared" ca="1" si="390"/>
        <v>Subcritical</v>
      </c>
      <c r="AO873">
        <f t="shared" ca="1" si="391"/>
        <v>2.459749288225039E-12</v>
      </c>
    </row>
    <row r="874" spans="1:41" x14ac:dyDescent="0.35">
      <c r="A874">
        <v>725</v>
      </c>
      <c r="B874">
        <v>723.89099999999996</v>
      </c>
      <c r="C874">
        <v>616100.40700000001</v>
      </c>
      <c r="D874">
        <v>3097278.6179999998</v>
      </c>
      <c r="E874">
        <v>632.20000000000005</v>
      </c>
      <c r="F874">
        <v>5.0670000000000002</v>
      </c>
      <c r="G874">
        <v>0</v>
      </c>
      <c r="H874" t="s">
        <v>186</v>
      </c>
      <c r="I874">
        <v>5.5E-2</v>
      </c>
      <c r="J874">
        <f t="shared" si="392"/>
        <v>0.99899999999990996</v>
      </c>
      <c r="K874">
        <f t="shared" si="393"/>
        <v>51</v>
      </c>
      <c r="L874">
        <f t="shared" ca="1" si="394"/>
        <v>51797.843837663619</v>
      </c>
      <c r="M874">
        <f t="shared" ca="1" si="371"/>
        <v>262459.67472544155</v>
      </c>
      <c r="N874">
        <f t="shared" ca="1" si="372"/>
        <v>2.5333760892761812</v>
      </c>
      <c r="O874">
        <f t="shared" ca="1" si="373"/>
        <v>1.9431556506099834E-4</v>
      </c>
      <c r="P874">
        <f t="shared" ca="1" si="374"/>
        <v>52430.043837663616</v>
      </c>
      <c r="Q874">
        <f t="shared" ca="1" si="375"/>
        <v>52430.043837665537</v>
      </c>
      <c r="R874">
        <f t="shared" ca="1" si="376"/>
        <v>2.4599794254593593E-12</v>
      </c>
      <c r="S874">
        <f t="shared" ca="1" si="395"/>
        <v>5.0000000919681042E-4</v>
      </c>
      <c r="T874">
        <f t="shared" ca="1" si="396"/>
        <v>1</v>
      </c>
      <c r="U874">
        <f t="shared" ca="1" si="377"/>
        <v>51800.26683766341</v>
      </c>
      <c r="V874">
        <f t="shared" ca="1" si="378"/>
        <v>262471.95206644048</v>
      </c>
      <c r="W874">
        <f t="shared" ca="1" si="379"/>
        <v>2.5333760950719233</v>
      </c>
      <c r="X874">
        <f t="shared" ca="1" si="380"/>
        <v>1.943064757909454E-4</v>
      </c>
      <c r="Y874">
        <f t="shared" ca="1" si="381"/>
        <v>52432.466837663407</v>
      </c>
      <c r="Z874">
        <f t="shared" ca="1" si="382"/>
        <v>52432.466837665328</v>
      </c>
      <c r="AA874">
        <f t="shared" ca="1" si="383"/>
        <v>2.459749288225039E-12</v>
      </c>
      <c r="AB874">
        <f t="shared" ca="1" si="384"/>
        <v>-4.999999946448952E-4</v>
      </c>
      <c r="AC874">
        <f t="shared" ca="1" si="385"/>
        <v>1</v>
      </c>
      <c r="AD874">
        <f ca="1">IF(V32="Supercritical",L874,IF(V32="Subcritical",U874,IF(AND(T874=1,AC874=1),IF((((F874)*(L874)^2)/2+(G874)*(L874)^3/3+(ABS(K874)^2)/($I$5*MAX(((F874)+(G874)*(L874))*(L874),0.000001)))&gt;=(((F874)*(U874)^2)/2+(G874)*(U874)^3/3+(ABS(K874)^2)/($I$5*MAX(((F874)+(G874)*(U874))*(U874),0.000001))),L874,U874),IF(T874=1,L874,IF(AC874=1,U874,MAX($D$16,POWER((ABS(K874)^2)/($I$5*MAX(F874,0.1)^2),1/3)))))))</f>
        <v>51800.26683766341</v>
      </c>
      <c r="AE874">
        <f t="shared" ca="1" si="386"/>
        <v>52432.466837663407</v>
      </c>
      <c r="AF874">
        <f t="shared" ca="1" si="387"/>
        <v>52432.466837665328</v>
      </c>
      <c r="AI874">
        <v>0</v>
      </c>
      <c r="AJ874">
        <v>0</v>
      </c>
      <c r="AK874">
        <f t="shared" si="388"/>
        <v>0</v>
      </c>
      <c r="AL874">
        <f t="shared" si="397"/>
        <v>0</v>
      </c>
      <c r="AM874">
        <f t="shared" ca="1" si="389"/>
        <v>2.7257547195994827E-7</v>
      </c>
      <c r="AN874" t="str">
        <f t="shared" ca="1" si="390"/>
        <v>Subcritical</v>
      </c>
      <c r="AO874">
        <f t="shared" ca="1" si="391"/>
        <v>2.459749288225039E-12</v>
      </c>
    </row>
    <row r="875" spans="1:41" x14ac:dyDescent="0.35">
      <c r="A875">
        <v>726</v>
      </c>
      <c r="B875">
        <v>724.89099999999996</v>
      </c>
      <c r="C875">
        <v>616100.14199999999</v>
      </c>
      <c r="D875">
        <v>3097277.6540000001</v>
      </c>
      <c r="E875">
        <v>632.19949999999994</v>
      </c>
      <c r="F875">
        <v>5.0670000000000002</v>
      </c>
      <c r="G875">
        <v>0</v>
      </c>
      <c r="H875" t="s">
        <v>186</v>
      </c>
      <c r="I875">
        <v>7.0000000000000007E-2</v>
      </c>
      <c r="J875">
        <f t="shared" si="392"/>
        <v>1</v>
      </c>
      <c r="K875">
        <f t="shared" si="393"/>
        <v>51</v>
      </c>
      <c r="L875">
        <f t="shared" ca="1" si="394"/>
        <v>51797.843837663619</v>
      </c>
      <c r="M875">
        <f t="shared" ca="1" si="371"/>
        <v>262459.67472544155</v>
      </c>
      <c r="N875">
        <f t="shared" ca="1" si="372"/>
        <v>2.5333760892761812</v>
      </c>
      <c r="O875">
        <f t="shared" ca="1" si="373"/>
        <v>1.9431556506099834E-4</v>
      </c>
      <c r="P875">
        <f t="shared" ca="1" si="374"/>
        <v>52430.043337663621</v>
      </c>
      <c r="Q875">
        <f t="shared" ca="1" si="375"/>
        <v>52430.043337665542</v>
      </c>
      <c r="R875">
        <f t="shared" ca="1" si="376"/>
        <v>2.4599794254593593E-12</v>
      </c>
      <c r="S875">
        <f t="shared" ca="1" si="395"/>
        <v>4.999999946448952E-4</v>
      </c>
      <c r="T875">
        <f t="shared" ca="1" si="396"/>
        <v>1</v>
      </c>
      <c r="U875">
        <f t="shared" ca="1" si="377"/>
        <v>51800.26683766341</v>
      </c>
      <c r="V875">
        <f t="shared" ca="1" si="378"/>
        <v>262471.95206644048</v>
      </c>
      <c r="W875">
        <f t="shared" ca="1" si="379"/>
        <v>2.5333760950719233</v>
      </c>
      <c r="X875">
        <f t="shared" ca="1" si="380"/>
        <v>1.943064757909454E-4</v>
      </c>
      <c r="Y875">
        <f t="shared" ca="1" si="381"/>
        <v>52432.466337663413</v>
      </c>
      <c r="Z875">
        <f t="shared" ca="1" si="382"/>
        <v>52432.466337665333</v>
      </c>
      <c r="AA875">
        <f t="shared" ca="1" si="383"/>
        <v>2.459749288225039E-12</v>
      </c>
      <c r="AB875">
        <f t="shared" ca="1" si="384"/>
        <v>-5.0000000192085281E-4</v>
      </c>
      <c r="AC875">
        <f t="shared" ca="1" si="385"/>
        <v>1</v>
      </c>
      <c r="AD875">
        <f ca="1">IF(V32="Supercritical",L875,IF(V32="Subcritical",U875,IF(AND(T875=1,AC875=1),IF((((F875)*(L875)^2)/2+(G875)*(L875)^3/3+(ABS(K875)^2)/($I$5*MAX(((F875)+(G875)*(L875))*(L875),0.000001)))&gt;=(((F875)*(U875)^2)/2+(G875)*(U875)^3/3+(ABS(K875)^2)/($I$5*MAX(((F875)+(G875)*(U875))*(U875),0.000001))),L875,U875),IF(T875=1,L875,IF(AC875=1,U875,MAX($D$16,POWER((ABS(K875)^2)/($I$5*MAX(F875,0.1)^2),1/3)))))))</f>
        <v>51800.26683766341</v>
      </c>
      <c r="AE875">
        <f t="shared" ca="1" si="386"/>
        <v>52432.466337663413</v>
      </c>
      <c r="AF875">
        <f t="shared" ca="1" si="387"/>
        <v>52432.466337665333</v>
      </c>
      <c r="AI875">
        <v>0</v>
      </c>
      <c r="AJ875">
        <v>0</v>
      </c>
      <c r="AK875">
        <f t="shared" si="388"/>
        <v>0</v>
      </c>
      <c r="AL875">
        <f t="shared" si="397"/>
        <v>0</v>
      </c>
      <c r="AM875">
        <f t="shared" ca="1" si="389"/>
        <v>2.7257547195994827E-7</v>
      </c>
      <c r="AN875" t="str">
        <f t="shared" ca="1" si="390"/>
        <v>Subcritical</v>
      </c>
      <c r="AO875">
        <f t="shared" ca="1" si="391"/>
        <v>2.459749288225039E-12</v>
      </c>
    </row>
    <row r="876" spans="1:41" x14ac:dyDescent="0.35">
      <c r="A876">
        <v>727</v>
      </c>
      <c r="B876">
        <v>725.89099999999996</v>
      </c>
      <c r="C876">
        <v>616099.87800000003</v>
      </c>
      <c r="D876">
        <v>3097276.6889999998</v>
      </c>
      <c r="E876">
        <v>632.19899999999996</v>
      </c>
      <c r="F876">
        <v>5.0670000000000002</v>
      </c>
      <c r="G876">
        <v>0</v>
      </c>
      <c r="H876" t="s">
        <v>186</v>
      </c>
      <c r="I876">
        <v>7.0000000000000007E-2</v>
      </c>
      <c r="J876">
        <f t="shared" si="392"/>
        <v>1</v>
      </c>
      <c r="K876">
        <f t="shared" si="393"/>
        <v>51</v>
      </c>
      <c r="L876">
        <f t="shared" ca="1" si="394"/>
        <v>51797.843837663619</v>
      </c>
      <c r="M876">
        <f t="shared" ca="1" si="371"/>
        <v>262459.67472544155</v>
      </c>
      <c r="N876">
        <f t="shared" ca="1" si="372"/>
        <v>2.5333760892761812</v>
      </c>
      <c r="O876">
        <f t="shared" ca="1" si="373"/>
        <v>1.9431556506099834E-4</v>
      </c>
      <c r="P876">
        <f t="shared" ca="1" si="374"/>
        <v>52430.042837663619</v>
      </c>
      <c r="Q876">
        <f t="shared" ca="1" si="375"/>
        <v>52430.042837665547</v>
      </c>
      <c r="R876">
        <f t="shared" ca="1" si="376"/>
        <v>2.4599794254593593E-12</v>
      </c>
      <c r="S876">
        <f t="shared" ca="1" si="395"/>
        <v>4.999999946448952E-4</v>
      </c>
      <c r="T876">
        <f t="shared" ca="1" si="396"/>
        <v>1</v>
      </c>
      <c r="U876">
        <f t="shared" ca="1" si="377"/>
        <v>51800.26683766341</v>
      </c>
      <c r="V876">
        <f t="shared" ca="1" si="378"/>
        <v>262471.95206644048</v>
      </c>
      <c r="W876">
        <f t="shared" ca="1" si="379"/>
        <v>2.5333760950719233</v>
      </c>
      <c r="X876">
        <f t="shared" ca="1" si="380"/>
        <v>1.943064757909454E-4</v>
      </c>
      <c r="Y876">
        <f t="shared" ca="1" si="381"/>
        <v>52432.465837663411</v>
      </c>
      <c r="Z876">
        <f t="shared" ca="1" si="382"/>
        <v>52432.465837665331</v>
      </c>
      <c r="AA876">
        <f t="shared" ca="1" si="383"/>
        <v>2.459749288225039E-12</v>
      </c>
      <c r="AB876">
        <f t="shared" ca="1" si="384"/>
        <v>-5.0000000192085281E-4</v>
      </c>
      <c r="AC876">
        <f t="shared" ca="1" si="385"/>
        <v>1</v>
      </c>
      <c r="AD876">
        <f ca="1">IF(V32="Supercritical",L876,IF(V32="Subcritical",U876,IF(AND(T876=1,AC876=1),IF((((F876)*(L876)^2)/2+(G876)*(L876)^3/3+(ABS(K876)^2)/($I$5*MAX(((F876)+(G876)*(L876))*(L876),0.000001)))&gt;=(((F876)*(U876)^2)/2+(G876)*(U876)^3/3+(ABS(K876)^2)/($I$5*MAX(((F876)+(G876)*(U876))*(U876),0.000001))),L876,U876),IF(T876=1,L876,IF(AC876=1,U876,MAX($D$16,POWER((ABS(K876)^2)/($I$5*MAX(F876,0.1)^2),1/3)))))))</f>
        <v>51800.26683766341</v>
      </c>
      <c r="AE876">
        <f t="shared" ca="1" si="386"/>
        <v>52432.465837663411</v>
      </c>
      <c r="AF876">
        <f t="shared" ca="1" si="387"/>
        <v>52432.465837665331</v>
      </c>
      <c r="AI876">
        <v>0</v>
      </c>
      <c r="AJ876">
        <v>0</v>
      </c>
      <c r="AK876">
        <f t="shared" si="388"/>
        <v>0</v>
      </c>
      <c r="AL876">
        <f t="shared" si="397"/>
        <v>0</v>
      </c>
      <c r="AM876">
        <f t="shared" ca="1" si="389"/>
        <v>2.7257547195994827E-7</v>
      </c>
      <c r="AN876" t="str">
        <f t="shared" ca="1" si="390"/>
        <v>Subcritical</v>
      </c>
      <c r="AO876">
        <f t="shared" ca="1" si="391"/>
        <v>2.459749288225039E-12</v>
      </c>
    </row>
    <row r="877" spans="1:41" x14ac:dyDescent="0.35">
      <c r="A877">
        <v>728</v>
      </c>
      <c r="B877">
        <v>726.89099999999996</v>
      </c>
      <c r="C877">
        <v>616099.61300000001</v>
      </c>
      <c r="D877">
        <v>3097275.7250000001</v>
      </c>
      <c r="E877">
        <v>632.19849999999997</v>
      </c>
      <c r="F877">
        <v>5.0670000000000002</v>
      </c>
      <c r="G877">
        <v>0</v>
      </c>
      <c r="H877" t="s">
        <v>186</v>
      </c>
      <c r="I877">
        <v>0</v>
      </c>
      <c r="J877">
        <f t="shared" si="392"/>
        <v>1</v>
      </c>
      <c r="K877">
        <f t="shared" si="393"/>
        <v>51</v>
      </c>
      <c r="L877">
        <f t="shared" ca="1" si="394"/>
        <v>51797.843837663619</v>
      </c>
      <c r="M877">
        <f t="shared" ca="1" si="371"/>
        <v>262459.67472544155</v>
      </c>
      <c r="N877">
        <f t="shared" ca="1" si="372"/>
        <v>2.5333760892761812</v>
      </c>
      <c r="O877">
        <f t="shared" ca="1" si="373"/>
        <v>1.9431556506099834E-4</v>
      </c>
      <c r="P877">
        <f t="shared" ca="1" si="374"/>
        <v>52430.042337663617</v>
      </c>
      <c r="Q877">
        <f t="shared" ca="1" si="375"/>
        <v>52430.042337665538</v>
      </c>
      <c r="R877">
        <f t="shared" ca="1" si="376"/>
        <v>2.4599794254593593E-12</v>
      </c>
      <c r="S877">
        <f t="shared" ca="1" si="395"/>
        <v>5.0000000919681042E-4</v>
      </c>
      <c r="T877">
        <f t="shared" ca="1" si="396"/>
        <v>1</v>
      </c>
      <c r="U877">
        <f t="shared" ca="1" si="377"/>
        <v>51800.26683766341</v>
      </c>
      <c r="V877">
        <f t="shared" ca="1" si="378"/>
        <v>262471.95206644048</v>
      </c>
      <c r="W877">
        <f t="shared" ca="1" si="379"/>
        <v>2.5333760950719233</v>
      </c>
      <c r="X877">
        <f t="shared" ca="1" si="380"/>
        <v>1.943064757909454E-4</v>
      </c>
      <c r="Y877">
        <f t="shared" ca="1" si="381"/>
        <v>52432.465337663409</v>
      </c>
      <c r="Z877">
        <f t="shared" ca="1" si="382"/>
        <v>52432.46533766533</v>
      </c>
      <c r="AA877">
        <f t="shared" ca="1" si="383"/>
        <v>2.459749288225039E-12</v>
      </c>
      <c r="AB877">
        <f t="shared" ca="1" si="384"/>
        <v>-5.0000000192085281E-4</v>
      </c>
      <c r="AC877">
        <f t="shared" ca="1" si="385"/>
        <v>1</v>
      </c>
      <c r="AD877">
        <f ca="1">IF(V32="Supercritical",L877,IF(V32="Subcritical",U877,IF(AND(T877=1,AC877=1),IF((((F877)*(L877)^2)/2+(G877)*(L877)^3/3+(ABS(K877)^2)/($I$5*MAX(((F877)+(G877)*(L877))*(L877),0.000001)))&gt;=(((F877)*(U877)^2)/2+(G877)*(U877)^3/3+(ABS(K877)^2)/($I$5*MAX(((F877)+(G877)*(U877))*(U877),0.000001))),L877,U877),IF(T877=1,L877,IF(AC877=1,U877,MAX($D$16,POWER((ABS(K877)^2)/($I$5*MAX(F877,0.1)^2),1/3)))))))</f>
        <v>51800.26683766341</v>
      </c>
      <c r="AE877">
        <f t="shared" ca="1" si="386"/>
        <v>52432.465337663409</v>
      </c>
      <c r="AF877">
        <f t="shared" ca="1" si="387"/>
        <v>52432.46533766533</v>
      </c>
      <c r="AI877">
        <v>0</v>
      </c>
      <c r="AJ877">
        <v>0</v>
      </c>
      <c r="AK877">
        <f t="shared" si="388"/>
        <v>0</v>
      </c>
      <c r="AL877">
        <f t="shared" si="397"/>
        <v>0</v>
      </c>
      <c r="AM877">
        <f t="shared" ca="1" si="389"/>
        <v>2.7257547195994827E-7</v>
      </c>
      <c r="AN877" t="str">
        <f t="shared" ca="1" si="390"/>
        <v>Subcritical</v>
      </c>
      <c r="AO877">
        <f t="shared" ca="1" si="391"/>
        <v>2.459749288225039E-12</v>
      </c>
    </row>
    <row r="878" spans="1:41" x14ac:dyDescent="0.35">
      <c r="A878">
        <v>729</v>
      </c>
      <c r="B878">
        <v>727.89099999999996</v>
      </c>
      <c r="C878">
        <v>616099.348</v>
      </c>
      <c r="D878">
        <v>3097274.7609999999</v>
      </c>
      <c r="E878">
        <v>632.19799999999998</v>
      </c>
      <c r="F878">
        <v>5.0670000000000002</v>
      </c>
      <c r="G878">
        <v>0</v>
      </c>
      <c r="H878" t="s">
        <v>186</v>
      </c>
      <c r="I878">
        <v>7.0000000000000007E-2</v>
      </c>
      <c r="J878">
        <f t="shared" si="392"/>
        <v>1</v>
      </c>
      <c r="K878">
        <f t="shared" si="393"/>
        <v>51</v>
      </c>
      <c r="L878">
        <f t="shared" ca="1" si="394"/>
        <v>51797.843837663619</v>
      </c>
      <c r="M878">
        <f t="shared" ca="1" si="371"/>
        <v>262459.67472544155</v>
      </c>
      <c r="N878">
        <f t="shared" ca="1" si="372"/>
        <v>2.5333760892761812</v>
      </c>
      <c r="O878">
        <f t="shared" ca="1" si="373"/>
        <v>1.9431556506099834E-4</v>
      </c>
      <c r="P878">
        <f t="shared" ca="1" si="374"/>
        <v>52430.041837663615</v>
      </c>
      <c r="Q878">
        <f t="shared" ca="1" si="375"/>
        <v>52430.041837665543</v>
      </c>
      <c r="R878">
        <f t="shared" ca="1" si="376"/>
        <v>2.4599794254593593E-12</v>
      </c>
      <c r="S878">
        <f t="shared" ca="1" si="395"/>
        <v>4.999999946448952E-4</v>
      </c>
      <c r="T878">
        <f t="shared" ca="1" si="396"/>
        <v>1</v>
      </c>
      <c r="U878">
        <f t="shared" ca="1" si="377"/>
        <v>51800.26683766341</v>
      </c>
      <c r="V878">
        <f t="shared" ca="1" si="378"/>
        <v>262471.95206644048</v>
      </c>
      <c r="W878">
        <f t="shared" ca="1" si="379"/>
        <v>2.5333760950719233</v>
      </c>
      <c r="X878">
        <f t="shared" ca="1" si="380"/>
        <v>1.943064757909454E-4</v>
      </c>
      <c r="Y878">
        <f t="shared" ca="1" si="381"/>
        <v>52432.464837663407</v>
      </c>
      <c r="Z878">
        <f t="shared" ca="1" si="382"/>
        <v>52432.464837665328</v>
      </c>
      <c r="AA878">
        <f t="shared" ca="1" si="383"/>
        <v>2.459749288225039E-12</v>
      </c>
      <c r="AB878">
        <f t="shared" ca="1" si="384"/>
        <v>-4.999999946448952E-4</v>
      </c>
      <c r="AC878">
        <f t="shared" ca="1" si="385"/>
        <v>1</v>
      </c>
      <c r="AD878">
        <f ca="1">IF(V32="Supercritical",L878,IF(V32="Subcritical",U878,IF(AND(T878=1,AC878=1),IF((((F878)*(L878)^2)/2+(G878)*(L878)^3/3+(ABS(K878)^2)/($I$5*MAX(((F878)+(G878)*(L878))*(L878),0.000001)))&gt;=(((F878)*(U878)^2)/2+(G878)*(U878)^3/3+(ABS(K878)^2)/($I$5*MAX(((F878)+(G878)*(U878))*(U878),0.000001))),L878,U878),IF(T878=1,L878,IF(AC878=1,U878,MAX($D$16,POWER((ABS(K878)^2)/($I$5*MAX(F878,0.1)^2),1/3)))))))</f>
        <v>51800.26683766341</v>
      </c>
      <c r="AE878">
        <f t="shared" ca="1" si="386"/>
        <v>52432.464837663407</v>
      </c>
      <c r="AF878">
        <f t="shared" ca="1" si="387"/>
        <v>52432.464837665328</v>
      </c>
      <c r="AI878">
        <v>0</v>
      </c>
      <c r="AJ878">
        <v>0</v>
      </c>
      <c r="AK878">
        <f t="shared" si="388"/>
        <v>0</v>
      </c>
      <c r="AL878">
        <f t="shared" si="397"/>
        <v>0</v>
      </c>
      <c r="AM878">
        <f t="shared" ca="1" si="389"/>
        <v>2.7257547195994827E-7</v>
      </c>
      <c r="AN878" t="str">
        <f t="shared" ca="1" si="390"/>
        <v>Subcritical</v>
      </c>
      <c r="AO878">
        <f t="shared" ca="1" si="391"/>
        <v>2.459749288225039E-12</v>
      </c>
    </row>
    <row r="879" spans="1:41" x14ac:dyDescent="0.35">
      <c r="A879">
        <v>730</v>
      </c>
      <c r="B879">
        <v>728.89099999999996</v>
      </c>
      <c r="C879">
        <v>616099.08400000003</v>
      </c>
      <c r="D879">
        <v>3097273.7960000001</v>
      </c>
      <c r="E879">
        <v>632.19749999999999</v>
      </c>
      <c r="F879">
        <v>5.0670000000000002</v>
      </c>
      <c r="G879">
        <v>0</v>
      </c>
      <c r="H879" t="s">
        <v>186</v>
      </c>
      <c r="I879">
        <v>7.0000000000000007E-2</v>
      </c>
      <c r="J879">
        <f t="shared" si="392"/>
        <v>1</v>
      </c>
      <c r="K879">
        <f t="shared" si="393"/>
        <v>51</v>
      </c>
      <c r="L879">
        <f t="shared" ca="1" si="394"/>
        <v>51797.843837663619</v>
      </c>
      <c r="M879">
        <f t="shared" ca="1" si="371"/>
        <v>262459.67472544155</v>
      </c>
      <c r="N879">
        <f t="shared" ca="1" si="372"/>
        <v>2.5333760892761812</v>
      </c>
      <c r="O879">
        <f t="shared" ca="1" si="373"/>
        <v>1.9431556506099834E-4</v>
      </c>
      <c r="P879">
        <f t="shared" ca="1" si="374"/>
        <v>52430.041337663621</v>
      </c>
      <c r="Q879">
        <f t="shared" ca="1" si="375"/>
        <v>52430.041337665549</v>
      </c>
      <c r="R879">
        <f t="shared" ca="1" si="376"/>
        <v>2.4599794254593593E-12</v>
      </c>
      <c r="S879">
        <f t="shared" ca="1" si="395"/>
        <v>4.999999946448952E-4</v>
      </c>
      <c r="T879">
        <f t="shared" ca="1" si="396"/>
        <v>1</v>
      </c>
      <c r="U879">
        <f t="shared" ca="1" si="377"/>
        <v>51800.26683766341</v>
      </c>
      <c r="V879">
        <f t="shared" ca="1" si="378"/>
        <v>262471.95206644048</v>
      </c>
      <c r="W879">
        <f t="shared" ca="1" si="379"/>
        <v>2.5333760950719233</v>
      </c>
      <c r="X879">
        <f t="shared" ca="1" si="380"/>
        <v>1.943064757909454E-4</v>
      </c>
      <c r="Y879">
        <f t="shared" ca="1" si="381"/>
        <v>52432.464337663412</v>
      </c>
      <c r="Z879">
        <f t="shared" ca="1" si="382"/>
        <v>52432.464337665333</v>
      </c>
      <c r="AA879">
        <f t="shared" ca="1" si="383"/>
        <v>2.459749288225039E-12</v>
      </c>
      <c r="AB879">
        <f t="shared" ca="1" si="384"/>
        <v>-5.0000000192085281E-4</v>
      </c>
      <c r="AC879">
        <f t="shared" ca="1" si="385"/>
        <v>1</v>
      </c>
      <c r="AD879">
        <f ca="1">IF(V32="Supercritical",L879,IF(V32="Subcritical",U879,IF(AND(T879=1,AC879=1),IF((((F879)*(L879)^2)/2+(G879)*(L879)^3/3+(ABS(K879)^2)/($I$5*MAX(((F879)+(G879)*(L879))*(L879),0.000001)))&gt;=(((F879)*(U879)^2)/2+(G879)*(U879)^3/3+(ABS(K879)^2)/($I$5*MAX(((F879)+(G879)*(U879))*(U879),0.000001))),L879,U879),IF(T879=1,L879,IF(AC879=1,U879,MAX($D$16,POWER((ABS(K879)^2)/($I$5*MAX(F879,0.1)^2),1/3)))))))</f>
        <v>51800.26683766341</v>
      </c>
      <c r="AE879">
        <f t="shared" ca="1" si="386"/>
        <v>52432.464337663412</v>
      </c>
      <c r="AF879">
        <f t="shared" ca="1" si="387"/>
        <v>52432.464337665333</v>
      </c>
      <c r="AI879">
        <v>0</v>
      </c>
      <c r="AJ879">
        <v>0</v>
      </c>
      <c r="AK879">
        <f t="shared" si="388"/>
        <v>0</v>
      </c>
      <c r="AL879">
        <f t="shared" si="397"/>
        <v>0</v>
      </c>
      <c r="AM879">
        <f t="shared" ca="1" si="389"/>
        <v>2.7257547195994827E-7</v>
      </c>
      <c r="AN879" t="str">
        <f t="shared" ca="1" si="390"/>
        <v>Subcritical</v>
      </c>
      <c r="AO879">
        <f t="shared" ca="1" si="391"/>
        <v>2.459749288225039E-12</v>
      </c>
    </row>
    <row r="880" spans="1:41" x14ac:dyDescent="0.35">
      <c r="A880">
        <v>731</v>
      </c>
      <c r="B880">
        <v>729.89099999999996</v>
      </c>
      <c r="C880">
        <v>616098.81900000002</v>
      </c>
      <c r="D880">
        <v>3097272.8319999999</v>
      </c>
      <c r="E880">
        <v>632.197</v>
      </c>
      <c r="F880">
        <v>5.0670000000000002</v>
      </c>
      <c r="G880">
        <v>0</v>
      </c>
      <c r="H880" t="s">
        <v>186</v>
      </c>
      <c r="I880">
        <v>5.5E-2</v>
      </c>
      <c r="J880">
        <f t="shared" si="392"/>
        <v>1</v>
      </c>
      <c r="K880">
        <f t="shared" si="393"/>
        <v>51</v>
      </c>
      <c r="L880">
        <f t="shared" ca="1" si="394"/>
        <v>51797.843837663619</v>
      </c>
      <c r="M880">
        <f t="shared" ca="1" si="371"/>
        <v>262459.67472544155</v>
      </c>
      <c r="N880">
        <f t="shared" ca="1" si="372"/>
        <v>2.5333760892761812</v>
      </c>
      <c r="O880">
        <f t="shared" ca="1" si="373"/>
        <v>1.9431556506099834E-4</v>
      </c>
      <c r="P880">
        <f t="shared" ca="1" si="374"/>
        <v>52430.040837663619</v>
      </c>
      <c r="Q880">
        <f t="shared" ca="1" si="375"/>
        <v>52430.04083766554</v>
      </c>
      <c r="R880">
        <f t="shared" ca="1" si="376"/>
        <v>2.4599794254593593E-12</v>
      </c>
      <c r="S880">
        <f t="shared" ca="1" si="395"/>
        <v>5.0000000919681042E-4</v>
      </c>
      <c r="T880">
        <f t="shared" ca="1" si="396"/>
        <v>1</v>
      </c>
      <c r="U880">
        <f t="shared" ca="1" si="377"/>
        <v>51800.26683766341</v>
      </c>
      <c r="V880">
        <f t="shared" ca="1" si="378"/>
        <v>262471.95206644048</v>
      </c>
      <c r="W880">
        <f t="shared" ca="1" si="379"/>
        <v>2.5333760950719233</v>
      </c>
      <c r="X880">
        <f t="shared" ca="1" si="380"/>
        <v>1.943064757909454E-4</v>
      </c>
      <c r="Y880">
        <f t="shared" ca="1" si="381"/>
        <v>52432.46383766341</v>
      </c>
      <c r="Z880">
        <f t="shared" ca="1" si="382"/>
        <v>52432.463837665331</v>
      </c>
      <c r="AA880">
        <f t="shared" ca="1" si="383"/>
        <v>2.459749288225039E-12</v>
      </c>
      <c r="AB880">
        <f t="shared" ca="1" si="384"/>
        <v>-5.0000000192085281E-4</v>
      </c>
      <c r="AC880">
        <f t="shared" ca="1" si="385"/>
        <v>1</v>
      </c>
      <c r="AD880">
        <f ca="1">IF(V32="Supercritical",L880,IF(V32="Subcritical",U880,IF(AND(T880=1,AC880=1),IF((((F880)*(L880)^2)/2+(G880)*(L880)^3/3+(ABS(K880)^2)/($I$5*MAX(((F880)+(G880)*(L880))*(L880),0.000001)))&gt;=(((F880)*(U880)^2)/2+(G880)*(U880)^3/3+(ABS(K880)^2)/($I$5*MAX(((F880)+(G880)*(U880))*(U880),0.000001))),L880,U880),IF(T880=1,L880,IF(AC880=1,U880,MAX($D$16,POWER((ABS(K880)^2)/($I$5*MAX(F880,0.1)^2),1/3)))))))</f>
        <v>51800.26683766341</v>
      </c>
      <c r="AE880">
        <f t="shared" ca="1" si="386"/>
        <v>52432.46383766341</v>
      </c>
      <c r="AF880">
        <f t="shared" ca="1" si="387"/>
        <v>52432.463837665331</v>
      </c>
      <c r="AI880">
        <v>0</v>
      </c>
      <c r="AJ880">
        <v>0</v>
      </c>
      <c r="AK880">
        <f t="shared" si="388"/>
        <v>0</v>
      </c>
      <c r="AL880">
        <f t="shared" si="397"/>
        <v>0</v>
      </c>
      <c r="AM880">
        <f t="shared" ca="1" si="389"/>
        <v>2.7257547195994827E-7</v>
      </c>
      <c r="AN880" t="str">
        <f t="shared" ca="1" si="390"/>
        <v>Subcritical</v>
      </c>
      <c r="AO880">
        <f t="shared" ca="1" si="391"/>
        <v>2.459749288225039E-12</v>
      </c>
    </row>
    <row r="881" spans="1:41" x14ac:dyDescent="0.35">
      <c r="A881">
        <v>732</v>
      </c>
      <c r="B881">
        <v>730.89099999999996</v>
      </c>
      <c r="C881">
        <v>616098.55500000005</v>
      </c>
      <c r="D881">
        <v>3097271.8679999998</v>
      </c>
      <c r="E881">
        <v>632.19650000000001</v>
      </c>
      <c r="F881">
        <v>5.0670000000000002</v>
      </c>
      <c r="G881">
        <v>0</v>
      </c>
      <c r="H881" t="s">
        <v>186</v>
      </c>
      <c r="I881">
        <v>0.04</v>
      </c>
      <c r="J881">
        <f t="shared" si="392"/>
        <v>1</v>
      </c>
      <c r="K881">
        <f t="shared" si="393"/>
        <v>51</v>
      </c>
      <c r="L881">
        <f t="shared" ca="1" si="394"/>
        <v>51797.843837663619</v>
      </c>
      <c r="M881">
        <f t="shared" ca="1" si="371"/>
        <v>262459.67472544155</v>
      </c>
      <c r="N881">
        <f t="shared" ca="1" si="372"/>
        <v>2.5333760892761812</v>
      </c>
      <c r="O881">
        <f t="shared" ca="1" si="373"/>
        <v>1.9431556506099834E-4</v>
      </c>
      <c r="P881">
        <f t="shared" ca="1" si="374"/>
        <v>52430.040337663617</v>
      </c>
      <c r="Q881">
        <f t="shared" ca="1" si="375"/>
        <v>52430.040337665545</v>
      </c>
      <c r="R881">
        <f t="shared" ca="1" si="376"/>
        <v>2.4599794254593593E-12</v>
      </c>
      <c r="S881">
        <f t="shared" ca="1" si="395"/>
        <v>4.999999946448952E-4</v>
      </c>
      <c r="T881">
        <f t="shared" ca="1" si="396"/>
        <v>1</v>
      </c>
      <c r="U881">
        <f t="shared" ca="1" si="377"/>
        <v>51800.26683766341</v>
      </c>
      <c r="V881">
        <f t="shared" ca="1" si="378"/>
        <v>262471.95206644048</v>
      </c>
      <c r="W881">
        <f t="shared" ca="1" si="379"/>
        <v>2.5333760950719233</v>
      </c>
      <c r="X881">
        <f t="shared" ca="1" si="380"/>
        <v>1.943064757909454E-4</v>
      </c>
      <c r="Y881">
        <f t="shared" ca="1" si="381"/>
        <v>52432.463337663408</v>
      </c>
      <c r="Z881">
        <f t="shared" ca="1" si="382"/>
        <v>52432.463337665329</v>
      </c>
      <c r="AA881">
        <f t="shared" ca="1" si="383"/>
        <v>2.459749288225039E-12</v>
      </c>
      <c r="AB881">
        <f t="shared" ca="1" si="384"/>
        <v>-4.999999946448952E-4</v>
      </c>
      <c r="AC881">
        <f t="shared" ca="1" si="385"/>
        <v>1</v>
      </c>
      <c r="AD881">
        <f ca="1">IF(V32="Supercritical",L881,IF(V32="Subcritical",U881,IF(AND(T881=1,AC881=1),IF((((F881)*(L881)^2)/2+(G881)*(L881)^3/3+(ABS(K881)^2)/($I$5*MAX(((F881)+(G881)*(L881))*(L881),0.000001)))&gt;=(((F881)*(U881)^2)/2+(G881)*(U881)^3/3+(ABS(K881)^2)/($I$5*MAX(((F881)+(G881)*(U881))*(U881),0.000001))),L881,U881),IF(T881=1,L881,IF(AC881=1,U881,MAX($D$16,POWER((ABS(K881)^2)/($I$5*MAX(F881,0.1)^2),1/3)))))))</f>
        <v>51800.26683766341</v>
      </c>
      <c r="AE881">
        <f t="shared" ca="1" si="386"/>
        <v>52432.463337663408</v>
      </c>
      <c r="AF881">
        <f t="shared" ca="1" si="387"/>
        <v>52432.463337665329</v>
      </c>
      <c r="AI881">
        <v>0</v>
      </c>
      <c r="AJ881">
        <v>0</v>
      </c>
      <c r="AK881">
        <f t="shared" si="388"/>
        <v>0</v>
      </c>
      <c r="AL881">
        <f t="shared" si="397"/>
        <v>0</v>
      </c>
      <c r="AM881">
        <f t="shared" ca="1" si="389"/>
        <v>2.7257547195994827E-7</v>
      </c>
      <c r="AN881" t="str">
        <f t="shared" ca="1" si="390"/>
        <v>Subcritical</v>
      </c>
      <c r="AO881">
        <f t="shared" ca="1" si="391"/>
        <v>2.459749288225039E-12</v>
      </c>
    </row>
    <row r="882" spans="1:41" x14ac:dyDescent="0.35">
      <c r="A882">
        <v>733</v>
      </c>
      <c r="B882">
        <v>731.89099999999996</v>
      </c>
      <c r="C882">
        <v>616098.29</v>
      </c>
      <c r="D882">
        <v>3097270.9029999999</v>
      </c>
      <c r="E882">
        <v>632.19600000000003</v>
      </c>
      <c r="F882">
        <v>5.0670000000000002</v>
      </c>
      <c r="G882">
        <v>0</v>
      </c>
      <c r="H882" t="s">
        <v>186</v>
      </c>
      <c r="I882">
        <v>1.4999999999999999E-2</v>
      </c>
      <c r="J882">
        <f t="shared" si="392"/>
        <v>1</v>
      </c>
      <c r="K882">
        <f t="shared" si="393"/>
        <v>51</v>
      </c>
      <c r="L882">
        <f t="shared" ca="1" si="394"/>
        <v>51797.843837663619</v>
      </c>
      <c r="M882">
        <f t="shared" ca="1" si="371"/>
        <v>262459.67472544155</v>
      </c>
      <c r="N882">
        <f t="shared" ca="1" si="372"/>
        <v>2.5333760892761812</v>
      </c>
      <c r="O882">
        <f t="shared" ca="1" si="373"/>
        <v>1.9431556506099834E-4</v>
      </c>
      <c r="P882">
        <f t="shared" ca="1" si="374"/>
        <v>52430.039837663622</v>
      </c>
      <c r="Q882">
        <f t="shared" ca="1" si="375"/>
        <v>52430.03983766555</v>
      </c>
      <c r="R882">
        <f t="shared" ca="1" si="376"/>
        <v>2.4599794254593593E-12</v>
      </c>
      <c r="S882">
        <f t="shared" ca="1" si="395"/>
        <v>4.999999946448952E-4</v>
      </c>
      <c r="T882">
        <f t="shared" ca="1" si="396"/>
        <v>1</v>
      </c>
      <c r="U882">
        <f t="shared" ca="1" si="377"/>
        <v>51800.26683766341</v>
      </c>
      <c r="V882">
        <f t="shared" ca="1" si="378"/>
        <v>262471.95206644048</v>
      </c>
      <c r="W882">
        <f t="shared" ca="1" si="379"/>
        <v>2.5333760950719233</v>
      </c>
      <c r="X882">
        <f t="shared" ca="1" si="380"/>
        <v>1.943064757909454E-4</v>
      </c>
      <c r="Y882">
        <f t="shared" ca="1" si="381"/>
        <v>52432.462837663414</v>
      </c>
      <c r="Z882">
        <f t="shared" ca="1" si="382"/>
        <v>52432.462837665335</v>
      </c>
      <c r="AA882">
        <f t="shared" ca="1" si="383"/>
        <v>2.459749288225039E-12</v>
      </c>
      <c r="AB882">
        <f t="shared" ca="1" si="384"/>
        <v>-5.0000000192085281E-4</v>
      </c>
      <c r="AC882">
        <f t="shared" ca="1" si="385"/>
        <v>1</v>
      </c>
      <c r="AD882">
        <f ca="1">IF(V32="Supercritical",L882,IF(V32="Subcritical",U882,IF(AND(T882=1,AC882=1),IF((((F882)*(L882)^2)/2+(G882)*(L882)^3/3+(ABS(K882)^2)/($I$5*MAX(((F882)+(G882)*(L882))*(L882),0.000001)))&gt;=(((F882)*(U882)^2)/2+(G882)*(U882)^3/3+(ABS(K882)^2)/($I$5*MAX(((F882)+(G882)*(U882))*(U882),0.000001))),L882,U882),IF(T882=1,L882,IF(AC882=1,U882,MAX($D$16,POWER((ABS(K882)^2)/($I$5*MAX(F882,0.1)^2),1/3)))))))</f>
        <v>51800.26683766341</v>
      </c>
      <c r="AE882">
        <f t="shared" ca="1" si="386"/>
        <v>52432.462837663414</v>
      </c>
      <c r="AF882">
        <f t="shared" ca="1" si="387"/>
        <v>52432.462837665335</v>
      </c>
      <c r="AI882">
        <v>0</v>
      </c>
      <c r="AJ882">
        <v>0</v>
      </c>
      <c r="AK882">
        <f t="shared" si="388"/>
        <v>0</v>
      </c>
      <c r="AL882">
        <f t="shared" si="397"/>
        <v>0</v>
      </c>
      <c r="AM882">
        <f t="shared" ca="1" si="389"/>
        <v>2.7257547195994827E-7</v>
      </c>
      <c r="AN882" t="str">
        <f t="shared" ca="1" si="390"/>
        <v>Subcritical</v>
      </c>
      <c r="AO882">
        <f t="shared" ca="1" si="391"/>
        <v>2.459749288225039E-12</v>
      </c>
    </row>
    <row r="883" spans="1:41" x14ac:dyDescent="0.35">
      <c r="A883">
        <v>734</v>
      </c>
      <c r="B883">
        <v>732.89099999999996</v>
      </c>
      <c r="C883">
        <v>616098.02500000002</v>
      </c>
      <c r="D883">
        <v>3097269.9389999998</v>
      </c>
      <c r="E883">
        <v>632.19550000000004</v>
      </c>
      <c r="F883">
        <v>5.0670000000000002</v>
      </c>
      <c r="G883">
        <v>0</v>
      </c>
      <c r="H883" t="s">
        <v>186</v>
      </c>
      <c r="I883">
        <v>7.0000000000000007E-2</v>
      </c>
      <c r="J883">
        <f t="shared" si="392"/>
        <v>1</v>
      </c>
      <c r="K883">
        <f t="shared" si="393"/>
        <v>51</v>
      </c>
      <c r="L883">
        <f t="shared" ca="1" si="394"/>
        <v>51797.843837663619</v>
      </c>
      <c r="M883">
        <f t="shared" ca="1" si="371"/>
        <v>262459.67472544155</v>
      </c>
      <c r="N883">
        <f t="shared" ca="1" si="372"/>
        <v>2.5333760892761812</v>
      </c>
      <c r="O883">
        <f t="shared" ca="1" si="373"/>
        <v>1.9431556506099834E-4</v>
      </c>
      <c r="P883">
        <f t="shared" ca="1" si="374"/>
        <v>52430.03933766362</v>
      </c>
      <c r="Q883">
        <f t="shared" ca="1" si="375"/>
        <v>52430.039337665541</v>
      </c>
      <c r="R883">
        <f t="shared" ca="1" si="376"/>
        <v>2.4599794254593593E-12</v>
      </c>
      <c r="S883">
        <f t="shared" ca="1" si="395"/>
        <v>5.0000000919681042E-4</v>
      </c>
      <c r="T883">
        <f t="shared" ca="1" si="396"/>
        <v>1</v>
      </c>
      <c r="U883">
        <f t="shared" ca="1" si="377"/>
        <v>51800.26683766341</v>
      </c>
      <c r="V883">
        <f t="shared" ca="1" si="378"/>
        <v>262471.95206644048</v>
      </c>
      <c r="W883">
        <f t="shared" ca="1" si="379"/>
        <v>2.5333760950719233</v>
      </c>
      <c r="X883">
        <f t="shared" ca="1" si="380"/>
        <v>1.943064757909454E-4</v>
      </c>
      <c r="Y883">
        <f t="shared" ca="1" si="381"/>
        <v>52432.462337663412</v>
      </c>
      <c r="Z883">
        <f t="shared" ca="1" si="382"/>
        <v>52432.462337665333</v>
      </c>
      <c r="AA883">
        <f t="shared" ca="1" si="383"/>
        <v>2.459749288225039E-12</v>
      </c>
      <c r="AB883">
        <f t="shared" ca="1" si="384"/>
        <v>-5.0000000192085281E-4</v>
      </c>
      <c r="AC883">
        <f t="shared" ca="1" si="385"/>
        <v>1</v>
      </c>
      <c r="AD883">
        <f ca="1">IF(V32="Supercritical",L883,IF(V32="Subcritical",U883,IF(AND(T883=1,AC883=1),IF((((F883)*(L883)^2)/2+(G883)*(L883)^3/3+(ABS(K883)^2)/($I$5*MAX(((F883)+(G883)*(L883))*(L883),0.000001)))&gt;=(((F883)*(U883)^2)/2+(G883)*(U883)^3/3+(ABS(K883)^2)/($I$5*MAX(((F883)+(G883)*(U883))*(U883),0.000001))),L883,U883),IF(T883=1,L883,IF(AC883=1,U883,MAX($D$16,POWER((ABS(K883)^2)/($I$5*MAX(F883,0.1)^2),1/3)))))))</f>
        <v>51800.26683766341</v>
      </c>
      <c r="AE883">
        <f t="shared" ca="1" si="386"/>
        <v>52432.462337663412</v>
      </c>
      <c r="AF883">
        <f t="shared" ca="1" si="387"/>
        <v>52432.462337665333</v>
      </c>
      <c r="AI883">
        <v>0</v>
      </c>
      <c r="AJ883">
        <v>0</v>
      </c>
      <c r="AK883">
        <f t="shared" si="388"/>
        <v>0</v>
      </c>
      <c r="AL883">
        <f t="shared" si="397"/>
        <v>0</v>
      </c>
      <c r="AM883">
        <f t="shared" ca="1" si="389"/>
        <v>2.7257547195994827E-7</v>
      </c>
      <c r="AN883" t="str">
        <f t="shared" ca="1" si="390"/>
        <v>Subcritical</v>
      </c>
      <c r="AO883">
        <f t="shared" ca="1" si="391"/>
        <v>2.459749288225039E-12</v>
      </c>
    </row>
    <row r="884" spans="1:41" x14ac:dyDescent="0.35">
      <c r="A884">
        <v>735</v>
      </c>
      <c r="B884">
        <v>733.89200000000005</v>
      </c>
      <c r="C884">
        <v>616097.76100000006</v>
      </c>
      <c r="D884">
        <v>3097268.9739999999</v>
      </c>
      <c r="E884">
        <v>632.19500000000005</v>
      </c>
      <c r="F884">
        <v>5.0670000000000002</v>
      </c>
      <c r="G884">
        <v>0</v>
      </c>
      <c r="H884" t="s">
        <v>186</v>
      </c>
      <c r="I884">
        <v>7.0000000000000007E-2</v>
      </c>
      <c r="J884">
        <f t="shared" si="392"/>
        <v>1.00100000000009</v>
      </c>
      <c r="K884">
        <f t="shared" si="393"/>
        <v>51</v>
      </c>
      <c r="L884">
        <f t="shared" ca="1" si="394"/>
        <v>51797.843837663619</v>
      </c>
      <c r="M884">
        <f t="shared" ca="1" si="371"/>
        <v>262459.67472544155</v>
      </c>
      <c r="N884">
        <f t="shared" ca="1" si="372"/>
        <v>2.5333760892761812</v>
      </c>
      <c r="O884">
        <f t="shared" ca="1" si="373"/>
        <v>1.9431556506099834E-4</v>
      </c>
      <c r="P884">
        <f t="shared" ca="1" si="374"/>
        <v>52430.038837663618</v>
      </c>
      <c r="Q884">
        <f t="shared" ca="1" si="375"/>
        <v>52430.038837665546</v>
      </c>
      <c r="R884">
        <f t="shared" ca="1" si="376"/>
        <v>2.4599794254593593E-12</v>
      </c>
      <c r="S884">
        <f t="shared" ca="1" si="395"/>
        <v>4.999999946448952E-4</v>
      </c>
      <c r="T884">
        <f t="shared" ca="1" si="396"/>
        <v>1</v>
      </c>
      <c r="U884">
        <f t="shared" ca="1" si="377"/>
        <v>51800.26683766341</v>
      </c>
      <c r="V884">
        <f t="shared" ca="1" si="378"/>
        <v>262471.95206644048</v>
      </c>
      <c r="W884">
        <f t="shared" ca="1" si="379"/>
        <v>2.5333760950719233</v>
      </c>
      <c r="X884">
        <f t="shared" ca="1" si="380"/>
        <v>1.943064757909454E-4</v>
      </c>
      <c r="Y884">
        <f t="shared" ca="1" si="381"/>
        <v>52432.46183766341</v>
      </c>
      <c r="Z884">
        <f t="shared" ca="1" si="382"/>
        <v>52432.461837665331</v>
      </c>
      <c r="AA884">
        <f t="shared" ca="1" si="383"/>
        <v>2.459749288225039E-12</v>
      </c>
      <c r="AB884">
        <f t="shared" ca="1" si="384"/>
        <v>-5.0000000192085281E-4</v>
      </c>
      <c r="AC884">
        <f t="shared" ca="1" si="385"/>
        <v>1</v>
      </c>
      <c r="AD884">
        <f ca="1">IF(V32="Supercritical",L884,IF(V32="Subcritical",U884,IF(AND(T884=1,AC884=1),IF((((F884)*(L884)^2)/2+(G884)*(L884)^3/3+(ABS(K884)^2)/($I$5*MAX(((F884)+(G884)*(L884))*(L884),0.000001)))&gt;=(((F884)*(U884)^2)/2+(G884)*(U884)^3/3+(ABS(K884)^2)/($I$5*MAX(((F884)+(G884)*(U884))*(U884),0.000001))),L884,U884),IF(T884=1,L884,IF(AC884=1,U884,MAX($D$16,POWER((ABS(K884)^2)/($I$5*MAX(F884,0.1)^2),1/3)))))))</f>
        <v>51800.26683766341</v>
      </c>
      <c r="AE884">
        <f t="shared" ca="1" si="386"/>
        <v>52432.46183766341</v>
      </c>
      <c r="AF884">
        <f t="shared" ca="1" si="387"/>
        <v>52432.461837665331</v>
      </c>
      <c r="AI884">
        <v>0</v>
      </c>
      <c r="AJ884">
        <v>0</v>
      </c>
      <c r="AK884">
        <f t="shared" si="388"/>
        <v>0</v>
      </c>
      <c r="AL884">
        <f t="shared" si="397"/>
        <v>0</v>
      </c>
      <c r="AM884">
        <f t="shared" ca="1" si="389"/>
        <v>2.7257547195994827E-7</v>
      </c>
      <c r="AN884" t="str">
        <f t="shared" ca="1" si="390"/>
        <v>Subcritical</v>
      </c>
      <c r="AO884">
        <f t="shared" ca="1" si="391"/>
        <v>2.459749288225039E-12</v>
      </c>
    </row>
    <row r="885" spans="1:41" x14ac:dyDescent="0.35">
      <c r="A885">
        <v>736</v>
      </c>
      <c r="B885">
        <v>734.89099999999996</v>
      </c>
      <c r="C885">
        <v>616097.49600000004</v>
      </c>
      <c r="D885">
        <v>3097268.01</v>
      </c>
      <c r="E885">
        <v>632.19449999999995</v>
      </c>
      <c r="F885">
        <v>5.0670000000000002</v>
      </c>
      <c r="G885">
        <v>0</v>
      </c>
      <c r="H885" t="s">
        <v>186</v>
      </c>
      <c r="I885">
        <v>5.5E-2</v>
      </c>
      <c r="J885">
        <f t="shared" si="392"/>
        <v>0.99899999999990996</v>
      </c>
      <c r="K885">
        <f t="shared" si="393"/>
        <v>51</v>
      </c>
      <c r="L885">
        <f t="shared" ca="1" si="394"/>
        <v>51797.843837663619</v>
      </c>
      <c r="M885">
        <f t="shared" ca="1" si="371"/>
        <v>262459.67472544155</v>
      </c>
      <c r="N885">
        <f t="shared" ca="1" si="372"/>
        <v>2.5333760892761812</v>
      </c>
      <c r="O885">
        <f t="shared" ca="1" si="373"/>
        <v>1.9431556506099834E-4</v>
      </c>
      <c r="P885">
        <f t="shared" ca="1" si="374"/>
        <v>52430.038337663616</v>
      </c>
      <c r="Q885">
        <f t="shared" ca="1" si="375"/>
        <v>52430.038337665537</v>
      </c>
      <c r="R885">
        <f t="shared" ca="1" si="376"/>
        <v>2.4599794254593593E-12</v>
      </c>
      <c r="S885">
        <f t="shared" ca="1" si="395"/>
        <v>5.0000000919681042E-4</v>
      </c>
      <c r="T885">
        <f t="shared" ca="1" si="396"/>
        <v>1</v>
      </c>
      <c r="U885">
        <f t="shared" ca="1" si="377"/>
        <v>51800.26683766341</v>
      </c>
      <c r="V885">
        <f t="shared" ca="1" si="378"/>
        <v>262471.95206644048</v>
      </c>
      <c r="W885">
        <f t="shared" ca="1" si="379"/>
        <v>2.5333760950719233</v>
      </c>
      <c r="X885">
        <f t="shared" ca="1" si="380"/>
        <v>1.943064757909454E-4</v>
      </c>
      <c r="Y885">
        <f t="shared" ca="1" si="381"/>
        <v>52432.461337663408</v>
      </c>
      <c r="Z885">
        <f t="shared" ca="1" si="382"/>
        <v>52432.461337665329</v>
      </c>
      <c r="AA885">
        <f t="shared" ca="1" si="383"/>
        <v>2.459749288225039E-12</v>
      </c>
      <c r="AB885">
        <f t="shared" ca="1" si="384"/>
        <v>-4.999999946448952E-4</v>
      </c>
      <c r="AC885">
        <f t="shared" ca="1" si="385"/>
        <v>1</v>
      </c>
      <c r="AD885">
        <f ca="1">IF(V32="Supercritical",L885,IF(V32="Subcritical",U885,IF(AND(T885=1,AC885=1),IF((((F885)*(L885)^2)/2+(G885)*(L885)^3/3+(ABS(K885)^2)/($I$5*MAX(((F885)+(G885)*(L885))*(L885),0.000001)))&gt;=(((F885)*(U885)^2)/2+(G885)*(U885)^3/3+(ABS(K885)^2)/($I$5*MAX(((F885)+(G885)*(U885))*(U885),0.000001))),L885,U885),IF(T885=1,L885,IF(AC885=1,U885,MAX($D$16,POWER((ABS(K885)^2)/($I$5*MAX(F885,0.1)^2),1/3)))))))</f>
        <v>51800.26683766341</v>
      </c>
      <c r="AE885">
        <f t="shared" ca="1" si="386"/>
        <v>52432.461337663408</v>
      </c>
      <c r="AF885">
        <f t="shared" ca="1" si="387"/>
        <v>52432.461337665329</v>
      </c>
      <c r="AI885">
        <v>0</v>
      </c>
      <c r="AJ885">
        <v>0</v>
      </c>
      <c r="AK885">
        <f t="shared" si="388"/>
        <v>0</v>
      </c>
      <c r="AL885">
        <f t="shared" si="397"/>
        <v>0</v>
      </c>
      <c r="AM885">
        <f t="shared" ca="1" si="389"/>
        <v>2.7257547195994827E-7</v>
      </c>
      <c r="AN885" t="str">
        <f t="shared" ca="1" si="390"/>
        <v>Subcritical</v>
      </c>
      <c r="AO885">
        <f t="shared" ca="1" si="391"/>
        <v>2.459749288225039E-12</v>
      </c>
    </row>
    <row r="886" spans="1:41" x14ac:dyDescent="0.35">
      <c r="A886">
        <v>737</v>
      </c>
      <c r="B886">
        <v>735.89099999999996</v>
      </c>
      <c r="C886">
        <v>616097.23199999996</v>
      </c>
      <c r="D886">
        <v>3097267.0460000001</v>
      </c>
      <c r="E886">
        <v>632.19399999999996</v>
      </c>
      <c r="F886">
        <v>5.0670000000000002</v>
      </c>
      <c r="G886">
        <v>0</v>
      </c>
      <c r="H886" t="s">
        <v>186</v>
      </c>
      <c r="I886">
        <v>0.04</v>
      </c>
      <c r="J886">
        <f t="shared" si="392"/>
        <v>1</v>
      </c>
      <c r="K886">
        <f t="shared" si="393"/>
        <v>51</v>
      </c>
      <c r="L886">
        <f t="shared" ca="1" si="394"/>
        <v>51797.843837663619</v>
      </c>
      <c r="M886">
        <f t="shared" ca="1" si="371"/>
        <v>262459.67472544155</v>
      </c>
      <c r="N886">
        <f t="shared" ca="1" si="372"/>
        <v>2.5333760892761812</v>
      </c>
      <c r="O886">
        <f t="shared" ca="1" si="373"/>
        <v>1.9431556506099834E-4</v>
      </c>
      <c r="P886">
        <f t="shared" ca="1" si="374"/>
        <v>52430.037837663622</v>
      </c>
      <c r="Q886">
        <f t="shared" ca="1" si="375"/>
        <v>52430.037837665543</v>
      </c>
      <c r="R886">
        <f t="shared" ca="1" si="376"/>
        <v>2.4599794254593593E-12</v>
      </c>
      <c r="S886">
        <f t="shared" ca="1" si="395"/>
        <v>4.999999946448952E-4</v>
      </c>
      <c r="T886">
        <f t="shared" ca="1" si="396"/>
        <v>1</v>
      </c>
      <c r="U886">
        <f t="shared" ca="1" si="377"/>
        <v>51800.26683766341</v>
      </c>
      <c r="V886">
        <f t="shared" ca="1" si="378"/>
        <v>262471.95206644048</v>
      </c>
      <c r="W886">
        <f t="shared" ca="1" si="379"/>
        <v>2.5333760950719233</v>
      </c>
      <c r="X886">
        <f t="shared" ca="1" si="380"/>
        <v>1.943064757909454E-4</v>
      </c>
      <c r="Y886">
        <f t="shared" ca="1" si="381"/>
        <v>52432.460837663413</v>
      </c>
      <c r="Z886">
        <f t="shared" ca="1" si="382"/>
        <v>52432.460837665334</v>
      </c>
      <c r="AA886">
        <f t="shared" ca="1" si="383"/>
        <v>2.459749288225039E-12</v>
      </c>
      <c r="AB886">
        <f t="shared" ca="1" si="384"/>
        <v>-5.0000000192085281E-4</v>
      </c>
      <c r="AC886">
        <f t="shared" ca="1" si="385"/>
        <v>1</v>
      </c>
      <c r="AD886">
        <f ca="1">IF(V32="Supercritical",L886,IF(V32="Subcritical",U886,IF(AND(T886=1,AC886=1),IF((((F886)*(L886)^2)/2+(G886)*(L886)^3/3+(ABS(K886)^2)/($I$5*MAX(((F886)+(G886)*(L886))*(L886),0.000001)))&gt;=(((F886)*(U886)^2)/2+(G886)*(U886)^3/3+(ABS(K886)^2)/($I$5*MAX(((F886)+(G886)*(U886))*(U886),0.000001))),L886,U886),IF(T886=1,L886,IF(AC886=1,U886,MAX($D$16,POWER((ABS(K886)^2)/($I$5*MAX(F886,0.1)^2),1/3)))))))</f>
        <v>51800.26683766341</v>
      </c>
      <c r="AE886">
        <f t="shared" ca="1" si="386"/>
        <v>52432.460837663413</v>
      </c>
      <c r="AF886">
        <f t="shared" ca="1" si="387"/>
        <v>52432.460837665334</v>
      </c>
      <c r="AI886">
        <v>0</v>
      </c>
      <c r="AJ886">
        <v>0</v>
      </c>
      <c r="AK886">
        <f t="shared" si="388"/>
        <v>0</v>
      </c>
      <c r="AL886">
        <f t="shared" si="397"/>
        <v>0</v>
      </c>
      <c r="AM886">
        <f t="shared" ca="1" si="389"/>
        <v>2.7257547195994827E-7</v>
      </c>
      <c r="AN886" t="str">
        <f t="shared" ca="1" si="390"/>
        <v>Subcritical</v>
      </c>
      <c r="AO886">
        <f t="shared" ca="1" si="391"/>
        <v>2.459749288225039E-12</v>
      </c>
    </row>
    <row r="887" spans="1:41" x14ac:dyDescent="0.35">
      <c r="A887">
        <v>738</v>
      </c>
      <c r="B887">
        <v>736.89200000000005</v>
      </c>
      <c r="C887">
        <v>616096.96699999995</v>
      </c>
      <c r="D887">
        <v>3097266.0809999998</v>
      </c>
      <c r="E887">
        <v>632.19349999999997</v>
      </c>
      <c r="F887">
        <v>5.0670000000000002</v>
      </c>
      <c r="G887">
        <v>0</v>
      </c>
      <c r="H887" t="s">
        <v>186</v>
      </c>
      <c r="I887">
        <v>1.4999999999999999E-2</v>
      </c>
      <c r="J887">
        <f t="shared" si="392"/>
        <v>1.00100000000009</v>
      </c>
      <c r="K887">
        <f t="shared" si="393"/>
        <v>51</v>
      </c>
      <c r="L887">
        <f t="shared" ca="1" si="394"/>
        <v>51797.843837663619</v>
      </c>
      <c r="M887">
        <f t="shared" ca="1" si="371"/>
        <v>262459.67472544155</v>
      </c>
      <c r="N887">
        <f t="shared" ca="1" si="372"/>
        <v>2.5333760892761812</v>
      </c>
      <c r="O887">
        <f t="shared" ca="1" si="373"/>
        <v>1.9431556506099834E-4</v>
      </c>
      <c r="P887">
        <f t="shared" ca="1" si="374"/>
        <v>52430.03733766362</v>
      </c>
      <c r="Q887">
        <f t="shared" ca="1" si="375"/>
        <v>52430.037337665548</v>
      </c>
      <c r="R887">
        <f t="shared" ca="1" si="376"/>
        <v>2.4599794254593593E-12</v>
      </c>
      <c r="S887">
        <f t="shared" ca="1" si="395"/>
        <v>4.999999946448952E-4</v>
      </c>
      <c r="T887">
        <f t="shared" ca="1" si="396"/>
        <v>1</v>
      </c>
      <c r="U887">
        <f t="shared" ca="1" si="377"/>
        <v>51800.26683766341</v>
      </c>
      <c r="V887">
        <f t="shared" ca="1" si="378"/>
        <v>262471.95206644048</v>
      </c>
      <c r="W887">
        <f t="shared" ca="1" si="379"/>
        <v>2.5333760950719233</v>
      </c>
      <c r="X887">
        <f t="shared" ca="1" si="380"/>
        <v>1.943064757909454E-4</v>
      </c>
      <c r="Y887">
        <f t="shared" ca="1" si="381"/>
        <v>52432.460337663411</v>
      </c>
      <c r="Z887">
        <f t="shared" ca="1" si="382"/>
        <v>52432.460337665332</v>
      </c>
      <c r="AA887">
        <f t="shared" ca="1" si="383"/>
        <v>2.459749288225039E-12</v>
      </c>
      <c r="AB887">
        <f t="shared" ca="1" si="384"/>
        <v>-5.0000000192085281E-4</v>
      </c>
      <c r="AC887">
        <f t="shared" ca="1" si="385"/>
        <v>1</v>
      </c>
      <c r="AD887">
        <f ca="1">IF(V32="Supercritical",L887,IF(V32="Subcritical",U887,IF(AND(T887=1,AC887=1),IF((((F887)*(L887)^2)/2+(G887)*(L887)^3/3+(ABS(K887)^2)/($I$5*MAX(((F887)+(G887)*(L887))*(L887),0.000001)))&gt;=(((F887)*(U887)^2)/2+(G887)*(U887)^3/3+(ABS(K887)^2)/($I$5*MAX(((F887)+(G887)*(U887))*(U887),0.000001))),L887,U887),IF(T887=1,L887,IF(AC887=1,U887,MAX($D$16,POWER((ABS(K887)^2)/($I$5*MAX(F887,0.1)^2),1/3)))))))</f>
        <v>51800.26683766341</v>
      </c>
      <c r="AE887">
        <f t="shared" ca="1" si="386"/>
        <v>52432.460337663411</v>
      </c>
      <c r="AF887">
        <f t="shared" ca="1" si="387"/>
        <v>52432.460337665332</v>
      </c>
      <c r="AI887">
        <v>0</v>
      </c>
      <c r="AJ887">
        <v>0</v>
      </c>
      <c r="AK887">
        <f t="shared" si="388"/>
        <v>0</v>
      </c>
      <c r="AL887">
        <f t="shared" si="397"/>
        <v>0</v>
      </c>
      <c r="AM887">
        <f t="shared" ca="1" si="389"/>
        <v>2.7257547195994827E-7</v>
      </c>
      <c r="AN887" t="str">
        <f t="shared" ca="1" si="390"/>
        <v>Subcritical</v>
      </c>
      <c r="AO887">
        <f t="shared" ca="1" si="391"/>
        <v>2.459749288225039E-12</v>
      </c>
    </row>
    <row r="888" spans="1:41" x14ac:dyDescent="0.35">
      <c r="A888">
        <v>739</v>
      </c>
      <c r="B888">
        <v>737.89099999999996</v>
      </c>
      <c r="C888">
        <v>616096.70200000005</v>
      </c>
      <c r="D888">
        <v>3097265.1170000001</v>
      </c>
      <c r="E888">
        <v>632.19299999999998</v>
      </c>
      <c r="F888">
        <v>5.0670000000000002</v>
      </c>
      <c r="G888">
        <v>0</v>
      </c>
      <c r="H888" t="s">
        <v>186</v>
      </c>
      <c r="I888">
        <v>5.5E-2</v>
      </c>
      <c r="J888">
        <f t="shared" si="392"/>
        <v>0.99899999999990996</v>
      </c>
      <c r="K888">
        <f t="shared" si="393"/>
        <v>51</v>
      </c>
      <c r="L888">
        <f t="shared" ca="1" si="394"/>
        <v>51797.843837663619</v>
      </c>
      <c r="M888">
        <f t="shared" ca="1" si="371"/>
        <v>262459.67472544155</v>
      </c>
      <c r="N888">
        <f t="shared" ca="1" si="372"/>
        <v>2.5333760892761812</v>
      </c>
      <c r="O888">
        <f t="shared" ca="1" si="373"/>
        <v>1.9431556506099834E-4</v>
      </c>
      <c r="P888">
        <f t="shared" ca="1" si="374"/>
        <v>52430.036837663618</v>
      </c>
      <c r="Q888">
        <f t="shared" ca="1" si="375"/>
        <v>52430.036837665539</v>
      </c>
      <c r="R888">
        <f t="shared" ca="1" si="376"/>
        <v>2.4599794254593593E-12</v>
      </c>
      <c r="S888">
        <f t="shared" ca="1" si="395"/>
        <v>5.0000000919681042E-4</v>
      </c>
      <c r="T888">
        <f t="shared" ca="1" si="396"/>
        <v>1</v>
      </c>
      <c r="U888">
        <f t="shared" ca="1" si="377"/>
        <v>51800.26683766341</v>
      </c>
      <c r="V888">
        <f t="shared" ca="1" si="378"/>
        <v>262471.95206644048</v>
      </c>
      <c r="W888">
        <f t="shared" ca="1" si="379"/>
        <v>2.5333760950719233</v>
      </c>
      <c r="X888">
        <f t="shared" ca="1" si="380"/>
        <v>1.943064757909454E-4</v>
      </c>
      <c r="Y888">
        <f t="shared" ca="1" si="381"/>
        <v>52432.459837663409</v>
      </c>
      <c r="Z888">
        <f t="shared" ca="1" si="382"/>
        <v>52432.45983766533</v>
      </c>
      <c r="AA888">
        <f t="shared" ca="1" si="383"/>
        <v>2.459749288225039E-12</v>
      </c>
      <c r="AB888">
        <f t="shared" ca="1" si="384"/>
        <v>-5.0000000192085281E-4</v>
      </c>
      <c r="AC888">
        <f t="shared" ca="1" si="385"/>
        <v>1</v>
      </c>
      <c r="AD888">
        <f ca="1">IF(V32="Supercritical",L888,IF(V32="Subcritical",U888,IF(AND(T888=1,AC888=1),IF((((F888)*(L888)^2)/2+(G888)*(L888)^3/3+(ABS(K888)^2)/($I$5*MAX(((F888)+(G888)*(L888))*(L888),0.000001)))&gt;=(((F888)*(U888)^2)/2+(G888)*(U888)^3/3+(ABS(K888)^2)/($I$5*MAX(((F888)+(G888)*(U888))*(U888),0.000001))),L888,U888),IF(T888=1,L888,IF(AC888=1,U888,MAX($D$16,POWER((ABS(K888)^2)/($I$5*MAX(F888,0.1)^2),1/3)))))))</f>
        <v>51800.26683766341</v>
      </c>
      <c r="AE888">
        <f t="shared" ca="1" si="386"/>
        <v>52432.459837663409</v>
      </c>
      <c r="AF888">
        <f t="shared" ca="1" si="387"/>
        <v>52432.45983766533</v>
      </c>
      <c r="AI888">
        <v>0</v>
      </c>
      <c r="AJ888">
        <v>0</v>
      </c>
      <c r="AK888">
        <f t="shared" si="388"/>
        <v>0</v>
      </c>
      <c r="AL888">
        <f t="shared" si="397"/>
        <v>0</v>
      </c>
      <c r="AM888">
        <f t="shared" ca="1" si="389"/>
        <v>2.7257547195994827E-7</v>
      </c>
      <c r="AN888" t="str">
        <f t="shared" ca="1" si="390"/>
        <v>Subcritical</v>
      </c>
      <c r="AO888">
        <f t="shared" ca="1" si="391"/>
        <v>2.459749288225039E-12</v>
      </c>
    </row>
    <row r="889" spans="1:41" x14ac:dyDescent="0.35">
      <c r="A889">
        <v>740</v>
      </c>
      <c r="B889">
        <v>738.89099999999996</v>
      </c>
      <c r="C889">
        <v>616096.43799999997</v>
      </c>
      <c r="D889">
        <v>3097264.1529999999</v>
      </c>
      <c r="E889">
        <v>632.1925</v>
      </c>
      <c r="F889">
        <v>5.0670000000000002</v>
      </c>
      <c r="G889">
        <v>0</v>
      </c>
      <c r="H889" t="s">
        <v>186</v>
      </c>
      <c r="I889">
        <v>0.04</v>
      </c>
      <c r="J889">
        <f t="shared" si="392"/>
        <v>1</v>
      </c>
      <c r="K889">
        <f t="shared" si="393"/>
        <v>51</v>
      </c>
      <c r="L889">
        <f t="shared" ca="1" si="394"/>
        <v>51797.843837663619</v>
      </c>
      <c r="M889">
        <f t="shared" ca="1" si="371"/>
        <v>262459.67472544155</v>
      </c>
      <c r="N889">
        <f t="shared" ca="1" si="372"/>
        <v>2.5333760892761812</v>
      </c>
      <c r="O889">
        <f t="shared" ca="1" si="373"/>
        <v>1.9431556506099834E-4</v>
      </c>
      <c r="P889">
        <f t="shared" ca="1" si="374"/>
        <v>52430.036337663616</v>
      </c>
      <c r="Q889">
        <f t="shared" ca="1" si="375"/>
        <v>52430.036337665544</v>
      </c>
      <c r="R889">
        <f t="shared" ca="1" si="376"/>
        <v>2.4599794254593593E-12</v>
      </c>
      <c r="S889">
        <f t="shared" ca="1" si="395"/>
        <v>4.999999946448952E-4</v>
      </c>
      <c r="T889">
        <f t="shared" ca="1" si="396"/>
        <v>1</v>
      </c>
      <c r="U889">
        <f t="shared" ca="1" si="377"/>
        <v>51800.26683766341</v>
      </c>
      <c r="V889">
        <f t="shared" ca="1" si="378"/>
        <v>262471.95206644048</v>
      </c>
      <c r="W889">
        <f t="shared" ca="1" si="379"/>
        <v>2.5333760950719233</v>
      </c>
      <c r="X889">
        <f t="shared" ca="1" si="380"/>
        <v>1.943064757909454E-4</v>
      </c>
      <c r="Y889">
        <f t="shared" ca="1" si="381"/>
        <v>52432.459337663407</v>
      </c>
      <c r="Z889">
        <f t="shared" ca="1" si="382"/>
        <v>52432.459337665328</v>
      </c>
      <c r="AA889">
        <f t="shared" ca="1" si="383"/>
        <v>2.459749288225039E-12</v>
      </c>
      <c r="AB889">
        <f t="shared" ca="1" si="384"/>
        <v>-4.999999946448952E-4</v>
      </c>
      <c r="AC889">
        <f t="shared" ca="1" si="385"/>
        <v>1</v>
      </c>
      <c r="AD889">
        <f ca="1">IF(V32="Supercritical",L889,IF(V32="Subcritical",U889,IF(AND(T889=1,AC889=1),IF((((F889)*(L889)^2)/2+(G889)*(L889)^3/3+(ABS(K889)^2)/($I$5*MAX(((F889)+(G889)*(L889))*(L889),0.000001)))&gt;=(((F889)*(U889)^2)/2+(G889)*(U889)^3/3+(ABS(K889)^2)/($I$5*MAX(((F889)+(G889)*(U889))*(U889),0.000001))),L889,U889),IF(T889=1,L889,IF(AC889=1,U889,MAX($D$16,POWER((ABS(K889)^2)/($I$5*MAX(F889,0.1)^2),1/3)))))))</f>
        <v>51800.26683766341</v>
      </c>
      <c r="AE889">
        <f t="shared" ca="1" si="386"/>
        <v>52432.459337663407</v>
      </c>
      <c r="AF889">
        <f t="shared" ca="1" si="387"/>
        <v>52432.459337665328</v>
      </c>
      <c r="AI889">
        <v>0</v>
      </c>
      <c r="AJ889">
        <v>0</v>
      </c>
      <c r="AK889">
        <f t="shared" si="388"/>
        <v>0</v>
      </c>
      <c r="AL889">
        <f t="shared" si="397"/>
        <v>0</v>
      </c>
      <c r="AM889">
        <f t="shared" ca="1" si="389"/>
        <v>2.7257547195994827E-7</v>
      </c>
      <c r="AN889" t="str">
        <f t="shared" ca="1" si="390"/>
        <v>Subcritical</v>
      </c>
      <c r="AO889">
        <f t="shared" ca="1" si="391"/>
        <v>2.459749288225039E-12</v>
      </c>
    </row>
    <row r="890" spans="1:41" x14ac:dyDescent="0.35">
      <c r="A890">
        <v>741</v>
      </c>
      <c r="B890">
        <v>739.89099999999996</v>
      </c>
      <c r="C890">
        <v>616096.17299999995</v>
      </c>
      <c r="D890">
        <v>3097263.1880000001</v>
      </c>
      <c r="E890">
        <v>632.19200000000001</v>
      </c>
      <c r="F890">
        <v>5.0670000000000002</v>
      </c>
      <c r="G890">
        <v>0</v>
      </c>
      <c r="H890" t="s">
        <v>186</v>
      </c>
      <c r="I890">
        <v>0.04</v>
      </c>
      <c r="J890">
        <f t="shared" si="392"/>
        <v>1</v>
      </c>
      <c r="K890">
        <f t="shared" si="393"/>
        <v>51</v>
      </c>
      <c r="L890">
        <f t="shared" ca="1" si="394"/>
        <v>51797.843837663619</v>
      </c>
      <c r="M890">
        <f t="shared" ca="1" si="371"/>
        <v>262459.67472544155</v>
      </c>
      <c r="N890">
        <f t="shared" ca="1" si="372"/>
        <v>2.5333760892761812</v>
      </c>
      <c r="O890">
        <f t="shared" ca="1" si="373"/>
        <v>1.9431556506099834E-4</v>
      </c>
      <c r="P890">
        <f t="shared" ca="1" si="374"/>
        <v>52430.035837663621</v>
      </c>
      <c r="Q890">
        <f t="shared" ca="1" si="375"/>
        <v>52430.035837665549</v>
      </c>
      <c r="R890">
        <f t="shared" ca="1" si="376"/>
        <v>2.4599794254593593E-12</v>
      </c>
      <c r="S890">
        <f t="shared" ca="1" si="395"/>
        <v>4.999999946448952E-4</v>
      </c>
      <c r="T890">
        <f t="shared" ca="1" si="396"/>
        <v>1</v>
      </c>
      <c r="U890">
        <f t="shared" ca="1" si="377"/>
        <v>51800.26683766341</v>
      </c>
      <c r="V890">
        <f t="shared" ca="1" si="378"/>
        <v>262471.95206644048</v>
      </c>
      <c r="W890">
        <f t="shared" ca="1" si="379"/>
        <v>2.5333760950719233</v>
      </c>
      <c r="X890">
        <f t="shared" ca="1" si="380"/>
        <v>1.943064757909454E-4</v>
      </c>
      <c r="Y890">
        <f t="shared" ca="1" si="381"/>
        <v>52432.458837663413</v>
      </c>
      <c r="Z890">
        <f t="shared" ca="1" si="382"/>
        <v>52432.458837665334</v>
      </c>
      <c r="AA890">
        <f t="shared" ca="1" si="383"/>
        <v>2.459749288225039E-12</v>
      </c>
      <c r="AB890">
        <f t="shared" ca="1" si="384"/>
        <v>-5.0000000192085281E-4</v>
      </c>
      <c r="AC890">
        <f t="shared" ca="1" si="385"/>
        <v>1</v>
      </c>
      <c r="AD890">
        <f ca="1">IF(V32="Supercritical",L890,IF(V32="Subcritical",U890,IF(AND(T890=1,AC890=1),IF((((F890)*(L890)^2)/2+(G890)*(L890)^3/3+(ABS(K890)^2)/($I$5*MAX(((F890)+(G890)*(L890))*(L890),0.000001)))&gt;=(((F890)*(U890)^2)/2+(G890)*(U890)^3/3+(ABS(K890)^2)/($I$5*MAX(((F890)+(G890)*(U890))*(U890),0.000001))),L890,U890),IF(T890=1,L890,IF(AC890=1,U890,MAX($D$16,POWER((ABS(K890)^2)/($I$5*MAX(F890,0.1)^2),1/3)))))))</f>
        <v>51800.26683766341</v>
      </c>
      <c r="AE890">
        <f t="shared" ca="1" si="386"/>
        <v>52432.458837663413</v>
      </c>
      <c r="AF890">
        <f t="shared" ca="1" si="387"/>
        <v>52432.458837665334</v>
      </c>
      <c r="AI890">
        <v>0</v>
      </c>
      <c r="AJ890">
        <v>0</v>
      </c>
      <c r="AK890">
        <f t="shared" si="388"/>
        <v>0</v>
      </c>
      <c r="AL890">
        <f t="shared" si="397"/>
        <v>0</v>
      </c>
      <c r="AM890">
        <f t="shared" ca="1" si="389"/>
        <v>2.7257547195994827E-7</v>
      </c>
      <c r="AN890" t="str">
        <f t="shared" ca="1" si="390"/>
        <v>Subcritical</v>
      </c>
      <c r="AO890">
        <f t="shared" ca="1" si="391"/>
        <v>2.459749288225039E-12</v>
      </c>
    </row>
    <row r="891" spans="1:41" x14ac:dyDescent="0.35">
      <c r="A891">
        <v>742</v>
      </c>
      <c r="B891">
        <v>740.89099999999996</v>
      </c>
      <c r="C891">
        <v>616095.90899999999</v>
      </c>
      <c r="D891">
        <v>3097262.2239999999</v>
      </c>
      <c r="E891">
        <v>632.19150000000002</v>
      </c>
      <c r="F891">
        <v>5.0670000000000002</v>
      </c>
      <c r="G891">
        <v>0</v>
      </c>
      <c r="H891" t="s">
        <v>186</v>
      </c>
      <c r="I891">
        <v>5.5E-2</v>
      </c>
      <c r="J891">
        <f t="shared" si="392"/>
        <v>1</v>
      </c>
      <c r="K891">
        <f t="shared" si="393"/>
        <v>51</v>
      </c>
      <c r="L891">
        <f t="shared" ca="1" si="394"/>
        <v>51797.843837663619</v>
      </c>
      <c r="M891">
        <f t="shared" ca="1" si="371"/>
        <v>262459.67472544155</v>
      </c>
      <c r="N891">
        <f t="shared" ca="1" si="372"/>
        <v>2.5333760892761812</v>
      </c>
      <c r="O891">
        <f t="shared" ca="1" si="373"/>
        <v>1.9431556506099834E-4</v>
      </c>
      <c r="P891">
        <f t="shared" ca="1" si="374"/>
        <v>52430.035337663619</v>
      </c>
      <c r="Q891">
        <f t="shared" ca="1" si="375"/>
        <v>52430.03533766554</v>
      </c>
      <c r="R891">
        <f t="shared" ca="1" si="376"/>
        <v>2.4599794254593593E-12</v>
      </c>
      <c r="S891">
        <f t="shared" ca="1" si="395"/>
        <v>5.0000000919681042E-4</v>
      </c>
      <c r="T891">
        <f t="shared" ca="1" si="396"/>
        <v>1</v>
      </c>
      <c r="U891">
        <f t="shared" ca="1" si="377"/>
        <v>51800.26683766341</v>
      </c>
      <c r="V891">
        <f t="shared" ca="1" si="378"/>
        <v>262471.95206644048</v>
      </c>
      <c r="W891">
        <f t="shared" ca="1" si="379"/>
        <v>2.5333760950719233</v>
      </c>
      <c r="X891">
        <f t="shared" ca="1" si="380"/>
        <v>1.943064757909454E-4</v>
      </c>
      <c r="Y891">
        <f t="shared" ca="1" si="381"/>
        <v>52432.458337663411</v>
      </c>
      <c r="Z891">
        <f t="shared" ca="1" si="382"/>
        <v>52432.458337665332</v>
      </c>
      <c r="AA891">
        <f t="shared" ca="1" si="383"/>
        <v>2.459749288225039E-12</v>
      </c>
      <c r="AB891">
        <f t="shared" ca="1" si="384"/>
        <v>-5.0000000192085281E-4</v>
      </c>
      <c r="AC891">
        <f t="shared" ca="1" si="385"/>
        <v>1</v>
      </c>
      <c r="AD891">
        <f ca="1">IF(V32="Supercritical",L891,IF(V32="Subcritical",U891,IF(AND(T891=1,AC891=1),IF((((F891)*(L891)^2)/2+(G891)*(L891)^3/3+(ABS(K891)^2)/($I$5*MAX(((F891)+(G891)*(L891))*(L891),0.000001)))&gt;=(((F891)*(U891)^2)/2+(G891)*(U891)^3/3+(ABS(K891)^2)/($I$5*MAX(((F891)+(G891)*(U891))*(U891),0.000001))),L891,U891),IF(T891=1,L891,IF(AC891=1,U891,MAX($D$16,POWER((ABS(K891)^2)/($I$5*MAX(F891,0.1)^2),1/3)))))))</f>
        <v>51800.26683766341</v>
      </c>
      <c r="AE891">
        <f t="shared" ca="1" si="386"/>
        <v>52432.458337663411</v>
      </c>
      <c r="AF891">
        <f t="shared" ca="1" si="387"/>
        <v>52432.458337665332</v>
      </c>
      <c r="AI891">
        <v>0</v>
      </c>
      <c r="AJ891">
        <v>0</v>
      </c>
      <c r="AK891">
        <f t="shared" si="388"/>
        <v>0</v>
      </c>
      <c r="AL891">
        <f t="shared" si="397"/>
        <v>0</v>
      </c>
      <c r="AM891">
        <f t="shared" ca="1" si="389"/>
        <v>2.7257547195994827E-7</v>
      </c>
      <c r="AN891" t="str">
        <f t="shared" ca="1" si="390"/>
        <v>Subcritical</v>
      </c>
      <c r="AO891">
        <f t="shared" ca="1" si="391"/>
        <v>2.459749288225039E-12</v>
      </c>
    </row>
    <row r="892" spans="1:41" x14ac:dyDescent="0.35">
      <c r="A892">
        <v>743</v>
      </c>
      <c r="B892">
        <v>741.89099999999996</v>
      </c>
      <c r="C892">
        <v>616095.64399999997</v>
      </c>
      <c r="D892">
        <v>3097261.26</v>
      </c>
      <c r="E892">
        <v>632.19100000000003</v>
      </c>
      <c r="F892">
        <v>5.0670000000000002</v>
      </c>
      <c r="G892">
        <v>0</v>
      </c>
      <c r="H892" t="s">
        <v>186</v>
      </c>
      <c r="I892">
        <v>1.4999999999999999E-2</v>
      </c>
      <c r="J892">
        <f t="shared" si="392"/>
        <v>1</v>
      </c>
      <c r="K892">
        <f t="shared" si="393"/>
        <v>51</v>
      </c>
      <c r="L892">
        <f t="shared" ca="1" si="394"/>
        <v>51797.843837663619</v>
      </c>
      <c r="M892">
        <f t="shared" ca="1" si="371"/>
        <v>262459.67472544155</v>
      </c>
      <c r="N892">
        <f t="shared" ca="1" si="372"/>
        <v>2.5333760892761812</v>
      </c>
      <c r="O892">
        <f t="shared" ca="1" si="373"/>
        <v>1.9431556506099834E-4</v>
      </c>
      <c r="P892">
        <f t="shared" ca="1" si="374"/>
        <v>52430.034837663618</v>
      </c>
      <c r="Q892">
        <f t="shared" ca="1" si="375"/>
        <v>52430.034837665546</v>
      </c>
      <c r="R892">
        <f t="shared" ca="1" si="376"/>
        <v>2.4599794254593593E-12</v>
      </c>
      <c r="S892">
        <f t="shared" ca="1" si="395"/>
        <v>4.999999946448952E-4</v>
      </c>
      <c r="T892">
        <f t="shared" ca="1" si="396"/>
        <v>1</v>
      </c>
      <c r="U892">
        <f t="shared" ca="1" si="377"/>
        <v>51800.26683766341</v>
      </c>
      <c r="V892">
        <f t="shared" ca="1" si="378"/>
        <v>262471.95206644048</v>
      </c>
      <c r="W892">
        <f t="shared" ca="1" si="379"/>
        <v>2.5333760950719233</v>
      </c>
      <c r="X892">
        <f t="shared" ca="1" si="380"/>
        <v>1.943064757909454E-4</v>
      </c>
      <c r="Y892">
        <f t="shared" ca="1" si="381"/>
        <v>52432.457837663409</v>
      </c>
      <c r="Z892">
        <f t="shared" ca="1" si="382"/>
        <v>52432.45783766533</v>
      </c>
      <c r="AA892">
        <f t="shared" ca="1" si="383"/>
        <v>2.459749288225039E-12</v>
      </c>
      <c r="AB892">
        <f t="shared" ca="1" si="384"/>
        <v>-5.0000000192085281E-4</v>
      </c>
      <c r="AC892">
        <f t="shared" ca="1" si="385"/>
        <v>1</v>
      </c>
      <c r="AD892">
        <f ca="1">IF(V32="Supercritical",L892,IF(V32="Subcritical",U892,IF(AND(T892=1,AC892=1),IF((((F892)*(L892)^2)/2+(G892)*(L892)^3/3+(ABS(K892)^2)/($I$5*MAX(((F892)+(G892)*(L892))*(L892),0.000001)))&gt;=(((F892)*(U892)^2)/2+(G892)*(U892)^3/3+(ABS(K892)^2)/($I$5*MAX(((F892)+(G892)*(U892))*(U892),0.000001))),L892,U892),IF(T892=1,L892,IF(AC892=1,U892,MAX($D$16,POWER((ABS(K892)^2)/($I$5*MAX(F892,0.1)^2),1/3)))))))</f>
        <v>51800.26683766341</v>
      </c>
      <c r="AE892">
        <f t="shared" ca="1" si="386"/>
        <v>52432.457837663409</v>
      </c>
      <c r="AF892">
        <f t="shared" ca="1" si="387"/>
        <v>52432.45783766533</v>
      </c>
      <c r="AI892">
        <v>0</v>
      </c>
      <c r="AJ892">
        <v>0</v>
      </c>
      <c r="AK892">
        <f t="shared" si="388"/>
        <v>0</v>
      </c>
      <c r="AL892">
        <f t="shared" si="397"/>
        <v>0</v>
      </c>
      <c r="AM892">
        <f t="shared" ca="1" si="389"/>
        <v>2.7257547195994827E-7</v>
      </c>
      <c r="AN892" t="str">
        <f t="shared" ca="1" si="390"/>
        <v>Subcritical</v>
      </c>
      <c r="AO892">
        <f t="shared" ca="1" si="391"/>
        <v>2.459749288225039E-12</v>
      </c>
    </row>
    <row r="893" spans="1:41" x14ac:dyDescent="0.35">
      <c r="A893">
        <v>744</v>
      </c>
      <c r="B893">
        <v>742.89099999999996</v>
      </c>
      <c r="C893">
        <v>616095.37899999996</v>
      </c>
      <c r="D893">
        <v>3097260.2949999999</v>
      </c>
      <c r="E893">
        <v>632.19050000000004</v>
      </c>
      <c r="F893">
        <v>5.0670000000000002</v>
      </c>
      <c r="G893">
        <v>0</v>
      </c>
      <c r="H893" t="s">
        <v>186</v>
      </c>
      <c r="I893">
        <v>0.04</v>
      </c>
      <c r="J893">
        <f t="shared" si="392"/>
        <v>1</v>
      </c>
      <c r="K893">
        <f t="shared" si="393"/>
        <v>51</v>
      </c>
      <c r="L893">
        <f t="shared" ca="1" si="394"/>
        <v>51797.843837663619</v>
      </c>
      <c r="M893">
        <f t="shared" ca="1" si="371"/>
        <v>262459.67472544155</v>
      </c>
      <c r="N893">
        <f t="shared" ca="1" si="372"/>
        <v>2.5333760892761812</v>
      </c>
      <c r="O893">
        <f t="shared" ca="1" si="373"/>
        <v>1.9431556506099834E-4</v>
      </c>
      <c r="P893">
        <f t="shared" ca="1" si="374"/>
        <v>52430.034337663616</v>
      </c>
      <c r="Q893">
        <f t="shared" ca="1" si="375"/>
        <v>52430.034337665536</v>
      </c>
      <c r="R893">
        <f t="shared" ca="1" si="376"/>
        <v>2.4599794254593593E-12</v>
      </c>
      <c r="S893">
        <f t="shared" ca="1" si="395"/>
        <v>5.0000000919681042E-4</v>
      </c>
      <c r="T893">
        <f t="shared" ca="1" si="396"/>
        <v>1</v>
      </c>
      <c r="U893">
        <f t="shared" ca="1" si="377"/>
        <v>51800.26683766341</v>
      </c>
      <c r="V893">
        <f t="shared" ca="1" si="378"/>
        <v>262471.95206644048</v>
      </c>
      <c r="W893">
        <f t="shared" ca="1" si="379"/>
        <v>2.5333760950719233</v>
      </c>
      <c r="X893">
        <f t="shared" ca="1" si="380"/>
        <v>1.943064757909454E-4</v>
      </c>
      <c r="Y893">
        <f t="shared" ca="1" si="381"/>
        <v>52432.457337663407</v>
      </c>
      <c r="Z893">
        <f t="shared" ca="1" si="382"/>
        <v>52432.457337665328</v>
      </c>
      <c r="AA893">
        <f t="shared" ca="1" si="383"/>
        <v>2.459749288225039E-12</v>
      </c>
      <c r="AB893">
        <f t="shared" ca="1" si="384"/>
        <v>-4.999999946448952E-4</v>
      </c>
      <c r="AC893">
        <f t="shared" ca="1" si="385"/>
        <v>1</v>
      </c>
      <c r="AD893">
        <f ca="1">IF(V32="Supercritical",L893,IF(V32="Subcritical",U893,IF(AND(T893=1,AC893=1),IF((((F893)*(L893)^2)/2+(G893)*(L893)^3/3+(ABS(K893)^2)/($I$5*MAX(((F893)+(G893)*(L893))*(L893),0.000001)))&gt;=(((F893)*(U893)^2)/2+(G893)*(U893)^3/3+(ABS(K893)^2)/($I$5*MAX(((F893)+(G893)*(U893))*(U893),0.000001))),L893,U893),IF(T893=1,L893,IF(AC893=1,U893,MAX($D$16,POWER((ABS(K893)^2)/($I$5*MAX(F893,0.1)^2),1/3)))))))</f>
        <v>51800.26683766341</v>
      </c>
      <c r="AE893">
        <f t="shared" ca="1" si="386"/>
        <v>52432.457337663407</v>
      </c>
      <c r="AF893">
        <f t="shared" ca="1" si="387"/>
        <v>52432.457337665328</v>
      </c>
      <c r="AI893">
        <v>0</v>
      </c>
      <c r="AJ893">
        <v>0</v>
      </c>
      <c r="AK893">
        <f t="shared" si="388"/>
        <v>0</v>
      </c>
      <c r="AL893">
        <f t="shared" si="397"/>
        <v>0</v>
      </c>
      <c r="AM893">
        <f t="shared" ca="1" si="389"/>
        <v>2.7257547195994827E-7</v>
      </c>
      <c r="AN893" t="str">
        <f t="shared" ca="1" si="390"/>
        <v>Subcritical</v>
      </c>
      <c r="AO893">
        <f t="shared" ca="1" si="391"/>
        <v>2.459749288225039E-12</v>
      </c>
    </row>
    <row r="894" spans="1:41" x14ac:dyDescent="0.35">
      <c r="A894">
        <v>745</v>
      </c>
      <c r="B894">
        <v>743.89099999999996</v>
      </c>
      <c r="C894">
        <v>616095.11499999999</v>
      </c>
      <c r="D894">
        <v>3097259.3309999998</v>
      </c>
      <c r="E894">
        <v>632.19000000000005</v>
      </c>
      <c r="F894">
        <v>5.0670000000000002</v>
      </c>
      <c r="G894">
        <v>0</v>
      </c>
      <c r="H894" t="s">
        <v>186</v>
      </c>
      <c r="I894">
        <v>0.04</v>
      </c>
      <c r="J894">
        <f t="shared" si="392"/>
        <v>1</v>
      </c>
      <c r="K894">
        <f t="shared" si="393"/>
        <v>51</v>
      </c>
      <c r="L894">
        <f t="shared" ca="1" si="394"/>
        <v>51797.843837663619</v>
      </c>
      <c r="M894">
        <f t="shared" ca="1" si="371"/>
        <v>262459.67472544155</v>
      </c>
      <c r="N894">
        <f t="shared" ca="1" si="372"/>
        <v>2.5333760892761812</v>
      </c>
      <c r="O894">
        <f t="shared" ca="1" si="373"/>
        <v>1.9431556506099834E-4</v>
      </c>
      <c r="P894">
        <f t="shared" ca="1" si="374"/>
        <v>52430.033837663621</v>
      </c>
      <c r="Q894">
        <f t="shared" ca="1" si="375"/>
        <v>52430.033837665542</v>
      </c>
      <c r="R894">
        <f t="shared" ca="1" si="376"/>
        <v>2.4599794254593593E-12</v>
      </c>
      <c r="S894">
        <f t="shared" ca="1" si="395"/>
        <v>4.999999946448952E-4</v>
      </c>
      <c r="T894">
        <f t="shared" ca="1" si="396"/>
        <v>1</v>
      </c>
      <c r="U894">
        <f t="shared" ca="1" si="377"/>
        <v>51800.26683766341</v>
      </c>
      <c r="V894">
        <f t="shared" ca="1" si="378"/>
        <v>262471.95206644048</v>
      </c>
      <c r="W894">
        <f t="shared" ca="1" si="379"/>
        <v>2.5333760950719233</v>
      </c>
      <c r="X894">
        <f t="shared" ca="1" si="380"/>
        <v>1.943064757909454E-4</v>
      </c>
      <c r="Y894">
        <f t="shared" ca="1" si="381"/>
        <v>52432.456837663412</v>
      </c>
      <c r="Z894">
        <f t="shared" ca="1" si="382"/>
        <v>52432.456837665333</v>
      </c>
      <c r="AA894">
        <f t="shared" ca="1" si="383"/>
        <v>2.459749288225039E-12</v>
      </c>
      <c r="AB894">
        <f t="shared" ca="1" si="384"/>
        <v>-5.0000000192085281E-4</v>
      </c>
      <c r="AC894">
        <f t="shared" ca="1" si="385"/>
        <v>1</v>
      </c>
      <c r="AD894">
        <f ca="1">IF(V32="Supercritical",L894,IF(V32="Subcritical",U894,IF(AND(T894=1,AC894=1),IF((((F894)*(L894)^2)/2+(G894)*(L894)^3/3+(ABS(K894)^2)/($I$5*MAX(((F894)+(G894)*(L894))*(L894),0.000001)))&gt;=(((F894)*(U894)^2)/2+(G894)*(U894)^3/3+(ABS(K894)^2)/($I$5*MAX(((F894)+(G894)*(U894))*(U894),0.000001))),L894,U894),IF(T894=1,L894,IF(AC894=1,U894,MAX($D$16,POWER((ABS(K894)^2)/($I$5*MAX(F894,0.1)^2),1/3)))))))</f>
        <v>51800.26683766341</v>
      </c>
      <c r="AE894">
        <f t="shared" ca="1" si="386"/>
        <v>52432.456837663412</v>
      </c>
      <c r="AF894">
        <f t="shared" ca="1" si="387"/>
        <v>52432.456837665333</v>
      </c>
      <c r="AI894">
        <v>0</v>
      </c>
      <c r="AJ894">
        <v>0</v>
      </c>
      <c r="AK894">
        <f t="shared" si="388"/>
        <v>0</v>
      </c>
      <c r="AL894">
        <f t="shared" si="397"/>
        <v>0</v>
      </c>
      <c r="AM894">
        <f t="shared" ca="1" si="389"/>
        <v>2.7257547195994827E-7</v>
      </c>
      <c r="AN894" t="str">
        <f t="shared" ca="1" si="390"/>
        <v>Subcritical</v>
      </c>
      <c r="AO894">
        <f t="shared" ca="1" si="391"/>
        <v>2.459749288225039E-12</v>
      </c>
    </row>
    <row r="895" spans="1:41" x14ac:dyDescent="0.35">
      <c r="A895">
        <v>746</v>
      </c>
      <c r="B895">
        <v>744.89200000000005</v>
      </c>
      <c r="C895">
        <v>616094.85</v>
      </c>
      <c r="D895">
        <v>3097258.3659999999</v>
      </c>
      <c r="E895">
        <v>632.18949999999995</v>
      </c>
      <c r="F895">
        <v>5.0670000000000002</v>
      </c>
      <c r="G895">
        <v>0</v>
      </c>
      <c r="H895" t="s">
        <v>186</v>
      </c>
      <c r="I895">
        <v>0.04</v>
      </c>
      <c r="J895">
        <f t="shared" si="392"/>
        <v>1.00100000000009</v>
      </c>
      <c r="K895">
        <f t="shared" si="393"/>
        <v>51</v>
      </c>
      <c r="L895">
        <f t="shared" ca="1" si="394"/>
        <v>51797.843837663619</v>
      </c>
      <c r="M895">
        <f t="shared" ca="1" si="371"/>
        <v>262459.67472544155</v>
      </c>
      <c r="N895">
        <f t="shared" ca="1" si="372"/>
        <v>2.5333760892761812</v>
      </c>
      <c r="O895">
        <f t="shared" ca="1" si="373"/>
        <v>1.9431556506099834E-4</v>
      </c>
      <c r="P895">
        <f t="shared" ca="1" si="374"/>
        <v>52430.033337663619</v>
      </c>
      <c r="Q895">
        <f t="shared" ca="1" si="375"/>
        <v>52430.033337665547</v>
      </c>
      <c r="R895">
        <f t="shared" ca="1" si="376"/>
        <v>2.4599794254593593E-12</v>
      </c>
      <c r="S895">
        <f t="shared" ca="1" si="395"/>
        <v>4.999999946448952E-4</v>
      </c>
      <c r="T895">
        <f t="shared" ca="1" si="396"/>
        <v>1</v>
      </c>
      <c r="U895">
        <f t="shared" ca="1" si="377"/>
        <v>51800.26683766341</v>
      </c>
      <c r="V895">
        <f t="shared" ca="1" si="378"/>
        <v>262471.95206644048</v>
      </c>
      <c r="W895">
        <f t="shared" ca="1" si="379"/>
        <v>2.5333760950719233</v>
      </c>
      <c r="X895">
        <f t="shared" ca="1" si="380"/>
        <v>1.943064757909454E-4</v>
      </c>
      <c r="Y895">
        <f t="shared" ca="1" si="381"/>
        <v>52432.456337663411</v>
      </c>
      <c r="Z895">
        <f t="shared" ca="1" si="382"/>
        <v>52432.456337665331</v>
      </c>
      <c r="AA895">
        <f t="shared" ca="1" si="383"/>
        <v>2.459749288225039E-12</v>
      </c>
      <c r="AB895">
        <f t="shared" ca="1" si="384"/>
        <v>-5.0000000192085281E-4</v>
      </c>
      <c r="AC895">
        <f t="shared" ca="1" si="385"/>
        <v>1</v>
      </c>
      <c r="AD895">
        <f ca="1">IF(V32="Supercritical",L895,IF(V32="Subcritical",U895,IF(AND(T895=1,AC895=1),IF((((F895)*(L895)^2)/2+(G895)*(L895)^3/3+(ABS(K895)^2)/($I$5*MAX(((F895)+(G895)*(L895))*(L895),0.000001)))&gt;=(((F895)*(U895)^2)/2+(G895)*(U895)^3/3+(ABS(K895)^2)/($I$5*MAX(((F895)+(G895)*(U895))*(U895),0.000001))),L895,U895),IF(T895=1,L895,IF(AC895=1,U895,MAX($D$16,POWER((ABS(K895)^2)/($I$5*MAX(F895,0.1)^2),1/3)))))))</f>
        <v>51800.26683766341</v>
      </c>
      <c r="AE895">
        <f t="shared" ca="1" si="386"/>
        <v>52432.456337663411</v>
      </c>
      <c r="AF895">
        <f t="shared" ca="1" si="387"/>
        <v>52432.456337665331</v>
      </c>
      <c r="AI895">
        <v>0</v>
      </c>
      <c r="AJ895">
        <v>0</v>
      </c>
      <c r="AK895">
        <f t="shared" si="388"/>
        <v>0</v>
      </c>
      <c r="AL895">
        <f t="shared" si="397"/>
        <v>0</v>
      </c>
      <c r="AM895">
        <f t="shared" ca="1" si="389"/>
        <v>2.7257547195994827E-7</v>
      </c>
      <c r="AN895" t="str">
        <f t="shared" ca="1" si="390"/>
        <v>Subcritical</v>
      </c>
      <c r="AO895">
        <f t="shared" ca="1" si="391"/>
        <v>2.459749288225039E-12</v>
      </c>
    </row>
    <row r="896" spans="1:41" x14ac:dyDescent="0.35">
      <c r="A896">
        <v>747</v>
      </c>
      <c r="B896">
        <v>745.89099999999996</v>
      </c>
      <c r="C896">
        <v>616094.58600000001</v>
      </c>
      <c r="D896">
        <v>3097257.4019999998</v>
      </c>
      <c r="E896">
        <v>632.18899999999996</v>
      </c>
      <c r="F896">
        <v>5.0670000000000002</v>
      </c>
      <c r="G896">
        <v>0</v>
      </c>
      <c r="H896" t="s">
        <v>186</v>
      </c>
      <c r="I896">
        <v>5.5E-2</v>
      </c>
      <c r="J896">
        <f t="shared" si="392"/>
        <v>0.99899999999990996</v>
      </c>
      <c r="K896">
        <f t="shared" si="393"/>
        <v>51</v>
      </c>
      <c r="L896">
        <f t="shared" ca="1" si="394"/>
        <v>51797.843837663619</v>
      </c>
      <c r="M896">
        <f t="shared" ca="1" si="371"/>
        <v>262459.67472544155</v>
      </c>
      <c r="N896">
        <f t="shared" ca="1" si="372"/>
        <v>2.5333760892761812</v>
      </c>
      <c r="O896">
        <f t="shared" ca="1" si="373"/>
        <v>1.9431556506099834E-4</v>
      </c>
      <c r="P896">
        <f t="shared" ca="1" si="374"/>
        <v>52430.032837663617</v>
      </c>
      <c r="Q896">
        <f t="shared" ca="1" si="375"/>
        <v>52430.032837665538</v>
      </c>
      <c r="R896">
        <f t="shared" ca="1" si="376"/>
        <v>2.4599794254593593E-12</v>
      </c>
      <c r="S896">
        <f t="shared" ca="1" si="395"/>
        <v>5.0000000919681042E-4</v>
      </c>
      <c r="T896">
        <f t="shared" ca="1" si="396"/>
        <v>1</v>
      </c>
      <c r="U896">
        <f t="shared" ca="1" si="377"/>
        <v>51800.26683766341</v>
      </c>
      <c r="V896">
        <f t="shared" ca="1" si="378"/>
        <v>262471.95206644048</v>
      </c>
      <c r="W896">
        <f t="shared" ca="1" si="379"/>
        <v>2.5333760950719233</v>
      </c>
      <c r="X896">
        <f t="shared" ca="1" si="380"/>
        <v>1.943064757909454E-4</v>
      </c>
      <c r="Y896">
        <f t="shared" ca="1" si="381"/>
        <v>52432.455837663409</v>
      </c>
      <c r="Z896">
        <f t="shared" ca="1" si="382"/>
        <v>52432.455837665329</v>
      </c>
      <c r="AA896">
        <f t="shared" ca="1" si="383"/>
        <v>2.459749288225039E-12</v>
      </c>
      <c r="AB896">
        <f t="shared" ca="1" si="384"/>
        <v>-5.0000000192085281E-4</v>
      </c>
      <c r="AC896">
        <f t="shared" ca="1" si="385"/>
        <v>1</v>
      </c>
      <c r="AD896">
        <f ca="1">IF(V32="Supercritical",L896,IF(V32="Subcritical",U896,IF(AND(T896=1,AC896=1),IF((((F896)*(L896)^2)/2+(G896)*(L896)^3/3+(ABS(K896)^2)/($I$5*MAX(((F896)+(G896)*(L896))*(L896),0.000001)))&gt;=(((F896)*(U896)^2)/2+(G896)*(U896)^3/3+(ABS(K896)^2)/($I$5*MAX(((F896)+(G896)*(U896))*(U896),0.000001))),L896,U896),IF(T896=1,L896,IF(AC896=1,U896,MAX($D$16,POWER((ABS(K896)^2)/($I$5*MAX(F896,0.1)^2),1/3)))))))</f>
        <v>51800.26683766341</v>
      </c>
      <c r="AE896">
        <f t="shared" ca="1" si="386"/>
        <v>52432.455837663409</v>
      </c>
      <c r="AF896">
        <f t="shared" ca="1" si="387"/>
        <v>52432.455837665329</v>
      </c>
      <c r="AI896">
        <v>0</v>
      </c>
      <c r="AJ896">
        <v>0</v>
      </c>
      <c r="AK896">
        <f t="shared" si="388"/>
        <v>0</v>
      </c>
      <c r="AL896">
        <f t="shared" si="397"/>
        <v>0</v>
      </c>
      <c r="AM896">
        <f t="shared" ca="1" si="389"/>
        <v>2.7257547195994827E-7</v>
      </c>
      <c r="AN896" t="str">
        <f t="shared" ca="1" si="390"/>
        <v>Subcritical</v>
      </c>
      <c r="AO896">
        <f t="shared" ca="1" si="391"/>
        <v>2.459749288225039E-12</v>
      </c>
    </row>
    <row r="897" spans="1:41" x14ac:dyDescent="0.35">
      <c r="A897">
        <v>748</v>
      </c>
      <c r="B897">
        <v>746.89099999999996</v>
      </c>
      <c r="C897">
        <v>616094.321</v>
      </c>
      <c r="D897">
        <v>3097256.4380000001</v>
      </c>
      <c r="E897">
        <v>632.18849999999998</v>
      </c>
      <c r="F897">
        <v>5.0670000000000002</v>
      </c>
      <c r="G897">
        <v>0</v>
      </c>
      <c r="H897" t="s">
        <v>186</v>
      </c>
      <c r="I897">
        <v>7.0000000000000007E-2</v>
      </c>
      <c r="J897">
        <f t="shared" si="392"/>
        <v>1</v>
      </c>
      <c r="K897">
        <f t="shared" si="393"/>
        <v>51</v>
      </c>
      <c r="L897">
        <f t="shared" ca="1" si="394"/>
        <v>51797.843837663619</v>
      </c>
      <c r="M897">
        <f t="shared" ca="1" si="371"/>
        <v>262459.67472544155</v>
      </c>
      <c r="N897">
        <f t="shared" ca="1" si="372"/>
        <v>2.5333760892761812</v>
      </c>
      <c r="O897">
        <f t="shared" ca="1" si="373"/>
        <v>1.9431556506099834E-4</v>
      </c>
      <c r="P897">
        <f t="shared" ca="1" si="374"/>
        <v>52430.032337663615</v>
      </c>
      <c r="Q897">
        <f t="shared" ca="1" si="375"/>
        <v>52430.032337665543</v>
      </c>
      <c r="R897">
        <f t="shared" ca="1" si="376"/>
        <v>2.4599794254593593E-12</v>
      </c>
      <c r="S897">
        <f t="shared" ca="1" si="395"/>
        <v>4.999999946448952E-4</v>
      </c>
      <c r="T897">
        <f t="shared" ca="1" si="396"/>
        <v>1</v>
      </c>
      <c r="U897">
        <f t="shared" ca="1" si="377"/>
        <v>51800.26683766341</v>
      </c>
      <c r="V897">
        <f t="shared" ca="1" si="378"/>
        <v>262471.95206644048</v>
      </c>
      <c r="W897">
        <f t="shared" ca="1" si="379"/>
        <v>2.5333760950719233</v>
      </c>
      <c r="X897">
        <f t="shared" ca="1" si="380"/>
        <v>1.943064757909454E-4</v>
      </c>
      <c r="Y897">
        <f t="shared" ca="1" si="381"/>
        <v>52432.455337663407</v>
      </c>
      <c r="Z897">
        <f t="shared" ca="1" si="382"/>
        <v>52432.455337665328</v>
      </c>
      <c r="AA897">
        <f t="shared" ca="1" si="383"/>
        <v>2.459749288225039E-12</v>
      </c>
      <c r="AB897">
        <f t="shared" ca="1" si="384"/>
        <v>-4.999999946448952E-4</v>
      </c>
      <c r="AC897">
        <f t="shared" ca="1" si="385"/>
        <v>1</v>
      </c>
      <c r="AD897">
        <f ca="1">IF(V32="Supercritical",L897,IF(V32="Subcritical",U897,IF(AND(T897=1,AC897=1),IF((((F897)*(L897)^2)/2+(G897)*(L897)^3/3+(ABS(K897)^2)/($I$5*MAX(((F897)+(G897)*(L897))*(L897),0.000001)))&gt;=(((F897)*(U897)^2)/2+(G897)*(U897)^3/3+(ABS(K897)^2)/($I$5*MAX(((F897)+(G897)*(U897))*(U897),0.000001))),L897,U897),IF(T897=1,L897,IF(AC897=1,U897,MAX($D$16,POWER((ABS(K897)^2)/($I$5*MAX(F897,0.1)^2),1/3)))))))</f>
        <v>51800.26683766341</v>
      </c>
      <c r="AE897">
        <f t="shared" ca="1" si="386"/>
        <v>52432.455337663407</v>
      </c>
      <c r="AF897">
        <f t="shared" ca="1" si="387"/>
        <v>52432.455337665328</v>
      </c>
      <c r="AI897">
        <v>0</v>
      </c>
      <c r="AJ897">
        <v>0</v>
      </c>
      <c r="AK897">
        <f t="shared" si="388"/>
        <v>0</v>
      </c>
      <c r="AL897">
        <f t="shared" si="397"/>
        <v>0</v>
      </c>
      <c r="AM897">
        <f t="shared" ca="1" si="389"/>
        <v>2.7257547195994827E-7</v>
      </c>
      <c r="AN897" t="str">
        <f t="shared" ca="1" si="390"/>
        <v>Subcritical</v>
      </c>
      <c r="AO897">
        <f t="shared" ca="1" si="391"/>
        <v>2.459749288225039E-12</v>
      </c>
    </row>
    <row r="898" spans="1:41" x14ac:dyDescent="0.35">
      <c r="A898">
        <v>749</v>
      </c>
      <c r="B898">
        <v>747.89099999999996</v>
      </c>
      <c r="C898">
        <v>616094.05700000003</v>
      </c>
      <c r="D898">
        <v>3097255.4730000002</v>
      </c>
      <c r="E898">
        <v>632.18799999999999</v>
      </c>
      <c r="F898">
        <v>5.0670000000000002</v>
      </c>
      <c r="G898">
        <v>0</v>
      </c>
      <c r="H898" t="s">
        <v>186</v>
      </c>
      <c r="I898">
        <v>7.0000000000000007E-2</v>
      </c>
      <c r="J898">
        <f t="shared" si="392"/>
        <v>1</v>
      </c>
      <c r="K898">
        <f t="shared" si="393"/>
        <v>51</v>
      </c>
      <c r="L898">
        <f t="shared" ca="1" si="394"/>
        <v>51797.843837663619</v>
      </c>
      <c r="M898">
        <f t="shared" ca="1" si="371"/>
        <v>262459.67472544155</v>
      </c>
      <c r="N898">
        <f t="shared" ca="1" si="372"/>
        <v>2.5333760892761812</v>
      </c>
      <c r="O898">
        <f t="shared" ca="1" si="373"/>
        <v>1.9431556506099834E-4</v>
      </c>
      <c r="P898">
        <f t="shared" ca="1" si="374"/>
        <v>52430.031837663621</v>
      </c>
      <c r="Q898">
        <f t="shared" ca="1" si="375"/>
        <v>52430.031837665549</v>
      </c>
      <c r="R898">
        <f t="shared" ca="1" si="376"/>
        <v>2.4599794254593593E-12</v>
      </c>
      <c r="S898">
        <f t="shared" ca="1" si="395"/>
        <v>4.999999946448952E-4</v>
      </c>
      <c r="T898">
        <f t="shared" ca="1" si="396"/>
        <v>1</v>
      </c>
      <c r="U898">
        <f t="shared" ca="1" si="377"/>
        <v>51800.26683766341</v>
      </c>
      <c r="V898">
        <f t="shared" ca="1" si="378"/>
        <v>262471.95206644048</v>
      </c>
      <c r="W898">
        <f t="shared" ca="1" si="379"/>
        <v>2.5333760950719233</v>
      </c>
      <c r="X898">
        <f t="shared" ca="1" si="380"/>
        <v>1.943064757909454E-4</v>
      </c>
      <c r="Y898">
        <f t="shared" ca="1" si="381"/>
        <v>52432.454837663412</v>
      </c>
      <c r="Z898">
        <f t="shared" ca="1" si="382"/>
        <v>52432.454837665333</v>
      </c>
      <c r="AA898">
        <f t="shared" ca="1" si="383"/>
        <v>2.459749288225039E-12</v>
      </c>
      <c r="AB898">
        <f t="shared" ca="1" si="384"/>
        <v>-5.0000000192085281E-4</v>
      </c>
      <c r="AC898">
        <f t="shared" ca="1" si="385"/>
        <v>1</v>
      </c>
      <c r="AD898">
        <f ca="1">IF(V32="Supercritical",L898,IF(V32="Subcritical",U898,IF(AND(T898=1,AC898=1),IF((((F898)*(L898)^2)/2+(G898)*(L898)^3/3+(ABS(K898)^2)/($I$5*MAX(((F898)+(G898)*(L898))*(L898),0.000001)))&gt;=(((F898)*(U898)^2)/2+(G898)*(U898)^3/3+(ABS(K898)^2)/($I$5*MAX(((F898)+(G898)*(U898))*(U898),0.000001))),L898,U898),IF(T898=1,L898,IF(AC898=1,U898,MAX($D$16,POWER((ABS(K898)^2)/($I$5*MAX(F898,0.1)^2),1/3)))))))</f>
        <v>51800.26683766341</v>
      </c>
      <c r="AE898">
        <f t="shared" ca="1" si="386"/>
        <v>52432.454837663412</v>
      </c>
      <c r="AF898">
        <f t="shared" ca="1" si="387"/>
        <v>52432.454837665333</v>
      </c>
      <c r="AI898">
        <v>0</v>
      </c>
      <c r="AJ898">
        <v>0</v>
      </c>
      <c r="AK898">
        <f t="shared" si="388"/>
        <v>0</v>
      </c>
      <c r="AL898">
        <f t="shared" si="397"/>
        <v>0</v>
      </c>
      <c r="AM898">
        <f t="shared" ca="1" si="389"/>
        <v>2.7257547195994827E-7</v>
      </c>
      <c r="AN898" t="str">
        <f t="shared" ca="1" si="390"/>
        <v>Subcritical</v>
      </c>
      <c r="AO898">
        <f t="shared" ca="1" si="391"/>
        <v>2.459749288225039E-12</v>
      </c>
    </row>
    <row r="899" spans="1:41" x14ac:dyDescent="0.35">
      <c r="A899">
        <v>750</v>
      </c>
      <c r="B899">
        <v>748.89099999999996</v>
      </c>
      <c r="C899">
        <v>616093.79200000002</v>
      </c>
      <c r="D899">
        <v>3097254.5090000001</v>
      </c>
      <c r="E899">
        <v>632.1875</v>
      </c>
      <c r="F899">
        <v>5.0670000000000002</v>
      </c>
      <c r="G899">
        <v>0</v>
      </c>
      <c r="H899" t="s">
        <v>186</v>
      </c>
      <c r="I899">
        <v>0</v>
      </c>
      <c r="J899">
        <f t="shared" si="392"/>
        <v>1</v>
      </c>
      <c r="K899">
        <f t="shared" si="393"/>
        <v>51</v>
      </c>
      <c r="L899">
        <f t="shared" ca="1" si="394"/>
        <v>51797.843837663619</v>
      </c>
      <c r="M899">
        <f t="shared" ca="1" si="371"/>
        <v>262459.67472544155</v>
      </c>
      <c r="N899">
        <f t="shared" ca="1" si="372"/>
        <v>2.5333760892761812</v>
      </c>
      <c r="O899">
        <f t="shared" ca="1" si="373"/>
        <v>1.9431556506099834E-4</v>
      </c>
      <c r="P899">
        <f t="shared" ca="1" si="374"/>
        <v>52430.031337663619</v>
      </c>
      <c r="Q899">
        <f t="shared" ca="1" si="375"/>
        <v>52430.031337665539</v>
      </c>
      <c r="R899">
        <f t="shared" ca="1" si="376"/>
        <v>2.4599794254593593E-12</v>
      </c>
      <c r="S899">
        <f t="shared" ca="1" si="395"/>
        <v>5.0000000919681042E-4</v>
      </c>
      <c r="T899">
        <f t="shared" ca="1" si="396"/>
        <v>1</v>
      </c>
      <c r="U899">
        <f t="shared" ca="1" si="377"/>
        <v>51800.26683766341</v>
      </c>
      <c r="V899">
        <f t="shared" ca="1" si="378"/>
        <v>262471.95206644048</v>
      </c>
      <c r="W899">
        <f t="shared" ca="1" si="379"/>
        <v>2.5333760950719233</v>
      </c>
      <c r="X899">
        <f t="shared" ca="1" si="380"/>
        <v>1.943064757909454E-4</v>
      </c>
      <c r="Y899">
        <f t="shared" ca="1" si="381"/>
        <v>52432.45433766341</v>
      </c>
      <c r="Z899">
        <f t="shared" ca="1" si="382"/>
        <v>52432.454337665331</v>
      </c>
      <c r="AA899">
        <f t="shared" ca="1" si="383"/>
        <v>2.459749288225039E-12</v>
      </c>
      <c r="AB899">
        <f t="shared" ca="1" si="384"/>
        <v>-5.0000000192085281E-4</v>
      </c>
      <c r="AC899">
        <f t="shared" ca="1" si="385"/>
        <v>1</v>
      </c>
      <c r="AD899">
        <f ca="1">IF(V32="Supercritical",L899,IF(V32="Subcritical",U899,IF(AND(T899=1,AC899=1),IF((((F899)*(L899)^2)/2+(G899)*(L899)^3/3+(ABS(K899)^2)/($I$5*MAX(((F899)+(G899)*(L899))*(L899),0.000001)))&gt;=(((F899)*(U899)^2)/2+(G899)*(U899)^3/3+(ABS(K899)^2)/($I$5*MAX(((F899)+(G899)*(U899))*(U899),0.000001))),L899,U899),IF(T899=1,L899,IF(AC899=1,U899,MAX($D$16,POWER((ABS(K899)^2)/($I$5*MAX(F899,0.1)^2),1/3)))))))</f>
        <v>51800.26683766341</v>
      </c>
      <c r="AE899">
        <f t="shared" ca="1" si="386"/>
        <v>52432.45433766341</v>
      </c>
      <c r="AF899">
        <f t="shared" ca="1" si="387"/>
        <v>52432.454337665331</v>
      </c>
      <c r="AI899">
        <v>0</v>
      </c>
      <c r="AJ899">
        <v>0</v>
      </c>
      <c r="AK899">
        <f t="shared" si="388"/>
        <v>0</v>
      </c>
      <c r="AL899">
        <f t="shared" si="397"/>
        <v>0</v>
      </c>
      <c r="AM899">
        <f t="shared" ca="1" si="389"/>
        <v>2.7257547195994827E-7</v>
      </c>
      <c r="AN899" t="str">
        <f t="shared" ca="1" si="390"/>
        <v>Subcritical</v>
      </c>
      <c r="AO899">
        <f t="shared" ca="1" si="391"/>
        <v>2.459749288225039E-12</v>
      </c>
    </row>
    <row r="900" spans="1:41" x14ac:dyDescent="0.35">
      <c r="A900">
        <v>751</v>
      </c>
      <c r="B900">
        <v>749.89099999999996</v>
      </c>
      <c r="C900">
        <v>616093.527</v>
      </c>
      <c r="D900">
        <v>3097253.5449999999</v>
      </c>
      <c r="E900">
        <v>632.18700000000001</v>
      </c>
      <c r="F900">
        <v>5.0670000000000002</v>
      </c>
      <c r="G900">
        <v>0</v>
      </c>
      <c r="H900" t="s">
        <v>186</v>
      </c>
      <c r="I900">
        <v>7.0000000000000007E-2</v>
      </c>
      <c r="J900">
        <f t="shared" si="392"/>
        <v>1</v>
      </c>
      <c r="K900">
        <f t="shared" si="393"/>
        <v>51</v>
      </c>
      <c r="L900">
        <f t="shared" ca="1" si="394"/>
        <v>51797.843837663619</v>
      </c>
      <c r="M900">
        <f t="shared" ca="1" si="371"/>
        <v>262459.67472544155</v>
      </c>
      <c r="N900">
        <f t="shared" ca="1" si="372"/>
        <v>2.5333760892761812</v>
      </c>
      <c r="O900">
        <f t="shared" ca="1" si="373"/>
        <v>1.9431556506099834E-4</v>
      </c>
      <c r="P900">
        <f t="shared" ca="1" si="374"/>
        <v>52430.030837663617</v>
      </c>
      <c r="Q900">
        <f t="shared" ca="1" si="375"/>
        <v>52430.030837665545</v>
      </c>
      <c r="R900">
        <f t="shared" ca="1" si="376"/>
        <v>2.4599794254593593E-12</v>
      </c>
      <c r="S900">
        <f t="shared" ca="1" si="395"/>
        <v>4.999999946448952E-4</v>
      </c>
      <c r="T900">
        <f t="shared" ca="1" si="396"/>
        <v>1</v>
      </c>
      <c r="U900">
        <f t="shared" ca="1" si="377"/>
        <v>51800.26683766341</v>
      </c>
      <c r="V900">
        <f t="shared" ca="1" si="378"/>
        <v>262471.95206644048</v>
      </c>
      <c r="W900">
        <f t="shared" ca="1" si="379"/>
        <v>2.5333760950719233</v>
      </c>
      <c r="X900">
        <f t="shared" ca="1" si="380"/>
        <v>1.943064757909454E-4</v>
      </c>
      <c r="Y900">
        <f t="shared" ca="1" si="381"/>
        <v>52432.453837663408</v>
      </c>
      <c r="Z900">
        <f t="shared" ca="1" si="382"/>
        <v>52432.453837665329</v>
      </c>
      <c r="AA900">
        <f t="shared" ca="1" si="383"/>
        <v>2.459749288225039E-12</v>
      </c>
      <c r="AB900">
        <f t="shared" ca="1" si="384"/>
        <v>-4.999999946448952E-4</v>
      </c>
      <c r="AC900">
        <f t="shared" ca="1" si="385"/>
        <v>1</v>
      </c>
      <c r="AD900">
        <f ca="1">IF(V32="Supercritical",L900,IF(V32="Subcritical",U900,IF(AND(T900=1,AC900=1),IF((((F900)*(L900)^2)/2+(G900)*(L900)^3/3+(ABS(K900)^2)/($I$5*MAX(((F900)+(G900)*(L900))*(L900),0.000001)))&gt;=(((F900)*(U900)^2)/2+(G900)*(U900)^3/3+(ABS(K900)^2)/($I$5*MAX(((F900)+(G900)*(U900))*(U900),0.000001))),L900,U900),IF(T900=1,L900,IF(AC900=1,U900,MAX($D$16,POWER((ABS(K900)^2)/($I$5*MAX(F900,0.1)^2),1/3)))))))</f>
        <v>51800.26683766341</v>
      </c>
      <c r="AE900">
        <f t="shared" ca="1" si="386"/>
        <v>52432.453837663408</v>
      </c>
      <c r="AF900">
        <f t="shared" ca="1" si="387"/>
        <v>52432.453837665329</v>
      </c>
      <c r="AI900">
        <v>0</v>
      </c>
      <c r="AJ900">
        <v>0</v>
      </c>
      <c r="AK900">
        <f t="shared" si="388"/>
        <v>0</v>
      </c>
      <c r="AL900">
        <f t="shared" si="397"/>
        <v>0</v>
      </c>
      <c r="AM900">
        <f t="shared" ca="1" si="389"/>
        <v>2.7257547195994827E-7</v>
      </c>
      <c r="AN900" t="str">
        <f t="shared" ca="1" si="390"/>
        <v>Subcritical</v>
      </c>
      <c r="AO900">
        <f t="shared" ca="1" si="391"/>
        <v>2.459749288225039E-12</v>
      </c>
    </row>
    <row r="901" spans="1:41" x14ac:dyDescent="0.35">
      <c r="A901">
        <v>752</v>
      </c>
      <c r="B901">
        <v>750.89099999999996</v>
      </c>
      <c r="C901">
        <v>616093.26300000004</v>
      </c>
      <c r="D901">
        <v>3097252.58</v>
      </c>
      <c r="E901">
        <v>632.18650000000002</v>
      </c>
      <c r="F901">
        <v>5.0670000000000002</v>
      </c>
      <c r="G901">
        <v>0</v>
      </c>
      <c r="H901" t="s">
        <v>186</v>
      </c>
      <c r="I901">
        <v>7.0000000000000007E-2</v>
      </c>
      <c r="J901">
        <f t="shared" si="392"/>
        <v>1</v>
      </c>
      <c r="K901">
        <f t="shared" si="393"/>
        <v>51</v>
      </c>
      <c r="L901">
        <f t="shared" ca="1" si="394"/>
        <v>51797.843837663619</v>
      </c>
      <c r="M901">
        <f t="shared" ca="1" si="371"/>
        <v>262459.67472544155</v>
      </c>
      <c r="N901">
        <f t="shared" ca="1" si="372"/>
        <v>2.5333760892761812</v>
      </c>
      <c r="O901">
        <f t="shared" ca="1" si="373"/>
        <v>1.9431556506099834E-4</v>
      </c>
      <c r="P901">
        <f t="shared" ca="1" si="374"/>
        <v>52430.030337663622</v>
      </c>
      <c r="Q901">
        <f t="shared" ca="1" si="375"/>
        <v>52430.03033766555</v>
      </c>
      <c r="R901">
        <f t="shared" ca="1" si="376"/>
        <v>2.4599794254593593E-12</v>
      </c>
      <c r="S901">
        <f t="shared" ca="1" si="395"/>
        <v>4.999999946448952E-4</v>
      </c>
      <c r="T901">
        <f t="shared" ca="1" si="396"/>
        <v>1</v>
      </c>
      <c r="U901">
        <f t="shared" ca="1" si="377"/>
        <v>51800.26683766341</v>
      </c>
      <c r="V901">
        <f t="shared" ca="1" si="378"/>
        <v>262471.95206644048</v>
      </c>
      <c r="W901">
        <f t="shared" ca="1" si="379"/>
        <v>2.5333760950719233</v>
      </c>
      <c r="X901">
        <f t="shared" ca="1" si="380"/>
        <v>1.943064757909454E-4</v>
      </c>
      <c r="Y901">
        <f t="shared" ca="1" si="381"/>
        <v>52432.453337663414</v>
      </c>
      <c r="Z901">
        <f t="shared" ca="1" si="382"/>
        <v>52432.453337665334</v>
      </c>
      <c r="AA901">
        <f t="shared" ca="1" si="383"/>
        <v>2.459749288225039E-12</v>
      </c>
      <c r="AB901">
        <f t="shared" ca="1" si="384"/>
        <v>-5.0000000192085281E-4</v>
      </c>
      <c r="AC901">
        <f t="shared" ca="1" si="385"/>
        <v>1</v>
      </c>
      <c r="AD901">
        <f ca="1">IF(V32="Supercritical",L901,IF(V32="Subcritical",U901,IF(AND(T901=1,AC901=1),IF((((F901)*(L901)^2)/2+(G901)*(L901)^3/3+(ABS(K901)^2)/($I$5*MAX(((F901)+(G901)*(L901))*(L901),0.000001)))&gt;=(((F901)*(U901)^2)/2+(G901)*(U901)^3/3+(ABS(K901)^2)/($I$5*MAX(((F901)+(G901)*(U901))*(U901),0.000001))),L901,U901),IF(T901=1,L901,IF(AC901=1,U901,MAX($D$16,POWER((ABS(K901)^2)/($I$5*MAX(F901,0.1)^2),1/3)))))))</f>
        <v>51800.26683766341</v>
      </c>
      <c r="AE901">
        <f t="shared" ca="1" si="386"/>
        <v>52432.453337663414</v>
      </c>
      <c r="AF901">
        <f t="shared" ca="1" si="387"/>
        <v>52432.453337665334</v>
      </c>
      <c r="AI901">
        <v>0</v>
      </c>
      <c r="AJ901">
        <v>0</v>
      </c>
      <c r="AK901">
        <f t="shared" si="388"/>
        <v>0</v>
      </c>
      <c r="AL901">
        <f t="shared" si="397"/>
        <v>0</v>
      </c>
      <c r="AM901">
        <f t="shared" ca="1" si="389"/>
        <v>2.7257547195994827E-7</v>
      </c>
      <c r="AN901" t="str">
        <f t="shared" ca="1" si="390"/>
        <v>Subcritical</v>
      </c>
      <c r="AO901">
        <f t="shared" ca="1" si="391"/>
        <v>2.459749288225039E-12</v>
      </c>
    </row>
    <row r="902" spans="1:41" x14ac:dyDescent="0.35">
      <c r="A902">
        <v>753</v>
      </c>
      <c r="B902">
        <v>751.89099999999996</v>
      </c>
      <c r="C902">
        <v>616092.99800000002</v>
      </c>
      <c r="D902">
        <v>3097251.6159999999</v>
      </c>
      <c r="E902">
        <v>632.18600000000004</v>
      </c>
      <c r="F902">
        <v>5.0670000000000002</v>
      </c>
      <c r="G902">
        <v>0</v>
      </c>
      <c r="H902" t="s">
        <v>186</v>
      </c>
      <c r="I902">
        <v>5.5E-2</v>
      </c>
      <c r="J902">
        <f t="shared" si="392"/>
        <v>1</v>
      </c>
      <c r="K902">
        <f t="shared" si="393"/>
        <v>51</v>
      </c>
      <c r="L902">
        <f t="shared" ca="1" si="394"/>
        <v>51797.843837663619</v>
      </c>
      <c r="M902">
        <f t="shared" ca="1" si="371"/>
        <v>262459.67472544155</v>
      </c>
      <c r="N902">
        <f t="shared" ca="1" si="372"/>
        <v>2.5333760892761812</v>
      </c>
      <c r="O902">
        <f t="shared" ca="1" si="373"/>
        <v>1.9431556506099834E-4</v>
      </c>
      <c r="P902">
        <f t="shared" ca="1" si="374"/>
        <v>52430.02983766362</v>
      </c>
      <c r="Q902">
        <f t="shared" ca="1" si="375"/>
        <v>52430.029837665541</v>
      </c>
      <c r="R902">
        <f t="shared" ca="1" si="376"/>
        <v>2.4599794254593593E-12</v>
      </c>
      <c r="S902">
        <f t="shared" ca="1" si="395"/>
        <v>5.0000000919681042E-4</v>
      </c>
      <c r="T902">
        <f t="shared" ca="1" si="396"/>
        <v>1</v>
      </c>
      <c r="U902">
        <f t="shared" ca="1" si="377"/>
        <v>51800.26683766341</v>
      </c>
      <c r="V902">
        <f t="shared" ca="1" si="378"/>
        <v>262471.95206644048</v>
      </c>
      <c r="W902">
        <f t="shared" ca="1" si="379"/>
        <v>2.5333760950719233</v>
      </c>
      <c r="X902">
        <f t="shared" ca="1" si="380"/>
        <v>1.943064757909454E-4</v>
      </c>
      <c r="Y902">
        <f t="shared" ca="1" si="381"/>
        <v>52432.452837663412</v>
      </c>
      <c r="Z902">
        <f t="shared" ca="1" si="382"/>
        <v>52432.452837665332</v>
      </c>
      <c r="AA902">
        <f t="shared" ca="1" si="383"/>
        <v>2.459749288225039E-12</v>
      </c>
      <c r="AB902">
        <f t="shared" ca="1" si="384"/>
        <v>-5.0000000192085281E-4</v>
      </c>
      <c r="AC902">
        <f t="shared" ca="1" si="385"/>
        <v>1</v>
      </c>
      <c r="AD902">
        <f ca="1">IF(V32="Supercritical",L902,IF(V32="Subcritical",U902,IF(AND(T902=1,AC902=1),IF((((F902)*(L902)^2)/2+(G902)*(L902)^3/3+(ABS(K902)^2)/($I$5*MAX(((F902)+(G902)*(L902))*(L902),0.000001)))&gt;=(((F902)*(U902)^2)/2+(G902)*(U902)^3/3+(ABS(K902)^2)/($I$5*MAX(((F902)+(G902)*(U902))*(U902),0.000001))),L902,U902),IF(T902=1,L902,IF(AC902=1,U902,MAX($D$16,POWER((ABS(K902)^2)/($I$5*MAX(F902,0.1)^2),1/3)))))))</f>
        <v>51800.26683766341</v>
      </c>
      <c r="AE902">
        <f t="shared" ca="1" si="386"/>
        <v>52432.452837663412</v>
      </c>
      <c r="AF902">
        <f t="shared" ca="1" si="387"/>
        <v>52432.452837665332</v>
      </c>
      <c r="AI902">
        <v>0</v>
      </c>
      <c r="AJ902">
        <v>0</v>
      </c>
      <c r="AK902">
        <f t="shared" si="388"/>
        <v>0</v>
      </c>
      <c r="AL902">
        <f t="shared" si="397"/>
        <v>0</v>
      </c>
      <c r="AM902">
        <f t="shared" ca="1" si="389"/>
        <v>2.7257547195994827E-7</v>
      </c>
      <c r="AN902" t="str">
        <f t="shared" ca="1" si="390"/>
        <v>Subcritical</v>
      </c>
      <c r="AO902">
        <f t="shared" ca="1" si="391"/>
        <v>2.459749288225039E-12</v>
      </c>
    </row>
    <row r="903" spans="1:41" x14ac:dyDescent="0.35">
      <c r="A903">
        <v>754</v>
      </c>
      <c r="B903">
        <v>752.89099999999996</v>
      </c>
      <c r="C903">
        <v>616092.73400000005</v>
      </c>
      <c r="D903">
        <v>3097250.6519999998</v>
      </c>
      <c r="E903">
        <v>632.18550000000005</v>
      </c>
      <c r="F903">
        <v>5.0670000000000002</v>
      </c>
      <c r="G903">
        <v>0</v>
      </c>
      <c r="H903" t="s">
        <v>186</v>
      </c>
      <c r="I903">
        <v>0.04</v>
      </c>
      <c r="J903">
        <f t="shared" si="392"/>
        <v>1</v>
      </c>
      <c r="K903">
        <f t="shared" si="393"/>
        <v>51</v>
      </c>
      <c r="L903">
        <f t="shared" ca="1" si="394"/>
        <v>51797.843837663619</v>
      </c>
      <c r="M903">
        <f t="shared" ca="1" si="371"/>
        <v>262459.67472544155</v>
      </c>
      <c r="N903">
        <f t="shared" ca="1" si="372"/>
        <v>2.5333760892761812</v>
      </c>
      <c r="O903">
        <f t="shared" ca="1" si="373"/>
        <v>1.9431556506099834E-4</v>
      </c>
      <c r="P903">
        <f t="shared" ca="1" si="374"/>
        <v>52430.029337663618</v>
      </c>
      <c r="Q903">
        <f t="shared" ca="1" si="375"/>
        <v>52430.029337665546</v>
      </c>
      <c r="R903">
        <f t="shared" ca="1" si="376"/>
        <v>2.4599794254593593E-12</v>
      </c>
      <c r="S903">
        <f t="shared" ca="1" si="395"/>
        <v>4.999999946448952E-4</v>
      </c>
      <c r="T903">
        <f t="shared" ca="1" si="396"/>
        <v>1</v>
      </c>
      <c r="U903">
        <f t="shared" ca="1" si="377"/>
        <v>51800.26683766341</v>
      </c>
      <c r="V903">
        <f t="shared" ca="1" si="378"/>
        <v>262471.95206644048</v>
      </c>
      <c r="W903">
        <f t="shared" ca="1" si="379"/>
        <v>2.5333760950719233</v>
      </c>
      <c r="X903">
        <f t="shared" ca="1" si="380"/>
        <v>1.943064757909454E-4</v>
      </c>
      <c r="Y903">
        <f t="shared" ca="1" si="381"/>
        <v>52432.45233766341</v>
      </c>
      <c r="Z903">
        <f t="shared" ca="1" si="382"/>
        <v>52432.452337665331</v>
      </c>
      <c r="AA903">
        <f t="shared" ca="1" si="383"/>
        <v>2.459749288225039E-12</v>
      </c>
      <c r="AB903">
        <f t="shared" ca="1" si="384"/>
        <v>-5.0000000192085281E-4</v>
      </c>
      <c r="AC903">
        <f t="shared" ca="1" si="385"/>
        <v>1</v>
      </c>
      <c r="AD903">
        <f ca="1">IF(V32="Supercritical",L903,IF(V32="Subcritical",U903,IF(AND(T903=1,AC903=1),IF((((F903)*(L903)^2)/2+(G903)*(L903)^3/3+(ABS(K903)^2)/($I$5*MAX(((F903)+(G903)*(L903))*(L903),0.000001)))&gt;=(((F903)*(U903)^2)/2+(G903)*(U903)^3/3+(ABS(K903)^2)/($I$5*MAX(((F903)+(G903)*(U903))*(U903),0.000001))),L903,U903),IF(T903=1,L903,IF(AC903=1,U903,MAX($D$16,POWER((ABS(K903)^2)/($I$5*MAX(F903,0.1)^2),1/3)))))))</f>
        <v>51800.26683766341</v>
      </c>
      <c r="AE903">
        <f t="shared" ca="1" si="386"/>
        <v>52432.45233766341</v>
      </c>
      <c r="AF903">
        <f t="shared" ca="1" si="387"/>
        <v>52432.452337665331</v>
      </c>
      <c r="AI903">
        <v>0</v>
      </c>
      <c r="AJ903">
        <v>0</v>
      </c>
      <c r="AK903">
        <f t="shared" si="388"/>
        <v>0</v>
      </c>
      <c r="AL903">
        <f t="shared" si="397"/>
        <v>0</v>
      </c>
      <c r="AM903">
        <f t="shared" ca="1" si="389"/>
        <v>2.7257547195994827E-7</v>
      </c>
      <c r="AN903" t="str">
        <f t="shared" ca="1" si="390"/>
        <v>Subcritical</v>
      </c>
      <c r="AO903">
        <f t="shared" ca="1" si="391"/>
        <v>2.459749288225039E-12</v>
      </c>
    </row>
    <row r="904" spans="1:41" x14ac:dyDescent="0.35">
      <c r="A904">
        <v>755</v>
      </c>
      <c r="B904">
        <v>753.89099999999996</v>
      </c>
      <c r="C904">
        <v>616092.46900000004</v>
      </c>
      <c r="D904">
        <v>3097249.6869999999</v>
      </c>
      <c r="E904">
        <v>632.18499999999995</v>
      </c>
      <c r="F904">
        <v>5.0670000000000002</v>
      </c>
      <c r="G904">
        <v>0</v>
      </c>
      <c r="H904" t="s">
        <v>186</v>
      </c>
      <c r="I904">
        <v>1.4999999999999999E-2</v>
      </c>
      <c r="J904">
        <f t="shared" si="392"/>
        <v>1</v>
      </c>
      <c r="K904">
        <f t="shared" si="393"/>
        <v>51</v>
      </c>
      <c r="L904">
        <f t="shared" ca="1" si="394"/>
        <v>51797.843837663619</v>
      </c>
      <c r="M904">
        <f t="shared" ca="1" si="371"/>
        <v>262459.67472544155</v>
      </c>
      <c r="N904">
        <f t="shared" ca="1" si="372"/>
        <v>2.5333760892761812</v>
      </c>
      <c r="O904">
        <f t="shared" ca="1" si="373"/>
        <v>1.9431556506099834E-4</v>
      </c>
      <c r="P904">
        <f t="shared" ca="1" si="374"/>
        <v>52430.028837663616</v>
      </c>
      <c r="Q904">
        <f t="shared" ca="1" si="375"/>
        <v>52430.028837665537</v>
      </c>
      <c r="R904">
        <f t="shared" ca="1" si="376"/>
        <v>2.4599794254593593E-12</v>
      </c>
      <c r="S904">
        <f t="shared" ca="1" si="395"/>
        <v>5.0000000919681042E-4</v>
      </c>
      <c r="T904">
        <f t="shared" ca="1" si="396"/>
        <v>1</v>
      </c>
      <c r="U904">
        <f t="shared" ca="1" si="377"/>
        <v>51800.26683766341</v>
      </c>
      <c r="V904">
        <f t="shared" ca="1" si="378"/>
        <v>262471.95206644048</v>
      </c>
      <c r="W904">
        <f t="shared" ca="1" si="379"/>
        <v>2.5333760950719233</v>
      </c>
      <c r="X904">
        <f t="shared" ca="1" si="380"/>
        <v>1.943064757909454E-4</v>
      </c>
      <c r="Y904">
        <f t="shared" ca="1" si="381"/>
        <v>52432.451837663408</v>
      </c>
      <c r="Z904">
        <f t="shared" ca="1" si="382"/>
        <v>52432.451837665329</v>
      </c>
      <c r="AA904">
        <f t="shared" ca="1" si="383"/>
        <v>2.459749288225039E-12</v>
      </c>
      <c r="AB904">
        <f t="shared" ca="1" si="384"/>
        <v>-4.999999946448952E-4</v>
      </c>
      <c r="AC904">
        <f t="shared" ca="1" si="385"/>
        <v>1</v>
      </c>
      <c r="AD904">
        <f ca="1">IF(V32="Supercritical",L904,IF(V32="Subcritical",U904,IF(AND(T904=1,AC904=1),IF((((F904)*(L904)^2)/2+(G904)*(L904)^3/3+(ABS(K904)^2)/($I$5*MAX(((F904)+(G904)*(L904))*(L904),0.000001)))&gt;=(((F904)*(U904)^2)/2+(G904)*(U904)^3/3+(ABS(K904)^2)/($I$5*MAX(((F904)+(G904)*(U904))*(U904),0.000001))),L904,U904),IF(T904=1,L904,IF(AC904=1,U904,MAX($D$16,POWER((ABS(K904)^2)/($I$5*MAX(F904,0.1)^2),1/3)))))))</f>
        <v>51800.26683766341</v>
      </c>
      <c r="AE904">
        <f t="shared" ca="1" si="386"/>
        <v>52432.451837663408</v>
      </c>
      <c r="AF904">
        <f t="shared" ca="1" si="387"/>
        <v>52432.451837665329</v>
      </c>
      <c r="AI904">
        <v>0</v>
      </c>
      <c r="AJ904">
        <v>0</v>
      </c>
      <c r="AK904">
        <f t="shared" si="388"/>
        <v>0</v>
      </c>
      <c r="AL904">
        <f t="shared" si="397"/>
        <v>0</v>
      </c>
      <c r="AM904">
        <f t="shared" ca="1" si="389"/>
        <v>2.7257547195994827E-7</v>
      </c>
      <c r="AN904" t="str">
        <f t="shared" ca="1" si="390"/>
        <v>Subcritical</v>
      </c>
      <c r="AO904">
        <f t="shared" ca="1" si="391"/>
        <v>2.459749288225039E-12</v>
      </c>
    </row>
    <row r="905" spans="1:41" x14ac:dyDescent="0.35">
      <c r="A905">
        <v>756</v>
      </c>
      <c r="B905">
        <v>754.89099999999996</v>
      </c>
      <c r="C905">
        <v>616092.20400000003</v>
      </c>
      <c r="D905">
        <v>3097248.7230000002</v>
      </c>
      <c r="E905">
        <v>632.18449999999996</v>
      </c>
      <c r="F905">
        <v>5.0670000000000002</v>
      </c>
      <c r="G905">
        <v>0</v>
      </c>
      <c r="H905" t="s">
        <v>186</v>
      </c>
      <c r="I905">
        <v>7.0000000000000007E-2</v>
      </c>
      <c r="J905">
        <f t="shared" si="392"/>
        <v>1</v>
      </c>
      <c r="K905">
        <f t="shared" si="393"/>
        <v>51</v>
      </c>
      <c r="L905">
        <f t="shared" ca="1" si="394"/>
        <v>51797.843837663619</v>
      </c>
      <c r="M905">
        <f t="shared" ca="1" si="371"/>
        <v>262459.67472544155</v>
      </c>
      <c r="N905">
        <f t="shared" ca="1" si="372"/>
        <v>2.5333760892761812</v>
      </c>
      <c r="O905">
        <f t="shared" ca="1" si="373"/>
        <v>1.9431556506099834E-4</v>
      </c>
      <c r="P905">
        <f t="shared" ca="1" si="374"/>
        <v>52430.028337663622</v>
      </c>
      <c r="Q905">
        <f t="shared" ca="1" si="375"/>
        <v>52430.028337665542</v>
      </c>
      <c r="R905">
        <f t="shared" ca="1" si="376"/>
        <v>2.4599794254593593E-12</v>
      </c>
      <c r="S905">
        <f t="shared" ca="1" si="395"/>
        <v>4.999999946448952E-4</v>
      </c>
      <c r="T905">
        <f t="shared" ca="1" si="396"/>
        <v>1</v>
      </c>
      <c r="U905">
        <f t="shared" ca="1" si="377"/>
        <v>51800.26683766341</v>
      </c>
      <c r="V905">
        <f t="shared" ca="1" si="378"/>
        <v>262471.95206644048</v>
      </c>
      <c r="W905">
        <f t="shared" ca="1" si="379"/>
        <v>2.5333760950719233</v>
      </c>
      <c r="X905">
        <f t="shared" ca="1" si="380"/>
        <v>1.943064757909454E-4</v>
      </c>
      <c r="Y905">
        <f t="shared" ca="1" si="381"/>
        <v>52432.451337663413</v>
      </c>
      <c r="Z905">
        <f t="shared" ca="1" si="382"/>
        <v>52432.451337665334</v>
      </c>
      <c r="AA905">
        <f t="shared" ca="1" si="383"/>
        <v>2.459749288225039E-12</v>
      </c>
      <c r="AB905">
        <f t="shared" ca="1" si="384"/>
        <v>-5.0000000192085281E-4</v>
      </c>
      <c r="AC905">
        <f t="shared" ca="1" si="385"/>
        <v>1</v>
      </c>
      <c r="AD905">
        <f ca="1">IF(V32="Supercritical",L905,IF(V32="Subcritical",U905,IF(AND(T905=1,AC905=1),IF((((F905)*(L905)^2)/2+(G905)*(L905)^3/3+(ABS(K905)^2)/($I$5*MAX(((F905)+(G905)*(L905))*(L905),0.000001)))&gt;=(((F905)*(U905)^2)/2+(G905)*(U905)^3/3+(ABS(K905)^2)/($I$5*MAX(((F905)+(G905)*(U905))*(U905),0.000001))),L905,U905),IF(T905=1,L905,IF(AC905=1,U905,MAX($D$16,POWER((ABS(K905)^2)/($I$5*MAX(F905,0.1)^2),1/3)))))))</f>
        <v>51800.26683766341</v>
      </c>
      <c r="AE905">
        <f t="shared" ca="1" si="386"/>
        <v>52432.451337663413</v>
      </c>
      <c r="AF905">
        <f t="shared" ca="1" si="387"/>
        <v>52432.451337665334</v>
      </c>
      <c r="AI905">
        <v>0</v>
      </c>
      <c r="AJ905">
        <v>0</v>
      </c>
      <c r="AK905">
        <f t="shared" si="388"/>
        <v>0</v>
      </c>
      <c r="AL905">
        <f t="shared" si="397"/>
        <v>0</v>
      </c>
      <c r="AM905">
        <f t="shared" ca="1" si="389"/>
        <v>2.7257547195994827E-7</v>
      </c>
      <c r="AN905" t="str">
        <f t="shared" ca="1" si="390"/>
        <v>Subcritical</v>
      </c>
      <c r="AO905">
        <f t="shared" ca="1" si="391"/>
        <v>2.459749288225039E-12</v>
      </c>
    </row>
    <row r="906" spans="1:41" x14ac:dyDescent="0.35">
      <c r="A906">
        <v>757</v>
      </c>
      <c r="B906">
        <v>755.89200000000005</v>
      </c>
      <c r="C906">
        <v>616091.93999999994</v>
      </c>
      <c r="D906">
        <v>3097247.7579999999</v>
      </c>
      <c r="E906">
        <v>632.18399999999997</v>
      </c>
      <c r="F906">
        <v>5.0670000000000002</v>
      </c>
      <c r="G906">
        <v>0</v>
      </c>
      <c r="H906" t="s">
        <v>186</v>
      </c>
      <c r="I906">
        <v>7.0000000000000007E-2</v>
      </c>
      <c r="J906">
        <f t="shared" si="392"/>
        <v>1.00100000000009</v>
      </c>
      <c r="K906">
        <f t="shared" si="393"/>
        <v>51</v>
      </c>
      <c r="L906">
        <f t="shared" ca="1" si="394"/>
        <v>51797.843837663619</v>
      </c>
      <c r="M906">
        <f t="shared" ca="1" si="371"/>
        <v>262459.67472544155</v>
      </c>
      <c r="N906">
        <f t="shared" ca="1" si="372"/>
        <v>2.5333760892761812</v>
      </c>
      <c r="O906">
        <f t="shared" ca="1" si="373"/>
        <v>1.9431556506099834E-4</v>
      </c>
      <c r="P906">
        <f t="shared" ca="1" si="374"/>
        <v>52430.02783766362</v>
      </c>
      <c r="Q906">
        <f t="shared" ca="1" si="375"/>
        <v>52430.027837665548</v>
      </c>
      <c r="R906">
        <f t="shared" ca="1" si="376"/>
        <v>2.4599794254593593E-12</v>
      </c>
      <c r="S906">
        <f t="shared" ca="1" si="395"/>
        <v>4.999999946448952E-4</v>
      </c>
      <c r="T906">
        <f t="shared" ca="1" si="396"/>
        <v>1</v>
      </c>
      <c r="U906">
        <f t="shared" ca="1" si="377"/>
        <v>51800.26683766341</v>
      </c>
      <c r="V906">
        <f t="shared" ca="1" si="378"/>
        <v>262471.95206644048</v>
      </c>
      <c r="W906">
        <f t="shared" ca="1" si="379"/>
        <v>2.5333760950719233</v>
      </c>
      <c r="X906">
        <f t="shared" ca="1" si="380"/>
        <v>1.943064757909454E-4</v>
      </c>
      <c r="Y906">
        <f t="shared" ca="1" si="381"/>
        <v>52432.450837663411</v>
      </c>
      <c r="Z906">
        <f t="shared" ca="1" si="382"/>
        <v>52432.450837665332</v>
      </c>
      <c r="AA906">
        <f t="shared" ca="1" si="383"/>
        <v>2.459749288225039E-12</v>
      </c>
      <c r="AB906">
        <f t="shared" ca="1" si="384"/>
        <v>-5.0000000192085281E-4</v>
      </c>
      <c r="AC906">
        <f t="shared" ca="1" si="385"/>
        <v>1</v>
      </c>
      <c r="AD906">
        <f ca="1">IF(V32="Supercritical",L906,IF(V32="Subcritical",U906,IF(AND(T906=1,AC906=1),IF((((F906)*(L906)^2)/2+(G906)*(L906)^3/3+(ABS(K906)^2)/($I$5*MAX(((F906)+(G906)*(L906))*(L906),0.000001)))&gt;=(((F906)*(U906)^2)/2+(G906)*(U906)^3/3+(ABS(K906)^2)/($I$5*MAX(((F906)+(G906)*(U906))*(U906),0.000001))),L906,U906),IF(T906=1,L906,IF(AC906=1,U906,MAX($D$16,POWER((ABS(K906)^2)/($I$5*MAX(F906,0.1)^2),1/3)))))))</f>
        <v>51800.26683766341</v>
      </c>
      <c r="AE906">
        <f t="shared" ca="1" si="386"/>
        <v>52432.450837663411</v>
      </c>
      <c r="AF906">
        <f t="shared" ca="1" si="387"/>
        <v>52432.450837665332</v>
      </c>
      <c r="AI906">
        <v>0</v>
      </c>
      <c r="AJ906">
        <v>0</v>
      </c>
      <c r="AK906">
        <f t="shared" si="388"/>
        <v>0</v>
      </c>
      <c r="AL906">
        <f t="shared" si="397"/>
        <v>0</v>
      </c>
      <c r="AM906">
        <f t="shared" ca="1" si="389"/>
        <v>2.7257547195994827E-7</v>
      </c>
      <c r="AN906" t="str">
        <f t="shared" ca="1" si="390"/>
        <v>Subcritical</v>
      </c>
      <c r="AO906">
        <f t="shared" ca="1" si="391"/>
        <v>2.459749288225039E-12</v>
      </c>
    </row>
    <row r="907" spans="1:41" x14ac:dyDescent="0.35">
      <c r="A907">
        <v>758</v>
      </c>
      <c r="B907">
        <v>756.89099999999996</v>
      </c>
      <c r="C907">
        <v>616091.67500000005</v>
      </c>
      <c r="D907">
        <v>3097246.7940000002</v>
      </c>
      <c r="E907">
        <v>632.18349999999998</v>
      </c>
      <c r="F907">
        <v>5.0670000000000002</v>
      </c>
      <c r="G907">
        <v>0</v>
      </c>
      <c r="H907" t="s">
        <v>186</v>
      </c>
      <c r="I907">
        <v>5.5E-2</v>
      </c>
      <c r="J907">
        <f t="shared" si="392"/>
        <v>0.99899999999990996</v>
      </c>
      <c r="K907">
        <f t="shared" si="393"/>
        <v>51</v>
      </c>
      <c r="L907">
        <f t="shared" ca="1" si="394"/>
        <v>51797.843837663619</v>
      </c>
      <c r="M907">
        <f t="shared" ca="1" si="371"/>
        <v>262459.67472544155</v>
      </c>
      <c r="N907">
        <f t="shared" ca="1" si="372"/>
        <v>2.5333760892761812</v>
      </c>
      <c r="O907">
        <f t="shared" ca="1" si="373"/>
        <v>1.9431556506099834E-4</v>
      </c>
      <c r="P907">
        <f t="shared" ca="1" si="374"/>
        <v>52430.027337663618</v>
      </c>
      <c r="Q907">
        <f t="shared" ca="1" si="375"/>
        <v>52430.027337665539</v>
      </c>
      <c r="R907">
        <f t="shared" ca="1" si="376"/>
        <v>2.4599794254593593E-12</v>
      </c>
      <c r="S907">
        <f t="shared" ca="1" si="395"/>
        <v>5.0000000919681042E-4</v>
      </c>
      <c r="T907">
        <f t="shared" ca="1" si="396"/>
        <v>1</v>
      </c>
      <c r="U907">
        <f t="shared" ca="1" si="377"/>
        <v>51800.26683766341</v>
      </c>
      <c r="V907">
        <f t="shared" ca="1" si="378"/>
        <v>262471.95206644048</v>
      </c>
      <c r="W907">
        <f t="shared" ca="1" si="379"/>
        <v>2.5333760950719233</v>
      </c>
      <c r="X907">
        <f t="shared" ca="1" si="380"/>
        <v>1.943064757909454E-4</v>
      </c>
      <c r="Y907">
        <f t="shared" ca="1" si="381"/>
        <v>52432.450337663409</v>
      </c>
      <c r="Z907">
        <f t="shared" ca="1" si="382"/>
        <v>52432.45033766533</v>
      </c>
      <c r="AA907">
        <f t="shared" ca="1" si="383"/>
        <v>2.459749288225039E-12</v>
      </c>
      <c r="AB907">
        <f t="shared" ca="1" si="384"/>
        <v>-5.0000001647276804E-4</v>
      </c>
      <c r="AC907">
        <f t="shared" ca="1" si="385"/>
        <v>1</v>
      </c>
      <c r="AD907">
        <f ca="1">IF(V32="Supercritical",L907,IF(V32="Subcritical",U907,IF(AND(T907=1,AC907=1),IF((((F907)*(L907)^2)/2+(G907)*(L907)^3/3+(ABS(K907)^2)/($I$5*MAX(((F907)+(G907)*(L907))*(L907),0.000001)))&gt;=(((F907)*(U907)^2)/2+(G907)*(U907)^3/3+(ABS(K907)^2)/($I$5*MAX(((F907)+(G907)*(U907))*(U907),0.000001))),L907,U907),IF(T907=1,L907,IF(AC907=1,U907,MAX($D$16,POWER((ABS(K907)^2)/($I$5*MAX(F907,0.1)^2),1/3)))))))</f>
        <v>51800.26683766341</v>
      </c>
      <c r="AE907">
        <f t="shared" ca="1" si="386"/>
        <v>52432.450337663409</v>
      </c>
      <c r="AF907">
        <f t="shared" ca="1" si="387"/>
        <v>52432.45033766533</v>
      </c>
      <c r="AI907">
        <v>0</v>
      </c>
      <c r="AJ907">
        <v>0</v>
      </c>
      <c r="AK907">
        <f t="shared" si="388"/>
        <v>0</v>
      </c>
      <c r="AL907">
        <f t="shared" si="397"/>
        <v>0</v>
      </c>
      <c r="AM907">
        <f t="shared" ca="1" si="389"/>
        <v>2.7257547195994827E-7</v>
      </c>
      <c r="AN907" t="str">
        <f t="shared" ca="1" si="390"/>
        <v>Subcritical</v>
      </c>
      <c r="AO907">
        <f t="shared" ca="1" si="391"/>
        <v>2.459749288225039E-12</v>
      </c>
    </row>
    <row r="908" spans="1:41" x14ac:dyDescent="0.35">
      <c r="A908">
        <v>759</v>
      </c>
      <c r="B908">
        <v>757.89099999999996</v>
      </c>
      <c r="C908">
        <v>616091.41099999996</v>
      </c>
      <c r="D908">
        <v>3097245.83</v>
      </c>
      <c r="E908">
        <v>632.18299999999999</v>
      </c>
      <c r="F908">
        <v>5.1829999999999998</v>
      </c>
      <c r="G908">
        <v>0</v>
      </c>
      <c r="H908" t="s">
        <v>186</v>
      </c>
      <c r="I908">
        <v>11.814</v>
      </c>
      <c r="J908">
        <f t="shared" si="392"/>
        <v>1</v>
      </c>
      <c r="K908">
        <f t="shared" si="393"/>
        <v>51</v>
      </c>
      <c r="L908">
        <f t="shared" ca="1" si="394"/>
        <v>51797.843837663619</v>
      </c>
      <c r="M908">
        <f t="shared" ca="1" si="371"/>
        <v>268468.22461061052</v>
      </c>
      <c r="N908">
        <f t="shared" ca="1" si="372"/>
        <v>2.5913703510461592</v>
      </c>
      <c r="O908">
        <f t="shared" ca="1" si="373"/>
        <v>1.8996661550532099E-4</v>
      </c>
      <c r="P908">
        <f t="shared" ca="1" si="374"/>
        <v>52430.026837663616</v>
      </c>
      <c r="Q908">
        <f t="shared" ca="1" si="375"/>
        <v>52430.026837665457</v>
      </c>
      <c r="R908">
        <f t="shared" ca="1" si="376"/>
        <v>2.2812056646184734E-12</v>
      </c>
      <c r="S908">
        <f t="shared" ca="1" si="395"/>
        <v>5.0000001647276804E-4</v>
      </c>
      <c r="T908">
        <f t="shared" ca="1" si="396"/>
        <v>1</v>
      </c>
      <c r="U908">
        <f t="shared" ca="1" si="377"/>
        <v>51800.26683766341</v>
      </c>
      <c r="V908">
        <f t="shared" ca="1" si="378"/>
        <v>268480.78301960946</v>
      </c>
      <c r="W908">
        <f t="shared" ca="1" si="379"/>
        <v>2.5913703571102924</v>
      </c>
      <c r="X908">
        <f t="shared" ca="1" si="380"/>
        <v>1.8995772966095317E-4</v>
      </c>
      <c r="Y908">
        <f t="shared" ca="1" si="381"/>
        <v>52432.449837663407</v>
      </c>
      <c r="Z908">
        <f t="shared" ca="1" si="382"/>
        <v>52432.449837665248</v>
      </c>
      <c r="AA908">
        <f t="shared" ca="1" si="383"/>
        <v>2.2809922519577968E-12</v>
      </c>
      <c r="AB908">
        <f t="shared" ca="1" si="384"/>
        <v>-5.0000000192085281E-4</v>
      </c>
      <c r="AC908">
        <f t="shared" ca="1" si="385"/>
        <v>1</v>
      </c>
      <c r="AD908">
        <f ca="1">IF(V32="Supercritical",L908,IF(V32="Subcritical",U908,IF(AND(T908=1,AC908=1),IF((((F908)*(L908)^2)/2+(G908)*(L908)^3/3+(ABS(K908)^2)/($I$5*MAX(((F908)+(G908)*(L908))*(L908),0.000001)))&gt;=(((F908)*(U908)^2)/2+(G908)*(U908)^3/3+(ABS(K908)^2)/($I$5*MAX(((F908)+(G908)*(U908))*(U908),0.000001))),L908,U908),IF(T908=1,L908,IF(AC908=1,U908,MAX($D$16,POWER((ABS(K908)^2)/($I$5*MAX(F908,0.1)^2),1/3)))))))</f>
        <v>51800.26683766341</v>
      </c>
      <c r="AE908">
        <f t="shared" ca="1" si="386"/>
        <v>52432.449837663407</v>
      </c>
      <c r="AF908">
        <f t="shared" ca="1" si="387"/>
        <v>52432.449837665248</v>
      </c>
      <c r="AI908">
        <v>0</v>
      </c>
      <c r="AJ908">
        <v>0</v>
      </c>
      <c r="AK908">
        <f t="shared" si="388"/>
        <v>0</v>
      </c>
      <c r="AL908">
        <f t="shared" si="397"/>
        <v>0</v>
      </c>
      <c r="AM908">
        <f t="shared" ca="1" si="389"/>
        <v>2.6647499834479217E-7</v>
      </c>
      <c r="AN908" t="str">
        <f t="shared" ca="1" si="390"/>
        <v>Subcritical</v>
      </c>
      <c r="AO908">
        <f t="shared" ca="1" si="391"/>
        <v>2.2809922519577968E-12</v>
      </c>
    </row>
    <row r="909" spans="1:41" x14ac:dyDescent="0.35">
      <c r="A909">
        <v>760</v>
      </c>
      <c r="B909">
        <v>758.89</v>
      </c>
      <c r="C909">
        <v>616091.35</v>
      </c>
      <c r="D909">
        <v>3097244.8330000001</v>
      </c>
      <c r="E909">
        <v>632.1825</v>
      </c>
      <c r="F909">
        <v>5.2</v>
      </c>
      <c r="G909">
        <v>0</v>
      </c>
      <c r="H909" t="s">
        <v>186</v>
      </c>
      <c r="I909">
        <v>1.0940000000000001</v>
      </c>
      <c r="J909">
        <f t="shared" si="392"/>
        <v>0.99900000000002365</v>
      </c>
      <c r="K909">
        <f t="shared" si="393"/>
        <v>51</v>
      </c>
      <c r="L909">
        <f t="shared" ca="1" si="394"/>
        <v>51797.843837663619</v>
      </c>
      <c r="M909">
        <f t="shared" ca="1" si="371"/>
        <v>269348.78795585083</v>
      </c>
      <c r="N909">
        <f t="shared" ca="1" si="372"/>
        <v>2.5998694991876676</v>
      </c>
      <c r="O909">
        <f t="shared" ca="1" si="373"/>
        <v>1.8934557080078435E-4</v>
      </c>
      <c r="P909">
        <f t="shared" ca="1" si="374"/>
        <v>52430.026337663621</v>
      </c>
      <c r="Q909">
        <f t="shared" ca="1" si="375"/>
        <v>52430.026337665447</v>
      </c>
      <c r="R909">
        <f t="shared" ca="1" si="376"/>
        <v>2.2564415439646509E-12</v>
      </c>
      <c r="S909">
        <f t="shared" ca="1" si="395"/>
        <v>5.0000000192085281E-4</v>
      </c>
      <c r="T909">
        <f t="shared" ca="1" si="396"/>
        <v>1</v>
      </c>
      <c r="U909">
        <f t="shared" ca="1" si="377"/>
        <v>51800.26683766341</v>
      </c>
      <c r="V909">
        <f t="shared" ca="1" si="378"/>
        <v>269361.38755584974</v>
      </c>
      <c r="W909">
        <f t="shared" ca="1" si="379"/>
        <v>2.5998695052916441</v>
      </c>
      <c r="X909">
        <f t="shared" ca="1" si="380"/>
        <v>1.8933671400629237E-4</v>
      </c>
      <c r="Y909">
        <f t="shared" ca="1" si="381"/>
        <v>52432.449337663413</v>
      </c>
      <c r="Z909">
        <f t="shared" ca="1" si="382"/>
        <v>52432.449337665239</v>
      </c>
      <c r="AA909">
        <f t="shared" ca="1" si="383"/>
        <v>2.2562304480281055E-12</v>
      </c>
      <c r="AB909">
        <f t="shared" ca="1" si="384"/>
        <v>-5.0000000192085281E-4</v>
      </c>
      <c r="AC909">
        <f t="shared" ca="1" si="385"/>
        <v>1</v>
      </c>
      <c r="AD909">
        <f ca="1">IF(V32="Supercritical",L909,IF(V32="Subcritical",U909,IF(AND(T909=1,AC909=1),IF((((F909)*(L909)^2)/2+(G909)*(L909)^3/3+(ABS(K909)^2)/($I$5*MAX(((F909)+(G909)*(L909))*(L909),0.000001)))&gt;=(((F909)*(U909)^2)/2+(G909)*(U909)^3/3+(ABS(K909)^2)/($I$5*MAX(((F909)+(G909)*(U909))*(U909),0.000001))),L909,U909),IF(T909=1,L909,IF(AC909=1,U909,MAX($D$16,POWER((ABS(K909)^2)/($I$5*MAX(F909,0.1)^2),1/3)))))))</f>
        <v>51800.26683766341</v>
      </c>
      <c r="AE909">
        <f t="shared" ca="1" si="386"/>
        <v>52432.449337663413</v>
      </c>
      <c r="AF909">
        <f t="shared" ca="1" si="387"/>
        <v>52432.449337665239</v>
      </c>
      <c r="AI909">
        <v>0</v>
      </c>
      <c r="AJ909">
        <v>0</v>
      </c>
      <c r="AK909">
        <f t="shared" si="388"/>
        <v>0</v>
      </c>
      <c r="AL909">
        <f t="shared" si="397"/>
        <v>0</v>
      </c>
      <c r="AM909">
        <f t="shared" ca="1" si="389"/>
        <v>2.6560383008097266E-7</v>
      </c>
      <c r="AN909" t="str">
        <f t="shared" ca="1" si="390"/>
        <v>Subcritical</v>
      </c>
      <c r="AO909">
        <f t="shared" ca="1" si="391"/>
        <v>2.2562304480281055E-12</v>
      </c>
    </row>
    <row r="910" spans="1:41" x14ac:dyDescent="0.35">
      <c r="A910">
        <v>761</v>
      </c>
      <c r="B910">
        <v>759.89</v>
      </c>
      <c r="C910">
        <v>616091.30799999996</v>
      </c>
      <c r="D910">
        <v>3097243.8339999998</v>
      </c>
      <c r="E910">
        <v>632.18200000000002</v>
      </c>
      <c r="F910">
        <v>5.2</v>
      </c>
      <c r="G910">
        <v>0</v>
      </c>
      <c r="H910" t="s">
        <v>186</v>
      </c>
      <c r="I910">
        <v>0</v>
      </c>
      <c r="J910">
        <f t="shared" si="392"/>
        <v>1</v>
      </c>
      <c r="K910">
        <f t="shared" si="393"/>
        <v>51</v>
      </c>
      <c r="L910">
        <f t="shared" ca="1" si="394"/>
        <v>51797.843837663619</v>
      </c>
      <c r="M910">
        <f t="shared" ca="1" si="371"/>
        <v>269348.78795585083</v>
      </c>
      <c r="N910">
        <f t="shared" ca="1" si="372"/>
        <v>2.5998694991876676</v>
      </c>
      <c r="O910">
        <f t="shared" ca="1" si="373"/>
        <v>1.8934557080078435E-4</v>
      </c>
      <c r="P910">
        <f t="shared" ca="1" si="374"/>
        <v>52430.025837663619</v>
      </c>
      <c r="Q910">
        <f t="shared" ca="1" si="375"/>
        <v>52430.025837665446</v>
      </c>
      <c r="R910">
        <f t="shared" ca="1" si="376"/>
        <v>2.2564415439646509E-12</v>
      </c>
      <c r="S910">
        <f t="shared" ca="1" si="395"/>
        <v>5.0000000192085281E-4</v>
      </c>
      <c r="T910">
        <f t="shared" ca="1" si="396"/>
        <v>1</v>
      </c>
      <c r="U910">
        <f t="shared" ca="1" si="377"/>
        <v>51800.26683766341</v>
      </c>
      <c r="V910">
        <f t="shared" ca="1" si="378"/>
        <v>269361.38755584974</v>
      </c>
      <c r="W910">
        <f t="shared" ca="1" si="379"/>
        <v>2.5998695052916441</v>
      </c>
      <c r="X910">
        <f t="shared" ca="1" si="380"/>
        <v>1.8933671400629237E-4</v>
      </c>
      <c r="Y910">
        <f t="shared" ca="1" si="381"/>
        <v>52432.448837663411</v>
      </c>
      <c r="Z910">
        <f t="shared" ca="1" si="382"/>
        <v>52432.448837665237</v>
      </c>
      <c r="AA910">
        <f t="shared" ca="1" si="383"/>
        <v>2.2562304480281055E-12</v>
      </c>
      <c r="AB910">
        <f t="shared" ca="1" si="384"/>
        <v>-5.0000000192085281E-4</v>
      </c>
      <c r="AC910">
        <f t="shared" ca="1" si="385"/>
        <v>1</v>
      </c>
      <c r="AD910">
        <f ca="1">IF(V32="Supercritical",L910,IF(V32="Subcritical",U910,IF(AND(T910=1,AC910=1),IF((((F910)*(L910)^2)/2+(G910)*(L910)^3/3+(ABS(K910)^2)/($I$5*MAX(((F910)+(G910)*(L910))*(L910),0.000001)))&gt;=(((F910)*(U910)^2)/2+(G910)*(U910)^3/3+(ABS(K910)^2)/($I$5*MAX(((F910)+(G910)*(U910))*(U910),0.000001))),L910,U910),IF(T910=1,L910,IF(AC910=1,U910,MAX($D$16,POWER((ABS(K910)^2)/($I$5*MAX(F910,0.1)^2),1/3)))))))</f>
        <v>51800.26683766341</v>
      </c>
      <c r="AE910">
        <f t="shared" ca="1" si="386"/>
        <v>52432.448837663411</v>
      </c>
      <c r="AF910">
        <f t="shared" ca="1" si="387"/>
        <v>52432.448837665237</v>
      </c>
      <c r="AI910">
        <v>0</v>
      </c>
      <c r="AJ910">
        <v>0</v>
      </c>
      <c r="AK910">
        <f t="shared" si="388"/>
        <v>0</v>
      </c>
      <c r="AL910">
        <f t="shared" si="397"/>
        <v>0</v>
      </c>
      <c r="AM910">
        <f t="shared" ca="1" si="389"/>
        <v>2.6560383008097266E-7</v>
      </c>
      <c r="AN910" t="str">
        <f t="shared" ca="1" si="390"/>
        <v>Subcritical</v>
      </c>
      <c r="AO910">
        <f t="shared" ca="1" si="391"/>
        <v>2.2562304480281055E-12</v>
      </c>
    </row>
    <row r="911" spans="1:41" x14ac:dyDescent="0.35">
      <c r="A911">
        <v>762</v>
      </c>
      <c r="B911">
        <v>760.88900000000001</v>
      </c>
      <c r="C911">
        <v>616091.26599999995</v>
      </c>
      <c r="D911">
        <v>3097242.835</v>
      </c>
      <c r="E911">
        <v>632.18150000000003</v>
      </c>
      <c r="F911">
        <v>5.2</v>
      </c>
      <c r="G911">
        <v>0</v>
      </c>
      <c r="H911" t="s">
        <v>186</v>
      </c>
      <c r="I911">
        <v>0</v>
      </c>
      <c r="J911">
        <f t="shared" si="392"/>
        <v>0.99900000000002365</v>
      </c>
      <c r="K911">
        <f t="shared" si="393"/>
        <v>51</v>
      </c>
      <c r="L911">
        <f t="shared" ca="1" si="394"/>
        <v>51797.843837663619</v>
      </c>
      <c r="M911">
        <f t="shared" ca="1" si="371"/>
        <v>269348.78795585083</v>
      </c>
      <c r="N911">
        <f t="shared" ca="1" si="372"/>
        <v>2.5998694991876676</v>
      </c>
      <c r="O911">
        <f t="shared" ca="1" si="373"/>
        <v>1.8934557080078435E-4</v>
      </c>
      <c r="P911">
        <f t="shared" ca="1" si="374"/>
        <v>52430.025337663617</v>
      </c>
      <c r="Q911">
        <f t="shared" ca="1" si="375"/>
        <v>52430.025337665444</v>
      </c>
      <c r="R911">
        <f t="shared" ca="1" si="376"/>
        <v>2.2564415439646509E-12</v>
      </c>
      <c r="S911">
        <f t="shared" ca="1" si="395"/>
        <v>5.0000000192085281E-4</v>
      </c>
      <c r="T911">
        <f t="shared" ca="1" si="396"/>
        <v>1</v>
      </c>
      <c r="U911">
        <f t="shared" ca="1" si="377"/>
        <v>51800.26683766341</v>
      </c>
      <c r="V911">
        <f t="shared" ca="1" si="378"/>
        <v>269361.38755584974</v>
      </c>
      <c r="W911">
        <f t="shared" ca="1" si="379"/>
        <v>2.5998695052916441</v>
      </c>
      <c r="X911">
        <f t="shared" ca="1" si="380"/>
        <v>1.8933671400629237E-4</v>
      </c>
      <c r="Y911">
        <f t="shared" ca="1" si="381"/>
        <v>52432.448337663409</v>
      </c>
      <c r="Z911">
        <f t="shared" ca="1" si="382"/>
        <v>52432.448337665235</v>
      </c>
      <c r="AA911">
        <f t="shared" ca="1" si="383"/>
        <v>2.2562304480281055E-12</v>
      </c>
      <c r="AB911">
        <f t="shared" ca="1" si="384"/>
        <v>-5.0000000192085281E-4</v>
      </c>
      <c r="AC911">
        <f t="shared" ca="1" si="385"/>
        <v>1</v>
      </c>
      <c r="AD911">
        <f ca="1">IF(V32="Supercritical",L911,IF(V32="Subcritical",U911,IF(AND(T911=1,AC911=1),IF((((F911)*(L911)^2)/2+(G911)*(L911)^3/3+(ABS(K911)^2)/($I$5*MAX(((F911)+(G911)*(L911))*(L911),0.000001)))&gt;=(((F911)*(U911)^2)/2+(G911)*(U911)^3/3+(ABS(K911)^2)/($I$5*MAX(((F911)+(G911)*(U911))*(U911),0.000001))),L911,U911),IF(T911=1,L911,IF(AC911=1,U911,MAX($D$16,POWER((ABS(K911)^2)/($I$5*MAX(F911,0.1)^2),1/3)))))))</f>
        <v>51800.26683766341</v>
      </c>
      <c r="AE911">
        <f t="shared" ca="1" si="386"/>
        <v>52432.448337663409</v>
      </c>
      <c r="AF911">
        <f t="shared" ca="1" si="387"/>
        <v>52432.448337665235</v>
      </c>
      <c r="AI911">
        <v>0</v>
      </c>
      <c r="AJ911">
        <v>0</v>
      </c>
      <c r="AK911">
        <f t="shared" si="388"/>
        <v>0</v>
      </c>
      <c r="AL911">
        <f t="shared" si="397"/>
        <v>0</v>
      </c>
      <c r="AM911">
        <f t="shared" ca="1" si="389"/>
        <v>2.6560383008097266E-7</v>
      </c>
      <c r="AN911" t="str">
        <f t="shared" ca="1" si="390"/>
        <v>Subcritical</v>
      </c>
      <c r="AO911">
        <f t="shared" ca="1" si="391"/>
        <v>2.2562304480281055E-12</v>
      </c>
    </row>
    <row r="912" spans="1:41" x14ac:dyDescent="0.35">
      <c r="A912">
        <v>763</v>
      </c>
      <c r="B912">
        <v>761.88900000000001</v>
      </c>
      <c r="C912">
        <v>616091.22400000005</v>
      </c>
      <c r="D912">
        <v>3097241.8360000001</v>
      </c>
      <c r="E912">
        <v>632.18100000000004</v>
      </c>
      <c r="F912">
        <v>5.2</v>
      </c>
      <c r="G912">
        <v>0</v>
      </c>
      <c r="H912" t="s">
        <v>186</v>
      </c>
      <c r="I912">
        <v>5.7000000000000002E-2</v>
      </c>
      <c r="J912">
        <f t="shared" si="392"/>
        <v>1</v>
      </c>
      <c r="K912">
        <f t="shared" si="393"/>
        <v>51</v>
      </c>
      <c r="L912">
        <f t="shared" ca="1" si="394"/>
        <v>51797.843837663619</v>
      </c>
      <c r="M912">
        <f t="shared" ca="1" si="371"/>
        <v>269348.78795585083</v>
      </c>
      <c r="N912">
        <f t="shared" ca="1" si="372"/>
        <v>2.5998694991876676</v>
      </c>
      <c r="O912">
        <f t="shared" ca="1" si="373"/>
        <v>1.8934557080078435E-4</v>
      </c>
      <c r="P912">
        <f t="shared" ca="1" si="374"/>
        <v>52430.024837663615</v>
      </c>
      <c r="Q912">
        <f t="shared" ca="1" si="375"/>
        <v>52430.024837665442</v>
      </c>
      <c r="R912">
        <f t="shared" ca="1" si="376"/>
        <v>2.2564415439646509E-12</v>
      </c>
      <c r="S912">
        <f t="shared" ca="1" si="395"/>
        <v>5.0000000192085281E-4</v>
      </c>
      <c r="T912">
        <f t="shared" ca="1" si="396"/>
        <v>1</v>
      </c>
      <c r="U912">
        <f t="shared" ca="1" si="377"/>
        <v>51800.26683766341</v>
      </c>
      <c r="V912">
        <f t="shared" ca="1" si="378"/>
        <v>269361.38755584974</v>
      </c>
      <c r="W912">
        <f t="shared" ca="1" si="379"/>
        <v>2.5998695052916441</v>
      </c>
      <c r="X912">
        <f t="shared" ca="1" si="380"/>
        <v>1.8933671400629237E-4</v>
      </c>
      <c r="Y912">
        <f t="shared" ca="1" si="381"/>
        <v>52432.447837663407</v>
      </c>
      <c r="Z912">
        <f t="shared" ca="1" si="382"/>
        <v>52432.447837665233</v>
      </c>
      <c r="AA912">
        <f t="shared" ca="1" si="383"/>
        <v>2.2562304480281055E-12</v>
      </c>
      <c r="AB912">
        <f t="shared" ca="1" si="384"/>
        <v>-4.999999946448952E-4</v>
      </c>
      <c r="AC912">
        <f t="shared" ca="1" si="385"/>
        <v>1</v>
      </c>
      <c r="AD912">
        <f ca="1">IF(V32="Supercritical",L912,IF(V32="Subcritical",U912,IF(AND(T912=1,AC912=1),IF((((F912)*(L912)^2)/2+(G912)*(L912)^3/3+(ABS(K912)^2)/($I$5*MAX(((F912)+(G912)*(L912))*(L912),0.000001)))&gt;=(((F912)*(U912)^2)/2+(G912)*(U912)^3/3+(ABS(K912)^2)/($I$5*MAX(((F912)+(G912)*(U912))*(U912),0.000001))),L912,U912),IF(T912=1,L912,IF(AC912=1,U912,MAX($D$16,POWER((ABS(K912)^2)/($I$5*MAX(F912,0.1)^2),1/3)))))))</f>
        <v>51800.26683766341</v>
      </c>
      <c r="AE912">
        <f t="shared" ca="1" si="386"/>
        <v>52432.447837663407</v>
      </c>
      <c r="AF912">
        <f t="shared" ca="1" si="387"/>
        <v>52432.447837665233</v>
      </c>
      <c r="AI912">
        <v>0</v>
      </c>
      <c r="AJ912">
        <v>0</v>
      </c>
      <c r="AK912">
        <f t="shared" si="388"/>
        <v>0</v>
      </c>
      <c r="AL912">
        <f t="shared" si="397"/>
        <v>0</v>
      </c>
      <c r="AM912">
        <f t="shared" ca="1" si="389"/>
        <v>2.6560383008097266E-7</v>
      </c>
      <c r="AN912" t="str">
        <f t="shared" ca="1" si="390"/>
        <v>Subcritical</v>
      </c>
      <c r="AO912">
        <f t="shared" ca="1" si="391"/>
        <v>2.2562304480281055E-12</v>
      </c>
    </row>
    <row r="913" spans="1:41" x14ac:dyDescent="0.35">
      <c r="A913">
        <v>764</v>
      </c>
      <c r="B913">
        <v>762.88900000000001</v>
      </c>
      <c r="C913">
        <v>616091.18099999998</v>
      </c>
      <c r="D913">
        <v>3097240.8369999998</v>
      </c>
      <c r="E913">
        <v>632.18050000000005</v>
      </c>
      <c r="F913">
        <v>5.2</v>
      </c>
      <c r="G913">
        <v>0</v>
      </c>
      <c r="H913" t="s">
        <v>186</v>
      </c>
      <c r="I913">
        <v>5.7000000000000002E-2</v>
      </c>
      <c r="J913">
        <f t="shared" si="392"/>
        <v>1</v>
      </c>
      <c r="K913">
        <f t="shared" si="393"/>
        <v>51</v>
      </c>
      <c r="L913">
        <f t="shared" ca="1" si="394"/>
        <v>51797.843837663619</v>
      </c>
      <c r="M913">
        <f t="shared" ca="1" si="371"/>
        <v>269348.78795585083</v>
      </c>
      <c r="N913">
        <f t="shared" ca="1" si="372"/>
        <v>2.5998694991876676</v>
      </c>
      <c r="O913">
        <f t="shared" ca="1" si="373"/>
        <v>1.8934557080078435E-4</v>
      </c>
      <c r="P913">
        <f t="shared" ca="1" si="374"/>
        <v>52430.024337663621</v>
      </c>
      <c r="Q913">
        <f t="shared" ca="1" si="375"/>
        <v>52430.024337665447</v>
      </c>
      <c r="R913">
        <f t="shared" ca="1" si="376"/>
        <v>2.2564415439646509E-12</v>
      </c>
      <c r="S913">
        <f t="shared" ca="1" si="395"/>
        <v>4.999999946448952E-4</v>
      </c>
      <c r="T913">
        <f t="shared" ca="1" si="396"/>
        <v>1</v>
      </c>
      <c r="U913">
        <f t="shared" ca="1" si="377"/>
        <v>51800.26683766341</v>
      </c>
      <c r="V913">
        <f t="shared" ca="1" si="378"/>
        <v>269361.38755584974</v>
      </c>
      <c r="W913">
        <f t="shared" ca="1" si="379"/>
        <v>2.5998695052916441</v>
      </c>
      <c r="X913">
        <f t="shared" ca="1" si="380"/>
        <v>1.8933671400629237E-4</v>
      </c>
      <c r="Y913">
        <f t="shared" ca="1" si="381"/>
        <v>52432.447337663412</v>
      </c>
      <c r="Z913">
        <f t="shared" ca="1" si="382"/>
        <v>52432.447337665239</v>
      </c>
      <c r="AA913">
        <f t="shared" ca="1" si="383"/>
        <v>2.2562304480281055E-12</v>
      </c>
      <c r="AB913">
        <f t="shared" ca="1" si="384"/>
        <v>-5.0000000192085281E-4</v>
      </c>
      <c r="AC913">
        <f t="shared" ca="1" si="385"/>
        <v>1</v>
      </c>
      <c r="AD913">
        <f ca="1">IF(V32="Supercritical",L913,IF(V32="Subcritical",U913,IF(AND(T913=1,AC913=1),IF((((F913)*(L913)^2)/2+(G913)*(L913)^3/3+(ABS(K913)^2)/($I$5*MAX(((F913)+(G913)*(L913))*(L913),0.000001)))&gt;=(((F913)*(U913)^2)/2+(G913)*(U913)^3/3+(ABS(K913)^2)/($I$5*MAX(((F913)+(G913)*(U913))*(U913),0.000001))),L913,U913),IF(T913=1,L913,IF(AC913=1,U913,MAX($D$16,POWER((ABS(K913)^2)/($I$5*MAX(F913,0.1)^2),1/3)))))))</f>
        <v>51800.26683766341</v>
      </c>
      <c r="AE913">
        <f t="shared" ca="1" si="386"/>
        <v>52432.447337663412</v>
      </c>
      <c r="AF913">
        <f t="shared" ca="1" si="387"/>
        <v>52432.447337665239</v>
      </c>
      <c r="AI913">
        <v>0</v>
      </c>
      <c r="AJ913">
        <v>0</v>
      </c>
      <c r="AK913">
        <f t="shared" si="388"/>
        <v>0</v>
      </c>
      <c r="AL913">
        <f t="shared" si="397"/>
        <v>0</v>
      </c>
      <c r="AM913">
        <f t="shared" ca="1" si="389"/>
        <v>2.6560383008097266E-7</v>
      </c>
      <c r="AN913" t="str">
        <f t="shared" ca="1" si="390"/>
        <v>Subcritical</v>
      </c>
      <c r="AO913">
        <f t="shared" ca="1" si="391"/>
        <v>2.2562304480281055E-12</v>
      </c>
    </row>
    <row r="914" spans="1:41" x14ac:dyDescent="0.35">
      <c r="A914">
        <v>765</v>
      </c>
      <c r="B914">
        <v>763.88900000000001</v>
      </c>
      <c r="C914">
        <v>616091.13899999997</v>
      </c>
      <c r="D914">
        <v>3097239.838</v>
      </c>
      <c r="E914">
        <v>632.17999999999995</v>
      </c>
      <c r="F914">
        <v>5.2</v>
      </c>
      <c r="G914">
        <v>0</v>
      </c>
      <c r="H914" t="s">
        <v>186</v>
      </c>
      <c r="I914">
        <v>0</v>
      </c>
      <c r="J914">
        <f t="shared" si="392"/>
        <v>1</v>
      </c>
      <c r="K914">
        <f t="shared" si="393"/>
        <v>51</v>
      </c>
      <c r="L914">
        <f t="shared" ca="1" si="394"/>
        <v>51797.843837663619</v>
      </c>
      <c r="M914">
        <f t="shared" ca="1" si="371"/>
        <v>269348.78795585083</v>
      </c>
      <c r="N914">
        <f t="shared" ca="1" si="372"/>
        <v>2.5998694991876676</v>
      </c>
      <c r="O914">
        <f t="shared" ca="1" si="373"/>
        <v>1.8934557080078435E-4</v>
      </c>
      <c r="P914">
        <f t="shared" ca="1" si="374"/>
        <v>52430.023837663619</v>
      </c>
      <c r="Q914">
        <f t="shared" ca="1" si="375"/>
        <v>52430.023837665445</v>
      </c>
      <c r="R914">
        <f t="shared" ca="1" si="376"/>
        <v>2.2564415439646509E-12</v>
      </c>
      <c r="S914">
        <f t="shared" ca="1" si="395"/>
        <v>5.0000000192085281E-4</v>
      </c>
      <c r="T914">
        <f t="shared" ca="1" si="396"/>
        <v>1</v>
      </c>
      <c r="U914">
        <f t="shared" ca="1" si="377"/>
        <v>51800.26683766341</v>
      </c>
      <c r="V914">
        <f t="shared" ca="1" si="378"/>
        <v>269361.38755584974</v>
      </c>
      <c r="W914">
        <f t="shared" ca="1" si="379"/>
        <v>2.5998695052916441</v>
      </c>
      <c r="X914">
        <f t="shared" ca="1" si="380"/>
        <v>1.8933671400629237E-4</v>
      </c>
      <c r="Y914">
        <f t="shared" ca="1" si="381"/>
        <v>52432.44683766341</v>
      </c>
      <c r="Z914">
        <f t="shared" ca="1" si="382"/>
        <v>52432.446837665237</v>
      </c>
      <c r="AA914">
        <f t="shared" ca="1" si="383"/>
        <v>2.2562304480281055E-12</v>
      </c>
      <c r="AB914">
        <f t="shared" ca="1" si="384"/>
        <v>-5.0000000192085281E-4</v>
      </c>
      <c r="AC914">
        <f t="shared" ca="1" si="385"/>
        <v>1</v>
      </c>
      <c r="AD914">
        <f ca="1">IF(V32="Supercritical",L914,IF(V32="Subcritical",U914,IF(AND(T914=1,AC914=1),IF((((F914)*(L914)^2)/2+(G914)*(L914)^3/3+(ABS(K914)^2)/($I$5*MAX(((F914)+(G914)*(L914))*(L914),0.000001)))&gt;=(((F914)*(U914)^2)/2+(G914)*(U914)^3/3+(ABS(K914)^2)/($I$5*MAX(((F914)+(G914)*(U914))*(U914),0.000001))),L914,U914),IF(T914=1,L914,IF(AC914=1,U914,MAX($D$16,POWER((ABS(K914)^2)/($I$5*MAX(F914,0.1)^2),1/3)))))))</f>
        <v>51800.26683766341</v>
      </c>
      <c r="AE914">
        <f t="shared" ca="1" si="386"/>
        <v>52432.44683766341</v>
      </c>
      <c r="AF914">
        <f t="shared" ca="1" si="387"/>
        <v>52432.446837665237</v>
      </c>
      <c r="AI914">
        <v>0</v>
      </c>
      <c r="AJ914">
        <v>0</v>
      </c>
      <c r="AK914">
        <f t="shared" si="388"/>
        <v>0</v>
      </c>
      <c r="AL914">
        <f t="shared" si="397"/>
        <v>0</v>
      </c>
      <c r="AM914">
        <f t="shared" ca="1" si="389"/>
        <v>2.6560383008097266E-7</v>
      </c>
      <c r="AN914" t="str">
        <f t="shared" ca="1" si="390"/>
        <v>Subcritical</v>
      </c>
      <c r="AO914">
        <f t="shared" ca="1" si="391"/>
        <v>2.2562304480281055E-12</v>
      </c>
    </row>
    <row r="915" spans="1:41" x14ac:dyDescent="0.35">
      <c r="A915">
        <v>766</v>
      </c>
      <c r="B915">
        <v>764.88900000000001</v>
      </c>
      <c r="C915">
        <v>616091.09699999995</v>
      </c>
      <c r="D915">
        <v>3097238.8390000002</v>
      </c>
      <c r="E915">
        <v>632.17949999999996</v>
      </c>
      <c r="F915">
        <v>5.2</v>
      </c>
      <c r="G915">
        <v>0</v>
      </c>
      <c r="H915" t="s">
        <v>186</v>
      </c>
      <c r="I915">
        <v>0</v>
      </c>
      <c r="J915">
        <f t="shared" si="392"/>
        <v>1</v>
      </c>
      <c r="K915">
        <f t="shared" si="393"/>
        <v>51</v>
      </c>
      <c r="L915">
        <f t="shared" ca="1" si="394"/>
        <v>51797.843837663619</v>
      </c>
      <c r="M915">
        <f t="shared" ca="1" si="371"/>
        <v>269348.78795585083</v>
      </c>
      <c r="N915">
        <f t="shared" ca="1" si="372"/>
        <v>2.5998694991876676</v>
      </c>
      <c r="O915">
        <f t="shared" ca="1" si="373"/>
        <v>1.8934557080078435E-4</v>
      </c>
      <c r="P915">
        <f t="shared" ca="1" si="374"/>
        <v>52430.023337663617</v>
      </c>
      <c r="Q915">
        <f t="shared" ca="1" si="375"/>
        <v>52430.023337665443</v>
      </c>
      <c r="R915">
        <f t="shared" ca="1" si="376"/>
        <v>2.2564415439646509E-12</v>
      </c>
      <c r="S915">
        <f t="shared" ca="1" si="395"/>
        <v>5.0000000192085281E-4</v>
      </c>
      <c r="T915">
        <f t="shared" ca="1" si="396"/>
        <v>1</v>
      </c>
      <c r="U915">
        <f t="shared" ca="1" si="377"/>
        <v>51800.26683766341</v>
      </c>
      <c r="V915">
        <f t="shared" ca="1" si="378"/>
        <v>269361.38755584974</v>
      </c>
      <c r="W915">
        <f t="shared" ca="1" si="379"/>
        <v>2.5998695052916441</v>
      </c>
      <c r="X915">
        <f t="shared" ca="1" si="380"/>
        <v>1.8933671400629237E-4</v>
      </c>
      <c r="Y915">
        <f t="shared" ca="1" si="381"/>
        <v>52432.446337663408</v>
      </c>
      <c r="Z915">
        <f t="shared" ca="1" si="382"/>
        <v>52432.446337665235</v>
      </c>
      <c r="AA915">
        <f t="shared" ca="1" si="383"/>
        <v>2.2562304480281055E-12</v>
      </c>
      <c r="AB915">
        <f t="shared" ca="1" si="384"/>
        <v>-5.0000000192085281E-4</v>
      </c>
      <c r="AC915">
        <f t="shared" ca="1" si="385"/>
        <v>1</v>
      </c>
      <c r="AD915">
        <f ca="1">IF(V32="Supercritical",L915,IF(V32="Subcritical",U915,IF(AND(T915=1,AC915=1),IF((((F915)*(L915)^2)/2+(G915)*(L915)^3/3+(ABS(K915)^2)/($I$5*MAX(((F915)+(G915)*(L915))*(L915),0.000001)))&gt;=(((F915)*(U915)^2)/2+(G915)*(U915)^3/3+(ABS(K915)^2)/($I$5*MAX(((F915)+(G915)*(U915))*(U915),0.000001))),L915,U915),IF(T915=1,L915,IF(AC915=1,U915,MAX($D$16,POWER((ABS(K915)^2)/($I$5*MAX(F915,0.1)^2),1/3)))))))</f>
        <v>51800.26683766341</v>
      </c>
      <c r="AE915">
        <f t="shared" ca="1" si="386"/>
        <v>52432.446337663408</v>
      </c>
      <c r="AF915">
        <f t="shared" ca="1" si="387"/>
        <v>52432.446337665235</v>
      </c>
      <c r="AI915">
        <v>0</v>
      </c>
      <c r="AJ915">
        <v>0</v>
      </c>
      <c r="AK915">
        <f t="shared" si="388"/>
        <v>0</v>
      </c>
      <c r="AL915">
        <f t="shared" si="397"/>
        <v>0</v>
      </c>
      <c r="AM915">
        <f t="shared" ca="1" si="389"/>
        <v>2.6560383008097266E-7</v>
      </c>
      <c r="AN915" t="str">
        <f t="shared" ca="1" si="390"/>
        <v>Subcritical</v>
      </c>
      <c r="AO915">
        <f t="shared" ca="1" si="391"/>
        <v>2.2562304480281055E-12</v>
      </c>
    </row>
    <row r="916" spans="1:41" x14ac:dyDescent="0.35">
      <c r="A916">
        <v>767</v>
      </c>
      <c r="B916">
        <v>765.88900000000001</v>
      </c>
      <c r="C916">
        <v>616091.05500000005</v>
      </c>
      <c r="D916">
        <v>3097237.84</v>
      </c>
      <c r="E916">
        <v>632.17899999999997</v>
      </c>
      <c r="F916">
        <v>5.2</v>
      </c>
      <c r="G916">
        <v>0</v>
      </c>
      <c r="H916" t="s">
        <v>186</v>
      </c>
      <c r="I916">
        <v>5.7000000000000002E-2</v>
      </c>
      <c r="J916">
        <f t="shared" si="392"/>
        <v>1</v>
      </c>
      <c r="K916">
        <f t="shared" si="393"/>
        <v>51</v>
      </c>
      <c r="L916">
        <f t="shared" ca="1" si="394"/>
        <v>51797.843837663619</v>
      </c>
      <c r="M916">
        <f t="shared" ca="1" si="371"/>
        <v>269348.78795585083</v>
      </c>
      <c r="N916">
        <f t="shared" ca="1" si="372"/>
        <v>2.5998694991876676</v>
      </c>
      <c r="O916">
        <f t="shared" ca="1" si="373"/>
        <v>1.8934557080078435E-4</v>
      </c>
      <c r="P916">
        <f t="shared" ca="1" si="374"/>
        <v>52430.022837663615</v>
      </c>
      <c r="Q916">
        <f t="shared" ca="1" si="375"/>
        <v>52430.022837665441</v>
      </c>
      <c r="R916">
        <f t="shared" ca="1" si="376"/>
        <v>2.2564415439646509E-12</v>
      </c>
      <c r="S916">
        <f t="shared" ca="1" si="395"/>
        <v>5.0000000192085281E-4</v>
      </c>
      <c r="T916">
        <f t="shared" ca="1" si="396"/>
        <v>1</v>
      </c>
      <c r="U916">
        <f t="shared" ca="1" si="377"/>
        <v>51800.26683766341</v>
      </c>
      <c r="V916">
        <f t="shared" ca="1" si="378"/>
        <v>269361.38755584974</v>
      </c>
      <c r="W916">
        <f t="shared" ca="1" si="379"/>
        <v>2.5998695052916441</v>
      </c>
      <c r="X916">
        <f t="shared" ca="1" si="380"/>
        <v>1.8933671400629237E-4</v>
      </c>
      <c r="Y916">
        <f t="shared" ca="1" si="381"/>
        <v>52432.445837663407</v>
      </c>
      <c r="Z916">
        <f t="shared" ca="1" si="382"/>
        <v>52432.445837665233</v>
      </c>
      <c r="AA916">
        <f t="shared" ca="1" si="383"/>
        <v>2.2562304480281055E-12</v>
      </c>
      <c r="AB916">
        <f t="shared" ca="1" si="384"/>
        <v>-4.999999946448952E-4</v>
      </c>
      <c r="AC916">
        <f t="shared" ca="1" si="385"/>
        <v>1</v>
      </c>
      <c r="AD916">
        <f ca="1">IF(V32="Supercritical",L916,IF(V32="Subcritical",U916,IF(AND(T916=1,AC916=1),IF((((F916)*(L916)^2)/2+(G916)*(L916)^3/3+(ABS(K916)^2)/($I$5*MAX(((F916)+(G916)*(L916))*(L916),0.000001)))&gt;=(((F916)*(U916)^2)/2+(G916)*(U916)^3/3+(ABS(K916)^2)/($I$5*MAX(((F916)+(G916)*(U916))*(U916),0.000001))),L916,U916),IF(T916=1,L916,IF(AC916=1,U916,MAX($D$16,POWER((ABS(K916)^2)/($I$5*MAX(F916,0.1)^2),1/3)))))))</f>
        <v>51800.26683766341</v>
      </c>
      <c r="AE916">
        <f t="shared" ca="1" si="386"/>
        <v>52432.445837663407</v>
      </c>
      <c r="AF916">
        <f t="shared" ca="1" si="387"/>
        <v>52432.445837665233</v>
      </c>
      <c r="AI916">
        <v>0</v>
      </c>
      <c r="AJ916">
        <v>0</v>
      </c>
      <c r="AK916">
        <f t="shared" si="388"/>
        <v>0</v>
      </c>
      <c r="AL916">
        <f t="shared" si="397"/>
        <v>0</v>
      </c>
      <c r="AM916">
        <f t="shared" ca="1" si="389"/>
        <v>2.6560383008097266E-7</v>
      </c>
      <c r="AN916" t="str">
        <f t="shared" ca="1" si="390"/>
        <v>Subcritical</v>
      </c>
      <c r="AO916">
        <f t="shared" ca="1" si="391"/>
        <v>2.2562304480281055E-12</v>
      </c>
    </row>
    <row r="917" spans="1:41" x14ac:dyDescent="0.35">
      <c r="A917">
        <v>768</v>
      </c>
      <c r="B917">
        <v>766.88900000000001</v>
      </c>
      <c r="C917">
        <v>616091.01199999999</v>
      </c>
      <c r="D917">
        <v>3097236.841</v>
      </c>
      <c r="E917">
        <v>632.17849999999999</v>
      </c>
      <c r="F917">
        <v>5.2</v>
      </c>
      <c r="G917">
        <v>0</v>
      </c>
      <c r="H917" t="s">
        <v>186</v>
      </c>
      <c r="I917">
        <v>5.7000000000000002E-2</v>
      </c>
      <c r="J917">
        <f t="shared" si="392"/>
        <v>1</v>
      </c>
      <c r="K917">
        <f t="shared" si="393"/>
        <v>51</v>
      </c>
      <c r="L917">
        <f t="shared" ca="1" si="394"/>
        <v>51797.843837663619</v>
      </c>
      <c r="M917">
        <f t="shared" ca="1" si="371"/>
        <v>269348.78795585083</v>
      </c>
      <c r="N917">
        <f t="shared" ca="1" si="372"/>
        <v>2.5998694991876676</v>
      </c>
      <c r="O917">
        <f t="shared" ca="1" si="373"/>
        <v>1.8934557080078435E-4</v>
      </c>
      <c r="P917">
        <f t="shared" ca="1" si="374"/>
        <v>52430.02233766362</v>
      </c>
      <c r="Q917">
        <f t="shared" ca="1" si="375"/>
        <v>52430.022337665447</v>
      </c>
      <c r="R917">
        <f t="shared" ca="1" si="376"/>
        <v>2.2564415439646509E-12</v>
      </c>
      <c r="S917">
        <f t="shared" ca="1" si="395"/>
        <v>4.999999946448952E-4</v>
      </c>
      <c r="T917">
        <f t="shared" ca="1" si="396"/>
        <v>1</v>
      </c>
      <c r="U917">
        <f t="shared" ca="1" si="377"/>
        <v>51800.26683766341</v>
      </c>
      <c r="V917">
        <f t="shared" ca="1" si="378"/>
        <v>269361.38755584974</v>
      </c>
      <c r="W917">
        <f t="shared" ca="1" si="379"/>
        <v>2.5998695052916441</v>
      </c>
      <c r="X917">
        <f t="shared" ca="1" si="380"/>
        <v>1.8933671400629237E-4</v>
      </c>
      <c r="Y917">
        <f t="shared" ca="1" si="381"/>
        <v>52432.445337663412</v>
      </c>
      <c r="Z917">
        <f t="shared" ca="1" si="382"/>
        <v>52432.445337665238</v>
      </c>
      <c r="AA917">
        <f t="shared" ca="1" si="383"/>
        <v>2.2562304480281055E-12</v>
      </c>
      <c r="AB917">
        <f t="shared" ca="1" si="384"/>
        <v>-5.0000000192085281E-4</v>
      </c>
      <c r="AC917">
        <f t="shared" ca="1" si="385"/>
        <v>1</v>
      </c>
      <c r="AD917">
        <f ca="1">IF(V32="Supercritical",L917,IF(V32="Subcritical",U917,IF(AND(T917=1,AC917=1),IF((((F917)*(L917)^2)/2+(G917)*(L917)^3/3+(ABS(K917)^2)/($I$5*MAX(((F917)+(G917)*(L917))*(L917),0.000001)))&gt;=(((F917)*(U917)^2)/2+(G917)*(U917)^3/3+(ABS(K917)^2)/($I$5*MAX(((F917)+(G917)*(U917))*(U917),0.000001))),L917,U917),IF(T917=1,L917,IF(AC917=1,U917,MAX($D$16,POWER((ABS(K917)^2)/($I$5*MAX(F917,0.1)^2),1/3)))))))</f>
        <v>51800.26683766341</v>
      </c>
      <c r="AE917">
        <f t="shared" ca="1" si="386"/>
        <v>52432.445337663412</v>
      </c>
      <c r="AF917">
        <f t="shared" ca="1" si="387"/>
        <v>52432.445337665238</v>
      </c>
      <c r="AI917">
        <v>0</v>
      </c>
      <c r="AJ917">
        <v>0</v>
      </c>
      <c r="AK917">
        <f t="shared" si="388"/>
        <v>0</v>
      </c>
      <c r="AL917">
        <f t="shared" si="397"/>
        <v>0</v>
      </c>
      <c r="AM917">
        <f t="shared" ca="1" si="389"/>
        <v>2.6560383008097266E-7</v>
      </c>
      <c r="AN917" t="str">
        <f t="shared" ca="1" si="390"/>
        <v>Subcritical</v>
      </c>
      <c r="AO917">
        <f t="shared" ca="1" si="391"/>
        <v>2.2562304480281055E-12</v>
      </c>
    </row>
    <row r="918" spans="1:41" x14ac:dyDescent="0.35">
      <c r="A918">
        <v>769</v>
      </c>
      <c r="B918">
        <v>767.88900000000001</v>
      </c>
      <c r="C918">
        <v>616090.97</v>
      </c>
      <c r="D918">
        <v>3097235.8420000002</v>
      </c>
      <c r="E918">
        <v>632.178</v>
      </c>
      <c r="F918">
        <v>5.2</v>
      </c>
      <c r="G918">
        <v>0</v>
      </c>
      <c r="H918" t="s">
        <v>186</v>
      </c>
      <c r="I918">
        <v>2E-3</v>
      </c>
      <c r="J918">
        <f t="shared" si="392"/>
        <v>1</v>
      </c>
      <c r="K918">
        <f t="shared" si="393"/>
        <v>51</v>
      </c>
      <c r="L918">
        <f t="shared" ca="1" si="394"/>
        <v>51797.843837663619</v>
      </c>
      <c r="M918">
        <f t="shared" ref="M918:M981" ca="1" si="398">((F918)+(G918)*(L918))*(L918)</f>
        <v>269348.78795585083</v>
      </c>
      <c r="N918">
        <f t="shared" ref="N918:N981" ca="1" si="399">(((F918)+(G918)*(L918))*(L918))/MAX((F918)+2*(L918)*SQRT(1+(G918)^2),0.000001)</f>
        <v>2.5998694991876676</v>
      </c>
      <c r="O918">
        <f t="shared" ref="O918:O981" ca="1" si="400">ABS(K918)/MAX(((F918)+(G918)*(L918))*(L918),0.000001)</f>
        <v>1.8934557080078435E-4</v>
      </c>
      <c r="P918">
        <f t="shared" ref="P918:P981" ca="1" si="401">E918+L918</f>
        <v>52430.021837663618</v>
      </c>
      <c r="Q918">
        <f t="shared" ref="Q918:Q981" ca="1" si="402">P918+((ABS(K918)/MAX(((F918)+(G918)*(L918))*(L918),0.000001))^2)/(2*$I$5)</f>
        <v>52430.021837665445</v>
      </c>
      <c r="R918">
        <f t="shared" ref="R918:R981" ca="1" si="403">((ABS(K918)*$D$6)/(MAX(((F918)+(G918)*(L918))*(L918),0.000001)*MAX(((((F918)+(G918)*(L918))*(L918))/MAX((F918)+2*(L918)*SQRT(1+(G918)^2),0.000001))^(2/3),0.000001)))^2</f>
        <v>2.2564415439646509E-12</v>
      </c>
      <c r="S918">
        <f t="shared" ca="1" si="395"/>
        <v>5.0000000192085281E-4</v>
      </c>
      <c r="T918">
        <f t="shared" ca="1" si="396"/>
        <v>1</v>
      </c>
      <c r="U918">
        <f t="shared" ref="U918:U981" ca="1" si="404">IF($D$20=0,U919,IF(AC919=0,U919,IF(U918=0,U919,IF(ABS(AB918)&gt;$D$19,MAX($D$16,U918+((AB918)*$D$18*IF((ABS(ABS(K918)/MAX(((F918)+(G918)*(U918))*(U918),0.000001))/SQRT($I$5*MAX((((F918)+(G918)*(U918))*(U918))/MAX((F918)+2*(G918)*(U918),0.000001),0.000001)))&lt;1,1,-1))),U918))))</f>
        <v>51800.26683766341</v>
      </c>
      <c r="V918">
        <f t="shared" ref="V918:V981" ca="1" si="405">((F918)+(G918)*(U918))*(U918)</f>
        <v>269361.38755584974</v>
      </c>
      <c r="W918">
        <f t="shared" ref="W918:W981" ca="1" si="406">(((F918)+(G918)*(U918))*(U918))/MAX((F918)+2*(U918)*SQRT(1+(G918)^2),0.000001)</f>
        <v>2.5998695052916441</v>
      </c>
      <c r="X918">
        <f t="shared" ref="X918:X981" ca="1" si="407">ABS(K918)/MAX(((F918)+(G918)*(U918))*(U918),0.000001)</f>
        <v>1.8933671400629237E-4</v>
      </c>
      <c r="Y918">
        <f t="shared" ref="Y918:Y981" ca="1" si="408">E918+U918</f>
        <v>52432.44483766341</v>
      </c>
      <c r="Z918">
        <f t="shared" ref="Z918:Z981" ca="1" si="409">Y918+((ABS(K918)/MAX(((F918)+(G918)*(U918))*(U918),0.000001))^2)/(2*$I$5)</f>
        <v>52432.444837665236</v>
      </c>
      <c r="AA918">
        <f t="shared" ref="AA918:AA981" ca="1" si="410">((ABS(K918)*$D$6)/(MAX(((F918)+(G918)*(U918))*(U918),0.000001)*MAX(((((F918)+(G918)*(U918))*(U918))/MAX((F918)+2*(U918)*SQRT(1+(G918)^2),0.000001))^(2/3),0.000001)))^2</f>
        <v>2.2562304480281055E-12</v>
      </c>
      <c r="AB918">
        <f t="shared" ref="AB918:AB981" ca="1" si="411">Z919+(((AA918+AA919)/2)*J919)+(IF(X918&gt;X919,$D$8*((X918^2-X919^2)/(2*$I$5)),$D$9*((X919^2-X918^2)/(2*$I$5)))+($D$10*(ABS(I919)/90)*(MAX(X918^2,X919^2)/(2*$I$5))))-Z918</f>
        <v>-5.0000000192085281E-4</v>
      </c>
      <c r="AC918">
        <f t="shared" ref="AC918:AC981" ca="1" si="412">IF(ABS(AB918)&lt;$D$19,1,0)</f>
        <v>1</v>
      </c>
      <c r="AD918">
        <f ca="1">IF(V32="Supercritical",L918,IF(V32="Subcritical",U918,IF(AND(T918=1,AC918=1),IF((((F918)*(L918)^2)/2+(G918)*(L918)^3/3+(ABS(K918)^2)/($I$5*MAX(((F918)+(G918)*(L918))*(L918),0.000001)))&gt;=(((F918)*(U918)^2)/2+(G918)*(U918)^3/3+(ABS(K918)^2)/($I$5*MAX(((F918)+(G918)*(U918))*(U918),0.000001))),L918,U918),IF(T918=1,L918,IF(AC918=1,U918,MAX($D$16,POWER((ABS(K918)^2)/($I$5*MAX(F918,0.1)^2),1/3)))))))</f>
        <v>51800.26683766341</v>
      </c>
      <c r="AE918">
        <f t="shared" ref="AE918:AE981" ca="1" si="413">E918+AD918</f>
        <v>52432.44483766341</v>
      </c>
      <c r="AF918">
        <f t="shared" ref="AF918:AF981" ca="1" si="414">AE918+((ABS(K918)/MAX(((F918)+(G918)*(AD918))*(AD918),0.000001))^2)/(2*$I$5)</f>
        <v>52432.444837665236</v>
      </c>
      <c r="AI918">
        <v>0</v>
      </c>
      <c r="AJ918">
        <v>0</v>
      </c>
      <c r="AK918">
        <f t="shared" ref="AK918:AK981" si="415">AI918+AJ918</f>
        <v>0</v>
      </c>
      <c r="AL918">
        <f t="shared" si="397"/>
        <v>0</v>
      </c>
      <c r="AM918">
        <f t="shared" ref="AM918:AM981" ca="1" si="416">ABS(ABS(K918)/MAX(((F918)+(G918)*(AD918))*(AD918),0.000001))/SQRT($I$5*MAX((((F918)+(G918)*(AD918))*(AD918))/MAX((F918)+2*(G918)*(AD918),0.000001),0.000001))</f>
        <v>2.6560383008097266E-7</v>
      </c>
      <c r="AN918" t="str">
        <f t="shared" ref="AN918:AN981" ca="1" si="417">IF(AM918&lt;1,"Subcritical","Supercritical")</f>
        <v>Subcritical</v>
      </c>
      <c r="AO918">
        <f t="shared" ref="AO918:AO981" ca="1" si="418">((ABS(K918)*$D$6)/(MAX(((F918)+(G918)*(AD918))*(AD918),0.000001)*MAX(((((F918)+(G918)*(AD918))*(AD918))/MAX((F918)+2*(AD918)*SQRT(1+(G918)^2),0.000001))^(2/3),0.000001)))^2</f>
        <v>2.2562304480281055E-12</v>
      </c>
    </row>
    <row r="919" spans="1:41" x14ac:dyDescent="0.35">
      <c r="A919">
        <v>770</v>
      </c>
      <c r="B919">
        <v>768.89</v>
      </c>
      <c r="C919">
        <v>616090.92799999996</v>
      </c>
      <c r="D919">
        <v>3097234.8420000002</v>
      </c>
      <c r="E919">
        <v>632.17750000000001</v>
      </c>
      <c r="F919">
        <v>5.2</v>
      </c>
      <c r="G919">
        <v>0</v>
      </c>
      <c r="H919" t="s">
        <v>186</v>
      </c>
      <c r="I919">
        <v>2E-3</v>
      </c>
      <c r="J919">
        <f t="shared" ref="J919:J982" si="419">B919-B918</f>
        <v>1.0009999999999764</v>
      </c>
      <c r="K919">
        <f t="shared" ref="K919:K982" si="420">MAX(0,K918-AK918)</f>
        <v>51</v>
      </c>
      <c r="L919">
        <f t="shared" ref="L919:L982" ca="1" si="421">IF($D$20=0,L918,IF(T918=0,L918,IF(L919=0,L918,IF(ABS(S919)&gt;$D$19,MAX($D$16,L919+((S919)*$D$18*IF((ABS(ABS(K919)/MAX(((F919)+(G919)*(L919))*(L919),0.000001))/SQRT($I$5*MAX((((F919)+(G919)*(L919))*(L919))/MAX((F919)+2*(G919)*(L919),0.000001),0.000001)))&lt;1,1,-1))),L919))))</f>
        <v>51797.843837663619</v>
      </c>
      <c r="M919">
        <f t="shared" ca="1" si="398"/>
        <v>269348.78795585083</v>
      </c>
      <c r="N919">
        <f t="shared" ca="1" si="399"/>
        <v>2.5998694991876676</v>
      </c>
      <c r="O919">
        <f t="shared" ca="1" si="400"/>
        <v>1.8934557080078435E-4</v>
      </c>
      <c r="P919">
        <f t="shared" ca="1" si="401"/>
        <v>52430.021337663617</v>
      </c>
      <c r="Q919">
        <f t="shared" ca="1" si="402"/>
        <v>52430.021337665443</v>
      </c>
      <c r="R919">
        <f t="shared" ca="1" si="403"/>
        <v>2.2564415439646509E-12</v>
      </c>
      <c r="S919">
        <f t="shared" ref="S919:S982" ca="1" si="422">Q918-(((R918+R919)/2)*J919)-(IF(O918&gt;O919,$D$8*((O918^2-O919^2)/(2*$I$5)),$D$9*((O919^2-O918^2)/(2*$I$5)))+($D$10*(ABS(I919)/90)*(MAX(O918^2,O919^2)/(2*$I$5))))-Q919</f>
        <v>5.0000000192085281E-4</v>
      </c>
      <c r="T919">
        <f t="shared" ref="T919:T982" ca="1" si="423">IF(ABS(S919)&lt;$D$19,1,0)</f>
        <v>1</v>
      </c>
      <c r="U919">
        <f t="shared" ca="1" si="404"/>
        <v>51800.26683766341</v>
      </c>
      <c r="V919">
        <f t="shared" ca="1" si="405"/>
        <v>269361.38755584974</v>
      </c>
      <c r="W919">
        <f t="shared" ca="1" si="406"/>
        <v>2.5998695052916441</v>
      </c>
      <c r="X919">
        <f t="shared" ca="1" si="407"/>
        <v>1.8933671400629237E-4</v>
      </c>
      <c r="Y919">
        <f t="shared" ca="1" si="408"/>
        <v>52432.444337663408</v>
      </c>
      <c r="Z919">
        <f t="shared" ca="1" si="409"/>
        <v>52432.444337665234</v>
      </c>
      <c r="AA919">
        <f t="shared" ca="1" si="410"/>
        <v>2.2562304480281055E-12</v>
      </c>
      <c r="AB919">
        <f t="shared" ca="1" si="411"/>
        <v>-4.999999946448952E-4</v>
      </c>
      <c r="AC919">
        <f t="shared" ca="1" si="412"/>
        <v>1</v>
      </c>
      <c r="AD919">
        <f ca="1">IF(V32="Supercritical",L919,IF(V32="Subcritical",U919,IF(AND(T919=1,AC919=1),IF((((F919)*(L919)^2)/2+(G919)*(L919)^3/3+(ABS(K919)^2)/($I$5*MAX(((F919)+(G919)*(L919))*(L919),0.000001)))&gt;=(((F919)*(U919)^2)/2+(G919)*(U919)^3/3+(ABS(K919)^2)/($I$5*MAX(((F919)+(G919)*(U919))*(U919),0.000001))),L919,U919),IF(T919=1,L919,IF(AC919=1,U919,MAX($D$16,POWER((ABS(K919)^2)/($I$5*MAX(F919,0.1)^2),1/3)))))))</f>
        <v>51800.26683766341</v>
      </c>
      <c r="AE919">
        <f t="shared" ca="1" si="413"/>
        <v>52432.444337663408</v>
      </c>
      <c r="AF919">
        <f t="shared" ca="1" si="414"/>
        <v>52432.444337665234</v>
      </c>
      <c r="AI919">
        <v>0</v>
      </c>
      <c r="AJ919">
        <v>0</v>
      </c>
      <c r="AK919">
        <f t="shared" si="415"/>
        <v>0</v>
      </c>
      <c r="AL919">
        <f t="shared" ref="AL919:AL982" si="424">AL918+AK919</f>
        <v>0</v>
      </c>
      <c r="AM919">
        <f t="shared" ca="1" si="416"/>
        <v>2.6560383008097266E-7</v>
      </c>
      <c r="AN919" t="str">
        <f t="shared" ca="1" si="417"/>
        <v>Subcritical</v>
      </c>
      <c r="AO919">
        <f t="shared" ca="1" si="418"/>
        <v>2.2562304480281055E-12</v>
      </c>
    </row>
    <row r="920" spans="1:41" x14ac:dyDescent="0.35">
      <c r="A920">
        <v>771</v>
      </c>
      <c r="B920">
        <v>769.89</v>
      </c>
      <c r="C920">
        <v>616090.88600000006</v>
      </c>
      <c r="D920">
        <v>3097233.8429999999</v>
      </c>
      <c r="E920">
        <v>632.17700000000002</v>
      </c>
      <c r="F920">
        <v>5.2</v>
      </c>
      <c r="G920">
        <v>0</v>
      </c>
      <c r="H920" t="s">
        <v>186</v>
      </c>
      <c r="I920">
        <v>5.7000000000000002E-2</v>
      </c>
      <c r="J920">
        <f t="shared" si="419"/>
        <v>1</v>
      </c>
      <c r="K920">
        <f t="shared" si="420"/>
        <v>51</v>
      </c>
      <c r="L920">
        <f t="shared" ca="1" si="421"/>
        <v>51797.843837663619</v>
      </c>
      <c r="M920">
        <f t="shared" ca="1" si="398"/>
        <v>269348.78795585083</v>
      </c>
      <c r="N920">
        <f t="shared" ca="1" si="399"/>
        <v>2.5998694991876676</v>
      </c>
      <c r="O920">
        <f t="shared" ca="1" si="400"/>
        <v>1.8934557080078435E-4</v>
      </c>
      <c r="P920">
        <f t="shared" ca="1" si="401"/>
        <v>52430.020837663622</v>
      </c>
      <c r="Q920">
        <f t="shared" ca="1" si="402"/>
        <v>52430.020837665448</v>
      </c>
      <c r="R920">
        <f t="shared" ca="1" si="403"/>
        <v>2.2564415439646509E-12</v>
      </c>
      <c r="S920">
        <f t="shared" ca="1" si="422"/>
        <v>4.999999946448952E-4</v>
      </c>
      <c r="T920">
        <f t="shared" ca="1" si="423"/>
        <v>1</v>
      </c>
      <c r="U920">
        <f t="shared" ca="1" si="404"/>
        <v>51800.26683766341</v>
      </c>
      <c r="V920">
        <f t="shared" ca="1" si="405"/>
        <v>269361.38755584974</v>
      </c>
      <c r="W920">
        <f t="shared" ca="1" si="406"/>
        <v>2.5998695052916441</v>
      </c>
      <c r="X920">
        <f t="shared" ca="1" si="407"/>
        <v>1.8933671400629237E-4</v>
      </c>
      <c r="Y920">
        <f t="shared" ca="1" si="408"/>
        <v>52432.443837663413</v>
      </c>
      <c r="Z920">
        <f t="shared" ca="1" si="409"/>
        <v>52432.44383766524</v>
      </c>
      <c r="AA920">
        <f t="shared" ca="1" si="410"/>
        <v>2.2562304480281055E-12</v>
      </c>
      <c r="AB920">
        <f t="shared" ca="1" si="411"/>
        <v>-5.0000000192085281E-4</v>
      </c>
      <c r="AC920">
        <f t="shared" ca="1" si="412"/>
        <v>1</v>
      </c>
      <c r="AD920">
        <f ca="1">IF(V32="Supercritical",L920,IF(V32="Subcritical",U920,IF(AND(T920=1,AC920=1),IF((((F920)*(L920)^2)/2+(G920)*(L920)^3/3+(ABS(K920)^2)/($I$5*MAX(((F920)+(G920)*(L920))*(L920),0.000001)))&gt;=(((F920)*(U920)^2)/2+(G920)*(U920)^3/3+(ABS(K920)^2)/($I$5*MAX(((F920)+(G920)*(U920))*(U920),0.000001))),L920,U920),IF(T920=1,L920,IF(AC920=1,U920,MAX($D$16,POWER((ABS(K920)^2)/($I$5*MAX(F920,0.1)^2),1/3)))))))</f>
        <v>51800.26683766341</v>
      </c>
      <c r="AE920">
        <f t="shared" ca="1" si="413"/>
        <v>52432.443837663413</v>
      </c>
      <c r="AF920">
        <f t="shared" ca="1" si="414"/>
        <v>52432.44383766524</v>
      </c>
      <c r="AI920">
        <v>0</v>
      </c>
      <c r="AJ920">
        <v>0</v>
      </c>
      <c r="AK920">
        <f t="shared" si="415"/>
        <v>0</v>
      </c>
      <c r="AL920">
        <f t="shared" si="424"/>
        <v>0</v>
      </c>
      <c r="AM920">
        <f t="shared" ca="1" si="416"/>
        <v>2.6560383008097266E-7</v>
      </c>
      <c r="AN920" t="str">
        <f t="shared" ca="1" si="417"/>
        <v>Subcritical</v>
      </c>
      <c r="AO920">
        <f t="shared" ca="1" si="418"/>
        <v>2.2562304480281055E-12</v>
      </c>
    </row>
    <row r="921" spans="1:41" x14ac:dyDescent="0.35">
      <c r="A921">
        <v>772</v>
      </c>
      <c r="B921">
        <v>770.88900000000001</v>
      </c>
      <c r="C921">
        <v>616090.84299999999</v>
      </c>
      <c r="D921">
        <v>3097232.844</v>
      </c>
      <c r="E921">
        <v>632.17650000000003</v>
      </c>
      <c r="F921">
        <v>5.2</v>
      </c>
      <c r="G921">
        <v>0</v>
      </c>
      <c r="H921" t="s">
        <v>186</v>
      </c>
      <c r="I921">
        <v>5.7000000000000002E-2</v>
      </c>
      <c r="J921">
        <f t="shared" si="419"/>
        <v>0.99900000000002365</v>
      </c>
      <c r="K921">
        <f t="shared" si="420"/>
        <v>51</v>
      </c>
      <c r="L921">
        <f t="shared" ca="1" si="421"/>
        <v>51797.843837663619</v>
      </c>
      <c r="M921">
        <f t="shared" ca="1" si="398"/>
        <v>269348.78795585083</v>
      </c>
      <c r="N921">
        <f t="shared" ca="1" si="399"/>
        <v>2.5998694991876676</v>
      </c>
      <c r="O921">
        <f t="shared" ca="1" si="400"/>
        <v>1.8934557080078435E-4</v>
      </c>
      <c r="P921">
        <f t="shared" ca="1" si="401"/>
        <v>52430.02033766362</v>
      </c>
      <c r="Q921">
        <f t="shared" ca="1" si="402"/>
        <v>52430.020337665446</v>
      </c>
      <c r="R921">
        <f t="shared" ca="1" si="403"/>
        <v>2.2564415439646509E-12</v>
      </c>
      <c r="S921">
        <f t="shared" ca="1" si="422"/>
        <v>5.0000000192085281E-4</v>
      </c>
      <c r="T921">
        <f t="shared" ca="1" si="423"/>
        <v>1</v>
      </c>
      <c r="U921">
        <f t="shared" ca="1" si="404"/>
        <v>51800.26683766341</v>
      </c>
      <c r="V921">
        <f t="shared" ca="1" si="405"/>
        <v>269361.38755584974</v>
      </c>
      <c r="W921">
        <f t="shared" ca="1" si="406"/>
        <v>2.5998695052916441</v>
      </c>
      <c r="X921">
        <f t="shared" ca="1" si="407"/>
        <v>1.8933671400629237E-4</v>
      </c>
      <c r="Y921">
        <f t="shared" ca="1" si="408"/>
        <v>52432.443337663412</v>
      </c>
      <c r="Z921">
        <f t="shared" ca="1" si="409"/>
        <v>52432.443337665238</v>
      </c>
      <c r="AA921">
        <f t="shared" ca="1" si="410"/>
        <v>2.2562304480281055E-12</v>
      </c>
      <c r="AB921">
        <f t="shared" ca="1" si="411"/>
        <v>-5.0000000192085281E-4</v>
      </c>
      <c r="AC921">
        <f t="shared" ca="1" si="412"/>
        <v>1</v>
      </c>
      <c r="AD921">
        <f ca="1">IF(V32="Supercritical",L921,IF(V32="Subcritical",U921,IF(AND(T921=1,AC921=1),IF((((F921)*(L921)^2)/2+(G921)*(L921)^3/3+(ABS(K921)^2)/($I$5*MAX(((F921)+(G921)*(L921))*(L921),0.000001)))&gt;=(((F921)*(U921)^2)/2+(G921)*(U921)^3/3+(ABS(K921)^2)/($I$5*MAX(((F921)+(G921)*(U921))*(U921),0.000001))),L921,U921),IF(T921=1,L921,IF(AC921=1,U921,MAX($D$16,POWER((ABS(K921)^2)/($I$5*MAX(F921,0.1)^2),1/3)))))))</f>
        <v>51800.26683766341</v>
      </c>
      <c r="AE921">
        <f t="shared" ca="1" si="413"/>
        <v>52432.443337663412</v>
      </c>
      <c r="AF921">
        <f t="shared" ca="1" si="414"/>
        <v>52432.443337665238</v>
      </c>
      <c r="AI921">
        <v>0</v>
      </c>
      <c r="AJ921">
        <v>0</v>
      </c>
      <c r="AK921">
        <f t="shared" si="415"/>
        <v>0</v>
      </c>
      <c r="AL921">
        <f t="shared" si="424"/>
        <v>0</v>
      </c>
      <c r="AM921">
        <f t="shared" ca="1" si="416"/>
        <v>2.6560383008097266E-7</v>
      </c>
      <c r="AN921" t="str">
        <f t="shared" ca="1" si="417"/>
        <v>Subcritical</v>
      </c>
      <c r="AO921">
        <f t="shared" ca="1" si="418"/>
        <v>2.2562304480281055E-12</v>
      </c>
    </row>
    <row r="922" spans="1:41" x14ac:dyDescent="0.35">
      <c r="A922">
        <v>773</v>
      </c>
      <c r="B922">
        <v>771.88900000000001</v>
      </c>
      <c r="C922">
        <v>616090.80099999998</v>
      </c>
      <c r="D922">
        <v>3097231.8450000002</v>
      </c>
      <c r="E922">
        <v>632.17600000000004</v>
      </c>
      <c r="F922">
        <v>5.2</v>
      </c>
      <c r="G922">
        <v>0</v>
      </c>
      <c r="H922" t="s">
        <v>186</v>
      </c>
      <c r="I922">
        <v>0</v>
      </c>
      <c r="J922">
        <f t="shared" si="419"/>
        <v>1</v>
      </c>
      <c r="K922">
        <f t="shared" si="420"/>
        <v>51</v>
      </c>
      <c r="L922">
        <f t="shared" ca="1" si="421"/>
        <v>51797.843837663619</v>
      </c>
      <c r="M922">
        <f t="shared" ca="1" si="398"/>
        <v>269348.78795585083</v>
      </c>
      <c r="N922">
        <f t="shared" ca="1" si="399"/>
        <v>2.5998694991876676</v>
      </c>
      <c r="O922">
        <f t="shared" ca="1" si="400"/>
        <v>1.8934557080078435E-4</v>
      </c>
      <c r="P922">
        <f t="shared" ca="1" si="401"/>
        <v>52430.019837663618</v>
      </c>
      <c r="Q922">
        <f t="shared" ca="1" si="402"/>
        <v>52430.019837665444</v>
      </c>
      <c r="R922">
        <f t="shared" ca="1" si="403"/>
        <v>2.2564415439646509E-12</v>
      </c>
      <c r="S922">
        <f t="shared" ca="1" si="422"/>
        <v>5.0000000192085281E-4</v>
      </c>
      <c r="T922">
        <f t="shared" ca="1" si="423"/>
        <v>1</v>
      </c>
      <c r="U922">
        <f t="shared" ca="1" si="404"/>
        <v>51800.26683766341</v>
      </c>
      <c r="V922">
        <f t="shared" ca="1" si="405"/>
        <v>269361.38755584974</v>
      </c>
      <c r="W922">
        <f t="shared" ca="1" si="406"/>
        <v>2.5998695052916441</v>
      </c>
      <c r="X922">
        <f t="shared" ca="1" si="407"/>
        <v>1.8933671400629237E-4</v>
      </c>
      <c r="Y922">
        <f t="shared" ca="1" si="408"/>
        <v>52432.44283766341</v>
      </c>
      <c r="Z922">
        <f t="shared" ca="1" si="409"/>
        <v>52432.442837665236</v>
      </c>
      <c r="AA922">
        <f t="shared" ca="1" si="410"/>
        <v>2.2562304480281055E-12</v>
      </c>
      <c r="AB922">
        <f t="shared" ca="1" si="411"/>
        <v>-5.0000000192085281E-4</v>
      </c>
      <c r="AC922">
        <f t="shared" ca="1" si="412"/>
        <v>1</v>
      </c>
      <c r="AD922">
        <f ca="1">IF(V32="Supercritical",L922,IF(V32="Subcritical",U922,IF(AND(T922=1,AC922=1),IF((((F922)*(L922)^2)/2+(G922)*(L922)^3/3+(ABS(K922)^2)/($I$5*MAX(((F922)+(G922)*(L922))*(L922),0.000001)))&gt;=(((F922)*(U922)^2)/2+(G922)*(U922)^3/3+(ABS(K922)^2)/($I$5*MAX(((F922)+(G922)*(U922))*(U922),0.000001))),L922,U922),IF(T922=1,L922,IF(AC922=1,U922,MAX($D$16,POWER((ABS(K922)^2)/($I$5*MAX(F922,0.1)^2),1/3)))))))</f>
        <v>51800.26683766341</v>
      </c>
      <c r="AE922">
        <f t="shared" ca="1" si="413"/>
        <v>52432.44283766341</v>
      </c>
      <c r="AF922">
        <f t="shared" ca="1" si="414"/>
        <v>52432.442837665236</v>
      </c>
      <c r="AI922">
        <v>0</v>
      </c>
      <c r="AJ922">
        <v>0</v>
      </c>
      <c r="AK922">
        <f t="shared" si="415"/>
        <v>0</v>
      </c>
      <c r="AL922">
        <f t="shared" si="424"/>
        <v>0</v>
      </c>
      <c r="AM922">
        <f t="shared" ca="1" si="416"/>
        <v>2.6560383008097266E-7</v>
      </c>
      <c r="AN922" t="str">
        <f t="shared" ca="1" si="417"/>
        <v>Subcritical</v>
      </c>
      <c r="AO922">
        <f t="shared" ca="1" si="418"/>
        <v>2.2562304480281055E-12</v>
      </c>
    </row>
    <row r="923" spans="1:41" x14ac:dyDescent="0.35">
      <c r="A923">
        <v>774</v>
      </c>
      <c r="B923">
        <v>772.88900000000001</v>
      </c>
      <c r="C923">
        <v>616090.75899999996</v>
      </c>
      <c r="D923">
        <v>3097230.8459999999</v>
      </c>
      <c r="E923">
        <v>632.17550000000006</v>
      </c>
      <c r="F923">
        <v>5.2</v>
      </c>
      <c r="G923">
        <v>0</v>
      </c>
      <c r="H923" t="s">
        <v>186</v>
      </c>
      <c r="I923">
        <v>0</v>
      </c>
      <c r="J923">
        <f t="shared" si="419"/>
        <v>1</v>
      </c>
      <c r="K923">
        <f t="shared" si="420"/>
        <v>51</v>
      </c>
      <c r="L923">
        <f t="shared" ca="1" si="421"/>
        <v>51797.843837663619</v>
      </c>
      <c r="M923">
        <f t="shared" ca="1" si="398"/>
        <v>269348.78795585083</v>
      </c>
      <c r="N923">
        <f t="shared" ca="1" si="399"/>
        <v>2.5998694991876676</v>
      </c>
      <c r="O923">
        <f t="shared" ca="1" si="400"/>
        <v>1.8934557080078435E-4</v>
      </c>
      <c r="P923">
        <f t="shared" ca="1" si="401"/>
        <v>52430.019337663616</v>
      </c>
      <c r="Q923">
        <f t="shared" ca="1" si="402"/>
        <v>52430.019337665442</v>
      </c>
      <c r="R923">
        <f t="shared" ca="1" si="403"/>
        <v>2.2564415439646509E-12</v>
      </c>
      <c r="S923">
        <f t="shared" ca="1" si="422"/>
        <v>5.0000000192085281E-4</v>
      </c>
      <c r="T923">
        <f t="shared" ca="1" si="423"/>
        <v>1</v>
      </c>
      <c r="U923">
        <f t="shared" ca="1" si="404"/>
        <v>51800.26683766341</v>
      </c>
      <c r="V923">
        <f t="shared" ca="1" si="405"/>
        <v>269361.38755584974</v>
      </c>
      <c r="W923">
        <f t="shared" ca="1" si="406"/>
        <v>2.5998695052916441</v>
      </c>
      <c r="X923">
        <f t="shared" ca="1" si="407"/>
        <v>1.8933671400629237E-4</v>
      </c>
      <c r="Y923">
        <f t="shared" ca="1" si="408"/>
        <v>52432.442337663408</v>
      </c>
      <c r="Z923">
        <f t="shared" ca="1" si="409"/>
        <v>52432.442337665234</v>
      </c>
      <c r="AA923">
        <f t="shared" ca="1" si="410"/>
        <v>2.2562304480281055E-12</v>
      </c>
      <c r="AB923">
        <f t="shared" ca="1" si="411"/>
        <v>-4.999999946448952E-4</v>
      </c>
      <c r="AC923">
        <f t="shared" ca="1" si="412"/>
        <v>1</v>
      </c>
      <c r="AD923">
        <f ca="1">IF(V32="Supercritical",L923,IF(V32="Subcritical",U923,IF(AND(T923=1,AC923=1),IF((((F923)*(L923)^2)/2+(G923)*(L923)^3/3+(ABS(K923)^2)/($I$5*MAX(((F923)+(G923)*(L923))*(L923),0.000001)))&gt;=(((F923)*(U923)^2)/2+(G923)*(U923)^3/3+(ABS(K923)^2)/($I$5*MAX(((F923)+(G923)*(U923))*(U923),0.000001))),L923,U923),IF(T923=1,L923,IF(AC923=1,U923,MAX($D$16,POWER((ABS(K923)^2)/($I$5*MAX(F923,0.1)^2),1/3)))))))</f>
        <v>51800.26683766341</v>
      </c>
      <c r="AE923">
        <f t="shared" ca="1" si="413"/>
        <v>52432.442337663408</v>
      </c>
      <c r="AF923">
        <f t="shared" ca="1" si="414"/>
        <v>52432.442337665234</v>
      </c>
      <c r="AI923">
        <v>0</v>
      </c>
      <c r="AJ923">
        <v>0</v>
      </c>
      <c r="AK923">
        <f t="shared" si="415"/>
        <v>0</v>
      </c>
      <c r="AL923">
        <f t="shared" si="424"/>
        <v>0</v>
      </c>
      <c r="AM923">
        <f t="shared" ca="1" si="416"/>
        <v>2.6560383008097266E-7</v>
      </c>
      <c r="AN923" t="str">
        <f t="shared" ca="1" si="417"/>
        <v>Subcritical</v>
      </c>
      <c r="AO923">
        <f t="shared" ca="1" si="418"/>
        <v>2.2562304480281055E-12</v>
      </c>
    </row>
    <row r="924" spans="1:41" x14ac:dyDescent="0.35">
      <c r="A924">
        <v>775</v>
      </c>
      <c r="B924">
        <v>773.88900000000001</v>
      </c>
      <c r="C924">
        <v>616090.71699999995</v>
      </c>
      <c r="D924">
        <v>3097229.8470000001</v>
      </c>
      <c r="E924">
        <v>632.17499999999995</v>
      </c>
      <c r="F924">
        <v>5.2</v>
      </c>
      <c r="G924">
        <v>0</v>
      </c>
      <c r="H924" t="s">
        <v>186</v>
      </c>
      <c r="I924">
        <v>5.7000000000000002E-2</v>
      </c>
      <c r="J924">
        <f t="shared" si="419"/>
        <v>1</v>
      </c>
      <c r="K924">
        <f t="shared" si="420"/>
        <v>51</v>
      </c>
      <c r="L924">
        <f t="shared" ca="1" si="421"/>
        <v>51797.843837663619</v>
      </c>
      <c r="M924">
        <f t="shared" ca="1" si="398"/>
        <v>269348.78795585083</v>
      </c>
      <c r="N924">
        <f t="shared" ca="1" si="399"/>
        <v>2.5998694991876676</v>
      </c>
      <c r="O924">
        <f t="shared" ca="1" si="400"/>
        <v>1.8934557080078435E-4</v>
      </c>
      <c r="P924">
        <f t="shared" ca="1" si="401"/>
        <v>52430.018837663622</v>
      </c>
      <c r="Q924">
        <f t="shared" ca="1" si="402"/>
        <v>52430.018837665448</v>
      </c>
      <c r="R924">
        <f t="shared" ca="1" si="403"/>
        <v>2.2564415439646509E-12</v>
      </c>
      <c r="S924">
        <f t="shared" ca="1" si="422"/>
        <v>4.999999946448952E-4</v>
      </c>
      <c r="T924">
        <f t="shared" ca="1" si="423"/>
        <v>1</v>
      </c>
      <c r="U924">
        <f t="shared" ca="1" si="404"/>
        <v>51800.26683766341</v>
      </c>
      <c r="V924">
        <f t="shared" ca="1" si="405"/>
        <v>269361.38755584974</v>
      </c>
      <c r="W924">
        <f t="shared" ca="1" si="406"/>
        <v>2.5998695052916441</v>
      </c>
      <c r="X924">
        <f t="shared" ca="1" si="407"/>
        <v>1.8933671400629237E-4</v>
      </c>
      <c r="Y924">
        <f t="shared" ca="1" si="408"/>
        <v>52432.441837663413</v>
      </c>
      <c r="Z924">
        <f t="shared" ca="1" si="409"/>
        <v>52432.441837665239</v>
      </c>
      <c r="AA924">
        <f t="shared" ca="1" si="410"/>
        <v>2.2562304480281055E-12</v>
      </c>
      <c r="AB924">
        <f t="shared" ca="1" si="411"/>
        <v>-5.0000000192085281E-4</v>
      </c>
      <c r="AC924">
        <f t="shared" ca="1" si="412"/>
        <v>1</v>
      </c>
      <c r="AD924">
        <f ca="1">IF(V32="Supercritical",L924,IF(V32="Subcritical",U924,IF(AND(T924=1,AC924=1),IF((((F924)*(L924)^2)/2+(G924)*(L924)^3/3+(ABS(K924)^2)/($I$5*MAX(((F924)+(G924)*(L924))*(L924),0.000001)))&gt;=(((F924)*(U924)^2)/2+(G924)*(U924)^3/3+(ABS(K924)^2)/($I$5*MAX(((F924)+(G924)*(U924))*(U924),0.000001))),L924,U924),IF(T924=1,L924,IF(AC924=1,U924,MAX($D$16,POWER((ABS(K924)^2)/($I$5*MAX(F924,0.1)^2),1/3)))))))</f>
        <v>51800.26683766341</v>
      </c>
      <c r="AE924">
        <f t="shared" ca="1" si="413"/>
        <v>52432.441837663413</v>
      </c>
      <c r="AF924">
        <f t="shared" ca="1" si="414"/>
        <v>52432.441837665239</v>
      </c>
      <c r="AI924">
        <v>0</v>
      </c>
      <c r="AJ924">
        <v>0</v>
      </c>
      <c r="AK924">
        <f t="shared" si="415"/>
        <v>0</v>
      </c>
      <c r="AL924">
        <f t="shared" si="424"/>
        <v>0</v>
      </c>
      <c r="AM924">
        <f t="shared" ca="1" si="416"/>
        <v>2.6560383008097266E-7</v>
      </c>
      <c r="AN924" t="str">
        <f t="shared" ca="1" si="417"/>
        <v>Subcritical</v>
      </c>
      <c r="AO924">
        <f t="shared" ca="1" si="418"/>
        <v>2.2562304480281055E-12</v>
      </c>
    </row>
    <row r="925" spans="1:41" x14ac:dyDescent="0.35">
      <c r="A925">
        <v>776</v>
      </c>
      <c r="B925">
        <v>774.88900000000001</v>
      </c>
      <c r="C925">
        <v>616090.674</v>
      </c>
      <c r="D925">
        <v>3097228.8480000002</v>
      </c>
      <c r="E925">
        <v>632.17449999999997</v>
      </c>
      <c r="F925">
        <v>5.2</v>
      </c>
      <c r="G925">
        <v>0</v>
      </c>
      <c r="H925" t="s">
        <v>186</v>
      </c>
      <c r="I925">
        <v>5.7000000000000002E-2</v>
      </c>
      <c r="J925">
        <f t="shared" si="419"/>
        <v>1</v>
      </c>
      <c r="K925">
        <f t="shared" si="420"/>
        <v>51</v>
      </c>
      <c r="L925">
        <f t="shared" ca="1" si="421"/>
        <v>51797.843837663619</v>
      </c>
      <c r="M925">
        <f t="shared" ca="1" si="398"/>
        <v>269348.78795585083</v>
      </c>
      <c r="N925">
        <f t="shared" ca="1" si="399"/>
        <v>2.5998694991876676</v>
      </c>
      <c r="O925">
        <f t="shared" ca="1" si="400"/>
        <v>1.8934557080078435E-4</v>
      </c>
      <c r="P925">
        <f t="shared" ca="1" si="401"/>
        <v>52430.01833766362</v>
      </c>
      <c r="Q925">
        <f t="shared" ca="1" si="402"/>
        <v>52430.018337665446</v>
      </c>
      <c r="R925">
        <f t="shared" ca="1" si="403"/>
        <v>2.2564415439646509E-12</v>
      </c>
      <c r="S925">
        <f t="shared" ca="1" si="422"/>
        <v>5.0000000192085281E-4</v>
      </c>
      <c r="T925">
        <f t="shared" ca="1" si="423"/>
        <v>1</v>
      </c>
      <c r="U925">
        <f t="shared" ca="1" si="404"/>
        <v>51800.26683766341</v>
      </c>
      <c r="V925">
        <f t="shared" ca="1" si="405"/>
        <v>269361.38755584974</v>
      </c>
      <c r="W925">
        <f t="shared" ca="1" si="406"/>
        <v>2.5998695052916441</v>
      </c>
      <c r="X925">
        <f t="shared" ca="1" si="407"/>
        <v>1.8933671400629237E-4</v>
      </c>
      <c r="Y925">
        <f t="shared" ca="1" si="408"/>
        <v>52432.441337663411</v>
      </c>
      <c r="Z925">
        <f t="shared" ca="1" si="409"/>
        <v>52432.441337665237</v>
      </c>
      <c r="AA925">
        <f t="shared" ca="1" si="410"/>
        <v>2.2562304480281055E-12</v>
      </c>
      <c r="AB925">
        <f t="shared" ca="1" si="411"/>
        <v>-5.0000000192085281E-4</v>
      </c>
      <c r="AC925">
        <f t="shared" ca="1" si="412"/>
        <v>1</v>
      </c>
      <c r="AD925">
        <f ca="1">IF(V32="Supercritical",L925,IF(V32="Subcritical",U925,IF(AND(T925=1,AC925=1),IF((((F925)*(L925)^2)/2+(G925)*(L925)^3/3+(ABS(K925)^2)/($I$5*MAX(((F925)+(G925)*(L925))*(L925),0.000001)))&gt;=(((F925)*(U925)^2)/2+(G925)*(U925)^3/3+(ABS(K925)^2)/($I$5*MAX(((F925)+(G925)*(U925))*(U925),0.000001))),L925,U925),IF(T925=1,L925,IF(AC925=1,U925,MAX($D$16,POWER((ABS(K925)^2)/($I$5*MAX(F925,0.1)^2),1/3)))))))</f>
        <v>51800.26683766341</v>
      </c>
      <c r="AE925">
        <f t="shared" ca="1" si="413"/>
        <v>52432.441337663411</v>
      </c>
      <c r="AF925">
        <f t="shared" ca="1" si="414"/>
        <v>52432.441337665237</v>
      </c>
      <c r="AI925">
        <v>0</v>
      </c>
      <c r="AJ925">
        <v>0</v>
      </c>
      <c r="AK925">
        <f t="shared" si="415"/>
        <v>0</v>
      </c>
      <c r="AL925">
        <f t="shared" si="424"/>
        <v>0</v>
      </c>
      <c r="AM925">
        <f t="shared" ca="1" si="416"/>
        <v>2.6560383008097266E-7</v>
      </c>
      <c r="AN925" t="str">
        <f t="shared" ca="1" si="417"/>
        <v>Subcritical</v>
      </c>
      <c r="AO925">
        <f t="shared" ca="1" si="418"/>
        <v>2.2562304480281055E-12</v>
      </c>
    </row>
    <row r="926" spans="1:41" x14ac:dyDescent="0.35">
      <c r="A926">
        <v>777</v>
      </c>
      <c r="B926">
        <v>775.88900000000001</v>
      </c>
      <c r="C926">
        <v>616090.63199999998</v>
      </c>
      <c r="D926">
        <v>3097227.8489999999</v>
      </c>
      <c r="E926">
        <v>632.17399999999998</v>
      </c>
      <c r="F926">
        <v>5.2</v>
      </c>
      <c r="G926">
        <v>0</v>
      </c>
      <c r="H926" t="s">
        <v>186</v>
      </c>
      <c r="I926">
        <v>0</v>
      </c>
      <c r="J926">
        <f t="shared" si="419"/>
        <v>1</v>
      </c>
      <c r="K926">
        <f t="shared" si="420"/>
        <v>51</v>
      </c>
      <c r="L926">
        <f t="shared" ca="1" si="421"/>
        <v>51797.843837663619</v>
      </c>
      <c r="M926">
        <f t="shared" ca="1" si="398"/>
        <v>269348.78795585083</v>
      </c>
      <c r="N926">
        <f t="shared" ca="1" si="399"/>
        <v>2.5998694991876676</v>
      </c>
      <c r="O926">
        <f t="shared" ca="1" si="400"/>
        <v>1.8934557080078435E-4</v>
      </c>
      <c r="P926">
        <f t="shared" ca="1" si="401"/>
        <v>52430.017837663618</v>
      </c>
      <c r="Q926">
        <f t="shared" ca="1" si="402"/>
        <v>52430.017837665444</v>
      </c>
      <c r="R926">
        <f t="shared" ca="1" si="403"/>
        <v>2.2564415439646509E-12</v>
      </c>
      <c r="S926">
        <f t="shared" ca="1" si="422"/>
        <v>5.0000000192085281E-4</v>
      </c>
      <c r="T926">
        <f t="shared" ca="1" si="423"/>
        <v>1</v>
      </c>
      <c r="U926">
        <f t="shared" ca="1" si="404"/>
        <v>51800.26683766341</v>
      </c>
      <c r="V926">
        <f t="shared" ca="1" si="405"/>
        <v>269361.38755584974</v>
      </c>
      <c r="W926">
        <f t="shared" ca="1" si="406"/>
        <v>2.5998695052916441</v>
      </c>
      <c r="X926">
        <f t="shared" ca="1" si="407"/>
        <v>1.8933671400629237E-4</v>
      </c>
      <c r="Y926">
        <f t="shared" ca="1" si="408"/>
        <v>52432.440837663409</v>
      </c>
      <c r="Z926">
        <f t="shared" ca="1" si="409"/>
        <v>52432.440837665235</v>
      </c>
      <c r="AA926">
        <f t="shared" ca="1" si="410"/>
        <v>2.2562304480281055E-12</v>
      </c>
      <c r="AB926">
        <f t="shared" ca="1" si="411"/>
        <v>-5.0000000192085281E-4</v>
      </c>
      <c r="AC926">
        <f t="shared" ca="1" si="412"/>
        <v>1</v>
      </c>
      <c r="AD926">
        <f ca="1">IF(V32="Supercritical",L926,IF(V32="Subcritical",U926,IF(AND(T926=1,AC926=1),IF((((F926)*(L926)^2)/2+(G926)*(L926)^3/3+(ABS(K926)^2)/($I$5*MAX(((F926)+(G926)*(L926))*(L926),0.000001)))&gt;=(((F926)*(U926)^2)/2+(G926)*(U926)^3/3+(ABS(K926)^2)/($I$5*MAX(((F926)+(G926)*(U926))*(U926),0.000001))),L926,U926),IF(T926=1,L926,IF(AC926=1,U926,MAX($D$16,POWER((ABS(K926)^2)/($I$5*MAX(F926,0.1)^2),1/3)))))))</f>
        <v>51800.26683766341</v>
      </c>
      <c r="AE926">
        <f t="shared" ca="1" si="413"/>
        <v>52432.440837663409</v>
      </c>
      <c r="AF926">
        <f t="shared" ca="1" si="414"/>
        <v>52432.440837665235</v>
      </c>
      <c r="AI926">
        <v>0</v>
      </c>
      <c r="AJ926">
        <v>0</v>
      </c>
      <c r="AK926">
        <f t="shared" si="415"/>
        <v>0</v>
      </c>
      <c r="AL926">
        <f t="shared" si="424"/>
        <v>0</v>
      </c>
      <c r="AM926">
        <f t="shared" ca="1" si="416"/>
        <v>2.6560383008097266E-7</v>
      </c>
      <c r="AN926" t="str">
        <f t="shared" ca="1" si="417"/>
        <v>Subcritical</v>
      </c>
      <c r="AO926">
        <f t="shared" ca="1" si="418"/>
        <v>2.2562304480281055E-12</v>
      </c>
    </row>
    <row r="927" spans="1:41" x14ac:dyDescent="0.35">
      <c r="A927">
        <v>778</v>
      </c>
      <c r="B927">
        <v>776.88900000000001</v>
      </c>
      <c r="C927">
        <v>616090.59</v>
      </c>
      <c r="D927">
        <v>3097226.85</v>
      </c>
      <c r="E927">
        <v>632.17349999999999</v>
      </c>
      <c r="F927">
        <v>5.2</v>
      </c>
      <c r="G927">
        <v>0</v>
      </c>
      <c r="H927" t="s">
        <v>186</v>
      </c>
      <c r="I927">
        <v>2E-3</v>
      </c>
      <c r="J927">
        <f t="shared" si="419"/>
        <v>1</v>
      </c>
      <c r="K927">
        <f t="shared" si="420"/>
        <v>51</v>
      </c>
      <c r="L927">
        <f t="shared" ca="1" si="421"/>
        <v>51797.843837663619</v>
      </c>
      <c r="M927">
        <f t="shared" ca="1" si="398"/>
        <v>269348.78795585083</v>
      </c>
      <c r="N927">
        <f t="shared" ca="1" si="399"/>
        <v>2.5998694991876676</v>
      </c>
      <c r="O927">
        <f t="shared" ca="1" si="400"/>
        <v>1.8934557080078435E-4</v>
      </c>
      <c r="P927">
        <f t="shared" ca="1" si="401"/>
        <v>52430.017337663616</v>
      </c>
      <c r="Q927">
        <f t="shared" ca="1" si="402"/>
        <v>52430.017337665442</v>
      </c>
      <c r="R927">
        <f t="shared" ca="1" si="403"/>
        <v>2.2564415439646509E-12</v>
      </c>
      <c r="S927">
        <f t="shared" ca="1" si="422"/>
        <v>5.0000000192085281E-4</v>
      </c>
      <c r="T927">
        <f t="shared" ca="1" si="423"/>
        <v>1</v>
      </c>
      <c r="U927">
        <f t="shared" ca="1" si="404"/>
        <v>51800.26683766341</v>
      </c>
      <c r="V927">
        <f t="shared" ca="1" si="405"/>
        <v>269361.38755584974</v>
      </c>
      <c r="W927">
        <f t="shared" ca="1" si="406"/>
        <v>2.5998695052916441</v>
      </c>
      <c r="X927">
        <f t="shared" ca="1" si="407"/>
        <v>1.8933671400629237E-4</v>
      </c>
      <c r="Y927">
        <f t="shared" ca="1" si="408"/>
        <v>52432.440337663407</v>
      </c>
      <c r="Z927">
        <f t="shared" ca="1" si="409"/>
        <v>52432.440337665234</v>
      </c>
      <c r="AA927">
        <f t="shared" ca="1" si="410"/>
        <v>2.2562304480281055E-12</v>
      </c>
      <c r="AB927">
        <f t="shared" ca="1" si="411"/>
        <v>-4.999999946448952E-4</v>
      </c>
      <c r="AC927">
        <f t="shared" ca="1" si="412"/>
        <v>1</v>
      </c>
      <c r="AD927">
        <f ca="1">IF(V32="Supercritical",L927,IF(V32="Subcritical",U927,IF(AND(T927=1,AC927=1),IF((((F927)*(L927)^2)/2+(G927)*(L927)^3/3+(ABS(K927)^2)/($I$5*MAX(((F927)+(G927)*(L927))*(L927),0.000001)))&gt;=(((F927)*(U927)^2)/2+(G927)*(U927)^3/3+(ABS(K927)^2)/($I$5*MAX(((F927)+(G927)*(U927))*(U927),0.000001))),L927,U927),IF(T927=1,L927,IF(AC927=1,U927,MAX($D$16,POWER((ABS(K927)^2)/($I$5*MAX(F927,0.1)^2),1/3)))))))</f>
        <v>51800.26683766341</v>
      </c>
      <c r="AE927">
        <f t="shared" ca="1" si="413"/>
        <v>52432.440337663407</v>
      </c>
      <c r="AF927">
        <f t="shared" ca="1" si="414"/>
        <v>52432.440337665234</v>
      </c>
      <c r="AI927">
        <v>0</v>
      </c>
      <c r="AJ927">
        <v>0</v>
      </c>
      <c r="AK927">
        <f t="shared" si="415"/>
        <v>0</v>
      </c>
      <c r="AL927">
        <f t="shared" si="424"/>
        <v>0</v>
      </c>
      <c r="AM927">
        <f t="shared" ca="1" si="416"/>
        <v>2.6560383008097266E-7</v>
      </c>
      <c r="AN927" t="str">
        <f t="shared" ca="1" si="417"/>
        <v>Subcritical</v>
      </c>
      <c r="AO927">
        <f t="shared" ca="1" si="418"/>
        <v>2.2562304480281055E-12</v>
      </c>
    </row>
    <row r="928" spans="1:41" x14ac:dyDescent="0.35">
      <c r="A928">
        <v>779</v>
      </c>
      <c r="B928">
        <v>777.89</v>
      </c>
      <c r="C928">
        <v>616090.54799999995</v>
      </c>
      <c r="D928">
        <v>3097225.85</v>
      </c>
      <c r="E928">
        <v>632.173</v>
      </c>
      <c r="F928">
        <v>5.2</v>
      </c>
      <c r="G928">
        <v>0</v>
      </c>
      <c r="H928" t="s">
        <v>186</v>
      </c>
      <c r="I928">
        <v>0.06</v>
      </c>
      <c r="J928">
        <f t="shared" si="419"/>
        <v>1.0009999999999764</v>
      </c>
      <c r="K928">
        <f t="shared" si="420"/>
        <v>51</v>
      </c>
      <c r="L928">
        <f t="shared" ca="1" si="421"/>
        <v>51797.843837663619</v>
      </c>
      <c r="M928">
        <f t="shared" ca="1" si="398"/>
        <v>269348.78795585083</v>
      </c>
      <c r="N928">
        <f t="shared" ca="1" si="399"/>
        <v>2.5998694991876676</v>
      </c>
      <c r="O928">
        <f t="shared" ca="1" si="400"/>
        <v>1.8934557080078435E-4</v>
      </c>
      <c r="P928">
        <f t="shared" ca="1" si="401"/>
        <v>52430.016837663621</v>
      </c>
      <c r="Q928">
        <f t="shared" ca="1" si="402"/>
        <v>52430.016837665447</v>
      </c>
      <c r="R928">
        <f t="shared" ca="1" si="403"/>
        <v>2.2564415439646509E-12</v>
      </c>
      <c r="S928">
        <f t="shared" ca="1" si="422"/>
        <v>4.999999946448952E-4</v>
      </c>
      <c r="T928">
        <f t="shared" ca="1" si="423"/>
        <v>1</v>
      </c>
      <c r="U928">
        <f t="shared" ca="1" si="404"/>
        <v>51800.26683766341</v>
      </c>
      <c r="V928">
        <f t="shared" ca="1" si="405"/>
        <v>269361.38755584974</v>
      </c>
      <c r="W928">
        <f t="shared" ca="1" si="406"/>
        <v>2.5998695052916441</v>
      </c>
      <c r="X928">
        <f t="shared" ca="1" si="407"/>
        <v>1.8933671400629237E-4</v>
      </c>
      <c r="Y928">
        <f t="shared" ca="1" si="408"/>
        <v>52432.439837663413</v>
      </c>
      <c r="Z928">
        <f t="shared" ca="1" si="409"/>
        <v>52432.439837665239</v>
      </c>
      <c r="AA928">
        <f t="shared" ca="1" si="410"/>
        <v>2.2562304480281055E-12</v>
      </c>
      <c r="AB928">
        <f t="shared" ca="1" si="411"/>
        <v>-5.0000000192085281E-4</v>
      </c>
      <c r="AC928">
        <f t="shared" ca="1" si="412"/>
        <v>1</v>
      </c>
      <c r="AD928">
        <f ca="1">IF(V32="Supercritical",L928,IF(V32="Subcritical",U928,IF(AND(T928=1,AC928=1),IF((((F928)*(L928)^2)/2+(G928)*(L928)^3/3+(ABS(K928)^2)/($I$5*MAX(((F928)+(G928)*(L928))*(L928),0.000001)))&gt;=(((F928)*(U928)^2)/2+(G928)*(U928)^3/3+(ABS(K928)^2)/($I$5*MAX(((F928)+(G928)*(U928))*(U928),0.000001))),L928,U928),IF(T928=1,L928,IF(AC928=1,U928,MAX($D$16,POWER((ABS(K928)^2)/($I$5*MAX(F928,0.1)^2),1/3)))))))</f>
        <v>51800.26683766341</v>
      </c>
      <c r="AE928">
        <f t="shared" ca="1" si="413"/>
        <v>52432.439837663413</v>
      </c>
      <c r="AF928">
        <f t="shared" ca="1" si="414"/>
        <v>52432.439837665239</v>
      </c>
      <c r="AI928">
        <v>0</v>
      </c>
      <c r="AJ928">
        <v>0</v>
      </c>
      <c r="AK928">
        <f t="shared" si="415"/>
        <v>0</v>
      </c>
      <c r="AL928">
        <f t="shared" si="424"/>
        <v>0</v>
      </c>
      <c r="AM928">
        <f t="shared" ca="1" si="416"/>
        <v>2.6560383008097266E-7</v>
      </c>
      <c r="AN928" t="str">
        <f t="shared" ca="1" si="417"/>
        <v>Subcritical</v>
      </c>
      <c r="AO928">
        <f t="shared" ca="1" si="418"/>
        <v>2.2562304480281055E-12</v>
      </c>
    </row>
    <row r="929" spans="1:41" x14ac:dyDescent="0.35">
      <c r="A929">
        <v>780</v>
      </c>
      <c r="B929">
        <v>778.89</v>
      </c>
      <c r="C929">
        <v>616090.505</v>
      </c>
      <c r="D929">
        <v>3097224.8509999998</v>
      </c>
      <c r="E929">
        <v>632.17250000000001</v>
      </c>
      <c r="F929">
        <v>5.2</v>
      </c>
      <c r="G929">
        <v>0</v>
      </c>
      <c r="H929" t="s">
        <v>186</v>
      </c>
      <c r="I929">
        <v>5.7000000000000002E-2</v>
      </c>
      <c r="J929">
        <f t="shared" si="419"/>
        <v>1</v>
      </c>
      <c r="K929">
        <f t="shared" si="420"/>
        <v>51</v>
      </c>
      <c r="L929">
        <f t="shared" ca="1" si="421"/>
        <v>51797.843837663619</v>
      </c>
      <c r="M929">
        <f t="shared" ca="1" si="398"/>
        <v>269348.78795585083</v>
      </c>
      <c r="N929">
        <f t="shared" ca="1" si="399"/>
        <v>2.5998694991876676</v>
      </c>
      <c r="O929">
        <f t="shared" ca="1" si="400"/>
        <v>1.8934557080078435E-4</v>
      </c>
      <c r="P929">
        <f t="shared" ca="1" si="401"/>
        <v>52430.016337663619</v>
      </c>
      <c r="Q929">
        <f t="shared" ca="1" si="402"/>
        <v>52430.016337665445</v>
      </c>
      <c r="R929">
        <f t="shared" ca="1" si="403"/>
        <v>2.2564415439646509E-12</v>
      </c>
      <c r="S929">
        <f t="shared" ca="1" si="422"/>
        <v>5.0000000192085281E-4</v>
      </c>
      <c r="T929">
        <f t="shared" ca="1" si="423"/>
        <v>1</v>
      </c>
      <c r="U929">
        <f t="shared" ca="1" si="404"/>
        <v>51800.26683766341</v>
      </c>
      <c r="V929">
        <f t="shared" ca="1" si="405"/>
        <v>269361.38755584974</v>
      </c>
      <c r="W929">
        <f t="shared" ca="1" si="406"/>
        <v>2.5998695052916441</v>
      </c>
      <c r="X929">
        <f t="shared" ca="1" si="407"/>
        <v>1.8933671400629237E-4</v>
      </c>
      <c r="Y929">
        <f t="shared" ca="1" si="408"/>
        <v>52432.439337663411</v>
      </c>
      <c r="Z929">
        <f t="shared" ca="1" si="409"/>
        <v>52432.439337665237</v>
      </c>
      <c r="AA929">
        <f t="shared" ca="1" si="410"/>
        <v>2.2562304480281055E-12</v>
      </c>
      <c r="AB929">
        <f t="shared" ca="1" si="411"/>
        <v>-5.0000000192085281E-4</v>
      </c>
      <c r="AC929">
        <f t="shared" ca="1" si="412"/>
        <v>1</v>
      </c>
      <c r="AD929">
        <f ca="1">IF(V32="Supercritical",L929,IF(V32="Subcritical",U929,IF(AND(T929=1,AC929=1),IF((((F929)*(L929)^2)/2+(G929)*(L929)^3/3+(ABS(K929)^2)/($I$5*MAX(((F929)+(G929)*(L929))*(L929),0.000001)))&gt;=(((F929)*(U929)^2)/2+(G929)*(U929)^3/3+(ABS(K929)^2)/($I$5*MAX(((F929)+(G929)*(U929))*(U929),0.000001))),L929,U929),IF(T929=1,L929,IF(AC929=1,U929,MAX($D$16,POWER((ABS(K929)^2)/($I$5*MAX(F929,0.1)^2),1/3)))))))</f>
        <v>51800.26683766341</v>
      </c>
      <c r="AE929">
        <f t="shared" ca="1" si="413"/>
        <v>52432.439337663411</v>
      </c>
      <c r="AF929">
        <f t="shared" ca="1" si="414"/>
        <v>52432.439337665237</v>
      </c>
      <c r="AI929">
        <v>0</v>
      </c>
      <c r="AJ929">
        <v>0</v>
      </c>
      <c r="AK929">
        <f t="shared" si="415"/>
        <v>0</v>
      </c>
      <c r="AL929">
        <f t="shared" si="424"/>
        <v>0</v>
      </c>
      <c r="AM929">
        <f t="shared" ca="1" si="416"/>
        <v>2.6560383008097266E-7</v>
      </c>
      <c r="AN929" t="str">
        <f t="shared" ca="1" si="417"/>
        <v>Subcritical</v>
      </c>
      <c r="AO929">
        <f t="shared" ca="1" si="418"/>
        <v>2.2562304480281055E-12</v>
      </c>
    </row>
    <row r="930" spans="1:41" x14ac:dyDescent="0.35">
      <c r="A930">
        <v>781</v>
      </c>
      <c r="B930">
        <v>779.88900000000001</v>
      </c>
      <c r="C930">
        <v>616090.46299999999</v>
      </c>
      <c r="D930">
        <v>3097223.852</v>
      </c>
      <c r="E930">
        <v>632.17200000000003</v>
      </c>
      <c r="F930">
        <v>5.2</v>
      </c>
      <c r="G930">
        <v>0</v>
      </c>
      <c r="H930" t="s">
        <v>186</v>
      </c>
      <c r="I930">
        <v>0</v>
      </c>
      <c r="J930">
        <f t="shared" si="419"/>
        <v>0.99900000000002365</v>
      </c>
      <c r="K930">
        <f t="shared" si="420"/>
        <v>51</v>
      </c>
      <c r="L930">
        <f t="shared" ca="1" si="421"/>
        <v>51797.843837663619</v>
      </c>
      <c r="M930">
        <f t="shared" ca="1" si="398"/>
        <v>269348.78795585083</v>
      </c>
      <c r="N930">
        <f t="shared" ca="1" si="399"/>
        <v>2.5998694991876676</v>
      </c>
      <c r="O930">
        <f t="shared" ca="1" si="400"/>
        <v>1.8934557080078435E-4</v>
      </c>
      <c r="P930">
        <f t="shared" ca="1" si="401"/>
        <v>52430.015837663617</v>
      </c>
      <c r="Q930">
        <f t="shared" ca="1" si="402"/>
        <v>52430.015837665444</v>
      </c>
      <c r="R930">
        <f t="shared" ca="1" si="403"/>
        <v>2.2564415439646509E-12</v>
      </c>
      <c r="S930">
        <f t="shared" ca="1" si="422"/>
        <v>5.0000000192085281E-4</v>
      </c>
      <c r="T930">
        <f t="shared" ca="1" si="423"/>
        <v>1</v>
      </c>
      <c r="U930">
        <f t="shared" ca="1" si="404"/>
        <v>51800.26683766341</v>
      </c>
      <c r="V930">
        <f t="shared" ca="1" si="405"/>
        <v>269361.38755584974</v>
      </c>
      <c r="W930">
        <f t="shared" ca="1" si="406"/>
        <v>2.5998695052916441</v>
      </c>
      <c r="X930">
        <f t="shared" ca="1" si="407"/>
        <v>1.8933671400629237E-4</v>
      </c>
      <c r="Y930">
        <f t="shared" ca="1" si="408"/>
        <v>52432.438837663409</v>
      </c>
      <c r="Z930">
        <f t="shared" ca="1" si="409"/>
        <v>52432.438837665235</v>
      </c>
      <c r="AA930">
        <f t="shared" ca="1" si="410"/>
        <v>2.2562304480281055E-12</v>
      </c>
      <c r="AB930">
        <f t="shared" ca="1" si="411"/>
        <v>-5.0000000192085281E-4</v>
      </c>
      <c r="AC930">
        <f t="shared" ca="1" si="412"/>
        <v>1</v>
      </c>
      <c r="AD930">
        <f ca="1">IF(V32="Supercritical",L930,IF(V32="Subcritical",U930,IF(AND(T930=1,AC930=1),IF((((F930)*(L930)^2)/2+(G930)*(L930)^3/3+(ABS(K930)^2)/($I$5*MAX(((F930)+(G930)*(L930))*(L930),0.000001)))&gt;=(((F930)*(U930)^2)/2+(G930)*(U930)^3/3+(ABS(K930)^2)/($I$5*MAX(((F930)+(G930)*(U930))*(U930),0.000001))),L930,U930),IF(T930=1,L930,IF(AC930=1,U930,MAX($D$16,POWER((ABS(K930)^2)/($I$5*MAX(F930,0.1)^2),1/3)))))))</f>
        <v>51800.26683766341</v>
      </c>
      <c r="AE930">
        <f t="shared" ca="1" si="413"/>
        <v>52432.438837663409</v>
      </c>
      <c r="AF930">
        <f t="shared" ca="1" si="414"/>
        <v>52432.438837665235</v>
      </c>
      <c r="AI930">
        <v>0</v>
      </c>
      <c r="AJ930">
        <v>0</v>
      </c>
      <c r="AK930">
        <f t="shared" si="415"/>
        <v>0</v>
      </c>
      <c r="AL930">
        <f t="shared" si="424"/>
        <v>0</v>
      </c>
      <c r="AM930">
        <f t="shared" ca="1" si="416"/>
        <v>2.6560383008097266E-7</v>
      </c>
      <c r="AN930" t="str">
        <f t="shared" ca="1" si="417"/>
        <v>Subcritical</v>
      </c>
      <c r="AO930">
        <f t="shared" ca="1" si="418"/>
        <v>2.2562304480281055E-12</v>
      </c>
    </row>
    <row r="931" spans="1:41" x14ac:dyDescent="0.35">
      <c r="A931">
        <v>782</v>
      </c>
      <c r="B931">
        <v>780.88900000000001</v>
      </c>
      <c r="C931">
        <v>616090.42099999997</v>
      </c>
      <c r="D931">
        <v>3097222.8530000001</v>
      </c>
      <c r="E931">
        <v>632.17150000000004</v>
      </c>
      <c r="F931">
        <v>5.2</v>
      </c>
      <c r="G931">
        <v>0</v>
      </c>
      <c r="H931" t="s">
        <v>186</v>
      </c>
      <c r="I931">
        <v>5.7000000000000002E-2</v>
      </c>
      <c r="J931">
        <f t="shared" si="419"/>
        <v>1</v>
      </c>
      <c r="K931">
        <f t="shared" si="420"/>
        <v>51</v>
      </c>
      <c r="L931">
        <f t="shared" ca="1" si="421"/>
        <v>51797.843837663619</v>
      </c>
      <c r="M931">
        <f t="shared" ca="1" si="398"/>
        <v>269348.78795585083</v>
      </c>
      <c r="N931">
        <f t="shared" ca="1" si="399"/>
        <v>2.5998694991876676</v>
      </c>
      <c r="O931">
        <f t="shared" ca="1" si="400"/>
        <v>1.8934557080078435E-4</v>
      </c>
      <c r="P931">
        <f t="shared" ca="1" si="401"/>
        <v>52430.015337663615</v>
      </c>
      <c r="Q931">
        <f t="shared" ca="1" si="402"/>
        <v>52430.015337665442</v>
      </c>
      <c r="R931">
        <f t="shared" ca="1" si="403"/>
        <v>2.2564415439646509E-12</v>
      </c>
      <c r="S931">
        <f t="shared" ca="1" si="422"/>
        <v>5.0000000192085281E-4</v>
      </c>
      <c r="T931">
        <f t="shared" ca="1" si="423"/>
        <v>1</v>
      </c>
      <c r="U931">
        <f t="shared" ca="1" si="404"/>
        <v>51800.26683766341</v>
      </c>
      <c r="V931">
        <f t="shared" ca="1" si="405"/>
        <v>269361.38755584974</v>
      </c>
      <c r="W931">
        <f t="shared" ca="1" si="406"/>
        <v>2.5998695052916441</v>
      </c>
      <c r="X931">
        <f t="shared" ca="1" si="407"/>
        <v>1.8933671400629237E-4</v>
      </c>
      <c r="Y931">
        <f t="shared" ca="1" si="408"/>
        <v>52432.438337663407</v>
      </c>
      <c r="Z931">
        <f t="shared" ca="1" si="409"/>
        <v>52432.438337665233</v>
      </c>
      <c r="AA931">
        <f t="shared" ca="1" si="410"/>
        <v>2.2562304480281055E-12</v>
      </c>
      <c r="AB931">
        <f t="shared" ca="1" si="411"/>
        <v>-4.999999946448952E-4</v>
      </c>
      <c r="AC931">
        <f t="shared" ca="1" si="412"/>
        <v>1</v>
      </c>
      <c r="AD931">
        <f ca="1">IF(V32="Supercritical",L931,IF(V32="Subcritical",U931,IF(AND(T931=1,AC931=1),IF((((F931)*(L931)^2)/2+(G931)*(L931)^3/3+(ABS(K931)^2)/($I$5*MAX(((F931)+(G931)*(L931))*(L931),0.000001)))&gt;=(((F931)*(U931)^2)/2+(G931)*(U931)^3/3+(ABS(K931)^2)/($I$5*MAX(((F931)+(G931)*(U931))*(U931),0.000001))),L931,U931),IF(T931=1,L931,IF(AC931=1,U931,MAX($D$16,POWER((ABS(K931)^2)/($I$5*MAX(F931,0.1)^2),1/3)))))))</f>
        <v>51800.26683766341</v>
      </c>
      <c r="AE931">
        <f t="shared" ca="1" si="413"/>
        <v>52432.438337663407</v>
      </c>
      <c r="AF931">
        <f t="shared" ca="1" si="414"/>
        <v>52432.438337665233</v>
      </c>
      <c r="AI931">
        <v>0</v>
      </c>
      <c r="AJ931">
        <v>0</v>
      </c>
      <c r="AK931">
        <f t="shared" si="415"/>
        <v>0</v>
      </c>
      <c r="AL931">
        <f t="shared" si="424"/>
        <v>0</v>
      </c>
      <c r="AM931">
        <f t="shared" ca="1" si="416"/>
        <v>2.6560383008097266E-7</v>
      </c>
      <c r="AN931" t="str">
        <f t="shared" ca="1" si="417"/>
        <v>Subcritical</v>
      </c>
      <c r="AO931">
        <f t="shared" ca="1" si="418"/>
        <v>2.2562304480281055E-12</v>
      </c>
    </row>
    <row r="932" spans="1:41" x14ac:dyDescent="0.35">
      <c r="A932">
        <v>783</v>
      </c>
      <c r="B932">
        <v>781.88900000000001</v>
      </c>
      <c r="C932">
        <v>616090.37800000003</v>
      </c>
      <c r="D932">
        <v>3097221.8539999998</v>
      </c>
      <c r="E932">
        <v>632.17100000000005</v>
      </c>
      <c r="F932">
        <v>5.2</v>
      </c>
      <c r="G932">
        <v>0</v>
      </c>
      <c r="H932" t="s">
        <v>186</v>
      </c>
      <c r="I932">
        <v>5.7000000000000002E-2</v>
      </c>
      <c r="J932">
        <f t="shared" si="419"/>
        <v>1</v>
      </c>
      <c r="K932">
        <f t="shared" si="420"/>
        <v>51</v>
      </c>
      <c r="L932">
        <f t="shared" ca="1" si="421"/>
        <v>51797.843837663619</v>
      </c>
      <c r="M932">
        <f t="shared" ca="1" si="398"/>
        <v>269348.78795585083</v>
      </c>
      <c r="N932">
        <f t="shared" ca="1" si="399"/>
        <v>2.5998694991876676</v>
      </c>
      <c r="O932">
        <f t="shared" ca="1" si="400"/>
        <v>1.8934557080078435E-4</v>
      </c>
      <c r="P932">
        <f t="shared" ca="1" si="401"/>
        <v>52430.014837663621</v>
      </c>
      <c r="Q932">
        <f t="shared" ca="1" si="402"/>
        <v>52430.014837665447</v>
      </c>
      <c r="R932">
        <f t="shared" ca="1" si="403"/>
        <v>2.2564415439646509E-12</v>
      </c>
      <c r="S932">
        <f t="shared" ca="1" si="422"/>
        <v>4.999999946448952E-4</v>
      </c>
      <c r="T932">
        <f t="shared" ca="1" si="423"/>
        <v>1</v>
      </c>
      <c r="U932">
        <f t="shared" ca="1" si="404"/>
        <v>51800.26683766341</v>
      </c>
      <c r="V932">
        <f t="shared" ca="1" si="405"/>
        <v>269361.38755584974</v>
      </c>
      <c r="W932">
        <f t="shared" ca="1" si="406"/>
        <v>2.5998695052916441</v>
      </c>
      <c r="X932">
        <f t="shared" ca="1" si="407"/>
        <v>1.8933671400629237E-4</v>
      </c>
      <c r="Y932">
        <f t="shared" ca="1" si="408"/>
        <v>52432.437837663412</v>
      </c>
      <c r="Z932">
        <f t="shared" ca="1" si="409"/>
        <v>52432.437837665238</v>
      </c>
      <c r="AA932">
        <f t="shared" ca="1" si="410"/>
        <v>2.2562304480281055E-12</v>
      </c>
      <c r="AB932">
        <f t="shared" ca="1" si="411"/>
        <v>-5.0000000192085281E-4</v>
      </c>
      <c r="AC932">
        <f t="shared" ca="1" si="412"/>
        <v>1</v>
      </c>
      <c r="AD932">
        <f ca="1">IF(V32="Supercritical",L932,IF(V32="Subcritical",U932,IF(AND(T932=1,AC932=1),IF((((F932)*(L932)^2)/2+(G932)*(L932)^3/3+(ABS(K932)^2)/($I$5*MAX(((F932)+(G932)*(L932))*(L932),0.000001)))&gt;=(((F932)*(U932)^2)/2+(G932)*(U932)^3/3+(ABS(K932)^2)/($I$5*MAX(((F932)+(G932)*(U932))*(U932),0.000001))),L932,U932),IF(T932=1,L932,IF(AC932=1,U932,MAX($D$16,POWER((ABS(K932)^2)/($I$5*MAX(F932,0.1)^2),1/3)))))))</f>
        <v>51800.26683766341</v>
      </c>
      <c r="AE932">
        <f t="shared" ca="1" si="413"/>
        <v>52432.437837663412</v>
      </c>
      <c r="AF932">
        <f t="shared" ca="1" si="414"/>
        <v>52432.437837665238</v>
      </c>
      <c r="AI932">
        <v>0</v>
      </c>
      <c r="AJ932">
        <v>0</v>
      </c>
      <c r="AK932">
        <f t="shared" si="415"/>
        <v>0</v>
      </c>
      <c r="AL932">
        <f t="shared" si="424"/>
        <v>0</v>
      </c>
      <c r="AM932">
        <f t="shared" ca="1" si="416"/>
        <v>2.6560383008097266E-7</v>
      </c>
      <c r="AN932" t="str">
        <f t="shared" ca="1" si="417"/>
        <v>Subcritical</v>
      </c>
      <c r="AO932">
        <f t="shared" ca="1" si="418"/>
        <v>2.2562304480281055E-12</v>
      </c>
    </row>
    <row r="933" spans="1:41" x14ac:dyDescent="0.35">
      <c r="A933">
        <v>784</v>
      </c>
      <c r="B933">
        <v>782.88900000000001</v>
      </c>
      <c r="C933">
        <v>616090.33600000001</v>
      </c>
      <c r="D933">
        <v>3097220.855</v>
      </c>
      <c r="E933">
        <v>632.17049999999995</v>
      </c>
      <c r="F933">
        <v>5.2</v>
      </c>
      <c r="G933">
        <v>0</v>
      </c>
      <c r="H933" t="s">
        <v>186</v>
      </c>
      <c r="I933">
        <v>0</v>
      </c>
      <c r="J933">
        <f t="shared" si="419"/>
        <v>1</v>
      </c>
      <c r="K933">
        <f t="shared" si="420"/>
        <v>51</v>
      </c>
      <c r="L933">
        <f t="shared" ca="1" si="421"/>
        <v>51797.843837663619</v>
      </c>
      <c r="M933">
        <f t="shared" ca="1" si="398"/>
        <v>269348.78795585083</v>
      </c>
      <c r="N933">
        <f t="shared" ca="1" si="399"/>
        <v>2.5998694991876676</v>
      </c>
      <c r="O933">
        <f t="shared" ca="1" si="400"/>
        <v>1.8934557080078435E-4</v>
      </c>
      <c r="P933">
        <f t="shared" ca="1" si="401"/>
        <v>52430.014337663619</v>
      </c>
      <c r="Q933">
        <f t="shared" ca="1" si="402"/>
        <v>52430.014337665445</v>
      </c>
      <c r="R933">
        <f t="shared" ca="1" si="403"/>
        <v>2.2564415439646509E-12</v>
      </c>
      <c r="S933">
        <f t="shared" ca="1" si="422"/>
        <v>5.0000000192085281E-4</v>
      </c>
      <c r="T933">
        <f t="shared" ca="1" si="423"/>
        <v>1</v>
      </c>
      <c r="U933">
        <f t="shared" ca="1" si="404"/>
        <v>51800.26683766341</v>
      </c>
      <c r="V933">
        <f t="shared" ca="1" si="405"/>
        <v>269361.38755584974</v>
      </c>
      <c r="W933">
        <f t="shared" ca="1" si="406"/>
        <v>2.5998695052916441</v>
      </c>
      <c r="X933">
        <f t="shared" ca="1" si="407"/>
        <v>1.8933671400629237E-4</v>
      </c>
      <c r="Y933">
        <f t="shared" ca="1" si="408"/>
        <v>52432.43733766341</v>
      </c>
      <c r="Z933">
        <f t="shared" ca="1" si="409"/>
        <v>52432.437337665237</v>
      </c>
      <c r="AA933">
        <f t="shared" ca="1" si="410"/>
        <v>2.2562304480281055E-12</v>
      </c>
      <c r="AB933">
        <f t="shared" ca="1" si="411"/>
        <v>-5.0000000192085281E-4</v>
      </c>
      <c r="AC933">
        <f t="shared" ca="1" si="412"/>
        <v>1</v>
      </c>
      <c r="AD933">
        <f ca="1">IF(V32="Supercritical",L933,IF(V32="Subcritical",U933,IF(AND(T933=1,AC933=1),IF((((F933)*(L933)^2)/2+(G933)*(L933)^3/3+(ABS(K933)^2)/($I$5*MAX(((F933)+(G933)*(L933))*(L933),0.000001)))&gt;=(((F933)*(U933)^2)/2+(G933)*(U933)^3/3+(ABS(K933)^2)/($I$5*MAX(((F933)+(G933)*(U933))*(U933),0.000001))),L933,U933),IF(T933=1,L933,IF(AC933=1,U933,MAX($D$16,POWER((ABS(K933)^2)/($I$5*MAX(F933,0.1)^2),1/3)))))))</f>
        <v>51800.26683766341</v>
      </c>
      <c r="AE933">
        <f t="shared" ca="1" si="413"/>
        <v>52432.43733766341</v>
      </c>
      <c r="AF933">
        <f t="shared" ca="1" si="414"/>
        <v>52432.437337665237</v>
      </c>
      <c r="AI933">
        <v>0</v>
      </c>
      <c r="AJ933">
        <v>0</v>
      </c>
      <c r="AK933">
        <f t="shared" si="415"/>
        <v>0</v>
      </c>
      <c r="AL933">
        <f t="shared" si="424"/>
        <v>0</v>
      </c>
      <c r="AM933">
        <f t="shared" ca="1" si="416"/>
        <v>2.6560383008097266E-7</v>
      </c>
      <c r="AN933" t="str">
        <f t="shared" ca="1" si="417"/>
        <v>Subcritical</v>
      </c>
      <c r="AO933">
        <f t="shared" ca="1" si="418"/>
        <v>2.2562304480281055E-12</v>
      </c>
    </row>
    <row r="934" spans="1:41" x14ac:dyDescent="0.35">
      <c r="A934">
        <v>785</v>
      </c>
      <c r="B934">
        <v>783.88900000000001</v>
      </c>
      <c r="C934">
        <v>616090.29399999999</v>
      </c>
      <c r="D934">
        <v>3097219.8560000001</v>
      </c>
      <c r="E934">
        <v>632.16999999999996</v>
      </c>
      <c r="F934">
        <v>5.2</v>
      </c>
      <c r="G934">
        <v>0</v>
      </c>
      <c r="H934" t="s">
        <v>186</v>
      </c>
      <c r="I934">
        <v>0</v>
      </c>
      <c r="J934">
        <f t="shared" si="419"/>
        <v>1</v>
      </c>
      <c r="K934">
        <f t="shared" si="420"/>
        <v>51</v>
      </c>
      <c r="L934">
        <f t="shared" ca="1" si="421"/>
        <v>51797.843837663619</v>
      </c>
      <c r="M934">
        <f t="shared" ca="1" si="398"/>
        <v>269348.78795585083</v>
      </c>
      <c r="N934">
        <f t="shared" ca="1" si="399"/>
        <v>2.5998694991876676</v>
      </c>
      <c r="O934">
        <f t="shared" ca="1" si="400"/>
        <v>1.8934557080078435E-4</v>
      </c>
      <c r="P934">
        <f t="shared" ca="1" si="401"/>
        <v>52430.013837663617</v>
      </c>
      <c r="Q934">
        <f t="shared" ca="1" si="402"/>
        <v>52430.013837665443</v>
      </c>
      <c r="R934">
        <f t="shared" ca="1" si="403"/>
        <v>2.2564415439646509E-12</v>
      </c>
      <c r="S934">
        <f t="shared" ca="1" si="422"/>
        <v>5.0000000192085281E-4</v>
      </c>
      <c r="T934">
        <f t="shared" ca="1" si="423"/>
        <v>1</v>
      </c>
      <c r="U934">
        <f t="shared" ca="1" si="404"/>
        <v>51800.26683766341</v>
      </c>
      <c r="V934">
        <f t="shared" ca="1" si="405"/>
        <v>269361.38755584974</v>
      </c>
      <c r="W934">
        <f t="shared" ca="1" si="406"/>
        <v>2.5998695052916441</v>
      </c>
      <c r="X934">
        <f t="shared" ca="1" si="407"/>
        <v>1.8933671400629237E-4</v>
      </c>
      <c r="Y934">
        <f t="shared" ca="1" si="408"/>
        <v>52432.436837663408</v>
      </c>
      <c r="Z934">
        <f t="shared" ca="1" si="409"/>
        <v>52432.436837665235</v>
      </c>
      <c r="AA934">
        <f t="shared" ca="1" si="410"/>
        <v>2.2562304480281055E-12</v>
      </c>
      <c r="AB934">
        <f t="shared" ca="1" si="411"/>
        <v>-4.999999946448952E-4</v>
      </c>
      <c r="AC934">
        <f t="shared" ca="1" si="412"/>
        <v>1</v>
      </c>
      <c r="AD934">
        <f ca="1">IF(V32="Supercritical",L934,IF(V32="Subcritical",U934,IF(AND(T934=1,AC934=1),IF((((F934)*(L934)^2)/2+(G934)*(L934)^3/3+(ABS(K934)^2)/($I$5*MAX(((F934)+(G934)*(L934))*(L934),0.000001)))&gt;=(((F934)*(U934)^2)/2+(G934)*(U934)^3/3+(ABS(K934)^2)/($I$5*MAX(((F934)+(G934)*(U934))*(U934),0.000001))),L934,U934),IF(T934=1,L934,IF(AC934=1,U934,MAX($D$16,POWER((ABS(K934)^2)/($I$5*MAX(F934,0.1)^2),1/3)))))))</f>
        <v>51800.26683766341</v>
      </c>
      <c r="AE934">
        <f t="shared" ca="1" si="413"/>
        <v>52432.436837663408</v>
      </c>
      <c r="AF934">
        <f t="shared" ca="1" si="414"/>
        <v>52432.436837665235</v>
      </c>
      <c r="AI934">
        <v>0</v>
      </c>
      <c r="AJ934">
        <v>0</v>
      </c>
      <c r="AK934">
        <f t="shared" si="415"/>
        <v>0</v>
      </c>
      <c r="AL934">
        <f t="shared" si="424"/>
        <v>0</v>
      </c>
      <c r="AM934">
        <f t="shared" ca="1" si="416"/>
        <v>2.6560383008097266E-7</v>
      </c>
      <c r="AN934" t="str">
        <f t="shared" ca="1" si="417"/>
        <v>Subcritical</v>
      </c>
      <c r="AO934">
        <f t="shared" ca="1" si="418"/>
        <v>2.2562304480281055E-12</v>
      </c>
    </row>
    <row r="935" spans="1:41" x14ac:dyDescent="0.35">
      <c r="A935">
        <v>786</v>
      </c>
      <c r="B935">
        <v>784.88900000000001</v>
      </c>
      <c r="C935">
        <v>616090.25199999998</v>
      </c>
      <c r="D935">
        <v>3097218.8569999998</v>
      </c>
      <c r="E935">
        <v>632.16949999999997</v>
      </c>
      <c r="F935">
        <v>5.2</v>
      </c>
      <c r="G935">
        <v>0</v>
      </c>
      <c r="H935" t="s">
        <v>186</v>
      </c>
      <c r="I935">
        <v>5.7000000000000002E-2</v>
      </c>
      <c r="J935">
        <f t="shared" si="419"/>
        <v>1</v>
      </c>
      <c r="K935">
        <f t="shared" si="420"/>
        <v>51</v>
      </c>
      <c r="L935">
        <f t="shared" ca="1" si="421"/>
        <v>51797.843837663619</v>
      </c>
      <c r="M935">
        <f t="shared" ca="1" si="398"/>
        <v>269348.78795585083</v>
      </c>
      <c r="N935">
        <f t="shared" ca="1" si="399"/>
        <v>2.5998694991876676</v>
      </c>
      <c r="O935">
        <f t="shared" ca="1" si="400"/>
        <v>1.8934557080078435E-4</v>
      </c>
      <c r="P935">
        <f t="shared" ca="1" si="401"/>
        <v>52430.013337663622</v>
      </c>
      <c r="Q935">
        <f t="shared" ca="1" si="402"/>
        <v>52430.013337665448</v>
      </c>
      <c r="R935">
        <f t="shared" ca="1" si="403"/>
        <v>2.2564415439646509E-12</v>
      </c>
      <c r="S935">
        <f t="shared" ca="1" si="422"/>
        <v>4.999999946448952E-4</v>
      </c>
      <c r="T935">
        <f t="shared" ca="1" si="423"/>
        <v>1</v>
      </c>
      <c r="U935">
        <f t="shared" ca="1" si="404"/>
        <v>51800.26683766341</v>
      </c>
      <c r="V935">
        <f t="shared" ca="1" si="405"/>
        <v>269361.38755584974</v>
      </c>
      <c r="W935">
        <f t="shared" ca="1" si="406"/>
        <v>2.5998695052916441</v>
      </c>
      <c r="X935">
        <f t="shared" ca="1" si="407"/>
        <v>1.8933671400629237E-4</v>
      </c>
      <c r="Y935">
        <f t="shared" ca="1" si="408"/>
        <v>52432.436337663414</v>
      </c>
      <c r="Z935">
        <f t="shared" ca="1" si="409"/>
        <v>52432.43633766524</v>
      </c>
      <c r="AA935">
        <f t="shared" ca="1" si="410"/>
        <v>2.2562304480281055E-12</v>
      </c>
      <c r="AB935">
        <f t="shared" ca="1" si="411"/>
        <v>-5.0000000192085281E-4</v>
      </c>
      <c r="AC935">
        <f t="shared" ca="1" si="412"/>
        <v>1</v>
      </c>
      <c r="AD935">
        <f ca="1">IF(V32="Supercritical",L935,IF(V32="Subcritical",U935,IF(AND(T935=1,AC935=1),IF((((F935)*(L935)^2)/2+(G935)*(L935)^3/3+(ABS(K935)^2)/($I$5*MAX(((F935)+(G935)*(L935))*(L935),0.000001)))&gt;=(((F935)*(U935)^2)/2+(G935)*(U935)^3/3+(ABS(K935)^2)/($I$5*MAX(((F935)+(G935)*(U935))*(U935),0.000001))),L935,U935),IF(T935=1,L935,IF(AC935=1,U935,MAX($D$16,POWER((ABS(K935)^2)/($I$5*MAX(F935,0.1)^2),1/3)))))))</f>
        <v>51800.26683766341</v>
      </c>
      <c r="AE935">
        <f t="shared" ca="1" si="413"/>
        <v>52432.436337663414</v>
      </c>
      <c r="AF935">
        <f t="shared" ca="1" si="414"/>
        <v>52432.43633766524</v>
      </c>
      <c r="AI935">
        <v>0</v>
      </c>
      <c r="AJ935">
        <v>0</v>
      </c>
      <c r="AK935">
        <f t="shared" si="415"/>
        <v>0</v>
      </c>
      <c r="AL935">
        <f t="shared" si="424"/>
        <v>0</v>
      </c>
      <c r="AM935">
        <f t="shared" ca="1" si="416"/>
        <v>2.6560383008097266E-7</v>
      </c>
      <c r="AN935" t="str">
        <f t="shared" ca="1" si="417"/>
        <v>Subcritical</v>
      </c>
      <c r="AO935">
        <f t="shared" ca="1" si="418"/>
        <v>2.2562304480281055E-12</v>
      </c>
    </row>
    <row r="936" spans="1:41" x14ac:dyDescent="0.35">
      <c r="A936">
        <v>787</v>
      </c>
      <c r="B936">
        <v>785.88900000000001</v>
      </c>
      <c r="C936">
        <v>616090.20900000003</v>
      </c>
      <c r="D936">
        <v>3097217.858</v>
      </c>
      <c r="E936">
        <v>632.16899999999998</v>
      </c>
      <c r="F936">
        <v>5.2</v>
      </c>
      <c r="G936">
        <v>0</v>
      </c>
      <c r="H936" t="s">
        <v>186</v>
      </c>
      <c r="I936">
        <v>0.06</v>
      </c>
      <c r="J936">
        <f t="shared" si="419"/>
        <v>1</v>
      </c>
      <c r="K936">
        <f t="shared" si="420"/>
        <v>51</v>
      </c>
      <c r="L936">
        <f t="shared" ca="1" si="421"/>
        <v>51797.843837663619</v>
      </c>
      <c r="M936">
        <f t="shared" ca="1" si="398"/>
        <v>269348.78795585083</v>
      </c>
      <c r="N936">
        <f t="shared" ca="1" si="399"/>
        <v>2.5998694991876676</v>
      </c>
      <c r="O936">
        <f t="shared" ca="1" si="400"/>
        <v>1.8934557080078435E-4</v>
      </c>
      <c r="P936">
        <f t="shared" ca="1" si="401"/>
        <v>52430.01283766362</v>
      </c>
      <c r="Q936">
        <f t="shared" ca="1" si="402"/>
        <v>52430.012837665447</v>
      </c>
      <c r="R936">
        <f t="shared" ca="1" si="403"/>
        <v>2.2564415439646509E-12</v>
      </c>
      <c r="S936">
        <f t="shared" ca="1" si="422"/>
        <v>5.0000000192085281E-4</v>
      </c>
      <c r="T936">
        <f t="shared" ca="1" si="423"/>
        <v>1</v>
      </c>
      <c r="U936">
        <f t="shared" ca="1" si="404"/>
        <v>51800.26683766341</v>
      </c>
      <c r="V936">
        <f t="shared" ca="1" si="405"/>
        <v>269361.38755584974</v>
      </c>
      <c r="W936">
        <f t="shared" ca="1" si="406"/>
        <v>2.5998695052916441</v>
      </c>
      <c r="X936">
        <f t="shared" ca="1" si="407"/>
        <v>1.8933671400629237E-4</v>
      </c>
      <c r="Y936">
        <f t="shared" ca="1" si="408"/>
        <v>52432.435837663412</v>
      </c>
      <c r="Z936">
        <f t="shared" ca="1" si="409"/>
        <v>52432.435837665238</v>
      </c>
      <c r="AA936">
        <f t="shared" ca="1" si="410"/>
        <v>2.2562304480281055E-12</v>
      </c>
      <c r="AB936">
        <f t="shared" ca="1" si="411"/>
        <v>-5.0000000192085281E-4</v>
      </c>
      <c r="AC936">
        <f t="shared" ca="1" si="412"/>
        <v>1</v>
      </c>
      <c r="AD936">
        <f ca="1">IF(V32="Supercritical",L936,IF(V32="Subcritical",U936,IF(AND(T936=1,AC936=1),IF((((F936)*(L936)^2)/2+(G936)*(L936)^3/3+(ABS(K936)^2)/($I$5*MAX(((F936)+(G936)*(L936))*(L936),0.000001)))&gt;=(((F936)*(U936)^2)/2+(G936)*(U936)^3/3+(ABS(K936)^2)/($I$5*MAX(((F936)+(G936)*(U936))*(U936),0.000001))),L936,U936),IF(T936=1,L936,IF(AC936=1,U936,MAX($D$16,POWER((ABS(K936)^2)/($I$5*MAX(F936,0.1)^2),1/3)))))))</f>
        <v>51800.26683766341</v>
      </c>
      <c r="AE936">
        <f t="shared" ca="1" si="413"/>
        <v>52432.435837663412</v>
      </c>
      <c r="AF936">
        <f t="shared" ca="1" si="414"/>
        <v>52432.435837665238</v>
      </c>
      <c r="AI936">
        <v>0</v>
      </c>
      <c r="AJ936">
        <v>0</v>
      </c>
      <c r="AK936">
        <f t="shared" si="415"/>
        <v>0</v>
      </c>
      <c r="AL936">
        <f t="shared" si="424"/>
        <v>0</v>
      </c>
      <c r="AM936">
        <f t="shared" ca="1" si="416"/>
        <v>2.6560383008097266E-7</v>
      </c>
      <c r="AN936" t="str">
        <f t="shared" ca="1" si="417"/>
        <v>Subcritical</v>
      </c>
      <c r="AO936">
        <f t="shared" ca="1" si="418"/>
        <v>2.2562304480281055E-12</v>
      </c>
    </row>
    <row r="937" spans="1:41" x14ac:dyDescent="0.35">
      <c r="A937">
        <v>788</v>
      </c>
      <c r="B937">
        <v>786.89</v>
      </c>
      <c r="C937">
        <v>616090.16700000002</v>
      </c>
      <c r="D937">
        <v>3097216.858</v>
      </c>
      <c r="E937">
        <v>632.16849999999999</v>
      </c>
      <c r="F937">
        <v>5.2</v>
      </c>
      <c r="G937">
        <v>0</v>
      </c>
      <c r="H937" t="s">
        <v>186</v>
      </c>
      <c r="I937">
        <v>2E-3</v>
      </c>
      <c r="J937">
        <f t="shared" si="419"/>
        <v>1.0009999999999764</v>
      </c>
      <c r="K937">
        <f t="shared" si="420"/>
        <v>51</v>
      </c>
      <c r="L937">
        <f t="shared" ca="1" si="421"/>
        <v>51797.843837663619</v>
      </c>
      <c r="M937">
        <f t="shared" ca="1" si="398"/>
        <v>269348.78795585083</v>
      </c>
      <c r="N937">
        <f t="shared" ca="1" si="399"/>
        <v>2.5998694991876676</v>
      </c>
      <c r="O937">
        <f t="shared" ca="1" si="400"/>
        <v>1.8934557080078435E-4</v>
      </c>
      <c r="P937">
        <f t="shared" ca="1" si="401"/>
        <v>52430.012337663618</v>
      </c>
      <c r="Q937">
        <f t="shared" ca="1" si="402"/>
        <v>52430.012337665445</v>
      </c>
      <c r="R937">
        <f t="shared" ca="1" si="403"/>
        <v>2.2564415439646509E-12</v>
      </c>
      <c r="S937">
        <f t="shared" ca="1" si="422"/>
        <v>5.0000000192085281E-4</v>
      </c>
      <c r="T937">
        <f t="shared" ca="1" si="423"/>
        <v>1</v>
      </c>
      <c r="U937">
        <f t="shared" ca="1" si="404"/>
        <v>51800.26683766341</v>
      </c>
      <c r="V937">
        <f t="shared" ca="1" si="405"/>
        <v>269361.38755584974</v>
      </c>
      <c r="W937">
        <f t="shared" ca="1" si="406"/>
        <v>2.5998695052916441</v>
      </c>
      <c r="X937">
        <f t="shared" ca="1" si="407"/>
        <v>1.8933671400629237E-4</v>
      </c>
      <c r="Y937">
        <f t="shared" ca="1" si="408"/>
        <v>52432.43533766341</v>
      </c>
      <c r="Z937">
        <f t="shared" ca="1" si="409"/>
        <v>52432.435337665236</v>
      </c>
      <c r="AA937">
        <f t="shared" ca="1" si="410"/>
        <v>2.2562304480281055E-12</v>
      </c>
      <c r="AB937">
        <f t="shared" ca="1" si="411"/>
        <v>-5.0000000192085281E-4</v>
      </c>
      <c r="AC937">
        <f t="shared" ca="1" si="412"/>
        <v>1</v>
      </c>
      <c r="AD937">
        <f ca="1">IF(V32="Supercritical",L937,IF(V32="Subcritical",U937,IF(AND(T937=1,AC937=1),IF((((F937)*(L937)^2)/2+(G937)*(L937)^3/3+(ABS(K937)^2)/($I$5*MAX(((F937)+(G937)*(L937))*(L937),0.000001)))&gt;=(((F937)*(U937)^2)/2+(G937)*(U937)^3/3+(ABS(K937)^2)/($I$5*MAX(((F937)+(G937)*(U937))*(U937),0.000001))),L937,U937),IF(T937=1,L937,IF(AC937=1,U937,MAX($D$16,POWER((ABS(K937)^2)/($I$5*MAX(F937,0.1)^2),1/3)))))))</f>
        <v>51800.26683766341</v>
      </c>
      <c r="AE937">
        <f t="shared" ca="1" si="413"/>
        <v>52432.43533766341</v>
      </c>
      <c r="AF937">
        <f t="shared" ca="1" si="414"/>
        <v>52432.435337665236</v>
      </c>
      <c r="AI937">
        <v>0</v>
      </c>
      <c r="AJ937">
        <v>0</v>
      </c>
      <c r="AK937">
        <f t="shared" si="415"/>
        <v>0</v>
      </c>
      <c r="AL937">
        <f t="shared" si="424"/>
        <v>0</v>
      </c>
      <c r="AM937">
        <f t="shared" ca="1" si="416"/>
        <v>2.6560383008097266E-7</v>
      </c>
      <c r="AN937" t="str">
        <f t="shared" ca="1" si="417"/>
        <v>Subcritical</v>
      </c>
      <c r="AO937">
        <f t="shared" ca="1" si="418"/>
        <v>2.2562304480281055E-12</v>
      </c>
    </row>
    <row r="938" spans="1:41" x14ac:dyDescent="0.35">
      <c r="A938">
        <v>789</v>
      </c>
      <c r="B938">
        <v>787.89</v>
      </c>
      <c r="C938">
        <v>616090.125</v>
      </c>
      <c r="D938">
        <v>3097215.8590000002</v>
      </c>
      <c r="E938">
        <v>632.16800000000001</v>
      </c>
      <c r="F938">
        <v>5.2</v>
      </c>
      <c r="G938">
        <v>0</v>
      </c>
      <c r="H938" t="s">
        <v>186</v>
      </c>
      <c r="I938">
        <v>0</v>
      </c>
      <c r="J938">
        <f t="shared" si="419"/>
        <v>1</v>
      </c>
      <c r="K938">
        <f t="shared" si="420"/>
        <v>51</v>
      </c>
      <c r="L938">
        <f t="shared" ca="1" si="421"/>
        <v>51797.843837663619</v>
      </c>
      <c r="M938">
        <f t="shared" ca="1" si="398"/>
        <v>269348.78795585083</v>
      </c>
      <c r="N938">
        <f t="shared" ca="1" si="399"/>
        <v>2.5998694991876676</v>
      </c>
      <c r="O938">
        <f t="shared" ca="1" si="400"/>
        <v>1.8934557080078435E-4</v>
      </c>
      <c r="P938">
        <f t="shared" ca="1" si="401"/>
        <v>52430.011837663616</v>
      </c>
      <c r="Q938">
        <f t="shared" ca="1" si="402"/>
        <v>52430.011837665443</v>
      </c>
      <c r="R938">
        <f t="shared" ca="1" si="403"/>
        <v>2.2564415439646509E-12</v>
      </c>
      <c r="S938">
        <f t="shared" ca="1" si="422"/>
        <v>5.0000000192085281E-4</v>
      </c>
      <c r="T938">
        <f t="shared" ca="1" si="423"/>
        <v>1</v>
      </c>
      <c r="U938">
        <f t="shared" ca="1" si="404"/>
        <v>51800.26683766341</v>
      </c>
      <c r="V938">
        <f t="shared" ca="1" si="405"/>
        <v>269361.38755584974</v>
      </c>
      <c r="W938">
        <f t="shared" ca="1" si="406"/>
        <v>2.5998695052916441</v>
      </c>
      <c r="X938">
        <f t="shared" ca="1" si="407"/>
        <v>1.8933671400629237E-4</v>
      </c>
      <c r="Y938">
        <f t="shared" ca="1" si="408"/>
        <v>52432.434837663408</v>
      </c>
      <c r="Z938">
        <f t="shared" ca="1" si="409"/>
        <v>52432.434837665234</v>
      </c>
      <c r="AA938">
        <f t="shared" ca="1" si="410"/>
        <v>2.2562304480281055E-12</v>
      </c>
      <c r="AB938">
        <f t="shared" ca="1" si="411"/>
        <v>-4.999999946448952E-4</v>
      </c>
      <c r="AC938">
        <f t="shared" ca="1" si="412"/>
        <v>1</v>
      </c>
      <c r="AD938">
        <f ca="1">IF(V32="Supercritical",L938,IF(V32="Subcritical",U938,IF(AND(T938=1,AC938=1),IF((((F938)*(L938)^2)/2+(G938)*(L938)^3/3+(ABS(K938)^2)/($I$5*MAX(((F938)+(G938)*(L938))*(L938),0.000001)))&gt;=(((F938)*(U938)^2)/2+(G938)*(U938)^3/3+(ABS(K938)^2)/($I$5*MAX(((F938)+(G938)*(U938))*(U938),0.000001))),L938,U938),IF(T938=1,L938,IF(AC938=1,U938,MAX($D$16,POWER((ABS(K938)^2)/($I$5*MAX(F938,0.1)^2),1/3)))))))</f>
        <v>51800.26683766341</v>
      </c>
      <c r="AE938">
        <f t="shared" ca="1" si="413"/>
        <v>52432.434837663408</v>
      </c>
      <c r="AF938">
        <f t="shared" ca="1" si="414"/>
        <v>52432.434837665234</v>
      </c>
      <c r="AI938">
        <v>0</v>
      </c>
      <c r="AJ938">
        <v>0</v>
      </c>
      <c r="AK938">
        <f t="shared" si="415"/>
        <v>0</v>
      </c>
      <c r="AL938">
        <f t="shared" si="424"/>
        <v>0</v>
      </c>
      <c r="AM938">
        <f t="shared" ca="1" si="416"/>
        <v>2.6560383008097266E-7</v>
      </c>
      <c r="AN938" t="str">
        <f t="shared" ca="1" si="417"/>
        <v>Subcritical</v>
      </c>
      <c r="AO938">
        <f t="shared" ca="1" si="418"/>
        <v>2.2562304480281055E-12</v>
      </c>
    </row>
    <row r="939" spans="1:41" x14ac:dyDescent="0.35">
      <c r="A939">
        <v>790</v>
      </c>
      <c r="B939">
        <v>788.88900000000001</v>
      </c>
      <c r="C939">
        <v>616090.08299999998</v>
      </c>
      <c r="D939">
        <v>3097214.86</v>
      </c>
      <c r="E939">
        <v>632.16750000000002</v>
      </c>
      <c r="F939">
        <v>5.2</v>
      </c>
      <c r="G939">
        <v>0</v>
      </c>
      <c r="H939" t="s">
        <v>186</v>
      </c>
      <c r="I939">
        <v>5.7000000000000002E-2</v>
      </c>
      <c r="J939">
        <f t="shared" si="419"/>
        <v>0.99900000000002365</v>
      </c>
      <c r="K939">
        <f t="shared" si="420"/>
        <v>51</v>
      </c>
      <c r="L939">
        <f t="shared" ca="1" si="421"/>
        <v>51797.843837663619</v>
      </c>
      <c r="M939">
        <f t="shared" ca="1" si="398"/>
        <v>269348.78795585083</v>
      </c>
      <c r="N939">
        <f t="shared" ca="1" si="399"/>
        <v>2.5998694991876676</v>
      </c>
      <c r="O939">
        <f t="shared" ca="1" si="400"/>
        <v>1.8934557080078435E-4</v>
      </c>
      <c r="P939">
        <f t="shared" ca="1" si="401"/>
        <v>52430.011337663622</v>
      </c>
      <c r="Q939">
        <f t="shared" ca="1" si="402"/>
        <v>52430.011337665448</v>
      </c>
      <c r="R939">
        <f t="shared" ca="1" si="403"/>
        <v>2.2564415439646509E-12</v>
      </c>
      <c r="S939">
        <f t="shared" ca="1" si="422"/>
        <v>4.999999946448952E-4</v>
      </c>
      <c r="T939">
        <f t="shared" ca="1" si="423"/>
        <v>1</v>
      </c>
      <c r="U939">
        <f t="shared" ca="1" si="404"/>
        <v>51800.26683766341</v>
      </c>
      <c r="V939">
        <f t="shared" ca="1" si="405"/>
        <v>269361.38755584974</v>
      </c>
      <c r="W939">
        <f t="shared" ca="1" si="406"/>
        <v>2.5998695052916441</v>
      </c>
      <c r="X939">
        <f t="shared" ca="1" si="407"/>
        <v>1.8933671400629237E-4</v>
      </c>
      <c r="Y939">
        <f t="shared" ca="1" si="408"/>
        <v>52432.434337663413</v>
      </c>
      <c r="Z939">
        <f t="shared" ca="1" si="409"/>
        <v>52432.43433766524</v>
      </c>
      <c r="AA939">
        <f t="shared" ca="1" si="410"/>
        <v>2.2562304480281055E-12</v>
      </c>
      <c r="AB939">
        <f t="shared" ca="1" si="411"/>
        <v>-5.0000000192085281E-4</v>
      </c>
      <c r="AC939">
        <f t="shared" ca="1" si="412"/>
        <v>1</v>
      </c>
      <c r="AD939">
        <f ca="1">IF(V32="Supercritical",L939,IF(V32="Subcritical",U939,IF(AND(T939=1,AC939=1),IF((((F939)*(L939)^2)/2+(G939)*(L939)^3/3+(ABS(K939)^2)/($I$5*MAX(((F939)+(G939)*(L939))*(L939),0.000001)))&gt;=(((F939)*(U939)^2)/2+(G939)*(U939)^3/3+(ABS(K939)^2)/($I$5*MAX(((F939)+(G939)*(U939))*(U939),0.000001))),L939,U939),IF(T939=1,L939,IF(AC939=1,U939,MAX($D$16,POWER((ABS(K939)^2)/($I$5*MAX(F939,0.1)^2),1/3)))))))</f>
        <v>51800.26683766341</v>
      </c>
      <c r="AE939">
        <f t="shared" ca="1" si="413"/>
        <v>52432.434337663413</v>
      </c>
      <c r="AF939">
        <f t="shared" ca="1" si="414"/>
        <v>52432.43433766524</v>
      </c>
      <c r="AI939">
        <v>0</v>
      </c>
      <c r="AJ939">
        <v>0</v>
      </c>
      <c r="AK939">
        <f t="shared" si="415"/>
        <v>0</v>
      </c>
      <c r="AL939">
        <f t="shared" si="424"/>
        <v>0</v>
      </c>
      <c r="AM939">
        <f t="shared" ca="1" si="416"/>
        <v>2.6560383008097266E-7</v>
      </c>
      <c r="AN939" t="str">
        <f t="shared" ca="1" si="417"/>
        <v>Subcritical</v>
      </c>
      <c r="AO939">
        <f t="shared" ca="1" si="418"/>
        <v>2.2562304480281055E-12</v>
      </c>
    </row>
    <row r="940" spans="1:41" x14ac:dyDescent="0.35">
      <c r="A940">
        <v>791</v>
      </c>
      <c r="B940">
        <v>789.88900000000001</v>
      </c>
      <c r="C940">
        <v>616090.04</v>
      </c>
      <c r="D940">
        <v>3097213.861</v>
      </c>
      <c r="E940">
        <v>632.16700000000003</v>
      </c>
      <c r="F940">
        <v>5.2</v>
      </c>
      <c r="G940">
        <v>0</v>
      </c>
      <c r="H940" t="s">
        <v>186</v>
      </c>
      <c r="I940">
        <v>5.7000000000000002E-2</v>
      </c>
      <c r="J940">
        <f t="shared" si="419"/>
        <v>1</v>
      </c>
      <c r="K940">
        <f t="shared" si="420"/>
        <v>51</v>
      </c>
      <c r="L940">
        <f t="shared" ca="1" si="421"/>
        <v>51797.843837663619</v>
      </c>
      <c r="M940">
        <f t="shared" ca="1" si="398"/>
        <v>269348.78795585083</v>
      </c>
      <c r="N940">
        <f t="shared" ca="1" si="399"/>
        <v>2.5998694991876676</v>
      </c>
      <c r="O940">
        <f t="shared" ca="1" si="400"/>
        <v>1.8934557080078435E-4</v>
      </c>
      <c r="P940">
        <f t="shared" ca="1" si="401"/>
        <v>52430.01083766362</v>
      </c>
      <c r="Q940">
        <f t="shared" ca="1" si="402"/>
        <v>52430.010837665446</v>
      </c>
      <c r="R940">
        <f t="shared" ca="1" si="403"/>
        <v>2.2564415439646509E-12</v>
      </c>
      <c r="S940">
        <f t="shared" ca="1" si="422"/>
        <v>5.0000000192085281E-4</v>
      </c>
      <c r="T940">
        <f t="shared" ca="1" si="423"/>
        <v>1</v>
      </c>
      <c r="U940">
        <f t="shared" ca="1" si="404"/>
        <v>51800.26683766341</v>
      </c>
      <c r="V940">
        <f t="shared" ca="1" si="405"/>
        <v>269361.38755584974</v>
      </c>
      <c r="W940">
        <f t="shared" ca="1" si="406"/>
        <v>2.5998695052916441</v>
      </c>
      <c r="X940">
        <f t="shared" ca="1" si="407"/>
        <v>1.8933671400629237E-4</v>
      </c>
      <c r="Y940">
        <f t="shared" ca="1" si="408"/>
        <v>52432.433837663411</v>
      </c>
      <c r="Z940">
        <f t="shared" ca="1" si="409"/>
        <v>52432.433837665238</v>
      </c>
      <c r="AA940">
        <f t="shared" ca="1" si="410"/>
        <v>2.2562304480281055E-12</v>
      </c>
      <c r="AB940">
        <f t="shared" ca="1" si="411"/>
        <v>-5.0000000192085281E-4</v>
      </c>
      <c r="AC940">
        <f t="shared" ca="1" si="412"/>
        <v>1</v>
      </c>
      <c r="AD940">
        <f ca="1">IF(V32="Supercritical",L940,IF(V32="Subcritical",U940,IF(AND(T940=1,AC940=1),IF((((F940)*(L940)^2)/2+(G940)*(L940)^3/3+(ABS(K940)^2)/($I$5*MAX(((F940)+(G940)*(L940))*(L940),0.000001)))&gt;=(((F940)*(U940)^2)/2+(G940)*(U940)^3/3+(ABS(K940)^2)/($I$5*MAX(((F940)+(G940)*(U940))*(U940),0.000001))),L940,U940),IF(T940=1,L940,IF(AC940=1,U940,MAX($D$16,POWER((ABS(K940)^2)/($I$5*MAX(F940,0.1)^2),1/3)))))))</f>
        <v>51800.26683766341</v>
      </c>
      <c r="AE940">
        <f t="shared" ca="1" si="413"/>
        <v>52432.433837663411</v>
      </c>
      <c r="AF940">
        <f t="shared" ca="1" si="414"/>
        <v>52432.433837665238</v>
      </c>
      <c r="AI940">
        <v>0</v>
      </c>
      <c r="AJ940">
        <v>0</v>
      </c>
      <c r="AK940">
        <f t="shared" si="415"/>
        <v>0</v>
      </c>
      <c r="AL940">
        <f t="shared" si="424"/>
        <v>0</v>
      </c>
      <c r="AM940">
        <f t="shared" ca="1" si="416"/>
        <v>2.6560383008097266E-7</v>
      </c>
      <c r="AN940" t="str">
        <f t="shared" ca="1" si="417"/>
        <v>Subcritical</v>
      </c>
      <c r="AO940">
        <f t="shared" ca="1" si="418"/>
        <v>2.2562304480281055E-12</v>
      </c>
    </row>
    <row r="941" spans="1:41" x14ac:dyDescent="0.35">
      <c r="A941">
        <v>792</v>
      </c>
      <c r="B941">
        <v>790.88900000000001</v>
      </c>
      <c r="C941">
        <v>616089.99800000002</v>
      </c>
      <c r="D941">
        <v>3097212.8620000002</v>
      </c>
      <c r="E941">
        <v>632.16650000000004</v>
      </c>
      <c r="F941">
        <v>5.2</v>
      </c>
      <c r="G941">
        <v>0</v>
      </c>
      <c r="H941" t="s">
        <v>186</v>
      </c>
      <c r="I941">
        <v>0</v>
      </c>
      <c r="J941">
        <f t="shared" si="419"/>
        <v>1</v>
      </c>
      <c r="K941">
        <f t="shared" si="420"/>
        <v>51</v>
      </c>
      <c r="L941">
        <f t="shared" ca="1" si="421"/>
        <v>51797.843837663619</v>
      </c>
      <c r="M941">
        <f t="shared" ca="1" si="398"/>
        <v>269348.78795585083</v>
      </c>
      <c r="N941">
        <f t="shared" ca="1" si="399"/>
        <v>2.5998694991876676</v>
      </c>
      <c r="O941">
        <f t="shared" ca="1" si="400"/>
        <v>1.8934557080078435E-4</v>
      </c>
      <c r="P941">
        <f t="shared" ca="1" si="401"/>
        <v>52430.010337663618</v>
      </c>
      <c r="Q941">
        <f t="shared" ca="1" si="402"/>
        <v>52430.010337665444</v>
      </c>
      <c r="R941">
        <f t="shared" ca="1" si="403"/>
        <v>2.2564415439646509E-12</v>
      </c>
      <c r="S941">
        <f t="shared" ca="1" si="422"/>
        <v>5.0000000192085281E-4</v>
      </c>
      <c r="T941">
        <f t="shared" ca="1" si="423"/>
        <v>1</v>
      </c>
      <c r="U941">
        <f t="shared" ca="1" si="404"/>
        <v>51800.26683766341</v>
      </c>
      <c r="V941">
        <f t="shared" ca="1" si="405"/>
        <v>269361.38755584974</v>
      </c>
      <c r="W941">
        <f t="shared" ca="1" si="406"/>
        <v>2.5998695052916441</v>
      </c>
      <c r="X941">
        <f t="shared" ca="1" si="407"/>
        <v>1.8933671400629237E-4</v>
      </c>
      <c r="Y941">
        <f t="shared" ca="1" si="408"/>
        <v>52432.433337663409</v>
      </c>
      <c r="Z941">
        <f t="shared" ca="1" si="409"/>
        <v>52432.433337665236</v>
      </c>
      <c r="AA941">
        <f t="shared" ca="1" si="410"/>
        <v>2.2562304480281055E-12</v>
      </c>
      <c r="AB941">
        <f t="shared" ca="1" si="411"/>
        <v>-5.0000000192085281E-4</v>
      </c>
      <c r="AC941">
        <f t="shared" ca="1" si="412"/>
        <v>1</v>
      </c>
      <c r="AD941">
        <f ca="1">IF(V32="Supercritical",L941,IF(V32="Subcritical",U941,IF(AND(T941=1,AC941=1),IF((((F941)*(L941)^2)/2+(G941)*(L941)^3/3+(ABS(K941)^2)/($I$5*MAX(((F941)+(G941)*(L941))*(L941),0.000001)))&gt;=(((F941)*(U941)^2)/2+(G941)*(U941)^3/3+(ABS(K941)^2)/($I$5*MAX(((F941)+(G941)*(U941))*(U941),0.000001))),L941,U941),IF(T941=1,L941,IF(AC941=1,U941,MAX($D$16,POWER((ABS(K941)^2)/($I$5*MAX(F941,0.1)^2),1/3)))))))</f>
        <v>51800.26683766341</v>
      </c>
      <c r="AE941">
        <f t="shared" ca="1" si="413"/>
        <v>52432.433337663409</v>
      </c>
      <c r="AF941">
        <f t="shared" ca="1" si="414"/>
        <v>52432.433337665236</v>
      </c>
      <c r="AI941">
        <v>0</v>
      </c>
      <c r="AJ941">
        <v>0</v>
      </c>
      <c r="AK941">
        <f t="shared" si="415"/>
        <v>0</v>
      </c>
      <c r="AL941">
        <f t="shared" si="424"/>
        <v>0</v>
      </c>
      <c r="AM941">
        <f t="shared" ca="1" si="416"/>
        <v>2.6560383008097266E-7</v>
      </c>
      <c r="AN941" t="str">
        <f t="shared" ca="1" si="417"/>
        <v>Subcritical</v>
      </c>
      <c r="AO941">
        <f t="shared" ca="1" si="418"/>
        <v>2.2562304480281055E-12</v>
      </c>
    </row>
    <row r="942" spans="1:41" x14ac:dyDescent="0.35">
      <c r="A942">
        <v>793</v>
      </c>
      <c r="B942">
        <v>791.88900000000001</v>
      </c>
      <c r="C942">
        <v>616089.95600000001</v>
      </c>
      <c r="D942">
        <v>3097211.8629999999</v>
      </c>
      <c r="E942">
        <v>632.16600000000005</v>
      </c>
      <c r="F942">
        <v>5.2</v>
      </c>
      <c r="G942">
        <v>0</v>
      </c>
      <c r="H942" t="s">
        <v>186</v>
      </c>
      <c r="I942">
        <v>0</v>
      </c>
      <c r="J942">
        <f t="shared" si="419"/>
        <v>1</v>
      </c>
      <c r="K942">
        <f t="shared" si="420"/>
        <v>51</v>
      </c>
      <c r="L942">
        <f t="shared" ca="1" si="421"/>
        <v>51797.843837663619</v>
      </c>
      <c r="M942">
        <f t="shared" ca="1" si="398"/>
        <v>269348.78795585083</v>
      </c>
      <c r="N942">
        <f t="shared" ca="1" si="399"/>
        <v>2.5998694991876676</v>
      </c>
      <c r="O942">
        <f t="shared" ca="1" si="400"/>
        <v>1.8934557080078435E-4</v>
      </c>
      <c r="P942">
        <f t="shared" ca="1" si="401"/>
        <v>52430.009837663616</v>
      </c>
      <c r="Q942">
        <f t="shared" ca="1" si="402"/>
        <v>52430.009837665442</v>
      </c>
      <c r="R942">
        <f t="shared" ca="1" si="403"/>
        <v>2.2564415439646509E-12</v>
      </c>
      <c r="S942">
        <f t="shared" ca="1" si="422"/>
        <v>5.0000000192085281E-4</v>
      </c>
      <c r="T942">
        <f t="shared" ca="1" si="423"/>
        <v>1</v>
      </c>
      <c r="U942">
        <f t="shared" ca="1" si="404"/>
        <v>51800.26683766341</v>
      </c>
      <c r="V942">
        <f t="shared" ca="1" si="405"/>
        <v>269361.38755584974</v>
      </c>
      <c r="W942">
        <f t="shared" ca="1" si="406"/>
        <v>2.5998695052916441</v>
      </c>
      <c r="X942">
        <f t="shared" ca="1" si="407"/>
        <v>1.8933671400629237E-4</v>
      </c>
      <c r="Y942">
        <f t="shared" ca="1" si="408"/>
        <v>52432.432837663408</v>
      </c>
      <c r="Z942">
        <f t="shared" ca="1" si="409"/>
        <v>52432.432837665234</v>
      </c>
      <c r="AA942">
        <f t="shared" ca="1" si="410"/>
        <v>2.2562304480281055E-12</v>
      </c>
      <c r="AB942">
        <f t="shared" ca="1" si="411"/>
        <v>-4.999999946448952E-4</v>
      </c>
      <c r="AC942">
        <f t="shared" ca="1" si="412"/>
        <v>1</v>
      </c>
      <c r="AD942">
        <f ca="1">IF(V32="Supercritical",L942,IF(V32="Subcritical",U942,IF(AND(T942=1,AC942=1),IF((((F942)*(L942)^2)/2+(G942)*(L942)^3/3+(ABS(K942)^2)/($I$5*MAX(((F942)+(G942)*(L942))*(L942),0.000001)))&gt;=(((F942)*(U942)^2)/2+(G942)*(U942)^3/3+(ABS(K942)^2)/($I$5*MAX(((F942)+(G942)*(U942))*(U942),0.000001))),L942,U942),IF(T942=1,L942,IF(AC942=1,U942,MAX($D$16,POWER((ABS(K942)^2)/($I$5*MAX(F942,0.1)^2),1/3)))))))</f>
        <v>51800.26683766341</v>
      </c>
      <c r="AE942">
        <f t="shared" ca="1" si="413"/>
        <v>52432.432837663408</v>
      </c>
      <c r="AF942">
        <f t="shared" ca="1" si="414"/>
        <v>52432.432837665234</v>
      </c>
      <c r="AI942">
        <v>0</v>
      </c>
      <c r="AJ942">
        <v>0</v>
      </c>
      <c r="AK942">
        <f t="shared" si="415"/>
        <v>0</v>
      </c>
      <c r="AL942">
        <f t="shared" si="424"/>
        <v>0</v>
      </c>
      <c r="AM942">
        <f t="shared" ca="1" si="416"/>
        <v>2.6560383008097266E-7</v>
      </c>
      <c r="AN942" t="str">
        <f t="shared" ca="1" si="417"/>
        <v>Subcritical</v>
      </c>
      <c r="AO942">
        <f t="shared" ca="1" si="418"/>
        <v>2.2562304480281055E-12</v>
      </c>
    </row>
    <row r="943" spans="1:41" x14ac:dyDescent="0.35">
      <c r="A943">
        <v>794</v>
      </c>
      <c r="B943">
        <v>792.88900000000001</v>
      </c>
      <c r="C943">
        <v>616089.91399999999</v>
      </c>
      <c r="D943">
        <v>3097210.8640000001</v>
      </c>
      <c r="E943">
        <v>632.16549999999995</v>
      </c>
      <c r="F943">
        <v>5.2</v>
      </c>
      <c r="G943">
        <v>0</v>
      </c>
      <c r="H943" t="s">
        <v>186</v>
      </c>
      <c r="I943">
        <v>5.7000000000000002E-2</v>
      </c>
      <c r="J943">
        <f t="shared" si="419"/>
        <v>1</v>
      </c>
      <c r="K943">
        <f t="shared" si="420"/>
        <v>51</v>
      </c>
      <c r="L943">
        <f t="shared" ca="1" si="421"/>
        <v>51797.843837663619</v>
      </c>
      <c r="M943">
        <f t="shared" ca="1" si="398"/>
        <v>269348.78795585083</v>
      </c>
      <c r="N943">
        <f t="shared" ca="1" si="399"/>
        <v>2.5998694991876676</v>
      </c>
      <c r="O943">
        <f t="shared" ca="1" si="400"/>
        <v>1.8934557080078435E-4</v>
      </c>
      <c r="P943">
        <f t="shared" ca="1" si="401"/>
        <v>52430.009337663621</v>
      </c>
      <c r="Q943">
        <f t="shared" ca="1" si="402"/>
        <v>52430.009337665448</v>
      </c>
      <c r="R943">
        <f t="shared" ca="1" si="403"/>
        <v>2.2564415439646509E-12</v>
      </c>
      <c r="S943">
        <f t="shared" ca="1" si="422"/>
        <v>4.999999946448952E-4</v>
      </c>
      <c r="T943">
        <f t="shared" ca="1" si="423"/>
        <v>1</v>
      </c>
      <c r="U943">
        <f t="shared" ca="1" si="404"/>
        <v>51800.26683766341</v>
      </c>
      <c r="V943">
        <f t="shared" ca="1" si="405"/>
        <v>269361.38755584974</v>
      </c>
      <c r="W943">
        <f t="shared" ca="1" si="406"/>
        <v>2.5998695052916441</v>
      </c>
      <c r="X943">
        <f t="shared" ca="1" si="407"/>
        <v>1.8933671400629237E-4</v>
      </c>
      <c r="Y943">
        <f t="shared" ca="1" si="408"/>
        <v>52432.432337663413</v>
      </c>
      <c r="Z943">
        <f t="shared" ca="1" si="409"/>
        <v>52432.432337665239</v>
      </c>
      <c r="AA943">
        <f t="shared" ca="1" si="410"/>
        <v>2.2562304480281055E-12</v>
      </c>
      <c r="AB943">
        <f t="shared" ca="1" si="411"/>
        <v>-5.0000000192085281E-4</v>
      </c>
      <c r="AC943">
        <f t="shared" ca="1" si="412"/>
        <v>1</v>
      </c>
      <c r="AD943">
        <f ca="1">IF(V32="Supercritical",L943,IF(V32="Subcritical",U943,IF(AND(T943=1,AC943=1),IF((((F943)*(L943)^2)/2+(G943)*(L943)^3/3+(ABS(K943)^2)/($I$5*MAX(((F943)+(G943)*(L943))*(L943),0.000001)))&gt;=(((F943)*(U943)^2)/2+(G943)*(U943)^3/3+(ABS(K943)^2)/($I$5*MAX(((F943)+(G943)*(U943))*(U943),0.000001))),L943,U943),IF(T943=1,L943,IF(AC943=1,U943,MAX($D$16,POWER((ABS(K943)^2)/($I$5*MAX(F943,0.1)^2),1/3)))))))</f>
        <v>51800.26683766341</v>
      </c>
      <c r="AE943">
        <f t="shared" ca="1" si="413"/>
        <v>52432.432337663413</v>
      </c>
      <c r="AF943">
        <f t="shared" ca="1" si="414"/>
        <v>52432.432337665239</v>
      </c>
      <c r="AI943">
        <v>0</v>
      </c>
      <c r="AJ943">
        <v>0</v>
      </c>
      <c r="AK943">
        <f t="shared" si="415"/>
        <v>0</v>
      </c>
      <c r="AL943">
        <f t="shared" si="424"/>
        <v>0</v>
      </c>
      <c r="AM943">
        <f t="shared" ca="1" si="416"/>
        <v>2.6560383008097266E-7</v>
      </c>
      <c r="AN943" t="str">
        <f t="shared" ca="1" si="417"/>
        <v>Subcritical</v>
      </c>
      <c r="AO943">
        <f t="shared" ca="1" si="418"/>
        <v>2.2562304480281055E-12</v>
      </c>
    </row>
    <row r="944" spans="1:41" x14ac:dyDescent="0.35">
      <c r="A944">
        <v>795</v>
      </c>
      <c r="B944">
        <v>793.88900000000001</v>
      </c>
      <c r="C944">
        <v>616089.87100000004</v>
      </c>
      <c r="D944">
        <v>3097209.8650000002</v>
      </c>
      <c r="E944">
        <v>632.16499999999996</v>
      </c>
      <c r="F944">
        <v>5.2</v>
      </c>
      <c r="G944">
        <v>0</v>
      </c>
      <c r="H944" t="s">
        <v>186</v>
      </c>
      <c r="I944">
        <v>5.7000000000000002E-2</v>
      </c>
      <c r="J944">
        <f t="shared" si="419"/>
        <v>1</v>
      </c>
      <c r="K944">
        <f t="shared" si="420"/>
        <v>51</v>
      </c>
      <c r="L944">
        <f t="shared" ca="1" si="421"/>
        <v>51797.843837663619</v>
      </c>
      <c r="M944">
        <f t="shared" ca="1" si="398"/>
        <v>269348.78795585083</v>
      </c>
      <c r="N944">
        <f t="shared" ca="1" si="399"/>
        <v>2.5998694991876676</v>
      </c>
      <c r="O944">
        <f t="shared" ca="1" si="400"/>
        <v>1.8934557080078435E-4</v>
      </c>
      <c r="P944">
        <f t="shared" ca="1" si="401"/>
        <v>52430.008837663619</v>
      </c>
      <c r="Q944">
        <f t="shared" ca="1" si="402"/>
        <v>52430.008837665446</v>
      </c>
      <c r="R944">
        <f t="shared" ca="1" si="403"/>
        <v>2.2564415439646509E-12</v>
      </c>
      <c r="S944">
        <f t="shared" ca="1" si="422"/>
        <v>5.0000000192085281E-4</v>
      </c>
      <c r="T944">
        <f t="shared" ca="1" si="423"/>
        <v>1</v>
      </c>
      <c r="U944">
        <f t="shared" ca="1" si="404"/>
        <v>51800.26683766341</v>
      </c>
      <c r="V944">
        <f t="shared" ca="1" si="405"/>
        <v>269361.38755584974</v>
      </c>
      <c r="W944">
        <f t="shared" ca="1" si="406"/>
        <v>2.5998695052916441</v>
      </c>
      <c r="X944">
        <f t="shared" ca="1" si="407"/>
        <v>1.8933671400629237E-4</v>
      </c>
      <c r="Y944">
        <f t="shared" ca="1" si="408"/>
        <v>52432.431837663411</v>
      </c>
      <c r="Z944">
        <f t="shared" ca="1" si="409"/>
        <v>52432.431837665237</v>
      </c>
      <c r="AA944">
        <f t="shared" ca="1" si="410"/>
        <v>2.2562304480281055E-12</v>
      </c>
      <c r="AB944">
        <f t="shared" ca="1" si="411"/>
        <v>-5.0000000192085281E-4</v>
      </c>
      <c r="AC944">
        <f t="shared" ca="1" si="412"/>
        <v>1</v>
      </c>
      <c r="AD944">
        <f ca="1">IF(V32="Supercritical",L944,IF(V32="Subcritical",U944,IF(AND(T944=1,AC944=1),IF((((F944)*(L944)^2)/2+(G944)*(L944)^3/3+(ABS(K944)^2)/($I$5*MAX(((F944)+(G944)*(L944))*(L944),0.000001)))&gt;=(((F944)*(U944)^2)/2+(G944)*(U944)^3/3+(ABS(K944)^2)/($I$5*MAX(((F944)+(G944)*(U944))*(U944),0.000001))),L944,U944),IF(T944=1,L944,IF(AC944=1,U944,MAX($D$16,POWER((ABS(K944)^2)/($I$5*MAX(F944,0.1)^2),1/3)))))))</f>
        <v>51800.26683766341</v>
      </c>
      <c r="AE944">
        <f t="shared" ca="1" si="413"/>
        <v>52432.431837663411</v>
      </c>
      <c r="AF944">
        <f t="shared" ca="1" si="414"/>
        <v>52432.431837665237</v>
      </c>
      <c r="AI944">
        <v>0</v>
      </c>
      <c r="AJ944">
        <v>0</v>
      </c>
      <c r="AK944">
        <f t="shared" si="415"/>
        <v>0</v>
      </c>
      <c r="AL944">
        <f t="shared" si="424"/>
        <v>0</v>
      </c>
      <c r="AM944">
        <f t="shared" ca="1" si="416"/>
        <v>2.6560383008097266E-7</v>
      </c>
      <c r="AN944" t="str">
        <f t="shared" ca="1" si="417"/>
        <v>Subcritical</v>
      </c>
      <c r="AO944">
        <f t="shared" ca="1" si="418"/>
        <v>2.2562304480281055E-12</v>
      </c>
    </row>
    <row r="945" spans="1:41" x14ac:dyDescent="0.35">
      <c r="A945">
        <v>796</v>
      </c>
      <c r="B945">
        <v>794.88900000000001</v>
      </c>
      <c r="C945">
        <v>616089.82900000003</v>
      </c>
      <c r="D945">
        <v>3097208.8659999999</v>
      </c>
      <c r="E945">
        <v>632.16449999999998</v>
      </c>
      <c r="F945">
        <v>5.2</v>
      </c>
      <c r="G945">
        <v>0</v>
      </c>
      <c r="H945" t="s">
        <v>186</v>
      </c>
      <c r="I945">
        <v>0</v>
      </c>
      <c r="J945">
        <f t="shared" si="419"/>
        <v>1</v>
      </c>
      <c r="K945">
        <f t="shared" si="420"/>
        <v>51</v>
      </c>
      <c r="L945">
        <f t="shared" ca="1" si="421"/>
        <v>51797.843837663619</v>
      </c>
      <c r="M945">
        <f t="shared" ca="1" si="398"/>
        <v>269348.78795585083</v>
      </c>
      <c r="N945">
        <f t="shared" ca="1" si="399"/>
        <v>2.5998694991876676</v>
      </c>
      <c r="O945">
        <f t="shared" ca="1" si="400"/>
        <v>1.8934557080078435E-4</v>
      </c>
      <c r="P945">
        <f t="shared" ca="1" si="401"/>
        <v>52430.008337663618</v>
      </c>
      <c r="Q945">
        <f t="shared" ca="1" si="402"/>
        <v>52430.008337665444</v>
      </c>
      <c r="R945">
        <f t="shared" ca="1" si="403"/>
        <v>2.2564415439646509E-12</v>
      </c>
      <c r="S945">
        <f t="shared" ca="1" si="422"/>
        <v>5.0000000192085281E-4</v>
      </c>
      <c r="T945">
        <f t="shared" ca="1" si="423"/>
        <v>1</v>
      </c>
      <c r="U945">
        <f t="shared" ca="1" si="404"/>
        <v>51800.26683766341</v>
      </c>
      <c r="V945">
        <f t="shared" ca="1" si="405"/>
        <v>269361.38755584974</v>
      </c>
      <c r="W945">
        <f t="shared" ca="1" si="406"/>
        <v>2.5998695052916441</v>
      </c>
      <c r="X945">
        <f t="shared" ca="1" si="407"/>
        <v>1.8933671400629237E-4</v>
      </c>
      <c r="Y945">
        <f t="shared" ca="1" si="408"/>
        <v>52432.431337663409</v>
      </c>
      <c r="Z945">
        <f t="shared" ca="1" si="409"/>
        <v>52432.431337665235</v>
      </c>
      <c r="AA945">
        <f t="shared" ca="1" si="410"/>
        <v>2.2562304480281055E-12</v>
      </c>
      <c r="AB945">
        <f t="shared" ca="1" si="411"/>
        <v>-5.0000000192085281E-4</v>
      </c>
      <c r="AC945">
        <f t="shared" ca="1" si="412"/>
        <v>1</v>
      </c>
      <c r="AD945">
        <f ca="1">IF(V32="Supercritical",L945,IF(V32="Subcritical",U945,IF(AND(T945=1,AC945=1),IF((((F945)*(L945)^2)/2+(G945)*(L945)^3/3+(ABS(K945)^2)/($I$5*MAX(((F945)+(G945)*(L945))*(L945),0.000001)))&gt;=(((F945)*(U945)^2)/2+(G945)*(U945)^3/3+(ABS(K945)^2)/($I$5*MAX(((F945)+(G945)*(U945))*(U945),0.000001))),L945,U945),IF(T945=1,L945,IF(AC945=1,U945,MAX($D$16,POWER((ABS(K945)^2)/($I$5*MAX(F945,0.1)^2),1/3)))))))</f>
        <v>51800.26683766341</v>
      </c>
      <c r="AE945">
        <f t="shared" ca="1" si="413"/>
        <v>52432.431337663409</v>
      </c>
      <c r="AF945">
        <f t="shared" ca="1" si="414"/>
        <v>52432.431337665235</v>
      </c>
      <c r="AI945">
        <v>0</v>
      </c>
      <c r="AJ945">
        <v>0</v>
      </c>
      <c r="AK945">
        <f t="shared" si="415"/>
        <v>0</v>
      </c>
      <c r="AL945">
        <f t="shared" si="424"/>
        <v>0</v>
      </c>
      <c r="AM945">
        <f t="shared" ca="1" si="416"/>
        <v>2.6560383008097266E-7</v>
      </c>
      <c r="AN945" t="str">
        <f t="shared" ca="1" si="417"/>
        <v>Subcritical</v>
      </c>
      <c r="AO945">
        <f t="shared" ca="1" si="418"/>
        <v>2.2562304480281055E-12</v>
      </c>
    </row>
    <row r="946" spans="1:41" x14ac:dyDescent="0.35">
      <c r="A946">
        <v>797</v>
      </c>
      <c r="B946">
        <v>795.88900000000001</v>
      </c>
      <c r="C946">
        <v>616089.78700000001</v>
      </c>
      <c r="D946">
        <v>3097207.8670000001</v>
      </c>
      <c r="E946">
        <v>632.16399999999999</v>
      </c>
      <c r="F946">
        <v>5.2</v>
      </c>
      <c r="G946">
        <v>0</v>
      </c>
      <c r="H946" t="s">
        <v>186</v>
      </c>
      <c r="I946">
        <v>2E-3</v>
      </c>
      <c r="J946">
        <f t="shared" si="419"/>
        <v>1</v>
      </c>
      <c r="K946">
        <f t="shared" si="420"/>
        <v>51</v>
      </c>
      <c r="L946">
        <f t="shared" ca="1" si="421"/>
        <v>51797.843837663619</v>
      </c>
      <c r="M946">
        <f t="shared" ca="1" si="398"/>
        <v>269348.78795585083</v>
      </c>
      <c r="N946">
        <f t="shared" ca="1" si="399"/>
        <v>2.5998694991876676</v>
      </c>
      <c r="O946">
        <f t="shared" ca="1" si="400"/>
        <v>1.8934557080078435E-4</v>
      </c>
      <c r="P946">
        <f t="shared" ca="1" si="401"/>
        <v>52430.007837663616</v>
      </c>
      <c r="Q946">
        <f t="shared" ca="1" si="402"/>
        <v>52430.007837665442</v>
      </c>
      <c r="R946">
        <f t="shared" ca="1" si="403"/>
        <v>2.2564415439646509E-12</v>
      </c>
      <c r="S946">
        <f t="shared" ca="1" si="422"/>
        <v>5.0000000192085281E-4</v>
      </c>
      <c r="T946">
        <f t="shared" ca="1" si="423"/>
        <v>1</v>
      </c>
      <c r="U946">
        <f t="shared" ca="1" si="404"/>
        <v>51800.26683766341</v>
      </c>
      <c r="V946">
        <f t="shared" ca="1" si="405"/>
        <v>269361.38755584974</v>
      </c>
      <c r="W946">
        <f t="shared" ca="1" si="406"/>
        <v>2.5998695052916441</v>
      </c>
      <c r="X946">
        <f t="shared" ca="1" si="407"/>
        <v>1.8933671400629237E-4</v>
      </c>
      <c r="Y946">
        <f t="shared" ca="1" si="408"/>
        <v>52432.430837663407</v>
      </c>
      <c r="Z946">
        <f t="shared" ca="1" si="409"/>
        <v>52432.430837665233</v>
      </c>
      <c r="AA946">
        <f t="shared" ca="1" si="410"/>
        <v>2.2562304480281055E-12</v>
      </c>
      <c r="AB946">
        <f t="shared" ca="1" si="411"/>
        <v>-4.999999946448952E-4</v>
      </c>
      <c r="AC946">
        <f t="shared" ca="1" si="412"/>
        <v>1</v>
      </c>
      <c r="AD946">
        <f ca="1">IF(V32="Supercritical",L946,IF(V32="Subcritical",U946,IF(AND(T946=1,AC946=1),IF((((F946)*(L946)^2)/2+(G946)*(L946)^3/3+(ABS(K946)^2)/($I$5*MAX(((F946)+(G946)*(L946))*(L946),0.000001)))&gt;=(((F946)*(U946)^2)/2+(G946)*(U946)^3/3+(ABS(K946)^2)/($I$5*MAX(((F946)+(G946)*(U946))*(U946),0.000001))),L946,U946),IF(T946=1,L946,IF(AC946=1,U946,MAX($D$16,POWER((ABS(K946)^2)/($I$5*MAX(F946,0.1)^2),1/3)))))))</f>
        <v>51800.26683766341</v>
      </c>
      <c r="AE946">
        <f t="shared" ca="1" si="413"/>
        <v>52432.430837663407</v>
      </c>
      <c r="AF946">
        <f t="shared" ca="1" si="414"/>
        <v>52432.430837665233</v>
      </c>
      <c r="AI946">
        <v>0</v>
      </c>
      <c r="AJ946">
        <v>0</v>
      </c>
      <c r="AK946">
        <f t="shared" si="415"/>
        <v>0</v>
      </c>
      <c r="AL946">
        <f t="shared" si="424"/>
        <v>0</v>
      </c>
      <c r="AM946">
        <f t="shared" ca="1" si="416"/>
        <v>2.6560383008097266E-7</v>
      </c>
      <c r="AN946" t="str">
        <f t="shared" ca="1" si="417"/>
        <v>Subcritical</v>
      </c>
      <c r="AO946">
        <f t="shared" ca="1" si="418"/>
        <v>2.2562304480281055E-12</v>
      </c>
    </row>
    <row r="947" spans="1:41" x14ac:dyDescent="0.35">
      <c r="A947">
        <v>798</v>
      </c>
      <c r="B947">
        <v>796.89</v>
      </c>
      <c r="C947">
        <v>616089.745</v>
      </c>
      <c r="D947">
        <v>3097206.8670000001</v>
      </c>
      <c r="E947">
        <v>632.1635</v>
      </c>
      <c r="F947">
        <v>5.2</v>
      </c>
      <c r="G947">
        <v>0</v>
      </c>
      <c r="H947" t="s">
        <v>186</v>
      </c>
      <c r="I947">
        <v>0.06</v>
      </c>
      <c r="J947">
        <f t="shared" si="419"/>
        <v>1.0009999999999764</v>
      </c>
      <c r="K947">
        <f t="shared" si="420"/>
        <v>51</v>
      </c>
      <c r="L947">
        <f t="shared" ca="1" si="421"/>
        <v>51797.843837663619</v>
      </c>
      <c r="M947">
        <f t="shared" ca="1" si="398"/>
        <v>269348.78795585083</v>
      </c>
      <c r="N947">
        <f t="shared" ca="1" si="399"/>
        <v>2.5998694991876676</v>
      </c>
      <c r="O947">
        <f t="shared" ca="1" si="400"/>
        <v>1.8934557080078435E-4</v>
      </c>
      <c r="P947">
        <f t="shared" ca="1" si="401"/>
        <v>52430.007337663621</v>
      </c>
      <c r="Q947">
        <f t="shared" ca="1" si="402"/>
        <v>52430.007337665447</v>
      </c>
      <c r="R947">
        <f t="shared" ca="1" si="403"/>
        <v>2.2564415439646509E-12</v>
      </c>
      <c r="S947">
        <f t="shared" ca="1" si="422"/>
        <v>4.999999946448952E-4</v>
      </c>
      <c r="T947">
        <f t="shared" ca="1" si="423"/>
        <v>1</v>
      </c>
      <c r="U947">
        <f t="shared" ca="1" si="404"/>
        <v>51800.26683766341</v>
      </c>
      <c r="V947">
        <f t="shared" ca="1" si="405"/>
        <v>269361.38755584974</v>
      </c>
      <c r="W947">
        <f t="shared" ca="1" si="406"/>
        <v>2.5998695052916441</v>
      </c>
      <c r="X947">
        <f t="shared" ca="1" si="407"/>
        <v>1.8933671400629237E-4</v>
      </c>
      <c r="Y947">
        <f t="shared" ca="1" si="408"/>
        <v>52432.430337663413</v>
      </c>
      <c r="Z947">
        <f t="shared" ca="1" si="409"/>
        <v>52432.430337665239</v>
      </c>
      <c r="AA947">
        <f t="shared" ca="1" si="410"/>
        <v>2.2562304480281055E-12</v>
      </c>
      <c r="AB947">
        <f t="shared" ca="1" si="411"/>
        <v>-5.0000000192085281E-4</v>
      </c>
      <c r="AC947">
        <f t="shared" ca="1" si="412"/>
        <v>1</v>
      </c>
      <c r="AD947">
        <f ca="1">IF(V32="Supercritical",L947,IF(V32="Subcritical",U947,IF(AND(T947=1,AC947=1),IF((((F947)*(L947)^2)/2+(G947)*(L947)^3/3+(ABS(K947)^2)/($I$5*MAX(((F947)+(G947)*(L947))*(L947),0.000001)))&gt;=(((F947)*(U947)^2)/2+(G947)*(U947)^3/3+(ABS(K947)^2)/($I$5*MAX(((F947)+(G947)*(U947))*(U947),0.000001))),L947,U947),IF(T947=1,L947,IF(AC947=1,U947,MAX($D$16,POWER((ABS(K947)^2)/($I$5*MAX(F947,0.1)^2),1/3)))))))</f>
        <v>51800.26683766341</v>
      </c>
      <c r="AE947">
        <f t="shared" ca="1" si="413"/>
        <v>52432.430337663413</v>
      </c>
      <c r="AF947">
        <f t="shared" ca="1" si="414"/>
        <v>52432.430337665239</v>
      </c>
      <c r="AI947">
        <v>0</v>
      </c>
      <c r="AJ947">
        <v>0</v>
      </c>
      <c r="AK947">
        <f t="shared" si="415"/>
        <v>0</v>
      </c>
      <c r="AL947">
        <f t="shared" si="424"/>
        <v>0</v>
      </c>
      <c r="AM947">
        <f t="shared" ca="1" si="416"/>
        <v>2.6560383008097266E-7</v>
      </c>
      <c r="AN947" t="str">
        <f t="shared" ca="1" si="417"/>
        <v>Subcritical</v>
      </c>
      <c r="AO947">
        <f t="shared" ca="1" si="418"/>
        <v>2.2562304480281055E-12</v>
      </c>
    </row>
    <row r="948" spans="1:41" x14ac:dyDescent="0.35">
      <c r="A948">
        <v>799</v>
      </c>
      <c r="B948">
        <v>797.89</v>
      </c>
      <c r="C948">
        <v>616089.70200000005</v>
      </c>
      <c r="D948">
        <v>3097205.8679999998</v>
      </c>
      <c r="E948">
        <v>632.16300000000001</v>
      </c>
      <c r="F948">
        <v>5.2</v>
      </c>
      <c r="G948">
        <v>0</v>
      </c>
      <c r="H948" t="s">
        <v>186</v>
      </c>
      <c r="I948">
        <v>5.7000000000000002E-2</v>
      </c>
      <c r="J948">
        <f t="shared" si="419"/>
        <v>1</v>
      </c>
      <c r="K948">
        <f t="shared" si="420"/>
        <v>51</v>
      </c>
      <c r="L948">
        <f t="shared" ca="1" si="421"/>
        <v>51797.843837663619</v>
      </c>
      <c r="M948">
        <f t="shared" ca="1" si="398"/>
        <v>269348.78795585083</v>
      </c>
      <c r="N948">
        <f t="shared" ca="1" si="399"/>
        <v>2.5998694991876676</v>
      </c>
      <c r="O948">
        <f t="shared" ca="1" si="400"/>
        <v>1.8934557080078435E-4</v>
      </c>
      <c r="P948">
        <f t="shared" ca="1" si="401"/>
        <v>52430.006837663619</v>
      </c>
      <c r="Q948">
        <f t="shared" ca="1" si="402"/>
        <v>52430.006837665445</v>
      </c>
      <c r="R948">
        <f t="shared" ca="1" si="403"/>
        <v>2.2564415439646509E-12</v>
      </c>
      <c r="S948">
        <f t="shared" ca="1" si="422"/>
        <v>5.0000000192085281E-4</v>
      </c>
      <c r="T948">
        <f t="shared" ca="1" si="423"/>
        <v>1</v>
      </c>
      <c r="U948">
        <f t="shared" ca="1" si="404"/>
        <v>51800.26683766341</v>
      </c>
      <c r="V948">
        <f t="shared" ca="1" si="405"/>
        <v>269361.38755584974</v>
      </c>
      <c r="W948">
        <f t="shared" ca="1" si="406"/>
        <v>2.5998695052916441</v>
      </c>
      <c r="X948">
        <f t="shared" ca="1" si="407"/>
        <v>1.8933671400629237E-4</v>
      </c>
      <c r="Y948">
        <f t="shared" ca="1" si="408"/>
        <v>52432.429837663411</v>
      </c>
      <c r="Z948">
        <f t="shared" ca="1" si="409"/>
        <v>52432.429837665237</v>
      </c>
      <c r="AA948">
        <f t="shared" ca="1" si="410"/>
        <v>2.2562304480281055E-12</v>
      </c>
      <c r="AB948">
        <f t="shared" ca="1" si="411"/>
        <v>-5.0000000192085281E-4</v>
      </c>
      <c r="AC948">
        <f t="shared" ca="1" si="412"/>
        <v>1</v>
      </c>
      <c r="AD948">
        <f ca="1">IF(V32="Supercritical",L948,IF(V32="Subcritical",U948,IF(AND(T948=1,AC948=1),IF((((F948)*(L948)^2)/2+(G948)*(L948)^3/3+(ABS(K948)^2)/($I$5*MAX(((F948)+(G948)*(L948))*(L948),0.000001)))&gt;=(((F948)*(U948)^2)/2+(G948)*(U948)^3/3+(ABS(K948)^2)/($I$5*MAX(((F948)+(G948)*(U948))*(U948),0.000001))),L948,U948),IF(T948=1,L948,IF(AC948=1,U948,MAX($D$16,POWER((ABS(K948)^2)/($I$5*MAX(F948,0.1)^2),1/3)))))))</f>
        <v>51800.26683766341</v>
      </c>
      <c r="AE948">
        <f t="shared" ca="1" si="413"/>
        <v>52432.429837663411</v>
      </c>
      <c r="AF948">
        <f t="shared" ca="1" si="414"/>
        <v>52432.429837665237</v>
      </c>
      <c r="AI948">
        <v>0</v>
      </c>
      <c r="AJ948">
        <v>0</v>
      </c>
      <c r="AK948">
        <f t="shared" si="415"/>
        <v>0</v>
      </c>
      <c r="AL948">
        <f t="shared" si="424"/>
        <v>0</v>
      </c>
      <c r="AM948">
        <f t="shared" ca="1" si="416"/>
        <v>2.6560383008097266E-7</v>
      </c>
      <c r="AN948" t="str">
        <f t="shared" ca="1" si="417"/>
        <v>Subcritical</v>
      </c>
      <c r="AO948">
        <f t="shared" ca="1" si="418"/>
        <v>2.2562304480281055E-12</v>
      </c>
    </row>
    <row r="949" spans="1:41" x14ac:dyDescent="0.35">
      <c r="A949">
        <v>800</v>
      </c>
      <c r="B949">
        <v>798.88900000000001</v>
      </c>
      <c r="C949">
        <v>616089.66</v>
      </c>
      <c r="D949">
        <v>3097204.8689999999</v>
      </c>
      <c r="E949">
        <v>632.16250000000002</v>
      </c>
      <c r="F949">
        <v>5.2</v>
      </c>
      <c r="G949">
        <v>0</v>
      </c>
      <c r="H949" t="s">
        <v>186</v>
      </c>
      <c r="I949">
        <v>0</v>
      </c>
      <c r="J949">
        <f t="shared" si="419"/>
        <v>0.99900000000002365</v>
      </c>
      <c r="K949">
        <f t="shared" si="420"/>
        <v>51</v>
      </c>
      <c r="L949">
        <f t="shared" ca="1" si="421"/>
        <v>51797.843837663619</v>
      </c>
      <c r="M949">
        <f t="shared" ca="1" si="398"/>
        <v>269348.78795585083</v>
      </c>
      <c r="N949">
        <f t="shared" ca="1" si="399"/>
        <v>2.5998694991876676</v>
      </c>
      <c r="O949">
        <f t="shared" ca="1" si="400"/>
        <v>1.8934557080078435E-4</v>
      </c>
      <c r="P949">
        <f t="shared" ca="1" si="401"/>
        <v>52430.006337663617</v>
      </c>
      <c r="Q949">
        <f t="shared" ca="1" si="402"/>
        <v>52430.006337665443</v>
      </c>
      <c r="R949">
        <f t="shared" ca="1" si="403"/>
        <v>2.2564415439646509E-12</v>
      </c>
      <c r="S949">
        <f t="shared" ca="1" si="422"/>
        <v>5.0000000192085281E-4</v>
      </c>
      <c r="T949">
        <f t="shared" ca="1" si="423"/>
        <v>1</v>
      </c>
      <c r="U949">
        <f t="shared" ca="1" si="404"/>
        <v>51800.26683766341</v>
      </c>
      <c r="V949">
        <f t="shared" ca="1" si="405"/>
        <v>269361.38755584974</v>
      </c>
      <c r="W949">
        <f t="shared" ca="1" si="406"/>
        <v>2.5998695052916441</v>
      </c>
      <c r="X949">
        <f t="shared" ca="1" si="407"/>
        <v>1.8933671400629237E-4</v>
      </c>
      <c r="Y949">
        <f t="shared" ca="1" si="408"/>
        <v>52432.429337663409</v>
      </c>
      <c r="Z949">
        <f t="shared" ca="1" si="409"/>
        <v>52432.429337665235</v>
      </c>
      <c r="AA949">
        <f t="shared" ca="1" si="410"/>
        <v>2.2562304480281055E-12</v>
      </c>
      <c r="AB949">
        <f t="shared" ca="1" si="411"/>
        <v>-5.0000000192085281E-4</v>
      </c>
      <c r="AC949">
        <f t="shared" ca="1" si="412"/>
        <v>1</v>
      </c>
      <c r="AD949">
        <f ca="1">IF(V32="Supercritical",L949,IF(V32="Subcritical",U949,IF(AND(T949=1,AC949=1),IF((((F949)*(L949)^2)/2+(G949)*(L949)^3/3+(ABS(K949)^2)/($I$5*MAX(((F949)+(G949)*(L949))*(L949),0.000001)))&gt;=(((F949)*(U949)^2)/2+(G949)*(U949)^3/3+(ABS(K949)^2)/($I$5*MAX(((F949)+(G949)*(U949))*(U949),0.000001))),L949,U949),IF(T949=1,L949,IF(AC949=1,U949,MAX($D$16,POWER((ABS(K949)^2)/($I$5*MAX(F949,0.1)^2),1/3)))))))</f>
        <v>51800.26683766341</v>
      </c>
      <c r="AE949">
        <f t="shared" ca="1" si="413"/>
        <v>52432.429337663409</v>
      </c>
      <c r="AF949">
        <f t="shared" ca="1" si="414"/>
        <v>52432.429337665235</v>
      </c>
      <c r="AI949">
        <v>0</v>
      </c>
      <c r="AJ949">
        <v>0</v>
      </c>
      <c r="AK949">
        <f t="shared" si="415"/>
        <v>0</v>
      </c>
      <c r="AL949">
        <f t="shared" si="424"/>
        <v>0</v>
      </c>
      <c r="AM949">
        <f t="shared" ca="1" si="416"/>
        <v>2.6560383008097266E-7</v>
      </c>
      <c r="AN949" t="str">
        <f t="shared" ca="1" si="417"/>
        <v>Subcritical</v>
      </c>
      <c r="AO949">
        <f t="shared" ca="1" si="418"/>
        <v>2.2562304480281055E-12</v>
      </c>
    </row>
    <row r="950" spans="1:41" x14ac:dyDescent="0.35">
      <c r="A950">
        <v>801</v>
      </c>
      <c r="B950">
        <v>799.88900000000001</v>
      </c>
      <c r="C950">
        <v>616089.61800000002</v>
      </c>
      <c r="D950">
        <v>3097203.87</v>
      </c>
      <c r="E950">
        <v>632.16200000000003</v>
      </c>
      <c r="F950">
        <v>5.2</v>
      </c>
      <c r="G950">
        <v>0</v>
      </c>
      <c r="H950" t="s">
        <v>186</v>
      </c>
      <c r="I950">
        <v>0</v>
      </c>
      <c r="J950">
        <f t="shared" si="419"/>
        <v>1</v>
      </c>
      <c r="K950">
        <f t="shared" si="420"/>
        <v>51</v>
      </c>
      <c r="L950">
        <f t="shared" ca="1" si="421"/>
        <v>51797.843837663619</v>
      </c>
      <c r="M950">
        <f t="shared" ca="1" si="398"/>
        <v>269348.78795585083</v>
      </c>
      <c r="N950">
        <f t="shared" ca="1" si="399"/>
        <v>2.5998694991876676</v>
      </c>
      <c r="O950">
        <f t="shared" ca="1" si="400"/>
        <v>1.8934557080078435E-4</v>
      </c>
      <c r="P950">
        <f t="shared" ca="1" si="401"/>
        <v>52430.005837663615</v>
      </c>
      <c r="Q950">
        <f t="shared" ca="1" si="402"/>
        <v>52430.005837665442</v>
      </c>
      <c r="R950">
        <f t="shared" ca="1" si="403"/>
        <v>2.2564415439646509E-12</v>
      </c>
      <c r="S950">
        <f t="shared" ca="1" si="422"/>
        <v>5.0000000192085281E-4</v>
      </c>
      <c r="T950">
        <f t="shared" ca="1" si="423"/>
        <v>1</v>
      </c>
      <c r="U950">
        <f t="shared" ca="1" si="404"/>
        <v>51800.26683766341</v>
      </c>
      <c r="V950">
        <f t="shared" ca="1" si="405"/>
        <v>269361.38755584974</v>
      </c>
      <c r="W950">
        <f t="shared" ca="1" si="406"/>
        <v>2.5998695052916441</v>
      </c>
      <c r="X950">
        <f t="shared" ca="1" si="407"/>
        <v>1.8933671400629237E-4</v>
      </c>
      <c r="Y950">
        <f t="shared" ca="1" si="408"/>
        <v>52432.428837663407</v>
      </c>
      <c r="Z950">
        <f t="shared" ca="1" si="409"/>
        <v>52432.428837665233</v>
      </c>
      <c r="AA950">
        <f t="shared" ca="1" si="410"/>
        <v>2.2562304480281055E-12</v>
      </c>
      <c r="AB950">
        <f t="shared" ca="1" si="411"/>
        <v>-4.999999946448952E-4</v>
      </c>
      <c r="AC950">
        <f t="shared" ca="1" si="412"/>
        <v>1</v>
      </c>
      <c r="AD950">
        <f ca="1">IF(V32="Supercritical",L950,IF(V32="Subcritical",U950,IF(AND(T950=1,AC950=1),IF((((F950)*(L950)^2)/2+(G950)*(L950)^3/3+(ABS(K950)^2)/($I$5*MAX(((F950)+(G950)*(L950))*(L950),0.000001)))&gt;=(((F950)*(U950)^2)/2+(G950)*(U950)^3/3+(ABS(K950)^2)/($I$5*MAX(((F950)+(G950)*(U950))*(U950),0.000001))),L950,U950),IF(T950=1,L950,IF(AC950=1,U950,MAX($D$16,POWER((ABS(K950)^2)/($I$5*MAX(F950,0.1)^2),1/3)))))))</f>
        <v>51800.26683766341</v>
      </c>
      <c r="AE950">
        <f t="shared" ca="1" si="413"/>
        <v>52432.428837663407</v>
      </c>
      <c r="AF950">
        <f t="shared" ca="1" si="414"/>
        <v>52432.428837665233</v>
      </c>
      <c r="AI950">
        <v>0</v>
      </c>
      <c r="AJ950">
        <v>0</v>
      </c>
      <c r="AK950">
        <f t="shared" si="415"/>
        <v>0</v>
      </c>
      <c r="AL950">
        <f t="shared" si="424"/>
        <v>0</v>
      </c>
      <c r="AM950">
        <f t="shared" ca="1" si="416"/>
        <v>2.6560383008097266E-7</v>
      </c>
      <c r="AN950" t="str">
        <f t="shared" ca="1" si="417"/>
        <v>Subcritical</v>
      </c>
      <c r="AO950">
        <f t="shared" ca="1" si="418"/>
        <v>2.2562304480281055E-12</v>
      </c>
    </row>
    <row r="951" spans="1:41" x14ac:dyDescent="0.35">
      <c r="A951">
        <v>802</v>
      </c>
      <c r="B951">
        <v>800.88900000000001</v>
      </c>
      <c r="C951">
        <v>616089.576</v>
      </c>
      <c r="D951">
        <v>3097202.8709999998</v>
      </c>
      <c r="E951">
        <v>632.16150000000005</v>
      </c>
      <c r="F951">
        <v>5.2</v>
      </c>
      <c r="G951">
        <v>0</v>
      </c>
      <c r="H951" t="s">
        <v>186</v>
      </c>
      <c r="I951">
        <v>5.7000000000000002E-2</v>
      </c>
      <c r="J951">
        <f t="shared" si="419"/>
        <v>1</v>
      </c>
      <c r="K951">
        <f t="shared" si="420"/>
        <v>51</v>
      </c>
      <c r="L951">
        <f t="shared" ca="1" si="421"/>
        <v>51797.843837663619</v>
      </c>
      <c r="M951">
        <f t="shared" ca="1" si="398"/>
        <v>269348.78795585083</v>
      </c>
      <c r="N951">
        <f t="shared" ca="1" si="399"/>
        <v>2.5998694991876676</v>
      </c>
      <c r="O951">
        <f t="shared" ca="1" si="400"/>
        <v>1.8934557080078435E-4</v>
      </c>
      <c r="P951">
        <f t="shared" ca="1" si="401"/>
        <v>52430.005337663621</v>
      </c>
      <c r="Q951">
        <f t="shared" ca="1" si="402"/>
        <v>52430.005337665447</v>
      </c>
      <c r="R951">
        <f t="shared" ca="1" si="403"/>
        <v>2.2564415439646509E-12</v>
      </c>
      <c r="S951">
        <f t="shared" ca="1" si="422"/>
        <v>4.999999946448952E-4</v>
      </c>
      <c r="T951">
        <f t="shared" ca="1" si="423"/>
        <v>1</v>
      </c>
      <c r="U951">
        <f t="shared" ca="1" si="404"/>
        <v>51800.26683766341</v>
      </c>
      <c r="V951">
        <f t="shared" ca="1" si="405"/>
        <v>269361.38755584974</v>
      </c>
      <c r="W951">
        <f t="shared" ca="1" si="406"/>
        <v>2.5998695052916441</v>
      </c>
      <c r="X951">
        <f t="shared" ca="1" si="407"/>
        <v>1.8933671400629237E-4</v>
      </c>
      <c r="Y951">
        <f t="shared" ca="1" si="408"/>
        <v>52432.428337663412</v>
      </c>
      <c r="Z951">
        <f t="shared" ca="1" si="409"/>
        <v>52432.428337665238</v>
      </c>
      <c r="AA951">
        <f t="shared" ca="1" si="410"/>
        <v>2.2562304480281055E-12</v>
      </c>
      <c r="AB951">
        <f t="shared" ca="1" si="411"/>
        <v>-5.0000000192085281E-4</v>
      </c>
      <c r="AC951">
        <f t="shared" ca="1" si="412"/>
        <v>1</v>
      </c>
      <c r="AD951">
        <f ca="1">IF(V32="Supercritical",L951,IF(V32="Subcritical",U951,IF(AND(T951=1,AC951=1),IF((((F951)*(L951)^2)/2+(G951)*(L951)^3/3+(ABS(K951)^2)/($I$5*MAX(((F951)+(G951)*(L951))*(L951),0.000001)))&gt;=(((F951)*(U951)^2)/2+(G951)*(U951)^3/3+(ABS(K951)^2)/($I$5*MAX(((F951)+(G951)*(U951))*(U951),0.000001))),L951,U951),IF(T951=1,L951,IF(AC951=1,U951,MAX($D$16,POWER((ABS(K951)^2)/($I$5*MAX(F951,0.1)^2),1/3)))))))</f>
        <v>51800.26683766341</v>
      </c>
      <c r="AE951">
        <f t="shared" ca="1" si="413"/>
        <v>52432.428337663412</v>
      </c>
      <c r="AF951">
        <f t="shared" ca="1" si="414"/>
        <v>52432.428337665238</v>
      </c>
      <c r="AI951">
        <v>0</v>
      </c>
      <c r="AJ951">
        <v>0</v>
      </c>
      <c r="AK951">
        <f t="shared" si="415"/>
        <v>0</v>
      </c>
      <c r="AL951">
        <f t="shared" si="424"/>
        <v>0</v>
      </c>
      <c r="AM951">
        <f t="shared" ca="1" si="416"/>
        <v>2.6560383008097266E-7</v>
      </c>
      <c r="AN951" t="str">
        <f t="shared" ca="1" si="417"/>
        <v>Subcritical</v>
      </c>
      <c r="AO951">
        <f t="shared" ca="1" si="418"/>
        <v>2.2562304480281055E-12</v>
      </c>
    </row>
    <row r="952" spans="1:41" x14ac:dyDescent="0.35">
      <c r="A952">
        <v>803</v>
      </c>
      <c r="B952">
        <v>801.88900000000001</v>
      </c>
      <c r="C952">
        <v>616089.53300000005</v>
      </c>
      <c r="D952">
        <v>3097201.872</v>
      </c>
      <c r="E952">
        <v>632.16099999999994</v>
      </c>
      <c r="F952">
        <v>5.2</v>
      </c>
      <c r="G952">
        <v>0</v>
      </c>
      <c r="H952" t="s">
        <v>186</v>
      </c>
      <c r="I952">
        <v>5.7000000000000002E-2</v>
      </c>
      <c r="J952">
        <f t="shared" si="419"/>
        <v>1</v>
      </c>
      <c r="K952">
        <f t="shared" si="420"/>
        <v>51</v>
      </c>
      <c r="L952">
        <f t="shared" ca="1" si="421"/>
        <v>51797.843837663619</v>
      </c>
      <c r="M952">
        <f t="shared" ca="1" si="398"/>
        <v>269348.78795585083</v>
      </c>
      <c r="N952">
        <f t="shared" ca="1" si="399"/>
        <v>2.5998694991876676</v>
      </c>
      <c r="O952">
        <f t="shared" ca="1" si="400"/>
        <v>1.8934557080078435E-4</v>
      </c>
      <c r="P952">
        <f t="shared" ca="1" si="401"/>
        <v>52430.004837663619</v>
      </c>
      <c r="Q952">
        <f t="shared" ca="1" si="402"/>
        <v>52430.004837665445</v>
      </c>
      <c r="R952">
        <f t="shared" ca="1" si="403"/>
        <v>2.2564415439646509E-12</v>
      </c>
      <c r="S952">
        <f t="shared" ca="1" si="422"/>
        <v>5.0000000192085281E-4</v>
      </c>
      <c r="T952">
        <f t="shared" ca="1" si="423"/>
        <v>1</v>
      </c>
      <c r="U952">
        <f t="shared" ca="1" si="404"/>
        <v>51800.26683766341</v>
      </c>
      <c r="V952">
        <f t="shared" ca="1" si="405"/>
        <v>269361.38755584974</v>
      </c>
      <c r="W952">
        <f t="shared" ca="1" si="406"/>
        <v>2.5998695052916441</v>
      </c>
      <c r="X952">
        <f t="shared" ca="1" si="407"/>
        <v>1.8933671400629237E-4</v>
      </c>
      <c r="Y952">
        <f t="shared" ca="1" si="408"/>
        <v>52432.42783766341</v>
      </c>
      <c r="Z952">
        <f t="shared" ca="1" si="409"/>
        <v>52432.427837665236</v>
      </c>
      <c r="AA952">
        <f t="shared" ca="1" si="410"/>
        <v>2.2562304480281055E-12</v>
      </c>
      <c r="AB952">
        <f t="shared" ca="1" si="411"/>
        <v>-5.0000000192085281E-4</v>
      </c>
      <c r="AC952">
        <f t="shared" ca="1" si="412"/>
        <v>1</v>
      </c>
      <c r="AD952">
        <f ca="1">IF(V32="Supercritical",L952,IF(V32="Subcritical",U952,IF(AND(T952=1,AC952=1),IF((((F952)*(L952)^2)/2+(G952)*(L952)^3/3+(ABS(K952)^2)/($I$5*MAX(((F952)+(G952)*(L952))*(L952),0.000001)))&gt;=(((F952)*(U952)^2)/2+(G952)*(U952)^3/3+(ABS(K952)^2)/($I$5*MAX(((F952)+(G952)*(U952))*(U952),0.000001))),L952,U952),IF(T952=1,L952,IF(AC952=1,U952,MAX($D$16,POWER((ABS(K952)^2)/($I$5*MAX(F952,0.1)^2),1/3)))))))</f>
        <v>51800.26683766341</v>
      </c>
      <c r="AE952">
        <f t="shared" ca="1" si="413"/>
        <v>52432.42783766341</v>
      </c>
      <c r="AF952">
        <f t="shared" ca="1" si="414"/>
        <v>52432.427837665236</v>
      </c>
      <c r="AI952">
        <v>0</v>
      </c>
      <c r="AJ952">
        <v>0</v>
      </c>
      <c r="AK952">
        <f t="shared" si="415"/>
        <v>0</v>
      </c>
      <c r="AL952">
        <f t="shared" si="424"/>
        <v>0</v>
      </c>
      <c r="AM952">
        <f t="shared" ca="1" si="416"/>
        <v>2.6560383008097266E-7</v>
      </c>
      <c r="AN952" t="str">
        <f t="shared" ca="1" si="417"/>
        <v>Subcritical</v>
      </c>
      <c r="AO952">
        <f t="shared" ca="1" si="418"/>
        <v>2.2562304480281055E-12</v>
      </c>
    </row>
    <row r="953" spans="1:41" x14ac:dyDescent="0.35">
      <c r="A953">
        <v>804</v>
      </c>
      <c r="B953">
        <v>802.88900000000001</v>
      </c>
      <c r="C953">
        <v>616089.49100000004</v>
      </c>
      <c r="D953">
        <v>3097200.8730000001</v>
      </c>
      <c r="E953">
        <v>632.16049999999996</v>
      </c>
      <c r="F953">
        <v>5.2</v>
      </c>
      <c r="G953">
        <v>0</v>
      </c>
      <c r="H953" t="s">
        <v>186</v>
      </c>
      <c r="I953">
        <v>0</v>
      </c>
      <c r="J953">
        <f t="shared" si="419"/>
        <v>1</v>
      </c>
      <c r="K953">
        <f t="shared" si="420"/>
        <v>51</v>
      </c>
      <c r="L953">
        <f t="shared" ca="1" si="421"/>
        <v>51797.843837663619</v>
      </c>
      <c r="M953">
        <f t="shared" ca="1" si="398"/>
        <v>269348.78795585083</v>
      </c>
      <c r="N953">
        <f t="shared" ca="1" si="399"/>
        <v>2.5998694991876676</v>
      </c>
      <c r="O953">
        <f t="shared" ca="1" si="400"/>
        <v>1.8934557080078435E-4</v>
      </c>
      <c r="P953">
        <f t="shared" ca="1" si="401"/>
        <v>52430.004337663617</v>
      </c>
      <c r="Q953">
        <f t="shared" ca="1" si="402"/>
        <v>52430.004337665443</v>
      </c>
      <c r="R953">
        <f t="shared" ca="1" si="403"/>
        <v>2.2564415439646509E-12</v>
      </c>
      <c r="S953">
        <f t="shared" ca="1" si="422"/>
        <v>5.0000000192085281E-4</v>
      </c>
      <c r="T953">
        <f t="shared" ca="1" si="423"/>
        <v>1</v>
      </c>
      <c r="U953">
        <f t="shared" ca="1" si="404"/>
        <v>51800.26683766341</v>
      </c>
      <c r="V953">
        <f t="shared" ca="1" si="405"/>
        <v>269361.38755584974</v>
      </c>
      <c r="W953">
        <f t="shared" ca="1" si="406"/>
        <v>2.5998695052916441</v>
      </c>
      <c r="X953">
        <f t="shared" ca="1" si="407"/>
        <v>1.8933671400629237E-4</v>
      </c>
      <c r="Y953">
        <f t="shared" ca="1" si="408"/>
        <v>52432.427337663408</v>
      </c>
      <c r="Z953">
        <f t="shared" ca="1" si="409"/>
        <v>52432.427337665235</v>
      </c>
      <c r="AA953">
        <f t="shared" ca="1" si="410"/>
        <v>2.2562304480281055E-12</v>
      </c>
      <c r="AB953">
        <f t="shared" ca="1" si="411"/>
        <v>-4.999999946448952E-4</v>
      </c>
      <c r="AC953">
        <f t="shared" ca="1" si="412"/>
        <v>1</v>
      </c>
      <c r="AD953">
        <f ca="1">IF(V32="Supercritical",L953,IF(V32="Subcritical",U953,IF(AND(T953=1,AC953=1),IF((((F953)*(L953)^2)/2+(G953)*(L953)^3/3+(ABS(K953)^2)/($I$5*MAX(((F953)+(G953)*(L953))*(L953),0.000001)))&gt;=(((F953)*(U953)^2)/2+(G953)*(U953)^3/3+(ABS(K953)^2)/($I$5*MAX(((F953)+(G953)*(U953))*(U953),0.000001))),L953,U953),IF(T953=1,L953,IF(AC953=1,U953,MAX($D$16,POWER((ABS(K953)^2)/($I$5*MAX(F953,0.1)^2),1/3)))))))</f>
        <v>51800.26683766341</v>
      </c>
      <c r="AE953">
        <f t="shared" ca="1" si="413"/>
        <v>52432.427337663408</v>
      </c>
      <c r="AF953">
        <f t="shared" ca="1" si="414"/>
        <v>52432.427337665235</v>
      </c>
      <c r="AI953">
        <v>0</v>
      </c>
      <c r="AJ953">
        <v>0</v>
      </c>
      <c r="AK953">
        <f t="shared" si="415"/>
        <v>0</v>
      </c>
      <c r="AL953">
        <f t="shared" si="424"/>
        <v>0</v>
      </c>
      <c r="AM953">
        <f t="shared" ca="1" si="416"/>
        <v>2.6560383008097266E-7</v>
      </c>
      <c r="AN953" t="str">
        <f t="shared" ca="1" si="417"/>
        <v>Subcritical</v>
      </c>
      <c r="AO953">
        <f t="shared" ca="1" si="418"/>
        <v>2.2562304480281055E-12</v>
      </c>
    </row>
    <row r="954" spans="1:41" x14ac:dyDescent="0.35">
      <c r="A954">
        <v>805</v>
      </c>
      <c r="B954">
        <v>803.88900000000001</v>
      </c>
      <c r="C954">
        <v>616089.44900000002</v>
      </c>
      <c r="D954">
        <v>3097199.8739999998</v>
      </c>
      <c r="E954">
        <v>632.16</v>
      </c>
      <c r="F954">
        <v>5.2</v>
      </c>
      <c r="G954">
        <v>0</v>
      </c>
      <c r="H954" t="s">
        <v>186</v>
      </c>
      <c r="I954">
        <v>0</v>
      </c>
      <c r="J954">
        <f t="shared" si="419"/>
        <v>1</v>
      </c>
      <c r="K954">
        <f t="shared" si="420"/>
        <v>51</v>
      </c>
      <c r="L954">
        <f t="shared" ca="1" si="421"/>
        <v>51797.843837663619</v>
      </c>
      <c r="M954">
        <f t="shared" ca="1" si="398"/>
        <v>269348.78795585083</v>
      </c>
      <c r="N954">
        <f t="shared" ca="1" si="399"/>
        <v>2.5998694991876676</v>
      </c>
      <c r="O954">
        <f t="shared" ca="1" si="400"/>
        <v>1.8934557080078435E-4</v>
      </c>
      <c r="P954">
        <f t="shared" ca="1" si="401"/>
        <v>52430.003837663622</v>
      </c>
      <c r="Q954">
        <f t="shared" ca="1" si="402"/>
        <v>52430.003837665448</v>
      </c>
      <c r="R954">
        <f t="shared" ca="1" si="403"/>
        <v>2.2564415439646509E-12</v>
      </c>
      <c r="S954">
        <f t="shared" ca="1" si="422"/>
        <v>4.999999946448952E-4</v>
      </c>
      <c r="T954">
        <f t="shared" ca="1" si="423"/>
        <v>1</v>
      </c>
      <c r="U954">
        <f t="shared" ca="1" si="404"/>
        <v>51800.26683766341</v>
      </c>
      <c r="V954">
        <f t="shared" ca="1" si="405"/>
        <v>269361.38755584974</v>
      </c>
      <c r="W954">
        <f t="shared" ca="1" si="406"/>
        <v>2.5998695052916441</v>
      </c>
      <c r="X954">
        <f t="shared" ca="1" si="407"/>
        <v>1.8933671400629237E-4</v>
      </c>
      <c r="Y954">
        <f t="shared" ca="1" si="408"/>
        <v>52432.426837663414</v>
      </c>
      <c r="Z954">
        <f t="shared" ca="1" si="409"/>
        <v>52432.42683766524</v>
      </c>
      <c r="AA954">
        <f t="shared" ca="1" si="410"/>
        <v>2.2562304480281055E-12</v>
      </c>
      <c r="AB954">
        <f t="shared" ca="1" si="411"/>
        <v>-5.0000000192085281E-4</v>
      </c>
      <c r="AC954">
        <f t="shared" ca="1" si="412"/>
        <v>1</v>
      </c>
      <c r="AD954">
        <f ca="1">IF(V32="Supercritical",L954,IF(V32="Subcritical",U954,IF(AND(T954=1,AC954=1),IF((((F954)*(L954)^2)/2+(G954)*(L954)^3/3+(ABS(K954)^2)/($I$5*MAX(((F954)+(G954)*(L954))*(L954),0.000001)))&gt;=(((F954)*(U954)^2)/2+(G954)*(U954)^3/3+(ABS(K954)^2)/($I$5*MAX(((F954)+(G954)*(U954))*(U954),0.000001))),L954,U954),IF(T954=1,L954,IF(AC954=1,U954,MAX($D$16,POWER((ABS(K954)^2)/($I$5*MAX(F954,0.1)^2),1/3)))))))</f>
        <v>51800.26683766341</v>
      </c>
      <c r="AE954">
        <f t="shared" ca="1" si="413"/>
        <v>52432.426837663414</v>
      </c>
      <c r="AF954">
        <f t="shared" ca="1" si="414"/>
        <v>52432.42683766524</v>
      </c>
      <c r="AI954">
        <v>0</v>
      </c>
      <c r="AJ954">
        <v>0</v>
      </c>
      <c r="AK954">
        <f t="shared" si="415"/>
        <v>0</v>
      </c>
      <c r="AL954">
        <f t="shared" si="424"/>
        <v>0</v>
      </c>
      <c r="AM954">
        <f t="shared" ca="1" si="416"/>
        <v>2.6560383008097266E-7</v>
      </c>
      <c r="AN954" t="str">
        <f t="shared" ca="1" si="417"/>
        <v>Subcritical</v>
      </c>
      <c r="AO954">
        <f t="shared" ca="1" si="418"/>
        <v>2.2562304480281055E-12</v>
      </c>
    </row>
    <row r="955" spans="1:41" x14ac:dyDescent="0.35">
      <c r="A955">
        <v>806</v>
      </c>
      <c r="B955">
        <v>804.88900000000001</v>
      </c>
      <c r="C955">
        <v>616089.40700000001</v>
      </c>
      <c r="D955">
        <v>3097198.875</v>
      </c>
      <c r="E955">
        <v>632.15949999999998</v>
      </c>
      <c r="F955">
        <v>5.2</v>
      </c>
      <c r="G955">
        <v>0</v>
      </c>
      <c r="H955" t="s">
        <v>186</v>
      </c>
      <c r="I955">
        <v>5.5E-2</v>
      </c>
      <c r="J955">
        <f t="shared" si="419"/>
        <v>1</v>
      </c>
      <c r="K955">
        <f t="shared" si="420"/>
        <v>51</v>
      </c>
      <c r="L955">
        <f t="shared" ca="1" si="421"/>
        <v>51797.843837663619</v>
      </c>
      <c r="M955">
        <f t="shared" ca="1" si="398"/>
        <v>269348.78795585083</v>
      </c>
      <c r="N955">
        <f t="shared" ca="1" si="399"/>
        <v>2.5998694991876676</v>
      </c>
      <c r="O955">
        <f t="shared" ca="1" si="400"/>
        <v>1.8934557080078435E-4</v>
      </c>
      <c r="P955">
        <f t="shared" ca="1" si="401"/>
        <v>52430.00333766362</v>
      </c>
      <c r="Q955">
        <f t="shared" ca="1" si="402"/>
        <v>52430.003337665446</v>
      </c>
      <c r="R955">
        <f t="shared" ca="1" si="403"/>
        <v>2.2564415439646509E-12</v>
      </c>
      <c r="S955">
        <f t="shared" ca="1" si="422"/>
        <v>5.0000000192085281E-4</v>
      </c>
      <c r="T955">
        <f t="shared" ca="1" si="423"/>
        <v>1</v>
      </c>
      <c r="U955">
        <f t="shared" ca="1" si="404"/>
        <v>51800.26683766341</v>
      </c>
      <c r="V955">
        <f t="shared" ca="1" si="405"/>
        <v>269361.38755584974</v>
      </c>
      <c r="W955">
        <f t="shared" ca="1" si="406"/>
        <v>2.5998695052916441</v>
      </c>
      <c r="X955">
        <f t="shared" ca="1" si="407"/>
        <v>1.8933671400629237E-4</v>
      </c>
      <c r="Y955">
        <f t="shared" ca="1" si="408"/>
        <v>52432.426337663412</v>
      </c>
      <c r="Z955">
        <f t="shared" ca="1" si="409"/>
        <v>52432.426337665238</v>
      </c>
      <c r="AA955">
        <f t="shared" ca="1" si="410"/>
        <v>2.2562304480281055E-12</v>
      </c>
      <c r="AB955">
        <f t="shared" ca="1" si="411"/>
        <v>-5.0000000192085281E-4</v>
      </c>
      <c r="AC955">
        <f t="shared" ca="1" si="412"/>
        <v>1</v>
      </c>
      <c r="AD955">
        <f ca="1">IF(V32="Supercritical",L955,IF(V32="Subcritical",U955,IF(AND(T955=1,AC955=1),IF((((F955)*(L955)^2)/2+(G955)*(L955)^3/3+(ABS(K955)^2)/($I$5*MAX(((F955)+(G955)*(L955))*(L955),0.000001)))&gt;=(((F955)*(U955)^2)/2+(G955)*(U955)^3/3+(ABS(K955)^2)/($I$5*MAX(((F955)+(G955)*(U955))*(U955),0.000001))),L955,U955),IF(T955=1,L955,IF(AC955=1,U955,MAX($D$16,POWER((ABS(K955)^2)/($I$5*MAX(F955,0.1)^2),1/3)))))))</f>
        <v>51800.26683766341</v>
      </c>
      <c r="AE955">
        <f t="shared" ca="1" si="413"/>
        <v>52432.426337663412</v>
      </c>
      <c r="AF955">
        <f t="shared" ca="1" si="414"/>
        <v>52432.426337665238</v>
      </c>
      <c r="AI955">
        <v>0</v>
      </c>
      <c r="AJ955">
        <v>0</v>
      </c>
      <c r="AK955">
        <f t="shared" si="415"/>
        <v>0</v>
      </c>
      <c r="AL955">
        <f t="shared" si="424"/>
        <v>0</v>
      </c>
      <c r="AM955">
        <f t="shared" ca="1" si="416"/>
        <v>2.6560383008097266E-7</v>
      </c>
      <c r="AN955" t="str">
        <f t="shared" ca="1" si="417"/>
        <v>Subcritical</v>
      </c>
      <c r="AO955">
        <f t="shared" ca="1" si="418"/>
        <v>2.2562304480281055E-12</v>
      </c>
    </row>
    <row r="956" spans="1:41" x14ac:dyDescent="0.35">
      <c r="A956">
        <v>807</v>
      </c>
      <c r="B956">
        <v>805.89</v>
      </c>
      <c r="C956">
        <v>616089.36399999994</v>
      </c>
      <c r="D956">
        <v>3097197.875</v>
      </c>
      <c r="E956">
        <v>632.15899999999999</v>
      </c>
      <c r="F956">
        <v>5.2</v>
      </c>
      <c r="G956">
        <v>0</v>
      </c>
      <c r="H956" t="s">
        <v>186</v>
      </c>
      <c r="I956">
        <v>5.5E-2</v>
      </c>
      <c r="J956">
        <f t="shared" si="419"/>
        <v>1.0009999999999764</v>
      </c>
      <c r="K956">
        <f t="shared" si="420"/>
        <v>51</v>
      </c>
      <c r="L956">
        <f t="shared" ca="1" si="421"/>
        <v>51797.843837663619</v>
      </c>
      <c r="M956">
        <f t="shared" ca="1" si="398"/>
        <v>269348.78795585083</v>
      </c>
      <c r="N956">
        <f t="shared" ca="1" si="399"/>
        <v>2.5998694991876676</v>
      </c>
      <c r="O956">
        <f t="shared" ca="1" si="400"/>
        <v>1.8934557080078435E-4</v>
      </c>
      <c r="P956">
        <f t="shared" ca="1" si="401"/>
        <v>52430.002837663618</v>
      </c>
      <c r="Q956">
        <f t="shared" ca="1" si="402"/>
        <v>52430.002837665445</v>
      </c>
      <c r="R956">
        <f t="shared" ca="1" si="403"/>
        <v>2.2564415439646509E-12</v>
      </c>
      <c r="S956">
        <f t="shared" ca="1" si="422"/>
        <v>5.0000000192085281E-4</v>
      </c>
      <c r="T956">
        <f t="shared" ca="1" si="423"/>
        <v>1</v>
      </c>
      <c r="U956">
        <f t="shared" ca="1" si="404"/>
        <v>51800.26683766341</v>
      </c>
      <c r="V956">
        <f t="shared" ca="1" si="405"/>
        <v>269361.38755584974</v>
      </c>
      <c r="W956">
        <f t="shared" ca="1" si="406"/>
        <v>2.5998695052916441</v>
      </c>
      <c r="X956">
        <f t="shared" ca="1" si="407"/>
        <v>1.8933671400629237E-4</v>
      </c>
      <c r="Y956">
        <f t="shared" ca="1" si="408"/>
        <v>52432.42583766341</v>
      </c>
      <c r="Z956">
        <f t="shared" ca="1" si="409"/>
        <v>52432.425837665236</v>
      </c>
      <c r="AA956">
        <f t="shared" ca="1" si="410"/>
        <v>2.2562304480281055E-12</v>
      </c>
      <c r="AB956">
        <f t="shared" ca="1" si="411"/>
        <v>-5.0000000192085281E-4</v>
      </c>
      <c r="AC956">
        <f t="shared" ca="1" si="412"/>
        <v>1</v>
      </c>
      <c r="AD956">
        <f ca="1">IF(V32="Supercritical",L956,IF(V32="Subcritical",U956,IF(AND(T956=1,AC956=1),IF((((F956)*(L956)^2)/2+(G956)*(L956)^3/3+(ABS(K956)^2)/($I$5*MAX(((F956)+(G956)*(L956))*(L956),0.000001)))&gt;=(((F956)*(U956)^2)/2+(G956)*(U956)^3/3+(ABS(K956)^2)/($I$5*MAX(((F956)+(G956)*(U956))*(U956),0.000001))),L956,U956),IF(T956=1,L956,IF(AC956=1,U956,MAX($D$16,POWER((ABS(K956)^2)/($I$5*MAX(F956,0.1)^2),1/3)))))))</f>
        <v>51800.26683766341</v>
      </c>
      <c r="AE956">
        <f t="shared" ca="1" si="413"/>
        <v>52432.42583766341</v>
      </c>
      <c r="AF956">
        <f t="shared" ca="1" si="414"/>
        <v>52432.425837665236</v>
      </c>
      <c r="AI956">
        <v>0</v>
      </c>
      <c r="AJ956">
        <v>0</v>
      </c>
      <c r="AK956">
        <f t="shared" si="415"/>
        <v>0</v>
      </c>
      <c r="AL956">
        <f t="shared" si="424"/>
        <v>0</v>
      </c>
      <c r="AM956">
        <f t="shared" ca="1" si="416"/>
        <v>2.6560383008097266E-7</v>
      </c>
      <c r="AN956" t="str">
        <f t="shared" ca="1" si="417"/>
        <v>Subcritical</v>
      </c>
      <c r="AO956">
        <f t="shared" ca="1" si="418"/>
        <v>2.2562304480281055E-12</v>
      </c>
    </row>
    <row r="957" spans="1:41" x14ac:dyDescent="0.35">
      <c r="A957">
        <v>808</v>
      </c>
      <c r="B957">
        <v>806.89</v>
      </c>
      <c r="C957">
        <v>616089.32200000004</v>
      </c>
      <c r="D957">
        <v>3097196.8760000002</v>
      </c>
      <c r="E957">
        <v>632.1585</v>
      </c>
      <c r="F957">
        <v>5.2</v>
      </c>
      <c r="G957">
        <v>0</v>
      </c>
      <c r="H957" t="s">
        <v>186</v>
      </c>
      <c r="I957">
        <v>0</v>
      </c>
      <c r="J957">
        <f t="shared" si="419"/>
        <v>1</v>
      </c>
      <c r="K957">
        <f t="shared" si="420"/>
        <v>51</v>
      </c>
      <c r="L957">
        <f t="shared" ca="1" si="421"/>
        <v>51797.843837663619</v>
      </c>
      <c r="M957">
        <f t="shared" ca="1" si="398"/>
        <v>269348.78795585083</v>
      </c>
      <c r="N957">
        <f t="shared" ca="1" si="399"/>
        <v>2.5998694991876676</v>
      </c>
      <c r="O957">
        <f t="shared" ca="1" si="400"/>
        <v>1.8934557080078435E-4</v>
      </c>
      <c r="P957">
        <f t="shared" ca="1" si="401"/>
        <v>52430.002337663616</v>
      </c>
      <c r="Q957">
        <f t="shared" ca="1" si="402"/>
        <v>52430.002337665443</v>
      </c>
      <c r="R957">
        <f t="shared" ca="1" si="403"/>
        <v>2.2564415439646509E-12</v>
      </c>
      <c r="S957">
        <f t="shared" ca="1" si="422"/>
        <v>5.0000000192085281E-4</v>
      </c>
      <c r="T957">
        <f t="shared" ca="1" si="423"/>
        <v>1</v>
      </c>
      <c r="U957">
        <f t="shared" ca="1" si="404"/>
        <v>51800.26683766341</v>
      </c>
      <c r="V957">
        <f t="shared" ca="1" si="405"/>
        <v>269361.38755584974</v>
      </c>
      <c r="W957">
        <f t="shared" ca="1" si="406"/>
        <v>2.5998695052916441</v>
      </c>
      <c r="X957">
        <f t="shared" ca="1" si="407"/>
        <v>1.8933671400629237E-4</v>
      </c>
      <c r="Y957">
        <f t="shared" ca="1" si="408"/>
        <v>52432.425337663408</v>
      </c>
      <c r="Z957">
        <f t="shared" ca="1" si="409"/>
        <v>52432.425337665234</v>
      </c>
      <c r="AA957">
        <f t="shared" ca="1" si="410"/>
        <v>2.2562304480281055E-12</v>
      </c>
      <c r="AB957">
        <f t="shared" ca="1" si="411"/>
        <v>-4.999999946448952E-4</v>
      </c>
      <c r="AC957">
        <f t="shared" ca="1" si="412"/>
        <v>1</v>
      </c>
      <c r="AD957">
        <f ca="1">IF(V32="Supercritical",L957,IF(V32="Subcritical",U957,IF(AND(T957=1,AC957=1),IF((((F957)*(L957)^2)/2+(G957)*(L957)^3/3+(ABS(K957)^2)/($I$5*MAX(((F957)+(G957)*(L957))*(L957),0.000001)))&gt;=(((F957)*(U957)^2)/2+(G957)*(U957)^3/3+(ABS(K957)^2)/($I$5*MAX(((F957)+(G957)*(U957))*(U957),0.000001))),L957,U957),IF(T957=1,L957,IF(AC957=1,U957,MAX($D$16,POWER((ABS(K957)^2)/($I$5*MAX(F957,0.1)^2),1/3)))))))</f>
        <v>51800.26683766341</v>
      </c>
      <c r="AE957">
        <f t="shared" ca="1" si="413"/>
        <v>52432.425337663408</v>
      </c>
      <c r="AF957">
        <f t="shared" ca="1" si="414"/>
        <v>52432.425337665234</v>
      </c>
      <c r="AI957">
        <v>0</v>
      </c>
      <c r="AJ957">
        <v>0</v>
      </c>
      <c r="AK957">
        <f t="shared" si="415"/>
        <v>0</v>
      </c>
      <c r="AL957">
        <f t="shared" si="424"/>
        <v>0</v>
      </c>
      <c r="AM957">
        <f t="shared" ca="1" si="416"/>
        <v>2.6560383008097266E-7</v>
      </c>
      <c r="AN957" t="str">
        <f t="shared" ca="1" si="417"/>
        <v>Subcritical</v>
      </c>
      <c r="AO957">
        <f t="shared" ca="1" si="418"/>
        <v>2.2562304480281055E-12</v>
      </c>
    </row>
    <row r="958" spans="1:41" x14ac:dyDescent="0.35">
      <c r="A958">
        <v>809</v>
      </c>
      <c r="B958">
        <v>807.88900000000001</v>
      </c>
      <c r="C958">
        <v>616089.28</v>
      </c>
      <c r="D958">
        <v>3097195.8769999999</v>
      </c>
      <c r="E958">
        <v>632.15800000000002</v>
      </c>
      <c r="F958">
        <v>5.2</v>
      </c>
      <c r="G958">
        <v>0</v>
      </c>
      <c r="H958" t="s">
        <v>186</v>
      </c>
      <c r="I958">
        <v>5.7000000000000002E-2</v>
      </c>
      <c r="J958">
        <f t="shared" si="419"/>
        <v>0.99900000000002365</v>
      </c>
      <c r="K958">
        <f t="shared" si="420"/>
        <v>51</v>
      </c>
      <c r="L958">
        <f t="shared" ca="1" si="421"/>
        <v>51797.843837663619</v>
      </c>
      <c r="M958">
        <f t="shared" ca="1" si="398"/>
        <v>269348.78795585083</v>
      </c>
      <c r="N958">
        <f t="shared" ca="1" si="399"/>
        <v>2.5998694991876676</v>
      </c>
      <c r="O958">
        <f t="shared" ca="1" si="400"/>
        <v>1.8934557080078435E-4</v>
      </c>
      <c r="P958">
        <f t="shared" ca="1" si="401"/>
        <v>52430.001837663622</v>
      </c>
      <c r="Q958">
        <f t="shared" ca="1" si="402"/>
        <v>52430.001837665448</v>
      </c>
      <c r="R958">
        <f t="shared" ca="1" si="403"/>
        <v>2.2564415439646509E-12</v>
      </c>
      <c r="S958">
        <f t="shared" ca="1" si="422"/>
        <v>4.999999946448952E-4</v>
      </c>
      <c r="T958">
        <f t="shared" ca="1" si="423"/>
        <v>1</v>
      </c>
      <c r="U958">
        <f t="shared" ca="1" si="404"/>
        <v>51800.26683766341</v>
      </c>
      <c r="V958">
        <f t="shared" ca="1" si="405"/>
        <v>269361.38755584974</v>
      </c>
      <c r="W958">
        <f t="shared" ca="1" si="406"/>
        <v>2.5998695052916441</v>
      </c>
      <c r="X958">
        <f t="shared" ca="1" si="407"/>
        <v>1.8933671400629237E-4</v>
      </c>
      <c r="Y958">
        <f t="shared" ca="1" si="408"/>
        <v>52432.424837663413</v>
      </c>
      <c r="Z958">
        <f t="shared" ca="1" si="409"/>
        <v>52432.424837665239</v>
      </c>
      <c r="AA958">
        <f t="shared" ca="1" si="410"/>
        <v>2.2562304480281055E-12</v>
      </c>
      <c r="AB958">
        <f t="shared" ca="1" si="411"/>
        <v>-5.0000000192085281E-4</v>
      </c>
      <c r="AC958">
        <f t="shared" ca="1" si="412"/>
        <v>1</v>
      </c>
      <c r="AD958">
        <f ca="1">IF(V32="Supercritical",L958,IF(V32="Subcritical",U958,IF(AND(T958=1,AC958=1),IF((((F958)*(L958)^2)/2+(G958)*(L958)^3/3+(ABS(K958)^2)/($I$5*MAX(((F958)+(G958)*(L958))*(L958),0.000001)))&gt;=(((F958)*(U958)^2)/2+(G958)*(U958)^3/3+(ABS(K958)^2)/($I$5*MAX(((F958)+(G958)*(U958))*(U958),0.000001))),L958,U958),IF(T958=1,L958,IF(AC958=1,U958,MAX($D$16,POWER((ABS(K958)^2)/($I$5*MAX(F958,0.1)^2),1/3)))))))</f>
        <v>51800.26683766341</v>
      </c>
      <c r="AE958">
        <f t="shared" ca="1" si="413"/>
        <v>52432.424837663413</v>
      </c>
      <c r="AF958">
        <f t="shared" ca="1" si="414"/>
        <v>52432.424837665239</v>
      </c>
      <c r="AI958">
        <v>0</v>
      </c>
      <c r="AJ958">
        <v>0</v>
      </c>
      <c r="AK958">
        <f t="shared" si="415"/>
        <v>0</v>
      </c>
      <c r="AL958">
        <f t="shared" si="424"/>
        <v>0</v>
      </c>
      <c r="AM958">
        <f t="shared" ca="1" si="416"/>
        <v>2.6560383008097266E-7</v>
      </c>
      <c r="AN958" t="str">
        <f t="shared" ca="1" si="417"/>
        <v>Subcritical</v>
      </c>
      <c r="AO958">
        <f t="shared" ca="1" si="418"/>
        <v>2.2562304480281055E-12</v>
      </c>
    </row>
    <row r="959" spans="1:41" x14ac:dyDescent="0.35">
      <c r="A959">
        <v>810</v>
      </c>
      <c r="B959">
        <v>808.88900000000001</v>
      </c>
      <c r="C959">
        <v>616089.23699999996</v>
      </c>
      <c r="D959">
        <v>3097194.878</v>
      </c>
      <c r="E959">
        <v>632.15750000000003</v>
      </c>
      <c r="F959">
        <v>5.2</v>
      </c>
      <c r="G959">
        <v>0</v>
      </c>
      <c r="H959" t="s">
        <v>186</v>
      </c>
      <c r="I959">
        <v>5.7000000000000002E-2</v>
      </c>
      <c r="J959">
        <f t="shared" si="419"/>
        <v>1</v>
      </c>
      <c r="K959">
        <f t="shared" si="420"/>
        <v>51</v>
      </c>
      <c r="L959">
        <f t="shared" ca="1" si="421"/>
        <v>51797.843837663619</v>
      </c>
      <c r="M959">
        <f t="shared" ca="1" si="398"/>
        <v>269348.78795585083</v>
      </c>
      <c r="N959">
        <f t="shared" ca="1" si="399"/>
        <v>2.5998694991876676</v>
      </c>
      <c r="O959">
        <f t="shared" ca="1" si="400"/>
        <v>1.8934557080078435E-4</v>
      </c>
      <c r="P959">
        <f t="shared" ca="1" si="401"/>
        <v>52430.00133766362</v>
      </c>
      <c r="Q959">
        <f t="shared" ca="1" si="402"/>
        <v>52430.001337665446</v>
      </c>
      <c r="R959">
        <f t="shared" ca="1" si="403"/>
        <v>2.2564415439646509E-12</v>
      </c>
      <c r="S959">
        <f t="shared" ca="1" si="422"/>
        <v>5.0000000192085281E-4</v>
      </c>
      <c r="T959">
        <f t="shared" ca="1" si="423"/>
        <v>1</v>
      </c>
      <c r="U959">
        <f t="shared" ca="1" si="404"/>
        <v>51800.26683766341</v>
      </c>
      <c r="V959">
        <f t="shared" ca="1" si="405"/>
        <v>269361.38755584974</v>
      </c>
      <c r="W959">
        <f t="shared" ca="1" si="406"/>
        <v>2.5998695052916441</v>
      </c>
      <c r="X959">
        <f t="shared" ca="1" si="407"/>
        <v>1.8933671400629237E-4</v>
      </c>
      <c r="Y959">
        <f t="shared" ca="1" si="408"/>
        <v>52432.424337663411</v>
      </c>
      <c r="Z959">
        <f t="shared" ca="1" si="409"/>
        <v>52432.424337665238</v>
      </c>
      <c r="AA959">
        <f t="shared" ca="1" si="410"/>
        <v>2.2562304480281055E-12</v>
      </c>
      <c r="AB959">
        <f t="shared" ca="1" si="411"/>
        <v>-5.0000000192085281E-4</v>
      </c>
      <c r="AC959">
        <f t="shared" ca="1" si="412"/>
        <v>1</v>
      </c>
      <c r="AD959">
        <f ca="1">IF(V32="Supercritical",L959,IF(V32="Subcritical",U959,IF(AND(T959=1,AC959=1),IF((((F959)*(L959)^2)/2+(G959)*(L959)^3/3+(ABS(K959)^2)/($I$5*MAX(((F959)+(G959)*(L959))*(L959),0.000001)))&gt;=(((F959)*(U959)^2)/2+(G959)*(U959)^3/3+(ABS(K959)^2)/($I$5*MAX(((F959)+(G959)*(U959))*(U959),0.000001))),L959,U959),IF(T959=1,L959,IF(AC959=1,U959,MAX($D$16,POWER((ABS(K959)^2)/($I$5*MAX(F959,0.1)^2),1/3)))))))</f>
        <v>51800.26683766341</v>
      </c>
      <c r="AE959">
        <f t="shared" ca="1" si="413"/>
        <v>52432.424337663411</v>
      </c>
      <c r="AF959">
        <f t="shared" ca="1" si="414"/>
        <v>52432.424337665238</v>
      </c>
      <c r="AI959">
        <v>0</v>
      </c>
      <c r="AJ959">
        <v>0</v>
      </c>
      <c r="AK959">
        <f t="shared" si="415"/>
        <v>0</v>
      </c>
      <c r="AL959">
        <f t="shared" si="424"/>
        <v>0</v>
      </c>
      <c r="AM959">
        <f t="shared" ca="1" si="416"/>
        <v>2.6560383008097266E-7</v>
      </c>
      <c r="AN959" t="str">
        <f t="shared" ca="1" si="417"/>
        <v>Subcritical</v>
      </c>
      <c r="AO959">
        <f t="shared" ca="1" si="418"/>
        <v>2.2562304480281055E-12</v>
      </c>
    </row>
    <row r="960" spans="1:41" x14ac:dyDescent="0.35">
      <c r="A960">
        <v>811</v>
      </c>
      <c r="B960">
        <v>809.88900000000001</v>
      </c>
      <c r="C960">
        <v>616089.19499999995</v>
      </c>
      <c r="D960">
        <v>3097193.8790000002</v>
      </c>
      <c r="E960">
        <v>632.15700000000004</v>
      </c>
      <c r="F960">
        <v>5.2</v>
      </c>
      <c r="G960">
        <v>0</v>
      </c>
      <c r="H960" t="s">
        <v>186</v>
      </c>
      <c r="I960">
        <v>0</v>
      </c>
      <c r="J960">
        <f t="shared" si="419"/>
        <v>1</v>
      </c>
      <c r="K960">
        <f t="shared" si="420"/>
        <v>51</v>
      </c>
      <c r="L960">
        <f t="shared" ca="1" si="421"/>
        <v>51797.843837663619</v>
      </c>
      <c r="M960">
        <f t="shared" ca="1" si="398"/>
        <v>269348.78795585083</v>
      </c>
      <c r="N960">
        <f t="shared" ca="1" si="399"/>
        <v>2.5998694991876676</v>
      </c>
      <c r="O960">
        <f t="shared" ca="1" si="400"/>
        <v>1.8934557080078435E-4</v>
      </c>
      <c r="P960">
        <f t="shared" ca="1" si="401"/>
        <v>52430.000837663618</v>
      </c>
      <c r="Q960">
        <f t="shared" ca="1" si="402"/>
        <v>52430.000837665444</v>
      </c>
      <c r="R960">
        <f t="shared" ca="1" si="403"/>
        <v>2.2564415439646509E-12</v>
      </c>
      <c r="S960">
        <f t="shared" ca="1" si="422"/>
        <v>5.0000000192085281E-4</v>
      </c>
      <c r="T960">
        <f t="shared" ca="1" si="423"/>
        <v>1</v>
      </c>
      <c r="U960">
        <f t="shared" ca="1" si="404"/>
        <v>51800.26683766341</v>
      </c>
      <c r="V960">
        <f t="shared" ca="1" si="405"/>
        <v>269361.38755584974</v>
      </c>
      <c r="W960">
        <f t="shared" ca="1" si="406"/>
        <v>2.5998695052916441</v>
      </c>
      <c r="X960">
        <f t="shared" ca="1" si="407"/>
        <v>1.8933671400629237E-4</v>
      </c>
      <c r="Y960">
        <f t="shared" ca="1" si="408"/>
        <v>52432.423837663409</v>
      </c>
      <c r="Z960">
        <f t="shared" ca="1" si="409"/>
        <v>52432.423837665236</v>
      </c>
      <c r="AA960">
        <f t="shared" ca="1" si="410"/>
        <v>2.2562304480281055E-12</v>
      </c>
      <c r="AB960">
        <f t="shared" ca="1" si="411"/>
        <v>-5.0000000192085281E-4</v>
      </c>
      <c r="AC960">
        <f t="shared" ca="1" si="412"/>
        <v>1</v>
      </c>
      <c r="AD960">
        <f ca="1">IF(V32="Supercritical",L960,IF(V32="Subcritical",U960,IF(AND(T960=1,AC960=1),IF((((F960)*(L960)^2)/2+(G960)*(L960)^3/3+(ABS(K960)^2)/($I$5*MAX(((F960)+(G960)*(L960))*(L960),0.000001)))&gt;=(((F960)*(U960)^2)/2+(G960)*(U960)^3/3+(ABS(K960)^2)/($I$5*MAX(((F960)+(G960)*(U960))*(U960),0.000001))),L960,U960),IF(T960=1,L960,IF(AC960=1,U960,MAX($D$16,POWER((ABS(K960)^2)/($I$5*MAX(F960,0.1)^2),1/3)))))))</f>
        <v>51800.26683766341</v>
      </c>
      <c r="AE960">
        <f t="shared" ca="1" si="413"/>
        <v>52432.423837663409</v>
      </c>
      <c r="AF960">
        <f t="shared" ca="1" si="414"/>
        <v>52432.423837665236</v>
      </c>
      <c r="AI960">
        <v>0</v>
      </c>
      <c r="AJ960">
        <v>0</v>
      </c>
      <c r="AK960">
        <f t="shared" si="415"/>
        <v>0</v>
      </c>
      <c r="AL960">
        <f t="shared" si="424"/>
        <v>0</v>
      </c>
      <c r="AM960">
        <f t="shared" ca="1" si="416"/>
        <v>2.6560383008097266E-7</v>
      </c>
      <c r="AN960" t="str">
        <f t="shared" ca="1" si="417"/>
        <v>Subcritical</v>
      </c>
      <c r="AO960">
        <f t="shared" ca="1" si="418"/>
        <v>2.2562304480281055E-12</v>
      </c>
    </row>
    <row r="961" spans="1:41" x14ac:dyDescent="0.35">
      <c r="A961">
        <v>812</v>
      </c>
      <c r="B961">
        <v>810.88900000000001</v>
      </c>
      <c r="C961">
        <v>616089.15300000005</v>
      </c>
      <c r="D961">
        <v>3097192.88</v>
      </c>
      <c r="E961">
        <v>632.15650000000005</v>
      </c>
      <c r="F961">
        <v>5.2</v>
      </c>
      <c r="G961">
        <v>0</v>
      </c>
      <c r="H961" t="s">
        <v>186</v>
      </c>
      <c r="I961">
        <v>0</v>
      </c>
      <c r="J961">
        <f t="shared" si="419"/>
        <v>1</v>
      </c>
      <c r="K961">
        <f t="shared" si="420"/>
        <v>51</v>
      </c>
      <c r="L961">
        <f t="shared" ca="1" si="421"/>
        <v>51797.843837663619</v>
      </c>
      <c r="M961">
        <f t="shared" ca="1" si="398"/>
        <v>269348.78795585083</v>
      </c>
      <c r="N961">
        <f t="shared" ca="1" si="399"/>
        <v>2.5998694991876676</v>
      </c>
      <c r="O961">
        <f t="shared" ca="1" si="400"/>
        <v>1.8934557080078435E-4</v>
      </c>
      <c r="P961">
        <f t="shared" ca="1" si="401"/>
        <v>52430.000337663616</v>
      </c>
      <c r="Q961">
        <f t="shared" ca="1" si="402"/>
        <v>52430.000337665442</v>
      </c>
      <c r="R961">
        <f t="shared" ca="1" si="403"/>
        <v>2.2564415439646509E-12</v>
      </c>
      <c r="S961">
        <f t="shared" ca="1" si="422"/>
        <v>5.0000000192085281E-4</v>
      </c>
      <c r="T961">
        <f t="shared" ca="1" si="423"/>
        <v>1</v>
      </c>
      <c r="U961">
        <f t="shared" ca="1" si="404"/>
        <v>51800.26683766341</v>
      </c>
      <c r="V961">
        <f t="shared" ca="1" si="405"/>
        <v>269361.38755584974</v>
      </c>
      <c r="W961">
        <f t="shared" ca="1" si="406"/>
        <v>2.5998695052916441</v>
      </c>
      <c r="X961">
        <f t="shared" ca="1" si="407"/>
        <v>1.8933671400629237E-4</v>
      </c>
      <c r="Y961">
        <f t="shared" ca="1" si="408"/>
        <v>52432.423337663407</v>
      </c>
      <c r="Z961">
        <f t="shared" ca="1" si="409"/>
        <v>52432.423337665234</v>
      </c>
      <c r="AA961">
        <f t="shared" ca="1" si="410"/>
        <v>2.2562304480281055E-12</v>
      </c>
      <c r="AB961">
        <f t="shared" ca="1" si="411"/>
        <v>-4.999999946448952E-4</v>
      </c>
      <c r="AC961">
        <f t="shared" ca="1" si="412"/>
        <v>1</v>
      </c>
      <c r="AD961">
        <f ca="1">IF(V32="Supercritical",L961,IF(V32="Subcritical",U961,IF(AND(T961=1,AC961=1),IF((((F961)*(L961)^2)/2+(G961)*(L961)^3/3+(ABS(K961)^2)/($I$5*MAX(((F961)+(G961)*(L961))*(L961),0.000001)))&gt;=(((F961)*(U961)^2)/2+(G961)*(U961)^3/3+(ABS(K961)^2)/($I$5*MAX(((F961)+(G961)*(U961))*(U961),0.000001))),L961,U961),IF(T961=1,L961,IF(AC961=1,U961,MAX($D$16,POWER((ABS(K961)^2)/($I$5*MAX(F961,0.1)^2),1/3)))))))</f>
        <v>51800.26683766341</v>
      </c>
      <c r="AE961">
        <f t="shared" ca="1" si="413"/>
        <v>52432.423337663407</v>
      </c>
      <c r="AF961">
        <f t="shared" ca="1" si="414"/>
        <v>52432.423337665234</v>
      </c>
      <c r="AI961">
        <v>0</v>
      </c>
      <c r="AJ961">
        <v>0</v>
      </c>
      <c r="AK961">
        <f t="shared" si="415"/>
        <v>0</v>
      </c>
      <c r="AL961">
        <f t="shared" si="424"/>
        <v>0</v>
      </c>
      <c r="AM961">
        <f t="shared" ca="1" si="416"/>
        <v>2.6560383008097266E-7</v>
      </c>
      <c r="AN961" t="str">
        <f t="shared" ca="1" si="417"/>
        <v>Subcritical</v>
      </c>
      <c r="AO961">
        <f t="shared" ca="1" si="418"/>
        <v>2.2562304480281055E-12</v>
      </c>
    </row>
    <row r="962" spans="1:41" x14ac:dyDescent="0.35">
      <c r="A962">
        <v>813</v>
      </c>
      <c r="B962">
        <v>811.88900000000001</v>
      </c>
      <c r="C962">
        <v>616089.11100000003</v>
      </c>
      <c r="D962">
        <v>3097191.8810000001</v>
      </c>
      <c r="E962">
        <v>632.15599999999995</v>
      </c>
      <c r="F962">
        <v>5.2</v>
      </c>
      <c r="G962">
        <v>0</v>
      </c>
      <c r="H962" t="s">
        <v>186</v>
      </c>
      <c r="I962">
        <v>5.7000000000000002E-2</v>
      </c>
      <c r="J962">
        <f t="shared" si="419"/>
        <v>1</v>
      </c>
      <c r="K962">
        <f t="shared" si="420"/>
        <v>51</v>
      </c>
      <c r="L962">
        <f t="shared" ca="1" si="421"/>
        <v>51797.843837663619</v>
      </c>
      <c r="M962">
        <f t="shared" ca="1" si="398"/>
        <v>269348.78795585083</v>
      </c>
      <c r="N962">
        <f t="shared" ca="1" si="399"/>
        <v>2.5998694991876676</v>
      </c>
      <c r="O962">
        <f t="shared" ca="1" si="400"/>
        <v>1.8934557080078435E-4</v>
      </c>
      <c r="P962">
        <f t="shared" ca="1" si="401"/>
        <v>52429.999837663621</v>
      </c>
      <c r="Q962">
        <f t="shared" ca="1" si="402"/>
        <v>52429.999837665448</v>
      </c>
      <c r="R962">
        <f t="shared" ca="1" si="403"/>
        <v>2.2564415439646509E-12</v>
      </c>
      <c r="S962">
        <f t="shared" ca="1" si="422"/>
        <v>4.999999946448952E-4</v>
      </c>
      <c r="T962">
        <f t="shared" ca="1" si="423"/>
        <v>1</v>
      </c>
      <c r="U962">
        <f t="shared" ca="1" si="404"/>
        <v>51800.26683766341</v>
      </c>
      <c r="V962">
        <f t="shared" ca="1" si="405"/>
        <v>269361.38755584974</v>
      </c>
      <c r="W962">
        <f t="shared" ca="1" si="406"/>
        <v>2.5998695052916441</v>
      </c>
      <c r="X962">
        <f t="shared" ca="1" si="407"/>
        <v>1.8933671400629237E-4</v>
      </c>
      <c r="Y962">
        <f t="shared" ca="1" si="408"/>
        <v>52432.422837663413</v>
      </c>
      <c r="Z962">
        <f t="shared" ca="1" si="409"/>
        <v>52432.422837665239</v>
      </c>
      <c r="AA962">
        <f t="shared" ca="1" si="410"/>
        <v>2.2562304480281055E-12</v>
      </c>
      <c r="AB962">
        <f t="shared" ca="1" si="411"/>
        <v>-5.0000000192085281E-4</v>
      </c>
      <c r="AC962">
        <f t="shared" ca="1" si="412"/>
        <v>1</v>
      </c>
      <c r="AD962">
        <f ca="1">IF(V32="Supercritical",L962,IF(V32="Subcritical",U962,IF(AND(T962=1,AC962=1),IF((((F962)*(L962)^2)/2+(G962)*(L962)^3/3+(ABS(K962)^2)/($I$5*MAX(((F962)+(G962)*(L962))*(L962),0.000001)))&gt;=(((F962)*(U962)^2)/2+(G962)*(U962)^3/3+(ABS(K962)^2)/($I$5*MAX(((F962)+(G962)*(U962))*(U962),0.000001))),L962,U962),IF(T962=1,L962,IF(AC962=1,U962,MAX($D$16,POWER((ABS(K962)^2)/($I$5*MAX(F962,0.1)^2),1/3)))))))</f>
        <v>51800.26683766341</v>
      </c>
      <c r="AE962">
        <f t="shared" ca="1" si="413"/>
        <v>52432.422837663413</v>
      </c>
      <c r="AF962">
        <f t="shared" ca="1" si="414"/>
        <v>52432.422837665239</v>
      </c>
      <c r="AI962">
        <v>0</v>
      </c>
      <c r="AJ962">
        <v>0</v>
      </c>
      <c r="AK962">
        <f t="shared" si="415"/>
        <v>0</v>
      </c>
      <c r="AL962">
        <f t="shared" si="424"/>
        <v>0</v>
      </c>
      <c r="AM962">
        <f t="shared" ca="1" si="416"/>
        <v>2.6560383008097266E-7</v>
      </c>
      <c r="AN962" t="str">
        <f t="shared" ca="1" si="417"/>
        <v>Subcritical</v>
      </c>
      <c r="AO962">
        <f t="shared" ca="1" si="418"/>
        <v>2.2562304480281055E-12</v>
      </c>
    </row>
    <row r="963" spans="1:41" x14ac:dyDescent="0.35">
      <c r="A963">
        <v>814</v>
      </c>
      <c r="B963">
        <v>812.88900000000001</v>
      </c>
      <c r="C963">
        <v>616089.06799999997</v>
      </c>
      <c r="D963">
        <v>3097190.8820000002</v>
      </c>
      <c r="E963">
        <v>632.15549999999996</v>
      </c>
      <c r="F963">
        <v>5.2</v>
      </c>
      <c r="G963">
        <v>0</v>
      </c>
      <c r="H963" t="s">
        <v>186</v>
      </c>
      <c r="I963">
        <v>5.7000000000000002E-2</v>
      </c>
      <c r="J963">
        <f t="shared" si="419"/>
        <v>1</v>
      </c>
      <c r="K963">
        <f t="shared" si="420"/>
        <v>51</v>
      </c>
      <c r="L963">
        <f t="shared" ca="1" si="421"/>
        <v>51797.843837663619</v>
      </c>
      <c r="M963">
        <f t="shared" ca="1" si="398"/>
        <v>269348.78795585083</v>
      </c>
      <c r="N963">
        <f t="shared" ca="1" si="399"/>
        <v>2.5998694991876676</v>
      </c>
      <c r="O963">
        <f t="shared" ca="1" si="400"/>
        <v>1.8934557080078435E-4</v>
      </c>
      <c r="P963">
        <f t="shared" ca="1" si="401"/>
        <v>52429.999337663619</v>
      </c>
      <c r="Q963">
        <f t="shared" ca="1" si="402"/>
        <v>52429.999337665446</v>
      </c>
      <c r="R963">
        <f t="shared" ca="1" si="403"/>
        <v>2.2564415439646509E-12</v>
      </c>
      <c r="S963">
        <f t="shared" ca="1" si="422"/>
        <v>5.0000000192085281E-4</v>
      </c>
      <c r="T963">
        <f t="shared" ca="1" si="423"/>
        <v>1</v>
      </c>
      <c r="U963">
        <f t="shared" ca="1" si="404"/>
        <v>51800.26683766341</v>
      </c>
      <c r="V963">
        <f t="shared" ca="1" si="405"/>
        <v>269361.38755584974</v>
      </c>
      <c r="W963">
        <f t="shared" ca="1" si="406"/>
        <v>2.5998695052916441</v>
      </c>
      <c r="X963">
        <f t="shared" ca="1" si="407"/>
        <v>1.8933671400629237E-4</v>
      </c>
      <c r="Y963">
        <f t="shared" ca="1" si="408"/>
        <v>52432.422337663411</v>
      </c>
      <c r="Z963">
        <f t="shared" ca="1" si="409"/>
        <v>52432.422337665237</v>
      </c>
      <c r="AA963">
        <f t="shared" ca="1" si="410"/>
        <v>2.2562304480281055E-12</v>
      </c>
      <c r="AB963">
        <f t="shared" ca="1" si="411"/>
        <v>-5.0000000192085281E-4</v>
      </c>
      <c r="AC963">
        <f t="shared" ca="1" si="412"/>
        <v>1</v>
      </c>
      <c r="AD963">
        <f ca="1">IF(V32="Supercritical",L963,IF(V32="Subcritical",U963,IF(AND(T963=1,AC963=1),IF((((F963)*(L963)^2)/2+(G963)*(L963)^3/3+(ABS(K963)^2)/($I$5*MAX(((F963)+(G963)*(L963))*(L963),0.000001)))&gt;=(((F963)*(U963)^2)/2+(G963)*(U963)^3/3+(ABS(K963)^2)/($I$5*MAX(((F963)+(G963)*(U963))*(U963),0.000001))),L963,U963),IF(T963=1,L963,IF(AC963=1,U963,MAX($D$16,POWER((ABS(K963)^2)/($I$5*MAX(F963,0.1)^2),1/3)))))))</f>
        <v>51800.26683766341</v>
      </c>
      <c r="AE963">
        <f t="shared" ca="1" si="413"/>
        <v>52432.422337663411</v>
      </c>
      <c r="AF963">
        <f t="shared" ca="1" si="414"/>
        <v>52432.422337665237</v>
      </c>
      <c r="AI963">
        <v>0</v>
      </c>
      <c r="AJ963">
        <v>0</v>
      </c>
      <c r="AK963">
        <f t="shared" si="415"/>
        <v>0</v>
      </c>
      <c r="AL963">
        <f t="shared" si="424"/>
        <v>0</v>
      </c>
      <c r="AM963">
        <f t="shared" ca="1" si="416"/>
        <v>2.6560383008097266E-7</v>
      </c>
      <c r="AN963" t="str">
        <f t="shared" ca="1" si="417"/>
        <v>Subcritical</v>
      </c>
      <c r="AO963">
        <f t="shared" ca="1" si="418"/>
        <v>2.2562304480281055E-12</v>
      </c>
    </row>
    <row r="964" spans="1:41" x14ac:dyDescent="0.35">
      <c r="A964">
        <v>815</v>
      </c>
      <c r="B964">
        <v>813.88900000000001</v>
      </c>
      <c r="C964">
        <v>616089.02599999995</v>
      </c>
      <c r="D964">
        <v>3097189.8829999999</v>
      </c>
      <c r="E964">
        <v>632.15499999999997</v>
      </c>
      <c r="F964">
        <v>5.2</v>
      </c>
      <c r="G964">
        <v>0</v>
      </c>
      <c r="H964" t="s">
        <v>186</v>
      </c>
      <c r="I964">
        <v>2E-3</v>
      </c>
      <c r="J964">
        <f t="shared" si="419"/>
        <v>1</v>
      </c>
      <c r="K964">
        <f t="shared" si="420"/>
        <v>51</v>
      </c>
      <c r="L964">
        <f t="shared" ca="1" si="421"/>
        <v>51797.843837663619</v>
      </c>
      <c r="M964">
        <f t="shared" ca="1" si="398"/>
        <v>269348.78795585083</v>
      </c>
      <c r="N964">
        <f t="shared" ca="1" si="399"/>
        <v>2.5998694991876676</v>
      </c>
      <c r="O964">
        <f t="shared" ca="1" si="400"/>
        <v>1.8934557080078435E-4</v>
      </c>
      <c r="P964">
        <f t="shared" ca="1" si="401"/>
        <v>52429.998837663617</v>
      </c>
      <c r="Q964">
        <f t="shared" ca="1" si="402"/>
        <v>52429.998837665444</v>
      </c>
      <c r="R964">
        <f t="shared" ca="1" si="403"/>
        <v>2.2564415439646509E-12</v>
      </c>
      <c r="S964">
        <f t="shared" ca="1" si="422"/>
        <v>5.0000000192085281E-4</v>
      </c>
      <c r="T964">
        <f t="shared" ca="1" si="423"/>
        <v>1</v>
      </c>
      <c r="U964">
        <f t="shared" ca="1" si="404"/>
        <v>51800.26683766341</v>
      </c>
      <c r="V964">
        <f t="shared" ca="1" si="405"/>
        <v>269361.38755584974</v>
      </c>
      <c r="W964">
        <f t="shared" ca="1" si="406"/>
        <v>2.5998695052916441</v>
      </c>
      <c r="X964">
        <f t="shared" ca="1" si="407"/>
        <v>1.8933671400629237E-4</v>
      </c>
      <c r="Y964">
        <f t="shared" ca="1" si="408"/>
        <v>52432.421837663409</v>
      </c>
      <c r="Z964">
        <f t="shared" ca="1" si="409"/>
        <v>52432.421837665235</v>
      </c>
      <c r="AA964">
        <f t="shared" ca="1" si="410"/>
        <v>2.2562304480281055E-12</v>
      </c>
      <c r="AB964">
        <f t="shared" ca="1" si="411"/>
        <v>-5.0000000192085281E-4</v>
      </c>
      <c r="AC964">
        <f t="shared" ca="1" si="412"/>
        <v>1</v>
      </c>
      <c r="AD964">
        <f ca="1">IF(V32="Supercritical",L964,IF(V32="Subcritical",U964,IF(AND(T964=1,AC964=1),IF((((F964)*(L964)^2)/2+(G964)*(L964)^3/3+(ABS(K964)^2)/($I$5*MAX(((F964)+(G964)*(L964))*(L964),0.000001)))&gt;=(((F964)*(U964)^2)/2+(G964)*(U964)^3/3+(ABS(K964)^2)/($I$5*MAX(((F964)+(G964)*(U964))*(U964),0.000001))),L964,U964),IF(T964=1,L964,IF(AC964=1,U964,MAX($D$16,POWER((ABS(K964)^2)/($I$5*MAX(F964,0.1)^2),1/3)))))))</f>
        <v>51800.26683766341</v>
      </c>
      <c r="AE964">
        <f t="shared" ca="1" si="413"/>
        <v>52432.421837663409</v>
      </c>
      <c r="AF964">
        <f t="shared" ca="1" si="414"/>
        <v>52432.421837665235</v>
      </c>
      <c r="AI964">
        <v>0</v>
      </c>
      <c r="AJ964">
        <v>0</v>
      </c>
      <c r="AK964">
        <f t="shared" si="415"/>
        <v>0</v>
      </c>
      <c r="AL964">
        <f t="shared" si="424"/>
        <v>0</v>
      </c>
      <c r="AM964">
        <f t="shared" ca="1" si="416"/>
        <v>2.6560383008097266E-7</v>
      </c>
      <c r="AN964" t="str">
        <f t="shared" ca="1" si="417"/>
        <v>Subcritical</v>
      </c>
      <c r="AO964">
        <f t="shared" ca="1" si="418"/>
        <v>2.2562304480281055E-12</v>
      </c>
    </row>
    <row r="965" spans="1:41" x14ac:dyDescent="0.35">
      <c r="A965">
        <v>816</v>
      </c>
      <c r="B965">
        <v>814.89</v>
      </c>
      <c r="C965">
        <v>616088.98400000005</v>
      </c>
      <c r="D965">
        <v>3097188.8829999999</v>
      </c>
      <c r="E965">
        <v>632.15449999999998</v>
      </c>
      <c r="F965">
        <v>5.2</v>
      </c>
      <c r="G965">
        <v>0</v>
      </c>
      <c r="H965" t="s">
        <v>186</v>
      </c>
      <c r="I965">
        <v>2E-3</v>
      </c>
      <c r="J965">
        <f t="shared" si="419"/>
        <v>1.0009999999999764</v>
      </c>
      <c r="K965">
        <f t="shared" si="420"/>
        <v>51</v>
      </c>
      <c r="L965">
        <f t="shared" ca="1" si="421"/>
        <v>51797.843837663619</v>
      </c>
      <c r="M965">
        <f t="shared" ca="1" si="398"/>
        <v>269348.78795585083</v>
      </c>
      <c r="N965">
        <f t="shared" ca="1" si="399"/>
        <v>2.5998694991876676</v>
      </c>
      <c r="O965">
        <f t="shared" ca="1" si="400"/>
        <v>1.8934557080078435E-4</v>
      </c>
      <c r="P965">
        <f t="shared" ca="1" si="401"/>
        <v>52429.998337663616</v>
      </c>
      <c r="Q965">
        <f t="shared" ca="1" si="402"/>
        <v>52429.998337665442</v>
      </c>
      <c r="R965">
        <f t="shared" ca="1" si="403"/>
        <v>2.2564415439646509E-12</v>
      </c>
      <c r="S965">
        <f t="shared" ca="1" si="422"/>
        <v>5.0000000192085281E-4</v>
      </c>
      <c r="T965">
        <f t="shared" ca="1" si="423"/>
        <v>1</v>
      </c>
      <c r="U965">
        <f t="shared" ca="1" si="404"/>
        <v>51800.26683766341</v>
      </c>
      <c r="V965">
        <f t="shared" ca="1" si="405"/>
        <v>269361.38755584974</v>
      </c>
      <c r="W965">
        <f t="shared" ca="1" si="406"/>
        <v>2.5998695052916441</v>
      </c>
      <c r="X965">
        <f t="shared" ca="1" si="407"/>
        <v>1.8933671400629237E-4</v>
      </c>
      <c r="Y965">
        <f t="shared" ca="1" si="408"/>
        <v>52432.421337663407</v>
      </c>
      <c r="Z965">
        <f t="shared" ca="1" si="409"/>
        <v>52432.421337665233</v>
      </c>
      <c r="AA965">
        <f t="shared" ca="1" si="410"/>
        <v>2.2562304480281055E-12</v>
      </c>
      <c r="AB965">
        <f t="shared" ca="1" si="411"/>
        <v>-4.999999946448952E-4</v>
      </c>
      <c r="AC965">
        <f t="shared" ca="1" si="412"/>
        <v>1</v>
      </c>
      <c r="AD965">
        <f ca="1">IF(V32="Supercritical",L965,IF(V32="Subcritical",U965,IF(AND(T965=1,AC965=1),IF((((F965)*(L965)^2)/2+(G965)*(L965)^3/3+(ABS(K965)^2)/($I$5*MAX(((F965)+(G965)*(L965))*(L965),0.000001)))&gt;=(((F965)*(U965)^2)/2+(G965)*(U965)^3/3+(ABS(K965)^2)/($I$5*MAX(((F965)+(G965)*(U965))*(U965),0.000001))),L965,U965),IF(T965=1,L965,IF(AC965=1,U965,MAX($D$16,POWER((ABS(K965)^2)/($I$5*MAX(F965,0.1)^2),1/3)))))))</f>
        <v>51800.26683766341</v>
      </c>
      <c r="AE965">
        <f t="shared" ca="1" si="413"/>
        <v>52432.421337663407</v>
      </c>
      <c r="AF965">
        <f t="shared" ca="1" si="414"/>
        <v>52432.421337665233</v>
      </c>
      <c r="AI965">
        <v>0</v>
      </c>
      <c r="AJ965">
        <v>0</v>
      </c>
      <c r="AK965">
        <f t="shared" si="415"/>
        <v>0</v>
      </c>
      <c r="AL965">
        <f t="shared" si="424"/>
        <v>0</v>
      </c>
      <c r="AM965">
        <f t="shared" ca="1" si="416"/>
        <v>2.6560383008097266E-7</v>
      </c>
      <c r="AN965" t="str">
        <f t="shared" ca="1" si="417"/>
        <v>Subcritical</v>
      </c>
      <c r="AO965">
        <f t="shared" ca="1" si="418"/>
        <v>2.2562304480281055E-12</v>
      </c>
    </row>
    <row r="966" spans="1:41" x14ac:dyDescent="0.35">
      <c r="A966">
        <v>817</v>
      </c>
      <c r="B966">
        <v>815.89</v>
      </c>
      <c r="C966">
        <v>616088.94200000004</v>
      </c>
      <c r="D966">
        <v>3097187.8840000001</v>
      </c>
      <c r="E966">
        <v>632.154</v>
      </c>
      <c r="F966">
        <v>5.2</v>
      </c>
      <c r="G966">
        <v>0</v>
      </c>
      <c r="H966" t="s">
        <v>186</v>
      </c>
      <c r="I966">
        <v>5.7000000000000002E-2</v>
      </c>
      <c r="J966">
        <f t="shared" si="419"/>
        <v>1</v>
      </c>
      <c r="K966">
        <f t="shared" si="420"/>
        <v>51</v>
      </c>
      <c r="L966">
        <f t="shared" ca="1" si="421"/>
        <v>51797.843837663619</v>
      </c>
      <c r="M966">
        <f t="shared" ca="1" si="398"/>
        <v>269348.78795585083</v>
      </c>
      <c r="N966">
        <f t="shared" ca="1" si="399"/>
        <v>2.5998694991876676</v>
      </c>
      <c r="O966">
        <f t="shared" ca="1" si="400"/>
        <v>1.8934557080078435E-4</v>
      </c>
      <c r="P966">
        <f t="shared" ca="1" si="401"/>
        <v>52429.997837663621</v>
      </c>
      <c r="Q966">
        <f t="shared" ca="1" si="402"/>
        <v>52429.997837665447</v>
      </c>
      <c r="R966">
        <f t="shared" ca="1" si="403"/>
        <v>2.2564415439646509E-12</v>
      </c>
      <c r="S966">
        <f t="shared" ca="1" si="422"/>
        <v>4.999999946448952E-4</v>
      </c>
      <c r="T966">
        <f t="shared" ca="1" si="423"/>
        <v>1</v>
      </c>
      <c r="U966">
        <f t="shared" ca="1" si="404"/>
        <v>51800.26683766341</v>
      </c>
      <c r="V966">
        <f t="shared" ca="1" si="405"/>
        <v>269361.38755584974</v>
      </c>
      <c r="W966">
        <f t="shared" ca="1" si="406"/>
        <v>2.5998695052916441</v>
      </c>
      <c r="X966">
        <f t="shared" ca="1" si="407"/>
        <v>1.8933671400629237E-4</v>
      </c>
      <c r="Y966">
        <f t="shared" ca="1" si="408"/>
        <v>52432.420837663412</v>
      </c>
      <c r="Z966">
        <f t="shared" ca="1" si="409"/>
        <v>52432.420837665239</v>
      </c>
      <c r="AA966">
        <f t="shared" ca="1" si="410"/>
        <v>2.2562304480281055E-12</v>
      </c>
      <c r="AB966">
        <f t="shared" ca="1" si="411"/>
        <v>-5.0000000192085281E-4</v>
      </c>
      <c r="AC966">
        <f t="shared" ca="1" si="412"/>
        <v>1</v>
      </c>
      <c r="AD966">
        <f ca="1">IF(V32="Supercritical",L966,IF(V32="Subcritical",U966,IF(AND(T966=1,AC966=1),IF((((F966)*(L966)^2)/2+(G966)*(L966)^3/3+(ABS(K966)^2)/($I$5*MAX(((F966)+(G966)*(L966))*(L966),0.000001)))&gt;=(((F966)*(U966)^2)/2+(G966)*(U966)^3/3+(ABS(K966)^2)/($I$5*MAX(((F966)+(G966)*(U966))*(U966),0.000001))),L966,U966),IF(T966=1,L966,IF(AC966=1,U966,MAX($D$16,POWER((ABS(K966)^2)/($I$5*MAX(F966,0.1)^2),1/3)))))))</f>
        <v>51800.26683766341</v>
      </c>
      <c r="AE966">
        <f t="shared" ca="1" si="413"/>
        <v>52432.420837663412</v>
      </c>
      <c r="AF966">
        <f t="shared" ca="1" si="414"/>
        <v>52432.420837665239</v>
      </c>
      <c r="AI966">
        <v>0</v>
      </c>
      <c r="AJ966">
        <v>0</v>
      </c>
      <c r="AK966">
        <f t="shared" si="415"/>
        <v>0</v>
      </c>
      <c r="AL966">
        <f t="shared" si="424"/>
        <v>0</v>
      </c>
      <c r="AM966">
        <f t="shared" ca="1" si="416"/>
        <v>2.6560383008097266E-7</v>
      </c>
      <c r="AN966" t="str">
        <f t="shared" ca="1" si="417"/>
        <v>Subcritical</v>
      </c>
      <c r="AO966">
        <f t="shared" ca="1" si="418"/>
        <v>2.2562304480281055E-12</v>
      </c>
    </row>
    <row r="967" spans="1:41" x14ac:dyDescent="0.35">
      <c r="A967">
        <v>818</v>
      </c>
      <c r="B967">
        <v>816.89</v>
      </c>
      <c r="C967">
        <v>616088.89899999998</v>
      </c>
      <c r="D967">
        <v>3097186.8849999998</v>
      </c>
      <c r="E967">
        <v>632.15350000000001</v>
      </c>
      <c r="F967">
        <v>5.2</v>
      </c>
      <c r="G967">
        <v>0</v>
      </c>
      <c r="H967" t="s">
        <v>186</v>
      </c>
      <c r="I967">
        <v>5.7000000000000002E-2</v>
      </c>
      <c r="J967">
        <f t="shared" si="419"/>
        <v>1</v>
      </c>
      <c r="K967">
        <f t="shared" si="420"/>
        <v>51</v>
      </c>
      <c r="L967">
        <f t="shared" ca="1" si="421"/>
        <v>51797.843837663619</v>
      </c>
      <c r="M967">
        <f t="shared" ca="1" si="398"/>
        <v>269348.78795585083</v>
      </c>
      <c r="N967">
        <f t="shared" ca="1" si="399"/>
        <v>2.5998694991876676</v>
      </c>
      <c r="O967">
        <f t="shared" ca="1" si="400"/>
        <v>1.8934557080078435E-4</v>
      </c>
      <c r="P967">
        <f t="shared" ca="1" si="401"/>
        <v>52429.997337663619</v>
      </c>
      <c r="Q967">
        <f t="shared" ca="1" si="402"/>
        <v>52429.997337665445</v>
      </c>
      <c r="R967">
        <f t="shared" ca="1" si="403"/>
        <v>2.2564415439646509E-12</v>
      </c>
      <c r="S967">
        <f t="shared" ca="1" si="422"/>
        <v>5.0000000192085281E-4</v>
      </c>
      <c r="T967">
        <f t="shared" ca="1" si="423"/>
        <v>1</v>
      </c>
      <c r="U967">
        <f t="shared" ca="1" si="404"/>
        <v>51800.26683766341</v>
      </c>
      <c r="V967">
        <f t="shared" ca="1" si="405"/>
        <v>269361.38755584974</v>
      </c>
      <c r="W967">
        <f t="shared" ca="1" si="406"/>
        <v>2.5998695052916441</v>
      </c>
      <c r="X967">
        <f t="shared" ca="1" si="407"/>
        <v>1.8933671400629237E-4</v>
      </c>
      <c r="Y967">
        <f t="shared" ca="1" si="408"/>
        <v>52432.42033766341</v>
      </c>
      <c r="Z967">
        <f t="shared" ca="1" si="409"/>
        <v>52432.420337665237</v>
      </c>
      <c r="AA967">
        <f t="shared" ca="1" si="410"/>
        <v>2.2562304480281055E-12</v>
      </c>
      <c r="AB967">
        <f t="shared" ca="1" si="411"/>
        <v>-5.0000000192085281E-4</v>
      </c>
      <c r="AC967">
        <f t="shared" ca="1" si="412"/>
        <v>1</v>
      </c>
      <c r="AD967">
        <f ca="1">IF(V32="Supercritical",L967,IF(V32="Subcritical",U967,IF(AND(T967=1,AC967=1),IF((((F967)*(L967)^2)/2+(G967)*(L967)^3/3+(ABS(K967)^2)/($I$5*MAX(((F967)+(G967)*(L967))*(L967),0.000001)))&gt;=(((F967)*(U967)^2)/2+(G967)*(U967)^3/3+(ABS(K967)^2)/($I$5*MAX(((F967)+(G967)*(U967))*(U967),0.000001))),L967,U967),IF(T967=1,L967,IF(AC967=1,U967,MAX($D$16,POWER((ABS(K967)^2)/($I$5*MAX(F967,0.1)^2),1/3)))))))</f>
        <v>51800.26683766341</v>
      </c>
      <c r="AE967">
        <f t="shared" ca="1" si="413"/>
        <v>52432.42033766341</v>
      </c>
      <c r="AF967">
        <f t="shared" ca="1" si="414"/>
        <v>52432.420337665237</v>
      </c>
      <c r="AI967">
        <v>0</v>
      </c>
      <c r="AJ967">
        <v>0</v>
      </c>
      <c r="AK967">
        <f t="shared" si="415"/>
        <v>0</v>
      </c>
      <c r="AL967">
        <f t="shared" si="424"/>
        <v>0</v>
      </c>
      <c r="AM967">
        <f t="shared" ca="1" si="416"/>
        <v>2.6560383008097266E-7</v>
      </c>
      <c r="AN967" t="str">
        <f t="shared" ca="1" si="417"/>
        <v>Subcritical</v>
      </c>
      <c r="AO967">
        <f t="shared" ca="1" si="418"/>
        <v>2.2562304480281055E-12</v>
      </c>
    </row>
    <row r="968" spans="1:41" x14ac:dyDescent="0.35">
      <c r="A968">
        <v>819</v>
      </c>
      <c r="B968">
        <v>817.88900000000001</v>
      </c>
      <c r="C968">
        <v>616088.85699999996</v>
      </c>
      <c r="D968">
        <v>3097185.8859999999</v>
      </c>
      <c r="E968">
        <v>632.15300000000002</v>
      </c>
      <c r="F968">
        <v>5.2</v>
      </c>
      <c r="G968">
        <v>0</v>
      </c>
      <c r="H968" t="s">
        <v>186</v>
      </c>
      <c r="I968">
        <v>0</v>
      </c>
      <c r="J968">
        <f t="shared" si="419"/>
        <v>0.99900000000002365</v>
      </c>
      <c r="K968">
        <f t="shared" si="420"/>
        <v>51</v>
      </c>
      <c r="L968">
        <f t="shared" ca="1" si="421"/>
        <v>51797.843837663619</v>
      </c>
      <c r="M968">
        <f t="shared" ca="1" si="398"/>
        <v>269348.78795585083</v>
      </c>
      <c r="N968">
        <f t="shared" ca="1" si="399"/>
        <v>2.5998694991876676</v>
      </c>
      <c r="O968">
        <f t="shared" ca="1" si="400"/>
        <v>1.8934557080078435E-4</v>
      </c>
      <c r="P968">
        <f t="shared" ca="1" si="401"/>
        <v>52429.996837663617</v>
      </c>
      <c r="Q968">
        <f t="shared" ca="1" si="402"/>
        <v>52429.996837665443</v>
      </c>
      <c r="R968">
        <f t="shared" ca="1" si="403"/>
        <v>2.2564415439646509E-12</v>
      </c>
      <c r="S968">
        <f t="shared" ca="1" si="422"/>
        <v>5.0000000192085281E-4</v>
      </c>
      <c r="T968">
        <f t="shared" ca="1" si="423"/>
        <v>1</v>
      </c>
      <c r="U968">
        <f t="shared" ca="1" si="404"/>
        <v>51800.26683766341</v>
      </c>
      <c r="V968">
        <f t="shared" ca="1" si="405"/>
        <v>269361.38755584974</v>
      </c>
      <c r="W968">
        <f t="shared" ca="1" si="406"/>
        <v>2.5998695052916441</v>
      </c>
      <c r="X968">
        <f t="shared" ca="1" si="407"/>
        <v>1.8933671400629237E-4</v>
      </c>
      <c r="Y968">
        <f t="shared" ca="1" si="408"/>
        <v>52432.419837663409</v>
      </c>
      <c r="Z968">
        <f t="shared" ca="1" si="409"/>
        <v>52432.419837665235</v>
      </c>
      <c r="AA968">
        <f t="shared" ca="1" si="410"/>
        <v>2.2562304480281055E-12</v>
      </c>
      <c r="AB968">
        <f t="shared" ca="1" si="411"/>
        <v>-5.0000000192085281E-4</v>
      </c>
      <c r="AC968">
        <f t="shared" ca="1" si="412"/>
        <v>1</v>
      </c>
      <c r="AD968">
        <f ca="1">IF(V32="Supercritical",L968,IF(V32="Subcritical",U968,IF(AND(T968=1,AC968=1),IF((((F968)*(L968)^2)/2+(G968)*(L968)^3/3+(ABS(K968)^2)/($I$5*MAX(((F968)+(G968)*(L968))*(L968),0.000001)))&gt;=(((F968)*(U968)^2)/2+(G968)*(U968)^3/3+(ABS(K968)^2)/($I$5*MAX(((F968)+(G968)*(U968))*(U968),0.000001))),L968,U968),IF(T968=1,L968,IF(AC968=1,U968,MAX($D$16,POWER((ABS(K968)^2)/($I$5*MAX(F968,0.1)^2),1/3)))))))</f>
        <v>51800.26683766341</v>
      </c>
      <c r="AE968">
        <f t="shared" ca="1" si="413"/>
        <v>52432.419837663409</v>
      </c>
      <c r="AF968">
        <f t="shared" ca="1" si="414"/>
        <v>52432.419837665235</v>
      </c>
      <c r="AI968">
        <v>0</v>
      </c>
      <c r="AJ968">
        <v>0</v>
      </c>
      <c r="AK968">
        <f t="shared" si="415"/>
        <v>0</v>
      </c>
      <c r="AL968">
        <f t="shared" si="424"/>
        <v>0</v>
      </c>
      <c r="AM968">
        <f t="shared" ca="1" si="416"/>
        <v>2.6560383008097266E-7</v>
      </c>
      <c r="AN968" t="str">
        <f t="shared" ca="1" si="417"/>
        <v>Subcritical</v>
      </c>
      <c r="AO968">
        <f t="shared" ca="1" si="418"/>
        <v>2.2562304480281055E-12</v>
      </c>
    </row>
    <row r="969" spans="1:41" x14ac:dyDescent="0.35">
      <c r="A969">
        <v>820</v>
      </c>
      <c r="B969">
        <v>818.88900000000001</v>
      </c>
      <c r="C969">
        <v>616088.81499999994</v>
      </c>
      <c r="D969">
        <v>3097184.8870000001</v>
      </c>
      <c r="E969">
        <v>632.15250000000003</v>
      </c>
      <c r="F969">
        <v>5.2</v>
      </c>
      <c r="G969">
        <v>0</v>
      </c>
      <c r="H969" t="s">
        <v>186</v>
      </c>
      <c r="I969">
        <v>0</v>
      </c>
      <c r="J969">
        <f t="shared" si="419"/>
        <v>1</v>
      </c>
      <c r="K969">
        <f t="shared" si="420"/>
        <v>51</v>
      </c>
      <c r="L969">
        <f t="shared" ca="1" si="421"/>
        <v>51797.843837663619</v>
      </c>
      <c r="M969">
        <f t="shared" ca="1" si="398"/>
        <v>269348.78795585083</v>
      </c>
      <c r="N969">
        <f t="shared" ca="1" si="399"/>
        <v>2.5998694991876676</v>
      </c>
      <c r="O969">
        <f t="shared" ca="1" si="400"/>
        <v>1.8934557080078435E-4</v>
      </c>
      <c r="P969">
        <f t="shared" ca="1" si="401"/>
        <v>52429.996337663615</v>
      </c>
      <c r="Q969">
        <f t="shared" ca="1" si="402"/>
        <v>52429.996337665441</v>
      </c>
      <c r="R969">
        <f t="shared" ca="1" si="403"/>
        <v>2.2564415439646509E-12</v>
      </c>
      <c r="S969">
        <f t="shared" ca="1" si="422"/>
        <v>5.0000000192085281E-4</v>
      </c>
      <c r="T969">
        <f t="shared" ca="1" si="423"/>
        <v>1</v>
      </c>
      <c r="U969">
        <f t="shared" ca="1" si="404"/>
        <v>51800.26683766341</v>
      </c>
      <c r="V969">
        <f t="shared" ca="1" si="405"/>
        <v>269361.38755584974</v>
      </c>
      <c r="W969">
        <f t="shared" ca="1" si="406"/>
        <v>2.5998695052916441</v>
      </c>
      <c r="X969">
        <f t="shared" ca="1" si="407"/>
        <v>1.8933671400629237E-4</v>
      </c>
      <c r="Y969">
        <f t="shared" ca="1" si="408"/>
        <v>52432.419337663407</v>
      </c>
      <c r="Z969">
        <f t="shared" ca="1" si="409"/>
        <v>52432.419337665233</v>
      </c>
      <c r="AA969">
        <f t="shared" ca="1" si="410"/>
        <v>2.2562304480281055E-12</v>
      </c>
      <c r="AB969">
        <f t="shared" ca="1" si="411"/>
        <v>-4.999999946448952E-4</v>
      </c>
      <c r="AC969">
        <f t="shared" ca="1" si="412"/>
        <v>1</v>
      </c>
      <c r="AD969">
        <f ca="1">IF(V32="Supercritical",L969,IF(V32="Subcritical",U969,IF(AND(T969=1,AC969=1),IF((((F969)*(L969)^2)/2+(G969)*(L969)^3/3+(ABS(K969)^2)/($I$5*MAX(((F969)+(G969)*(L969))*(L969),0.000001)))&gt;=(((F969)*(U969)^2)/2+(G969)*(U969)^3/3+(ABS(K969)^2)/($I$5*MAX(((F969)+(G969)*(U969))*(U969),0.000001))),L969,U969),IF(T969=1,L969,IF(AC969=1,U969,MAX($D$16,POWER((ABS(K969)^2)/($I$5*MAX(F969,0.1)^2),1/3)))))))</f>
        <v>51800.26683766341</v>
      </c>
      <c r="AE969">
        <f t="shared" ca="1" si="413"/>
        <v>52432.419337663407</v>
      </c>
      <c r="AF969">
        <f t="shared" ca="1" si="414"/>
        <v>52432.419337665233</v>
      </c>
      <c r="AI969">
        <v>0</v>
      </c>
      <c r="AJ969">
        <v>0</v>
      </c>
      <c r="AK969">
        <f t="shared" si="415"/>
        <v>0</v>
      </c>
      <c r="AL969">
        <f t="shared" si="424"/>
        <v>0</v>
      </c>
      <c r="AM969">
        <f t="shared" ca="1" si="416"/>
        <v>2.6560383008097266E-7</v>
      </c>
      <c r="AN969" t="str">
        <f t="shared" ca="1" si="417"/>
        <v>Subcritical</v>
      </c>
      <c r="AO969">
        <f t="shared" ca="1" si="418"/>
        <v>2.2562304480281055E-12</v>
      </c>
    </row>
    <row r="970" spans="1:41" x14ac:dyDescent="0.35">
      <c r="A970">
        <v>821</v>
      </c>
      <c r="B970">
        <v>819.88900000000001</v>
      </c>
      <c r="C970">
        <v>616088.77300000004</v>
      </c>
      <c r="D970">
        <v>3097183.8879999998</v>
      </c>
      <c r="E970">
        <v>632.15200000000004</v>
      </c>
      <c r="F970">
        <v>5.2</v>
      </c>
      <c r="G970">
        <v>0</v>
      </c>
      <c r="H970" t="s">
        <v>186</v>
      </c>
      <c r="I970">
        <v>5.7000000000000002E-2</v>
      </c>
      <c r="J970">
        <f t="shared" si="419"/>
        <v>1</v>
      </c>
      <c r="K970">
        <f t="shared" si="420"/>
        <v>51</v>
      </c>
      <c r="L970">
        <f t="shared" ca="1" si="421"/>
        <v>51797.843837663619</v>
      </c>
      <c r="M970">
        <f t="shared" ca="1" si="398"/>
        <v>269348.78795585083</v>
      </c>
      <c r="N970">
        <f t="shared" ca="1" si="399"/>
        <v>2.5998694991876676</v>
      </c>
      <c r="O970">
        <f t="shared" ca="1" si="400"/>
        <v>1.8934557080078435E-4</v>
      </c>
      <c r="P970">
        <f t="shared" ca="1" si="401"/>
        <v>52429.99583766362</v>
      </c>
      <c r="Q970">
        <f t="shared" ca="1" si="402"/>
        <v>52429.995837665447</v>
      </c>
      <c r="R970">
        <f t="shared" ca="1" si="403"/>
        <v>2.2564415439646509E-12</v>
      </c>
      <c r="S970">
        <f t="shared" ca="1" si="422"/>
        <v>4.999999946448952E-4</v>
      </c>
      <c r="T970">
        <f t="shared" ca="1" si="423"/>
        <v>1</v>
      </c>
      <c r="U970">
        <f t="shared" ca="1" si="404"/>
        <v>51800.26683766341</v>
      </c>
      <c r="V970">
        <f t="shared" ca="1" si="405"/>
        <v>269361.38755584974</v>
      </c>
      <c r="W970">
        <f t="shared" ca="1" si="406"/>
        <v>2.5998695052916441</v>
      </c>
      <c r="X970">
        <f t="shared" ca="1" si="407"/>
        <v>1.8933671400629237E-4</v>
      </c>
      <c r="Y970">
        <f t="shared" ca="1" si="408"/>
        <v>52432.418837663412</v>
      </c>
      <c r="Z970">
        <f t="shared" ca="1" si="409"/>
        <v>52432.418837665238</v>
      </c>
      <c r="AA970">
        <f t="shared" ca="1" si="410"/>
        <v>2.2562304480281055E-12</v>
      </c>
      <c r="AB970">
        <f t="shared" ca="1" si="411"/>
        <v>-5.0000000192085281E-4</v>
      </c>
      <c r="AC970">
        <f t="shared" ca="1" si="412"/>
        <v>1</v>
      </c>
      <c r="AD970">
        <f ca="1">IF(V32="Supercritical",L970,IF(V32="Subcritical",U970,IF(AND(T970=1,AC970=1),IF((((F970)*(L970)^2)/2+(G970)*(L970)^3/3+(ABS(K970)^2)/($I$5*MAX(((F970)+(G970)*(L970))*(L970),0.000001)))&gt;=(((F970)*(U970)^2)/2+(G970)*(U970)^3/3+(ABS(K970)^2)/($I$5*MAX(((F970)+(G970)*(U970))*(U970),0.000001))),L970,U970),IF(T970=1,L970,IF(AC970=1,U970,MAX($D$16,POWER((ABS(K970)^2)/($I$5*MAX(F970,0.1)^2),1/3)))))))</f>
        <v>51800.26683766341</v>
      </c>
      <c r="AE970">
        <f t="shared" ca="1" si="413"/>
        <v>52432.418837663412</v>
      </c>
      <c r="AF970">
        <f t="shared" ca="1" si="414"/>
        <v>52432.418837665238</v>
      </c>
      <c r="AI970">
        <v>0</v>
      </c>
      <c r="AJ970">
        <v>0</v>
      </c>
      <c r="AK970">
        <f t="shared" si="415"/>
        <v>0</v>
      </c>
      <c r="AL970">
        <f t="shared" si="424"/>
        <v>0</v>
      </c>
      <c r="AM970">
        <f t="shared" ca="1" si="416"/>
        <v>2.6560383008097266E-7</v>
      </c>
      <c r="AN970" t="str">
        <f t="shared" ca="1" si="417"/>
        <v>Subcritical</v>
      </c>
      <c r="AO970">
        <f t="shared" ca="1" si="418"/>
        <v>2.2562304480281055E-12</v>
      </c>
    </row>
    <row r="971" spans="1:41" x14ac:dyDescent="0.35">
      <c r="A971">
        <v>822</v>
      </c>
      <c r="B971">
        <v>820.88900000000001</v>
      </c>
      <c r="C971">
        <v>616088.73</v>
      </c>
      <c r="D971">
        <v>3097182.889</v>
      </c>
      <c r="E971">
        <v>632.15150000000006</v>
      </c>
      <c r="F971">
        <v>5.2</v>
      </c>
      <c r="G971">
        <v>0</v>
      </c>
      <c r="H971" t="s">
        <v>186</v>
      </c>
      <c r="I971">
        <v>5.7000000000000002E-2</v>
      </c>
      <c r="J971">
        <f t="shared" si="419"/>
        <v>1</v>
      </c>
      <c r="K971">
        <f t="shared" si="420"/>
        <v>51</v>
      </c>
      <c r="L971">
        <f t="shared" ca="1" si="421"/>
        <v>51797.843837663619</v>
      </c>
      <c r="M971">
        <f t="shared" ca="1" si="398"/>
        <v>269348.78795585083</v>
      </c>
      <c r="N971">
        <f t="shared" ca="1" si="399"/>
        <v>2.5998694991876676</v>
      </c>
      <c r="O971">
        <f t="shared" ca="1" si="400"/>
        <v>1.8934557080078435E-4</v>
      </c>
      <c r="P971">
        <f t="shared" ca="1" si="401"/>
        <v>52429.995337663619</v>
      </c>
      <c r="Q971">
        <f t="shared" ca="1" si="402"/>
        <v>52429.995337665445</v>
      </c>
      <c r="R971">
        <f t="shared" ca="1" si="403"/>
        <v>2.2564415439646509E-12</v>
      </c>
      <c r="S971">
        <f t="shared" ca="1" si="422"/>
        <v>5.0000000192085281E-4</v>
      </c>
      <c r="T971">
        <f t="shared" ca="1" si="423"/>
        <v>1</v>
      </c>
      <c r="U971">
        <f t="shared" ca="1" si="404"/>
        <v>51800.26683766341</v>
      </c>
      <c r="V971">
        <f t="shared" ca="1" si="405"/>
        <v>269361.38755584974</v>
      </c>
      <c r="W971">
        <f t="shared" ca="1" si="406"/>
        <v>2.5998695052916441</v>
      </c>
      <c r="X971">
        <f t="shared" ca="1" si="407"/>
        <v>1.8933671400629237E-4</v>
      </c>
      <c r="Y971">
        <f t="shared" ca="1" si="408"/>
        <v>52432.41833766341</v>
      </c>
      <c r="Z971">
        <f t="shared" ca="1" si="409"/>
        <v>52432.418337665236</v>
      </c>
      <c r="AA971">
        <f t="shared" ca="1" si="410"/>
        <v>2.2562304480281055E-12</v>
      </c>
      <c r="AB971">
        <f t="shared" ca="1" si="411"/>
        <v>-5.0000000192085281E-4</v>
      </c>
      <c r="AC971">
        <f t="shared" ca="1" si="412"/>
        <v>1</v>
      </c>
      <c r="AD971">
        <f ca="1">IF(V32="Supercritical",L971,IF(V32="Subcritical",U971,IF(AND(T971=1,AC971=1),IF((((F971)*(L971)^2)/2+(G971)*(L971)^3/3+(ABS(K971)^2)/($I$5*MAX(((F971)+(G971)*(L971))*(L971),0.000001)))&gt;=(((F971)*(U971)^2)/2+(G971)*(U971)^3/3+(ABS(K971)^2)/($I$5*MAX(((F971)+(G971)*(U971))*(U971),0.000001))),L971,U971),IF(T971=1,L971,IF(AC971=1,U971,MAX($D$16,POWER((ABS(K971)^2)/($I$5*MAX(F971,0.1)^2),1/3)))))))</f>
        <v>51800.26683766341</v>
      </c>
      <c r="AE971">
        <f t="shared" ca="1" si="413"/>
        <v>52432.41833766341</v>
      </c>
      <c r="AF971">
        <f t="shared" ca="1" si="414"/>
        <v>52432.418337665236</v>
      </c>
      <c r="AI971">
        <v>0</v>
      </c>
      <c r="AJ971">
        <v>0</v>
      </c>
      <c r="AK971">
        <f t="shared" si="415"/>
        <v>0</v>
      </c>
      <c r="AL971">
        <f t="shared" si="424"/>
        <v>0</v>
      </c>
      <c r="AM971">
        <f t="shared" ca="1" si="416"/>
        <v>2.6560383008097266E-7</v>
      </c>
      <c r="AN971" t="str">
        <f t="shared" ca="1" si="417"/>
        <v>Subcritical</v>
      </c>
      <c r="AO971">
        <f t="shared" ca="1" si="418"/>
        <v>2.2562304480281055E-12</v>
      </c>
    </row>
    <row r="972" spans="1:41" x14ac:dyDescent="0.35">
      <c r="A972">
        <v>823</v>
      </c>
      <c r="B972">
        <v>821.88900000000001</v>
      </c>
      <c r="C972">
        <v>616088.68799999997</v>
      </c>
      <c r="D972">
        <v>3097181.89</v>
      </c>
      <c r="E972">
        <v>632.15099999999995</v>
      </c>
      <c r="F972">
        <v>5.2</v>
      </c>
      <c r="G972">
        <v>0</v>
      </c>
      <c r="H972" t="s">
        <v>186</v>
      </c>
      <c r="I972">
        <v>0</v>
      </c>
      <c r="J972">
        <f t="shared" si="419"/>
        <v>1</v>
      </c>
      <c r="K972">
        <f t="shared" si="420"/>
        <v>51</v>
      </c>
      <c r="L972">
        <f t="shared" ca="1" si="421"/>
        <v>51797.843837663619</v>
      </c>
      <c r="M972">
        <f t="shared" ca="1" si="398"/>
        <v>269348.78795585083</v>
      </c>
      <c r="N972">
        <f t="shared" ca="1" si="399"/>
        <v>2.5998694991876676</v>
      </c>
      <c r="O972">
        <f t="shared" ca="1" si="400"/>
        <v>1.8934557080078435E-4</v>
      </c>
      <c r="P972">
        <f t="shared" ca="1" si="401"/>
        <v>52429.994837663617</v>
      </c>
      <c r="Q972">
        <f t="shared" ca="1" si="402"/>
        <v>52429.994837665443</v>
      </c>
      <c r="R972">
        <f t="shared" ca="1" si="403"/>
        <v>2.2564415439646509E-12</v>
      </c>
      <c r="S972">
        <f t="shared" ca="1" si="422"/>
        <v>5.0000000192085281E-4</v>
      </c>
      <c r="T972">
        <f t="shared" ca="1" si="423"/>
        <v>1</v>
      </c>
      <c r="U972">
        <f t="shared" ca="1" si="404"/>
        <v>51800.26683766341</v>
      </c>
      <c r="V972">
        <f t="shared" ca="1" si="405"/>
        <v>269361.38755584974</v>
      </c>
      <c r="W972">
        <f t="shared" ca="1" si="406"/>
        <v>2.5998695052916441</v>
      </c>
      <c r="X972">
        <f t="shared" ca="1" si="407"/>
        <v>1.8933671400629237E-4</v>
      </c>
      <c r="Y972">
        <f t="shared" ca="1" si="408"/>
        <v>52432.417837663408</v>
      </c>
      <c r="Z972">
        <f t="shared" ca="1" si="409"/>
        <v>52432.417837665234</v>
      </c>
      <c r="AA972">
        <f t="shared" ca="1" si="410"/>
        <v>2.2562304480281055E-12</v>
      </c>
      <c r="AB972">
        <f t="shared" ca="1" si="411"/>
        <v>-4.999999946448952E-4</v>
      </c>
      <c r="AC972">
        <f t="shared" ca="1" si="412"/>
        <v>1</v>
      </c>
      <c r="AD972">
        <f ca="1">IF(V32="Supercritical",L972,IF(V32="Subcritical",U972,IF(AND(T972=1,AC972=1),IF((((F972)*(L972)^2)/2+(G972)*(L972)^3/3+(ABS(K972)^2)/($I$5*MAX(((F972)+(G972)*(L972))*(L972),0.000001)))&gt;=(((F972)*(U972)^2)/2+(G972)*(U972)^3/3+(ABS(K972)^2)/($I$5*MAX(((F972)+(G972)*(U972))*(U972),0.000001))),L972,U972),IF(T972=1,L972,IF(AC972=1,U972,MAX($D$16,POWER((ABS(K972)^2)/($I$5*MAX(F972,0.1)^2),1/3)))))))</f>
        <v>51800.26683766341</v>
      </c>
      <c r="AE972">
        <f t="shared" ca="1" si="413"/>
        <v>52432.417837663408</v>
      </c>
      <c r="AF972">
        <f t="shared" ca="1" si="414"/>
        <v>52432.417837665234</v>
      </c>
      <c r="AI972">
        <v>0</v>
      </c>
      <c r="AJ972">
        <v>0</v>
      </c>
      <c r="AK972">
        <f t="shared" si="415"/>
        <v>0</v>
      </c>
      <c r="AL972">
        <f t="shared" si="424"/>
        <v>0</v>
      </c>
      <c r="AM972">
        <f t="shared" ca="1" si="416"/>
        <v>2.6560383008097266E-7</v>
      </c>
      <c r="AN972" t="str">
        <f t="shared" ca="1" si="417"/>
        <v>Subcritical</v>
      </c>
      <c r="AO972">
        <f t="shared" ca="1" si="418"/>
        <v>2.2562304480281055E-12</v>
      </c>
    </row>
    <row r="973" spans="1:41" x14ac:dyDescent="0.35">
      <c r="A973">
        <v>824</v>
      </c>
      <c r="B973">
        <v>822.88900000000001</v>
      </c>
      <c r="C973">
        <v>616088.64599999995</v>
      </c>
      <c r="D973">
        <v>3097180.8909999998</v>
      </c>
      <c r="E973">
        <v>632.15049999999997</v>
      </c>
      <c r="F973">
        <v>5.2</v>
      </c>
      <c r="G973">
        <v>0</v>
      </c>
      <c r="H973" t="s">
        <v>186</v>
      </c>
      <c r="I973">
        <v>0</v>
      </c>
      <c r="J973">
        <f t="shared" si="419"/>
        <v>1</v>
      </c>
      <c r="K973">
        <f t="shared" si="420"/>
        <v>51</v>
      </c>
      <c r="L973">
        <f t="shared" ca="1" si="421"/>
        <v>51797.843837663619</v>
      </c>
      <c r="M973">
        <f t="shared" ca="1" si="398"/>
        <v>269348.78795585083</v>
      </c>
      <c r="N973">
        <f t="shared" ca="1" si="399"/>
        <v>2.5998694991876676</v>
      </c>
      <c r="O973">
        <f t="shared" ca="1" si="400"/>
        <v>1.8934557080078435E-4</v>
      </c>
      <c r="P973">
        <f t="shared" ca="1" si="401"/>
        <v>52429.994337663622</v>
      </c>
      <c r="Q973">
        <f t="shared" ca="1" si="402"/>
        <v>52429.994337665448</v>
      </c>
      <c r="R973">
        <f t="shared" ca="1" si="403"/>
        <v>2.2564415439646509E-12</v>
      </c>
      <c r="S973">
        <f t="shared" ca="1" si="422"/>
        <v>4.999999946448952E-4</v>
      </c>
      <c r="T973">
        <f t="shared" ca="1" si="423"/>
        <v>1</v>
      </c>
      <c r="U973">
        <f t="shared" ca="1" si="404"/>
        <v>51800.26683766341</v>
      </c>
      <c r="V973">
        <f t="shared" ca="1" si="405"/>
        <v>269361.38755584974</v>
      </c>
      <c r="W973">
        <f t="shared" ca="1" si="406"/>
        <v>2.5998695052916441</v>
      </c>
      <c r="X973">
        <f t="shared" ca="1" si="407"/>
        <v>1.8933671400629237E-4</v>
      </c>
      <c r="Y973">
        <f t="shared" ca="1" si="408"/>
        <v>52432.417337663413</v>
      </c>
      <c r="Z973">
        <f t="shared" ca="1" si="409"/>
        <v>52432.41733766524</v>
      </c>
      <c r="AA973">
        <f t="shared" ca="1" si="410"/>
        <v>2.2562304480281055E-12</v>
      </c>
      <c r="AB973">
        <f t="shared" ca="1" si="411"/>
        <v>-5.0000000192085281E-4</v>
      </c>
      <c r="AC973">
        <f t="shared" ca="1" si="412"/>
        <v>1</v>
      </c>
      <c r="AD973">
        <f ca="1">IF(V32="Supercritical",L973,IF(V32="Subcritical",U973,IF(AND(T973=1,AC973=1),IF((((F973)*(L973)^2)/2+(G973)*(L973)^3/3+(ABS(K973)^2)/($I$5*MAX(((F973)+(G973)*(L973))*(L973),0.000001)))&gt;=(((F973)*(U973)^2)/2+(G973)*(U973)^3/3+(ABS(K973)^2)/($I$5*MAX(((F973)+(G973)*(U973))*(U973),0.000001))),L973,U973),IF(T973=1,L973,IF(AC973=1,U973,MAX($D$16,POWER((ABS(K973)^2)/($I$5*MAX(F973,0.1)^2),1/3)))))))</f>
        <v>51800.26683766341</v>
      </c>
      <c r="AE973">
        <f t="shared" ca="1" si="413"/>
        <v>52432.417337663413</v>
      </c>
      <c r="AF973">
        <f t="shared" ca="1" si="414"/>
        <v>52432.41733766524</v>
      </c>
      <c r="AI973">
        <v>0</v>
      </c>
      <c r="AJ973">
        <v>0</v>
      </c>
      <c r="AK973">
        <f t="shared" si="415"/>
        <v>0</v>
      </c>
      <c r="AL973">
        <f t="shared" si="424"/>
        <v>0</v>
      </c>
      <c r="AM973">
        <f t="shared" ca="1" si="416"/>
        <v>2.6560383008097266E-7</v>
      </c>
      <c r="AN973" t="str">
        <f t="shared" ca="1" si="417"/>
        <v>Subcritical</v>
      </c>
      <c r="AO973">
        <f t="shared" ca="1" si="418"/>
        <v>2.2562304480281055E-12</v>
      </c>
    </row>
    <row r="974" spans="1:41" x14ac:dyDescent="0.35">
      <c r="A974">
        <v>825</v>
      </c>
      <c r="B974">
        <v>823.88900000000001</v>
      </c>
      <c r="C974">
        <v>616088.60400000005</v>
      </c>
      <c r="D974">
        <v>3097179.892</v>
      </c>
      <c r="E974">
        <v>632.15</v>
      </c>
      <c r="F974">
        <v>5.2</v>
      </c>
      <c r="G974">
        <v>0</v>
      </c>
      <c r="H974" t="s">
        <v>186</v>
      </c>
      <c r="I974">
        <v>5.5E-2</v>
      </c>
      <c r="J974">
        <f t="shared" si="419"/>
        <v>1</v>
      </c>
      <c r="K974">
        <f t="shared" si="420"/>
        <v>51</v>
      </c>
      <c r="L974">
        <f t="shared" ca="1" si="421"/>
        <v>51797.843837663619</v>
      </c>
      <c r="M974">
        <f t="shared" ca="1" si="398"/>
        <v>269348.78795585083</v>
      </c>
      <c r="N974">
        <f t="shared" ca="1" si="399"/>
        <v>2.5998694991876676</v>
      </c>
      <c r="O974">
        <f t="shared" ca="1" si="400"/>
        <v>1.8934557080078435E-4</v>
      </c>
      <c r="P974">
        <f t="shared" ca="1" si="401"/>
        <v>52429.99383766362</v>
      </c>
      <c r="Q974">
        <f t="shared" ca="1" si="402"/>
        <v>52429.993837665446</v>
      </c>
      <c r="R974">
        <f t="shared" ca="1" si="403"/>
        <v>2.2564415439646509E-12</v>
      </c>
      <c r="S974">
        <f t="shared" ca="1" si="422"/>
        <v>5.0000000192085281E-4</v>
      </c>
      <c r="T974">
        <f t="shared" ca="1" si="423"/>
        <v>1</v>
      </c>
      <c r="U974">
        <f t="shared" ca="1" si="404"/>
        <v>51800.26683766341</v>
      </c>
      <c r="V974">
        <f t="shared" ca="1" si="405"/>
        <v>269361.38755584974</v>
      </c>
      <c r="W974">
        <f t="shared" ca="1" si="406"/>
        <v>2.5998695052916441</v>
      </c>
      <c r="X974">
        <f t="shared" ca="1" si="407"/>
        <v>1.8933671400629237E-4</v>
      </c>
      <c r="Y974">
        <f t="shared" ca="1" si="408"/>
        <v>52432.416837663412</v>
      </c>
      <c r="Z974">
        <f t="shared" ca="1" si="409"/>
        <v>52432.416837665238</v>
      </c>
      <c r="AA974">
        <f t="shared" ca="1" si="410"/>
        <v>2.2562304480281055E-12</v>
      </c>
      <c r="AB974">
        <f t="shared" ca="1" si="411"/>
        <v>-5.0000000192085281E-4</v>
      </c>
      <c r="AC974">
        <f t="shared" ca="1" si="412"/>
        <v>1</v>
      </c>
      <c r="AD974">
        <f ca="1">IF(V32="Supercritical",L974,IF(V32="Subcritical",U974,IF(AND(T974=1,AC974=1),IF((((F974)*(L974)^2)/2+(G974)*(L974)^3/3+(ABS(K974)^2)/($I$5*MAX(((F974)+(G974)*(L974))*(L974),0.000001)))&gt;=(((F974)*(U974)^2)/2+(G974)*(U974)^3/3+(ABS(K974)^2)/($I$5*MAX(((F974)+(G974)*(U974))*(U974),0.000001))),L974,U974),IF(T974=1,L974,IF(AC974=1,U974,MAX($D$16,POWER((ABS(K974)^2)/($I$5*MAX(F974,0.1)^2),1/3)))))))</f>
        <v>51800.26683766341</v>
      </c>
      <c r="AE974">
        <f t="shared" ca="1" si="413"/>
        <v>52432.416837663412</v>
      </c>
      <c r="AF974">
        <f t="shared" ca="1" si="414"/>
        <v>52432.416837665238</v>
      </c>
      <c r="AI974">
        <v>0</v>
      </c>
      <c r="AJ974">
        <v>0</v>
      </c>
      <c r="AK974">
        <f t="shared" si="415"/>
        <v>0</v>
      </c>
      <c r="AL974">
        <f t="shared" si="424"/>
        <v>0</v>
      </c>
      <c r="AM974">
        <f t="shared" ca="1" si="416"/>
        <v>2.6560383008097266E-7</v>
      </c>
      <c r="AN974" t="str">
        <f t="shared" ca="1" si="417"/>
        <v>Subcritical</v>
      </c>
      <c r="AO974">
        <f t="shared" ca="1" si="418"/>
        <v>2.2562304480281055E-12</v>
      </c>
    </row>
    <row r="975" spans="1:41" x14ac:dyDescent="0.35">
      <c r="A975">
        <v>826</v>
      </c>
      <c r="B975">
        <v>824.89</v>
      </c>
      <c r="C975">
        <v>616088.56099999999</v>
      </c>
      <c r="D975">
        <v>3097178.892</v>
      </c>
      <c r="E975">
        <v>632.14949999999999</v>
      </c>
      <c r="F975">
        <v>5.2</v>
      </c>
      <c r="G975">
        <v>0</v>
      </c>
      <c r="H975" t="s">
        <v>186</v>
      </c>
      <c r="I975">
        <v>5.5E-2</v>
      </c>
      <c r="J975">
        <f t="shared" si="419"/>
        <v>1.0009999999999764</v>
      </c>
      <c r="K975">
        <f t="shared" si="420"/>
        <v>51</v>
      </c>
      <c r="L975">
        <f t="shared" ca="1" si="421"/>
        <v>51797.843837663619</v>
      </c>
      <c r="M975">
        <f t="shared" ca="1" si="398"/>
        <v>269348.78795585083</v>
      </c>
      <c r="N975">
        <f t="shared" ca="1" si="399"/>
        <v>2.5998694991876676</v>
      </c>
      <c r="O975">
        <f t="shared" ca="1" si="400"/>
        <v>1.8934557080078435E-4</v>
      </c>
      <c r="P975">
        <f t="shared" ca="1" si="401"/>
        <v>52429.993337663618</v>
      </c>
      <c r="Q975">
        <f t="shared" ca="1" si="402"/>
        <v>52429.993337665444</v>
      </c>
      <c r="R975">
        <f t="shared" ca="1" si="403"/>
        <v>2.2564415439646509E-12</v>
      </c>
      <c r="S975">
        <f t="shared" ca="1" si="422"/>
        <v>5.0000000192085281E-4</v>
      </c>
      <c r="T975">
        <f t="shared" ca="1" si="423"/>
        <v>1</v>
      </c>
      <c r="U975">
        <f t="shared" ca="1" si="404"/>
        <v>51800.26683766341</v>
      </c>
      <c r="V975">
        <f t="shared" ca="1" si="405"/>
        <v>269361.38755584974</v>
      </c>
      <c r="W975">
        <f t="shared" ca="1" si="406"/>
        <v>2.5998695052916441</v>
      </c>
      <c r="X975">
        <f t="shared" ca="1" si="407"/>
        <v>1.8933671400629237E-4</v>
      </c>
      <c r="Y975">
        <f t="shared" ca="1" si="408"/>
        <v>52432.41633766341</v>
      </c>
      <c r="Z975">
        <f t="shared" ca="1" si="409"/>
        <v>52432.416337665236</v>
      </c>
      <c r="AA975">
        <f t="shared" ca="1" si="410"/>
        <v>2.2562304480281055E-12</v>
      </c>
      <c r="AB975">
        <f t="shared" ca="1" si="411"/>
        <v>-5.0000000192085281E-4</v>
      </c>
      <c r="AC975">
        <f t="shared" ca="1" si="412"/>
        <v>1</v>
      </c>
      <c r="AD975">
        <f ca="1">IF(V32="Supercritical",L975,IF(V32="Subcritical",U975,IF(AND(T975=1,AC975=1),IF((((F975)*(L975)^2)/2+(G975)*(L975)^3/3+(ABS(K975)^2)/($I$5*MAX(((F975)+(G975)*(L975))*(L975),0.000001)))&gt;=(((F975)*(U975)^2)/2+(G975)*(U975)^3/3+(ABS(K975)^2)/($I$5*MAX(((F975)+(G975)*(U975))*(U975),0.000001))),L975,U975),IF(T975=1,L975,IF(AC975=1,U975,MAX($D$16,POWER((ABS(K975)^2)/($I$5*MAX(F975,0.1)^2),1/3)))))))</f>
        <v>51800.26683766341</v>
      </c>
      <c r="AE975">
        <f t="shared" ca="1" si="413"/>
        <v>52432.41633766341</v>
      </c>
      <c r="AF975">
        <f t="shared" ca="1" si="414"/>
        <v>52432.416337665236</v>
      </c>
      <c r="AI975">
        <v>0</v>
      </c>
      <c r="AJ975">
        <v>0</v>
      </c>
      <c r="AK975">
        <f t="shared" si="415"/>
        <v>0</v>
      </c>
      <c r="AL975">
        <f t="shared" si="424"/>
        <v>0</v>
      </c>
      <c r="AM975">
        <f t="shared" ca="1" si="416"/>
        <v>2.6560383008097266E-7</v>
      </c>
      <c r="AN975" t="str">
        <f t="shared" ca="1" si="417"/>
        <v>Subcritical</v>
      </c>
      <c r="AO975">
        <f t="shared" ca="1" si="418"/>
        <v>2.2562304480281055E-12</v>
      </c>
    </row>
    <row r="976" spans="1:41" x14ac:dyDescent="0.35">
      <c r="A976">
        <v>827</v>
      </c>
      <c r="B976">
        <v>825.89</v>
      </c>
      <c r="C976">
        <v>616088.51899999997</v>
      </c>
      <c r="D976">
        <v>3097177.8930000002</v>
      </c>
      <c r="E976">
        <v>632.149</v>
      </c>
      <c r="F976">
        <v>5.2</v>
      </c>
      <c r="G976">
        <v>0</v>
      </c>
      <c r="H976" t="s">
        <v>186</v>
      </c>
      <c r="I976">
        <v>0</v>
      </c>
      <c r="J976">
        <f t="shared" si="419"/>
        <v>1</v>
      </c>
      <c r="K976">
        <f t="shared" si="420"/>
        <v>51</v>
      </c>
      <c r="L976">
        <f t="shared" ca="1" si="421"/>
        <v>51797.843837663619</v>
      </c>
      <c r="M976">
        <f t="shared" ca="1" si="398"/>
        <v>269348.78795585083</v>
      </c>
      <c r="N976">
        <f t="shared" ca="1" si="399"/>
        <v>2.5998694991876676</v>
      </c>
      <c r="O976">
        <f t="shared" ca="1" si="400"/>
        <v>1.8934557080078435E-4</v>
      </c>
      <c r="P976">
        <f t="shared" ca="1" si="401"/>
        <v>52429.992837663616</v>
      </c>
      <c r="Q976">
        <f t="shared" ca="1" si="402"/>
        <v>52429.992837665442</v>
      </c>
      <c r="R976">
        <f t="shared" ca="1" si="403"/>
        <v>2.2564415439646509E-12</v>
      </c>
      <c r="S976">
        <f t="shared" ca="1" si="422"/>
        <v>5.0000000192085281E-4</v>
      </c>
      <c r="T976">
        <f t="shared" ca="1" si="423"/>
        <v>1</v>
      </c>
      <c r="U976">
        <f t="shared" ca="1" si="404"/>
        <v>51800.26683766341</v>
      </c>
      <c r="V976">
        <f t="shared" ca="1" si="405"/>
        <v>269361.38755584974</v>
      </c>
      <c r="W976">
        <f t="shared" ca="1" si="406"/>
        <v>2.5998695052916441</v>
      </c>
      <c r="X976">
        <f t="shared" ca="1" si="407"/>
        <v>1.8933671400629237E-4</v>
      </c>
      <c r="Y976">
        <f t="shared" ca="1" si="408"/>
        <v>52432.415837663408</v>
      </c>
      <c r="Z976">
        <f t="shared" ca="1" si="409"/>
        <v>52432.415837665234</v>
      </c>
      <c r="AA976">
        <f t="shared" ca="1" si="410"/>
        <v>2.2562304480281055E-12</v>
      </c>
      <c r="AB976">
        <f t="shared" ca="1" si="411"/>
        <v>-4.999999946448952E-4</v>
      </c>
      <c r="AC976">
        <f t="shared" ca="1" si="412"/>
        <v>1</v>
      </c>
      <c r="AD976">
        <f ca="1">IF(V32="Supercritical",L976,IF(V32="Subcritical",U976,IF(AND(T976=1,AC976=1),IF((((F976)*(L976)^2)/2+(G976)*(L976)^3/3+(ABS(K976)^2)/($I$5*MAX(((F976)+(G976)*(L976))*(L976),0.000001)))&gt;=(((F976)*(U976)^2)/2+(G976)*(U976)^3/3+(ABS(K976)^2)/($I$5*MAX(((F976)+(G976)*(U976))*(U976),0.000001))),L976,U976),IF(T976=1,L976,IF(AC976=1,U976,MAX($D$16,POWER((ABS(K976)^2)/($I$5*MAX(F976,0.1)^2),1/3)))))))</f>
        <v>51800.26683766341</v>
      </c>
      <c r="AE976">
        <f t="shared" ca="1" si="413"/>
        <v>52432.415837663408</v>
      </c>
      <c r="AF976">
        <f t="shared" ca="1" si="414"/>
        <v>52432.415837665234</v>
      </c>
      <c r="AI976">
        <v>0</v>
      </c>
      <c r="AJ976">
        <v>0</v>
      </c>
      <c r="AK976">
        <f t="shared" si="415"/>
        <v>0</v>
      </c>
      <c r="AL976">
        <f t="shared" si="424"/>
        <v>0</v>
      </c>
      <c r="AM976">
        <f t="shared" ca="1" si="416"/>
        <v>2.6560383008097266E-7</v>
      </c>
      <c r="AN976" t="str">
        <f t="shared" ca="1" si="417"/>
        <v>Subcritical</v>
      </c>
      <c r="AO976">
        <f t="shared" ca="1" si="418"/>
        <v>2.2562304480281055E-12</v>
      </c>
    </row>
    <row r="977" spans="1:41" x14ac:dyDescent="0.35">
      <c r="A977">
        <v>828</v>
      </c>
      <c r="B977">
        <v>826.88900000000001</v>
      </c>
      <c r="C977">
        <v>616088.47699999996</v>
      </c>
      <c r="D977">
        <v>3097176.8939999999</v>
      </c>
      <c r="E977">
        <v>632.14850000000001</v>
      </c>
      <c r="F977">
        <v>5.2</v>
      </c>
      <c r="G977">
        <v>0</v>
      </c>
      <c r="H977" t="s">
        <v>186</v>
      </c>
      <c r="I977">
        <v>0</v>
      </c>
      <c r="J977">
        <f t="shared" si="419"/>
        <v>0.99900000000002365</v>
      </c>
      <c r="K977">
        <f t="shared" si="420"/>
        <v>51</v>
      </c>
      <c r="L977">
        <f t="shared" ca="1" si="421"/>
        <v>51797.843837663619</v>
      </c>
      <c r="M977">
        <f t="shared" ca="1" si="398"/>
        <v>269348.78795585083</v>
      </c>
      <c r="N977">
        <f t="shared" ca="1" si="399"/>
        <v>2.5998694991876676</v>
      </c>
      <c r="O977">
        <f t="shared" ca="1" si="400"/>
        <v>1.8934557080078435E-4</v>
      </c>
      <c r="P977">
        <f t="shared" ca="1" si="401"/>
        <v>52429.992337663622</v>
      </c>
      <c r="Q977">
        <f t="shared" ca="1" si="402"/>
        <v>52429.992337665448</v>
      </c>
      <c r="R977">
        <f t="shared" ca="1" si="403"/>
        <v>2.2564415439646509E-12</v>
      </c>
      <c r="S977">
        <f t="shared" ca="1" si="422"/>
        <v>4.999999946448952E-4</v>
      </c>
      <c r="T977">
        <f t="shared" ca="1" si="423"/>
        <v>1</v>
      </c>
      <c r="U977">
        <f t="shared" ca="1" si="404"/>
        <v>51800.26683766341</v>
      </c>
      <c r="V977">
        <f t="shared" ca="1" si="405"/>
        <v>269361.38755584974</v>
      </c>
      <c r="W977">
        <f t="shared" ca="1" si="406"/>
        <v>2.5998695052916441</v>
      </c>
      <c r="X977">
        <f t="shared" ca="1" si="407"/>
        <v>1.8933671400629237E-4</v>
      </c>
      <c r="Y977">
        <f t="shared" ca="1" si="408"/>
        <v>52432.415337663413</v>
      </c>
      <c r="Z977">
        <f t="shared" ca="1" si="409"/>
        <v>52432.415337665239</v>
      </c>
      <c r="AA977">
        <f t="shared" ca="1" si="410"/>
        <v>2.2562304480281055E-12</v>
      </c>
      <c r="AB977">
        <f t="shared" ca="1" si="411"/>
        <v>-5.0000000192085281E-4</v>
      </c>
      <c r="AC977">
        <f t="shared" ca="1" si="412"/>
        <v>1</v>
      </c>
      <c r="AD977">
        <f ca="1">IF(V32="Supercritical",L977,IF(V32="Subcritical",U977,IF(AND(T977=1,AC977=1),IF((((F977)*(L977)^2)/2+(G977)*(L977)^3/3+(ABS(K977)^2)/($I$5*MAX(((F977)+(G977)*(L977))*(L977),0.000001)))&gt;=(((F977)*(U977)^2)/2+(G977)*(U977)^3/3+(ABS(K977)^2)/($I$5*MAX(((F977)+(G977)*(U977))*(U977),0.000001))),L977,U977),IF(T977=1,L977,IF(AC977=1,U977,MAX($D$16,POWER((ABS(K977)^2)/($I$5*MAX(F977,0.1)^2),1/3)))))))</f>
        <v>51800.26683766341</v>
      </c>
      <c r="AE977">
        <f t="shared" ca="1" si="413"/>
        <v>52432.415337663413</v>
      </c>
      <c r="AF977">
        <f t="shared" ca="1" si="414"/>
        <v>52432.415337665239</v>
      </c>
      <c r="AI977">
        <v>0</v>
      </c>
      <c r="AJ977">
        <v>0</v>
      </c>
      <c r="AK977">
        <f t="shared" si="415"/>
        <v>0</v>
      </c>
      <c r="AL977">
        <f t="shared" si="424"/>
        <v>0</v>
      </c>
      <c r="AM977">
        <f t="shared" ca="1" si="416"/>
        <v>2.6560383008097266E-7</v>
      </c>
      <c r="AN977" t="str">
        <f t="shared" ca="1" si="417"/>
        <v>Subcritical</v>
      </c>
      <c r="AO977">
        <f t="shared" ca="1" si="418"/>
        <v>2.2562304480281055E-12</v>
      </c>
    </row>
    <row r="978" spans="1:41" x14ac:dyDescent="0.35">
      <c r="A978">
        <v>829</v>
      </c>
      <c r="B978">
        <v>827.88900000000001</v>
      </c>
      <c r="C978">
        <v>616088.43500000006</v>
      </c>
      <c r="D978">
        <v>3097175.895</v>
      </c>
      <c r="E978">
        <v>632.14800000000002</v>
      </c>
      <c r="F978">
        <v>5.2</v>
      </c>
      <c r="G978">
        <v>0</v>
      </c>
      <c r="H978" t="s">
        <v>186</v>
      </c>
      <c r="I978">
        <v>5.7000000000000002E-2</v>
      </c>
      <c r="J978">
        <f t="shared" si="419"/>
        <v>1</v>
      </c>
      <c r="K978">
        <f t="shared" si="420"/>
        <v>51</v>
      </c>
      <c r="L978">
        <f t="shared" ca="1" si="421"/>
        <v>51797.843837663619</v>
      </c>
      <c r="M978">
        <f t="shared" ca="1" si="398"/>
        <v>269348.78795585083</v>
      </c>
      <c r="N978">
        <f t="shared" ca="1" si="399"/>
        <v>2.5998694991876676</v>
      </c>
      <c r="O978">
        <f t="shared" ca="1" si="400"/>
        <v>1.8934557080078435E-4</v>
      </c>
      <c r="P978">
        <f t="shared" ca="1" si="401"/>
        <v>52429.99183766362</v>
      </c>
      <c r="Q978">
        <f t="shared" ca="1" si="402"/>
        <v>52429.991837665446</v>
      </c>
      <c r="R978">
        <f t="shared" ca="1" si="403"/>
        <v>2.2564415439646509E-12</v>
      </c>
      <c r="S978">
        <f t="shared" ca="1" si="422"/>
        <v>5.0000000192085281E-4</v>
      </c>
      <c r="T978">
        <f t="shared" ca="1" si="423"/>
        <v>1</v>
      </c>
      <c r="U978">
        <f t="shared" ca="1" si="404"/>
        <v>51800.26683766341</v>
      </c>
      <c r="V978">
        <f t="shared" ca="1" si="405"/>
        <v>269361.38755584974</v>
      </c>
      <c r="W978">
        <f t="shared" ca="1" si="406"/>
        <v>2.5998695052916441</v>
      </c>
      <c r="X978">
        <f t="shared" ca="1" si="407"/>
        <v>1.8933671400629237E-4</v>
      </c>
      <c r="Y978">
        <f t="shared" ca="1" si="408"/>
        <v>52432.414837663411</v>
      </c>
      <c r="Z978">
        <f t="shared" ca="1" si="409"/>
        <v>52432.414837665237</v>
      </c>
      <c r="AA978">
        <f t="shared" ca="1" si="410"/>
        <v>2.2562304480281055E-12</v>
      </c>
      <c r="AB978">
        <f t="shared" ca="1" si="411"/>
        <v>-5.0000000192085281E-4</v>
      </c>
      <c r="AC978">
        <f t="shared" ca="1" si="412"/>
        <v>1</v>
      </c>
      <c r="AD978">
        <f ca="1">IF(V32="Supercritical",L978,IF(V32="Subcritical",U978,IF(AND(T978=1,AC978=1),IF((((F978)*(L978)^2)/2+(G978)*(L978)^3/3+(ABS(K978)^2)/($I$5*MAX(((F978)+(G978)*(L978))*(L978),0.000001)))&gt;=(((F978)*(U978)^2)/2+(G978)*(U978)^3/3+(ABS(K978)^2)/($I$5*MAX(((F978)+(G978)*(U978))*(U978),0.000001))),L978,U978),IF(T978=1,L978,IF(AC978=1,U978,MAX($D$16,POWER((ABS(K978)^2)/($I$5*MAX(F978,0.1)^2),1/3)))))))</f>
        <v>51800.26683766341</v>
      </c>
      <c r="AE978">
        <f t="shared" ca="1" si="413"/>
        <v>52432.414837663411</v>
      </c>
      <c r="AF978">
        <f t="shared" ca="1" si="414"/>
        <v>52432.414837665237</v>
      </c>
      <c r="AI978">
        <v>0</v>
      </c>
      <c r="AJ978">
        <v>0</v>
      </c>
      <c r="AK978">
        <f t="shared" si="415"/>
        <v>0</v>
      </c>
      <c r="AL978">
        <f t="shared" si="424"/>
        <v>0</v>
      </c>
      <c r="AM978">
        <f t="shared" ca="1" si="416"/>
        <v>2.6560383008097266E-7</v>
      </c>
      <c r="AN978" t="str">
        <f t="shared" ca="1" si="417"/>
        <v>Subcritical</v>
      </c>
      <c r="AO978">
        <f t="shared" ca="1" si="418"/>
        <v>2.2562304480281055E-12</v>
      </c>
    </row>
    <row r="979" spans="1:41" x14ac:dyDescent="0.35">
      <c r="A979">
        <v>830</v>
      </c>
      <c r="B979">
        <v>828.88900000000001</v>
      </c>
      <c r="C979">
        <v>616088.39199999999</v>
      </c>
      <c r="D979">
        <v>3097174.8960000002</v>
      </c>
      <c r="E979">
        <v>632.14750000000004</v>
      </c>
      <c r="F979">
        <v>5.2</v>
      </c>
      <c r="G979">
        <v>0</v>
      </c>
      <c r="H979" t="s">
        <v>186</v>
      </c>
      <c r="I979">
        <v>5.7000000000000002E-2</v>
      </c>
      <c r="J979">
        <f t="shared" si="419"/>
        <v>1</v>
      </c>
      <c r="K979">
        <f t="shared" si="420"/>
        <v>51</v>
      </c>
      <c r="L979">
        <f t="shared" ca="1" si="421"/>
        <v>51797.843837663619</v>
      </c>
      <c r="M979">
        <f t="shared" ca="1" si="398"/>
        <v>269348.78795585083</v>
      </c>
      <c r="N979">
        <f t="shared" ca="1" si="399"/>
        <v>2.5998694991876676</v>
      </c>
      <c r="O979">
        <f t="shared" ca="1" si="400"/>
        <v>1.8934557080078435E-4</v>
      </c>
      <c r="P979">
        <f t="shared" ca="1" si="401"/>
        <v>52429.991337663618</v>
      </c>
      <c r="Q979">
        <f t="shared" ca="1" si="402"/>
        <v>52429.991337665444</v>
      </c>
      <c r="R979">
        <f t="shared" ca="1" si="403"/>
        <v>2.2564415439646509E-12</v>
      </c>
      <c r="S979">
        <f t="shared" ca="1" si="422"/>
        <v>5.0000000192085281E-4</v>
      </c>
      <c r="T979">
        <f t="shared" ca="1" si="423"/>
        <v>1</v>
      </c>
      <c r="U979">
        <f t="shared" ca="1" si="404"/>
        <v>51800.26683766341</v>
      </c>
      <c r="V979">
        <f t="shared" ca="1" si="405"/>
        <v>269361.38755584974</v>
      </c>
      <c r="W979">
        <f t="shared" ca="1" si="406"/>
        <v>2.5998695052916441</v>
      </c>
      <c r="X979">
        <f t="shared" ca="1" si="407"/>
        <v>1.8933671400629237E-4</v>
      </c>
      <c r="Y979">
        <f t="shared" ca="1" si="408"/>
        <v>52432.414337663409</v>
      </c>
      <c r="Z979">
        <f t="shared" ca="1" si="409"/>
        <v>52432.414337665236</v>
      </c>
      <c r="AA979">
        <f t="shared" ca="1" si="410"/>
        <v>2.2562304480281055E-12</v>
      </c>
      <c r="AB979">
        <f t="shared" ca="1" si="411"/>
        <v>-5.0000000192085281E-4</v>
      </c>
      <c r="AC979">
        <f t="shared" ca="1" si="412"/>
        <v>1</v>
      </c>
      <c r="AD979">
        <f ca="1">IF(V32="Supercritical",L979,IF(V32="Subcritical",U979,IF(AND(T979=1,AC979=1),IF((((F979)*(L979)^2)/2+(G979)*(L979)^3/3+(ABS(K979)^2)/($I$5*MAX(((F979)+(G979)*(L979))*(L979),0.000001)))&gt;=(((F979)*(U979)^2)/2+(G979)*(U979)^3/3+(ABS(K979)^2)/($I$5*MAX(((F979)+(G979)*(U979))*(U979),0.000001))),L979,U979),IF(T979=1,L979,IF(AC979=1,U979,MAX($D$16,POWER((ABS(K979)^2)/($I$5*MAX(F979,0.1)^2),1/3)))))))</f>
        <v>51800.26683766341</v>
      </c>
      <c r="AE979">
        <f t="shared" ca="1" si="413"/>
        <v>52432.414337663409</v>
      </c>
      <c r="AF979">
        <f t="shared" ca="1" si="414"/>
        <v>52432.414337665236</v>
      </c>
      <c r="AI979">
        <v>0</v>
      </c>
      <c r="AJ979">
        <v>0</v>
      </c>
      <c r="AK979">
        <f t="shared" si="415"/>
        <v>0</v>
      </c>
      <c r="AL979">
        <f t="shared" si="424"/>
        <v>0</v>
      </c>
      <c r="AM979">
        <f t="shared" ca="1" si="416"/>
        <v>2.6560383008097266E-7</v>
      </c>
      <c r="AN979" t="str">
        <f t="shared" ca="1" si="417"/>
        <v>Subcritical</v>
      </c>
      <c r="AO979">
        <f t="shared" ca="1" si="418"/>
        <v>2.2562304480281055E-12</v>
      </c>
    </row>
    <row r="980" spans="1:41" x14ac:dyDescent="0.35">
      <c r="A980">
        <v>831</v>
      </c>
      <c r="B980">
        <v>829.88900000000001</v>
      </c>
      <c r="C980">
        <v>616088.35</v>
      </c>
      <c r="D980">
        <v>3097173.8969999999</v>
      </c>
      <c r="E980">
        <v>632.14700000000005</v>
      </c>
      <c r="F980">
        <v>5.2</v>
      </c>
      <c r="G980">
        <v>0</v>
      </c>
      <c r="H980" t="s">
        <v>186</v>
      </c>
      <c r="I980">
        <v>0</v>
      </c>
      <c r="J980">
        <f t="shared" si="419"/>
        <v>1</v>
      </c>
      <c r="K980">
        <f t="shared" si="420"/>
        <v>51</v>
      </c>
      <c r="L980">
        <f t="shared" ca="1" si="421"/>
        <v>51797.843837663619</v>
      </c>
      <c r="M980">
        <f t="shared" ca="1" si="398"/>
        <v>269348.78795585083</v>
      </c>
      <c r="N980">
        <f t="shared" ca="1" si="399"/>
        <v>2.5998694991876676</v>
      </c>
      <c r="O980">
        <f t="shared" ca="1" si="400"/>
        <v>1.8934557080078435E-4</v>
      </c>
      <c r="P980">
        <f t="shared" ca="1" si="401"/>
        <v>52429.990837663616</v>
      </c>
      <c r="Q980">
        <f t="shared" ca="1" si="402"/>
        <v>52429.990837665442</v>
      </c>
      <c r="R980">
        <f t="shared" ca="1" si="403"/>
        <v>2.2564415439646509E-12</v>
      </c>
      <c r="S980">
        <f t="shared" ca="1" si="422"/>
        <v>5.0000000192085281E-4</v>
      </c>
      <c r="T980">
        <f t="shared" ca="1" si="423"/>
        <v>1</v>
      </c>
      <c r="U980">
        <f t="shared" ca="1" si="404"/>
        <v>51800.26683766341</v>
      </c>
      <c r="V980">
        <f t="shared" ca="1" si="405"/>
        <v>269361.38755584974</v>
      </c>
      <c r="W980">
        <f t="shared" ca="1" si="406"/>
        <v>2.5998695052916441</v>
      </c>
      <c r="X980">
        <f t="shared" ca="1" si="407"/>
        <v>1.8933671400629237E-4</v>
      </c>
      <c r="Y980">
        <f t="shared" ca="1" si="408"/>
        <v>52432.413837663407</v>
      </c>
      <c r="Z980">
        <f t="shared" ca="1" si="409"/>
        <v>52432.413837665234</v>
      </c>
      <c r="AA980">
        <f t="shared" ca="1" si="410"/>
        <v>2.2562304480281055E-12</v>
      </c>
      <c r="AB980">
        <f t="shared" ca="1" si="411"/>
        <v>-4.999999946448952E-4</v>
      </c>
      <c r="AC980">
        <f t="shared" ca="1" si="412"/>
        <v>1</v>
      </c>
      <c r="AD980">
        <f ca="1">IF(V32="Supercritical",L980,IF(V32="Subcritical",U980,IF(AND(T980=1,AC980=1),IF((((F980)*(L980)^2)/2+(G980)*(L980)^3/3+(ABS(K980)^2)/($I$5*MAX(((F980)+(G980)*(L980))*(L980),0.000001)))&gt;=(((F980)*(U980)^2)/2+(G980)*(U980)^3/3+(ABS(K980)^2)/($I$5*MAX(((F980)+(G980)*(U980))*(U980),0.000001))),L980,U980),IF(T980=1,L980,IF(AC980=1,U980,MAX($D$16,POWER((ABS(K980)^2)/($I$5*MAX(F980,0.1)^2),1/3)))))))</f>
        <v>51800.26683766341</v>
      </c>
      <c r="AE980">
        <f t="shared" ca="1" si="413"/>
        <v>52432.413837663407</v>
      </c>
      <c r="AF980">
        <f t="shared" ca="1" si="414"/>
        <v>52432.413837665234</v>
      </c>
      <c r="AI980">
        <v>0</v>
      </c>
      <c r="AJ980">
        <v>0</v>
      </c>
      <c r="AK980">
        <f t="shared" si="415"/>
        <v>0</v>
      </c>
      <c r="AL980">
        <f t="shared" si="424"/>
        <v>0</v>
      </c>
      <c r="AM980">
        <f t="shared" ca="1" si="416"/>
        <v>2.6560383008097266E-7</v>
      </c>
      <c r="AN980" t="str">
        <f t="shared" ca="1" si="417"/>
        <v>Subcritical</v>
      </c>
      <c r="AO980">
        <f t="shared" ca="1" si="418"/>
        <v>2.2562304480281055E-12</v>
      </c>
    </row>
    <row r="981" spans="1:41" x14ac:dyDescent="0.35">
      <c r="A981">
        <v>832</v>
      </c>
      <c r="B981">
        <v>830.88900000000001</v>
      </c>
      <c r="C981">
        <v>616088.30799999996</v>
      </c>
      <c r="D981">
        <v>3097172.898</v>
      </c>
      <c r="E981">
        <v>632.14649999999995</v>
      </c>
      <c r="F981">
        <v>5.2</v>
      </c>
      <c r="G981">
        <v>0</v>
      </c>
      <c r="H981" t="s">
        <v>186</v>
      </c>
      <c r="I981">
        <v>0</v>
      </c>
      <c r="J981">
        <f t="shared" si="419"/>
        <v>1</v>
      </c>
      <c r="K981">
        <f t="shared" si="420"/>
        <v>51</v>
      </c>
      <c r="L981">
        <f t="shared" ca="1" si="421"/>
        <v>51797.843837663619</v>
      </c>
      <c r="M981">
        <f t="shared" ca="1" si="398"/>
        <v>269348.78795585083</v>
      </c>
      <c r="N981">
        <f t="shared" ca="1" si="399"/>
        <v>2.5998694991876676</v>
      </c>
      <c r="O981">
        <f t="shared" ca="1" si="400"/>
        <v>1.8934557080078435E-4</v>
      </c>
      <c r="P981">
        <f t="shared" ca="1" si="401"/>
        <v>52429.990337663621</v>
      </c>
      <c r="Q981">
        <f t="shared" ca="1" si="402"/>
        <v>52429.990337665447</v>
      </c>
      <c r="R981">
        <f t="shared" ca="1" si="403"/>
        <v>2.2564415439646509E-12</v>
      </c>
      <c r="S981">
        <f t="shared" ca="1" si="422"/>
        <v>4.999999946448952E-4</v>
      </c>
      <c r="T981">
        <f t="shared" ca="1" si="423"/>
        <v>1</v>
      </c>
      <c r="U981">
        <f t="shared" ca="1" si="404"/>
        <v>51800.26683766341</v>
      </c>
      <c r="V981">
        <f t="shared" ca="1" si="405"/>
        <v>269361.38755584974</v>
      </c>
      <c r="W981">
        <f t="shared" ca="1" si="406"/>
        <v>2.5998695052916441</v>
      </c>
      <c r="X981">
        <f t="shared" ca="1" si="407"/>
        <v>1.8933671400629237E-4</v>
      </c>
      <c r="Y981">
        <f t="shared" ca="1" si="408"/>
        <v>52432.413337663413</v>
      </c>
      <c r="Z981">
        <f t="shared" ca="1" si="409"/>
        <v>52432.413337665239</v>
      </c>
      <c r="AA981">
        <f t="shared" ca="1" si="410"/>
        <v>2.2562304480281055E-12</v>
      </c>
      <c r="AB981">
        <f t="shared" ca="1" si="411"/>
        <v>-5.0000000192085281E-4</v>
      </c>
      <c r="AC981">
        <f t="shared" ca="1" si="412"/>
        <v>1</v>
      </c>
      <c r="AD981">
        <f ca="1">IF(V32="Supercritical",L981,IF(V32="Subcritical",U981,IF(AND(T981=1,AC981=1),IF((((F981)*(L981)^2)/2+(G981)*(L981)^3/3+(ABS(K981)^2)/($I$5*MAX(((F981)+(G981)*(L981))*(L981),0.000001)))&gt;=(((F981)*(U981)^2)/2+(G981)*(U981)^3/3+(ABS(K981)^2)/($I$5*MAX(((F981)+(G981)*(U981))*(U981),0.000001))),L981,U981),IF(T981=1,L981,IF(AC981=1,U981,MAX($D$16,POWER((ABS(K981)^2)/($I$5*MAX(F981,0.1)^2),1/3)))))))</f>
        <v>51800.26683766341</v>
      </c>
      <c r="AE981">
        <f t="shared" ca="1" si="413"/>
        <v>52432.413337663413</v>
      </c>
      <c r="AF981">
        <f t="shared" ca="1" si="414"/>
        <v>52432.413337665239</v>
      </c>
      <c r="AI981">
        <v>0</v>
      </c>
      <c r="AJ981">
        <v>0</v>
      </c>
      <c r="AK981">
        <f t="shared" si="415"/>
        <v>0</v>
      </c>
      <c r="AL981">
        <f t="shared" si="424"/>
        <v>0</v>
      </c>
      <c r="AM981">
        <f t="shared" ca="1" si="416"/>
        <v>2.6560383008097266E-7</v>
      </c>
      <c r="AN981" t="str">
        <f t="shared" ca="1" si="417"/>
        <v>Subcritical</v>
      </c>
      <c r="AO981">
        <f t="shared" ca="1" si="418"/>
        <v>2.2562304480281055E-12</v>
      </c>
    </row>
    <row r="982" spans="1:41" x14ac:dyDescent="0.35">
      <c r="A982">
        <v>833</v>
      </c>
      <c r="B982">
        <v>831.88900000000001</v>
      </c>
      <c r="C982">
        <v>616088.26599999995</v>
      </c>
      <c r="D982">
        <v>3097171.8990000002</v>
      </c>
      <c r="E982">
        <v>632.14599999999996</v>
      </c>
      <c r="F982">
        <v>5.2</v>
      </c>
      <c r="G982">
        <v>0</v>
      </c>
      <c r="H982" t="s">
        <v>186</v>
      </c>
      <c r="I982">
        <v>5.7000000000000002E-2</v>
      </c>
      <c r="J982">
        <f t="shared" si="419"/>
        <v>1</v>
      </c>
      <c r="K982">
        <f t="shared" si="420"/>
        <v>51</v>
      </c>
      <c r="L982">
        <f t="shared" ca="1" si="421"/>
        <v>51797.843837663619</v>
      </c>
      <c r="M982">
        <f t="shared" ref="M982:M1045" ca="1" si="425">((F982)+(G982)*(L982))*(L982)</f>
        <v>269348.78795585083</v>
      </c>
      <c r="N982">
        <f t="shared" ref="N982:N1045" ca="1" si="426">(((F982)+(G982)*(L982))*(L982))/MAX((F982)+2*(L982)*SQRT(1+(G982)^2),0.000001)</f>
        <v>2.5998694991876676</v>
      </c>
      <c r="O982">
        <f t="shared" ref="O982:O1045" ca="1" si="427">ABS(K982)/MAX(((F982)+(G982)*(L982))*(L982),0.000001)</f>
        <v>1.8934557080078435E-4</v>
      </c>
      <c r="P982">
        <f t="shared" ref="P982:P1045" ca="1" si="428">E982+L982</f>
        <v>52429.989837663619</v>
      </c>
      <c r="Q982">
        <f t="shared" ref="Q982:Q1045" ca="1" si="429">P982+((ABS(K982)/MAX(((F982)+(G982)*(L982))*(L982),0.000001))^2)/(2*$I$5)</f>
        <v>52429.989837665446</v>
      </c>
      <c r="R982">
        <f t="shared" ref="R982:R1045" ca="1" si="430">((ABS(K982)*$D$6)/(MAX(((F982)+(G982)*(L982))*(L982),0.000001)*MAX(((((F982)+(G982)*(L982))*(L982))/MAX((F982)+2*(L982)*SQRT(1+(G982)^2),0.000001))^(2/3),0.000001)))^2</f>
        <v>2.2564415439646509E-12</v>
      </c>
      <c r="S982">
        <f t="shared" ca="1" si="422"/>
        <v>5.0000000192085281E-4</v>
      </c>
      <c r="T982">
        <f t="shared" ca="1" si="423"/>
        <v>1</v>
      </c>
      <c r="U982">
        <f t="shared" ref="U982:U1045" ca="1" si="431">IF($D$20=0,U983,IF(AC983=0,U983,IF(U982=0,U983,IF(ABS(AB982)&gt;$D$19,MAX($D$16,U982+((AB982)*$D$18*IF((ABS(ABS(K982)/MAX(((F982)+(G982)*(U982))*(U982),0.000001))/SQRT($I$5*MAX((((F982)+(G982)*(U982))*(U982))/MAX((F982)+2*(G982)*(U982),0.000001),0.000001)))&lt;1,1,-1))),U982))))</f>
        <v>51800.26683766341</v>
      </c>
      <c r="V982">
        <f t="shared" ref="V982:V1045" ca="1" si="432">((F982)+(G982)*(U982))*(U982)</f>
        <v>269361.38755584974</v>
      </c>
      <c r="W982">
        <f t="shared" ref="W982:W1045" ca="1" si="433">(((F982)+(G982)*(U982))*(U982))/MAX((F982)+2*(U982)*SQRT(1+(G982)^2),0.000001)</f>
        <v>2.5998695052916441</v>
      </c>
      <c r="X982">
        <f t="shared" ref="X982:X1045" ca="1" si="434">ABS(K982)/MAX(((F982)+(G982)*(U982))*(U982),0.000001)</f>
        <v>1.8933671400629237E-4</v>
      </c>
      <c r="Y982">
        <f t="shared" ref="Y982:Y1045" ca="1" si="435">E982+U982</f>
        <v>52432.412837663411</v>
      </c>
      <c r="Z982">
        <f t="shared" ref="Z982:Z1045" ca="1" si="436">Y982+((ABS(K982)/MAX(((F982)+(G982)*(U982))*(U982),0.000001))^2)/(2*$I$5)</f>
        <v>52432.412837665237</v>
      </c>
      <c r="AA982">
        <f t="shared" ref="AA982:AA1045" ca="1" si="437">((ABS(K982)*$D$6)/(MAX(((F982)+(G982)*(U982))*(U982),0.000001)*MAX(((((F982)+(G982)*(U982))*(U982))/MAX((F982)+2*(U982)*SQRT(1+(G982)^2),0.000001))^(2/3),0.000001)))^2</f>
        <v>2.2562304480281055E-12</v>
      </c>
      <c r="AB982">
        <f t="shared" ref="AB982:AB1045" ca="1" si="438">Z983+(((AA982+AA983)/2)*J983)+(IF(X982&gt;X983,$D$8*((X982^2-X983^2)/(2*$I$5)),$D$9*((X983^2-X982^2)/(2*$I$5)))+($D$10*(ABS(I983)/90)*(MAX(X982^2,X983^2)/(2*$I$5))))-Z982</f>
        <v>-5.0000000192085281E-4</v>
      </c>
      <c r="AC982">
        <f t="shared" ref="AC982:AC1045" ca="1" si="439">IF(ABS(AB982)&lt;$D$19,1,0)</f>
        <v>1</v>
      </c>
      <c r="AD982">
        <f ca="1">IF(V32="Supercritical",L982,IF(V32="Subcritical",U982,IF(AND(T982=1,AC982=1),IF((((F982)*(L982)^2)/2+(G982)*(L982)^3/3+(ABS(K982)^2)/($I$5*MAX(((F982)+(G982)*(L982))*(L982),0.000001)))&gt;=(((F982)*(U982)^2)/2+(G982)*(U982)^3/3+(ABS(K982)^2)/($I$5*MAX(((F982)+(G982)*(U982))*(U982),0.000001))),L982,U982),IF(T982=1,L982,IF(AC982=1,U982,MAX($D$16,POWER((ABS(K982)^2)/($I$5*MAX(F982,0.1)^2),1/3)))))))</f>
        <v>51800.26683766341</v>
      </c>
      <c r="AE982">
        <f t="shared" ref="AE982:AE1045" ca="1" si="440">E982+AD982</f>
        <v>52432.412837663411</v>
      </c>
      <c r="AF982">
        <f t="shared" ref="AF982:AF1045" ca="1" si="441">AE982+((ABS(K982)/MAX(((F982)+(G982)*(AD982))*(AD982),0.000001))^2)/(2*$I$5)</f>
        <v>52432.412837665237</v>
      </c>
      <c r="AI982">
        <v>0</v>
      </c>
      <c r="AJ982">
        <v>0</v>
      </c>
      <c r="AK982">
        <f t="shared" ref="AK982:AK1045" si="442">AI982+AJ982</f>
        <v>0</v>
      </c>
      <c r="AL982">
        <f t="shared" si="424"/>
        <v>0</v>
      </c>
      <c r="AM982">
        <f t="shared" ref="AM982:AM1045" ca="1" si="443">ABS(ABS(K982)/MAX(((F982)+(G982)*(AD982))*(AD982),0.000001))/SQRT($I$5*MAX((((F982)+(G982)*(AD982))*(AD982))/MAX((F982)+2*(G982)*(AD982),0.000001),0.000001))</f>
        <v>2.6560383008097266E-7</v>
      </c>
      <c r="AN982" t="str">
        <f t="shared" ref="AN982:AN1045" ca="1" si="444">IF(AM982&lt;1,"Subcritical","Supercritical")</f>
        <v>Subcritical</v>
      </c>
      <c r="AO982">
        <f t="shared" ref="AO982:AO1045" ca="1" si="445">((ABS(K982)*$D$6)/(MAX(((F982)+(G982)*(AD982))*(AD982),0.000001)*MAX(((((F982)+(G982)*(AD982))*(AD982))/MAX((F982)+2*(AD982)*SQRT(1+(G982)^2),0.000001))^(2/3),0.000001)))^2</f>
        <v>2.2562304480281055E-12</v>
      </c>
    </row>
    <row r="983" spans="1:41" x14ac:dyDescent="0.35">
      <c r="A983">
        <v>834</v>
      </c>
      <c r="B983">
        <v>832.88900000000001</v>
      </c>
      <c r="C983">
        <v>616088.223</v>
      </c>
      <c r="D983">
        <v>3097170.9</v>
      </c>
      <c r="E983">
        <v>632.14549999999997</v>
      </c>
      <c r="F983">
        <v>5.2</v>
      </c>
      <c r="G983">
        <v>0</v>
      </c>
      <c r="H983" t="s">
        <v>186</v>
      </c>
      <c r="I983">
        <v>0.06</v>
      </c>
      <c r="J983">
        <f t="shared" ref="J983:J1046" si="446">B983-B982</f>
        <v>1</v>
      </c>
      <c r="K983">
        <f t="shared" ref="K983:K1046" si="447">MAX(0,K982-AK982)</f>
        <v>51</v>
      </c>
      <c r="L983">
        <f t="shared" ref="L983:L1046" ca="1" si="448">IF($D$20=0,L982,IF(T982=0,L982,IF(L983=0,L982,IF(ABS(S983)&gt;$D$19,MAX($D$16,L983+((S983)*$D$18*IF((ABS(ABS(K983)/MAX(((F983)+(G983)*(L983))*(L983),0.000001))/SQRT($I$5*MAX((((F983)+(G983)*(L983))*(L983))/MAX((F983)+2*(G983)*(L983),0.000001),0.000001)))&lt;1,1,-1))),L983))))</f>
        <v>51797.843837663619</v>
      </c>
      <c r="M983">
        <f t="shared" ca="1" si="425"/>
        <v>269348.78795585083</v>
      </c>
      <c r="N983">
        <f t="shared" ca="1" si="426"/>
        <v>2.5998694991876676</v>
      </c>
      <c r="O983">
        <f t="shared" ca="1" si="427"/>
        <v>1.8934557080078435E-4</v>
      </c>
      <c r="P983">
        <f t="shared" ca="1" si="428"/>
        <v>52429.989337663617</v>
      </c>
      <c r="Q983">
        <f t="shared" ca="1" si="429"/>
        <v>52429.989337665444</v>
      </c>
      <c r="R983">
        <f t="shared" ca="1" si="430"/>
        <v>2.2564415439646509E-12</v>
      </c>
      <c r="S983">
        <f t="shared" ref="S983:S1046" ca="1" si="449">Q982-(((R982+R983)/2)*J983)-(IF(O982&gt;O983,$D$8*((O982^2-O983^2)/(2*$I$5)),$D$9*((O983^2-O982^2)/(2*$I$5)))+($D$10*(ABS(I983)/90)*(MAX(O982^2,O983^2)/(2*$I$5))))-Q983</f>
        <v>5.0000000192085281E-4</v>
      </c>
      <c r="T983">
        <f t="shared" ref="T983:T1046" ca="1" si="450">IF(ABS(S983)&lt;$D$19,1,0)</f>
        <v>1</v>
      </c>
      <c r="U983">
        <f t="shared" ca="1" si="431"/>
        <v>51800.26683766341</v>
      </c>
      <c r="V983">
        <f t="shared" ca="1" si="432"/>
        <v>269361.38755584974</v>
      </c>
      <c r="W983">
        <f t="shared" ca="1" si="433"/>
        <v>2.5998695052916441</v>
      </c>
      <c r="X983">
        <f t="shared" ca="1" si="434"/>
        <v>1.8933671400629237E-4</v>
      </c>
      <c r="Y983">
        <f t="shared" ca="1" si="435"/>
        <v>52432.412337663409</v>
      </c>
      <c r="Z983">
        <f t="shared" ca="1" si="436"/>
        <v>52432.412337665235</v>
      </c>
      <c r="AA983">
        <f t="shared" ca="1" si="437"/>
        <v>2.2562304480281055E-12</v>
      </c>
      <c r="AB983">
        <f t="shared" ca="1" si="438"/>
        <v>-5.0000000192085281E-4</v>
      </c>
      <c r="AC983">
        <f t="shared" ca="1" si="439"/>
        <v>1</v>
      </c>
      <c r="AD983">
        <f ca="1">IF(V32="Supercritical",L983,IF(V32="Subcritical",U983,IF(AND(T983=1,AC983=1),IF((((F983)*(L983)^2)/2+(G983)*(L983)^3/3+(ABS(K983)^2)/($I$5*MAX(((F983)+(G983)*(L983))*(L983),0.000001)))&gt;=(((F983)*(U983)^2)/2+(G983)*(U983)^3/3+(ABS(K983)^2)/($I$5*MAX(((F983)+(G983)*(U983))*(U983),0.000001))),L983,U983),IF(T983=1,L983,IF(AC983=1,U983,MAX($D$16,POWER((ABS(K983)^2)/($I$5*MAX(F983,0.1)^2),1/3)))))))</f>
        <v>51800.26683766341</v>
      </c>
      <c r="AE983">
        <f t="shared" ca="1" si="440"/>
        <v>52432.412337663409</v>
      </c>
      <c r="AF983">
        <f t="shared" ca="1" si="441"/>
        <v>52432.412337665235</v>
      </c>
      <c r="AI983">
        <v>0</v>
      </c>
      <c r="AJ983">
        <v>0</v>
      </c>
      <c r="AK983">
        <f t="shared" si="442"/>
        <v>0</v>
      </c>
      <c r="AL983">
        <f t="shared" ref="AL983:AL1046" si="451">AL982+AK983</f>
        <v>0</v>
      </c>
      <c r="AM983">
        <f t="shared" ca="1" si="443"/>
        <v>2.6560383008097266E-7</v>
      </c>
      <c r="AN983" t="str">
        <f t="shared" ca="1" si="444"/>
        <v>Subcritical</v>
      </c>
      <c r="AO983">
        <f t="shared" ca="1" si="445"/>
        <v>2.2562304480281055E-12</v>
      </c>
    </row>
    <row r="984" spans="1:41" x14ac:dyDescent="0.35">
      <c r="A984">
        <v>835</v>
      </c>
      <c r="B984">
        <v>833.89</v>
      </c>
      <c r="C984">
        <v>616088.18099999998</v>
      </c>
      <c r="D984">
        <v>3097169.9</v>
      </c>
      <c r="E984">
        <v>632.14499999999998</v>
      </c>
      <c r="F984">
        <v>5.2</v>
      </c>
      <c r="G984">
        <v>0</v>
      </c>
      <c r="H984" t="s">
        <v>186</v>
      </c>
      <c r="I984">
        <v>2E-3</v>
      </c>
      <c r="J984">
        <f t="shared" si="446"/>
        <v>1.0009999999999764</v>
      </c>
      <c r="K984">
        <f t="shared" si="447"/>
        <v>51</v>
      </c>
      <c r="L984">
        <f t="shared" ca="1" si="448"/>
        <v>51797.843837663619</v>
      </c>
      <c r="M984">
        <f t="shared" ca="1" si="425"/>
        <v>269348.78795585083</v>
      </c>
      <c r="N984">
        <f t="shared" ca="1" si="426"/>
        <v>2.5998694991876676</v>
      </c>
      <c r="O984">
        <f t="shared" ca="1" si="427"/>
        <v>1.8934557080078435E-4</v>
      </c>
      <c r="P984">
        <f t="shared" ca="1" si="428"/>
        <v>52429.988837663615</v>
      </c>
      <c r="Q984">
        <f t="shared" ca="1" si="429"/>
        <v>52429.988837665442</v>
      </c>
      <c r="R984">
        <f t="shared" ca="1" si="430"/>
        <v>2.2564415439646509E-12</v>
      </c>
      <c r="S984">
        <f t="shared" ca="1" si="449"/>
        <v>5.0000000192085281E-4</v>
      </c>
      <c r="T984">
        <f t="shared" ca="1" si="450"/>
        <v>1</v>
      </c>
      <c r="U984">
        <f t="shared" ca="1" si="431"/>
        <v>51800.26683766341</v>
      </c>
      <c r="V984">
        <f t="shared" ca="1" si="432"/>
        <v>269361.38755584974</v>
      </c>
      <c r="W984">
        <f t="shared" ca="1" si="433"/>
        <v>2.5998695052916441</v>
      </c>
      <c r="X984">
        <f t="shared" ca="1" si="434"/>
        <v>1.8933671400629237E-4</v>
      </c>
      <c r="Y984">
        <f t="shared" ca="1" si="435"/>
        <v>52432.411837663407</v>
      </c>
      <c r="Z984">
        <f t="shared" ca="1" si="436"/>
        <v>52432.411837665233</v>
      </c>
      <c r="AA984">
        <f t="shared" ca="1" si="437"/>
        <v>2.2562304480281055E-12</v>
      </c>
      <c r="AB984">
        <f t="shared" ca="1" si="438"/>
        <v>-4.999999946448952E-4</v>
      </c>
      <c r="AC984">
        <f t="shared" ca="1" si="439"/>
        <v>1</v>
      </c>
      <c r="AD984">
        <f ca="1">IF(V32="Supercritical",L984,IF(V32="Subcritical",U984,IF(AND(T984=1,AC984=1),IF((((F984)*(L984)^2)/2+(G984)*(L984)^3/3+(ABS(K984)^2)/($I$5*MAX(((F984)+(G984)*(L984))*(L984),0.000001)))&gt;=(((F984)*(U984)^2)/2+(G984)*(U984)^3/3+(ABS(K984)^2)/($I$5*MAX(((F984)+(G984)*(U984))*(U984),0.000001))),L984,U984),IF(T984=1,L984,IF(AC984=1,U984,MAX($D$16,POWER((ABS(K984)^2)/($I$5*MAX(F984,0.1)^2),1/3)))))))</f>
        <v>51800.26683766341</v>
      </c>
      <c r="AE984">
        <f t="shared" ca="1" si="440"/>
        <v>52432.411837663407</v>
      </c>
      <c r="AF984">
        <f t="shared" ca="1" si="441"/>
        <v>52432.411837665233</v>
      </c>
      <c r="AI984">
        <v>0</v>
      </c>
      <c r="AJ984">
        <v>0</v>
      </c>
      <c r="AK984">
        <f t="shared" si="442"/>
        <v>0</v>
      </c>
      <c r="AL984">
        <f t="shared" si="451"/>
        <v>0</v>
      </c>
      <c r="AM984">
        <f t="shared" ca="1" si="443"/>
        <v>2.6560383008097266E-7</v>
      </c>
      <c r="AN984" t="str">
        <f t="shared" ca="1" si="444"/>
        <v>Subcritical</v>
      </c>
      <c r="AO984">
        <f t="shared" ca="1" si="445"/>
        <v>2.2562304480281055E-12</v>
      </c>
    </row>
    <row r="985" spans="1:41" x14ac:dyDescent="0.35">
      <c r="A985">
        <v>836</v>
      </c>
      <c r="B985">
        <v>834.89</v>
      </c>
      <c r="C985">
        <v>616088.13899999997</v>
      </c>
      <c r="D985">
        <v>3097168.9010000001</v>
      </c>
      <c r="E985">
        <v>632.14449999999999</v>
      </c>
      <c r="F985">
        <v>5.2</v>
      </c>
      <c r="G985">
        <v>0</v>
      </c>
      <c r="H985" t="s">
        <v>186</v>
      </c>
      <c r="I985">
        <v>0</v>
      </c>
      <c r="J985">
        <f t="shared" si="446"/>
        <v>1</v>
      </c>
      <c r="K985">
        <f t="shared" si="447"/>
        <v>51</v>
      </c>
      <c r="L985">
        <f t="shared" ca="1" si="448"/>
        <v>51797.843837663619</v>
      </c>
      <c r="M985">
        <f t="shared" ca="1" si="425"/>
        <v>269348.78795585083</v>
      </c>
      <c r="N985">
        <f t="shared" ca="1" si="426"/>
        <v>2.5998694991876676</v>
      </c>
      <c r="O985">
        <f t="shared" ca="1" si="427"/>
        <v>1.8934557080078435E-4</v>
      </c>
      <c r="P985">
        <f t="shared" ca="1" si="428"/>
        <v>52429.988337663621</v>
      </c>
      <c r="Q985">
        <f t="shared" ca="1" si="429"/>
        <v>52429.988337665447</v>
      </c>
      <c r="R985">
        <f t="shared" ca="1" si="430"/>
        <v>2.2564415439646509E-12</v>
      </c>
      <c r="S985">
        <f t="shared" ca="1" si="449"/>
        <v>4.999999946448952E-4</v>
      </c>
      <c r="T985">
        <f t="shared" ca="1" si="450"/>
        <v>1</v>
      </c>
      <c r="U985">
        <f t="shared" ca="1" si="431"/>
        <v>51800.26683766341</v>
      </c>
      <c r="V985">
        <f t="shared" ca="1" si="432"/>
        <v>269361.38755584974</v>
      </c>
      <c r="W985">
        <f t="shared" ca="1" si="433"/>
        <v>2.5998695052916441</v>
      </c>
      <c r="X985">
        <f t="shared" ca="1" si="434"/>
        <v>1.8933671400629237E-4</v>
      </c>
      <c r="Y985">
        <f t="shared" ca="1" si="435"/>
        <v>52432.411337663412</v>
      </c>
      <c r="Z985">
        <f t="shared" ca="1" si="436"/>
        <v>52432.411337665239</v>
      </c>
      <c r="AA985">
        <f t="shared" ca="1" si="437"/>
        <v>2.2562304480281055E-12</v>
      </c>
      <c r="AB985">
        <f t="shared" ca="1" si="438"/>
        <v>-5.0000000192085281E-4</v>
      </c>
      <c r="AC985">
        <f t="shared" ca="1" si="439"/>
        <v>1</v>
      </c>
      <c r="AD985">
        <f ca="1">IF(V32="Supercritical",L985,IF(V32="Subcritical",U985,IF(AND(T985=1,AC985=1),IF((((F985)*(L985)^2)/2+(G985)*(L985)^3/3+(ABS(K985)^2)/($I$5*MAX(((F985)+(G985)*(L985))*(L985),0.000001)))&gt;=(((F985)*(U985)^2)/2+(G985)*(U985)^3/3+(ABS(K985)^2)/($I$5*MAX(((F985)+(G985)*(U985))*(U985),0.000001))),L985,U985),IF(T985=1,L985,IF(AC985=1,U985,MAX($D$16,POWER((ABS(K985)^2)/($I$5*MAX(F985,0.1)^2),1/3)))))))</f>
        <v>51800.26683766341</v>
      </c>
      <c r="AE985">
        <f t="shared" ca="1" si="440"/>
        <v>52432.411337663412</v>
      </c>
      <c r="AF985">
        <f t="shared" ca="1" si="441"/>
        <v>52432.411337665239</v>
      </c>
      <c r="AI985">
        <v>0</v>
      </c>
      <c r="AJ985">
        <v>0</v>
      </c>
      <c r="AK985">
        <f t="shared" si="442"/>
        <v>0</v>
      </c>
      <c r="AL985">
        <f t="shared" si="451"/>
        <v>0</v>
      </c>
      <c r="AM985">
        <f t="shared" ca="1" si="443"/>
        <v>2.6560383008097266E-7</v>
      </c>
      <c r="AN985" t="str">
        <f t="shared" ca="1" si="444"/>
        <v>Subcritical</v>
      </c>
      <c r="AO985">
        <f t="shared" ca="1" si="445"/>
        <v>2.2562304480281055E-12</v>
      </c>
    </row>
    <row r="986" spans="1:41" x14ac:dyDescent="0.35">
      <c r="A986">
        <v>837</v>
      </c>
      <c r="B986">
        <v>835.88900000000001</v>
      </c>
      <c r="C986">
        <v>616088.09699999995</v>
      </c>
      <c r="D986">
        <v>3097167.9019999998</v>
      </c>
      <c r="E986">
        <v>632.14400000000001</v>
      </c>
      <c r="F986">
        <v>5.2</v>
      </c>
      <c r="G986">
        <v>0</v>
      </c>
      <c r="H986" t="s">
        <v>186</v>
      </c>
      <c r="I986">
        <v>5.7000000000000002E-2</v>
      </c>
      <c r="J986">
        <f t="shared" si="446"/>
        <v>0.99900000000002365</v>
      </c>
      <c r="K986">
        <f t="shared" si="447"/>
        <v>51</v>
      </c>
      <c r="L986">
        <f t="shared" ca="1" si="448"/>
        <v>51797.843837663619</v>
      </c>
      <c r="M986">
        <f t="shared" ca="1" si="425"/>
        <v>269348.78795585083</v>
      </c>
      <c r="N986">
        <f t="shared" ca="1" si="426"/>
        <v>2.5998694991876676</v>
      </c>
      <c r="O986">
        <f t="shared" ca="1" si="427"/>
        <v>1.8934557080078435E-4</v>
      </c>
      <c r="P986">
        <f t="shared" ca="1" si="428"/>
        <v>52429.987837663619</v>
      </c>
      <c r="Q986">
        <f t="shared" ca="1" si="429"/>
        <v>52429.987837665445</v>
      </c>
      <c r="R986">
        <f t="shared" ca="1" si="430"/>
        <v>2.2564415439646509E-12</v>
      </c>
      <c r="S986">
        <f t="shared" ca="1" si="449"/>
        <v>5.0000000192085281E-4</v>
      </c>
      <c r="T986">
        <f t="shared" ca="1" si="450"/>
        <v>1</v>
      </c>
      <c r="U986">
        <f t="shared" ca="1" si="431"/>
        <v>51800.26683766341</v>
      </c>
      <c r="V986">
        <f t="shared" ca="1" si="432"/>
        <v>269361.38755584974</v>
      </c>
      <c r="W986">
        <f t="shared" ca="1" si="433"/>
        <v>2.5998695052916441</v>
      </c>
      <c r="X986">
        <f t="shared" ca="1" si="434"/>
        <v>1.8933671400629237E-4</v>
      </c>
      <c r="Y986">
        <f t="shared" ca="1" si="435"/>
        <v>52432.41083766341</v>
      </c>
      <c r="Z986">
        <f t="shared" ca="1" si="436"/>
        <v>52432.410837665237</v>
      </c>
      <c r="AA986">
        <f t="shared" ca="1" si="437"/>
        <v>2.2562304480281055E-12</v>
      </c>
      <c r="AB986">
        <f t="shared" ca="1" si="438"/>
        <v>-5.0000000192085281E-4</v>
      </c>
      <c r="AC986">
        <f t="shared" ca="1" si="439"/>
        <v>1</v>
      </c>
      <c r="AD986">
        <f ca="1">IF(V32="Supercritical",L986,IF(V32="Subcritical",U986,IF(AND(T986=1,AC986=1),IF((((F986)*(L986)^2)/2+(G986)*(L986)^3/3+(ABS(K986)^2)/($I$5*MAX(((F986)+(G986)*(L986))*(L986),0.000001)))&gt;=(((F986)*(U986)^2)/2+(G986)*(U986)^3/3+(ABS(K986)^2)/($I$5*MAX(((F986)+(G986)*(U986))*(U986),0.000001))),L986,U986),IF(T986=1,L986,IF(AC986=1,U986,MAX($D$16,POWER((ABS(K986)^2)/($I$5*MAX(F986,0.1)^2),1/3)))))))</f>
        <v>51800.26683766341</v>
      </c>
      <c r="AE986">
        <f t="shared" ca="1" si="440"/>
        <v>52432.41083766341</v>
      </c>
      <c r="AF986">
        <f t="shared" ca="1" si="441"/>
        <v>52432.410837665237</v>
      </c>
      <c r="AI986">
        <v>0</v>
      </c>
      <c r="AJ986">
        <v>0</v>
      </c>
      <c r="AK986">
        <f t="shared" si="442"/>
        <v>0</v>
      </c>
      <c r="AL986">
        <f t="shared" si="451"/>
        <v>0</v>
      </c>
      <c r="AM986">
        <f t="shared" ca="1" si="443"/>
        <v>2.6560383008097266E-7</v>
      </c>
      <c r="AN986" t="str">
        <f t="shared" ca="1" si="444"/>
        <v>Subcritical</v>
      </c>
      <c r="AO986">
        <f t="shared" ca="1" si="445"/>
        <v>2.2562304480281055E-12</v>
      </c>
    </row>
    <row r="987" spans="1:41" x14ac:dyDescent="0.35">
      <c r="A987">
        <v>838</v>
      </c>
      <c r="B987">
        <v>836.88900000000001</v>
      </c>
      <c r="C987">
        <v>616088.054</v>
      </c>
      <c r="D987">
        <v>3097166.9029999999</v>
      </c>
      <c r="E987">
        <v>632.14350000000002</v>
      </c>
      <c r="F987">
        <v>5.2</v>
      </c>
      <c r="G987">
        <v>0</v>
      </c>
      <c r="H987" t="s">
        <v>186</v>
      </c>
      <c r="I987">
        <v>5.7000000000000002E-2</v>
      </c>
      <c r="J987">
        <f t="shared" si="446"/>
        <v>1</v>
      </c>
      <c r="K987">
        <f t="shared" si="447"/>
        <v>51</v>
      </c>
      <c r="L987">
        <f t="shared" ca="1" si="448"/>
        <v>51797.843837663619</v>
      </c>
      <c r="M987">
        <f t="shared" ca="1" si="425"/>
        <v>269348.78795585083</v>
      </c>
      <c r="N987">
        <f t="shared" ca="1" si="426"/>
        <v>2.5998694991876676</v>
      </c>
      <c r="O987">
        <f t="shared" ca="1" si="427"/>
        <v>1.8934557080078435E-4</v>
      </c>
      <c r="P987">
        <f t="shared" ca="1" si="428"/>
        <v>52429.987337663617</v>
      </c>
      <c r="Q987">
        <f t="shared" ca="1" si="429"/>
        <v>52429.987337665443</v>
      </c>
      <c r="R987">
        <f t="shared" ca="1" si="430"/>
        <v>2.2564415439646509E-12</v>
      </c>
      <c r="S987">
        <f t="shared" ca="1" si="449"/>
        <v>5.0000000192085281E-4</v>
      </c>
      <c r="T987">
        <f t="shared" ca="1" si="450"/>
        <v>1</v>
      </c>
      <c r="U987">
        <f t="shared" ca="1" si="431"/>
        <v>51800.26683766341</v>
      </c>
      <c r="V987">
        <f t="shared" ca="1" si="432"/>
        <v>269361.38755584974</v>
      </c>
      <c r="W987">
        <f t="shared" ca="1" si="433"/>
        <v>2.5998695052916441</v>
      </c>
      <c r="X987">
        <f t="shared" ca="1" si="434"/>
        <v>1.8933671400629237E-4</v>
      </c>
      <c r="Y987">
        <f t="shared" ca="1" si="435"/>
        <v>52432.410337663408</v>
      </c>
      <c r="Z987">
        <f t="shared" ca="1" si="436"/>
        <v>52432.410337665235</v>
      </c>
      <c r="AA987">
        <f t="shared" ca="1" si="437"/>
        <v>2.2562304480281055E-12</v>
      </c>
      <c r="AB987">
        <f t="shared" ca="1" si="438"/>
        <v>-5.0000000192085281E-4</v>
      </c>
      <c r="AC987">
        <f t="shared" ca="1" si="439"/>
        <v>1</v>
      </c>
      <c r="AD987">
        <f ca="1">IF(V32="Supercritical",L987,IF(V32="Subcritical",U987,IF(AND(T987=1,AC987=1),IF((((F987)*(L987)^2)/2+(G987)*(L987)^3/3+(ABS(K987)^2)/($I$5*MAX(((F987)+(G987)*(L987))*(L987),0.000001)))&gt;=(((F987)*(U987)^2)/2+(G987)*(U987)^3/3+(ABS(K987)^2)/($I$5*MAX(((F987)+(G987)*(U987))*(U987),0.000001))),L987,U987),IF(T987=1,L987,IF(AC987=1,U987,MAX($D$16,POWER((ABS(K987)^2)/($I$5*MAX(F987,0.1)^2),1/3)))))))</f>
        <v>51800.26683766341</v>
      </c>
      <c r="AE987">
        <f t="shared" ca="1" si="440"/>
        <v>52432.410337663408</v>
      </c>
      <c r="AF987">
        <f t="shared" ca="1" si="441"/>
        <v>52432.410337665235</v>
      </c>
      <c r="AI987">
        <v>0</v>
      </c>
      <c r="AJ987">
        <v>0</v>
      </c>
      <c r="AK987">
        <f t="shared" si="442"/>
        <v>0</v>
      </c>
      <c r="AL987">
        <f t="shared" si="451"/>
        <v>0</v>
      </c>
      <c r="AM987">
        <f t="shared" ca="1" si="443"/>
        <v>2.6560383008097266E-7</v>
      </c>
      <c r="AN987" t="str">
        <f t="shared" ca="1" si="444"/>
        <v>Subcritical</v>
      </c>
      <c r="AO987">
        <f t="shared" ca="1" si="445"/>
        <v>2.2562304480281055E-12</v>
      </c>
    </row>
    <row r="988" spans="1:41" x14ac:dyDescent="0.35">
      <c r="A988">
        <v>839</v>
      </c>
      <c r="B988">
        <v>837.88900000000001</v>
      </c>
      <c r="C988">
        <v>616088.01199999999</v>
      </c>
      <c r="D988">
        <v>3097165.9040000001</v>
      </c>
      <c r="E988">
        <v>632.14300000000003</v>
      </c>
      <c r="F988">
        <v>5.2</v>
      </c>
      <c r="G988">
        <v>0</v>
      </c>
      <c r="H988" t="s">
        <v>186</v>
      </c>
      <c r="I988">
        <v>0</v>
      </c>
      <c r="J988">
        <f t="shared" si="446"/>
        <v>1</v>
      </c>
      <c r="K988">
        <f t="shared" si="447"/>
        <v>51</v>
      </c>
      <c r="L988">
        <f t="shared" ca="1" si="448"/>
        <v>51797.843837663619</v>
      </c>
      <c r="M988">
        <f t="shared" ca="1" si="425"/>
        <v>269348.78795585083</v>
      </c>
      <c r="N988">
        <f t="shared" ca="1" si="426"/>
        <v>2.5998694991876676</v>
      </c>
      <c r="O988">
        <f t="shared" ca="1" si="427"/>
        <v>1.8934557080078435E-4</v>
      </c>
      <c r="P988">
        <f t="shared" ca="1" si="428"/>
        <v>52429.986837663615</v>
      </c>
      <c r="Q988">
        <f t="shared" ca="1" si="429"/>
        <v>52429.986837665441</v>
      </c>
      <c r="R988">
        <f t="shared" ca="1" si="430"/>
        <v>2.2564415439646509E-12</v>
      </c>
      <c r="S988">
        <f t="shared" ca="1" si="449"/>
        <v>5.0000000192085281E-4</v>
      </c>
      <c r="T988">
        <f t="shared" ca="1" si="450"/>
        <v>1</v>
      </c>
      <c r="U988">
        <f t="shared" ca="1" si="431"/>
        <v>51800.26683766341</v>
      </c>
      <c r="V988">
        <f t="shared" ca="1" si="432"/>
        <v>269361.38755584974</v>
      </c>
      <c r="W988">
        <f t="shared" ca="1" si="433"/>
        <v>2.5998695052916441</v>
      </c>
      <c r="X988">
        <f t="shared" ca="1" si="434"/>
        <v>1.8933671400629237E-4</v>
      </c>
      <c r="Y988">
        <f t="shared" ca="1" si="435"/>
        <v>52432.409837663407</v>
      </c>
      <c r="Z988">
        <f t="shared" ca="1" si="436"/>
        <v>52432.409837665233</v>
      </c>
      <c r="AA988">
        <f t="shared" ca="1" si="437"/>
        <v>2.2562304480281055E-12</v>
      </c>
      <c r="AB988">
        <f t="shared" ca="1" si="438"/>
        <v>-4.999999946448952E-4</v>
      </c>
      <c r="AC988">
        <f t="shared" ca="1" si="439"/>
        <v>1</v>
      </c>
      <c r="AD988">
        <f ca="1">IF(V32="Supercritical",L988,IF(V32="Subcritical",U988,IF(AND(T988=1,AC988=1),IF((((F988)*(L988)^2)/2+(G988)*(L988)^3/3+(ABS(K988)^2)/($I$5*MAX(((F988)+(G988)*(L988))*(L988),0.000001)))&gt;=(((F988)*(U988)^2)/2+(G988)*(U988)^3/3+(ABS(K988)^2)/($I$5*MAX(((F988)+(G988)*(U988))*(U988),0.000001))),L988,U988),IF(T988=1,L988,IF(AC988=1,U988,MAX($D$16,POWER((ABS(K988)^2)/($I$5*MAX(F988,0.1)^2),1/3)))))))</f>
        <v>51800.26683766341</v>
      </c>
      <c r="AE988">
        <f t="shared" ca="1" si="440"/>
        <v>52432.409837663407</v>
      </c>
      <c r="AF988">
        <f t="shared" ca="1" si="441"/>
        <v>52432.409837665233</v>
      </c>
      <c r="AI988">
        <v>0</v>
      </c>
      <c r="AJ988">
        <v>0</v>
      </c>
      <c r="AK988">
        <f t="shared" si="442"/>
        <v>0</v>
      </c>
      <c r="AL988">
        <f t="shared" si="451"/>
        <v>0</v>
      </c>
      <c r="AM988">
        <f t="shared" ca="1" si="443"/>
        <v>2.6560383008097266E-7</v>
      </c>
      <c r="AN988" t="str">
        <f t="shared" ca="1" si="444"/>
        <v>Subcritical</v>
      </c>
      <c r="AO988">
        <f t="shared" ca="1" si="445"/>
        <v>2.2562304480281055E-12</v>
      </c>
    </row>
    <row r="989" spans="1:41" x14ac:dyDescent="0.35">
      <c r="A989">
        <v>840</v>
      </c>
      <c r="B989">
        <v>838.88900000000001</v>
      </c>
      <c r="C989">
        <v>616087.97</v>
      </c>
      <c r="D989">
        <v>3097164.9049999998</v>
      </c>
      <c r="E989">
        <v>632.14250000000004</v>
      </c>
      <c r="F989">
        <v>5.2</v>
      </c>
      <c r="G989">
        <v>0</v>
      </c>
      <c r="H989" t="s">
        <v>186</v>
      </c>
      <c r="I989">
        <v>5.7000000000000002E-2</v>
      </c>
      <c r="J989">
        <f t="shared" si="446"/>
        <v>1</v>
      </c>
      <c r="K989">
        <f t="shared" si="447"/>
        <v>51</v>
      </c>
      <c r="L989">
        <f t="shared" ca="1" si="448"/>
        <v>51797.843837663619</v>
      </c>
      <c r="M989">
        <f t="shared" ca="1" si="425"/>
        <v>269348.78795585083</v>
      </c>
      <c r="N989">
        <f t="shared" ca="1" si="426"/>
        <v>2.5998694991876676</v>
      </c>
      <c r="O989">
        <f t="shared" ca="1" si="427"/>
        <v>1.8934557080078435E-4</v>
      </c>
      <c r="P989">
        <f t="shared" ca="1" si="428"/>
        <v>52429.98633766362</v>
      </c>
      <c r="Q989">
        <f t="shared" ca="1" si="429"/>
        <v>52429.986337665447</v>
      </c>
      <c r="R989">
        <f t="shared" ca="1" si="430"/>
        <v>2.2564415439646509E-12</v>
      </c>
      <c r="S989">
        <f t="shared" ca="1" si="449"/>
        <v>4.999999946448952E-4</v>
      </c>
      <c r="T989">
        <f t="shared" ca="1" si="450"/>
        <v>1</v>
      </c>
      <c r="U989">
        <f t="shared" ca="1" si="431"/>
        <v>51800.26683766341</v>
      </c>
      <c r="V989">
        <f t="shared" ca="1" si="432"/>
        <v>269361.38755584974</v>
      </c>
      <c r="W989">
        <f t="shared" ca="1" si="433"/>
        <v>2.5998695052916441</v>
      </c>
      <c r="X989">
        <f t="shared" ca="1" si="434"/>
        <v>1.8933671400629237E-4</v>
      </c>
      <c r="Y989">
        <f t="shared" ca="1" si="435"/>
        <v>52432.409337663412</v>
      </c>
      <c r="Z989">
        <f t="shared" ca="1" si="436"/>
        <v>52432.409337665238</v>
      </c>
      <c r="AA989">
        <f t="shared" ca="1" si="437"/>
        <v>2.2562304480281055E-12</v>
      </c>
      <c r="AB989">
        <f t="shared" ca="1" si="438"/>
        <v>-5.0000000192085281E-4</v>
      </c>
      <c r="AC989">
        <f t="shared" ca="1" si="439"/>
        <v>1</v>
      </c>
      <c r="AD989">
        <f ca="1">IF(V32="Supercritical",L989,IF(V32="Subcritical",U989,IF(AND(T989=1,AC989=1),IF((((F989)*(L989)^2)/2+(G989)*(L989)^3/3+(ABS(K989)^2)/($I$5*MAX(((F989)+(G989)*(L989))*(L989),0.000001)))&gt;=(((F989)*(U989)^2)/2+(G989)*(U989)^3/3+(ABS(K989)^2)/($I$5*MAX(((F989)+(G989)*(U989))*(U989),0.000001))),L989,U989),IF(T989=1,L989,IF(AC989=1,U989,MAX($D$16,POWER((ABS(K989)^2)/($I$5*MAX(F989,0.1)^2),1/3)))))))</f>
        <v>51800.26683766341</v>
      </c>
      <c r="AE989">
        <f t="shared" ca="1" si="440"/>
        <v>52432.409337663412</v>
      </c>
      <c r="AF989">
        <f t="shared" ca="1" si="441"/>
        <v>52432.409337665238</v>
      </c>
      <c r="AI989">
        <v>0</v>
      </c>
      <c r="AJ989">
        <v>0</v>
      </c>
      <c r="AK989">
        <f t="shared" si="442"/>
        <v>0</v>
      </c>
      <c r="AL989">
        <f t="shared" si="451"/>
        <v>0</v>
      </c>
      <c r="AM989">
        <f t="shared" ca="1" si="443"/>
        <v>2.6560383008097266E-7</v>
      </c>
      <c r="AN989" t="str">
        <f t="shared" ca="1" si="444"/>
        <v>Subcritical</v>
      </c>
      <c r="AO989">
        <f t="shared" ca="1" si="445"/>
        <v>2.2562304480281055E-12</v>
      </c>
    </row>
    <row r="990" spans="1:41" x14ac:dyDescent="0.35">
      <c r="A990">
        <v>841</v>
      </c>
      <c r="B990">
        <v>839.88900000000001</v>
      </c>
      <c r="C990">
        <v>616087.92700000003</v>
      </c>
      <c r="D990">
        <v>3097163.906</v>
      </c>
      <c r="E990">
        <v>632.14200000000005</v>
      </c>
      <c r="F990">
        <v>5.2</v>
      </c>
      <c r="G990">
        <v>0</v>
      </c>
      <c r="H990" t="s">
        <v>186</v>
      </c>
      <c r="I990">
        <v>5.7000000000000002E-2</v>
      </c>
      <c r="J990">
        <f t="shared" si="446"/>
        <v>1</v>
      </c>
      <c r="K990">
        <f t="shared" si="447"/>
        <v>51</v>
      </c>
      <c r="L990">
        <f t="shared" ca="1" si="448"/>
        <v>51797.843837663619</v>
      </c>
      <c r="M990">
        <f t="shared" ca="1" si="425"/>
        <v>269348.78795585083</v>
      </c>
      <c r="N990">
        <f t="shared" ca="1" si="426"/>
        <v>2.5998694991876676</v>
      </c>
      <c r="O990">
        <f t="shared" ca="1" si="427"/>
        <v>1.8934557080078435E-4</v>
      </c>
      <c r="P990">
        <f t="shared" ca="1" si="428"/>
        <v>52429.985837663618</v>
      </c>
      <c r="Q990">
        <f t="shared" ca="1" si="429"/>
        <v>52429.985837665445</v>
      </c>
      <c r="R990">
        <f t="shared" ca="1" si="430"/>
        <v>2.2564415439646509E-12</v>
      </c>
      <c r="S990">
        <f t="shared" ca="1" si="449"/>
        <v>5.0000000192085281E-4</v>
      </c>
      <c r="T990">
        <f t="shared" ca="1" si="450"/>
        <v>1</v>
      </c>
      <c r="U990">
        <f t="shared" ca="1" si="431"/>
        <v>51800.26683766341</v>
      </c>
      <c r="V990">
        <f t="shared" ca="1" si="432"/>
        <v>269361.38755584974</v>
      </c>
      <c r="W990">
        <f t="shared" ca="1" si="433"/>
        <v>2.5998695052916441</v>
      </c>
      <c r="X990">
        <f t="shared" ca="1" si="434"/>
        <v>1.8933671400629237E-4</v>
      </c>
      <c r="Y990">
        <f t="shared" ca="1" si="435"/>
        <v>52432.40883766341</v>
      </c>
      <c r="Z990">
        <f t="shared" ca="1" si="436"/>
        <v>52432.408837665236</v>
      </c>
      <c r="AA990">
        <f t="shared" ca="1" si="437"/>
        <v>2.2562304480281055E-12</v>
      </c>
      <c r="AB990">
        <f t="shared" ca="1" si="438"/>
        <v>-5.0000000192085281E-4</v>
      </c>
      <c r="AC990">
        <f t="shared" ca="1" si="439"/>
        <v>1</v>
      </c>
      <c r="AD990">
        <f ca="1">IF(V32="Supercritical",L990,IF(V32="Subcritical",U990,IF(AND(T990=1,AC990=1),IF((((F990)*(L990)^2)/2+(G990)*(L990)^3/3+(ABS(K990)^2)/($I$5*MAX(((F990)+(G990)*(L990))*(L990),0.000001)))&gt;=(((F990)*(U990)^2)/2+(G990)*(U990)^3/3+(ABS(K990)^2)/($I$5*MAX(((F990)+(G990)*(U990))*(U990),0.000001))),L990,U990),IF(T990=1,L990,IF(AC990=1,U990,MAX($D$16,POWER((ABS(K990)^2)/($I$5*MAX(F990,0.1)^2),1/3)))))))</f>
        <v>51800.26683766341</v>
      </c>
      <c r="AE990">
        <f t="shared" ca="1" si="440"/>
        <v>52432.40883766341</v>
      </c>
      <c r="AF990">
        <f t="shared" ca="1" si="441"/>
        <v>52432.408837665236</v>
      </c>
      <c r="AI990">
        <v>0</v>
      </c>
      <c r="AJ990">
        <v>0</v>
      </c>
      <c r="AK990">
        <f t="shared" si="442"/>
        <v>0</v>
      </c>
      <c r="AL990">
        <f t="shared" si="451"/>
        <v>0</v>
      </c>
      <c r="AM990">
        <f t="shared" ca="1" si="443"/>
        <v>2.6560383008097266E-7</v>
      </c>
      <c r="AN990" t="str">
        <f t="shared" ca="1" si="444"/>
        <v>Subcritical</v>
      </c>
      <c r="AO990">
        <f t="shared" ca="1" si="445"/>
        <v>2.2562304480281055E-12</v>
      </c>
    </row>
    <row r="991" spans="1:41" x14ac:dyDescent="0.35">
      <c r="A991">
        <v>842</v>
      </c>
      <c r="B991">
        <v>840.88900000000001</v>
      </c>
      <c r="C991">
        <v>616087.88500000001</v>
      </c>
      <c r="D991">
        <v>3097162.9070000001</v>
      </c>
      <c r="E991">
        <v>632.14149999999995</v>
      </c>
      <c r="F991">
        <v>5.2</v>
      </c>
      <c r="G991">
        <v>0</v>
      </c>
      <c r="H991" t="s">
        <v>186</v>
      </c>
      <c r="I991">
        <v>0</v>
      </c>
      <c r="J991">
        <f t="shared" si="446"/>
        <v>1</v>
      </c>
      <c r="K991">
        <f t="shared" si="447"/>
        <v>51</v>
      </c>
      <c r="L991">
        <f t="shared" ca="1" si="448"/>
        <v>51797.843837663619</v>
      </c>
      <c r="M991">
        <f t="shared" ca="1" si="425"/>
        <v>269348.78795585083</v>
      </c>
      <c r="N991">
        <f t="shared" ca="1" si="426"/>
        <v>2.5998694991876676</v>
      </c>
      <c r="O991">
        <f t="shared" ca="1" si="427"/>
        <v>1.8934557080078435E-4</v>
      </c>
      <c r="P991">
        <f t="shared" ca="1" si="428"/>
        <v>52429.985337663617</v>
      </c>
      <c r="Q991">
        <f t="shared" ca="1" si="429"/>
        <v>52429.985337665443</v>
      </c>
      <c r="R991">
        <f t="shared" ca="1" si="430"/>
        <v>2.2564415439646509E-12</v>
      </c>
      <c r="S991">
        <f t="shared" ca="1" si="449"/>
        <v>5.0000000192085281E-4</v>
      </c>
      <c r="T991">
        <f t="shared" ca="1" si="450"/>
        <v>1</v>
      </c>
      <c r="U991">
        <f t="shared" ca="1" si="431"/>
        <v>51800.26683766341</v>
      </c>
      <c r="V991">
        <f t="shared" ca="1" si="432"/>
        <v>269361.38755584974</v>
      </c>
      <c r="W991">
        <f t="shared" ca="1" si="433"/>
        <v>2.5998695052916441</v>
      </c>
      <c r="X991">
        <f t="shared" ca="1" si="434"/>
        <v>1.8933671400629237E-4</v>
      </c>
      <c r="Y991">
        <f t="shared" ca="1" si="435"/>
        <v>52432.408337663408</v>
      </c>
      <c r="Z991">
        <f t="shared" ca="1" si="436"/>
        <v>52432.408337665234</v>
      </c>
      <c r="AA991">
        <f t="shared" ca="1" si="437"/>
        <v>2.2562304480281055E-12</v>
      </c>
      <c r="AB991">
        <f t="shared" ca="1" si="438"/>
        <v>-4.999999946448952E-4</v>
      </c>
      <c r="AC991">
        <f t="shared" ca="1" si="439"/>
        <v>1</v>
      </c>
      <c r="AD991">
        <f ca="1">IF(V32="Supercritical",L991,IF(V32="Subcritical",U991,IF(AND(T991=1,AC991=1),IF((((F991)*(L991)^2)/2+(G991)*(L991)^3/3+(ABS(K991)^2)/($I$5*MAX(((F991)+(G991)*(L991))*(L991),0.000001)))&gt;=(((F991)*(U991)^2)/2+(G991)*(U991)^3/3+(ABS(K991)^2)/($I$5*MAX(((F991)+(G991)*(U991))*(U991),0.000001))),L991,U991),IF(T991=1,L991,IF(AC991=1,U991,MAX($D$16,POWER((ABS(K991)^2)/($I$5*MAX(F991,0.1)^2),1/3)))))))</f>
        <v>51800.26683766341</v>
      </c>
      <c r="AE991">
        <f t="shared" ca="1" si="440"/>
        <v>52432.408337663408</v>
      </c>
      <c r="AF991">
        <f t="shared" ca="1" si="441"/>
        <v>52432.408337665234</v>
      </c>
      <c r="AI991">
        <v>0</v>
      </c>
      <c r="AJ991">
        <v>0</v>
      </c>
      <c r="AK991">
        <f t="shared" si="442"/>
        <v>0</v>
      </c>
      <c r="AL991">
        <f t="shared" si="451"/>
        <v>0</v>
      </c>
      <c r="AM991">
        <f t="shared" ca="1" si="443"/>
        <v>2.6560383008097266E-7</v>
      </c>
      <c r="AN991" t="str">
        <f t="shared" ca="1" si="444"/>
        <v>Subcritical</v>
      </c>
      <c r="AO991">
        <f t="shared" ca="1" si="445"/>
        <v>2.2562304480281055E-12</v>
      </c>
    </row>
    <row r="992" spans="1:41" x14ac:dyDescent="0.35">
      <c r="A992">
        <v>843</v>
      </c>
      <c r="B992">
        <v>841.88900000000001</v>
      </c>
      <c r="C992">
        <v>616087.84299999999</v>
      </c>
      <c r="D992">
        <v>3097161.9079999998</v>
      </c>
      <c r="E992">
        <v>632.14099999999996</v>
      </c>
      <c r="F992">
        <v>5.2</v>
      </c>
      <c r="G992">
        <v>0</v>
      </c>
      <c r="H992" t="s">
        <v>186</v>
      </c>
      <c r="I992">
        <v>2E-3</v>
      </c>
      <c r="J992">
        <f t="shared" si="446"/>
        <v>1</v>
      </c>
      <c r="K992">
        <f t="shared" si="447"/>
        <v>51</v>
      </c>
      <c r="L992">
        <f t="shared" ca="1" si="448"/>
        <v>51797.843837663619</v>
      </c>
      <c r="M992">
        <f t="shared" ca="1" si="425"/>
        <v>269348.78795585083</v>
      </c>
      <c r="N992">
        <f t="shared" ca="1" si="426"/>
        <v>2.5998694991876676</v>
      </c>
      <c r="O992">
        <f t="shared" ca="1" si="427"/>
        <v>1.8934557080078435E-4</v>
      </c>
      <c r="P992">
        <f t="shared" ca="1" si="428"/>
        <v>52429.984837663622</v>
      </c>
      <c r="Q992">
        <f t="shared" ca="1" si="429"/>
        <v>52429.984837665448</v>
      </c>
      <c r="R992">
        <f t="shared" ca="1" si="430"/>
        <v>2.2564415439646509E-12</v>
      </c>
      <c r="S992">
        <f t="shared" ca="1" si="449"/>
        <v>4.999999946448952E-4</v>
      </c>
      <c r="T992">
        <f t="shared" ca="1" si="450"/>
        <v>1</v>
      </c>
      <c r="U992">
        <f t="shared" ca="1" si="431"/>
        <v>51800.26683766341</v>
      </c>
      <c r="V992">
        <f t="shared" ca="1" si="432"/>
        <v>269361.38755584974</v>
      </c>
      <c r="W992">
        <f t="shared" ca="1" si="433"/>
        <v>2.5998695052916441</v>
      </c>
      <c r="X992">
        <f t="shared" ca="1" si="434"/>
        <v>1.8933671400629237E-4</v>
      </c>
      <c r="Y992">
        <f t="shared" ca="1" si="435"/>
        <v>52432.407837663413</v>
      </c>
      <c r="Z992">
        <f t="shared" ca="1" si="436"/>
        <v>52432.40783766524</v>
      </c>
      <c r="AA992">
        <f t="shared" ca="1" si="437"/>
        <v>2.2562304480281055E-12</v>
      </c>
      <c r="AB992">
        <f t="shared" ca="1" si="438"/>
        <v>-5.0000000192085281E-4</v>
      </c>
      <c r="AC992">
        <f t="shared" ca="1" si="439"/>
        <v>1</v>
      </c>
      <c r="AD992">
        <f ca="1">IF(V32="Supercritical",L992,IF(V32="Subcritical",U992,IF(AND(T992=1,AC992=1),IF((((F992)*(L992)^2)/2+(G992)*(L992)^3/3+(ABS(K992)^2)/($I$5*MAX(((F992)+(G992)*(L992))*(L992),0.000001)))&gt;=(((F992)*(U992)^2)/2+(G992)*(U992)^3/3+(ABS(K992)^2)/($I$5*MAX(((F992)+(G992)*(U992))*(U992),0.000001))),L992,U992),IF(T992=1,L992,IF(AC992=1,U992,MAX($D$16,POWER((ABS(K992)^2)/($I$5*MAX(F992,0.1)^2),1/3)))))))</f>
        <v>51800.26683766341</v>
      </c>
      <c r="AE992">
        <f t="shared" ca="1" si="440"/>
        <v>52432.407837663413</v>
      </c>
      <c r="AF992">
        <f t="shared" ca="1" si="441"/>
        <v>52432.40783766524</v>
      </c>
      <c r="AI992">
        <v>0</v>
      </c>
      <c r="AJ992">
        <v>0</v>
      </c>
      <c r="AK992">
        <f t="shared" si="442"/>
        <v>0</v>
      </c>
      <c r="AL992">
        <f t="shared" si="451"/>
        <v>0</v>
      </c>
      <c r="AM992">
        <f t="shared" ca="1" si="443"/>
        <v>2.6560383008097266E-7</v>
      </c>
      <c r="AN992" t="str">
        <f t="shared" ca="1" si="444"/>
        <v>Subcritical</v>
      </c>
      <c r="AO992">
        <f t="shared" ca="1" si="445"/>
        <v>2.2562304480281055E-12</v>
      </c>
    </row>
    <row r="993" spans="1:41" x14ac:dyDescent="0.35">
      <c r="A993">
        <v>844</v>
      </c>
      <c r="B993">
        <v>842.89</v>
      </c>
      <c r="C993">
        <v>616087.80099999998</v>
      </c>
      <c r="D993">
        <v>3097160.9079999998</v>
      </c>
      <c r="E993">
        <v>632.14049999999997</v>
      </c>
      <c r="F993">
        <v>5.2</v>
      </c>
      <c r="G993">
        <v>0</v>
      </c>
      <c r="H993" t="s">
        <v>186</v>
      </c>
      <c r="I993">
        <v>0.06</v>
      </c>
      <c r="J993">
        <f t="shared" si="446"/>
        <v>1.0009999999999764</v>
      </c>
      <c r="K993">
        <f t="shared" si="447"/>
        <v>51</v>
      </c>
      <c r="L993">
        <f t="shared" ca="1" si="448"/>
        <v>51797.843837663619</v>
      </c>
      <c r="M993">
        <f t="shared" ca="1" si="425"/>
        <v>269348.78795585083</v>
      </c>
      <c r="N993">
        <f t="shared" ca="1" si="426"/>
        <v>2.5998694991876676</v>
      </c>
      <c r="O993">
        <f t="shared" ca="1" si="427"/>
        <v>1.8934557080078435E-4</v>
      </c>
      <c r="P993">
        <f t="shared" ca="1" si="428"/>
        <v>52429.98433766362</v>
      </c>
      <c r="Q993">
        <f t="shared" ca="1" si="429"/>
        <v>52429.984337665446</v>
      </c>
      <c r="R993">
        <f t="shared" ca="1" si="430"/>
        <v>2.2564415439646509E-12</v>
      </c>
      <c r="S993">
        <f t="shared" ca="1" si="449"/>
        <v>5.0000000192085281E-4</v>
      </c>
      <c r="T993">
        <f t="shared" ca="1" si="450"/>
        <v>1</v>
      </c>
      <c r="U993">
        <f t="shared" ca="1" si="431"/>
        <v>51800.26683766341</v>
      </c>
      <c r="V993">
        <f t="shared" ca="1" si="432"/>
        <v>269361.38755584974</v>
      </c>
      <c r="W993">
        <f t="shared" ca="1" si="433"/>
        <v>2.5998695052916441</v>
      </c>
      <c r="X993">
        <f t="shared" ca="1" si="434"/>
        <v>1.8933671400629237E-4</v>
      </c>
      <c r="Y993">
        <f t="shared" ca="1" si="435"/>
        <v>52432.407337663411</v>
      </c>
      <c r="Z993">
        <f t="shared" ca="1" si="436"/>
        <v>52432.407337665238</v>
      </c>
      <c r="AA993">
        <f t="shared" ca="1" si="437"/>
        <v>2.2562304480281055E-12</v>
      </c>
      <c r="AB993">
        <f t="shared" ca="1" si="438"/>
        <v>-5.0000000192085281E-4</v>
      </c>
      <c r="AC993">
        <f t="shared" ca="1" si="439"/>
        <v>1</v>
      </c>
      <c r="AD993">
        <f ca="1">IF(V32="Supercritical",L993,IF(V32="Subcritical",U993,IF(AND(T993=1,AC993=1),IF((((F993)*(L993)^2)/2+(G993)*(L993)^3/3+(ABS(K993)^2)/($I$5*MAX(((F993)+(G993)*(L993))*(L993),0.000001)))&gt;=(((F993)*(U993)^2)/2+(G993)*(U993)^3/3+(ABS(K993)^2)/($I$5*MAX(((F993)+(G993)*(U993))*(U993),0.000001))),L993,U993),IF(T993=1,L993,IF(AC993=1,U993,MAX($D$16,POWER((ABS(K993)^2)/($I$5*MAX(F993,0.1)^2),1/3)))))))</f>
        <v>51800.26683766341</v>
      </c>
      <c r="AE993">
        <f t="shared" ca="1" si="440"/>
        <v>52432.407337663411</v>
      </c>
      <c r="AF993">
        <f t="shared" ca="1" si="441"/>
        <v>52432.407337665238</v>
      </c>
      <c r="AI993">
        <v>0</v>
      </c>
      <c r="AJ993">
        <v>0</v>
      </c>
      <c r="AK993">
        <f t="shared" si="442"/>
        <v>0</v>
      </c>
      <c r="AL993">
        <f t="shared" si="451"/>
        <v>0</v>
      </c>
      <c r="AM993">
        <f t="shared" ca="1" si="443"/>
        <v>2.6560383008097266E-7</v>
      </c>
      <c r="AN993" t="str">
        <f t="shared" ca="1" si="444"/>
        <v>Subcritical</v>
      </c>
      <c r="AO993">
        <f t="shared" ca="1" si="445"/>
        <v>2.2562304480281055E-12</v>
      </c>
    </row>
    <row r="994" spans="1:41" x14ac:dyDescent="0.35">
      <c r="A994">
        <v>845</v>
      </c>
      <c r="B994">
        <v>843.89</v>
      </c>
      <c r="C994">
        <v>616087.75800000003</v>
      </c>
      <c r="D994">
        <v>3097159.909</v>
      </c>
      <c r="E994">
        <v>632.14</v>
      </c>
      <c r="F994">
        <v>5.2</v>
      </c>
      <c r="G994">
        <v>0</v>
      </c>
      <c r="H994" t="s">
        <v>186</v>
      </c>
      <c r="I994">
        <v>5.7000000000000002E-2</v>
      </c>
      <c r="J994">
        <f t="shared" si="446"/>
        <v>1</v>
      </c>
      <c r="K994">
        <f t="shared" si="447"/>
        <v>51</v>
      </c>
      <c r="L994">
        <f t="shared" ca="1" si="448"/>
        <v>51797.843837663619</v>
      </c>
      <c r="M994">
        <f t="shared" ca="1" si="425"/>
        <v>269348.78795585083</v>
      </c>
      <c r="N994">
        <f t="shared" ca="1" si="426"/>
        <v>2.5998694991876676</v>
      </c>
      <c r="O994">
        <f t="shared" ca="1" si="427"/>
        <v>1.8934557080078435E-4</v>
      </c>
      <c r="P994">
        <f t="shared" ca="1" si="428"/>
        <v>52429.983837663618</v>
      </c>
      <c r="Q994">
        <f t="shared" ca="1" si="429"/>
        <v>52429.983837665444</v>
      </c>
      <c r="R994">
        <f t="shared" ca="1" si="430"/>
        <v>2.2564415439646509E-12</v>
      </c>
      <c r="S994">
        <f t="shared" ca="1" si="449"/>
        <v>5.0000000192085281E-4</v>
      </c>
      <c r="T994">
        <f t="shared" ca="1" si="450"/>
        <v>1</v>
      </c>
      <c r="U994">
        <f t="shared" ca="1" si="431"/>
        <v>51800.26683766341</v>
      </c>
      <c r="V994">
        <f t="shared" ca="1" si="432"/>
        <v>269361.38755584974</v>
      </c>
      <c r="W994">
        <f t="shared" ca="1" si="433"/>
        <v>2.5998695052916441</v>
      </c>
      <c r="X994">
        <f t="shared" ca="1" si="434"/>
        <v>1.8933671400629237E-4</v>
      </c>
      <c r="Y994">
        <f t="shared" ca="1" si="435"/>
        <v>52432.40683766341</v>
      </c>
      <c r="Z994">
        <f t="shared" ca="1" si="436"/>
        <v>52432.406837665236</v>
      </c>
      <c r="AA994">
        <f t="shared" ca="1" si="437"/>
        <v>2.2562304480281055E-12</v>
      </c>
      <c r="AB994">
        <f t="shared" ca="1" si="438"/>
        <v>-5.0000000192085281E-4</v>
      </c>
      <c r="AC994">
        <f t="shared" ca="1" si="439"/>
        <v>1</v>
      </c>
      <c r="AD994">
        <f ca="1">IF(V32="Supercritical",L994,IF(V32="Subcritical",U994,IF(AND(T994=1,AC994=1),IF((((F994)*(L994)^2)/2+(G994)*(L994)^3/3+(ABS(K994)^2)/($I$5*MAX(((F994)+(G994)*(L994))*(L994),0.000001)))&gt;=(((F994)*(U994)^2)/2+(G994)*(U994)^3/3+(ABS(K994)^2)/($I$5*MAX(((F994)+(G994)*(U994))*(U994),0.000001))),L994,U994),IF(T994=1,L994,IF(AC994=1,U994,MAX($D$16,POWER((ABS(K994)^2)/($I$5*MAX(F994,0.1)^2),1/3)))))))</f>
        <v>51800.26683766341</v>
      </c>
      <c r="AE994">
        <f t="shared" ca="1" si="440"/>
        <v>52432.40683766341</v>
      </c>
      <c r="AF994">
        <f t="shared" ca="1" si="441"/>
        <v>52432.406837665236</v>
      </c>
      <c r="AI994">
        <v>0</v>
      </c>
      <c r="AJ994">
        <v>0</v>
      </c>
      <c r="AK994">
        <f t="shared" si="442"/>
        <v>0</v>
      </c>
      <c r="AL994">
        <f t="shared" si="451"/>
        <v>0</v>
      </c>
      <c r="AM994">
        <f t="shared" ca="1" si="443"/>
        <v>2.6560383008097266E-7</v>
      </c>
      <c r="AN994" t="str">
        <f t="shared" ca="1" si="444"/>
        <v>Subcritical</v>
      </c>
      <c r="AO994">
        <f t="shared" ca="1" si="445"/>
        <v>2.2562304480281055E-12</v>
      </c>
    </row>
    <row r="995" spans="1:41" x14ac:dyDescent="0.35">
      <c r="A995">
        <v>846</v>
      </c>
      <c r="B995">
        <v>844.89</v>
      </c>
      <c r="C995">
        <v>616087.71600000001</v>
      </c>
      <c r="D995">
        <v>3097158.91</v>
      </c>
      <c r="E995">
        <v>632.1395</v>
      </c>
      <c r="F995">
        <v>5.2</v>
      </c>
      <c r="G995">
        <v>0</v>
      </c>
      <c r="H995" t="s">
        <v>186</v>
      </c>
      <c r="I995">
        <v>0</v>
      </c>
      <c r="J995">
        <f t="shared" si="446"/>
        <v>1</v>
      </c>
      <c r="K995">
        <f t="shared" si="447"/>
        <v>51</v>
      </c>
      <c r="L995">
        <f t="shared" ca="1" si="448"/>
        <v>51797.843837663619</v>
      </c>
      <c r="M995">
        <f t="shared" ca="1" si="425"/>
        <v>269348.78795585083</v>
      </c>
      <c r="N995">
        <f t="shared" ca="1" si="426"/>
        <v>2.5998694991876676</v>
      </c>
      <c r="O995">
        <f t="shared" ca="1" si="427"/>
        <v>1.8934557080078435E-4</v>
      </c>
      <c r="P995">
        <f t="shared" ca="1" si="428"/>
        <v>52429.983337663616</v>
      </c>
      <c r="Q995">
        <f t="shared" ca="1" si="429"/>
        <v>52429.983337665442</v>
      </c>
      <c r="R995">
        <f t="shared" ca="1" si="430"/>
        <v>2.2564415439646509E-12</v>
      </c>
      <c r="S995">
        <f t="shared" ca="1" si="449"/>
        <v>5.0000000192085281E-4</v>
      </c>
      <c r="T995">
        <f t="shared" ca="1" si="450"/>
        <v>1</v>
      </c>
      <c r="U995">
        <f t="shared" ca="1" si="431"/>
        <v>51800.26683766341</v>
      </c>
      <c r="V995">
        <f t="shared" ca="1" si="432"/>
        <v>269361.38755584974</v>
      </c>
      <c r="W995">
        <f t="shared" ca="1" si="433"/>
        <v>2.5998695052916441</v>
      </c>
      <c r="X995">
        <f t="shared" ca="1" si="434"/>
        <v>1.8933671400629237E-4</v>
      </c>
      <c r="Y995">
        <f t="shared" ca="1" si="435"/>
        <v>52432.406337663408</v>
      </c>
      <c r="Z995">
        <f t="shared" ca="1" si="436"/>
        <v>52432.406337665234</v>
      </c>
      <c r="AA995">
        <f t="shared" ca="1" si="437"/>
        <v>2.2562304480281055E-12</v>
      </c>
      <c r="AB995">
        <f t="shared" ca="1" si="438"/>
        <v>-4.999999946448952E-4</v>
      </c>
      <c r="AC995">
        <f t="shared" ca="1" si="439"/>
        <v>1</v>
      </c>
      <c r="AD995">
        <f ca="1">IF(V32="Supercritical",L995,IF(V32="Subcritical",U995,IF(AND(T995=1,AC995=1),IF((((F995)*(L995)^2)/2+(G995)*(L995)^3/3+(ABS(K995)^2)/($I$5*MAX(((F995)+(G995)*(L995))*(L995),0.000001)))&gt;=(((F995)*(U995)^2)/2+(G995)*(U995)^3/3+(ABS(K995)^2)/($I$5*MAX(((F995)+(G995)*(U995))*(U995),0.000001))),L995,U995),IF(T995=1,L995,IF(AC995=1,U995,MAX($D$16,POWER((ABS(K995)^2)/($I$5*MAX(F995,0.1)^2),1/3)))))))</f>
        <v>51800.26683766341</v>
      </c>
      <c r="AE995">
        <f t="shared" ca="1" si="440"/>
        <v>52432.406337663408</v>
      </c>
      <c r="AF995">
        <f t="shared" ca="1" si="441"/>
        <v>52432.406337665234</v>
      </c>
      <c r="AI995">
        <v>0</v>
      </c>
      <c r="AJ995">
        <v>0</v>
      </c>
      <c r="AK995">
        <f t="shared" si="442"/>
        <v>0</v>
      </c>
      <c r="AL995">
        <f t="shared" si="451"/>
        <v>0</v>
      </c>
      <c r="AM995">
        <f t="shared" ca="1" si="443"/>
        <v>2.6560383008097266E-7</v>
      </c>
      <c r="AN995" t="str">
        <f t="shared" ca="1" si="444"/>
        <v>Subcritical</v>
      </c>
      <c r="AO995">
        <f t="shared" ca="1" si="445"/>
        <v>2.2562304480281055E-12</v>
      </c>
    </row>
    <row r="996" spans="1:41" x14ac:dyDescent="0.35">
      <c r="A996">
        <v>847</v>
      </c>
      <c r="B996">
        <v>845.88900000000001</v>
      </c>
      <c r="C996">
        <v>616087.674</v>
      </c>
      <c r="D996">
        <v>3097157.9109999998</v>
      </c>
      <c r="E996">
        <v>632.13900000000001</v>
      </c>
      <c r="F996">
        <v>5.2</v>
      </c>
      <c r="G996">
        <v>0</v>
      </c>
      <c r="H996" t="s">
        <v>186</v>
      </c>
      <c r="I996">
        <v>0</v>
      </c>
      <c r="J996">
        <f t="shared" si="446"/>
        <v>0.99900000000002365</v>
      </c>
      <c r="K996">
        <f t="shared" si="447"/>
        <v>51</v>
      </c>
      <c r="L996">
        <f t="shared" ca="1" si="448"/>
        <v>51797.843837663619</v>
      </c>
      <c r="M996">
        <f t="shared" ca="1" si="425"/>
        <v>269348.78795585083</v>
      </c>
      <c r="N996">
        <f t="shared" ca="1" si="426"/>
        <v>2.5998694991876676</v>
      </c>
      <c r="O996">
        <f t="shared" ca="1" si="427"/>
        <v>1.8934557080078435E-4</v>
      </c>
      <c r="P996">
        <f t="shared" ca="1" si="428"/>
        <v>52429.982837663621</v>
      </c>
      <c r="Q996">
        <f t="shared" ca="1" si="429"/>
        <v>52429.982837665448</v>
      </c>
      <c r="R996">
        <f t="shared" ca="1" si="430"/>
        <v>2.2564415439646509E-12</v>
      </c>
      <c r="S996">
        <f t="shared" ca="1" si="449"/>
        <v>4.999999946448952E-4</v>
      </c>
      <c r="T996">
        <f t="shared" ca="1" si="450"/>
        <v>1</v>
      </c>
      <c r="U996">
        <f t="shared" ca="1" si="431"/>
        <v>51800.26683766341</v>
      </c>
      <c r="V996">
        <f t="shared" ca="1" si="432"/>
        <v>269361.38755584974</v>
      </c>
      <c r="W996">
        <f t="shared" ca="1" si="433"/>
        <v>2.5998695052916441</v>
      </c>
      <c r="X996">
        <f t="shared" ca="1" si="434"/>
        <v>1.8933671400629237E-4</v>
      </c>
      <c r="Y996">
        <f t="shared" ca="1" si="435"/>
        <v>52432.405837663413</v>
      </c>
      <c r="Z996">
        <f t="shared" ca="1" si="436"/>
        <v>52432.405837665239</v>
      </c>
      <c r="AA996">
        <f t="shared" ca="1" si="437"/>
        <v>2.2562304480281055E-12</v>
      </c>
      <c r="AB996">
        <f t="shared" ca="1" si="438"/>
        <v>-5.0000000192085281E-4</v>
      </c>
      <c r="AC996">
        <f t="shared" ca="1" si="439"/>
        <v>1</v>
      </c>
      <c r="AD996">
        <f ca="1">IF(V32="Supercritical",L996,IF(V32="Subcritical",U996,IF(AND(T996=1,AC996=1),IF((((F996)*(L996)^2)/2+(G996)*(L996)^3/3+(ABS(K996)^2)/($I$5*MAX(((F996)+(G996)*(L996))*(L996),0.000001)))&gt;=(((F996)*(U996)^2)/2+(G996)*(U996)^3/3+(ABS(K996)^2)/($I$5*MAX(((F996)+(G996)*(U996))*(U996),0.000001))),L996,U996),IF(T996=1,L996,IF(AC996=1,U996,MAX($D$16,POWER((ABS(K996)^2)/($I$5*MAX(F996,0.1)^2),1/3)))))))</f>
        <v>51800.26683766341</v>
      </c>
      <c r="AE996">
        <f t="shared" ca="1" si="440"/>
        <v>52432.405837663413</v>
      </c>
      <c r="AF996">
        <f t="shared" ca="1" si="441"/>
        <v>52432.405837665239</v>
      </c>
      <c r="AI996">
        <v>0</v>
      </c>
      <c r="AJ996">
        <v>0</v>
      </c>
      <c r="AK996">
        <f t="shared" si="442"/>
        <v>0</v>
      </c>
      <c r="AL996">
        <f t="shared" si="451"/>
        <v>0</v>
      </c>
      <c r="AM996">
        <f t="shared" ca="1" si="443"/>
        <v>2.6560383008097266E-7</v>
      </c>
      <c r="AN996" t="str">
        <f t="shared" ca="1" si="444"/>
        <v>Subcritical</v>
      </c>
      <c r="AO996">
        <f t="shared" ca="1" si="445"/>
        <v>2.2562304480281055E-12</v>
      </c>
    </row>
    <row r="997" spans="1:41" x14ac:dyDescent="0.35">
      <c r="A997">
        <v>848</v>
      </c>
      <c r="B997">
        <v>846.88900000000001</v>
      </c>
      <c r="C997">
        <v>616087.63199999998</v>
      </c>
      <c r="D997">
        <v>3097156.912</v>
      </c>
      <c r="E997">
        <v>632.13850000000002</v>
      </c>
      <c r="F997">
        <v>5.2</v>
      </c>
      <c r="G997">
        <v>0</v>
      </c>
      <c r="H997" t="s">
        <v>186</v>
      </c>
      <c r="I997">
        <v>5.7000000000000002E-2</v>
      </c>
      <c r="J997">
        <f t="shared" si="446"/>
        <v>1</v>
      </c>
      <c r="K997">
        <f t="shared" si="447"/>
        <v>51</v>
      </c>
      <c r="L997">
        <f t="shared" ca="1" si="448"/>
        <v>51797.843837663619</v>
      </c>
      <c r="M997">
        <f t="shared" ca="1" si="425"/>
        <v>269348.78795585083</v>
      </c>
      <c r="N997">
        <f t="shared" ca="1" si="426"/>
        <v>2.5998694991876676</v>
      </c>
      <c r="O997">
        <f t="shared" ca="1" si="427"/>
        <v>1.8934557080078435E-4</v>
      </c>
      <c r="P997">
        <f t="shared" ca="1" si="428"/>
        <v>52429.98233766362</v>
      </c>
      <c r="Q997">
        <f t="shared" ca="1" si="429"/>
        <v>52429.982337665446</v>
      </c>
      <c r="R997">
        <f t="shared" ca="1" si="430"/>
        <v>2.2564415439646509E-12</v>
      </c>
      <c r="S997">
        <f t="shared" ca="1" si="449"/>
        <v>5.0000000192085281E-4</v>
      </c>
      <c r="T997">
        <f t="shared" ca="1" si="450"/>
        <v>1</v>
      </c>
      <c r="U997">
        <f t="shared" ca="1" si="431"/>
        <v>51800.26683766341</v>
      </c>
      <c r="V997">
        <f t="shared" ca="1" si="432"/>
        <v>269361.38755584974</v>
      </c>
      <c r="W997">
        <f t="shared" ca="1" si="433"/>
        <v>2.5998695052916441</v>
      </c>
      <c r="X997">
        <f t="shared" ca="1" si="434"/>
        <v>1.8933671400629237E-4</v>
      </c>
      <c r="Y997">
        <f t="shared" ca="1" si="435"/>
        <v>52432.405337663411</v>
      </c>
      <c r="Z997">
        <f t="shared" ca="1" si="436"/>
        <v>52432.405337665237</v>
      </c>
      <c r="AA997">
        <f t="shared" ca="1" si="437"/>
        <v>2.2562304480281055E-12</v>
      </c>
      <c r="AB997">
        <f t="shared" ca="1" si="438"/>
        <v>-5.0000000192085281E-4</v>
      </c>
      <c r="AC997">
        <f t="shared" ca="1" si="439"/>
        <v>1</v>
      </c>
      <c r="AD997">
        <f ca="1">IF(V32="Supercritical",L997,IF(V32="Subcritical",U997,IF(AND(T997=1,AC997=1),IF((((F997)*(L997)^2)/2+(G997)*(L997)^3/3+(ABS(K997)^2)/($I$5*MAX(((F997)+(G997)*(L997))*(L997),0.000001)))&gt;=(((F997)*(U997)^2)/2+(G997)*(U997)^3/3+(ABS(K997)^2)/($I$5*MAX(((F997)+(G997)*(U997))*(U997),0.000001))),L997,U997),IF(T997=1,L997,IF(AC997=1,U997,MAX($D$16,POWER((ABS(K997)^2)/($I$5*MAX(F997,0.1)^2),1/3)))))))</f>
        <v>51800.26683766341</v>
      </c>
      <c r="AE997">
        <f t="shared" ca="1" si="440"/>
        <v>52432.405337663411</v>
      </c>
      <c r="AF997">
        <f t="shared" ca="1" si="441"/>
        <v>52432.405337665237</v>
      </c>
      <c r="AI997">
        <v>0</v>
      </c>
      <c r="AJ997">
        <v>0</v>
      </c>
      <c r="AK997">
        <f t="shared" si="442"/>
        <v>0</v>
      </c>
      <c r="AL997">
        <f t="shared" si="451"/>
        <v>0</v>
      </c>
      <c r="AM997">
        <f t="shared" ca="1" si="443"/>
        <v>2.6560383008097266E-7</v>
      </c>
      <c r="AN997" t="str">
        <f t="shared" ca="1" si="444"/>
        <v>Subcritical</v>
      </c>
      <c r="AO997">
        <f t="shared" ca="1" si="445"/>
        <v>2.2562304480281055E-12</v>
      </c>
    </row>
    <row r="998" spans="1:41" x14ac:dyDescent="0.35">
      <c r="A998">
        <v>849</v>
      </c>
      <c r="B998">
        <v>847.88900000000001</v>
      </c>
      <c r="C998">
        <v>616087.58900000004</v>
      </c>
      <c r="D998">
        <v>3097155.9130000002</v>
      </c>
      <c r="E998">
        <v>632.13800000000003</v>
      </c>
      <c r="F998">
        <v>5.2</v>
      </c>
      <c r="G998">
        <v>0</v>
      </c>
      <c r="H998" t="s">
        <v>186</v>
      </c>
      <c r="I998">
        <v>5.7000000000000002E-2</v>
      </c>
      <c r="J998">
        <f t="shared" si="446"/>
        <v>1</v>
      </c>
      <c r="K998">
        <f t="shared" si="447"/>
        <v>51</v>
      </c>
      <c r="L998">
        <f t="shared" ca="1" si="448"/>
        <v>51797.843837663619</v>
      </c>
      <c r="M998">
        <f t="shared" ca="1" si="425"/>
        <v>269348.78795585083</v>
      </c>
      <c r="N998">
        <f t="shared" ca="1" si="426"/>
        <v>2.5998694991876676</v>
      </c>
      <c r="O998">
        <f t="shared" ca="1" si="427"/>
        <v>1.8934557080078435E-4</v>
      </c>
      <c r="P998">
        <f t="shared" ca="1" si="428"/>
        <v>52429.981837663618</v>
      </c>
      <c r="Q998">
        <f t="shared" ca="1" si="429"/>
        <v>52429.981837665444</v>
      </c>
      <c r="R998">
        <f t="shared" ca="1" si="430"/>
        <v>2.2564415439646509E-12</v>
      </c>
      <c r="S998">
        <f t="shared" ca="1" si="449"/>
        <v>5.0000000192085281E-4</v>
      </c>
      <c r="T998">
        <f t="shared" ca="1" si="450"/>
        <v>1</v>
      </c>
      <c r="U998">
        <f t="shared" ca="1" si="431"/>
        <v>51800.26683766341</v>
      </c>
      <c r="V998">
        <f t="shared" ca="1" si="432"/>
        <v>269361.38755584974</v>
      </c>
      <c r="W998">
        <f t="shared" ca="1" si="433"/>
        <v>2.5998695052916441</v>
      </c>
      <c r="X998">
        <f t="shared" ca="1" si="434"/>
        <v>1.8933671400629237E-4</v>
      </c>
      <c r="Y998">
        <f t="shared" ca="1" si="435"/>
        <v>52432.404837663409</v>
      </c>
      <c r="Z998">
        <f t="shared" ca="1" si="436"/>
        <v>52432.404837665235</v>
      </c>
      <c r="AA998">
        <f t="shared" ca="1" si="437"/>
        <v>2.2562304480281055E-12</v>
      </c>
      <c r="AB998">
        <f t="shared" ca="1" si="438"/>
        <v>-5.0000000192085281E-4</v>
      </c>
      <c r="AC998">
        <f t="shared" ca="1" si="439"/>
        <v>1</v>
      </c>
      <c r="AD998">
        <f ca="1">IF(V32="Supercritical",L998,IF(V32="Subcritical",U998,IF(AND(T998=1,AC998=1),IF((((F998)*(L998)^2)/2+(G998)*(L998)^3/3+(ABS(K998)^2)/($I$5*MAX(((F998)+(G998)*(L998))*(L998),0.000001)))&gt;=(((F998)*(U998)^2)/2+(G998)*(U998)^3/3+(ABS(K998)^2)/($I$5*MAX(((F998)+(G998)*(U998))*(U998),0.000001))),L998,U998),IF(T998=1,L998,IF(AC998=1,U998,MAX($D$16,POWER((ABS(K998)^2)/($I$5*MAX(F998,0.1)^2),1/3)))))))</f>
        <v>51800.26683766341</v>
      </c>
      <c r="AE998">
        <f t="shared" ca="1" si="440"/>
        <v>52432.404837663409</v>
      </c>
      <c r="AF998">
        <f t="shared" ca="1" si="441"/>
        <v>52432.404837665235</v>
      </c>
      <c r="AI998">
        <v>0</v>
      </c>
      <c r="AJ998">
        <v>0</v>
      </c>
      <c r="AK998">
        <f t="shared" si="442"/>
        <v>0</v>
      </c>
      <c r="AL998">
        <f t="shared" si="451"/>
        <v>0</v>
      </c>
      <c r="AM998">
        <f t="shared" ca="1" si="443"/>
        <v>2.6560383008097266E-7</v>
      </c>
      <c r="AN998" t="str">
        <f t="shared" ca="1" si="444"/>
        <v>Subcritical</v>
      </c>
      <c r="AO998">
        <f t="shared" ca="1" si="445"/>
        <v>2.2562304480281055E-12</v>
      </c>
    </row>
    <row r="999" spans="1:41" x14ac:dyDescent="0.35">
      <c r="A999">
        <v>850</v>
      </c>
      <c r="B999">
        <v>848.88900000000001</v>
      </c>
      <c r="C999">
        <v>616087.54700000002</v>
      </c>
      <c r="D999">
        <v>3097154.9139999999</v>
      </c>
      <c r="E999">
        <v>632.13750000000005</v>
      </c>
      <c r="F999">
        <v>5.2</v>
      </c>
      <c r="G999">
        <v>0</v>
      </c>
      <c r="H999" t="s">
        <v>186</v>
      </c>
      <c r="I999">
        <v>0</v>
      </c>
      <c r="J999">
        <f t="shared" si="446"/>
        <v>1</v>
      </c>
      <c r="K999">
        <f t="shared" si="447"/>
        <v>51</v>
      </c>
      <c r="L999">
        <f t="shared" ca="1" si="448"/>
        <v>51797.843837663619</v>
      </c>
      <c r="M999">
        <f t="shared" ca="1" si="425"/>
        <v>269348.78795585083</v>
      </c>
      <c r="N999">
        <f t="shared" ca="1" si="426"/>
        <v>2.5998694991876676</v>
      </c>
      <c r="O999">
        <f t="shared" ca="1" si="427"/>
        <v>1.8934557080078435E-4</v>
      </c>
      <c r="P999">
        <f t="shared" ca="1" si="428"/>
        <v>52429.981337663616</v>
      </c>
      <c r="Q999">
        <f t="shared" ca="1" si="429"/>
        <v>52429.981337665442</v>
      </c>
      <c r="R999">
        <f t="shared" ca="1" si="430"/>
        <v>2.2564415439646509E-12</v>
      </c>
      <c r="S999">
        <f t="shared" ca="1" si="449"/>
        <v>5.0000000192085281E-4</v>
      </c>
      <c r="T999">
        <f t="shared" ca="1" si="450"/>
        <v>1</v>
      </c>
      <c r="U999">
        <f t="shared" ca="1" si="431"/>
        <v>51800.26683766341</v>
      </c>
      <c r="V999">
        <f t="shared" ca="1" si="432"/>
        <v>269361.38755584974</v>
      </c>
      <c r="W999">
        <f t="shared" ca="1" si="433"/>
        <v>2.5998695052916441</v>
      </c>
      <c r="X999">
        <f t="shared" ca="1" si="434"/>
        <v>1.8933671400629237E-4</v>
      </c>
      <c r="Y999">
        <f t="shared" ca="1" si="435"/>
        <v>52432.404337663407</v>
      </c>
      <c r="Z999">
        <f t="shared" ca="1" si="436"/>
        <v>52432.404337665233</v>
      </c>
      <c r="AA999">
        <f t="shared" ca="1" si="437"/>
        <v>2.2562304480281055E-12</v>
      </c>
      <c r="AB999">
        <f t="shared" ca="1" si="438"/>
        <v>-4.999999946448952E-4</v>
      </c>
      <c r="AC999">
        <f t="shared" ca="1" si="439"/>
        <v>1</v>
      </c>
      <c r="AD999">
        <f ca="1">IF(V32="Supercritical",L999,IF(V32="Subcritical",U999,IF(AND(T999=1,AC999=1),IF((((F999)*(L999)^2)/2+(G999)*(L999)^3/3+(ABS(K999)^2)/($I$5*MAX(((F999)+(G999)*(L999))*(L999),0.000001)))&gt;=(((F999)*(U999)^2)/2+(G999)*(U999)^3/3+(ABS(K999)^2)/($I$5*MAX(((F999)+(G999)*(U999))*(U999),0.000001))),L999,U999),IF(T999=1,L999,IF(AC999=1,U999,MAX($D$16,POWER((ABS(K999)^2)/($I$5*MAX(F999,0.1)^2),1/3)))))))</f>
        <v>51800.26683766341</v>
      </c>
      <c r="AE999">
        <f t="shared" ca="1" si="440"/>
        <v>52432.404337663407</v>
      </c>
      <c r="AF999">
        <f t="shared" ca="1" si="441"/>
        <v>52432.404337665233</v>
      </c>
      <c r="AI999">
        <v>0</v>
      </c>
      <c r="AJ999">
        <v>0</v>
      </c>
      <c r="AK999">
        <f t="shared" si="442"/>
        <v>0</v>
      </c>
      <c r="AL999">
        <f t="shared" si="451"/>
        <v>0</v>
      </c>
      <c r="AM999">
        <f t="shared" ca="1" si="443"/>
        <v>2.6560383008097266E-7</v>
      </c>
      <c r="AN999" t="str">
        <f t="shared" ca="1" si="444"/>
        <v>Subcritical</v>
      </c>
      <c r="AO999">
        <f t="shared" ca="1" si="445"/>
        <v>2.2562304480281055E-12</v>
      </c>
    </row>
    <row r="1000" spans="1:41" x14ac:dyDescent="0.35">
      <c r="A1000">
        <v>851</v>
      </c>
      <c r="B1000">
        <v>849.88900000000001</v>
      </c>
      <c r="C1000">
        <v>616087.505</v>
      </c>
      <c r="D1000">
        <v>3097153.915</v>
      </c>
      <c r="E1000">
        <v>632.13699999999994</v>
      </c>
      <c r="F1000">
        <v>5.2</v>
      </c>
      <c r="G1000">
        <v>0</v>
      </c>
      <c r="H1000" t="s">
        <v>186</v>
      </c>
      <c r="I1000">
        <v>0</v>
      </c>
      <c r="J1000">
        <f t="shared" si="446"/>
        <v>1</v>
      </c>
      <c r="K1000">
        <f t="shared" si="447"/>
        <v>51</v>
      </c>
      <c r="L1000">
        <f t="shared" ca="1" si="448"/>
        <v>51797.843837663619</v>
      </c>
      <c r="M1000">
        <f t="shared" ca="1" si="425"/>
        <v>269348.78795585083</v>
      </c>
      <c r="N1000">
        <f t="shared" ca="1" si="426"/>
        <v>2.5998694991876676</v>
      </c>
      <c r="O1000">
        <f t="shared" ca="1" si="427"/>
        <v>1.8934557080078435E-4</v>
      </c>
      <c r="P1000">
        <f t="shared" ca="1" si="428"/>
        <v>52429.980837663621</v>
      </c>
      <c r="Q1000">
        <f t="shared" ca="1" si="429"/>
        <v>52429.980837665447</v>
      </c>
      <c r="R1000">
        <f t="shared" ca="1" si="430"/>
        <v>2.2564415439646509E-12</v>
      </c>
      <c r="S1000">
        <f t="shared" ca="1" si="449"/>
        <v>4.999999946448952E-4</v>
      </c>
      <c r="T1000">
        <f t="shared" ca="1" si="450"/>
        <v>1</v>
      </c>
      <c r="U1000">
        <f t="shared" ca="1" si="431"/>
        <v>51800.26683766341</v>
      </c>
      <c r="V1000">
        <f t="shared" ca="1" si="432"/>
        <v>269361.38755584974</v>
      </c>
      <c r="W1000">
        <f t="shared" ca="1" si="433"/>
        <v>2.5998695052916441</v>
      </c>
      <c r="X1000">
        <f t="shared" ca="1" si="434"/>
        <v>1.8933671400629237E-4</v>
      </c>
      <c r="Y1000">
        <f t="shared" ca="1" si="435"/>
        <v>52432.403837663413</v>
      </c>
      <c r="Z1000">
        <f t="shared" ca="1" si="436"/>
        <v>52432.403837665239</v>
      </c>
      <c r="AA1000">
        <f t="shared" ca="1" si="437"/>
        <v>2.2562304480281055E-12</v>
      </c>
      <c r="AB1000">
        <f t="shared" ca="1" si="438"/>
        <v>-5.0000000192085281E-4</v>
      </c>
      <c r="AC1000">
        <f t="shared" ca="1" si="439"/>
        <v>1</v>
      </c>
      <c r="AD1000">
        <f ca="1">IF(V32="Supercritical",L1000,IF(V32="Subcritical",U1000,IF(AND(T1000=1,AC1000=1),IF((((F1000)*(L1000)^2)/2+(G1000)*(L1000)^3/3+(ABS(K1000)^2)/($I$5*MAX(((F1000)+(G1000)*(L1000))*(L1000),0.000001)))&gt;=(((F1000)*(U1000)^2)/2+(G1000)*(U1000)^3/3+(ABS(K1000)^2)/($I$5*MAX(((F1000)+(G1000)*(U1000))*(U1000),0.000001))),L1000,U1000),IF(T1000=1,L1000,IF(AC1000=1,U1000,MAX($D$16,POWER((ABS(K1000)^2)/($I$5*MAX(F1000,0.1)^2),1/3)))))))</f>
        <v>51800.26683766341</v>
      </c>
      <c r="AE1000">
        <f t="shared" ca="1" si="440"/>
        <v>52432.403837663413</v>
      </c>
      <c r="AF1000">
        <f t="shared" ca="1" si="441"/>
        <v>52432.403837665239</v>
      </c>
      <c r="AI1000">
        <v>0</v>
      </c>
      <c r="AJ1000">
        <v>0</v>
      </c>
      <c r="AK1000">
        <f t="shared" si="442"/>
        <v>0</v>
      </c>
      <c r="AL1000">
        <f t="shared" si="451"/>
        <v>0</v>
      </c>
      <c r="AM1000">
        <f t="shared" ca="1" si="443"/>
        <v>2.6560383008097266E-7</v>
      </c>
      <c r="AN1000" t="str">
        <f t="shared" ca="1" si="444"/>
        <v>Subcritical</v>
      </c>
      <c r="AO1000">
        <f t="shared" ca="1" si="445"/>
        <v>2.2562304480281055E-12</v>
      </c>
    </row>
    <row r="1001" spans="1:41" x14ac:dyDescent="0.35">
      <c r="A1001">
        <v>852</v>
      </c>
      <c r="B1001">
        <v>850.88900000000001</v>
      </c>
      <c r="C1001">
        <v>616087.46299999999</v>
      </c>
      <c r="D1001">
        <v>3097152.9160000002</v>
      </c>
      <c r="E1001">
        <v>632.13649999999996</v>
      </c>
      <c r="F1001">
        <v>5.2</v>
      </c>
      <c r="G1001">
        <v>0</v>
      </c>
      <c r="H1001" t="s">
        <v>186</v>
      </c>
      <c r="I1001">
        <v>5.7000000000000002E-2</v>
      </c>
      <c r="J1001">
        <f t="shared" si="446"/>
        <v>1</v>
      </c>
      <c r="K1001">
        <f t="shared" si="447"/>
        <v>51</v>
      </c>
      <c r="L1001">
        <f t="shared" ca="1" si="448"/>
        <v>51797.843837663619</v>
      </c>
      <c r="M1001">
        <f t="shared" ca="1" si="425"/>
        <v>269348.78795585083</v>
      </c>
      <c r="N1001">
        <f t="shared" ca="1" si="426"/>
        <v>2.5998694991876676</v>
      </c>
      <c r="O1001">
        <f t="shared" ca="1" si="427"/>
        <v>1.8934557080078435E-4</v>
      </c>
      <c r="P1001">
        <f t="shared" ca="1" si="428"/>
        <v>52429.980337663619</v>
      </c>
      <c r="Q1001">
        <f t="shared" ca="1" si="429"/>
        <v>52429.980337665445</v>
      </c>
      <c r="R1001">
        <f t="shared" ca="1" si="430"/>
        <v>2.2564415439646509E-12</v>
      </c>
      <c r="S1001">
        <f t="shared" ca="1" si="449"/>
        <v>5.0000000192085281E-4</v>
      </c>
      <c r="T1001">
        <f t="shared" ca="1" si="450"/>
        <v>1</v>
      </c>
      <c r="U1001">
        <f t="shared" ca="1" si="431"/>
        <v>51800.26683766341</v>
      </c>
      <c r="V1001">
        <f t="shared" ca="1" si="432"/>
        <v>269361.38755584974</v>
      </c>
      <c r="W1001">
        <f t="shared" ca="1" si="433"/>
        <v>2.5998695052916441</v>
      </c>
      <c r="X1001">
        <f t="shared" ca="1" si="434"/>
        <v>1.8933671400629237E-4</v>
      </c>
      <c r="Y1001">
        <f t="shared" ca="1" si="435"/>
        <v>52432.403337663411</v>
      </c>
      <c r="Z1001">
        <f t="shared" ca="1" si="436"/>
        <v>52432.403337665237</v>
      </c>
      <c r="AA1001">
        <f t="shared" ca="1" si="437"/>
        <v>2.2562304480281055E-12</v>
      </c>
      <c r="AB1001">
        <f t="shared" ca="1" si="438"/>
        <v>-5.0000000192085281E-4</v>
      </c>
      <c r="AC1001">
        <f t="shared" ca="1" si="439"/>
        <v>1</v>
      </c>
      <c r="AD1001">
        <f ca="1">IF(V32="Supercritical",L1001,IF(V32="Subcritical",U1001,IF(AND(T1001=1,AC1001=1),IF((((F1001)*(L1001)^2)/2+(G1001)*(L1001)^3/3+(ABS(K1001)^2)/($I$5*MAX(((F1001)+(G1001)*(L1001))*(L1001),0.000001)))&gt;=(((F1001)*(U1001)^2)/2+(G1001)*(U1001)^3/3+(ABS(K1001)^2)/($I$5*MAX(((F1001)+(G1001)*(U1001))*(U1001),0.000001))),L1001,U1001),IF(T1001=1,L1001,IF(AC1001=1,U1001,MAX($D$16,POWER((ABS(K1001)^2)/($I$5*MAX(F1001,0.1)^2),1/3)))))))</f>
        <v>51800.26683766341</v>
      </c>
      <c r="AE1001">
        <f t="shared" ca="1" si="440"/>
        <v>52432.403337663411</v>
      </c>
      <c r="AF1001">
        <f t="shared" ca="1" si="441"/>
        <v>52432.403337665237</v>
      </c>
      <c r="AI1001">
        <v>0</v>
      </c>
      <c r="AJ1001">
        <v>0</v>
      </c>
      <c r="AK1001">
        <f t="shared" si="442"/>
        <v>0</v>
      </c>
      <c r="AL1001">
        <f t="shared" si="451"/>
        <v>0</v>
      </c>
      <c r="AM1001">
        <f t="shared" ca="1" si="443"/>
        <v>2.6560383008097266E-7</v>
      </c>
      <c r="AN1001" t="str">
        <f t="shared" ca="1" si="444"/>
        <v>Subcritical</v>
      </c>
      <c r="AO1001">
        <f t="shared" ca="1" si="445"/>
        <v>2.2562304480281055E-12</v>
      </c>
    </row>
    <row r="1002" spans="1:41" x14ac:dyDescent="0.35">
      <c r="A1002">
        <v>853</v>
      </c>
      <c r="B1002">
        <v>851.88900000000001</v>
      </c>
      <c r="C1002">
        <v>616087.42000000004</v>
      </c>
      <c r="D1002">
        <v>3097151.9169999999</v>
      </c>
      <c r="E1002">
        <v>632.13599999999997</v>
      </c>
      <c r="F1002">
        <v>5.2</v>
      </c>
      <c r="G1002">
        <v>0</v>
      </c>
      <c r="H1002" t="s">
        <v>186</v>
      </c>
      <c r="I1002">
        <v>0.06</v>
      </c>
      <c r="J1002">
        <f t="shared" si="446"/>
        <v>1</v>
      </c>
      <c r="K1002">
        <f t="shared" si="447"/>
        <v>51</v>
      </c>
      <c r="L1002">
        <f t="shared" ca="1" si="448"/>
        <v>51797.843837663619</v>
      </c>
      <c r="M1002">
        <f t="shared" ca="1" si="425"/>
        <v>269348.78795585083</v>
      </c>
      <c r="N1002">
        <f t="shared" ca="1" si="426"/>
        <v>2.5998694991876676</v>
      </c>
      <c r="O1002">
        <f t="shared" ca="1" si="427"/>
        <v>1.8934557080078435E-4</v>
      </c>
      <c r="P1002">
        <f t="shared" ca="1" si="428"/>
        <v>52429.979837663617</v>
      </c>
      <c r="Q1002">
        <f t="shared" ca="1" si="429"/>
        <v>52429.979837665443</v>
      </c>
      <c r="R1002">
        <f t="shared" ca="1" si="430"/>
        <v>2.2564415439646509E-12</v>
      </c>
      <c r="S1002">
        <f t="shared" ca="1" si="449"/>
        <v>5.0000000192085281E-4</v>
      </c>
      <c r="T1002">
        <f t="shared" ca="1" si="450"/>
        <v>1</v>
      </c>
      <c r="U1002">
        <f t="shared" ca="1" si="431"/>
        <v>51800.26683766341</v>
      </c>
      <c r="V1002">
        <f t="shared" ca="1" si="432"/>
        <v>269361.38755584974</v>
      </c>
      <c r="W1002">
        <f t="shared" ca="1" si="433"/>
        <v>2.5998695052916441</v>
      </c>
      <c r="X1002">
        <f t="shared" ca="1" si="434"/>
        <v>1.8933671400629237E-4</v>
      </c>
      <c r="Y1002">
        <f t="shared" ca="1" si="435"/>
        <v>52432.402837663409</v>
      </c>
      <c r="Z1002">
        <f t="shared" ca="1" si="436"/>
        <v>52432.402837665235</v>
      </c>
      <c r="AA1002">
        <f t="shared" ca="1" si="437"/>
        <v>2.2562304480281055E-12</v>
      </c>
      <c r="AB1002">
        <f t="shared" ca="1" si="438"/>
        <v>-5.0000000192085281E-4</v>
      </c>
      <c r="AC1002">
        <f t="shared" ca="1" si="439"/>
        <v>1</v>
      </c>
      <c r="AD1002">
        <f ca="1">IF(V32="Supercritical",L1002,IF(V32="Subcritical",U1002,IF(AND(T1002=1,AC1002=1),IF((((F1002)*(L1002)^2)/2+(G1002)*(L1002)^3/3+(ABS(K1002)^2)/($I$5*MAX(((F1002)+(G1002)*(L1002))*(L1002),0.000001)))&gt;=(((F1002)*(U1002)^2)/2+(G1002)*(U1002)^3/3+(ABS(K1002)^2)/($I$5*MAX(((F1002)+(G1002)*(U1002))*(U1002),0.000001))),L1002,U1002),IF(T1002=1,L1002,IF(AC1002=1,U1002,MAX($D$16,POWER((ABS(K1002)^2)/($I$5*MAX(F1002,0.1)^2),1/3)))))))</f>
        <v>51800.26683766341</v>
      </c>
      <c r="AE1002">
        <f t="shared" ca="1" si="440"/>
        <v>52432.402837663409</v>
      </c>
      <c r="AF1002">
        <f t="shared" ca="1" si="441"/>
        <v>52432.402837665235</v>
      </c>
      <c r="AI1002">
        <v>0</v>
      </c>
      <c r="AJ1002">
        <v>0</v>
      </c>
      <c r="AK1002">
        <f t="shared" si="442"/>
        <v>0</v>
      </c>
      <c r="AL1002">
        <f t="shared" si="451"/>
        <v>0</v>
      </c>
      <c r="AM1002">
        <f t="shared" ca="1" si="443"/>
        <v>2.6560383008097266E-7</v>
      </c>
      <c r="AN1002" t="str">
        <f t="shared" ca="1" si="444"/>
        <v>Subcritical</v>
      </c>
      <c r="AO1002">
        <f t="shared" ca="1" si="445"/>
        <v>2.2562304480281055E-12</v>
      </c>
    </row>
    <row r="1003" spans="1:41" x14ac:dyDescent="0.35">
      <c r="A1003">
        <v>854</v>
      </c>
      <c r="B1003">
        <v>852.89</v>
      </c>
      <c r="C1003">
        <v>616087.37800000003</v>
      </c>
      <c r="D1003">
        <v>3097150.9169999999</v>
      </c>
      <c r="E1003">
        <v>632.13549999999998</v>
      </c>
      <c r="F1003">
        <v>5.2</v>
      </c>
      <c r="G1003">
        <v>0</v>
      </c>
      <c r="H1003" t="s">
        <v>186</v>
      </c>
      <c r="I1003">
        <v>2E-3</v>
      </c>
      <c r="J1003">
        <f t="shared" si="446"/>
        <v>1.0009999999999764</v>
      </c>
      <c r="K1003">
        <f t="shared" si="447"/>
        <v>51</v>
      </c>
      <c r="L1003">
        <f t="shared" ca="1" si="448"/>
        <v>51797.843837663619</v>
      </c>
      <c r="M1003">
        <f t="shared" ca="1" si="425"/>
        <v>269348.78795585083</v>
      </c>
      <c r="N1003">
        <f t="shared" ca="1" si="426"/>
        <v>2.5998694991876676</v>
      </c>
      <c r="O1003">
        <f t="shared" ca="1" si="427"/>
        <v>1.8934557080078435E-4</v>
      </c>
      <c r="P1003">
        <f t="shared" ca="1" si="428"/>
        <v>52429.979337663615</v>
      </c>
      <c r="Q1003">
        <f t="shared" ca="1" si="429"/>
        <v>52429.979337665442</v>
      </c>
      <c r="R1003">
        <f t="shared" ca="1" si="430"/>
        <v>2.2564415439646509E-12</v>
      </c>
      <c r="S1003">
        <f t="shared" ca="1" si="449"/>
        <v>5.0000000192085281E-4</v>
      </c>
      <c r="T1003">
        <f t="shared" ca="1" si="450"/>
        <v>1</v>
      </c>
      <c r="U1003">
        <f t="shared" ca="1" si="431"/>
        <v>51800.26683766341</v>
      </c>
      <c r="V1003">
        <f t="shared" ca="1" si="432"/>
        <v>269361.38755584974</v>
      </c>
      <c r="W1003">
        <f t="shared" ca="1" si="433"/>
        <v>2.5998695052916441</v>
      </c>
      <c r="X1003">
        <f t="shared" ca="1" si="434"/>
        <v>1.8933671400629237E-4</v>
      </c>
      <c r="Y1003">
        <f t="shared" ca="1" si="435"/>
        <v>52432.402337663407</v>
      </c>
      <c r="Z1003">
        <f t="shared" ca="1" si="436"/>
        <v>52432.402337665233</v>
      </c>
      <c r="AA1003">
        <f t="shared" ca="1" si="437"/>
        <v>2.2562304480281055E-12</v>
      </c>
      <c r="AB1003">
        <f t="shared" ca="1" si="438"/>
        <v>-4.999999946448952E-4</v>
      </c>
      <c r="AC1003">
        <f t="shared" ca="1" si="439"/>
        <v>1</v>
      </c>
      <c r="AD1003">
        <f ca="1">IF(V32="Supercritical",L1003,IF(V32="Subcritical",U1003,IF(AND(T1003=1,AC1003=1),IF((((F1003)*(L1003)^2)/2+(G1003)*(L1003)^3/3+(ABS(K1003)^2)/($I$5*MAX(((F1003)+(G1003)*(L1003))*(L1003),0.000001)))&gt;=(((F1003)*(U1003)^2)/2+(G1003)*(U1003)^3/3+(ABS(K1003)^2)/($I$5*MAX(((F1003)+(G1003)*(U1003))*(U1003),0.000001))),L1003,U1003),IF(T1003=1,L1003,IF(AC1003=1,U1003,MAX($D$16,POWER((ABS(K1003)^2)/($I$5*MAX(F1003,0.1)^2),1/3)))))))</f>
        <v>51800.26683766341</v>
      </c>
      <c r="AE1003">
        <f t="shared" ca="1" si="440"/>
        <v>52432.402337663407</v>
      </c>
      <c r="AF1003">
        <f t="shared" ca="1" si="441"/>
        <v>52432.402337665233</v>
      </c>
      <c r="AI1003">
        <v>0</v>
      </c>
      <c r="AJ1003">
        <v>0</v>
      </c>
      <c r="AK1003">
        <f t="shared" si="442"/>
        <v>0</v>
      </c>
      <c r="AL1003">
        <f t="shared" si="451"/>
        <v>0</v>
      </c>
      <c r="AM1003">
        <f t="shared" ca="1" si="443"/>
        <v>2.6560383008097266E-7</v>
      </c>
      <c r="AN1003" t="str">
        <f t="shared" ca="1" si="444"/>
        <v>Subcritical</v>
      </c>
      <c r="AO1003">
        <f t="shared" ca="1" si="445"/>
        <v>2.2562304480281055E-12</v>
      </c>
    </row>
    <row r="1004" spans="1:41" x14ac:dyDescent="0.35">
      <c r="A1004">
        <v>855</v>
      </c>
      <c r="B1004">
        <v>853.89</v>
      </c>
      <c r="C1004">
        <v>616087.33600000001</v>
      </c>
      <c r="D1004">
        <v>3097149.9180000001</v>
      </c>
      <c r="E1004">
        <v>632.13499999999999</v>
      </c>
      <c r="F1004">
        <v>5.2</v>
      </c>
      <c r="G1004">
        <v>0</v>
      </c>
      <c r="H1004" t="s">
        <v>186</v>
      </c>
      <c r="I1004">
        <v>0</v>
      </c>
      <c r="J1004">
        <f t="shared" si="446"/>
        <v>1</v>
      </c>
      <c r="K1004">
        <f t="shared" si="447"/>
        <v>51</v>
      </c>
      <c r="L1004">
        <f t="shared" ca="1" si="448"/>
        <v>51797.843837663619</v>
      </c>
      <c r="M1004">
        <f t="shared" ca="1" si="425"/>
        <v>269348.78795585083</v>
      </c>
      <c r="N1004">
        <f t="shared" ca="1" si="426"/>
        <v>2.5998694991876676</v>
      </c>
      <c r="O1004">
        <f t="shared" ca="1" si="427"/>
        <v>1.8934557080078435E-4</v>
      </c>
      <c r="P1004">
        <f t="shared" ca="1" si="428"/>
        <v>52429.978837663621</v>
      </c>
      <c r="Q1004">
        <f t="shared" ca="1" si="429"/>
        <v>52429.978837665447</v>
      </c>
      <c r="R1004">
        <f t="shared" ca="1" si="430"/>
        <v>2.2564415439646509E-12</v>
      </c>
      <c r="S1004">
        <f t="shared" ca="1" si="449"/>
        <v>4.999999946448952E-4</v>
      </c>
      <c r="T1004">
        <f t="shared" ca="1" si="450"/>
        <v>1</v>
      </c>
      <c r="U1004">
        <f t="shared" ca="1" si="431"/>
        <v>51800.26683766341</v>
      </c>
      <c r="V1004">
        <f t="shared" ca="1" si="432"/>
        <v>269361.38755584974</v>
      </c>
      <c r="W1004">
        <f t="shared" ca="1" si="433"/>
        <v>2.5998695052916441</v>
      </c>
      <c r="X1004">
        <f t="shared" ca="1" si="434"/>
        <v>1.8933671400629237E-4</v>
      </c>
      <c r="Y1004">
        <f t="shared" ca="1" si="435"/>
        <v>52432.401837663412</v>
      </c>
      <c r="Z1004">
        <f t="shared" ca="1" si="436"/>
        <v>52432.401837665238</v>
      </c>
      <c r="AA1004">
        <f t="shared" ca="1" si="437"/>
        <v>2.2562304480281055E-12</v>
      </c>
      <c r="AB1004">
        <f t="shared" ca="1" si="438"/>
        <v>-5.0000000192085281E-4</v>
      </c>
      <c r="AC1004">
        <f t="shared" ca="1" si="439"/>
        <v>1</v>
      </c>
      <c r="AD1004">
        <f ca="1">IF(V32="Supercritical",L1004,IF(V32="Subcritical",U1004,IF(AND(T1004=1,AC1004=1),IF((((F1004)*(L1004)^2)/2+(G1004)*(L1004)^3/3+(ABS(K1004)^2)/($I$5*MAX(((F1004)+(G1004)*(L1004))*(L1004),0.000001)))&gt;=(((F1004)*(U1004)^2)/2+(G1004)*(U1004)^3/3+(ABS(K1004)^2)/($I$5*MAX(((F1004)+(G1004)*(U1004))*(U1004),0.000001))),L1004,U1004),IF(T1004=1,L1004,IF(AC1004=1,U1004,MAX($D$16,POWER((ABS(K1004)^2)/($I$5*MAX(F1004,0.1)^2),1/3)))))))</f>
        <v>51800.26683766341</v>
      </c>
      <c r="AE1004">
        <f t="shared" ca="1" si="440"/>
        <v>52432.401837663412</v>
      </c>
      <c r="AF1004">
        <f t="shared" ca="1" si="441"/>
        <v>52432.401837665238</v>
      </c>
      <c r="AI1004">
        <v>0</v>
      </c>
      <c r="AJ1004">
        <v>0</v>
      </c>
      <c r="AK1004">
        <f t="shared" si="442"/>
        <v>0</v>
      </c>
      <c r="AL1004">
        <f t="shared" si="451"/>
        <v>0</v>
      </c>
      <c r="AM1004">
        <f t="shared" ca="1" si="443"/>
        <v>2.6560383008097266E-7</v>
      </c>
      <c r="AN1004" t="str">
        <f t="shared" ca="1" si="444"/>
        <v>Subcritical</v>
      </c>
      <c r="AO1004">
        <f t="shared" ca="1" si="445"/>
        <v>2.2562304480281055E-12</v>
      </c>
    </row>
    <row r="1005" spans="1:41" x14ac:dyDescent="0.35">
      <c r="A1005">
        <v>856</v>
      </c>
      <c r="B1005">
        <v>854.88900000000001</v>
      </c>
      <c r="C1005">
        <v>616087.29399999999</v>
      </c>
      <c r="D1005">
        <v>3097148.9190000002</v>
      </c>
      <c r="E1005">
        <v>632.1345</v>
      </c>
      <c r="F1005">
        <v>5.2</v>
      </c>
      <c r="G1005">
        <v>0</v>
      </c>
      <c r="H1005" t="s">
        <v>186</v>
      </c>
      <c r="I1005">
        <v>5.7000000000000002E-2</v>
      </c>
      <c r="J1005">
        <f t="shared" si="446"/>
        <v>0.99900000000002365</v>
      </c>
      <c r="K1005">
        <f t="shared" si="447"/>
        <v>51</v>
      </c>
      <c r="L1005">
        <f t="shared" ca="1" si="448"/>
        <v>51797.843837663619</v>
      </c>
      <c r="M1005">
        <f t="shared" ca="1" si="425"/>
        <v>269348.78795585083</v>
      </c>
      <c r="N1005">
        <f t="shared" ca="1" si="426"/>
        <v>2.5998694991876676</v>
      </c>
      <c r="O1005">
        <f t="shared" ca="1" si="427"/>
        <v>1.8934557080078435E-4</v>
      </c>
      <c r="P1005">
        <f t="shared" ca="1" si="428"/>
        <v>52429.978337663619</v>
      </c>
      <c r="Q1005">
        <f t="shared" ca="1" si="429"/>
        <v>52429.978337665445</v>
      </c>
      <c r="R1005">
        <f t="shared" ca="1" si="430"/>
        <v>2.2564415439646509E-12</v>
      </c>
      <c r="S1005">
        <f t="shared" ca="1" si="449"/>
        <v>5.0000000192085281E-4</v>
      </c>
      <c r="T1005">
        <f t="shared" ca="1" si="450"/>
        <v>1</v>
      </c>
      <c r="U1005">
        <f t="shared" ca="1" si="431"/>
        <v>51800.26683766341</v>
      </c>
      <c r="V1005">
        <f t="shared" ca="1" si="432"/>
        <v>269361.38755584974</v>
      </c>
      <c r="W1005">
        <f t="shared" ca="1" si="433"/>
        <v>2.5998695052916441</v>
      </c>
      <c r="X1005">
        <f t="shared" ca="1" si="434"/>
        <v>1.8933671400629237E-4</v>
      </c>
      <c r="Y1005">
        <f t="shared" ca="1" si="435"/>
        <v>52432.40133766341</v>
      </c>
      <c r="Z1005">
        <f t="shared" ca="1" si="436"/>
        <v>52432.401337665236</v>
      </c>
      <c r="AA1005">
        <f t="shared" ca="1" si="437"/>
        <v>2.2562304480281055E-12</v>
      </c>
      <c r="AB1005">
        <f t="shared" ca="1" si="438"/>
        <v>-5.0000000192085281E-4</v>
      </c>
      <c r="AC1005">
        <f t="shared" ca="1" si="439"/>
        <v>1</v>
      </c>
      <c r="AD1005">
        <f ca="1">IF(V32="Supercritical",L1005,IF(V32="Subcritical",U1005,IF(AND(T1005=1,AC1005=1),IF((((F1005)*(L1005)^2)/2+(G1005)*(L1005)^3/3+(ABS(K1005)^2)/($I$5*MAX(((F1005)+(G1005)*(L1005))*(L1005),0.000001)))&gt;=(((F1005)*(U1005)^2)/2+(G1005)*(U1005)^3/3+(ABS(K1005)^2)/($I$5*MAX(((F1005)+(G1005)*(U1005))*(U1005),0.000001))),L1005,U1005),IF(T1005=1,L1005,IF(AC1005=1,U1005,MAX($D$16,POWER((ABS(K1005)^2)/($I$5*MAX(F1005,0.1)^2),1/3)))))))</f>
        <v>51800.26683766341</v>
      </c>
      <c r="AE1005">
        <f t="shared" ca="1" si="440"/>
        <v>52432.40133766341</v>
      </c>
      <c r="AF1005">
        <f t="shared" ca="1" si="441"/>
        <v>52432.401337665236</v>
      </c>
      <c r="AI1005">
        <v>0</v>
      </c>
      <c r="AJ1005">
        <v>0</v>
      </c>
      <c r="AK1005">
        <f t="shared" si="442"/>
        <v>0</v>
      </c>
      <c r="AL1005">
        <f t="shared" si="451"/>
        <v>0</v>
      </c>
      <c r="AM1005">
        <f t="shared" ca="1" si="443"/>
        <v>2.6560383008097266E-7</v>
      </c>
      <c r="AN1005" t="str">
        <f t="shared" ca="1" si="444"/>
        <v>Subcritical</v>
      </c>
      <c r="AO1005">
        <f t="shared" ca="1" si="445"/>
        <v>2.2562304480281055E-12</v>
      </c>
    </row>
    <row r="1006" spans="1:41" x14ac:dyDescent="0.35">
      <c r="A1006">
        <v>857</v>
      </c>
      <c r="B1006">
        <v>855.88900000000001</v>
      </c>
      <c r="C1006">
        <v>616087.25100000005</v>
      </c>
      <c r="D1006">
        <v>3097147.92</v>
      </c>
      <c r="E1006">
        <v>632.13400000000001</v>
      </c>
      <c r="F1006">
        <v>5.2</v>
      </c>
      <c r="G1006">
        <v>0</v>
      </c>
      <c r="H1006" t="s">
        <v>186</v>
      </c>
      <c r="I1006">
        <v>5.7000000000000002E-2</v>
      </c>
      <c r="J1006">
        <f t="shared" si="446"/>
        <v>1</v>
      </c>
      <c r="K1006">
        <f t="shared" si="447"/>
        <v>51</v>
      </c>
      <c r="L1006">
        <f t="shared" ca="1" si="448"/>
        <v>51797.843837663619</v>
      </c>
      <c r="M1006">
        <f t="shared" ca="1" si="425"/>
        <v>269348.78795585083</v>
      </c>
      <c r="N1006">
        <f t="shared" ca="1" si="426"/>
        <v>2.5998694991876676</v>
      </c>
      <c r="O1006">
        <f t="shared" ca="1" si="427"/>
        <v>1.8934557080078435E-4</v>
      </c>
      <c r="P1006">
        <f t="shared" ca="1" si="428"/>
        <v>52429.977837663617</v>
      </c>
      <c r="Q1006">
        <f t="shared" ca="1" si="429"/>
        <v>52429.977837665443</v>
      </c>
      <c r="R1006">
        <f t="shared" ca="1" si="430"/>
        <v>2.2564415439646509E-12</v>
      </c>
      <c r="S1006">
        <f t="shared" ca="1" si="449"/>
        <v>5.0000000192085281E-4</v>
      </c>
      <c r="T1006">
        <f t="shared" ca="1" si="450"/>
        <v>1</v>
      </c>
      <c r="U1006">
        <f t="shared" ca="1" si="431"/>
        <v>51800.26683766341</v>
      </c>
      <c r="V1006">
        <f t="shared" ca="1" si="432"/>
        <v>269361.38755584974</v>
      </c>
      <c r="W1006">
        <f t="shared" ca="1" si="433"/>
        <v>2.5998695052916441</v>
      </c>
      <c r="X1006">
        <f t="shared" ca="1" si="434"/>
        <v>1.8933671400629237E-4</v>
      </c>
      <c r="Y1006">
        <f t="shared" ca="1" si="435"/>
        <v>52432.400837663408</v>
      </c>
      <c r="Z1006">
        <f t="shared" ca="1" si="436"/>
        <v>52432.400837665235</v>
      </c>
      <c r="AA1006">
        <f t="shared" ca="1" si="437"/>
        <v>2.2562304480281055E-12</v>
      </c>
      <c r="AB1006">
        <f t="shared" ca="1" si="438"/>
        <v>-4.999999946448952E-4</v>
      </c>
      <c r="AC1006">
        <f t="shared" ca="1" si="439"/>
        <v>1</v>
      </c>
      <c r="AD1006">
        <f ca="1">IF(V32="Supercritical",L1006,IF(V32="Subcritical",U1006,IF(AND(T1006=1,AC1006=1),IF((((F1006)*(L1006)^2)/2+(G1006)*(L1006)^3/3+(ABS(K1006)^2)/($I$5*MAX(((F1006)+(G1006)*(L1006))*(L1006),0.000001)))&gt;=(((F1006)*(U1006)^2)/2+(G1006)*(U1006)^3/3+(ABS(K1006)^2)/($I$5*MAX(((F1006)+(G1006)*(U1006))*(U1006),0.000001))),L1006,U1006),IF(T1006=1,L1006,IF(AC1006=1,U1006,MAX($D$16,POWER((ABS(K1006)^2)/($I$5*MAX(F1006,0.1)^2),1/3)))))))</f>
        <v>51800.26683766341</v>
      </c>
      <c r="AE1006">
        <f t="shared" ca="1" si="440"/>
        <v>52432.400837663408</v>
      </c>
      <c r="AF1006">
        <f t="shared" ca="1" si="441"/>
        <v>52432.400837665235</v>
      </c>
      <c r="AI1006">
        <v>0</v>
      </c>
      <c r="AJ1006">
        <v>0</v>
      </c>
      <c r="AK1006">
        <f t="shared" si="442"/>
        <v>0</v>
      </c>
      <c r="AL1006">
        <f t="shared" si="451"/>
        <v>0</v>
      </c>
      <c r="AM1006">
        <f t="shared" ca="1" si="443"/>
        <v>2.6560383008097266E-7</v>
      </c>
      <c r="AN1006" t="str">
        <f t="shared" ca="1" si="444"/>
        <v>Subcritical</v>
      </c>
      <c r="AO1006">
        <f t="shared" ca="1" si="445"/>
        <v>2.2562304480281055E-12</v>
      </c>
    </row>
    <row r="1007" spans="1:41" x14ac:dyDescent="0.35">
      <c r="A1007">
        <v>858</v>
      </c>
      <c r="B1007">
        <v>856.88900000000001</v>
      </c>
      <c r="C1007">
        <v>616087.20900000003</v>
      </c>
      <c r="D1007">
        <v>3097146.9210000001</v>
      </c>
      <c r="E1007">
        <v>632.13350000000003</v>
      </c>
      <c r="F1007">
        <v>5.2</v>
      </c>
      <c r="G1007">
        <v>0</v>
      </c>
      <c r="H1007" t="s">
        <v>186</v>
      </c>
      <c r="I1007">
        <v>0</v>
      </c>
      <c r="J1007">
        <f t="shared" si="446"/>
        <v>1</v>
      </c>
      <c r="K1007">
        <f t="shared" si="447"/>
        <v>51</v>
      </c>
      <c r="L1007">
        <f t="shared" ca="1" si="448"/>
        <v>51797.843837663619</v>
      </c>
      <c r="M1007">
        <f t="shared" ca="1" si="425"/>
        <v>269348.78795585083</v>
      </c>
      <c r="N1007">
        <f t="shared" ca="1" si="426"/>
        <v>2.5998694991876676</v>
      </c>
      <c r="O1007">
        <f t="shared" ca="1" si="427"/>
        <v>1.8934557080078435E-4</v>
      </c>
      <c r="P1007">
        <f t="shared" ca="1" si="428"/>
        <v>52429.977337663622</v>
      </c>
      <c r="Q1007">
        <f t="shared" ca="1" si="429"/>
        <v>52429.977337665448</v>
      </c>
      <c r="R1007">
        <f t="shared" ca="1" si="430"/>
        <v>2.2564415439646509E-12</v>
      </c>
      <c r="S1007">
        <f t="shared" ca="1" si="449"/>
        <v>4.999999946448952E-4</v>
      </c>
      <c r="T1007">
        <f t="shared" ca="1" si="450"/>
        <v>1</v>
      </c>
      <c r="U1007">
        <f t="shared" ca="1" si="431"/>
        <v>51800.26683766341</v>
      </c>
      <c r="V1007">
        <f t="shared" ca="1" si="432"/>
        <v>269361.38755584974</v>
      </c>
      <c r="W1007">
        <f t="shared" ca="1" si="433"/>
        <v>2.5998695052916441</v>
      </c>
      <c r="X1007">
        <f t="shared" ca="1" si="434"/>
        <v>1.8933671400629237E-4</v>
      </c>
      <c r="Y1007">
        <f t="shared" ca="1" si="435"/>
        <v>52432.400337663414</v>
      </c>
      <c r="Z1007">
        <f t="shared" ca="1" si="436"/>
        <v>52432.40033766524</v>
      </c>
      <c r="AA1007">
        <f t="shared" ca="1" si="437"/>
        <v>2.2562304480281055E-12</v>
      </c>
      <c r="AB1007">
        <f t="shared" ca="1" si="438"/>
        <v>-5.0000000192085281E-4</v>
      </c>
      <c r="AC1007">
        <f t="shared" ca="1" si="439"/>
        <v>1</v>
      </c>
      <c r="AD1007">
        <f ca="1">IF(V32="Supercritical",L1007,IF(V32="Subcritical",U1007,IF(AND(T1007=1,AC1007=1),IF((((F1007)*(L1007)^2)/2+(G1007)*(L1007)^3/3+(ABS(K1007)^2)/($I$5*MAX(((F1007)+(G1007)*(L1007))*(L1007),0.000001)))&gt;=(((F1007)*(U1007)^2)/2+(G1007)*(U1007)^3/3+(ABS(K1007)^2)/($I$5*MAX(((F1007)+(G1007)*(U1007))*(U1007),0.000001))),L1007,U1007),IF(T1007=1,L1007,IF(AC1007=1,U1007,MAX($D$16,POWER((ABS(K1007)^2)/($I$5*MAX(F1007,0.1)^2),1/3)))))))</f>
        <v>51800.26683766341</v>
      </c>
      <c r="AE1007">
        <f t="shared" ca="1" si="440"/>
        <v>52432.400337663414</v>
      </c>
      <c r="AF1007">
        <f t="shared" ca="1" si="441"/>
        <v>52432.40033766524</v>
      </c>
      <c r="AI1007">
        <v>0</v>
      </c>
      <c r="AJ1007">
        <v>0</v>
      </c>
      <c r="AK1007">
        <f t="shared" si="442"/>
        <v>0</v>
      </c>
      <c r="AL1007">
        <f t="shared" si="451"/>
        <v>0</v>
      </c>
      <c r="AM1007">
        <f t="shared" ca="1" si="443"/>
        <v>2.6560383008097266E-7</v>
      </c>
      <c r="AN1007" t="str">
        <f t="shared" ca="1" si="444"/>
        <v>Subcritical</v>
      </c>
      <c r="AO1007">
        <f t="shared" ca="1" si="445"/>
        <v>2.2562304480281055E-12</v>
      </c>
    </row>
    <row r="1008" spans="1:41" x14ac:dyDescent="0.35">
      <c r="A1008">
        <v>859</v>
      </c>
      <c r="B1008">
        <v>857.88900000000001</v>
      </c>
      <c r="C1008">
        <v>616087.16700000002</v>
      </c>
      <c r="D1008">
        <v>3097145.9219999998</v>
      </c>
      <c r="E1008">
        <v>632.13300000000004</v>
      </c>
      <c r="F1008">
        <v>5.2</v>
      </c>
      <c r="G1008">
        <v>0</v>
      </c>
      <c r="H1008" t="s">
        <v>186</v>
      </c>
      <c r="I1008">
        <v>0</v>
      </c>
      <c r="J1008">
        <f t="shared" si="446"/>
        <v>1</v>
      </c>
      <c r="K1008">
        <f t="shared" si="447"/>
        <v>51</v>
      </c>
      <c r="L1008">
        <f t="shared" ca="1" si="448"/>
        <v>51797.843837663619</v>
      </c>
      <c r="M1008">
        <f t="shared" ca="1" si="425"/>
        <v>269348.78795585083</v>
      </c>
      <c r="N1008">
        <f t="shared" ca="1" si="426"/>
        <v>2.5998694991876676</v>
      </c>
      <c r="O1008">
        <f t="shared" ca="1" si="427"/>
        <v>1.8934557080078435E-4</v>
      </c>
      <c r="P1008">
        <f t="shared" ca="1" si="428"/>
        <v>52429.97683766362</v>
      </c>
      <c r="Q1008">
        <f t="shared" ca="1" si="429"/>
        <v>52429.976837665447</v>
      </c>
      <c r="R1008">
        <f t="shared" ca="1" si="430"/>
        <v>2.2564415439646509E-12</v>
      </c>
      <c r="S1008">
        <f t="shared" ca="1" si="449"/>
        <v>5.0000000192085281E-4</v>
      </c>
      <c r="T1008">
        <f t="shared" ca="1" si="450"/>
        <v>1</v>
      </c>
      <c r="U1008">
        <f t="shared" ca="1" si="431"/>
        <v>51800.26683766341</v>
      </c>
      <c r="V1008">
        <f t="shared" ca="1" si="432"/>
        <v>269361.38755584974</v>
      </c>
      <c r="W1008">
        <f t="shared" ca="1" si="433"/>
        <v>2.5998695052916441</v>
      </c>
      <c r="X1008">
        <f t="shared" ca="1" si="434"/>
        <v>1.8933671400629237E-4</v>
      </c>
      <c r="Y1008">
        <f t="shared" ca="1" si="435"/>
        <v>52432.399837663412</v>
      </c>
      <c r="Z1008">
        <f t="shared" ca="1" si="436"/>
        <v>52432.399837665238</v>
      </c>
      <c r="AA1008">
        <f t="shared" ca="1" si="437"/>
        <v>2.2562304480281055E-12</v>
      </c>
      <c r="AB1008">
        <f t="shared" ca="1" si="438"/>
        <v>-5.0000000192085281E-4</v>
      </c>
      <c r="AC1008">
        <f t="shared" ca="1" si="439"/>
        <v>1</v>
      </c>
      <c r="AD1008">
        <f ca="1">IF(V32="Supercritical",L1008,IF(V32="Subcritical",U1008,IF(AND(T1008=1,AC1008=1),IF((((F1008)*(L1008)^2)/2+(G1008)*(L1008)^3/3+(ABS(K1008)^2)/($I$5*MAX(((F1008)+(G1008)*(L1008))*(L1008),0.000001)))&gt;=(((F1008)*(U1008)^2)/2+(G1008)*(U1008)^3/3+(ABS(K1008)^2)/($I$5*MAX(((F1008)+(G1008)*(U1008))*(U1008),0.000001))),L1008,U1008),IF(T1008=1,L1008,IF(AC1008=1,U1008,MAX($D$16,POWER((ABS(K1008)^2)/($I$5*MAX(F1008,0.1)^2),1/3)))))))</f>
        <v>51800.26683766341</v>
      </c>
      <c r="AE1008">
        <f t="shared" ca="1" si="440"/>
        <v>52432.399837663412</v>
      </c>
      <c r="AF1008">
        <f t="shared" ca="1" si="441"/>
        <v>52432.399837665238</v>
      </c>
      <c r="AI1008">
        <v>0</v>
      </c>
      <c r="AJ1008">
        <v>0</v>
      </c>
      <c r="AK1008">
        <f t="shared" si="442"/>
        <v>0</v>
      </c>
      <c r="AL1008">
        <f t="shared" si="451"/>
        <v>0</v>
      </c>
      <c r="AM1008">
        <f t="shared" ca="1" si="443"/>
        <v>2.6560383008097266E-7</v>
      </c>
      <c r="AN1008" t="str">
        <f t="shared" ca="1" si="444"/>
        <v>Subcritical</v>
      </c>
      <c r="AO1008">
        <f t="shared" ca="1" si="445"/>
        <v>2.2562304480281055E-12</v>
      </c>
    </row>
    <row r="1009" spans="1:41" x14ac:dyDescent="0.35">
      <c r="A1009">
        <v>860</v>
      </c>
      <c r="B1009">
        <v>858.88900000000001</v>
      </c>
      <c r="C1009">
        <v>616087.125</v>
      </c>
      <c r="D1009">
        <v>3097144.923</v>
      </c>
      <c r="E1009">
        <v>632.13250000000005</v>
      </c>
      <c r="F1009">
        <v>5.2</v>
      </c>
      <c r="G1009">
        <v>0</v>
      </c>
      <c r="H1009" t="s">
        <v>186</v>
      </c>
      <c r="I1009">
        <v>5.7000000000000002E-2</v>
      </c>
      <c r="J1009">
        <f t="shared" si="446"/>
        <v>1</v>
      </c>
      <c r="K1009">
        <f t="shared" si="447"/>
        <v>51</v>
      </c>
      <c r="L1009">
        <f t="shared" ca="1" si="448"/>
        <v>51797.843837663619</v>
      </c>
      <c r="M1009">
        <f t="shared" ca="1" si="425"/>
        <v>269348.78795585083</v>
      </c>
      <c r="N1009">
        <f t="shared" ca="1" si="426"/>
        <v>2.5998694991876676</v>
      </c>
      <c r="O1009">
        <f t="shared" ca="1" si="427"/>
        <v>1.8934557080078435E-4</v>
      </c>
      <c r="P1009">
        <f t="shared" ca="1" si="428"/>
        <v>52429.976337663618</v>
      </c>
      <c r="Q1009">
        <f t="shared" ca="1" si="429"/>
        <v>52429.976337665445</v>
      </c>
      <c r="R1009">
        <f t="shared" ca="1" si="430"/>
        <v>2.2564415439646509E-12</v>
      </c>
      <c r="S1009">
        <f t="shared" ca="1" si="449"/>
        <v>5.0000000192085281E-4</v>
      </c>
      <c r="T1009">
        <f t="shared" ca="1" si="450"/>
        <v>1</v>
      </c>
      <c r="U1009">
        <f t="shared" ca="1" si="431"/>
        <v>51800.26683766341</v>
      </c>
      <c r="V1009">
        <f t="shared" ca="1" si="432"/>
        <v>269361.38755584974</v>
      </c>
      <c r="W1009">
        <f t="shared" ca="1" si="433"/>
        <v>2.5998695052916441</v>
      </c>
      <c r="X1009">
        <f t="shared" ca="1" si="434"/>
        <v>1.8933671400629237E-4</v>
      </c>
      <c r="Y1009">
        <f t="shared" ca="1" si="435"/>
        <v>52432.39933766341</v>
      </c>
      <c r="Z1009">
        <f t="shared" ca="1" si="436"/>
        <v>52432.399337665236</v>
      </c>
      <c r="AA1009">
        <f t="shared" ca="1" si="437"/>
        <v>2.2562304480281055E-12</v>
      </c>
      <c r="AB1009">
        <f t="shared" ca="1" si="438"/>
        <v>-5.0000000192085281E-4</v>
      </c>
      <c r="AC1009">
        <f t="shared" ca="1" si="439"/>
        <v>1</v>
      </c>
      <c r="AD1009">
        <f ca="1">IF(V32="Supercritical",L1009,IF(V32="Subcritical",U1009,IF(AND(T1009=1,AC1009=1),IF((((F1009)*(L1009)^2)/2+(G1009)*(L1009)^3/3+(ABS(K1009)^2)/($I$5*MAX(((F1009)+(G1009)*(L1009))*(L1009),0.000001)))&gt;=(((F1009)*(U1009)^2)/2+(G1009)*(U1009)^3/3+(ABS(K1009)^2)/($I$5*MAX(((F1009)+(G1009)*(U1009))*(U1009),0.000001))),L1009,U1009),IF(T1009=1,L1009,IF(AC1009=1,U1009,MAX($D$16,POWER((ABS(K1009)^2)/($I$5*MAX(F1009,0.1)^2),1/3)))))))</f>
        <v>51800.26683766341</v>
      </c>
      <c r="AE1009">
        <f t="shared" ca="1" si="440"/>
        <v>52432.39933766341</v>
      </c>
      <c r="AF1009">
        <f t="shared" ca="1" si="441"/>
        <v>52432.399337665236</v>
      </c>
      <c r="AI1009">
        <v>0</v>
      </c>
      <c r="AJ1009">
        <v>0</v>
      </c>
      <c r="AK1009">
        <f t="shared" si="442"/>
        <v>0</v>
      </c>
      <c r="AL1009">
        <f t="shared" si="451"/>
        <v>0</v>
      </c>
      <c r="AM1009">
        <f t="shared" ca="1" si="443"/>
        <v>2.6560383008097266E-7</v>
      </c>
      <c r="AN1009" t="str">
        <f t="shared" ca="1" si="444"/>
        <v>Subcritical</v>
      </c>
      <c r="AO1009">
        <f t="shared" ca="1" si="445"/>
        <v>2.2562304480281055E-12</v>
      </c>
    </row>
    <row r="1010" spans="1:41" x14ac:dyDescent="0.35">
      <c r="A1010">
        <v>861</v>
      </c>
      <c r="B1010">
        <v>859.88900000000001</v>
      </c>
      <c r="C1010">
        <v>616087.08200000005</v>
      </c>
      <c r="D1010">
        <v>3097143.9240000001</v>
      </c>
      <c r="E1010">
        <v>632.13199999999995</v>
      </c>
      <c r="F1010">
        <v>5.2</v>
      </c>
      <c r="G1010">
        <v>0</v>
      </c>
      <c r="H1010" t="s">
        <v>186</v>
      </c>
      <c r="I1010">
        <v>5.7000000000000002E-2</v>
      </c>
      <c r="J1010">
        <f t="shared" si="446"/>
        <v>1</v>
      </c>
      <c r="K1010">
        <f t="shared" si="447"/>
        <v>51</v>
      </c>
      <c r="L1010">
        <f t="shared" ca="1" si="448"/>
        <v>51797.843837663619</v>
      </c>
      <c r="M1010">
        <f t="shared" ca="1" si="425"/>
        <v>269348.78795585083</v>
      </c>
      <c r="N1010">
        <f t="shared" ca="1" si="426"/>
        <v>2.5998694991876676</v>
      </c>
      <c r="O1010">
        <f t="shared" ca="1" si="427"/>
        <v>1.8934557080078435E-4</v>
      </c>
      <c r="P1010">
        <f t="shared" ca="1" si="428"/>
        <v>52429.975837663616</v>
      </c>
      <c r="Q1010">
        <f t="shared" ca="1" si="429"/>
        <v>52429.975837665443</v>
      </c>
      <c r="R1010">
        <f t="shared" ca="1" si="430"/>
        <v>2.2564415439646509E-12</v>
      </c>
      <c r="S1010">
        <f t="shared" ca="1" si="449"/>
        <v>5.0000000192085281E-4</v>
      </c>
      <c r="T1010">
        <f t="shared" ca="1" si="450"/>
        <v>1</v>
      </c>
      <c r="U1010">
        <f t="shared" ca="1" si="431"/>
        <v>51800.26683766341</v>
      </c>
      <c r="V1010">
        <f t="shared" ca="1" si="432"/>
        <v>269361.38755584974</v>
      </c>
      <c r="W1010">
        <f t="shared" ca="1" si="433"/>
        <v>2.5998695052916441</v>
      </c>
      <c r="X1010">
        <f t="shared" ca="1" si="434"/>
        <v>1.8933671400629237E-4</v>
      </c>
      <c r="Y1010">
        <f t="shared" ca="1" si="435"/>
        <v>52432.398837663408</v>
      </c>
      <c r="Z1010">
        <f t="shared" ca="1" si="436"/>
        <v>52432.398837665234</v>
      </c>
      <c r="AA1010">
        <f t="shared" ca="1" si="437"/>
        <v>2.2562304480281055E-12</v>
      </c>
      <c r="AB1010">
        <f t="shared" ca="1" si="438"/>
        <v>-4.999999946448952E-4</v>
      </c>
      <c r="AC1010">
        <f t="shared" ca="1" si="439"/>
        <v>1</v>
      </c>
      <c r="AD1010">
        <f ca="1">IF(V32="Supercritical",L1010,IF(V32="Subcritical",U1010,IF(AND(T1010=1,AC1010=1),IF((((F1010)*(L1010)^2)/2+(G1010)*(L1010)^3/3+(ABS(K1010)^2)/($I$5*MAX(((F1010)+(G1010)*(L1010))*(L1010),0.000001)))&gt;=(((F1010)*(U1010)^2)/2+(G1010)*(U1010)^3/3+(ABS(K1010)^2)/($I$5*MAX(((F1010)+(G1010)*(U1010))*(U1010),0.000001))),L1010,U1010),IF(T1010=1,L1010,IF(AC1010=1,U1010,MAX($D$16,POWER((ABS(K1010)^2)/($I$5*MAX(F1010,0.1)^2),1/3)))))))</f>
        <v>51800.26683766341</v>
      </c>
      <c r="AE1010">
        <f t="shared" ca="1" si="440"/>
        <v>52432.398837663408</v>
      </c>
      <c r="AF1010">
        <f t="shared" ca="1" si="441"/>
        <v>52432.398837665234</v>
      </c>
      <c r="AI1010">
        <v>0</v>
      </c>
      <c r="AJ1010">
        <v>0</v>
      </c>
      <c r="AK1010">
        <f t="shared" si="442"/>
        <v>0</v>
      </c>
      <c r="AL1010">
        <f t="shared" si="451"/>
        <v>0</v>
      </c>
      <c r="AM1010">
        <f t="shared" ca="1" si="443"/>
        <v>2.6560383008097266E-7</v>
      </c>
      <c r="AN1010" t="str">
        <f t="shared" ca="1" si="444"/>
        <v>Subcritical</v>
      </c>
      <c r="AO1010">
        <f t="shared" ca="1" si="445"/>
        <v>2.2562304480281055E-12</v>
      </c>
    </row>
    <row r="1011" spans="1:41" x14ac:dyDescent="0.35">
      <c r="A1011">
        <v>862</v>
      </c>
      <c r="B1011">
        <v>860.88900000000001</v>
      </c>
      <c r="C1011">
        <v>616087.04000000004</v>
      </c>
      <c r="D1011">
        <v>3097142.9249999998</v>
      </c>
      <c r="E1011">
        <v>632.13149999999996</v>
      </c>
      <c r="F1011">
        <v>5.2</v>
      </c>
      <c r="G1011">
        <v>0</v>
      </c>
      <c r="H1011" t="s">
        <v>186</v>
      </c>
      <c r="I1011">
        <v>2E-3</v>
      </c>
      <c r="J1011">
        <f t="shared" si="446"/>
        <v>1</v>
      </c>
      <c r="K1011">
        <f t="shared" si="447"/>
        <v>51</v>
      </c>
      <c r="L1011">
        <f t="shared" ca="1" si="448"/>
        <v>51797.843837663619</v>
      </c>
      <c r="M1011">
        <f t="shared" ca="1" si="425"/>
        <v>269348.78795585083</v>
      </c>
      <c r="N1011">
        <f t="shared" ca="1" si="426"/>
        <v>2.5998694991876676</v>
      </c>
      <c r="O1011">
        <f t="shared" ca="1" si="427"/>
        <v>1.8934557080078435E-4</v>
      </c>
      <c r="P1011">
        <f t="shared" ca="1" si="428"/>
        <v>52429.975337663622</v>
      </c>
      <c r="Q1011">
        <f t="shared" ca="1" si="429"/>
        <v>52429.975337665448</v>
      </c>
      <c r="R1011">
        <f t="shared" ca="1" si="430"/>
        <v>2.2564415439646509E-12</v>
      </c>
      <c r="S1011">
        <f t="shared" ca="1" si="449"/>
        <v>4.999999946448952E-4</v>
      </c>
      <c r="T1011">
        <f t="shared" ca="1" si="450"/>
        <v>1</v>
      </c>
      <c r="U1011">
        <f t="shared" ca="1" si="431"/>
        <v>51800.26683766341</v>
      </c>
      <c r="V1011">
        <f t="shared" ca="1" si="432"/>
        <v>269361.38755584974</v>
      </c>
      <c r="W1011">
        <f t="shared" ca="1" si="433"/>
        <v>2.5998695052916441</v>
      </c>
      <c r="X1011">
        <f t="shared" ca="1" si="434"/>
        <v>1.8933671400629237E-4</v>
      </c>
      <c r="Y1011">
        <f t="shared" ca="1" si="435"/>
        <v>52432.398337663413</v>
      </c>
      <c r="Z1011">
        <f t="shared" ca="1" si="436"/>
        <v>52432.39833766524</v>
      </c>
      <c r="AA1011">
        <f t="shared" ca="1" si="437"/>
        <v>2.2562304480281055E-12</v>
      </c>
      <c r="AB1011">
        <f t="shared" ca="1" si="438"/>
        <v>-5.0000000192085281E-4</v>
      </c>
      <c r="AC1011">
        <f t="shared" ca="1" si="439"/>
        <v>1</v>
      </c>
      <c r="AD1011">
        <f ca="1">IF(V32="Supercritical",L1011,IF(V32="Subcritical",U1011,IF(AND(T1011=1,AC1011=1),IF((((F1011)*(L1011)^2)/2+(G1011)*(L1011)^3/3+(ABS(K1011)^2)/($I$5*MAX(((F1011)+(G1011)*(L1011))*(L1011),0.000001)))&gt;=(((F1011)*(U1011)^2)/2+(G1011)*(U1011)^3/3+(ABS(K1011)^2)/($I$5*MAX(((F1011)+(G1011)*(U1011))*(U1011),0.000001))),L1011,U1011),IF(T1011=1,L1011,IF(AC1011=1,U1011,MAX($D$16,POWER((ABS(K1011)^2)/($I$5*MAX(F1011,0.1)^2),1/3)))))))</f>
        <v>51800.26683766341</v>
      </c>
      <c r="AE1011">
        <f t="shared" ca="1" si="440"/>
        <v>52432.398337663413</v>
      </c>
      <c r="AF1011">
        <f t="shared" ca="1" si="441"/>
        <v>52432.39833766524</v>
      </c>
      <c r="AI1011">
        <v>0</v>
      </c>
      <c r="AJ1011">
        <v>0</v>
      </c>
      <c r="AK1011">
        <f t="shared" si="442"/>
        <v>0</v>
      </c>
      <c r="AL1011">
        <f t="shared" si="451"/>
        <v>0</v>
      </c>
      <c r="AM1011">
        <f t="shared" ca="1" si="443"/>
        <v>2.6560383008097266E-7</v>
      </c>
      <c r="AN1011" t="str">
        <f t="shared" ca="1" si="444"/>
        <v>Subcritical</v>
      </c>
      <c r="AO1011">
        <f t="shared" ca="1" si="445"/>
        <v>2.2562304480281055E-12</v>
      </c>
    </row>
    <row r="1012" spans="1:41" x14ac:dyDescent="0.35">
      <c r="A1012">
        <v>863</v>
      </c>
      <c r="B1012">
        <v>861.89</v>
      </c>
      <c r="C1012">
        <v>616086.99800000002</v>
      </c>
      <c r="D1012">
        <v>3097141.9249999998</v>
      </c>
      <c r="E1012">
        <v>632.13099999999997</v>
      </c>
      <c r="F1012">
        <v>5.2</v>
      </c>
      <c r="G1012">
        <v>0</v>
      </c>
      <c r="H1012" t="s">
        <v>186</v>
      </c>
      <c r="I1012">
        <v>2E-3</v>
      </c>
      <c r="J1012">
        <f t="shared" si="446"/>
        <v>1.0009999999999764</v>
      </c>
      <c r="K1012">
        <f t="shared" si="447"/>
        <v>51</v>
      </c>
      <c r="L1012">
        <f t="shared" ca="1" si="448"/>
        <v>51797.843837663619</v>
      </c>
      <c r="M1012">
        <f t="shared" ca="1" si="425"/>
        <v>269348.78795585083</v>
      </c>
      <c r="N1012">
        <f t="shared" ca="1" si="426"/>
        <v>2.5998694991876676</v>
      </c>
      <c r="O1012">
        <f t="shared" ca="1" si="427"/>
        <v>1.8934557080078435E-4</v>
      </c>
      <c r="P1012">
        <f t="shared" ca="1" si="428"/>
        <v>52429.97483766362</v>
      </c>
      <c r="Q1012">
        <f t="shared" ca="1" si="429"/>
        <v>52429.974837665446</v>
      </c>
      <c r="R1012">
        <f t="shared" ca="1" si="430"/>
        <v>2.2564415439646509E-12</v>
      </c>
      <c r="S1012">
        <f t="shared" ca="1" si="449"/>
        <v>5.0000000192085281E-4</v>
      </c>
      <c r="T1012">
        <f t="shared" ca="1" si="450"/>
        <v>1</v>
      </c>
      <c r="U1012">
        <f t="shared" ca="1" si="431"/>
        <v>51800.26683766341</v>
      </c>
      <c r="V1012">
        <f t="shared" ca="1" si="432"/>
        <v>269361.38755584974</v>
      </c>
      <c r="W1012">
        <f t="shared" ca="1" si="433"/>
        <v>2.5998695052916441</v>
      </c>
      <c r="X1012">
        <f t="shared" ca="1" si="434"/>
        <v>1.8933671400629237E-4</v>
      </c>
      <c r="Y1012">
        <f t="shared" ca="1" si="435"/>
        <v>52432.397837663411</v>
      </c>
      <c r="Z1012">
        <f t="shared" ca="1" si="436"/>
        <v>52432.397837665238</v>
      </c>
      <c r="AA1012">
        <f t="shared" ca="1" si="437"/>
        <v>2.2562304480281055E-12</v>
      </c>
      <c r="AB1012">
        <f t="shared" ca="1" si="438"/>
        <v>-5.0000000192085281E-4</v>
      </c>
      <c r="AC1012">
        <f t="shared" ca="1" si="439"/>
        <v>1</v>
      </c>
      <c r="AD1012">
        <f ca="1">IF(V32="Supercritical",L1012,IF(V32="Subcritical",U1012,IF(AND(T1012=1,AC1012=1),IF((((F1012)*(L1012)^2)/2+(G1012)*(L1012)^3/3+(ABS(K1012)^2)/($I$5*MAX(((F1012)+(G1012)*(L1012))*(L1012),0.000001)))&gt;=(((F1012)*(U1012)^2)/2+(G1012)*(U1012)^3/3+(ABS(K1012)^2)/($I$5*MAX(((F1012)+(G1012)*(U1012))*(U1012),0.000001))),L1012,U1012),IF(T1012=1,L1012,IF(AC1012=1,U1012,MAX($D$16,POWER((ABS(K1012)^2)/($I$5*MAX(F1012,0.1)^2),1/3)))))))</f>
        <v>51800.26683766341</v>
      </c>
      <c r="AE1012">
        <f t="shared" ca="1" si="440"/>
        <v>52432.397837663411</v>
      </c>
      <c r="AF1012">
        <f t="shared" ca="1" si="441"/>
        <v>52432.397837665238</v>
      </c>
      <c r="AI1012">
        <v>0</v>
      </c>
      <c r="AJ1012">
        <v>0</v>
      </c>
      <c r="AK1012">
        <f t="shared" si="442"/>
        <v>0</v>
      </c>
      <c r="AL1012">
        <f t="shared" si="451"/>
        <v>0</v>
      </c>
      <c r="AM1012">
        <f t="shared" ca="1" si="443"/>
        <v>2.6560383008097266E-7</v>
      </c>
      <c r="AN1012" t="str">
        <f t="shared" ca="1" si="444"/>
        <v>Subcritical</v>
      </c>
      <c r="AO1012">
        <f t="shared" ca="1" si="445"/>
        <v>2.2562304480281055E-12</v>
      </c>
    </row>
    <row r="1013" spans="1:41" x14ac:dyDescent="0.35">
      <c r="A1013">
        <v>864</v>
      </c>
      <c r="B1013">
        <v>862.89</v>
      </c>
      <c r="C1013">
        <v>616086.95600000001</v>
      </c>
      <c r="D1013">
        <v>3097140.926</v>
      </c>
      <c r="E1013">
        <v>632.13049999999998</v>
      </c>
      <c r="F1013">
        <v>5.2</v>
      </c>
      <c r="G1013">
        <v>0</v>
      </c>
      <c r="H1013" t="s">
        <v>186</v>
      </c>
      <c r="I1013">
        <v>5.7000000000000002E-2</v>
      </c>
      <c r="J1013">
        <f t="shared" si="446"/>
        <v>1</v>
      </c>
      <c r="K1013">
        <f t="shared" si="447"/>
        <v>51</v>
      </c>
      <c r="L1013">
        <f t="shared" ca="1" si="448"/>
        <v>51797.843837663619</v>
      </c>
      <c r="M1013">
        <f t="shared" ca="1" si="425"/>
        <v>269348.78795585083</v>
      </c>
      <c r="N1013">
        <f t="shared" ca="1" si="426"/>
        <v>2.5998694991876676</v>
      </c>
      <c r="O1013">
        <f t="shared" ca="1" si="427"/>
        <v>1.8934557080078435E-4</v>
      </c>
      <c r="P1013">
        <f t="shared" ca="1" si="428"/>
        <v>52429.974337663618</v>
      </c>
      <c r="Q1013">
        <f t="shared" ca="1" si="429"/>
        <v>52429.974337665444</v>
      </c>
      <c r="R1013">
        <f t="shared" ca="1" si="430"/>
        <v>2.2564415439646509E-12</v>
      </c>
      <c r="S1013">
        <f t="shared" ca="1" si="449"/>
        <v>5.0000000192085281E-4</v>
      </c>
      <c r="T1013">
        <f t="shared" ca="1" si="450"/>
        <v>1</v>
      </c>
      <c r="U1013">
        <f t="shared" ca="1" si="431"/>
        <v>51800.26683766341</v>
      </c>
      <c r="V1013">
        <f t="shared" ca="1" si="432"/>
        <v>269361.38755584974</v>
      </c>
      <c r="W1013">
        <f t="shared" ca="1" si="433"/>
        <v>2.5998695052916441</v>
      </c>
      <c r="X1013">
        <f t="shared" ca="1" si="434"/>
        <v>1.8933671400629237E-4</v>
      </c>
      <c r="Y1013">
        <f t="shared" ca="1" si="435"/>
        <v>52432.397337663409</v>
      </c>
      <c r="Z1013">
        <f t="shared" ca="1" si="436"/>
        <v>52432.397337665236</v>
      </c>
      <c r="AA1013">
        <f t="shared" ca="1" si="437"/>
        <v>2.2562304480281055E-12</v>
      </c>
      <c r="AB1013">
        <f t="shared" ca="1" si="438"/>
        <v>-5.0000000192085281E-4</v>
      </c>
      <c r="AC1013">
        <f t="shared" ca="1" si="439"/>
        <v>1</v>
      </c>
      <c r="AD1013">
        <f ca="1">IF(V32="Supercritical",L1013,IF(V32="Subcritical",U1013,IF(AND(T1013=1,AC1013=1),IF((((F1013)*(L1013)^2)/2+(G1013)*(L1013)^3/3+(ABS(K1013)^2)/($I$5*MAX(((F1013)+(G1013)*(L1013))*(L1013),0.000001)))&gt;=(((F1013)*(U1013)^2)/2+(G1013)*(U1013)^3/3+(ABS(K1013)^2)/($I$5*MAX(((F1013)+(G1013)*(U1013))*(U1013),0.000001))),L1013,U1013),IF(T1013=1,L1013,IF(AC1013=1,U1013,MAX($D$16,POWER((ABS(K1013)^2)/($I$5*MAX(F1013,0.1)^2),1/3)))))))</f>
        <v>51800.26683766341</v>
      </c>
      <c r="AE1013">
        <f t="shared" ca="1" si="440"/>
        <v>52432.397337663409</v>
      </c>
      <c r="AF1013">
        <f t="shared" ca="1" si="441"/>
        <v>52432.397337665236</v>
      </c>
      <c r="AI1013">
        <v>0</v>
      </c>
      <c r="AJ1013">
        <v>0</v>
      </c>
      <c r="AK1013">
        <f t="shared" si="442"/>
        <v>0</v>
      </c>
      <c r="AL1013">
        <f t="shared" si="451"/>
        <v>0</v>
      </c>
      <c r="AM1013">
        <f t="shared" ca="1" si="443"/>
        <v>2.6560383008097266E-7</v>
      </c>
      <c r="AN1013" t="str">
        <f t="shared" ca="1" si="444"/>
        <v>Subcritical</v>
      </c>
      <c r="AO1013">
        <f t="shared" ca="1" si="445"/>
        <v>2.2562304480281055E-12</v>
      </c>
    </row>
    <row r="1014" spans="1:41" x14ac:dyDescent="0.35">
      <c r="A1014">
        <v>865</v>
      </c>
      <c r="B1014">
        <v>863.89</v>
      </c>
      <c r="C1014">
        <v>616086.91299999994</v>
      </c>
      <c r="D1014">
        <v>3097139.9270000001</v>
      </c>
      <c r="E1014">
        <v>632.13</v>
      </c>
      <c r="F1014">
        <v>5.2</v>
      </c>
      <c r="G1014">
        <v>0</v>
      </c>
      <c r="H1014" t="s">
        <v>186</v>
      </c>
      <c r="I1014">
        <v>5.7000000000000002E-2</v>
      </c>
      <c r="J1014">
        <f t="shared" si="446"/>
        <v>1</v>
      </c>
      <c r="K1014">
        <f t="shared" si="447"/>
        <v>51</v>
      </c>
      <c r="L1014">
        <f t="shared" ca="1" si="448"/>
        <v>51797.843837663619</v>
      </c>
      <c r="M1014">
        <f t="shared" ca="1" si="425"/>
        <v>269348.78795585083</v>
      </c>
      <c r="N1014">
        <f t="shared" ca="1" si="426"/>
        <v>2.5998694991876676</v>
      </c>
      <c r="O1014">
        <f t="shared" ca="1" si="427"/>
        <v>1.8934557080078435E-4</v>
      </c>
      <c r="P1014">
        <f t="shared" ca="1" si="428"/>
        <v>52429.973837663616</v>
      </c>
      <c r="Q1014">
        <f t="shared" ca="1" si="429"/>
        <v>52429.973837665442</v>
      </c>
      <c r="R1014">
        <f t="shared" ca="1" si="430"/>
        <v>2.2564415439646509E-12</v>
      </c>
      <c r="S1014">
        <f t="shared" ca="1" si="449"/>
        <v>5.0000000192085281E-4</v>
      </c>
      <c r="T1014">
        <f t="shared" ca="1" si="450"/>
        <v>1</v>
      </c>
      <c r="U1014">
        <f t="shared" ca="1" si="431"/>
        <v>51800.26683766341</v>
      </c>
      <c r="V1014">
        <f t="shared" ca="1" si="432"/>
        <v>269361.38755584974</v>
      </c>
      <c r="W1014">
        <f t="shared" ca="1" si="433"/>
        <v>2.5998695052916441</v>
      </c>
      <c r="X1014">
        <f t="shared" ca="1" si="434"/>
        <v>1.8933671400629237E-4</v>
      </c>
      <c r="Y1014">
        <f t="shared" ca="1" si="435"/>
        <v>52432.396837663407</v>
      </c>
      <c r="Z1014">
        <f t="shared" ca="1" si="436"/>
        <v>52432.396837665234</v>
      </c>
      <c r="AA1014">
        <f t="shared" ca="1" si="437"/>
        <v>2.2562304480281055E-12</v>
      </c>
      <c r="AB1014">
        <f t="shared" ca="1" si="438"/>
        <v>-4.999999946448952E-4</v>
      </c>
      <c r="AC1014">
        <f t="shared" ca="1" si="439"/>
        <v>1</v>
      </c>
      <c r="AD1014">
        <f ca="1">IF(V32="Supercritical",L1014,IF(V32="Subcritical",U1014,IF(AND(T1014=1,AC1014=1),IF((((F1014)*(L1014)^2)/2+(G1014)*(L1014)^3/3+(ABS(K1014)^2)/($I$5*MAX(((F1014)+(G1014)*(L1014))*(L1014),0.000001)))&gt;=(((F1014)*(U1014)^2)/2+(G1014)*(U1014)^3/3+(ABS(K1014)^2)/($I$5*MAX(((F1014)+(G1014)*(U1014))*(U1014),0.000001))),L1014,U1014),IF(T1014=1,L1014,IF(AC1014=1,U1014,MAX($D$16,POWER((ABS(K1014)^2)/($I$5*MAX(F1014,0.1)^2),1/3)))))))</f>
        <v>51800.26683766341</v>
      </c>
      <c r="AE1014">
        <f t="shared" ca="1" si="440"/>
        <v>52432.396837663407</v>
      </c>
      <c r="AF1014">
        <f t="shared" ca="1" si="441"/>
        <v>52432.396837665234</v>
      </c>
      <c r="AI1014">
        <v>0</v>
      </c>
      <c r="AJ1014">
        <v>0</v>
      </c>
      <c r="AK1014">
        <f t="shared" si="442"/>
        <v>0</v>
      </c>
      <c r="AL1014">
        <f t="shared" si="451"/>
        <v>0</v>
      </c>
      <c r="AM1014">
        <f t="shared" ca="1" si="443"/>
        <v>2.6560383008097266E-7</v>
      </c>
      <c r="AN1014" t="str">
        <f t="shared" ca="1" si="444"/>
        <v>Subcritical</v>
      </c>
      <c r="AO1014">
        <f t="shared" ca="1" si="445"/>
        <v>2.2562304480281055E-12</v>
      </c>
    </row>
    <row r="1015" spans="1:41" x14ac:dyDescent="0.35">
      <c r="A1015">
        <v>866</v>
      </c>
      <c r="B1015">
        <v>864.88900000000001</v>
      </c>
      <c r="C1015">
        <v>616086.87100000004</v>
      </c>
      <c r="D1015">
        <v>3097138.9279999998</v>
      </c>
      <c r="E1015">
        <v>632.12950000000001</v>
      </c>
      <c r="F1015">
        <v>5.2</v>
      </c>
      <c r="G1015">
        <v>0</v>
      </c>
      <c r="H1015" t="s">
        <v>186</v>
      </c>
      <c r="I1015">
        <v>0</v>
      </c>
      <c r="J1015">
        <f t="shared" si="446"/>
        <v>0.99900000000002365</v>
      </c>
      <c r="K1015">
        <f t="shared" si="447"/>
        <v>51</v>
      </c>
      <c r="L1015">
        <f t="shared" ca="1" si="448"/>
        <v>51797.843837663619</v>
      </c>
      <c r="M1015">
        <f t="shared" ca="1" si="425"/>
        <v>269348.78795585083</v>
      </c>
      <c r="N1015">
        <f t="shared" ca="1" si="426"/>
        <v>2.5998694991876676</v>
      </c>
      <c r="O1015">
        <f t="shared" ca="1" si="427"/>
        <v>1.8934557080078435E-4</v>
      </c>
      <c r="P1015">
        <f t="shared" ca="1" si="428"/>
        <v>52429.973337663621</v>
      </c>
      <c r="Q1015">
        <f t="shared" ca="1" si="429"/>
        <v>52429.973337665448</v>
      </c>
      <c r="R1015">
        <f t="shared" ca="1" si="430"/>
        <v>2.2564415439646509E-12</v>
      </c>
      <c r="S1015">
        <f t="shared" ca="1" si="449"/>
        <v>4.999999946448952E-4</v>
      </c>
      <c r="T1015">
        <f t="shared" ca="1" si="450"/>
        <v>1</v>
      </c>
      <c r="U1015">
        <f t="shared" ca="1" si="431"/>
        <v>51800.26683766341</v>
      </c>
      <c r="V1015">
        <f t="shared" ca="1" si="432"/>
        <v>269361.38755584974</v>
      </c>
      <c r="W1015">
        <f t="shared" ca="1" si="433"/>
        <v>2.5998695052916441</v>
      </c>
      <c r="X1015">
        <f t="shared" ca="1" si="434"/>
        <v>1.8933671400629237E-4</v>
      </c>
      <c r="Y1015">
        <f t="shared" ca="1" si="435"/>
        <v>52432.396337663413</v>
      </c>
      <c r="Z1015">
        <f t="shared" ca="1" si="436"/>
        <v>52432.396337665239</v>
      </c>
      <c r="AA1015">
        <f t="shared" ca="1" si="437"/>
        <v>2.2562304480281055E-12</v>
      </c>
      <c r="AB1015">
        <f t="shared" ca="1" si="438"/>
        <v>-5.0000000192085281E-4</v>
      </c>
      <c r="AC1015">
        <f t="shared" ca="1" si="439"/>
        <v>1</v>
      </c>
      <c r="AD1015">
        <f ca="1">IF(V32="Supercritical",L1015,IF(V32="Subcritical",U1015,IF(AND(T1015=1,AC1015=1),IF((((F1015)*(L1015)^2)/2+(G1015)*(L1015)^3/3+(ABS(K1015)^2)/($I$5*MAX(((F1015)+(G1015)*(L1015))*(L1015),0.000001)))&gt;=(((F1015)*(U1015)^2)/2+(G1015)*(U1015)^3/3+(ABS(K1015)^2)/($I$5*MAX(((F1015)+(G1015)*(U1015))*(U1015),0.000001))),L1015,U1015),IF(T1015=1,L1015,IF(AC1015=1,U1015,MAX($D$16,POWER((ABS(K1015)^2)/($I$5*MAX(F1015,0.1)^2),1/3)))))))</f>
        <v>51800.26683766341</v>
      </c>
      <c r="AE1015">
        <f t="shared" ca="1" si="440"/>
        <v>52432.396337663413</v>
      </c>
      <c r="AF1015">
        <f t="shared" ca="1" si="441"/>
        <v>52432.396337665239</v>
      </c>
      <c r="AI1015">
        <v>0</v>
      </c>
      <c r="AJ1015">
        <v>0</v>
      </c>
      <c r="AK1015">
        <f t="shared" si="442"/>
        <v>0</v>
      </c>
      <c r="AL1015">
        <f t="shared" si="451"/>
        <v>0</v>
      </c>
      <c r="AM1015">
        <f t="shared" ca="1" si="443"/>
        <v>2.6560383008097266E-7</v>
      </c>
      <c r="AN1015" t="str">
        <f t="shared" ca="1" si="444"/>
        <v>Subcritical</v>
      </c>
      <c r="AO1015">
        <f t="shared" ca="1" si="445"/>
        <v>2.2562304480281055E-12</v>
      </c>
    </row>
    <row r="1016" spans="1:41" x14ac:dyDescent="0.35">
      <c r="A1016">
        <v>867</v>
      </c>
      <c r="B1016">
        <v>865.88900000000001</v>
      </c>
      <c r="C1016">
        <v>616086.82900000003</v>
      </c>
      <c r="D1016">
        <v>3097137.929</v>
      </c>
      <c r="E1016">
        <v>632.12900000000002</v>
      </c>
      <c r="F1016">
        <v>5.2</v>
      </c>
      <c r="G1016">
        <v>0</v>
      </c>
      <c r="H1016" t="s">
        <v>186</v>
      </c>
      <c r="I1016">
        <v>5.7000000000000002E-2</v>
      </c>
      <c r="J1016">
        <f t="shared" si="446"/>
        <v>1</v>
      </c>
      <c r="K1016">
        <f t="shared" si="447"/>
        <v>51</v>
      </c>
      <c r="L1016">
        <f t="shared" ca="1" si="448"/>
        <v>51797.843837663619</v>
      </c>
      <c r="M1016">
        <f t="shared" ca="1" si="425"/>
        <v>269348.78795585083</v>
      </c>
      <c r="N1016">
        <f t="shared" ca="1" si="426"/>
        <v>2.5998694991876676</v>
      </c>
      <c r="O1016">
        <f t="shared" ca="1" si="427"/>
        <v>1.8934557080078435E-4</v>
      </c>
      <c r="P1016">
        <f t="shared" ca="1" si="428"/>
        <v>52429.972837663619</v>
      </c>
      <c r="Q1016">
        <f t="shared" ca="1" si="429"/>
        <v>52429.972837665446</v>
      </c>
      <c r="R1016">
        <f t="shared" ca="1" si="430"/>
        <v>2.2564415439646509E-12</v>
      </c>
      <c r="S1016">
        <f t="shared" ca="1" si="449"/>
        <v>5.0000000192085281E-4</v>
      </c>
      <c r="T1016">
        <f t="shared" ca="1" si="450"/>
        <v>1</v>
      </c>
      <c r="U1016">
        <f t="shared" ca="1" si="431"/>
        <v>51800.26683766341</v>
      </c>
      <c r="V1016">
        <f t="shared" ca="1" si="432"/>
        <v>269361.38755584974</v>
      </c>
      <c r="W1016">
        <f t="shared" ca="1" si="433"/>
        <v>2.5998695052916441</v>
      </c>
      <c r="X1016">
        <f t="shared" ca="1" si="434"/>
        <v>1.8933671400629237E-4</v>
      </c>
      <c r="Y1016">
        <f t="shared" ca="1" si="435"/>
        <v>52432.395837663411</v>
      </c>
      <c r="Z1016">
        <f t="shared" ca="1" si="436"/>
        <v>52432.395837665237</v>
      </c>
      <c r="AA1016">
        <f t="shared" ca="1" si="437"/>
        <v>2.2562304480281055E-12</v>
      </c>
      <c r="AB1016">
        <f t="shared" ca="1" si="438"/>
        <v>-5.0000000192085281E-4</v>
      </c>
      <c r="AC1016">
        <f t="shared" ca="1" si="439"/>
        <v>1</v>
      </c>
      <c r="AD1016">
        <f ca="1">IF(V32="Supercritical",L1016,IF(V32="Subcritical",U1016,IF(AND(T1016=1,AC1016=1),IF((((F1016)*(L1016)^2)/2+(G1016)*(L1016)^3/3+(ABS(K1016)^2)/($I$5*MAX(((F1016)+(G1016)*(L1016))*(L1016),0.000001)))&gt;=(((F1016)*(U1016)^2)/2+(G1016)*(U1016)^3/3+(ABS(K1016)^2)/($I$5*MAX(((F1016)+(G1016)*(U1016))*(U1016),0.000001))),L1016,U1016),IF(T1016=1,L1016,IF(AC1016=1,U1016,MAX($D$16,POWER((ABS(K1016)^2)/($I$5*MAX(F1016,0.1)^2),1/3)))))))</f>
        <v>51800.26683766341</v>
      </c>
      <c r="AE1016">
        <f t="shared" ca="1" si="440"/>
        <v>52432.395837663411</v>
      </c>
      <c r="AF1016">
        <f t="shared" ca="1" si="441"/>
        <v>52432.395837665237</v>
      </c>
      <c r="AI1016">
        <v>0</v>
      </c>
      <c r="AJ1016">
        <v>0</v>
      </c>
      <c r="AK1016">
        <f t="shared" si="442"/>
        <v>0</v>
      </c>
      <c r="AL1016">
        <f t="shared" si="451"/>
        <v>0</v>
      </c>
      <c r="AM1016">
        <f t="shared" ca="1" si="443"/>
        <v>2.6560383008097266E-7</v>
      </c>
      <c r="AN1016" t="str">
        <f t="shared" ca="1" si="444"/>
        <v>Subcritical</v>
      </c>
      <c r="AO1016">
        <f t="shared" ca="1" si="445"/>
        <v>2.2562304480281055E-12</v>
      </c>
    </row>
    <row r="1017" spans="1:41" x14ac:dyDescent="0.35">
      <c r="A1017">
        <v>868</v>
      </c>
      <c r="B1017">
        <v>866.88900000000001</v>
      </c>
      <c r="C1017">
        <v>616086.78599999996</v>
      </c>
      <c r="D1017">
        <v>3097136.93</v>
      </c>
      <c r="E1017">
        <v>632.12850000000003</v>
      </c>
      <c r="F1017">
        <v>5.2</v>
      </c>
      <c r="G1017">
        <v>0</v>
      </c>
      <c r="H1017" t="s">
        <v>186</v>
      </c>
      <c r="I1017">
        <v>5.7000000000000002E-2</v>
      </c>
      <c r="J1017">
        <f t="shared" si="446"/>
        <v>1</v>
      </c>
      <c r="K1017">
        <f t="shared" si="447"/>
        <v>51</v>
      </c>
      <c r="L1017">
        <f t="shared" ca="1" si="448"/>
        <v>51797.843837663619</v>
      </c>
      <c r="M1017">
        <f t="shared" ca="1" si="425"/>
        <v>269348.78795585083</v>
      </c>
      <c r="N1017">
        <f t="shared" ca="1" si="426"/>
        <v>2.5998694991876676</v>
      </c>
      <c r="O1017">
        <f t="shared" ca="1" si="427"/>
        <v>1.8934557080078435E-4</v>
      </c>
      <c r="P1017">
        <f t="shared" ca="1" si="428"/>
        <v>52429.972337663618</v>
      </c>
      <c r="Q1017">
        <f t="shared" ca="1" si="429"/>
        <v>52429.972337665444</v>
      </c>
      <c r="R1017">
        <f t="shared" ca="1" si="430"/>
        <v>2.2564415439646509E-12</v>
      </c>
      <c r="S1017">
        <f t="shared" ca="1" si="449"/>
        <v>5.0000000192085281E-4</v>
      </c>
      <c r="T1017">
        <f t="shared" ca="1" si="450"/>
        <v>1</v>
      </c>
      <c r="U1017">
        <f t="shared" ca="1" si="431"/>
        <v>51800.26683766341</v>
      </c>
      <c r="V1017">
        <f t="shared" ca="1" si="432"/>
        <v>269361.38755584974</v>
      </c>
      <c r="W1017">
        <f t="shared" ca="1" si="433"/>
        <v>2.5998695052916441</v>
      </c>
      <c r="X1017">
        <f t="shared" ca="1" si="434"/>
        <v>1.8933671400629237E-4</v>
      </c>
      <c r="Y1017">
        <f t="shared" ca="1" si="435"/>
        <v>52432.395337663409</v>
      </c>
      <c r="Z1017">
        <f t="shared" ca="1" si="436"/>
        <v>52432.395337665235</v>
      </c>
      <c r="AA1017">
        <f t="shared" ca="1" si="437"/>
        <v>2.2562304480281055E-12</v>
      </c>
      <c r="AB1017">
        <f t="shared" ca="1" si="438"/>
        <v>-5.0000000192085281E-4</v>
      </c>
      <c r="AC1017">
        <f t="shared" ca="1" si="439"/>
        <v>1</v>
      </c>
      <c r="AD1017">
        <f ca="1">IF(V32="Supercritical",L1017,IF(V32="Subcritical",U1017,IF(AND(T1017=1,AC1017=1),IF((((F1017)*(L1017)^2)/2+(G1017)*(L1017)^3/3+(ABS(K1017)^2)/($I$5*MAX(((F1017)+(G1017)*(L1017))*(L1017),0.000001)))&gt;=(((F1017)*(U1017)^2)/2+(G1017)*(U1017)^3/3+(ABS(K1017)^2)/($I$5*MAX(((F1017)+(G1017)*(U1017))*(U1017),0.000001))),L1017,U1017),IF(T1017=1,L1017,IF(AC1017=1,U1017,MAX($D$16,POWER((ABS(K1017)^2)/($I$5*MAX(F1017,0.1)^2),1/3)))))))</f>
        <v>51800.26683766341</v>
      </c>
      <c r="AE1017">
        <f t="shared" ca="1" si="440"/>
        <v>52432.395337663409</v>
      </c>
      <c r="AF1017">
        <f t="shared" ca="1" si="441"/>
        <v>52432.395337665235</v>
      </c>
      <c r="AI1017">
        <v>0</v>
      </c>
      <c r="AJ1017">
        <v>0</v>
      </c>
      <c r="AK1017">
        <f t="shared" si="442"/>
        <v>0</v>
      </c>
      <c r="AL1017">
        <f t="shared" si="451"/>
        <v>0</v>
      </c>
      <c r="AM1017">
        <f t="shared" ca="1" si="443"/>
        <v>2.6560383008097266E-7</v>
      </c>
      <c r="AN1017" t="str">
        <f t="shared" ca="1" si="444"/>
        <v>Subcritical</v>
      </c>
      <c r="AO1017">
        <f t="shared" ca="1" si="445"/>
        <v>2.2562304480281055E-12</v>
      </c>
    </row>
    <row r="1018" spans="1:41" x14ac:dyDescent="0.35">
      <c r="A1018">
        <v>869</v>
      </c>
      <c r="B1018">
        <v>867.88900000000001</v>
      </c>
      <c r="C1018">
        <v>616086.74399999995</v>
      </c>
      <c r="D1018">
        <v>3097135.9309999999</v>
      </c>
      <c r="E1018">
        <v>632.12800000000004</v>
      </c>
      <c r="F1018">
        <v>5.2</v>
      </c>
      <c r="G1018">
        <v>0</v>
      </c>
      <c r="H1018" t="s">
        <v>186</v>
      </c>
      <c r="I1018">
        <v>0</v>
      </c>
      <c r="J1018">
        <f t="shared" si="446"/>
        <v>1</v>
      </c>
      <c r="K1018">
        <f t="shared" si="447"/>
        <v>51</v>
      </c>
      <c r="L1018">
        <f t="shared" ca="1" si="448"/>
        <v>51797.843837663619</v>
      </c>
      <c r="M1018">
        <f t="shared" ca="1" si="425"/>
        <v>269348.78795585083</v>
      </c>
      <c r="N1018">
        <f t="shared" ca="1" si="426"/>
        <v>2.5998694991876676</v>
      </c>
      <c r="O1018">
        <f t="shared" ca="1" si="427"/>
        <v>1.8934557080078435E-4</v>
      </c>
      <c r="P1018">
        <f t="shared" ca="1" si="428"/>
        <v>52429.971837663616</v>
      </c>
      <c r="Q1018">
        <f t="shared" ca="1" si="429"/>
        <v>52429.971837665442</v>
      </c>
      <c r="R1018">
        <f t="shared" ca="1" si="430"/>
        <v>2.2564415439646509E-12</v>
      </c>
      <c r="S1018">
        <f t="shared" ca="1" si="449"/>
        <v>5.0000000192085281E-4</v>
      </c>
      <c r="T1018">
        <f t="shared" ca="1" si="450"/>
        <v>1</v>
      </c>
      <c r="U1018">
        <f t="shared" ca="1" si="431"/>
        <v>51800.26683766341</v>
      </c>
      <c r="V1018">
        <f t="shared" ca="1" si="432"/>
        <v>269361.38755584974</v>
      </c>
      <c r="W1018">
        <f t="shared" ca="1" si="433"/>
        <v>2.5998695052916441</v>
      </c>
      <c r="X1018">
        <f t="shared" ca="1" si="434"/>
        <v>1.8933671400629237E-4</v>
      </c>
      <c r="Y1018">
        <f t="shared" ca="1" si="435"/>
        <v>52432.394837663407</v>
      </c>
      <c r="Z1018">
        <f t="shared" ca="1" si="436"/>
        <v>52432.394837665233</v>
      </c>
      <c r="AA1018">
        <f t="shared" ca="1" si="437"/>
        <v>2.2562304480281055E-12</v>
      </c>
      <c r="AB1018">
        <f t="shared" ca="1" si="438"/>
        <v>-4.999999946448952E-4</v>
      </c>
      <c r="AC1018">
        <f t="shared" ca="1" si="439"/>
        <v>1</v>
      </c>
      <c r="AD1018">
        <f ca="1">IF(V32="Supercritical",L1018,IF(V32="Subcritical",U1018,IF(AND(T1018=1,AC1018=1),IF((((F1018)*(L1018)^2)/2+(G1018)*(L1018)^3/3+(ABS(K1018)^2)/($I$5*MAX(((F1018)+(G1018)*(L1018))*(L1018),0.000001)))&gt;=(((F1018)*(U1018)^2)/2+(G1018)*(U1018)^3/3+(ABS(K1018)^2)/($I$5*MAX(((F1018)+(G1018)*(U1018))*(U1018),0.000001))),L1018,U1018),IF(T1018=1,L1018,IF(AC1018=1,U1018,MAX($D$16,POWER((ABS(K1018)^2)/($I$5*MAX(F1018,0.1)^2),1/3)))))))</f>
        <v>51800.26683766341</v>
      </c>
      <c r="AE1018">
        <f t="shared" ca="1" si="440"/>
        <v>52432.394837663407</v>
      </c>
      <c r="AF1018">
        <f t="shared" ca="1" si="441"/>
        <v>52432.394837665233</v>
      </c>
      <c r="AI1018">
        <v>0</v>
      </c>
      <c r="AJ1018">
        <v>0</v>
      </c>
      <c r="AK1018">
        <f t="shared" si="442"/>
        <v>0</v>
      </c>
      <c r="AL1018">
        <f t="shared" si="451"/>
        <v>0</v>
      </c>
      <c r="AM1018">
        <f t="shared" ca="1" si="443"/>
        <v>2.6560383008097266E-7</v>
      </c>
      <c r="AN1018" t="str">
        <f t="shared" ca="1" si="444"/>
        <v>Subcritical</v>
      </c>
      <c r="AO1018">
        <f t="shared" ca="1" si="445"/>
        <v>2.2562304480281055E-12</v>
      </c>
    </row>
    <row r="1019" spans="1:41" x14ac:dyDescent="0.35">
      <c r="A1019">
        <v>870</v>
      </c>
      <c r="B1019">
        <v>868.88900000000001</v>
      </c>
      <c r="C1019">
        <v>616086.70200000005</v>
      </c>
      <c r="D1019">
        <v>3097134.932</v>
      </c>
      <c r="E1019">
        <v>632.12750000000005</v>
      </c>
      <c r="F1019">
        <v>5.2</v>
      </c>
      <c r="G1019">
        <v>0</v>
      </c>
      <c r="H1019" t="s">
        <v>186</v>
      </c>
      <c r="I1019">
        <v>0</v>
      </c>
      <c r="J1019">
        <f t="shared" si="446"/>
        <v>1</v>
      </c>
      <c r="K1019">
        <f t="shared" si="447"/>
        <v>51</v>
      </c>
      <c r="L1019">
        <f t="shared" ca="1" si="448"/>
        <v>51797.843837663619</v>
      </c>
      <c r="M1019">
        <f t="shared" ca="1" si="425"/>
        <v>269348.78795585083</v>
      </c>
      <c r="N1019">
        <f t="shared" ca="1" si="426"/>
        <v>2.5998694991876676</v>
      </c>
      <c r="O1019">
        <f t="shared" ca="1" si="427"/>
        <v>1.8934557080078435E-4</v>
      </c>
      <c r="P1019">
        <f t="shared" ca="1" si="428"/>
        <v>52429.971337663621</v>
      </c>
      <c r="Q1019">
        <f t="shared" ca="1" si="429"/>
        <v>52429.971337665447</v>
      </c>
      <c r="R1019">
        <f t="shared" ca="1" si="430"/>
        <v>2.2564415439646509E-12</v>
      </c>
      <c r="S1019">
        <f t="shared" ca="1" si="449"/>
        <v>4.999999946448952E-4</v>
      </c>
      <c r="T1019">
        <f t="shared" ca="1" si="450"/>
        <v>1</v>
      </c>
      <c r="U1019">
        <f t="shared" ca="1" si="431"/>
        <v>51800.26683766341</v>
      </c>
      <c r="V1019">
        <f t="shared" ca="1" si="432"/>
        <v>269361.38755584974</v>
      </c>
      <c r="W1019">
        <f t="shared" ca="1" si="433"/>
        <v>2.5998695052916441</v>
      </c>
      <c r="X1019">
        <f t="shared" ca="1" si="434"/>
        <v>1.8933671400629237E-4</v>
      </c>
      <c r="Y1019">
        <f t="shared" ca="1" si="435"/>
        <v>52432.394337663412</v>
      </c>
      <c r="Z1019">
        <f t="shared" ca="1" si="436"/>
        <v>52432.394337665239</v>
      </c>
      <c r="AA1019">
        <f t="shared" ca="1" si="437"/>
        <v>2.2562304480281055E-12</v>
      </c>
      <c r="AB1019">
        <f t="shared" ca="1" si="438"/>
        <v>-5.0000000192085281E-4</v>
      </c>
      <c r="AC1019">
        <f t="shared" ca="1" si="439"/>
        <v>1</v>
      </c>
      <c r="AD1019">
        <f ca="1">IF(V32="Supercritical",L1019,IF(V32="Subcritical",U1019,IF(AND(T1019=1,AC1019=1),IF((((F1019)*(L1019)^2)/2+(G1019)*(L1019)^3/3+(ABS(K1019)^2)/($I$5*MAX(((F1019)+(G1019)*(L1019))*(L1019),0.000001)))&gt;=(((F1019)*(U1019)^2)/2+(G1019)*(U1019)^3/3+(ABS(K1019)^2)/($I$5*MAX(((F1019)+(G1019)*(U1019))*(U1019),0.000001))),L1019,U1019),IF(T1019=1,L1019,IF(AC1019=1,U1019,MAX($D$16,POWER((ABS(K1019)^2)/($I$5*MAX(F1019,0.1)^2),1/3)))))))</f>
        <v>51800.26683766341</v>
      </c>
      <c r="AE1019">
        <f t="shared" ca="1" si="440"/>
        <v>52432.394337663412</v>
      </c>
      <c r="AF1019">
        <f t="shared" ca="1" si="441"/>
        <v>52432.394337665239</v>
      </c>
      <c r="AI1019">
        <v>0</v>
      </c>
      <c r="AJ1019">
        <v>0</v>
      </c>
      <c r="AK1019">
        <f t="shared" si="442"/>
        <v>0</v>
      </c>
      <c r="AL1019">
        <f t="shared" si="451"/>
        <v>0</v>
      </c>
      <c r="AM1019">
        <f t="shared" ca="1" si="443"/>
        <v>2.6560383008097266E-7</v>
      </c>
      <c r="AN1019" t="str">
        <f t="shared" ca="1" si="444"/>
        <v>Subcritical</v>
      </c>
      <c r="AO1019">
        <f t="shared" ca="1" si="445"/>
        <v>2.2562304480281055E-12</v>
      </c>
    </row>
    <row r="1020" spans="1:41" x14ac:dyDescent="0.35">
      <c r="A1020">
        <v>871</v>
      </c>
      <c r="B1020">
        <v>869.88900000000001</v>
      </c>
      <c r="C1020">
        <v>616086.66</v>
      </c>
      <c r="D1020">
        <v>3097133.9330000002</v>
      </c>
      <c r="E1020">
        <v>632.12699999999995</v>
      </c>
      <c r="F1020">
        <v>5.2</v>
      </c>
      <c r="G1020">
        <v>0</v>
      </c>
      <c r="H1020" t="s">
        <v>186</v>
      </c>
      <c r="I1020">
        <v>5.7000000000000002E-2</v>
      </c>
      <c r="J1020">
        <f t="shared" si="446"/>
        <v>1</v>
      </c>
      <c r="K1020">
        <f t="shared" si="447"/>
        <v>51</v>
      </c>
      <c r="L1020">
        <f t="shared" ca="1" si="448"/>
        <v>51797.843837663619</v>
      </c>
      <c r="M1020">
        <f t="shared" ca="1" si="425"/>
        <v>269348.78795585083</v>
      </c>
      <c r="N1020">
        <f t="shared" ca="1" si="426"/>
        <v>2.5998694991876676</v>
      </c>
      <c r="O1020">
        <f t="shared" ca="1" si="427"/>
        <v>1.8934557080078435E-4</v>
      </c>
      <c r="P1020">
        <f t="shared" ca="1" si="428"/>
        <v>52429.970837663619</v>
      </c>
      <c r="Q1020">
        <f t="shared" ca="1" si="429"/>
        <v>52429.970837665445</v>
      </c>
      <c r="R1020">
        <f t="shared" ca="1" si="430"/>
        <v>2.2564415439646509E-12</v>
      </c>
      <c r="S1020">
        <f t="shared" ca="1" si="449"/>
        <v>5.0000000192085281E-4</v>
      </c>
      <c r="T1020">
        <f t="shared" ca="1" si="450"/>
        <v>1</v>
      </c>
      <c r="U1020">
        <f t="shared" ca="1" si="431"/>
        <v>51800.26683766341</v>
      </c>
      <c r="V1020">
        <f t="shared" ca="1" si="432"/>
        <v>269361.38755584974</v>
      </c>
      <c r="W1020">
        <f t="shared" ca="1" si="433"/>
        <v>2.5998695052916441</v>
      </c>
      <c r="X1020">
        <f t="shared" ca="1" si="434"/>
        <v>1.8933671400629237E-4</v>
      </c>
      <c r="Y1020">
        <f t="shared" ca="1" si="435"/>
        <v>52432.393837663411</v>
      </c>
      <c r="Z1020">
        <f t="shared" ca="1" si="436"/>
        <v>52432.393837665237</v>
      </c>
      <c r="AA1020">
        <f t="shared" ca="1" si="437"/>
        <v>2.2562304480281055E-12</v>
      </c>
      <c r="AB1020">
        <f t="shared" ca="1" si="438"/>
        <v>-5.0000000192085281E-4</v>
      </c>
      <c r="AC1020">
        <f t="shared" ca="1" si="439"/>
        <v>1</v>
      </c>
      <c r="AD1020">
        <f ca="1">IF(V32="Supercritical",L1020,IF(V32="Subcritical",U1020,IF(AND(T1020=1,AC1020=1),IF((((F1020)*(L1020)^2)/2+(G1020)*(L1020)^3/3+(ABS(K1020)^2)/($I$5*MAX(((F1020)+(G1020)*(L1020))*(L1020),0.000001)))&gt;=(((F1020)*(U1020)^2)/2+(G1020)*(U1020)^3/3+(ABS(K1020)^2)/($I$5*MAX(((F1020)+(G1020)*(U1020))*(U1020),0.000001))),L1020,U1020),IF(T1020=1,L1020,IF(AC1020=1,U1020,MAX($D$16,POWER((ABS(K1020)^2)/($I$5*MAX(F1020,0.1)^2),1/3)))))))</f>
        <v>51800.26683766341</v>
      </c>
      <c r="AE1020">
        <f t="shared" ca="1" si="440"/>
        <v>52432.393837663411</v>
      </c>
      <c r="AF1020">
        <f t="shared" ca="1" si="441"/>
        <v>52432.393837665237</v>
      </c>
      <c r="AI1020">
        <v>0</v>
      </c>
      <c r="AJ1020">
        <v>0</v>
      </c>
      <c r="AK1020">
        <f t="shared" si="442"/>
        <v>0</v>
      </c>
      <c r="AL1020">
        <f t="shared" si="451"/>
        <v>0</v>
      </c>
      <c r="AM1020">
        <f t="shared" ca="1" si="443"/>
        <v>2.6560383008097266E-7</v>
      </c>
      <c r="AN1020" t="str">
        <f t="shared" ca="1" si="444"/>
        <v>Subcritical</v>
      </c>
      <c r="AO1020">
        <f t="shared" ca="1" si="445"/>
        <v>2.2562304480281055E-12</v>
      </c>
    </row>
    <row r="1021" spans="1:41" x14ac:dyDescent="0.35">
      <c r="A1021">
        <v>872</v>
      </c>
      <c r="B1021">
        <v>870.88900000000001</v>
      </c>
      <c r="C1021">
        <v>616086.61699999997</v>
      </c>
      <c r="D1021">
        <v>3097132.9339999999</v>
      </c>
      <c r="E1021">
        <v>632.12649999999996</v>
      </c>
      <c r="F1021">
        <v>5.2</v>
      </c>
      <c r="G1021">
        <v>0</v>
      </c>
      <c r="H1021" t="s">
        <v>186</v>
      </c>
      <c r="I1021">
        <v>0.06</v>
      </c>
      <c r="J1021">
        <f t="shared" si="446"/>
        <v>1</v>
      </c>
      <c r="K1021">
        <f t="shared" si="447"/>
        <v>51</v>
      </c>
      <c r="L1021">
        <f t="shared" ca="1" si="448"/>
        <v>51797.843837663619</v>
      </c>
      <c r="M1021">
        <f t="shared" ca="1" si="425"/>
        <v>269348.78795585083</v>
      </c>
      <c r="N1021">
        <f t="shared" ca="1" si="426"/>
        <v>2.5998694991876676</v>
      </c>
      <c r="O1021">
        <f t="shared" ca="1" si="427"/>
        <v>1.8934557080078435E-4</v>
      </c>
      <c r="P1021">
        <f t="shared" ca="1" si="428"/>
        <v>52429.970337663617</v>
      </c>
      <c r="Q1021">
        <f t="shared" ca="1" si="429"/>
        <v>52429.970337665443</v>
      </c>
      <c r="R1021">
        <f t="shared" ca="1" si="430"/>
        <v>2.2564415439646509E-12</v>
      </c>
      <c r="S1021">
        <f t="shared" ca="1" si="449"/>
        <v>5.0000000192085281E-4</v>
      </c>
      <c r="T1021">
        <f t="shared" ca="1" si="450"/>
        <v>1</v>
      </c>
      <c r="U1021">
        <f t="shared" ca="1" si="431"/>
        <v>51800.26683766341</v>
      </c>
      <c r="V1021">
        <f t="shared" ca="1" si="432"/>
        <v>269361.38755584974</v>
      </c>
      <c r="W1021">
        <f t="shared" ca="1" si="433"/>
        <v>2.5998695052916441</v>
      </c>
      <c r="X1021">
        <f t="shared" ca="1" si="434"/>
        <v>1.8933671400629237E-4</v>
      </c>
      <c r="Y1021">
        <f t="shared" ca="1" si="435"/>
        <v>52432.393337663409</v>
      </c>
      <c r="Z1021">
        <f t="shared" ca="1" si="436"/>
        <v>52432.393337665235</v>
      </c>
      <c r="AA1021">
        <f t="shared" ca="1" si="437"/>
        <v>2.2562304480281055E-12</v>
      </c>
      <c r="AB1021">
        <f t="shared" ca="1" si="438"/>
        <v>-5.0000000192085281E-4</v>
      </c>
      <c r="AC1021">
        <f t="shared" ca="1" si="439"/>
        <v>1</v>
      </c>
      <c r="AD1021">
        <f ca="1">IF(V32="Supercritical",L1021,IF(V32="Subcritical",U1021,IF(AND(T1021=1,AC1021=1),IF((((F1021)*(L1021)^2)/2+(G1021)*(L1021)^3/3+(ABS(K1021)^2)/($I$5*MAX(((F1021)+(G1021)*(L1021))*(L1021),0.000001)))&gt;=(((F1021)*(U1021)^2)/2+(G1021)*(U1021)^3/3+(ABS(K1021)^2)/($I$5*MAX(((F1021)+(G1021)*(U1021))*(U1021),0.000001))),L1021,U1021),IF(T1021=1,L1021,IF(AC1021=1,U1021,MAX($D$16,POWER((ABS(K1021)^2)/($I$5*MAX(F1021,0.1)^2),1/3)))))))</f>
        <v>51800.26683766341</v>
      </c>
      <c r="AE1021">
        <f t="shared" ca="1" si="440"/>
        <v>52432.393337663409</v>
      </c>
      <c r="AF1021">
        <f t="shared" ca="1" si="441"/>
        <v>52432.393337665235</v>
      </c>
      <c r="AI1021">
        <v>0</v>
      </c>
      <c r="AJ1021">
        <v>0</v>
      </c>
      <c r="AK1021">
        <f t="shared" si="442"/>
        <v>0</v>
      </c>
      <c r="AL1021">
        <f t="shared" si="451"/>
        <v>0</v>
      </c>
      <c r="AM1021">
        <f t="shared" ca="1" si="443"/>
        <v>2.6560383008097266E-7</v>
      </c>
      <c r="AN1021" t="str">
        <f t="shared" ca="1" si="444"/>
        <v>Subcritical</v>
      </c>
      <c r="AO1021">
        <f t="shared" ca="1" si="445"/>
        <v>2.2562304480281055E-12</v>
      </c>
    </row>
    <row r="1022" spans="1:41" x14ac:dyDescent="0.35">
      <c r="A1022">
        <v>873</v>
      </c>
      <c r="B1022">
        <v>871.89</v>
      </c>
      <c r="C1022">
        <v>616086.57499999995</v>
      </c>
      <c r="D1022">
        <v>3097131.9339999999</v>
      </c>
      <c r="E1022">
        <v>632.12599999999998</v>
      </c>
      <c r="F1022">
        <v>5.2</v>
      </c>
      <c r="G1022">
        <v>0</v>
      </c>
      <c r="H1022" t="s">
        <v>186</v>
      </c>
      <c r="I1022">
        <v>2E-3</v>
      </c>
      <c r="J1022">
        <f t="shared" si="446"/>
        <v>1.0009999999999764</v>
      </c>
      <c r="K1022">
        <f t="shared" si="447"/>
        <v>51</v>
      </c>
      <c r="L1022">
        <f t="shared" ca="1" si="448"/>
        <v>51797.843837663619</v>
      </c>
      <c r="M1022">
        <f t="shared" ca="1" si="425"/>
        <v>269348.78795585083</v>
      </c>
      <c r="N1022">
        <f t="shared" ca="1" si="426"/>
        <v>2.5998694991876676</v>
      </c>
      <c r="O1022">
        <f t="shared" ca="1" si="427"/>
        <v>1.8934557080078435E-4</v>
      </c>
      <c r="P1022">
        <f t="shared" ca="1" si="428"/>
        <v>52429.969837663615</v>
      </c>
      <c r="Q1022">
        <f t="shared" ca="1" si="429"/>
        <v>52429.969837665441</v>
      </c>
      <c r="R1022">
        <f t="shared" ca="1" si="430"/>
        <v>2.2564415439646509E-12</v>
      </c>
      <c r="S1022">
        <f t="shared" ca="1" si="449"/>
        <v>5.0000000192085281E-4</v>
      </c>
      <c r="T1022">
        <f t="shared" ca="1" si="450"/>
        <v>1</v>
      </c>
      <c r="U1022">
        <f t="shared" ca="1" si="431"/>
        <v>51800.26683766341</v>
      </c>
      <c r="V1022">
        <f t="shared" ca="1" si="432"/>
        <v>269361.38755584974</v>
      </c>
      <c r="W1022">
        <f t="shared" ca="1" si="433"/>
        <v>2.5998695052916441</v>
      </c>
      <c r="X1022">
        <f t="shared" ca="1" si="434"/>
        <v>1.8933671400629237E-4</v>
      </c>
      <c r="Y1022">
        <f t="shared" ca="1" si="435"/>
        <v>52432.392837663407</v>
      </c>
      <c r="Z1022">
        <f t="shared" ca="1" si="436"/>
        <v>52432.392837665233</v>
      </c>
      <c r="AA1022">
        <f t="shared" ca="1" si="437"/>
        <v>2.2562304480281055E-12</v>
      </c>
      <c r="AB1022">
        <f t="shared" ca="1" si="438"/>
        <v>-4.999999946448952E-4</v>
      </c>
      <c r="AC1022">
        <f t="shared" ca="1" si="439"/>
        <v>1</v>
      </c>
      <c r="AD1022">
        <f ca="1">IF(V32="Supercritical",L1022,IF(V32="Subcritical",U1022,IF(AND(T1022=1,AC1022=1),IF((((F1022)*(L1022)^2)/2+(G1022)*(L1022)^3/3+(ABS(K1022)^2)/($I$5*MAX(((F1022)+(G1022)*(L1022))*(L1022),0.000001)))&gt;=(((F1022)*(U1022)^2)/2+(G1022)*(U1022)^3/3+(ABS(K1022)^2)/($I$5*MAX(((F1022)+(G1022)*(U1022))*(U1022),0.000001))),L1022,U1022),IF(T1022=1,L1022,IF(AC1022=1,U1022,MAX($D$16,POWER((ABS(K1022)^2)/($I$5*MAX(F1022,0.1)^2),1/3)))))))</f>
        <v>51800.26683766341</v>
      </c>
      <c r="AE1022">
        <f t="shared" ca="1" si="440"/>
        <v>52432.392837663407</v>
      </c>
      <c r="AF1022">
        <f t="shared" ca="1" si="441"/>
        <v>52432.392837665233</v>
      </c>
      <c r="AI1022">
        <v>0</v>
      </c>
      <c r="AJ1022">
        <v>0</v>
      </c>
      <c r="AK1022">
        <f t="shared" si="442"/>
        <v>0</v>
      </c>
      <c r="AL1022">
        <f t="shared" si="451"/>
        <v>0</v>
      </c>
      <c r="AM1022">
        <f t="shared" ca="1" si="443"/>
        <v>2.6560383008097266E-7</v>
      </c>
      <c r="AN1022" t="str">
        <f t="shared" ca="1" si="444"/>
        <v>Subcritical</v>
      </c>
      <c r="AO1022">
        <f t="shared" ca="1" si="445"/>
        <v>2.2562304480281055E-12</v>
      </c>
    </row>
    <row r="1023" spans="1:41" x14ac:dyDescent="0.35">
      <c r="A1023">
        <v>874</v>
      </c>
      <c r="B1023">
        <v>872.89</v>
      </c>
      <c r="C1023">
        <v>616086.53300000005</v>
      </c>
      <c r="D1023">
        <v>3097130.9350000001</v>
      </c>
      <c r="E1023">
        <v>632.12549999999999</v>
      </c>
      <c r="F1023">
        <v>5.2</v>
      </c>
      <c r="G1023">
        <v>0</v>
      </c>
      <c r="H1023" t="s">
        <v>186</v>
      </c>
      <c r="I1023">
        <v>0</v>
      </c>
      <c r="J1023">
        <f t="shared" si="446"/>
        <v>1</v>
      </c>
      <c r="K1023">
        <f t="shared" si="447"/>
        <v>51</v>
      </c>
      <c r="L1023">
        <f t="shared" ca="1" si="448"/>
        <v>51797.843837663619</v>
      </c>
      <c r="M1023">
        <f t="shared" ca="1" si="425"/>
        <v>269348.78795585083</v>
      </c>
      <c r="N1023">
        <f t="shared" ca="1" si="426"/>
        <v>2.5998694991876676</v>
      </c>
      <c r="O1023">
        <f t="shared" ca="1" si="427"/>
        <v>1.8934557080078435E-4</v>
      </c>
      <c r="P1023">
        <f t="shared" ca="1" si="428"/>
        <v>52429.969337663621</v>
      </c>
      <c r="Q1023">
        <f t="shared" ca="1" si="429"/>
        <v>52429.969337665447</v>
      </c>
      <c r="R1023">
        <f t="shared" ca="1" si="430"/>
        <v>2.2564415439646509E-12</v>
      </c>
      <c r="S1023">
        <f t="shared" ca="1" si="449"/>
        <v>4.999999946448952E-4</v>
      </c>
      <c r="T1023">
        <f t="shared" ca="1" si="450"/>
        <v>1</v>
      </c>
      <c r="U1023">
        <f t="shared" ca="1" si="431"/>
        <v>51800.26683766341</v>
      </c>
      <c r="V1023">
        <f t="shared" ca="1" si="432"/>
        <v>269361.38755584974</v>
      </c>
      <c r="W1023">
        <f t="shared" ca="1" si="433"/>
        <v>2.5998695052916441</v>
      </c>
      <c r="X1023">
        <f t="shared" ca="1" si="434"/>
        <v>1.8933671400629237E-4</v>
      </c>
      <c r="Y1023">
        <f t="shared" ca="1" si="435"/>
        <v>52432.392337663412</v>
      </c>
      <c r="Z1023">
        <f t="shared" ca="1" si="436"/>
        <v>52432.392337665238</v>
      </c>
      <c r="AA1023">
        <f t="shared" ca="1" si="437"/>
        <v>2.2562304480281055E-12</v>
      </c>
      <c r="AB1023">
        <f t="shared" ca="1" si="438"/>
        <v>-5.0000000192085281E-4</v>
      </c>
      <c r="AC1023">
        <f t="shared" ca="1" si="439"/>
        <v>1</v>
      </c>
      <c r="AD1023">
        <f ca="1">IF(V32="Supercritical",L1023,IF(V32="Subcritical",U1023,IF(AND(T1023=1,AC1023=1),IF((((F1023)*(L1023)^2)/2+(G1023)*(L1023)^3/3+(ABS(K1023)^2)/($I$5*MAX(((F1023)+(G1023)*(L1023))*(L1023),0.000001)))&gt;=(((F1023)*(U1023)^2)/2+(G1023)*(U1023)^3/3+(ABS(K1023)^2)/($I$5*MAX(((F1023)+(G1023)*(U1023))*(U1023),0.000001))),L1023,U1023),IF(T1023=1,L1023,IF(AC1023=1,U1023,MAX($D$16,POWER((ABS(K1023)^2)/($I$5*MAX(F1023,0.1)^2),1/3)))))))</f>
        <v>51800.26683766341</v>
      </c>
      <c r="AE1023">
        <f t="shared" ca="1" si="440"/>
        <v>52432.392337663412</v>
      </c>
      <c r="AF1023">
        <f t="shared" ca="1" si="441"/>
        <v>52432.392337665238</v>
      </c>
      <c r="AI1023">
        <v>0</v>
      </c>
      <c r="AJ1023">
        <v>0</v>
      </c>
      <c r="AK1023">
        <f t="shared" si="442"/>
        <v>0</v>
      </c>
      <c r="AL1023">
        <f t="shared" si="451"/>
        <v>0</v>
      </c>
      <c r="AM1023">
        <f t="shared" ca="1" si="443"/>
        <v>2.6560383008097266E-7</v>
      </c>
      <c r="AN1023" t="str">
        <f t="shared" ca="1" si="444"/>
        <v>Subcritical</v>
      </c>
      <c r="AO1023">
        <f t="shared" ca="1" si="445"/>
        <v>2.2562304480281055E-12</v>
      </c>
    </row>
    <row r="1024" spans="1:41" x14ac:dyDescent="0.35">
      <c r="A1024">
        <v>875</v>
      </c>
      <c r="B1024">
        <v>873.88900000000001</v>
      </c>
      <c r="C1024">
        <v>616086.49100000004</v>
      </c>
      <c r="D1024">
        <v>3097129.9360000002</v>
      </c>
      <c r="E1024">
        <v>632.125</v>
      </c>
      <c r="F1024">
        <v>5.2</v>
      </c>
      <c r="G1024">
        <v>0</v>
      </c>
      <c r="H1024" t="s">
        <v>186</v>
      </c>
      <c r="I1024">
        <v>5.7000000000000002E-2</v>
      </c>
      <c r="J1024">
        <f t="shared" si="446"/>
        <v>0.99900000000002365</v>
      </c>
      <c r="K1024">
        <f t="shared" si="447"/>
        <v>51</v>
      </c>
      <c r="L1024">
        <f t="shared" ca="1" si="448"/>
        <v>51797.843837663619</v>
      </c>
      <c r="M1024">
        <f t="shared" ca="1" si="425"/>
        <v>269348.78795585083</v>
      </c>
      <c r="N1024">
        <f t="shared" ca="1" si="426"/>
        <v>2.5998694991876676</v>
      </c>
      <c r="O1024">
        <f t="shared" ca="1" si="427"/>
        <v>1.8934557080078435E-4</v>
      </c>
      <c r="P1024">
        <f t="shared" ca="1" si="428"/>
        <v>52429.968837663619</v>
      </c>
      <c r="Q1024">
        <f t="shared" ca="1" si="429"/>
        <v>52429.968837665445</v>
      </c>
      <c r="R1024">
        <f t="shared" ca="1" si="430"/>
        <v>2.2564415439646509E-12</v>
      </c>
      <c r="S1024">
        <f t="shared" ca="1" si="449"/>
        <v>5.0000000192085281E-4</v>
      </c>
      <c r="T1024">
        <f t="shared" ca="1" si="450"/>
        <v>1</v>
      </c>
      <c r="U1024">
        <f t="shared" ca="1" si="431"/>
        <v>51800.26683766341</v>
      </c>
      <c r="V1024">
        <f t="shared" ca="1" si="432"/>
        <v>269361.38755584974</v>
      </c>
      <c r="W1024">
        <f t="shared" ca="1" si="433"/>
        <v>2.5998695052916441</v>
      </c>
      <c r="X1024">
        <f t="shared" ca="1" si="434"/>
        <v>1.8933671400629237E-4</v>
      </c>
      <c r="Y1024">
        <f t="shared" ca="1" si="435"/>
        <v>52432.39183766341</v>
      </c>
      <c r="Z1024">
        <f t="shared" ca="1" si="436"/>
        <v>52432.391837665236</v>
      </c>
      <c r="AA1024">
        <f t="shared" ca="1" si="437"/>
        <v>2.2562304480281055E-12</v>
      </c>
      <c r="AB1024">
        <f t="shared" ca="1" si="438"/>
        <v>-5.0000000192085281E-4</v>
      </c>
      <c r="AC1024">
        <f t="shared" ca="1" si="439"/>
        <v>1</v>
      </c>
      <c r="AD1024">
        <f ca="1">IF(V32="Supercritical",L1024,IF(V32="Subcritical",U1024,IF(AND(T1024=1,AC1024=1),IF((((F1024)*(L1024)^2)/2+(G1024)*(L1024)^3/3+(ABS(K1024)^2)/($I$5*MAX(((F1024)+(G1024)*(L1024))*(L1024),0.000001)))&gt;=(((F1024)*(U1024)^2)/2+(G1024)*(U1024)^3/3+(ABS(K1024)^2)/($I$5*MAX(((F1024)+(G1024)*(U1024))*(U1024),0.000001))),L1024,U1024),IF(T1024=1,L1024,IF(AC1024=1,U1024,MAX($D$16,POWER((ABS(K1024)^2)/($I$5*MAX(F1024,0.1)^2),1/3)))))))</f>
        <v>51800.26683766341</v>
      </c>
      <c r="AE1024">
        <f t="shared" ca="1" si="440"/>
        <v>52432.39183766341</v>
      </c>
      <c r="AF1024">
        <f t="shared" ca="1" si="441"/>
        <v>52432.391837665236</v>
      </c>
      <c r="AI1024">
        <v>0</v>
      </c>
      <c r="AJ1024">
        <v>0</v>
      </c>
      <c r="AK1024">
        <f t="shared" si="442"/>
        <v>0</v>
      </c>
      <c r="AL1024">
        <f t="shared" si="451"/>
        <v>0</v>
      </c>
      <c r="AM1024">
        <f t="shared" ca="1" si="443"/>
        <v>2.6560383008097266E-7</v>
      </c>
      <c r="AN1024" t="str">
        <f t="shared" ca="1" si="444"/>
        <v>Subcritical</v>
      </c>
      <c r="AO1024">
        <f t="shared" ca="1" si="445"/>
        <v>2.2562304480281055E-12</v>
      </c>
    </row>
    <row r="1025" spans="1:41" x14ac:dyDescent="0.35">
      <c r="A1025">
        <v>876</v>
      </c>
      <c r="B1025">
        <v>874.88900000000001</v>
      </c>
      <c r="C1025">
        <v>616086.44799999997</v>
      </c>
      <c r="D1025">
        <v>3097128.9369999999</v>
      </c>
      <c r="E1025">
        <v>632.12450000000001</v>
      </c>
      <c r="F1025">
        <v>5.2</v>
      </c>
      <c r="G1025">
        <v>0</v>
      </c>
      <c r="H1025" t="s">
        <v>186</v>
      </c>
      <c r="I1025">
        <v>5.7000000000000002E-2</v>
      </c>
      <c r="J1025">
        <f t="shared" si="446"/>
        <v>1</v>
      </c>
      <c r="K1025">
        <f t="shared" si="447"/>
        <v>51</v>
      </c>
      <c r="L1025">
        <f t="shared" ca="1" si="448"/>
        <v>51797.843837663619</v>
      </c>
      <c r="M1025">
        <f t="shared" ca="1" si="425"/>
        <v>269348.78795585083</v>
      </c>
      <c r="N1025">
        <f t="shared" ca="1" si="426"/>
        <v>2.5998694991876676</v>
      </c>
      <c r="O1025">
        <f t="shared" ca="1" si="427"/>
        <v>1.8934557080078435E-4</v>
      </c>
      <c r="P1025">
        <f t="shared" ca="1" si="428"/>
        <v>52429.968337663617</v>
      </c>
      <c r="Q1025">
        <f t="shared" ca="1" si="429"/>
        <v>52429.968337665443</v>
      </c>
      <c r="R1025">
        <f t="shared" ca="1" si="430"/>
        <v>2.2564415439646509E-12</v>
      </c>
      <c r="S1025">
        <f t="shared" ca="1" si="449"/>
        <v>5.0000000192085281E-4</v>
      </c>
      <c r="T1025">
        <f t="shared" ca="1" si="450"/>
        <v>1</v>
      </c>
      <c r="U1025">
        <f t="shared" ca="1" si="431"/>
        <v>51800.26683766341</v>
      </c>
      <c r="V1025">
        <f t="shared" ca="1" si="432"/>
        <v>269361.38755584974</v>
      </c>
      <c r="W1025">
        <f t="shared" ca="1" si="433"/>
        <v>2.5998695052916441</v>
      </c>
      <c r="X1025">
        <f t="shared" ca="1" si="434"/>
        <v>1.8933671400629237E-4</v>
      </c>
      <c r="Y1025">
        <f t="shared" ca="1" si="435"/>
        <v>52432.391337663408</v>
      </c>
      <c r="Z1025">
        <f t="shared" ca="1" si="436"/>
        <v>52432.391337665234</v>
      </c>
      <c r="AA1025">
        <f t="shared" ca="1" si="437"/>
        <v>2.2562304480281055E-12</v>
      </c>
      <c r="AB1025">
        <f t="shared" ca="1" si="438"/>
        <v>-4.999999946448952E-4</v>
      </c>
      <c r="AC1025">
        <f t="shared" ca="1" si="439"/>
        <v>1</v>
      </c>
      <c r="AD1025">
        <f ca="1">IF(V32="Supercritical",L1025,IF(V32="Subcritical",U1025,IF(AND(T1025=1,AC1025=1),IF((((F1025)*(L1025)^2)/2+(G1025)*(L1025)^3/3+(ABS(K1025)^2)/($I$5*MAX(((F1025)+(G1025)*(L1025))*(L1025),0.000001)))&gt;=(((F1025)*(U1025)^2)/2+(G1025)*(U1025)^3/3+(ABS(K1025)^2)/($I$5*MAX(((F1025)+(G1025)*(U1025))*(U1025),0.000001))),L1025,U1025),IF(T1025=1,L1025,IF(AC1025=1,U1025,MAX($D$16,POWER((ABS(K1025)^2)/($I$5*MAX(F1025,0.1)^2),1/3)))))))</f>
        <v>51800.26683766341</v>
      </c>
      <c r="AE1025">
        <f t="shared" ca="1" si="440"/>
        <v>52432.391337663408</v>
      </c>
      <c r="AF1025">
        <f t="shared" ca="1" si="441"/>
        <v>52432.391337665234</v>
      </c>
      <c r="AI1025">
        <v>0</v>
      </c>
      <c r="AJ1025">
        <v>0</v>
      </c>
      <c r="AK1025">
        <f t="shared" si="442"/>
        <v>0</v>
      </c>
      <c r="AL1025">
        <f t="shared" si="451"/>
        <v>0</v>
      </c>
      <c r="AM1025">
        <f t="shared" ca="1" si="443"/>
        <v>2.6560383008097266E-7</v>
      </c>
      <c r="AN1025" t="str">
        <f t="shared" ca="1" si="444"/>
        <v>Subcritical</v>
      </c>
      <c r="AO1025">
        <f t="shared" ca="1" si="445"/>
        <v>2.2562304480281055E-12</v>
      </c>
    </row>
    <row r="1026" spans="1:41" x14ac:dyDescent="0.35">
      <c r="A1026">
        <v>877</v>
      </c>
      <c r="B1026">
        <v>875.88900000000001</v>
      </c>
      <c r="C1026">
        <v>616086.40599999996</v>
      </c>
      <c r="D1026">
        <v>3097127.9380000001</v>
      </c>
      <c r="E1026">
        <v>632.12400000000002</v>
      </c>
      <c r="F1026">
        <v>5.2</v>
      </c>
      <c r="G1026">
        <v>0</v>
      </c>
      <c r="H1026" t="s">
        <v>186</v>
      </c>
      <c r="I1026">
        <v>0</v>
      </c>
      <c r="J1026">
        <f t="shared" si="446"/>
        <v>1</v>
      </c>
      <c r="K1026">
        <f t="shared" si="447"/>
        <v>51</v>
      </c>
      <c r="L1026">
        <f t="shared" ca="1" si="448"/>
        <v>51797.843837663619</v>
      </c>
      <c r="M1026">
        <f t="shared" ca="1" si="425"/>
        <v>269348.78795585083</v>
      </c>
      <c r="N1026">
        <f t="shared" ca="1" si="426"/>
        <v>2.5998694991876676</v>
      </c>
      <c r="O1026">
        <f t="shared" ca="1" si="427"/>
        <v>1.8934557080078435E-4</v>
      </c>
      <c r="P1026">
        <f t="shared" ca="1" si="428"/>
        <v>52429.967837663622</v>
      </c>
      <c r="Q1026">
        <f t="shared" ca="1" si="429"/>
        <v>52429.967837665448</v>
      </c>
      <c r="R1026">
        <f t="shared" ca="1" si="430"/>
        <v>2.2564415439646509E-12</v>
      </c>
      <c r="S1026">
        <f t="shared" ca="1" si="449"/>
        <v>4.999999946448952E-4</v>
      </c>
      <c r="T1026">
        <f t="shared" ca="1" si="450"/>
        <v>1</v>
      </c>
      <c r="U1026">
        <f t="shared" ca="1" si="431"/>
        <v>51800.26683766341</v>
      </c>
      <c r="V1026">
        <f t="shared" ca="1" si="432"/>
        <v>269361.38755584974</v>
      </c>
      <c r="W1026">
        <f t="shared" ca="1" si="433"/>
        <v>2.5998695052916441</v>
      </c>
      <c r="X1026">
        <f t="shared" ca="1" si="434"/>
        <v>1.8933671400629237E-4</v>
      </c>
      <c r="Y1026">
        <f t="shared" ca="1" si="435"/>
        <v>52432.390837663414</v>
      </c>
      <c r="Z1026">
        <f t="shared" ca="1" si="436"/>
        <v>52432.39083766524</v>
      </c>
      <c r="AA1026">
        <f t="shared" ca="1" si="437"/>
        <v>2.2562304480281055E-12</v>
      </c>
      <c r="AB1026">
        <f t="shared" ca="1" si="438"/>
        <v>-5.0000000192085281E-4</v>
      </c>
      <c r="AC1026">
        <f t="shared" ca="1" si="439"/>
        <v>1</v>
      </c>
      <c r="AD1026">
        <f ca="1">IF(V32="Supercritical",L1026,IF(V32="Subcritical",U1026,IF(AND(T1026=1,AC1026=1),IF((((F1026)*(L1026)^2)/2+(G1026)*(L1026)^3/3+(ABS(K1026)^2)/($I$5*MAX(((F1026)+(G1026)*(L1026))*(L1026),0.000001)))&gt;=(((F1026)*(U1026)^2)/2+(G1026)*(U1026)^3/3+(ABS(K1026)^2)/($I$5*MAX(((F1026)+(G1026)*(U1026))*(U1026),0.000001))),L1026,U1026),IF(T1026=1,L1026,IF(AC1026=1,U1026,MAX($D$16,POWER((ABS(K1026)^2)/($I$5*MAX(F1026,0.1)^2),1/3)))))))</f>
        <v>51800.26683766341</v>
      </c>
      <c r="AE1026">
        <f t="shared" ca="1" si="440"/>
        <v>52432.390837663414</v>
      </c>
      <c r="AF1026">
        <f t="shared" ca="1" si="441"/>
        <v>52432.39083766524</v>
      </c>
      <c r="AI1026">
        <v>0</v>
      </c>
      <c r="AJ1026">
        <v>0</v>
      </c>
      <c r="AK1026">
        <f t="shared" si="442"/>
        <v>0</v>
      </c>
      <c r="AL1026">
        <f t="shared" si="451"/>
        <v>0</v>
      </c>
      <c r="AM1026">
        <f t="shared" ca="1" si="443"/>
        <v>2.6560383008097266E-7</v>
      </c>
      <c r="AN1026" t="str">
        <f t="shared" ca="1" si="444"/>
        <v>Subcritical</v>
      </c>
      <c r="AO1026">
        <f t="shared" ca="1" si="445"/>
        <v>2.2562304480281055E-12</v>
      </c>
    </row>
    <row r="1027" spans="1:41" x14ac:dyDescent="0.35">
      <c r="A1027">
        <v>878</v>
      </c>
      <c r="B1027">
        <v>876.88900000000001</v>
      </c>
      <c r="C1027">
        <v>616086.36399999994</v>
      </c>
      <c r="D1027">
        <v>3097126.9389999998</v>
      </c>
      <c r="E1027">
        <v>632.12350000000004</v>
      </c>
      <c r="F1027">
        <v>5.2</v>
      </c>
      <c r="G1027">
        <v>0</v>
      </c>
      <c r="H1027" t="s">
        <v>186</v>
      </c>
      <c r="I1027">
        <v>0</v>
      </c>
      <c r="J1027">
        <f t="shared" si="446"/>
        <v>1</v>
      </c>
      <c r="K1027">
        <f t="shared" si="447"/>
        <v>51</v>
      </c>
      <c r="L1027">
        <f t="shared" ca="1" si="448"/>
        <v>51797.843837663619</v>
      </c>
      <c r="M1027">
        <f t="shared" ca="1" si="425"/>
        <v>269348.78795585083</v>
      </c>
      <c r="N1027">
        <f t="shared" ca="1" si="426"/>
        <v>2.5998694991876676</v>
      </c>
      <c r="O1027">
        <f t="shared" ca="1" si="427"/>
        <v>1.8934557080078435E-4</v>
      </c>
      <c r="P1027">
        <f t="shared" ca="1" si="428"/>
        <v>52429.96733766362</v>
      </c>
      <c r="Q1027">
        <f t="shared" ca="1" si="429"/>
        <v>52429.967337665446</v>
      </c>
      <c r="R1027">
        <f t="shared" ca="1" si="430"/>
        <v>2.2564415439646509E-12</v>
      </c>
      <c r="S1027">
        <f t="shared" ca="1" si="449"/>
        <v>5.0000000192085281E-4</v>
      </c>
      <c r="T1027">
        <f t="shared" ca="1" si="450"/>
        <v>1</v>
      </c>
      <c r="U1027">
        <f t="shared" ca="1" si="431"/>
        <v>51800.26683766341</v>
      </c>
      <c r="V1027">
        <f t="shared" ca="1" si="432"/>
        <v>269361.38755584974</v>
      </c>
      <c r="W1027">
        <f t="shared" ca="1" si="433"/>
        <v>2.5998695052916441</v>
      </c>
      <c r="X1027">
        <f t="shared" ca="1" si="434"/>
        <v>1.8933671400629237E-4</v>
      </c>
      <c r="Y1027">
        <f t="shared" ca="1" si="435"/>
        <v>52432.390337663412</v>
      </c>
      <c r="Z1027">
        <f t="shared" ca="1" si="436"/>
        <v>52432.390337665238</v>
      </c>
      <c r="AA1027">
        <f t="shared" ca="1" si="437"/>
        <v>2.2562304480281055E-12</v>
      </c>
      <c r="AB1027">
        <f t="shared" ca="1" si="438"/>
        <v>-5.0000000192085281E-4</v>
      </c>
      <c r="AC1027">
        <f t="shared" ca="1" si="439"/>
        <v>1</v>
      </c>
      <c r="AD1027">
        <f ca="1">IF(V32="Supercritical",L1027,IF(V32="Subcritical",U1027,IF(AND(T1027=1,AC1027=1),IF((((F1027)*(L1027)^2)/2+(G1027)*(L1027)^3/3+(ABS(K1027)^2)/($I$5*MAX(((F1027)+(G1027)*(L1027))*(L1027),0.000001)))&gt;=(((F1027)*(U1027)^2)/2+(G1027)*(U1027)^3/3+(ABS(K1027)^2)/($I$5*MAX(((F1027)+(G1027)*(U1027))*(U1027),0.000001))),L1027,U1027),IF(T1027=1,L1027,IF(AC1027=1,U1027,MAX($D$16,POWER((ABS(K1027)^2)/($I$5*MAX(F1027,0.1)^2),1/3)))))))</f>
        <v>51800.26683766341</v>
      </c>
      <c r="AE1027">
        <f t="shared" ca="1" si="440"/>
        <v>52432.390337663412</v>
      </c>
      <c r="AF1027">
        <f t="shared" ca="1" si="441"/>
        <v>52432.390337665238</v>
      </c>
      <c r="AI1027">
        <v>0</v>
      </c>
      <c r="AJ1027">
        <v>0</v>
      </c>
      <c r="AK1027">
        <f t="shared" si="442"/>
        <v>0</v>
      </c>
      <c r="AL1027">
        <f t="shared" si="451"/>
        <v>0</v>
      </c>
      <c r="AM1027">
        <f t="shared" ca="1" si="443"/>
        <v>2.6560383008097266E-7</v>
      </c>
      <c r="AN1027" t="str">
        <f t="shared" ca="1" si="444"/>
        <v>Subcritical</v>
      </c>
      <c r="AO1027">
        <f t="shared" ca="1" si="445"/>
        <v>2.2562304480281055E-12</v>
      </c>
    </row>
    <row r="1028" spans="1:41" x14ac:dyDescent="0.35">
      <c r="A1028">
        <v>879</v>
      </c>
      <c r="B1028">
        <v>877.88900000000001</v>
      </c>
      <c r="C1028">
        <v>616086.32200000004</v>
      </c>
      <c r="D1028">
        <v>3097125.94</v>
      </c>
      <c r="E1028">
        <v>632.12300000000005</v>
      </c>
      <c r="F1028">
        <v>5.2</v>
      </c>
      <c r="G1028">
        <v>0</v>
      </c>
      <c r="H1028" t="s">
        <v>186</v>
      </c>
      <c r="I1028">
        <v>5.7000000000000002E-2</v>
      </c>
      <c r="J1028">
        <f t="shared" si="446"/>
        <v>1</v>
      </c>
      <c r="K1028">
        <f t="shared" si="447"/>
        <v>51</v>
      </c>
      <c r="L1028">
        <f t="shared" ca="1" si="448"/>
        <v>51797.843837663619</v>
      </c>
      <c r="M1028">
        <f t="shared" ca="1" si="425"/>
        <v>269348.78795585083</v>
      </c>
      <c r="N1028">
        <f t="shared" ca="1" si="426"/>
        <v>2.5998694991876676</v>
      </c>
      <c r="O1028">
        <f t="shared" ca="1" si="427"/>
        <v>1.8934557080078435E-4</v>
      </c>
      <c r="P1028">
        <f t="shared" ca="1" si="428"/>
        <v>52429.966837663618</v>
      </c>
      <c r="Q1028">
        <f t="shared" ca="1" si="429"/>
        <v>52429.966837665444</v>
      </c>
      <c r="R1028">
        <f t="shared" ca="1" si="430"/>
        <v>2.2564415439646509E-12</v>
      </c>
      <c r="S1028">
        <f t="shared" ca="1" si="449"/>
        <v>5.0000000192085281E-4</v>
      </c>
      <c r="T1028">
        <f t="shared" ca="1" si="450"/>
        <v>1</v>
      </c>
      <c r="U1028">
        <f t="shared" ca="1" si="431"/>
        <v>51800.26683766341</v>
      </c>
      <c r="V1028">
        <f t="shared" ca="1" si="432"/>
        <v>269361.38755584974</v>
      </c>
      <c r="W1028">
        <f t="shared" ca="1" si="433"/>
        <v>2.5998695052916441</v>
      </c>
      <c r="X1028">
        <f t="shared" ca="1" si="434"/>
        <v>1.8933671400629237E-4</v>
      </c>
      <c r="Y1028">
        <f t="shared" ca="1" si="435"/>
        <v>52432.38983766341</v>
      </c>
      <c r="Z1028">
        <f t="shared" ca="1" si="436"/>
        <v>52432.389837665236</v>
      </c>
      <c r="AA1028">
        <f t="shared" ca="1" si="437"/>
        <v>2.2562304480281055E-12</v>
      </c>
      <c r="AB1028">
        <f t="shared" ca="1" si="438"/>
        <v>-5.0000000192085281E-4</v>
      </c>
      <c r="AC1028">
        <f t="shared" ca="1" si="439"/>
        <v>1</v>
      </c>
      <c r="AD1028">
        <f ca="1">IF(V32="Supercritical",L1028,IF(V32="Subcritical",U1028,IF(AND(T1028=1,AC1028=1),IF((((F1028)*(L1028)^2)/2+(G1028)*(L1028)^3/3+(ABS(K1028)^2)/($I$5*MAX(((F1028)+(G1028)*(L1028))*(L1028),0.000001)))&gt;=(((F1028)*(U1028)^2)/2+(G1028)*(U1028)^3/3+(ABS(K1028)^2)/($I$5*MAX(((F1028)+(G1028)*(U1028))*(U1028),0.000001))),L1028,U1028),IF(T1028=1,L1028,IF(AC1028=1,U1028,MAX($D$16,POWER((ABS(K1028)^2)/($I$5*MAX(F1028,0.1)^2),1/3)))))))</f>
        <v>51800.26683766341</v>
      </c>
      <c r="AE1028">
        <f t="shared" ca="1" si="440"/>
        <v>52432.38983766341</v>
      </c>
      <c r="AF1028">
        <f t="shared" ca="1" si="441"/>
        <v>52432.389837665236</v>
      </c>
      <c r="AI1028">
        <v>0</v>
      </c>
      <c r="AJ1028">
        <v>0</v>
      </c>
      <c r="AK1028">
        <f t="shared" si="442"/>
        <v>0</v>
      </c>
      <c r="AL1028">
        <f t="shared" si="451"/>
        <v>0</v>
      </c>
      <c r="AM1028">
        <f t="shared" ca="1" si="443"/>
        <v>2.6560383008097266E-7</v>
      </c>
      <c r="AN1028" t="str">
        <f t="shared" ca="1" si="444"/>
        <v>Subcritical</v>
      </c>
      <c r="AO1028">
        <f t="shared" ca="1" si="445"/>
        <v>2.2562304480281055E-12</v>
      </c>
    </row>
    <row r="1029" spans="1:41" x14ac:dyDescent="0.35">
      <c r="A1029">
        <v>880</v>
      </c>
      <c r="B1029">
        <v>878.88900000000001</v>
      </c>
      <c r="C1029">
        <v>616086.27899999998</v>
      </c>
      <c r="D1029">
        <v>3097124.9410000001</v>
      </c>
      <c r="E1029">
        <v>632.12249999999995</v>
      </c>
      <c r="F1029">
        <v>5.2</v>
      </c>
      <c r="G1029">
        <v>0</v>
      </c>
      <c r="H1029" t="s">
        <v>186</v>
      </c>
      <c r="I1029">
        <v>5.7000000000000002E-2</v>
      </c>
      <c r="J1029">
        <f t="shared" si="446"/>
        <v>1</v>
      </c>
      <c r="K1029">
        <f t="shared" si="447"/>
        <v>51</v>
      </c>
      <c r="L1029">
        <f t="shared" ca="1" si="448"/>
        <v>51797.843837663619</v>
      </c>
      <c r="M1029">
        <f t="shared" ca="1" si="425"/>
        <v>269348.78795585083</v>
      </c>
      <c r="N1029">
        <f t="shared" ca="1" si="426"/>
        <v>2.5998694991876676</v>
      </c>
      <c r="O1029">
        <f t="shared" ca="1" si="427"/>
        <v>1.8934557080078435E-4</v>
      </c>
      <c r="P1029">
        <f t="shared" ca="1" si="428"/>
        <v>52429.966337663616</v>
      </c>
      <c r="Q1029">
        <f t="shared" ca="1" si="429"/>
        <v>52429.966337665443</v>
      </c>
      <c r="R1029">
        <f t="shared" ca="1" si="430"/>
        <v>2.2564415439646509E-12</v>
      </c>
      <c r="S1029">
        <f t="shared" ca="1" si="449"/>
        <v>5.0000000192085281E-4</v>
      </c>
      <c r="T1029">
        <f t="shared" ca="1" si="450"/>
        <v>1</v>
      </c>
      <c r="U1029">
        <f t="shared" ca="1" si="431"/>
        <v>51800.26683766341</v>
      </c>
      <c r="V1029">
        <f t="shared" ca="1" si="432"/>
        <v>269361.38755584974</v>
      </c>
      <c r="W1029">
        <f t="shared" ca="1" si="433"/>
        <v>2.5998695052916441</v>
      </c>
      <c r="X1029">
        <f t="shared" ca="1" si="434"/>
        <v>1.8933671400629237E-4</v>
      </c>
      <c r="Y1029">
        <f t="shared" ca="1" si="435"/>
        <v>52432.389337663408</v>
      </c>
      <c r="Z1029">
        <f t="shared" ca="1" si="436"/>
        <v>52432.389337665234</v>
      </c>
      <c r="AA1029">
        <f t="shared" ca="1" si="437"/>
        <v>2.2562304480281055E-12</v>
      </c>
      <c r="AB1029">
        <f t="shared" ca="1" si="438"/>
        <v>-4.999999946448952E-4</v>
      </c>
      <c r="AC1029">
        <f t="shared" ca="1" si="439"/>
        <v>1</v>
      </c>
      <c r="AD1029">
        <f ca="1">IF(V32="Supercritical",L1029,IF(V32="Subcritical",U1029,IF(AND(T1029=1,AC1029=1),IF((((F1029)*(L1029)^2)/2+(G1029)*(L1029)^3/3+(ABS(K1029)^2)/($I$5*MAX(((F1029)+(G1029)*(L1029))*(L1029),0.000001)))&gt;=(((F1029)*(U1029)^2)/2+(G1029)*(U1029)^3/3+(ABS(K1029)^2)/($I$5*MAX(((F1029)+(G1029)*(U1029))*(U1029),0.000001))),L1029,U1029),IF(T1029=1,L1029,IF(AC1029=1,U1029,MAX($D$16,POWER((ABS(K1029)^2)/($I$5*MAX(F1029,0.1)^2),1/3)))))))</f>
        <v>51800.26683766341</v>
      </c>
      <c r="AE1029">
        <f t="shared" ca="1" si="440"/>
        <v>52432.389337663408</v>
      </c>
      <c r="AF1029">
        <f t="shared" ca="1" si="441"/>
        <v>52432.389337665234</v>
      </c>
      <c r="AI1029">
        <v>0</v>
      </c>
      <c r="AJ1029">
        <v>0</v>
      </c>
      <c r="AK1029">
        <f t="shared" si="442"/>
        <v>0</v>
      </c>
      <c r="AL1029">
        <f t="shared" si="451"/>
        <v>0</v>
      </c>
      <c r="AM1029">
        <f t="shared" ca="1" si="443"/>
        <v>2.6560383008097266E-7</v>
      </c>
      <c r="AN1029" t="str">
        <f t="shared" ca="1" si="444"/>
        <v>Subcritical</v>
      </c>
      <c r="AO1029">
        <f t="shared" ca="1" si="445"/>
        <v>2.2562304480281055E-12</v>
      </c>
    </row>
    <row r="1030" spans="1:41" x14ac:dyDescent="0.35">
      <c r="A1030">
        <v>881</v>
      </c>
      <c r="B1030">
        <v>879.88900000000001</v>
      </c>
      <c r="C1030">
        <v>616086.23699999996</v>
      </c>
      <c r="D1030">
        <v>3097123.9419999998</v>
      </c>
      <c r="E1030">
        <v>632.12199999999996</v>
      </c>
      <c r="F1030">
        <v>5.2</v>
      </c>
      <c r="G1030">
        <v>0</v>
      </c>
      <c r="H1030" t="s">
        <v>186</v>
      </c>
      <c r="I1030">
        <v>2E-3</v>
      </c>
      <c r="J1030">
        <f t="shared" si="446"/>
        <v>1</v>
      </c>
      <c r="K1030">
        <f t="shared" si="447"/>
        <v>51</v>
      </c>
      <c r="L1030">
        <f t="shared" ca="1" si="448"/>
        <v>51797.843837663619</v>
      </c>
      <c r="M1030">
        <f t="shared" ca="1" si="425"/>
        <v>269348.78795585083</v>
      </c>
      <c r="N1030">
        <f t="shared" ca="1" si="426"/>
        <v>2.5998694991876676</v>
      </c>
      <c r="O1030">
        <f t="shared" ca="1" si="427"/>
        <v>1.8934557080078435E-4</v>
      </c>
      <c r="P1030">
        <f t="shared" ca="1" si="428"/>
        <v>52429.965837663622</v>
      </c>
      <c r="Q1030">
        <f t="shared" ca="1" si="429"/>
        <v>52429.965837665448</v>
      </c>
      <c r="R1030">
        <f t="shared" ca="1" si="430"/>
        <v>2.2564415439646509E-12</v>
      </c>
      <c r="S1030">
        <f t="shared" ca="1" si="449"/>
        <v>4.999999946448952E-4</v>
      </c>
      <c r="T1030">
        <f t="shared" ca="1" si="450"/>
        <v>1</v>
      </c>
      <c r="U1030">
        <f t="shared" ca="1" si="431"/>
        <v>51800.26683766341</v>
      </c>
      <c r="V1030">
        <f t="shared" ca="1" si="432"/>
        <v>269361.38755584974</v>
      </c>
      <c r="W1030">
        <f t="shared" ca="1" si="433"/>
        <v>2.5998695052916441</v>
      </c>
      <c r="X1030">
        <f t="shared" ca="1" si="434"/>
        <v>1.8933671400629237E-4</v>
      </c>
      <c r="Y1030">
        <f t="shared" ca="1" si="435"/>
        <v>52432.388837663413</v>
      </c>
      <c r="Z1030">
        <f t="shared" ca="1" si="436"/>
        <v>52432.388837665239</v>
      </c>
      <c r="AA1030">
        <f t="shared" ca="1" si="437"/>
        <v>2.2562304480281055E-12</v>
      </c>
      <c r="AB1030">
        <f t="shared" ca="1" si="438"/>
        <v>-5.0000000192085281E-4</v>
      </c>
      <c r="AC1030">
        <f t="shared" ca="1" si="439"/>
        <v>1</v>
      </c>
      <c r="AD1030">
        <f ca="1">IF(V32="Supercritical",L1030,IF(V32="Subcritical",U1030,IF(AND(T1030=1,AC1030=1),IF((((F1030)*(L1030)^2)/2+(G1030)*(L1030)^3/3+(ABS(K1030)^2)/($I$5*MAX(((F1030)+(G1030)*(L1030))*(L1030),0.000001)))&gt;=(((F1030)*(U1030)^2)/2+(G1030)*(U1030)^3/3+(ABS(K1030)^2)/($I$5*MAX(((F1030)+(G1030)*(U1030))*(U1030),0.000001))),L1030,U1030),IF(T1030=1,L1030,IF(AC1030=1,U1030,MAX($D$16,POWER((ABS(K1030)^2)/($I$5*MAX(F1030,0.1)^2),1/3)))))))</f>
        <v>51800.26683766341</v>
      </c>
      <c r="AE1030">
        <f t="shared" ca="1" si="440"/>
        <v>52432.388837663413</v>
      </c>
      <c r="AF1030">
        <f t="shared" ca="1" si="441"/>
        <v>52432.388837665239</v>
      </c>
      <c r="AI1030">
        <v>0</v>
      </c>
      <c r="AJ1030">
        <v>0</v>
      </c>
      <c r="AK1030">
        <f t="shared" si="442"/>
        <v>0</v>
      </c>
      <c r="AL1030">
        <f t="shared" si="451"/>
        <v>0</v>
      </c>
      <c r="AM1030">
        <f t="shared" ca="1" si="443"/>
        <v>2.6560383008097266E-7</v>
      </c>
      <c r="AN1030" t="str">
        <f t="shared" ca="1" si="444"/>
        <v>Subcritical</v>
      </c>
      <c r="AO1030">
        <f t="shared" ca="1" si="445"/>
        <v>2.2562304480281055E-12</v>
      </c>
    </row>
    <row r="1031" spans="1:41" x14ac:dyDescent="0.35">
      <c r="A1031">
        <v>882</v>
      </c>
      <c r="B1031">
        <v>880.89</v>
      </c>
      <c r="C1031">
        <v>616086.19499999995</v>
      </c>
      <c r="D1031">
        <v>3097122.9419999998</v>
      </c>
      <c r="E1031">
        <v>632.12149999999997</v>
      </c>
      <c r="F1031">
        <v>5.2</v>
      </c>
      <c r="G1031">
        <v>0</v>
      </c>
      <c r="H1031" t="s">
        <v>186</v>
      </c>
      <c r="I1031">
        <v>2E-3</v>
      </c>
      <c r="J1031">
        <f t="shared" si="446"/>
        <v>1.0009999999999764</v>
      </c>
      <c r="K1031">
        <f t="shared" si="447"/>
        <v>51</v>
      </c>
      <c r="L1031">
        <f t="shared" ca="1" si="448"/>
        <v>51797.843837663619</v>
      </c>
      <c r="M1031">
        <f t="shared" ca="1" si="425"/>
        <v>269348.78795585083</v>
      </c>
      <c r="N1031">
        <f t="shared" ca="1" si="426"/>
        <v>2.5998694991876676</v>
      </c>
      <c r="O1031">
        <f t="shared" ca="1" si="427"/>
        <v>1.8934557080078435E-4</v>
      </c>
      <c r="P1031">
        <f t="shared" ca="1" si="428"/>
        <v>52429.96533766362</v>
      </c>
      <c r="Q1031">
        <f t="shared" ca="1" si="429"/>
        <v>52429.965337665446</v>
      </c>
      <c r="R1031">
        <f t="shared" ca="1" si="430"/>
        <v>2.2564415439646509E-12</v>
      </c>
      <c r="S1031">
        <f t="shared" ca="1" si="449"/>
        <v>5.0000000192085281E-4</v>
      </c>
      <c r="T1031">
        <f t="shared" ca="1" si="450"/>
        <v>1</v>
      </c>
      <c r="U1031">
        <f t="shared" ca="1" si="431"/>
        <v>51800.26683766341</v>
      </c>
      <c r="V1031">
        <f t="shared" ca="1" si="432"/>
        <v>269361.38755584974</v>
      </c>
      <c r="W1031">
        <f t="shared" ca="1" si="433"/>
        <v>2.5998695052916441</v>
      </c>
      <c r="X1031">
        <f t="shared" ca="1" si="434"/>
        <v>1.8933671400629237E-4</v>
      </c>
      <c r="Y1031">
        <f t="shared" ca="1" si="435"/>
        <v>52432.388337663411</v>
      </c>
      <c r="Z1031">
        <f t="shared" ca="1" si="436"/>
        <v>52432.388337665237</v>
      </c>
      <c r="AA1031">
        <f t="shared" ca="1" si="437"/>
        <v>2.2562304480281055E-12</v>
      </c>
      <c r="AB1031">
        <f t="shared" ca="1" si="438"/>
        <v>-5.0000000192085281E-4</v>
      </c>
      <c r="AC1031">
        <f t="shared" ca="1" si="439"/>
        <v>1</v>
      </c>
      <c r="AD1031">
        <f ca="1">IF(V32="Supercritical",L1031,IF(V32="Subcritical",U1031,IF(AND(T1031=1,AC1031=1),IF((((F1031)*(L1031)^2)/2+(G1031)*(L1031)^3/3+(ABS(K1031)^2)/($I$5*MAX(((F1031)+(G1031)*(L1031))*(L1031),0.000001)))&gt;=(((F1031)*(U1031)^2)/2+(G1031)*(U1031)^3/3+(ABS(K1031)^2)/($I$5*MAX(((F1031)+(G1031)*(U1031))*(U1031),0.000001))),L1031,U1031),IF(T1031=1,L1031,IF(AC1031=1,U1031,MAX($D$16,POWER((ABS(K1031)^2)/($I$5*MAX(F1031,0.1)^2),1/3)))))))</f>
        <v>51800.26683766341</v>
      </c>
      <c r="AE1031">
        <f t="shared" ca="1" si="440"/>
        <v>52432.388337663411</v>
      </c>
      <c r="AF1031">
        <f t="shared" ca="1" si="441"/>
        <v>52432.388337665237</v>
      </c>
      <c r="AI1031">
        <v>0</v>
      </c>
      <c r="AJ1031">
        <v>0</v>
      </c>
      <c r="AK1031">
        <f t="shared" si="442"/>
        <v>0</v>
      </c>
      <c r="AL1031">
        <f t="shared" si="451"/>
        <v>0</v>
      </c>
      <c r="AM1031">
        <f t="shared" ca="1" si="443"/>
        <v>2.6560383008097266E-7</v>
      </c>
      <c r="AN1031" t="str">
        <f t="shared" ca="1" si="444"/>
        <v>Subcritical</v>
      </c>
      <c r="AO1031">
        <f t="shared" ca="1" si="445"/>
        <v>2.2562304480281055E-12</v>
      </c>
    </row>
    <row r="1032" spans="1:41" x14ac:dyDescent="0.35">
      <c r="A1032">
        <v>883</v>
      </c>
      <c r="B1032">
        <v>881.89</v>
      </c>
      <c r="C1032">
        <v>616086.15300000005</v>
      </c>
      <c r="D1032">
        <v>3097121.943</v>
      </c>
      <c r="E1032">
        <v>632.12099999999998</v>
      </c>
      <c r="F1032">
        <v>5.2</v>
      </c>
      <c r="G1032">
        <v>0</v>
      </c>
      <c r="H1032" t="s">
        <v>186</v>
      </c>
      <c r="I1032">
        <v>5.7000000000000002E-2</v>
      </c>
      <c r="J1032">
        <f t="shared" si="446"/>
        <v>1</v>
      </c>
      <c r="K1032">
        <f t="shared" si="447"/>
        <v>51</v>
      </c>
      <c r="L1032">
        <f t="shared" ca="1" si="448"/>
        <v>51797.843837663619</v>
      </c>
      <c r="M1032">
        <f t="shared" ca="1" si="425"/>
        <v>269348.78795585083</v>
      </c>
      <c r="N1032">
        <f t="shared" ca="1" si="426"/>
        <v>2.5998694991876676</v>
      </c>
      <c r="O1032">
        <f t="shared" ca="1" si="427"/>
        <v>1.8934557080078435E-4</v>
      </c>
      <c r="P1032">
        <f t="shared" ca="1" si="428"/>
        <v>52429.964837663618</v>
      </c>
      <c r="Q1032">
        <f t="shared" ca="1" si="429"/>
        <v>52429.964837665444</v>
      </c>
      <c r="R1032">
        <f t="shared" ca="1" si="430"/>
        <v>2.2564415439646509E-12</v>
      </c>
      <c r="S1032">
        <f t="shared" ca="1" si="449"/>
        <v>5.0000000192085281E-4</v>
      </c>
      <c r="T1032">
        <f t="shared" ca="1" si="450"/>
        <v>1</v>
      </c>
      <c r="U1032">
        <f t="shared" ca="1" si="431"/>
        <v>51800.26683766341</v>
      </c>
      <c r="V1032">
        <f t="shared" ca="1" si="432"/>
        <v>269361.38755584974</v>
      </c>
      <c r="W1032">
        <f t="shared" ca="1" si="433"/>
        <v>2.5998695052916441</v>
      </c>
      <c r="X1032">
        <f t="shared" ca="1" si="434"/>
        <v>1.8933671400629237E-4</v>
      </c>
      <c r="Y1032">
        <f t="shared" ca="1" si="435"/>
        <v>52432.387837663409</v>
      </c>
      <c r="Z1032">
        <f t="shared" ca="1" si="436"/>
        <v>52432.387837665236</v>
      </c>
      <c r="AA1032">
        <f t="shared" ca="1" si="437"/>
        <v>2.2562304480281055E-12</v>
      </c>
      <c r="AB1032">
        <f t="shared" ca="1" si="438"/>
        <v>-5.0000000192085281E-4</v>
      </c>
      <c r="AC1032">
        <f t="shared" ca="1" si="439"/>
        <v>1</v>
      </c>
      <c r="AD1032">
        <f ca="1">IF(V32="Supercritical",L1032,IF(V32="Subcritical",U1032,IF(AND(T1032=1,AC1032=1),IF((((F1032)*(L1032)^2)/2+(G1032)*(L1032)^3/3+(ABS(K1032)^2)/($I$5*MAX(((F1032)+(G1032)*(L1032))*(L1032),0.000001)))&gt;=(((F1032)*(U1032)^2)/2+(G1032)*(U1032)^3/3+(ABS(K1032)^2)/($I$5*MAX(((F1032)+(G1032)*(U1032))*(U1032),0.000001))),L1032,U1032),IF(T1032=1,L1032,IF(AC1032=1,U1032,MAX($D$16,POWER((ABS(K1032)^2)/($I$5*MAX(F1032,0.1)^2),1/3)))))))</f>
        <v>51800.26683766341</v>
      </c>
      <c r="AE1032">
        <f t="shared" ca="1" si="440"/>
        <v>52432.387837663409</v>
      </c>
      <c r="AF1032">
        <f t="shared" ca="1" si="441"/>
        <v>52432.387837665236</v>
      </c>
      <c r="AI1032">
        <v>0</v>
      </c>
      <c r="AJ1032">
        <v>0</v>
      </c>
      <c r="AK1032">
        <f t="shared" si="442"/>
        <v>0</v>
      </c>
      <c r="AL1032">
        <f t="shared" si="451"/>
        <v>0</v>
      </c>
      <c r="AM1032">
        <f t="shared" ca="1" si="443"/>
        <v>2.6560383008097266E-7</v>
      </c>
      <c r="AN1032" t="str">
        <f t="shared" ca="1" si="444"/>
        <v>Subcritical</v>
      </c>
      <c r="AO1032">
        <f t="shared" ca="1" si="445"/>
        <v>2.2562304480281055E-12</v>
      </c>
    </row>
    <row r="1033" spans="1:41" x14ac:dyDescent="0.35">
      <c r="A1033">
        <v>884</v>
      </c>
      <c r="B1033">
        <v>882.88900000000001</v>
      </c>
      <c r="C1033">
        <v>616086.11</v>
      </c>
      <c r="D1033">
        <v>3097120.9440000001</v>
      </c>
      <c r="E1033">
        <v>632.12049999999999</v>
      </c>
      <c r="F1033">
        <v>5.2</v>
      </c>
      <c r="G1033">
        <v>0</v>
      </c>
      <c r="H1033" t="s">
        <v>186</v>
      </c>
      <c r="I1033">
        <v>5.7000000000000002E-2</v>
      </c>
      <c r="J1033">
        <f t="shared" si="446"/>
        <v>0.99900000000002365</v>
      </c>
      <c r="K1033">
        <f t="shared" si="447"/>
        <v>51</v>
      </c>
      <c r="L1033">
        <f t="shared" ca="1" si="448"/>
        <v>51797.843837663619</v>
      </c>
      <c r="M1033">
        <f t="shared" ca="1" si="425"/>
        <v>269348.78795585083</v>
      </c>
      <c r="N1033">
        <f t="shared" ca="1" si="426"/>
        <v>2.5998694991876676</v>
      </c>
      <c r="O1033">
        <f t="shared" ca="1" si="427"/>
        <v>1.8934557080078435E-4</v>
      </c>
      <c r="P1033">
        <f t="shared" ca="1" si="428"/>
        <v>52429.964337663616</v>
      </c>
      <c r="Q1033">
        <f t="shared" ca="1" si="429"/>
        <v>52429.964337665442</v>
      </c>
      <c r="R1033">
        <f t="shared" ca="1" si="430"/>
        <v>2.2564415439646509E-12</v>
      </c>
      <c r="S1033">
        <f t="shared" ca="1" si="449"/>
        <v>5.0000000192085281E-4</v>
      </c>
      <c r="T1033">
        <f t="shared" ca="1" si="450"/>
        <v>1</v>
      </c>
      <c r="U1033">
        <f t="shared" ca="1" si="431"/>
        <v>51800.26683766341</v>
      </c>
      <c r="V1033">
        <f t="shared" ca="1" si="432"/>
        <v>269361.38755584974</v>
      </c>
      <c r="W1033">
        <f t="shared" ca="1" si="433"/>
        <v>2.5998695052916441</v>
      </c>
      <c r="X1033">
        <f t="shared" ca="1" si="434"/>
        <v>1.8933671400629237E-4</v>
      </c>
      <c r="Y1033">
        <f t="shared" ca="1" si="435"/>
        <v>52432.387337663407</v>
      </c>
      <c r="Z1033">
        <f t="shared" ca="1" si="436"/>
        <v>52432.387337665234</v>
      </c>
      <c r="AA1033">
        <f t="shared" ca="1" si="437"/>
        <v>2.2562304480281055E-12</v>
      </c>
      <c r="AB1033">
        <f t="shared" ca="1" si="438"/>
        <v>-4.999999946448952E-4</v>
      </c>
      <c r="AC1033">
        <f t="shared" ca="1" si="439"/>
        <v>1</v>
      </c>
      <c r="AD1033">
        <f ca="1">IF(V32="Supercritical",L1033,IF(V32="Subcritical",U1033,IF(AND(T1033=1,AC1033=1),IF((((F1033)*(L1033)^2)/2+(G1033)*(L1033)^3/3+(ABS(K1033)^2)/($I$5*MAX(((F1033)+(G1033)*(L1033))*(L1033),0.000001)))&gt;=(((F1033)*(U1033)^2)/2+(G1033)*(U1033)^3/3+(ABS(K1033)^2)/($I$5*MAX(((F1033)+(G1033)*(U1033))*(U1033),0.000001))),L1033,U1033),IF(T1033=1,L1033,IF(AC1033=1,U1033,MAX($D$16,POWER((ABS(K1033)^2)/($I$5*MAX(F1033,0.1)^2),1/3)))))))</f>
        <v>51800.26683766341</v>
      </c>
      <c r="AE1033">
        <f t="shared" ca="1" si="440"/>
        <v>52432.387337663407</v>
      </c>
      <c r="AF1033">
        <f t="shared" ca="1" si="441"/>
        <v>52432.387337665234</v>
      </c>
      <c r="AI1033">
        <v>0</v>
      </c>
      <c r="AJ1033">
        <v>0</v>
      </c>
      <c r="AK1033">
        <f t="shared" si="442"/>
        <v>0</v>
      </c>
      <c r="AL1033">
        <f t="shared" si="451"/>
        <v>0</v>
      </c>
      <c r="AM1033">
        <f t="shared" ca="1" si="443"/>
        <v>2.6560383008097266E-7</v>
      </c>
      <c r="AN1033" t="str">
        <f t="shared" ca="1" si="444"/>
        <v>Subcritical</v>
      </c>
      <c r="AO1033">
        <f t="shared" ca="1" si="445"/>
        <v>2.2562304480281055E-12</v>
      </c>
    </row>
    <row r="1034" spans="1:41" x14ac:dyDescent="0.35">
      <c r="A1034">
        <v>885</v>
      </c>
      <c r="B1034">
        <v>883.88900000000001</v>
      </c>
      <c r="C1034">
        <v>616086.06799999997</v>
      </c>
      <c r="D1034">
        <v>3097119.9449999998</v>
      </c>
      <c r="E1034">
        <v>632.12</v>
      </c>
      <c r="F1034">
        <v>5.2</v>
      </c>
      <c r="G1034">
        <v>0</v>
      </c>
      <c r="H1034" t="s">
        <v>186</v>
      </c>
      <c r="I1034">
        <v>0</v>
      </c>
      <c r="J1034">
        <f t="shared" si="446"/>
        <v>1</v>
      </c>
      <c r="K1034">
        <f t="shared" si="447"/>
        <v>51</v>
      </c>
      <c r="L1034">
        <f t="shared" ca="1" si="448"/>
        <v>51797.843837663619</v>
      </c>
      <c r="M1034">
        <f t="shared" ca="1" si="425"/>
        <v>269348.78795585083</v>
      </c>
      <c r="N1034">
        <f t="shared" ca="1" si="426"/>
        <v>2.5998694991876676</v>
      </c>
      <c r="O1034">
        <f t="shared" ca="1" si="427"/>
        <v>1.8934557080078435E-4</v>
      </c>
      <c r="P1034">
        <f t="shared" ca="1" si="428"/>
        <v>52429.963837663621</v>
      </c>
      <c r="Q1034">
        <f t="shared" ca="1" si="429"/>
        <v>52429.963837665447</v>
      </c>
      <c r="R1034">
        <f t="shared" ca="1" si="430"/>
        <v>2.2564415439646509E-12</v>
      </c>
      <c r="S1034">
        <f t="shared" ca="1" si="449"/>
        <v>4.999999946448952E-4</v>
      </c>
      <c r="T1034">
        <f t="shared" ca="1" si="450"/>
        <v>1</v>
      </c>
      <c r="U1034">
        <f t="shared" ca="1" si="431"/>
        <v>51800.26683766341</v>
      </c>
      <c r="V1034">
        <f t="shared" ca="1" si="432"/>
        <v>269361.38755584974</v>
      </c>
      <c r="W1034">
        <f t="shared" ca="1" si="433"/>
        <v>2.5998695052916441</v>
      </c>
      <c r="X1034">
        <f t="shared" ca="1" si="434"/>
        <v>1.8933671400629237E-4</v>
      </c>
      <c r="Y1034">
        <f t="shared" ca="1" si="435"/>
        <v>52432.386837663413</v>
      </c>
      <c r="Z1034">
        <f t="shared" ca="1" si="436"/>
        <v>52432.386837665239</v>
      </c>
      <c r="AA1034">
        <f t="shared" ca="1" si="437"/>
        <v>2.2562304480281055E-12</v>
      </c>
      <c r="AB1034">
        <f t="shared" ca="1" si="438"/>
        <v>-5.0000000192085281E-4</v>
      </c>
      <c r="AC1034">
        <f t="shared" ca="1" si="439"/>
        <v>1</v>
      </c>
      <c r="AD1034">
        <f ca="1">IF(V32="Supercritical",L1034,IF(V32="Subcritical",U1034,IF(AND(T1034=1,AC1034=1),IF((((F1034)*(L1034)^2)/2+(G1034)*(L1034)^3/3+(ABS(K1034)^2)/($I$5*MAX(((F1034)+(G1034)*(L1034))*(L1034),0.000001)))&gt;=(((F1034)*(U1034)^2)/2+(G1034)*(U1034)^3/3+(ABS(K1034)^2)/($I$5*MAX(((F1034)+(G1034)*(U1034))*(U1034),0.000001))),L1034,U1034),IF(T1034=1,L1034,IF(AC1034=1,U1034,MAX($D$16,POWER((ABS(K1034)^2)/($I$5*MAX(F1034,0.1)^2),1/3)))))))</f>
        <v>51800.26683766341</v>
      </c>
      <c r="AE1034">
        <f t="shared" ca="1" si="440"/>
        <v>52432.386837663413</v>
      </c>
      <c r="AF1034">
        <f t="shared" ca="1" si="441"/>
        <v>52432.386837665239</v>
      </c>
      <c r="AI1034">
        <v>0</v>
      </c>
      <c r="AJ1034">
        <v>0</v>
      </c>
      <c r="AK1034">
        <f t="shared" si="442"/>
        <v>0</v>
      </c>
      <c r="AL1034">
        <f t="shared" si="451"/>
        <v>0</v>
      </c>
      <c r="AM1034">
        <f t="shared" ca="1" si="443"/>
        <v>2.6560383008097266E-7</v>
      </c>
      <c r="AN1034" t="str">
        <f t="shared" ca="1" si="444"/>
        <v>Subcritical</v>
      </c>
      <c r="AO1034">
        <f t="shared" ca="1" si="445"/>
        <v>2.2562304480281055E-12</v>
      </c>
    </row>
    <row r="1035" spans="1:41" x14ac:dyDescent="0.35">
      <c r="A1035">
        <v>886</v>
      </c>
      <c r="B1035">
        <v>884.88900000000001</v>
      </c>
      <c r="C1035">
        <v>616086.02599999995</v>
      </c>
      <c r="D1035">
        <v>3097118.946</v>
      </c>
      <c r="E1035">
        <v>632.11950000000002</v>
      </c>
      <c r="F1035">
        <v>5.2</v>
      </c>
      <c r="G1035">
        <v>0</v>
      </c>
      <c r="H1035" t="s">
        <v>186</v>
      </c>
      <c r="I1035">
        <v>0</v>
      </c>
      <c r="J1035">
        <f t="shared" si="446"/>
        <v>1</v>
      </c>
      <c r="K1035">
        <f t="shared" si="447"/>
        <v>51</v>
      </c>
      <c r="L1035">
        <f t="shared" ca="1" si="448"/>
        <v>51797.843837663619</v>
      </c>
      <c r="M1035">
        <f t="shared" ca="1" si="425"/>
        <v>269348.78795585083</v>
      </c>
      <c r="N1035">
        <f t="shared" ca="1" si="426"/>
        <v>2.5998694991876676</v>
      </c>
      <c r="O1035">
        <f t="shared" ca="1" si="427"/>
        <v>1.8934557080078435E-4</v>
      </c>
      <c r="P1035">
        <f t="shared" ca="1" si="428"/>
        <v>52429.963337663619</v>
      </c>
      <c r="Q1035">
        <f t="shared" ca="1" si="429"/>
        <v>52429.963337665446</v>
      </c>
      <c r="R1035">
        <f t="shared" ca="1" si="430"/>
        <v>2.2564415439646509E-12</v>
      </c>
      <c r="S1035">
        <f t="shared" ca="1" si="449"/>
        <v>5.0000000192085281E-4</v>
      </c>
      <c r="T1035">
        <f t="shared" ca="1" si="450"/>
        <v>1</v>
      </c>
      <c r="U1035">
        <f t="shared" ca="1" si="431"/>
        <v>51800.26683766341</v>
      </c>
      <c r="V1035">
        <f t="shared" ca="1" si="432"/>
        <v>269361.38755584974</v>
      </c>
      <c r="W1035">
        <f t="shared" ca="1" si="433"/>
        <v>2.5998695052916441</v>
      </c>
      <c r="X1035">
        <f t="shared" ca="1" si="434"/>
        <v>1.8933671400629237E-4</v>
      </c>
      <c r="Y1035">
        <f t="shared" ca="1" si="435"/>
        <v>52432.386337663411</v>
      </c>
      <c r="Z1035">
        <f t="shared" ca="1" si="436"/>
        <v>52432.386337665237</v>
      </c>
      <c r="AA1035">
        <f t="shared" ca="1" si="437"/>
        <v>2.2562304480281055E-12</v>
      </c>
      <c r="AB1035">
        <f t="shared" ca="1" si="438"/>
        <v>-5.0000000192085281E-4</v>
      </c>
      <c r="AC1035">
        <f t="shared" ca="1" si="439"/>
        <v>1</v>
      </c>
      <c r="AD1035">
        <f ca="1">IF(V32="Supercritical",L1035,IF(V32="Subcritical",U1035,IF(AND(T1035=1,AC1035=1),IF((((F1035)*(L1035)^2)/2+(G1035)*(L1035)^3/3+(ABS(K1035)^2)/($I$5*MAX(((F1035)+(G1035)*(L1035))*(L1035),0.000001)))&gt;=(((F1035)*(U1035)^2)/2+(G1035)*(U1035)^3/3+(ABS(K1035)^2)/($I$5*MAX(((F1035)+(G1035)*(U1035))*(U1035),0.000001))),L1035,U1035),IF(T1035=1,L1035,IF(AC1035=1,U1035,MAX($D$16,POWER((ABS(K1035)^2)/($I$5*MAX(F1035,0.1)^2),1/3)))))))</f>
        <v>51800.26683766341</v>
      </c>
      <c r="AE1035">
        <f t="shared" ca="1" si="440"/>
        <v>52432.386337663411</v>
      </c>
      <c r="AF1035">
        <f t="shared" ca="1" si="441"/>
        <v>52432.386337665237</v>
      </c>
      <c r="AI1035">
        <v>0</v>
      </c>
      <c r="AJ1035">
        <v>0</v>
      </c>
      <c r="AK1035">
        <f t="shared" si="442"/>
        <v>0</v>
      </c>
      <c r="AL1035">
        <f t="shared" si="451"/>
        <v>0</v>
      </c>
      <c r="AM1035">
        <f t="shared" ca="1" si="443"/>
        <v>2.6560383008097266E-7</v>
      </c>
      <c r="AN1035" t="str">
        <f t="shared" ca="1" si="444"/>
        <v>Subcritical</v>
      </c>
      <c r="AO1035">
        <f t="shared" ca="1" si="445"/>
        <v>2.2562304480281055E-12</v>
      </c>
    </row>
    <row r="1036" spans="1:41" x14ac:dyDescent="0.35">
      <c r="A1036">
        <v>887</v>
      </c>
      <c r="B1036">
        <v>885.88900000000001</v>
      </c>
      <c r="C1036">
        <v>616085.98400000005</v>
      </c>
      <c r="D1036">
        <v>3097117.9470000002</v>
      </c>
      <c r="E1036">
        <v>632.11900000000003</v>
      </c>
      <c r="F1036">
        <v>5.2</v>
      </c>
      <c r="G1036">
        <v>0</v>
      </c>
      <c r="H1036" t="s">
        <v>186</v>
      </c>
      <c r="I1036">
        <v>5.7000000000000002E-2</v>
      </c>
      <c r="J1036">
        <f t="shared" si="446"/>
        <v>1</v>
      </c>
      <c r="K1036">
        <f t="shared" si="447"/>
        <v>51</v>
      </c>
      <c r="L1036">
        <f t="shared" ca="1" si="448"/>
        <v>51797.843837663619</v>
      </c>
      <c r="M1036">
        <f t="shared" ca="1" si="425"/>
        <v>269348.78795585083</v>
      </c>
      <c r="N1036">
        <f t="shared" ca="1" si="426"/>
        <v>2.5998694991876676</v>
      </c>
      <c r="O1036">
        <f t="shared" ca="1" si="427"/>
        <v>1.8934557080078435E-4</v>
      </c>
      <c r="P1036">
        <f t="shared" ca="1" si="428"/>
        <v>52429.962837663617</v>
      </c>
      <c r="Q1036">
        <f t="shared" ca="1" si="429"/>
        <v>52429.962837665444</v>
      </c>
      <c r="R1036">
        <f t="shared" ca="1" si="430"/>
        <v>2.2564415439646509E-12</v>
      </c>
      <c r="S1036">
        <f t="shared" ca="1" si="449"/>
        <v>5.0000000192085281E-4</v>
      </c>
      <c r="T1036">
        <f t="shared" ca="1" si="450"/>
        <v>1</v>
      </c>
      <c r="U1036">
        <f t="shared" ca="1" si="431"/>
        <v>51800.26683766341</v>
      </c>
      <c r="V1036">
        <f t="shared" ca="1" si="432"/>
        <v>269361.38755584974</v>
      </c>
      <c r="W1036">
        <f t="shared" ca="1" si="433"/>
        <v>2.5998695052916441</v>
      </c>
      <c r="X1036">
        <f t="shared" ca="1" si="434"/>
        <v>1.8933671400629237E-4</v>
      </c>
      <c r="Y1036">
        <f t="shared" ca="1" si="435"/>
        <v>52432.385837663409</v>
      </c>
      <c r="Z1036">
        <f t="shared" ca="1" si="436"/>
        <v>52432.385837665235</v>
      </c>
      <c r="AA1036">
        <f t="shared" ca="1" si="437"/>
        <v>2.2562304480281055E-12</v>
      </c>
      <c r="AB1036">
        <f t="shared" ca="1" si="438"/>
        <v>-5.0000000192085281E-4</v>
      </c>
      <c r="AC1036">
        <f t="shared" ca="1" si="439"/>
        <v>1</v>
      </c>
      <c r="AD1036">
        <f ca="1">IF(V32="Supercritical",L1036,IF(V32="Subcritical",U1036,IF(AND(T1036=1,AC1036=1),IF((((F1036)*(L1036)^2)/2+(G1036)*(L1036)^3/3+(ABS(K1036)^2)/($I$5*MAX(((F1036)+(G1036)*(L1036))*(L1036),0.000001)))&gt;=(((F1036)*(U1036)^2)/2+(G1036)*(U1036)^3/3+(ABS(K1036)^2)/($I$5*MAX(((F1036)+(G1036)*(U1036))*(U1036),0.000001))),L1036,U1036),IF(T1036=1,L1036,IF(AC1036=1,U1036,MAX($D$16,POWER((ABS(K1036)^2)/($I$5*MAX(F1036,0.1)^2),1/3)))))))</f>
        <v>51800.26683766341</v>
      </c>
      <c r="AE1036">
        <f t="shared" ca="1" si="440"/>
        <v>52432.385837663409</v>
      </c>
      <c r="AF1036">
        <f t="shared" ca="1" si="441"/>
        <v>52432.385837665235</v>
      </c>
      <c r="AI1036">
        <v>0</v>
      </c>
      <c r="AJ1036">
        <v>0</v>
      </c>
      <c r="AK1036">
        <f t="shared" si="442"/>
        <v>0</v>
      </c>
      <c r="AL1036">
        <f t="shared" si="451"/>
        <v>0</v>
      </c>
      <c r="AM1036">
        <f t="shared" ca="1" si="443"/>
        <v>2.6560383008097266E-7</v>
      </c>
      <c r="AN1036" t="str">
        <f t="shared" ca="1" si="444"/>
        <v>Subcritical</v>
      </c>
      <c r="AO1036">
        <f t="shared" ca="1" si="445"/>
        <v>2.2562304480281055E-12</v>
      </c>
    </row>
    <row r="1037" spans="1:41" x14ac:dyDescent="0.35">
      <c r="A1037">
        <v>888</v>
      </c>
      <c r="B1037">
        <v>886.88900000000001</v>
      </c>
      <c r="C1037">
        <v>616085.94099999999</v>
      </c>
      <c r="D1037">
        <v>3097116.9479999999</v>
      </c>
      <c r="E1037">
        <v>632.11850000000004</v>
      </c>
      <c r="F1037">
        <v>5.2</v>
      </c>
      <c r="G1037">
        <v>0</v>
      </c>
      <c r="H1037" t="s">
        <v>186</v>
      </c>
      <c r="I1037">
        <v>5.7000000000000002E-2</v>
      </c>
      <c r="J1037">
        <f t="shared" si="446"/>
        <v>1</v>
      </c>
      <c r="K1037">
        <f t="shared" si="447"/>
        <v>51</v>
      </c>
      <c r="L1037">
        <f t="shared" ca="1" si="448"/>
        <v>51797.843837663619</v>
      </c>
      <c r="M1037">
        <f t="shared" ca="1" si="425"/>
        <v>269348.78795585083</v>
      </c>
      <c r="N1037">
        <f t="shared" ca="1" si="426"/>
        <v>2.5998694991876676</v>
      </c>
      <c r="O1037">
        <f t="shared" ca="1" si="427"/>
        <v>1.8934557080078435E-4</v>
      </c>
      <c r="P1037">
        <f t="shared" ca="1" si="428"/>
        <v>52429.962337663615</v>
      </c>
      <c r="Q1037">
        <f t="shared" ca="1" si="429"/>
        <v>52429.962337665442</v>
      </c>
      <c r="R1037">
        <f t="shared" ca="1" si="430"/>
        <v>2.2564415439646509E-12</v>
      </c>
      <c r="S1037">
        <f t="shared" ca="1" si="449"/>
        <v>5.0000000192085281E-4</v>
      </c>
      <c r="T1037">
        <f t="shared" ca="1" si="450"/>
        <v>1</v>
      </c>
      <c r="U1037">
        <f t="shared" ca="1" si="431"/>
        <v>51800.26683766341</v>
      </c>
      <c r="V1037">
        <f t="shared" ca="1" si="432"/>
        <v>269361.38755584974</v>
      </c>
      <c r="W1037">
        <f t="shared" ca="1" si="433"/>
        <v>2.5998695052916441</v>
      </c>
      <c r="X1037">
        <f t="shared" ca="1" si="434"/>
        <v>1.8933671400629237E-4</v>
      </c>
      <c r="Y1037">
        <f t="shared" ca="1" si="435"/>
        <v>52432.385337663407</v>
      </c>
      <c r="Z1037">
        <f t="shared" ca="1" si="436"/>
        <v>52432.385337665233</v>
      </c>
      <c r="AA1037">
        <f t="shared" ca="1" si="437"/>
        <v>2.2562304480281055E-12</v>
      </c>
      <c r="AB1037">
        <f t="shared" ca="1" si="438"/>
        <v>-4.999999946448952E-4</v>
      </c>
      <c r="AC1037">
        <f t="shared" ca="1" si="439"/>
        <v>1</v>
      </c>
      <c r="AD1037">
        <f ca="1">IF(V32="Supercritical",L1037,IF(V32="Subcritical",U1037,IF(AND(T1037=1,AC1037=1),IF((((F1037)*(L1037)^2)/2+(G1037)*(L1037)^3/3+(ABS(K1037)^2)/($I$5*MAX(((F1037)+(G1037)*(L1037))*(L1037),0.000001)))&gt;=(((F1037)*(U1037)^2)/2+(G1037)*(U1037)^3/3+(ABS(K1037)^2)/($I$5*MAX(((F1037)+(G1037)*(U1037))*(U1037),0.000001))),L1037,U1037),IF(T1037=1,L1037,IF(AC1037=1,U1037,MAX($D$16,POWER((ABS(K1037)^2)/($I$5*MAX(F1037,0.1)^2),1/3)))))))</f>
        <v>51800.26683766341</v>
      </c>
      <c r="AE1037">
        <f t="shared" ca="1" si="440"/>
        <v>52432.385337663407</v>
      </c>
      <c r="AF1037">
        <f t="shared" ca="1" si="441"/>
        <v>52432.385337665233</v>
      </c>
      <c r="AI1037">
        <v>0</v>
      </c>
      <c r="AJ1037">
        <v>0</v>
      </c>
      <c r="AK1037">
        <f t="shared" si="442"/>
        <v>0</v>
      </c>
      <c r="AL1037">
        <f t="shared" si="451"/>
        <v>0</v>
      </c>
      <c r="AM1037">
        <f t="shared" ca="1" si="443"/>
        <v>2.6560383008097266E-7</v>
      </c>
      <c r="AN1037" t="str">
        <f t="shared" ca="1" si="444"/>
        <v>Subcritical</v>
      </c>
      <c r="AO1037">
        <f t="shared" ca="1" si="445"/>
        <v>2.2562304480281055E-12</v>
      </c>
    </row>
    <row r="1038" spans="1:41" x14ac:dyDescent="0.35">
      <c r="A1038">
        <v>889</v>
      </c>
      <c r="B1038">
        <v>887.88900000000001</v>
      </c>
      <c r="C1038">
        <v>616085.89899999998</v>
      </c>
      <c r="D1038">
        <v>3097115.949</v>
      </c>
      <c r="E1038">
        <v>632.11800000000005</v>
      </c>
      <c r="F1038">
        <v>5.2</v>
      </c>
      <c r="G1038">
        <v>0</v>
      </c>
      <c r="H1038" t="s">
        <v>186</v>
      </c>
      <c r="I1038">
        <v>0</v>
      </c>
      <c r="J1038">
        <f t="shared" si="446"/>
        <v>1</v>
      </c>
      <c r="K1038">
        <f t="shared" si="447"/>
        <v>51</v>
      </c>
      <c r="L1038">
        <f t="shared" ca="1" si="448"/>
        <v>51797.843837663619</v>
      </c>
      <c r="M1038">
        <f t="shared" ca="1" si="425"/>
        <v>269348.78795585083</v>
      </c>
      <c r="N1038">
        <f t="shared" ca="1" si="426"/>
        <v>2.5998694991876676</v>
      </c>
      <c r="O1038">
        <f t="shared" ca="1" si="427"/>
        <v>1.8934557080078435E-4</v>
      </c>
      <c r="P1038">
        <f t="shared" ca="1" si="428"/>
        <v>52429.961837663621</v>
      </c>
      <c r="Q1038">
        <f t="shared" ca="1" si="429"/>
        <v>52429.961837665447</v>
      </c>
      <c r="R1038">
        <f t="shared" ca="1" si="430"/>
        <v>2.2564415439646509E-12</v>
      </c>
      <c r="S1038">
        <f t="shared" ca="1" si="449"/>
        <v>4.999999946448952E-4</v>
      </c>
      <c r="T1038">
        <f t="shared" ca="1" si="450"/>
        <v>1</v>
      </c>
      <c r="U1038">
        <f t="shared" ca="1" si="431"/>
        <v>51800.26683766341</v>
      </c>
      <c r="V1038">
        <f t="shared" ca="1" si="432"/>
        <v>269361.38755584974</v>
      </c>
      <c r="W1038">
        <f t="shared" ca="1" si="433"/>
        <v>2.5998695052916441</v>
      </c>
      <c r="X1038">
        <f t="shared" ca="1" si="434"/>
        <v>1.8933671400629237E-4</v>
      </c>
      <c r="Y1038">
        <f t="shared" ca="1" si="435"/>
        <v>52432.384837663412</v>
      </c>
      <c r="Z1038">
        <f t="shared" ca="1" si="436"/>
        <v>52432.384837665239</v>
      </c>
      <c r="AA1038">
        <f t="shared" ca="1" si="437"/>
        <v>2.2562304480281055E-12</v>
      </c>
      <c r="AB1038">
        <f t="shared" ca="1" si="438"/>
        <v>-5.0000000192085281E-4</v>
      </c>
      <c r="AC1038">
        <f t="shared" ca="1" si="439"/>
        <v>1</v>
      </c>
      <c r="AD1038">
        <f ca="1">IF(V32="Supercritical",L1038,IF(V32="Subcritical",U1038,IF(AND(T1038=1,AC1038=1),IF((((F1038)*(L1038)^2)/2+(G1038)*(L1038)^3/3+(ABS(K1038)^2)/($I$5*MAX(((F1038)+(G1038)*(L1038))*(L1038),0.000001)))&gt;=(((F1038)*(U1038)^2)/2+(G1038)*(U1038)^3/3+(ABS(K1038)^2)/($I$5*MAX(((F1038)+(G1038)*(U1038))*(U1038),0.000001))),L1038,U1038),IF(T1038=1,L1038,IF(AC1038=1,U1038,MAX($D$16,POWER((ABS(K1038)^2)/($I$5*MAX(F1038,0.1)^2),1/3)))))))</f>
        <v>51800.26683766341</v>
      </c>
      <c r="AE1038">
        <f t="shared" ca="1" si="440"/>
        <v>52432.384837663412</v>
      </c>
      <c r="AF1038">
        <f t="shared" ca="1" si="441"/>
        <v>52432.384837665239</v>
      </c>
      <c r="AI1038">
        <v>0</v>
      </c>
      <c r="AJ1038">
        <v>0</v>
      </c>
      <c r="AK1038">
        <f t="shared" si="442"/>
        <v>0</v>
      </c>
      <c r="AL1038">
        <f t="shared" si="451"/>
        <v>0</v>
      </c>
      <c r="AM1038">
        <f t="shared" ca="1" si="443"/>
        <v>2.6560383008097266E-7</v>
      </c>
      <c r="AN1038" t="str">
        <f t="shared" ca="1" si="444"/>
        <v>Subcritical</v>
      </c>
      <c r="AO1038">
        <f t="shared" ca="1" si="445"/>
        <v>2.2562304480281055E-12</v>
      </c>
    </row>
    <row r="1039" spans="1:41" x14ac:dyDescent="0.35">
      <c r="A1039">
        <v>890</v>
      </c>
      <c r="B1039">
        <v>888.88900000000001</v>
      </c>
      <c r="C1039">
        <v>616085.85699999996</v>
      </c>
      <c r="D1039">
        <v>3097114.95</v>
      </c>
      <c r="E1039">
        <v>632.11749999999995</v>
      </c>
      <c r="F1039">
        <v>5.2</v>
      </c>
      <c r="G1039">
        <v>0</v>
      </c>
      <c r="H1039" t="s">
        <v>186</v>
      </c>
      <c r="I1039">
        <v>2E-3</v>
      </c>
      <c r="J1039">
        <f t="shared" si="446"/>
        <v>1</v>
      </c>
      <c r="K1039">
        <f t="shared" si="447"/>
        <v>51</v>
      </c>
      <c r="L1039">
        <f t="shared" ca="1" si="448"/>
        <v>51797.843837663619</v>
      </c>
      <c r="M1039">
        <f t="shared" ca="1" si="425"/>
        <v>269348.78795585083</v>
      </c>
      <c r="N1039">
        <f t="shared" ca="1" si="426"/>
        <v>2.5998694991876676</v>
      </c>
      <c r="O1039">
        <f t="shared" ca="1" si="427"/>
        <v>1.8934557080078435E-4</v>
      </c>
      <c r="P1039">
        <f t="shared" ca="1" si="428"/>
        <v>52429.961337663619</v>
      </c>
      <c r="Q1039">
        <f t="shared" ca="1" si="429"/>
        <v>52429.961337665445</v>
      </c>
      <c r="R1039">
        <f t="shared" ca="1" si="430"/>
        <v>2.2564415439646509E-12</v>
      </c>
      <c r="S1039">
        <f t="shared" ca="1" si="449"/>
        <v>5.0000000192085281E-4</v>
      </c>
      <c r="T1039">
        <f t="shared" ca="1" si="450"/>
        <v>1</v>
      </c>
      <c r="U1039">
        <f t="shared" ca="1" si="431"/>
        <v>51800.26683766341</v>
      </c>
      <c r="V1039">
        <f t="shared" ca="1" si="432"/>
        <v>269361.38755584974</v>
      </c>
      <c r="W1039">
        <f t="shared" ca="1" si="433"/>
        <v>2.5998695052916441</v>
      </c>
      <c r="X1039">
        <f t="shared" ca="1" si="434"/>
        <v>1.8933671400629237E-4</v>
      </c>
      <c r="Y1039">
        <f t="shared" ca="1" si="435"/>
        <v>52432.38433766341</v>
      </c>
      <c r="Z1039">
        <f t="shared" ca="1" si="436"/>
        <v>52432.384337665237</v>
      </c>
      <c r="AA1039">
        <f t="shared" ca="1" si="437"/>
        <v>2.2562304480281055E-12</v>
      </c>
      <c r="AB1039">
        <f t="shared" ca="1" si="438"/>
        <v>-5.0000000192085281E-4</v>
      </c>
      <c r="AC1039">
        <f t="shared" ca="1" si="439"/>
        <v>1</v>
      </c>
      <c r="AD1039">
        <f ca="1">IF(V32="Supercritical",L1039,IF(V32="Subcritical",U1039,IF(AND(T1039=1,AC1039=1),IF((((F1039)*(L1039)^2)/2+(G1039)*(L1039)^3/3+(ABS(K1039)^2)/($I$5*MAX(((F1039)+(G1039)*(L1039))*(L1039),0.000001)))&gt;=(((F1039)*(U1039)^2)/2+(G1039)*(U1039)^3/3+(ABS(K1039)^2)/($I$5*MAX(((F1039)+(G1039)*(U1039))*(U1039),0.000001))),L1039,U1039),IF(T1039=1,L1039,IF(AC1039=1,U1039,MAX($D$16,POWER((ABS(K1039)^2)/($I$5*MAX(F1039,0.1)^2),1/3)))))))</f>
        <v>51800.26683766341</v>
      </c>
      <c r="AE1039">
        <f t="shared" ca="1" si="440"/>
        <v>52432.38433766341</v>
      </c>
      <c r="AF1039">
        <f t="shared" ca="1" si="441"/>
        <v>52432.384337665237</v>
      </c>
      <c r="AI1039">
        <v>0</v>
      </c>
      <c r="AJ1039">
        <v>0</v>
      </c>
      <c r="AK1039">
        <f t="shared" si="442"/>
        <v>0</v>
      </c>
      <c r="AL1039">
        <f t="shared" si="451"/>
        <v>0</v>
      </c>
      <c r="AM1039">
        <f t="shared" ca="1" si="443"/>
        <v>2.6560383008097266E-7</v>
      </c>
      <c r="AN1039" t="str">
        <f t="shared" ca="1" si="444"/>
        <v>Subcritical</v>
      </c>
      <c r="AO1039">
        <f t="shared" ca="1" si="445"/>
        <v>2.2562304480281055E-12</v>
      </c>
    </row>
    <row r="1040" spans="1:41" x14ac:dyDescent="0.35">
      <c r="A1040">
        <v>891</v>
      </c>
      <c r="B1040">
        <v>889.89</v>
      </c>
      <c r="C1040">
        <v>616085.81499999994</v>
      </c>
      <c r="D1040">
        <v>3097113.95</v>
      </c>
      <c r="E1040">
        <v>632.11699999999996</v>
      </c>
      <c r="F1040">
        <v>5.2</v>
      </c>
      <c r="G1040">
        <v>0</v>
      </c>
      <c r="H1040" t="s">
        <v>186</v>
      </c>
      <c r="I1040">
        <v>0.06</v>
      </c>
      <c r="J1040">
        <f t="shared" si="446"/>
        <v>1.0009999999999764</v>
      </c>
      <c r="K1040">
        <f t="shared" si="447"/>
        <v>51</v>
      </c>
      <c r="L1040">
        <f t="shared" ca="1" si="448"/>
        <v>51797.843837663619</v>
      </c>
      <c r="M1040">
        <f t="shared" ca="1" si="425"/>
        <v>269348.78795585083</v>
      </c>
      <c r="N1040">
        <f t="shared" ca="1" si="426"/>
        <v>2.5998694991876676</v>
      </c>
      <c r="O1040">
        <f t="shared" ca="1" si="427"/>
        <v>1.8934557080078435E-4</v>
      </c>
      <c r="P1040">
        <f t="shared" ca="1" si="428"/>
        <v>52429.960837663617</v>
      </c>
      <c r="Q1040">
        <f t="shared" ca="1" si="429"/>
        <v>52429.960837665443</v>
      </c>
      <c r="R1040">
        <f t="shared" ca="1" si="430"/>
        <v>2.2564415439646509E-12</v>
      </c>
      <c r="S1040">
        <f t="shared" ca="1" si="449"/>
        <v>5.0000000192085281E-4</v>
      </c>
      <c r="T1040">
        <f t="shared" ca="1" si="450"/>
        <v>1</v>
      </c>
      <c r="U1040">
        <f t="shared" ca="1" si="431"/>
        <v>51800.26683766341</v>
      </c>
      <c r="V1040">
        <f t="shared" ca="1" si="432"/>
        <v>269361.38755584974</v>
      </c>
      <c r="W1040">
        <f t="shared" ca="1" si="433"/>
        <v>2.5998695052916441</v>
      </c>
      <c r="X1040">
        <f t="shared" ca="1" si="434"/>
        <v>1.8933671400629237E-4</v>
      </c>
      <c r="Y1040">
        <f t="shared" ca="1" si="435"/>
        <v>52432.383837663408</v>
      </c>
      <c r="Z1040">
        <f t="shared" ca="1" si="436"/>
        <v>52432.383837665235</v>
      </c>
      <c r="AA1040">
        <f t="shared" ca="1" si="437"/>
        <v>2.2562304480281055E-12</v>
      </c>
      <c r="AB1040">
        <f t="shared" ca="1" si="438"/>
        <v>-5.0000000192085281E-4</v>
      </c>
      <c r="AC1040">
        <f t="shared" ca="1" si="439"/>
        <v>1</v>
      </c>
      <c r="AD1040">
        <f ca="1">IF(V32="Supercritical",L1040,IF(V32="Subcritical",U1040,IF(AND(T1040=1,AC1040=1),IF((((F1040)*(L1040)^2)/2+(G1040)*(L1040)^3/3+(ABS(K1040)^2)/($I$5*MAX(((F1040)+(G1040)*(L1040))*(L1040),0.000001)))&gt;=(((F1040)*(U1040)^2)/2+(G1040)*(U1040)^3/3+(ABS(K1040)^2)/($I$5*MAX(((F1040)+(G1040)*(U1040))*(U1040),0.000001))),L1040,U1040),IF(T1040=1,L1040,IF(AC1040=1,U1040,MAX($D$16,POWER((ABS(K1040)^2)/($I$5*MAX(F1040,0.1)^2),1/3)))))))</f>
        <v>51800.26683766341</v>
      </c>
      <c r="AE1040">
        <f t="shared" ca="1" si="440"/>
        <v>52432.383837663408</v>
      </c>
      <c r="AF1040">
        <f t="shared" ca="1" si="441"/>
        <v>52432.383837665235</v>
      </c>
      <c r="AI1040">
        <v>0</v>
      </c>
      <c r="AJ1040">
        <v>0</v>
      </c>
      <c r="AK1040">
        <f t="shared" si="442"/>
        <v>0</v>
      </c>
      <c r="AL1040">
        <f t="shared" si="451"/>
        <v>0</v>
      </c>
      <c r="AM1040">
        <f t="shared" ca="1" si="443"/>
        <v>2.6560383008097266E-7</v>
      </c>
      <c r="AN1040" t="str">
        <f t="shared" ca="1" si="444"/>
        <v>Subcritical</v>
      </c>
      <c r="AO1040">
        <f t="shared" ca="1" si="445"/>
        <v>2.2562304480281055E-12</v>
      </c>
    </row>
    <row r="1041" spans="1:41" x14ac:dyDescent="0.35">
      <c r="A1041">
        <v>892</v>
      </c>
      <c r="B1041">
        <v>890.89</v>
      </c>
      <c r="C1041">
        <v>616085.772</v>
      </c>
      <c r="D1041">
        <v>3097112.9509999999</v>
      </c>
      <c r="E1041">
        <v>632.11649999999997</v>
      </c>
      <c r="F1041">
        <v>5.2</v>
      </c>
      <c r="G1041">
        <v>0</v>
      </c>
      <c r="H1041" t="s">
        <v>186</v>
      </c>
      <c r="I1041">
        <v>5.7000000000000002E-2</v>
      </c>
      <c r="J1041">
        <f t="shared" si="446"/>
        <v>1</v>
      </c>
      <c r="K1041">
        <f t="shared" si="447"/>
        <v>51</v>
      </c>
      <c r="L1041">
        <f t="shared" ca="1" si="448"/>
        <v>51797.843837663619</v>
      </c>
      <c r="M1041">
        <f t="shared" ca="1" si="425"/>
        <v>269348.78795585083</v>
      </c>
      <c r="N1041">
        <f t="shared" ca="1" si="426"/>
        <v>2.5998694991876676</v>
      </c>
      <c r="O1041">
        <f t="shared" ca="1" si="427"/>
        <v>1.8934557080078435E-4</v>
      </c>
      <c r="P1041">
        <f t="shared" ca="1" si="428"/>
        <v>52429.960337663615</v>
      </c>
      <c r="Q1041">
        <f t="shared" ca="1" si="429"/>
        <v>52429.960337665441</v>
      </c>
      <c r="R1041">
        <f t="shared" ca="1" si="430"/>
        <v>2.2564415439646509E-12</v>
      </c>
      <c r="S1041">
        <f t="shared" ca="1" si="449"/>
        <v>5.0000000192085281E-4</v>
      </c>
      <c r="T1041">
        <f t="shared" ca="1" si="450"/>
        <v>1</v>
      </c>
      <c r="U1041">
        <f t="shared" ca="1" si="431"/>
        <v>51800.26683766341</v>
      </c>
      <c r="V1041">
        <f t="shared" ca="1" si="432"/>
        <v>269361.38755584974</v>
      </c>
      <c r="W1041">
        <f t="shared" ca="1" si="433"/>
        <v>2.5998695052916441</v>
      </c>
      <c r="X1041">
        <f t="shared" ca="1" si="434"/>
        <v>1.8933671400629237E-4</v>
      </c>
      <c r="Y1041">
        <f t="shared" ca="1" si="435"/>
        <v>52432.383337663407</v>
      </c>
      <c r="Z1041">
        <f t="shared" ca="1" si="436"/>
        <v>52432.383337665233</v>
      </c>
      <c r="AA1041">
        <f t="shared" ca="1" si="437"/>
        <v>2.2562304480281055E-12</v>
      </c>
      <c r="AB1041">
        <f t="shared" ca="1" si="438"/>
        <v>-4.999999946448952E-4</v>
      </c>
      <c r="AC1041">
        <f t="shared" ca="1" si="439"/>
        <v>1</v>
      </c>
      <c r="AD1041">
        <f ca="1">IF(V32="Supercritical",L1041,IF(V32="Subcritical",U1041,IF(AND(T1041=1,AC1041=1),IF((((F1041)*(L1041)^2)/2+(G1041)*(L1041)^3/3+(ABS(K1041)^2)/($I$5*MAX(((F1041)+(G1041)*(L1041))*(L1041),0.000001)))&gt;=(((F1041)*(U1041)^2)/2+(G1041)*(U1041)^3/3+(ABS(K1041)^2)/($I$5*MAX(((F1041)+(G1041)*(U1041))*(U1041),0.000001))),L1041,U1041),IF(T1041=1,L1041,IF(AC1041=1,U1041,MAX($D$16,POWER((ABS(K1041)^2)/($I$5*MAX(F1041,0.1)^2),1/3)))))))</f>
        <v>51800.26683766341</v>
      </c>
      <c r="AE1041">
        <f t="shared" ca="1" si="440"/>
        <v>52432.383337663407</v>
      </c>
      <c r="AF1041">
        <f t="shared" ca="1" si="441"/>
        <v>52432.383337665233</v>
      </c>
      <c r="AI1041">
        <v>0</v>
      </c>
      <c r="AJ1041">
        <v>0</v>
      </c>
      <c r="AK1041">
        <f t="shared" si="442"/>
        <v>0</v>
      </c>
      <c r="AL1041">
        <f t="shared" si="451"/>
        <v>0</v>
      </c>
      <c r="AM1041">
        <f t="shared" ca="1" si="443"/>
        <v>2.6560383008097266E-7</v>
      </c>
      <c r="AN1041" t="str">
        <f t="shared" ca="1" si="444"/>
        <v>Subcritical</v>
      </c>
      <c r="AO1041">
        <f t="shared" ca="1" si="445"/>
        <v>2.2562304480281055E-12</v>
      </c>
    </row>
    <row r="1042" spans="1:41" x14ac:dyDescent="0.35">
      <c r="A1042">
        <v>893</v>
      </c>
      <c r="B1042">
        <v>891.89</v>
      </c>
      <c r="C1042">
        <v>616085.73</v>
      </c>
      <c r="D1042">
        <v>3097111.952</v>
      </c>
      <c r="E1042">
        <v>632.11599999999999</v>
      </c>
      <c r="F1042">
        <v>5.2</v>
      </c>
      <c r="G1042">
        <v>0</v>
      </c>
      <c r="H1042" t="s">
        <v>186</v>
      </c>
      <c r="I1042">
        <v>0</v>
      </c>
      <c r="J1042">
        <f t="shared" si="446"/>
        <v>1</v>
      </c>
      <c r="K1042">
        <f t="shared" si="447"/>
        <v>51</v>
      </c>
      <c r="L1042">
        <f t="shared" ca="1" si="448"/>
        <v>51797.843837663619</v>
      </c>
      <c r="M1042">
        <f t="shared" ca="1" si="425"/>
        <v>269348.78795585083</v>
      </c>
      <c r="N1042">
        <f t="shared" ca="1" si="426"/>
        <v>2.5998694991876676</v>
      </c>
      <c r="O1042">
        <f t="shared" ca="1" si="427"/>
        <v>1.8934557080078435E-4</v>
      </c>
      <c r="P1042">
        <f t="shared" ca="1" si="428"/>
        <v>52429.95983766362</v>
      </c>
      <c r="Q1042">
        <f t="shared" ca="1" si="429"/>
        <v>52429.959837665447</v>
      </c>
      <c r="R1042">
        <f t="shared" ca="1" si="430"/>
        <v>2.2564415439646509E-12</v>
      </c>
      <c r="S1042">
        <f t="shared" ca="1" si="449"/>
        <v>4.999999946448952E-4</v>
      </c>
      <c r="T1042">
        <f t="shared" ca="1" si="450"/>
        <v>1</v>
      </c>
      <c r="U1042">
        <f t="shared" ca="1" si="431"/>
        <v>51800.26683766341</v>
      </c>
      <c r="V1042">
        <f t="shared" ca="1" si="432"/>
        <v>269361.38755584974</v>
      </c>
      <c r="W1042">
        <f t="shared" ca="1" si="433"/>
        <v>2.5998695052916441</v>
      </c>
      <c r="X1042">
        <f t="shared" ca="1" si="434"/>
        <v>1.8933671400629237E-4</v>
      </c>
      <c r="Y1042">
        <f t="shared" ca="1" si="435"/>
        <v>52432.382837663412</v>
      </c>
      <c r="Z1042">
        <f t="shared" ca="1" si="436"/>
        <v>52432.382837665238</v>
      </c>
      <c r="AA1042">
        <f t="shared" ca="1" si="437"/>
        <v>2.2562304480281055E-12</v>
      </c>
      <c r="AB1042">
        <f t="shared" ca="1" si="438"/>
        <v>-5.0000000192085281E-4</v>
      </c>
      <c r="AC1042">
        <f t="shared" ca="1" si="439"/>
        <v>1</v>
      </c>
      <c r="AD1042">
        <f ca="1">IF(V32="Supercritical",L1042,IF(V32="Subcritical",U1042,IF(AND(T1042=1,AC1042=1),IF((((F1042)*(L1042)^2)/2+(G1042)*(L1042)^3/3+(ABS(K1042)^2)/($I$5*MAX(((F1042)+(G1042)*(L1042))*(L1042),0.000001)))&gt;=(((F1042)*(U1042)^2)/2+(G1042)*(U1042)^3/3+(ABS(K1042)^2)/($I$5*MAX(((F1042)+(G1042)*(U1042))*(U1042),0.000001))),L1042,U1042),IF(T1042=1,L1042,IF(AC1042=1,U1042,MAX($D$16,POWER((ABS(K1042)^2)/($I$5*MAX(F1042,0.1)^2),1/3)))))))</f>
        <v>51800.26683766341</v>
      </c>
      <c r="AE1042">
        <f t="shared" ca="1" si="440"/>
        <v>52432.382837663412</v>
      </c>
      <c r="AF1042">
        <f t="shared" ca="1" si="441"/>
        <v>52432.382837665238</v>
      </c>
      <c r="AI1042">
        <v>0</v>
      </c>
      <c r="AJ1042">
        <v>0</v>
      </c>
      <c r="AK1042">
        <f t="shared" si="442"/>
        <v>0</v>
      </c>
      <c r="AL1042">
        <f t="shared" si="451"/>
        <v>0</v>
      </c>
      <c r="AM1042">
        <f t="shared" ca="1" si="443"/>
        <v>2.6560383008097266E-7</v>
      </c>
      <c r="AN1042" t="str">
        <f t="shared" ca="1" si="444"/>
        <v>Subcritical</v>
      </c>
      <c r="AO1042">
        <f t="shared" ca="1" si="445"/>
        <v>2.2562304480281055E-12</v>
      </c>
    </row>
    <row r="1043" spans="1:41" x14ac:dyDescent="0.35">
      <c r="A1043">
        <v>894</v>
      </c>
      <c r="B1043">
        <v>892.88900000000001</v>
      </c>
      <c r="C1043">
        <v>616085.68799999997</v>
      </c>
      <c r="D1043">
        <v>3097110.9530000002</v>
      </c>
      <c r="E1043">
        <v>632.1155</v>
      </c>
      <c r="F1043">
        <v>5.2</v>
      </c>
      <c r="G1043">
        <v>0</v>
      </c>
      <c r="H1043" t="s">
        <v>186</v>
      </c>
      <c r="I1043">
        <v>5.7000000000000002E-2</v>
      </c>
      <c r="J1043">
        <f t="shared" si="446"/>
        <v>0.99900000000002365</v>
      </c>
      <c r="K1043">
        <f t="shared" si="447"/>
        <v>51</v>
      </c>
      <c r="L1043">
        <f t="shared" ca="1" si="448"/>
        <v>51797.843837663619</v>
      </c>
      <c r="M1043">
        <f t="shared" ca="1" si="425"/>
        <v>269348.78795585083</v>
      </c>
      <c r="N1043">
        <f t="shared" ca="1" si="426"/>
        <v>2.5998694991876676</v>
      </c>
      <c r="O1043">
        <f t="shared" ca="1" si="427"/>
        <v>1.8934557080078435E-4</v>
      </c>
      <c r="P1043">
        <f t="shared" ca="1" si="428"/>
        <v>52429.959337663618</v>
      </c>
      <c r="Q1043">
        <f t="shared" ca="1" si="429"/>
        <v>52429.959337665445</v>
      </c>
      <c r="R1043">
        <f t="shared" ca="1" si="430"/>
        <v>2.2564415439646509E-12</v>
      </c>
      <c r="S1043">
        <f t="shared" ca="1" si="449"/>
        <v>5.0000000192085281E-4</v>
      </c>
      <c r="T1043">
        <f t="shared" ca="1" si="450"/>
        <v>1</v>
      </c>
      <c r="U1043">
        <f t="shared" ca="1" si="431"/>
        <v>51800.26683766341</v>
      </c>
      <c r="V1043">
        <f t="shared" ca="1" si="432"/>
        <v>269361.38755584974</v>
      </c>
      <c r="W1043">
        <f t="shared" ca="1" si="433"/>
        <v>2.5998695052916441</v>
      </c>
      <c r="X1043">
        <f t="shared" ca="1" si="434"/>
        <v>1.8933671400629237E-4</v>
      </c>
      <c r="Y1043">
        <f t="shared" ca="1" si="435"/>
        <v>52432.38233766341</v>
      </c>
      <c r="Z1043">
        <f t="shared" ca="1" si="436"/>
        <v>52432.382337665236</v>
      </c>
      <c r="AA1043">
        <f t="shared" ca="1" si="437"/>
        <v>2.2562304480281055E-12</v>
      </c>
      <c r="AB1043">
        <f t="shared" ca="1" si="438"/>
        <v>-5.0000000192085281E-4</v>
      </c>
      <c r="AC1043">
        <f t="shared" ca="1" si="439"/>
        <v>1</v>
      </c>
      <c r="AD1043">
        <f ca="1">IF(V32="Supercritical",L1043,IF(V32="Subcritical",U1043,IF(AND(T1043=1,AC1043=1),IF((((F1043)*(L1043)^2)/2+(G1043)*(L1043)^3/3+(ABS(K1043)^2)/($I$5*MAX(((F1043)+(G1043)*(L1043))*(L1043),0.000001)))&gt;=(((F1043)*(U1043)^2)/2+(G1043)*(U1043)^3/3+(ABS(K1043)^2)/($I$5*MAX(((F1043)+(G1043)*(U1043))*(U1043),0.000001))),L1043,U1043),IF(T1043=1,L1043,IF(AC1043=1,U1043,MAX($D$16,POWER((ABS(K1043)^2)/($I$5*MAX(F1043,0.1)^2),1/3)))))))</f>
        <v>51800.26683766341</v>
      </c>
      <c r="AE1043">
        <f t="shared" ca="1" si="440"/>
        <v>52432.38233766341</v>
      </c>
      <c r="AF1043">
        <f t="shared" ca="1" si="441"/>
        <v>52432.382337665236</v>
      </c>
      <c r="AI1043">
        <v>0</v>
      </c>
      <c r="AJ1043">
        <v>0</v>
      </c>
      <c r="AK1043">
        <f t="shared" si="442"/>
        <v>0</v>
      </c>
      <c r="AL1043">
        <f t="shared" si="451"/>
        <v>0</v>
      </c>
      <c r="AM1043">
        <f t="shared" ca="1" si="443"/>
        <v>2.6560383008097266E-7</v>
      </c>
      <c r="AN1043" t="str">
        <f t="shared" ca="1" si="444"/>
        <v>Subcritical</v>
      </c>
      <c r="AO1043">
        <f t="shared" ca="1" si="445"/>
        <v>2.2562304480281055E-12</v>
      </c>
    </row>
    <row r="1044" spans="1:41" x14ac:dyDescent="0.35">
      <c r="A1044">
        <v>895</v>
      </c>
      <c r="B1044">
        <v>893.88900000000001</v>
      </c>
      <c r="C1044">
        <v>616085.64500000002</v>
      </c>
      <c r="D1044">
        <v>3097109.9539999999</v>
      </c>
      <c r="E1044">
        <v>632.11500000000001</v>
      </c>
      <c r="F1044">
        <v>5.2</v>
      </c>
      <c r="G1044">
        <v>0</v>
      </c>
      <c r="H1044" t="s">
        <v>186</v>
      </c>
      <c r="I1044">
        <v>5.7000000000000002E-2</v>
      </c>
      <c r="J1044">
        <f t="shared" si="446"/>
        <v>1</v>
      </c>
      <c r="K1044">
        <f t="shared" si="447"/>
        <v>51</v>
      </c>
      <c r="L1044">
        <f t="shared" ca="1" si="448"/>
        <v>51797.843837663619</v>
      </c>
      <c r="M1044">
        <f t="shared" ca="1" si="425"/>
        <v>269348.78795585083</v>
      </c>
      <c r="N1044">
        <f t="shared" ca="1" si="426"/>
        <v>2.5998694991876676</v>
      </c>
      <c r="O1044">
        <f t="shared" ca="1" si="427"/>
        <v>1.8934557080078435E-4</v>
      </c>
      <c r="P1044">
        <f t="shared" ca="1" si="428"/>
        <v>52429.958837663617</v>
      </c>
      <c r="Q1044">
        <f t="shared" ca="1" si="429"/>
        <v>52429.958837665443</v>
      </c>
      <c r="R1044">
        <f t="shared" ca="1" si="430"/>
        <v>2.2564415439646509E-12</v>
      </c>
      <c r="S1044">
        <f t="shared" ca="1" si="449"/>
        <v>5.0000000192085281E-4</v>
      </c>
      <c r="T1044">
        <f t="shared" ca="1" si="450"/>
        <v>1</v>
      </c>
      <c r="U1044">
        <f t="shared" ca="1" si="431"/>
        <v>51800.26683766341</v>
      </c>
      <c r="V1044">
        <f t="shared" ca="1" si="432"/>
        <v>269361.38755584974</v>
      </c>
      <c r="W1044">
        <f t="shared" ca="1" si="433"/>
        <v>2.5998695052916441</v>
      </c>
      <c r="X1044">
        <f t="shared" ca="1" si="434"/>
        <v>1.8933671400629237E-4</v>
      </c>
      <c r="Y1044">
        <f t="shared" ca="1" si="435"/>
        <v>52432.381837663408</v>
      </c>
      <c r="Z1044">
        <f t="shared" ca="1" si="436"/>
        <v>52432.381837665234</v>
      </c>
      <c r="AA1044">
        <f t="shared" ca="1" si="437"/>
        <v>2.2562304480281055E-12</v>
      </c>
      <c r="AB1044">
        <f t="shared" ca="1" si="438"/>
        <v>-4.999999946448952E-4</v>
      </c>
      <c r="AC1044">
        <f t="shared" ca="1" si="439"/>
        <v>1</v>
      </c>
      <c r="AD1044">
        <f ca="1">IF(V32="Supercritical",L1044,IF(V32="Subcritical",U1044,IF(AND(T1044=1,AC1044=1),IF((((F1044)*(L1044)^2)/2+(G1044)*(L1044)^3/3+(ABS(K1044)^2)/($I$5*MAX(((F1044)+(G1044)*(L1044))*(L1044),0.000001)))&gt;=(((F1044)*(U1044)^2)/2+(G1044)*(U1044)^3/3+(ABS(K1044)^2)/($I$5*MAX(((F1044)+(G1044)*(U1044))*(U1044),0.000001))),L1044,U1044),IF(T1044=1,L1044,IF(AC1044=1,U1044,MAX($D$16,POWER((ABS(K1044)^2)/($I$5*MAX(F1044,0.1)^2),1/3)))))))</f>
        <v>51800.26683766341</v>
      </c>
      <c r="AE1044">
        <f t="shared" ca="1" si="440"/>
        <v>52432.381837663408</v>
      </c>
      <c r="AF1044">
        <f t="shared" ca="1" si="441"/>
        <v>52432.381837665234</v>
      </c>
      <c r="AI1044">
        <v>0</v>
      </c>
      <c r="AJ1044">
        <v>0</v>
      </c>
      <c r="AK1044">
        <f t="shared" si="442"/>
        <v>0</v>
      </c>
      <c r="AL1044">
        <f t="shared" si="451"/>
        <v>0</v>
      </c>
      <c r="AM1044">
        <f t="shared" ca="1" si="443"/>
        <v>2.6560383008097266E-7</v>
      </c>
      <c r="AN1044" t="str">
        <f t="shared" ca="1" si="444"/>
        <v>Subcritical</v>
      </c>
      <c r="AO1044">
        <f t="shared" ca="1" si="445"/>
        <v>2.2562304480281055E-12</v>
      </c>
    </row>
    <row r="1045" spans="1:41" x14ac:dyDescent="0.35">
      <c r="A1045">
        <v>896</v>
      </c>
      <c r="B1045">
        <v>894.88900000000001</v>
      </c>
      <c r="C1045">
        <v>616085.603</v>
      </c>
      <c r="D1045">
        <v>3097108.9550000001</v>
      </c>
      <c r="E1045">
        <v>632.11450000000002</v>
      </c>
      <c r="F1045">
        <v>5.2</v>
      </c>
      <c r="G1045">
        <v>0</v>
      </c>
      <c r="H1045" t="s">
        <v>186</v>
      </c>
      <c r="I1045">
        <v>0</v>
      </c>
      <c r="J1045">
        <f t="shared" si="446"/>
        <v>1</v>
      </c>
      <c r="K1045">
        <f t="shared" si="447"/>
        <v>51</v>
      </c>
      <c r="L1045">
        <f t="shared" ca="1" si="448"/>
        <v>51797.843837663619</v>
      </c>
      <c r="M1045">
        <f t="shared" ca="1" si="425"/>
        <v>269348.78795585083</v>
      </c>
      <c r="N1045">
        <f t="shared" ca="1" si="426"/>
        <v>2.5998694991876676</v>
      </c>
      <c r="O1045">
        <f t="shared" ca="1" si="427"/>
        <v>1.8934557080078435E-4</v>
      </c>
      <c r="P1045">
        <f t="shared" ca="1" si="428"/>
        <v>52429.958337663622</v>
      </c>
      <c r="Q1045">
        <f t="shared" ca="1" si="429"/>
        <v>52429.958337665448</v>
      </c>
      <c r="R1045">
        <f t="shared" ca="1" si="430"/>
        <v>2.2564415439646509E-12</v>
      </c>
      <c r="S1045">
        <f t="shared" ca="1" si="449"/>
        <v>4.999999946448952E-4</v>
      </c>
      <c r="T1045">
        <f t="shared" ca="1" si="450"/>
        <v>1</v>
      </c>
      <c r="U1045">
        <f t="shared" ca="1" si="431"/>
        <v>51800.26683766341</v>
      </c>
      <c r="V1045">
        <f t="shared" ca="1" si="432"/>
        <v>269361.38755584974</v>
      </c>
      <c r="W1045">
        <f t="shared" ca="1" si="433"/>
        <v>2.5998695052916441</v>
      </c>
      <c r="X1045">
        <f t="shared" ca="1" si="434"/>
        <v>1.8933671400629237E-4</v>
      </c>
      <c r="Y1045">
        <f t="shared" ca="1" si="435"/>
        <v>52432.381337663413</v>
      </c>
      <c r="Z1045">
        <f t="shared" ca="1" si="436"/>
        <v>52432.38133766524</v>
      </c>
      <c r="AA1045">
        <f t="shared" ca="1" si="437"/>
        <v>2.2562304480281055E-12</v>
      </c>
      <c r="AB1045">
        <f t="shared" ca="1" si="438"/>
        <v>-5.0000000192085281E-4</v>
      </c>
      <c r="AC1045">
        <f t="shared" ca="1" si="439"/>
        <v>1</v>
      </c>
      <c r="AD1045">
        <f ca="1">IF(V32="Supercritical",L1045,IF(V32="Subcritical",U1045,IF(AND(T1045=1,AC1045=1),IF((((F1045)*(L1045)^2)/2+(G1045)*(L1045)^3/3+(ABS(K1045)^2)/($I$5*MAX(((F1045)+(G1045)*(L1045))*(L1045),0.000001)))&gt;=(((F1045)*(U1045)^2)/2+(G1045)*(U1045)^3/3+(ABS(K1045)^2)/($I$5*MAX(((F1045)+(G1045)*(U1045))*(U1045),0.000001))),L1045,U1045),IF(T1045=1,L1045,IF(AC1045=1,U1045,MAX($D$16,POWER((ABS(K1045)^2)/($I$5*MAX(F1045,0.1)^2),1/3)))))))</f>
        <v>51800.26683766341</v>
      </c>
      <c r="AE1045">
        <f t="shared" ca="1" si="440"/>
        <v>52432.381337663413</v>
      </c>
      <c r="AF1045">
        <f t="shared" ca="1" si="441"/>
        <v>52432.38133766524</v>
      </c>
      <c r="AI1045">
        <v>0</v>
      </c>
      <c r="AJ1045">
        <v>0</v>
      </c>
      <c r="AK1045">
        <f t="shared" si="442"/>
        <v>0</v>
      </c>
      <c r="AL1045">
        <f t="shared" si="451"/>
        <v>0</v>
      </c>
      <c r="AM1045">
        <f t="shared" ca="1" si="443"/>
        <v>2.6560383008097266E-7</v>
      </c>
      <c r="AN1045" t="str">
        <f t="shared" ca="1" si="444"/>
        <v>Subcritical</v>
      </c>
      <c r="AO1045">
        <f t="shared" ca="1" si="445"/>
        <v>2.2562304480281055E-12</v>
      </c>
    </row>
    <row r="1046" spans="1:41" x14ac:dyDescent="0.35">
      <c r="A1046">
        <v>897</v>
      </c>
      <c r="B1046">
        <v>895.88900000000001</v>
      </c>
      <c r="C1046">
        <v>616085.56099999999</v>
      </c>
      <c r="D1046">
        <v>3097107.9559999998</v>
      </c>
      <c r="E1046">
        <v>632.11400000000003</v>
      </c>
      <c r="F1046">
        <v>5.2</v>
      </c>
      <c r="G1046">
        <v>0</v>
      </c>
      <c r="H1046" t="s">
        <v>186</v>
      </c>
      <c r="I1046">
        <v>0</v>
      </c>
      <c r="J1046">
        <f t="shared" si="446"/>
        <v>1</v>
      </c>
      <c r="K1046">
        <f t="shared" si="447"/>
        <v>51</v>
      </c>
      <c r="L1046">
        <f t="shared" ca="1" si="448"/>
        <v>51797.843837663619</v>
      </c>
      <c r="M1046">
        <f t="shared" ref="M1046:M1109" ca="1" si="452">((F1046)+(G1046)*(L1046))*(L1046)</f>
        <v>269348.78795585083</v>
      </c>
      <c r="N1046">
        <f t="shared" ref="N1046:N1109" ca="1" si="453">(((F1046)+(G1046)*(L1046))*(L1046))/MAX((F1046)+2*(L1046)*SQRT(1+(G1046)^2),0.000001)</f>
        <v>2.5998694991876676</v>
      </c>
      <c r="O1046">
        <f t="shared" ref="O1046:O1109" ca="1" si="454">ABS(K1046)/MAX(((F1046)+(G1046)*(L1046))*(L1046),0.000001)</f>
        <v>1.8934557080078435E-4</v>
      </c>
      <c r="P1046">
        <f t="shared" ref="P1046:P1109" ca="1" si="455">E1046+L1046</f>
        <v>52429.95783766362</v>
      </c>
      <c r="Q1046">
        <f t="shared" ref="Q1046:Q1109" ca="1" si="456">P1046+((ABS(K1046)/MAX(((F1046)+(G1046)*(L1046))*(L1046),0.000001))^2)/(2*$I$5)</f>
        <v>52429.957837665446</v>
      </c>
      <c r="R1046">
        <f t="shared" ref="R1046:R1109" ca="1" si="457">((ABS(K1046)*$D$6)/(MAX(((F1046)+(G1046)*(L1046))*(L1046),0.000001)*MAX(((((F1046)+(G1046)*(L1046))*(L1046))/MAX((F1046)+2*(L1046)*SQRT(1+(G1046)^2),0.000001))^(2/3),0.000001)))^2</f>
        <v>2.2564415439646509E-12</v>
      </c>
      <c r="S1046">
        <f t="shared" ca="1" si="449"/>
        <v>5.0000000192085281E-4</v>
      </c>
      <c r="T1046">
        <f t="shared" ca="1" si="450"/>
        <v>1</v>
      </c>
      <c r="U1046">
        <f t="shared" ref="U1046:U1109" ca="1" si="458">IF($D$20=0,U1047,IF(AC1047=0,U1047,IF(U1046=0,U1047,IF(ABS(AB1046)&gt;$D$19,MAX($D$16,U1046+((AB1046)*$D$18*IF((ABS(ABS(K1046)/MAX(((F1046)+(G1046)*(U1046))*(U1046),0.000001))/SQRT($I$5*MAX((((F1046)+(G1046)*(U1046))*(U1046))/MAX((F1046)+2*(G1046)*(U1046),0.000001),0.000001)))&lt;1,1,-1))),U1046))))</f>
        <v>51800.26683766341</v>
      </c>
      <c r="V1046">
        <f t="shared" ref="V1046:V1109" ca="1" si="459">((F1046)+(G1046)*(U1046))*(U1046)</f>
        <v>269361.38755584974</v>
      </c>
      <c r="W1046">
        <f t="shared" ref="W1046:W1109" ca="1" si="460">(((F1046)+(G1046)*(U1046))*(U1046))/MAX((F1046)+2*(U1046)*SQRT(1+(G1046)^2),0.000001)</f>
        <v>2.5998695052916441</v>
      </c>
      <c r="X1046">
        <f t="shared" ref="X1046:X1109" ca="1" si="461">ABS(K1046)/MAX(((F1046)+(G1046)*(U1046))*(U1046),0.000001)</f>
        <v>1.8933671400629237E-4</v>
      </c>
      <c r="Y1046">
        <f t="shared" ref="Y1046:Y1109" ca="1" si="462">E1046+U1046</f>
        <v>52432.380837663412</v>
      </c>
      <c r="Z1046">
        <f t="shared" ref="Z1046:Z1109" ca="1" si="463">Y1046+((ABS(K1046)/MAX(((F1046)+(G1046)*(U1046))*(U1046),0.000001))^2)/(2*$I$5)</f>
        <v>52432.380837665238</v>
      </c>
      <c r="AA1046">
        <f t="shared" ref="AA1046:AA1109" ca="1" si="464">((ABS(K1046)*$D$6)/(MAX(((F1046)+(G1046)*(U1046))*(U1046),0.000001)*MAX(((((F1046)+(G1046)*(U1046))*(U1046))/MAX((F1046)+2*(U1046)*SQRT(1+(G1046)^2),0.000001))^(2/3),0.000001)))^2</f>
        <v>2.2562304480281055E-12</v>
      </c>
      <c r="AB1046">
        <f t="shared" ref="AB1046:AB1109" ca="1" si="465">Z1047+(((AA1046+AA1047)/2)*J1047)+(IF(X1046&gt;X1047,$D$8*((X1046^2-X1047^2)/(2*$I$5)),$D$9*((X1047^2-X1046^2)/(2*$I$5)))+($D$10*(ABS(I1047)/90)*(MAX(X1046^2,X1047^2)/(2*$I$5))))-Z1046</f>
        <v>-5.0000000192085281E-4</v>
      </c>
      <c r="AC1046">
        <f t="shared" ref="AC1046:AC1109" ca="1" si="466">IF(ABS(AB1046)&lt;$D$19,1,0)</f>
        <v>1</v>
      </c>
      <c r="AD1046">
        <f ca="1">IF(V32="Supercritical",L1046,IF(V32="Subcritical",U1046,IF(AND(T1046=1,AC1046=1),IF((((F1046)*(L1046)^2)/2+(G1046)*(L1046)^3/3+(ABS(K1046)^2)/($I$5*MAX(((F1046)+(G1046)*(L1046))*(L1046),0.000001)))&gt;=(((F1046)*(U1046)^2)/2+(G1046)*(U1046)^3/3+(ABS(K1046)^2)/($I$5*MAX(((F1046)+(G1046)*(U1046))*(U1046),0.000001))),L1046,U1046),IF(T1046=1,L1046,IF(AC1046=1,U1046,MAX($D$16,POWER((ABS(K1046)^2)/($I$5*MAX(F1046,0.1)^2),1/3)))))))</f>
        <v>51800.26683766341</v>
      </c>
      <c r="AE1046">
        <f t="shared" ref="AE1046:AE1109" ca="1" si="467">E1046+AD1046</f>
        <v>52432.380837663412</v>
      </c>
      <c r="AF1046">
        <f t="shared" ref="AF1046:AF1109" ca="1" si="468">AE1046+((ABS(K1046)/MAX(((F1046)+(G1046)*(AD1046))*(AD1046),0.000001))^2)/(2*$I$5)</f>
        <v>52432.380837665238</v>
      </c>
      <c r="AI1046">
        <v>0</v>
      </c>
      <c r="AJ1046">
        <v>0</v>
      </c>
      <c r="AK1046">
        <f t="shared" ref="AK1046:AK1109" si="469">AI1046+AJ1046</f>
        <v>0</v>
      </c>
      <c r="AL1046">
        <f t="shared" si="451"/>
        <v>0</v>
      </c>
      <c r="AM1046">
        <f t="shared" ref="AM1046:AM1109" ca="1" si="470">ABS(ABS(K1046)/MAX(((F1046)+(G1046)*(AD1046))*(AD1046),0.000001))/SQRT($I$5*MAX((((F1046)+(G1046)*(AD1046))*(AD1046))/MAX((F1046)+2*(G1046)*(AD1046),0.000001),0.000001))</f>
        <v>2.6560383008097266E-7</v>
      </c>
      <c r="AN1046" t="str">
        <f t="shared" ref="AN1046:AN1109" ca="1" si="471">IF(AM1046&lt;1,"Subcritical","Supercritical")</f>
        <v>Subcritical</v>
      </c>
      <c r="AO1046">
        <f t="shared" ref="AO1046:AO1109" ca="1" si="472">((ABS(K1046)*$D$6)/(MAX(((F1046)+(G1046)*(AD1046))*(AD1046),0.000001)*MAX(((((F1046)+(G1046)*(AD1046))*(AD1046))/MAX((F1046)+2*(AD1046)*SQRT(1+(G1046)^2),0.000001))^(2/3),0.000001)))^2</f>
        <v>2.2562304480281055E-12</v>
      </c>
    </row>
    <row r="1047" spans="1:41" x14ac:dyDescent="0.35">
      <c r="A1047">
        <v>898</v>
      </c>
      <c r="B1047">
        <v>896.88900000000001</v>
      </c>
      <c r="C1047">
        <v>616085.51899999997</v>
      </c>
      <c r="D1047">
        <v>3097106.9569999999</v>
      </c>
      <c r="E1047">
        <v>632.11350000000004</v>
      </c>
      <c r="F1047">
        <v>5.2</v>
      </c>
      <c r="G1047">
        <v>0</v>
      </c>
      <c r="H1047" t="s">
        <v>186</v>
      </c>
      <c r="I1047">
        <v>5.7000000000000002E-2</v>
      </c>
      <c r="J1047">
        <f t="shared" ref="J1047:J1110" si="473">B1047-B1046</f>
        <v>1</v>
      </c>
      <c r="K1047">
        <f t="shared" ref="K1047:K1110" si="474">MAX(0,K1046-AK1046)</f>
        <v>51</v>
      </c>
      <c r="L1047">
        <f t="shared" ref="L1047:L1110" ca="1" si="475">IF($D$20=0,L1046,IF(T1046=0,L1046,IF(L1047=0,L1046,IF(ABS(S1047)&gt;$D$19,MAX($D$16,L1047+((S1047)*$D$18*IF((ABS(ABS(K1047)/MAX(((F1047)+(G1047)*(L1047))*(L1047),0.000001))/SQRT($I$5*MAX((((F1047)+(G1047)*(L1047))*(L1047))/MAX((F1047)+2*(G1047)*(L1047),0.000001),0.000001)))&lt;1,1,-1))),L1047))))</f>
        <v>51797.843837663619</v>
      </c>
      <c r="M1047">
        <f t="shared" ca="1" si="452"/>
        <v>269348.78795585083</v>
      </c>
      <c r="N1047">
        <f t="shared" ca="1" si="453"/>
        <v>2.5998694991876676</v>
      </c>
      <c r="O1047">
        <f t="shared" ca="1" si="454"/>
        <v>1.8934557080078435E-4</v>
      </c>
      <c r="P1047">
        <f t="shared" ca="1" si="455"/>
        <v>52429.957337663618</v>
      </c>
      <c r="Q1047">
        <f t="shared" ca="1" si="456"/>
        <v>52429.957337665444</v>
      </c>
      <c r="R1047">
        <f t="shared" ca="1" si="457"/>
        <v>2.2564415439646509E-12</v>
      </c>
      <c r="S1047">
        <f t="shared" ref="S1047:S1110" ca="1" si="476">Q1046-(((R1046+R1047)/2)*J1047)-(IF(O1046&gt;O1047,$D$8*((O1046^2-O1047^2)/(2*$I$5)),$D$9*((O1047^2-O1046^2)/(2*$I$5)))+($D$10*(ABS(I1047)/90)*(MAX(O1046^2,O1047^2)/(2*$I$5))))-Q1047</f>
        <v>5.0000000192085281E-4</v>
      </c>
      <c r="T1047">
        <f t="shared" ref="T1047:T1110" ca="1" si="477">IF(ABS(S1047)&lt;$D$19,1,0)</f>
        <v>1</v>
      </c>
      <c r="U1047">
        <f t="shared" ca="1" si="458"/>
        <v>51800.26683766341</v>
      </c>
      <c r="V1047">
        <f t="shared" ca="1" si="459"/>
        <v>269361.38755584974</v>
      </c>
      <c r="W1047">
        <f t="shared" ca="1" si="460"/>
        <v>2.5998695052916441</v>
      </c>
      <c r="X1047">
        <f t="shared" ca="1" si="461"/>
        <v>1.8933671400629237E-4</v>
      </c>
      <c r="Y1047">
        <f t="shared" ca="1" si="462"/>
        <v>52432.38033766341</v>
      </c>
      <c r="Z1047">
        <f t="shared" ca="1" si="463"/>
        <v>52432.380337665236</v>
      </c>
      <c r="AA1047">
        <f t="shared" ca="1" si="464"/>
        <v>2.2562304480281055E-12</v>
      </c>
      <c r="AB1047">
        <f t="shared" ca="1" si="465"/>
        <v>-5.0000000192085281E-4</v>
      </c>
      <c r="AC1047">
        <f t="shared" ca="1" si="466"/>
        <v>1</v>
      </c>
      <c r="AD1047">
        <f ca="1">IF(V32="Supercritical",L1047,IF(V32="Subcritical",U1047,IF(AND(T1047=1,AC1047=1),IF((((F1047)*(L1047)^2)/2+(G1047)*(L1047)^3/3+(ABS(K1047)^2)/($I$5*MAX(((F1047)+(G1047)*(L1047))*(L1047),0.000001)))&gt;=(((F1047)*(U1047)^2)/2+(G1047)*(U1047)^3/3+(ABS(K1047)^2)/($I$5*MAX(((F1047)+(G1047)*(U1047))*(U1047),0.000001))),L1047,U1047),IF(T1047=1,L1047,IF(AC1047=1,U1047,MAX($D$16,POWER((ABS(K1047)^2)/($I$5*MAX(F1047,0.1)^2),1/3)))))))</f>
        <v>51800.26683766341</v>
      </c>
      <c r="AE1047">
        <f t="shared" ca="1" si="467"/>
        <v>52432.38033766341</v>
      </c>
      <c r="AF1047">
        <f t="shared" ca="1" si="468"/>
        <v>52432.380337665236</v>
      </c>
      <c r="AI1047">
        <v>0</v>
      </c>
      <c r="AJ1047">
        <v>0</v>
      </c>
      <c r="AK1047">
        <f t="shared" si="469"/>
        <v>0</v>
      </c>
      <c r="AL1047">
        <f t="shared" ref="AL1047:AL1110" si="478">AL1046+AK1047</f>
        <v>0</v>
      </c>
      <c r="AM1047">
        <f t="shared" ca="1" si="470"/>
        <v>2.6560383008097266E-7</v>
      </c>
      <c r="AN1047" t="str">
        <f t="shared" ca="1" si="471"/>
        <v>Subcritical</v>
      </c>
      <c r="AO1047">
        <f t="shared" ca="1" si="472"/>
        <v>2.2562304480281055E-12</v>
      </c>
    </row>
    <row r="1048" spans="1:41" x14ac:dyDescent="0.35">
      <c r="A1048">
        <v>899</v>
      </c>
      <c r="B1048">
        <v>897.88900000000001</v>
      </c>
      <c r="C1048">
        <v>616085.47600000002</v>
      </c>
      <c r="D1048">
        <v>3097105.9580000001</v>
      </c>
      <c r="E1048">
        <v>632.11300000000006</v>
      </c>
      <c r="F1048">
        <v>5.2</v>
      </c>
      <c r="G1048">
        <v>0</v>
      </c>
      <c r="H1048" t="s">
        <v>186</v>
      </c>
      <c r="I1048">
        <v>5.7000000000000002E-2</v>
      </c>
      <c r="J1048">
        <f t="shared" si="473"/>
        <v>1</v>
      </c>
      <c r="K1048">
        <f t="shared" si="474"/>
        <v>51</v>
      </c>
      <c r="L1048">
        <f t="shared" ca="1" si="475"/>
        <v>51797.843837663619</v>
      </c>
      <c r="M1048">
        <f t="shared" ca="1" si="452"/>
        <v>269348.78795585083</v>
      </c>
      <c r="N1048">
        <f t="shared" ca="1" si="453"/>
        <v>2.5998694991876676</v>
      </c>
      <c r="O1048">
        <f t="shared" ca="1" si="454"/>
        <v>1.8934557080078435E-4</v>
      </c>
      <c r="P1048">
        <f t="shared" ca="1" si="455"/>
        <v>52429.956837663616</v>
      </c>
      <c r="Q1048">
        <f t="shared" ca="1" si="456"/>
        <v>52429.956837665442</v>
      </c>
      <c r="R1048">
        <f t="shared" ca="1" si="457"/>
        <v>2.2564415439646509E-12</v>
      </c>
      <c r="S1048">
        <f t="shared" ca="1" si="476"/>
        <v>5.0000000192085281E-4</v>
      </c>
      <c r="T1048">
        <f t="shared" ca="1" si="477"/>
        <v>1</v>
      </c>
      <c r="U1048">
        <f t="shared" ca="1" si="458"/>
        <v>51800.26683766341</v>
      </c>
      <c r="V1048">
        <f t="shared" ca="1" si="459"/>
        <v>269361.38755584974</v>
      </c>
      <c r="W1048">
        <f t="shared" ca="1" si="460"/>
        <v>2.5998695052916441</v>
      </c>
      <c r="X1048">
        <f t="shared" ca="1" si="461"/>
        <v>1.8933671400629237E-4</v>
      </c>
      <c r="Y1048">
        <f t="shared" ca="1" si="462"/>
        <v>52432.379837663408</v>
      </c>
      <c r="Z1048">
        <f t="shared" ca="1" si="463"/>
        <v>52432.379837665234</v>
      </c>
      <c r="AA1048">
        <f t="shared" ca="1" si="464"/>
        <v>2.2562304480281055E-12</v>
      </c>
      <c r="AB1048">
        <f t="shared" ca="1" si="465"/>
        <v>-4.999999946448952E-4</v>
      </c>
      <c r="AC1048">
        <f t="shared" ca="1" si="466"/>
        <v>1</v>
      </c>
      <c r="AD1048">
        <f ca="1">IF(V32="Supercritical",L1048,IF(V32="Subcritical",U1048,IF(AND(T1048=1,AC1048=1),IF((((F1048)*(L1048)^2)/2+(G1048)*(L1048)^3/3+(ABS(K1048)^2)/($I$5*MAX(((F1048)+(G1048)*(L1048))*(L1048),0.000001)))&gt;=(((F1048)*(U1048)^2)/2+(G1048)*(U1048)^3/3+(ABS(K1048)^2)/($I$5*MAX(((F1048)+(G1048)*(U1048))*(U1048),0.000001))),L1048,U1048),IF(T1048=1,L1048,IF(AC1048=1,U1048,MAX($D$16,POWER((ABS(K1048)^2)/($I$5*MAX(F1048,0.1)^2),1/3)))))))</f>
        <v>51800.26683766341</v>
      </c>
      <c r="AE1048">
        <f t="shared" ca="1" si="467"/>
        <v>52432.379837663408</v>
      </c>
      <c r="AF1048">
        <f t="shared" ca="1" si="468"/>
        <v>52432.379837665234</v>
      </c>
      <c r="AI1048">
        <v>0</v>
      </c>
      <c r="AJ1048">
        <v>0</v>
      </c>
      <c r="AK1048">
        <f t="shared" si="469"/>
        <v>0</v>
      </c>
      <c r="AL1048">
        <f t="shared" si="478"/>
        <v>0</v>
      </c>
      <c r="AM1048">
        <f t="shared" ca="1" si="470"/>
        <v>2.6560383008097266E-7</v>
      </c>
      <c r="AN1048" t="str">
        <f t="shared" ca="1" si="471"/>
        <v>Subcritical</v>
      </c>
      <c r="AO1048">
        <f t="shared" ca="1" si="472"/>
        <v>2.2562304480281055E-12</v>
      </c>
    </row>
    <row r="1049" spans="1:41" x14ac:dyDescent="0.35">
      <c r="A1049">
        <v>900</v>
      </c>
      <c r="B1049">
        <v>898.88900000000001</v>
      </c>
      <c r="C1049">
        <v>616085.43400000001</v>
      </c>
      <c r="D1049">
        <v>3097104.9589999998</v>
      </c>
      <c r="E1049">
        <v>632.11249999999995</v>
      </c>
      <c r="F1049">
        <v>5.2</v>
      </c>
      <c r="G1049">
        <v>0</v>
      </c>
      <c r="H1049" t="s">
        <v>186</v>
      </c>
      <c r="I1049">
        <v>2E-3</v>
      </c>
      <c r="J1049">
        <f t="shared" si="473"/>
        <v>1</v>
      </c>
      <c r="K1049">
        <f t="shared" si="474"/>
        <v>51</v>
      </c>
      <c r="L1049">
        <f t="shared" ca="1" si="475"/>
        <v>51797.843837663619</v>
      </c>
      <c r="M1049">
        <f t="shared" ca="1" si="452"/>
        <v>269348.78795585083</v>
      </c>
      <c r="N1049">
        <f t="shared" ca="1" si="453"/>
        <v>2.5998694991876676</v>
      </c>
      <c r="O1049">
        <f t="shared" ca="1" si="454"/>
        <v>1.8934557080078435E-4</v>
      </c>
      <c r="P1049">
        <f t="shared" ca="1" si="455"/>
        <v>52429.956337663622</v>
      </c>
      <c r="Q1049">
        <f t="shared" ca="1" si="456"/>
        <v>52429.956337665448</v>
      </c>
      <c r="R1049">
        <f t="shared" ca="1" si="457"/>
        <v>2.2564415439646509E-12</v>
      </c>
      <c r="S1049">
        <f t="shared" ca="1" si="476"/>
        <v>4.999999946448952E-4</v>
      </c>
      <c r="T1049">
        <f t="shared" ca="1" si="477"/>
        <v>1</v>
      </c>
      <c r="U1049">
        <f t="shared" ca="1" si="458"/>
        <v>51800.26683766341</v>
      </c>
      <c r="V1049">
        <f t="shared" ca="1" si="459"/>
        <v>269361.38755584974</v>
      </c>
      <c r="W1049">
        <f t="shared" ca="1" si="460"/>
        <v>2.5998695052916441</v>
      </c>
      <c r="X1049">
        <f t="shared" ca="1" si="461"/>
        <v>1.8933671400629237E-4</v>
      </c>
      <c r="Y1049">
        <f t="shared" ca="1" si="462"/>
        <v>52432.379337663413</v>
      </c>
      <c r="Z1049">
        <f t="shared" ca="1" si="463"/>
        <v>52432.379337665239</v>
      </c>
      <c r="AA1049">
        <f t="shared" ca="1" si="464"/>
        <v>2.2562304480281055E-12</v>
      </c>
      <c r="AB1049">
        <f t="shared" ca="1" si="465"/>
        <v>-5.0000000192085281E-4</v>
      </c>
      <c r="AC1049">
        <f t="shared" ca="1" si="466"/>
        <v>1</v>
      </c>
      <c r="AD1049">
        <f ca="1">IF(V32="Supercritical",L1049,IF(V32="Subcritical",U1049,IF(AND(T1049=1,AC1049=1),IF((((F1049)*(L1049)^2)/2+(G1049)*(L1049)^3/3+(ABS(K1049)^2)/($I$5*MAX(((F1049)+(G1049)*(L1049))*(L1049),0.000001)))&gt;=(((F1049)*(U1049)^2)/2+(G1049)*(U1049)^3/3+(ABS(K1049)^2)/($I$5*MAX(((F1049)+(G1049)*(U1049))*(U1049),0.000001))),L1049,U1049),IF(T1049=1,L1049,IF(AC1049=1,U1049,MAX($D$16,POWER((ABS(K1049)^2)/($I$5*MAX(F1049,0.1)^2),1/3)))))))</f>
        <v>51800.26683766341</v>
      </c>
      <c r="AE1049">
        <f t="shared" ca="1" si="467"/>
        <v>52432.379337663413</v>
      </c>
      <c r="AF1049">
        <f t="shared" ca="1" si="468"/>
        <v>52432.379337665239</v>
      </c>
      <c r="AI1049">
        <v>0</v>
      </c>
      <c r="AJ1049">
        <v>0</v>
      </c>
      <c r="AK1049">
        <f t="shared" si="469"/>
        <v>0</v>
      </c>
      <c r="AL1049">
        <f t="shared" si="478"/>
        <v>0</v>
      </c>
      <c r="AM1049">
        <f t="shared" ca="1" si="470"/>
        <v>2.6560383008097266E-7</v>
      </c>
      <c r="AN1049" t="str">
        <f t="shared" ca="1" si="471"/>
        <v>Subcritical</v>
      </c>
      <c r="AO1049">
        <f t="shared" ca="1" si="472"/>
        <v>2.2562304480281055E-12</v>
      </c>
    </row>
    <row r="1050" spans="1:41" x14ac:dyDescent="0.35">
      <c r="A1050">
        <v>901</v>
      </c>
      <c r="B1050">
        <v>899.89</v>
      </c>
      <c r="C1050">
        <v>616085.39199999999</v>
      </c>
      <c r="D1050">
        <v>3097103.9589999998</v>
      </c>
      <c r="E1050">
        <v>632.11199999999997</v>
      </c>
      <c r="F1050">
        <v>5.2</v>
      </c>
      <c r="G1050">
        <v>0</v>
      </c>
      <c r="H1050" t="s">
        <v>186</v>
      </c>
      <c r="I1050">
        <v>2E-3</v>
      </c>
      <c r="J1050">
        <f t="shared" si="473"/>
        <v>1.0009999999999764</v>
      </c>
      <c r="K1050">
        <f t="shared" si="474"/>
        <v>51</v>
      </c>
      <c r="L1050">
        <f t="shared" ca="1" si="475"/>
        <v>51797.843837663619</v>
      </c>
      <c r="M1050">
        <f t="shared" ca="1" si="452"/>
        <v>269348.78795585083</v>
      </c>
      <c r="N1050">
        <f t="shared" ca="1" si="453"/>
        <v>2.5998694991876676</v>
      </c>
      <c r="O1050">
        <f t="shared" ca="1" si="454"/>
        <v>1.8934557080078435E-4</v>
      </c>
      <c r="P1050">
        <f t="shared" ca="1" si="455"/>
        <v>52429.95583766362</v>
      </c>
      <c r="Q1050">
        <f t="shared" ca="1" si="456"/>
        <v>52429.955837665446</v>
      </c>
      <c r="R1050">
        <f t="shared" ca="1" si="457"/>
        <v>2.2564415439646509E-12</v>
      </c>
      <c r="S1050">
        <f t="shared" ca="1" si="476"/>
        <v>5.0000000192085281E-4</v>
      </c>
      <c r="T1050">
        <f t="shared" ca="1" si="477"/>
        <v>1</v>
      </c>
      <c r="U1050">
        <f t="shared" ca="1" si="458"/>
        <v>51800.26683766341</v>
      </c>
      <c r="V1050">
        <f t="shared" ca="1" si="459"/>
        <v>269361.38755584974</v>
      </c>
      <c r="W1050">
        <f t="shared" ca="1" si="460"/>
        <v>2.5998695052916441</v>
      </c>
      <c r="X1050">
        <f t="shared" ca="1" si="461"/>
        <v>1.8933671400629237E-4</v>
      </c>
      <c r="Y1050">
        <f t="shared" ca="1" si="462"/>
        <v>52432.378837663411</v>
      </c>
      <c r="Z1050">
        <f t="shared" ca="1" si="463"/>
        <v>52432.378837665237</v>
      </c>
      <c r="AA1050">
        <f t="shared" ca="1" si="464"/>
        <v>2.2562304480281055E-12</v>
      </c>
      <c r="AB1050">
        <f t="shared" ca="1" si="465"/>
        <v>-5.0000000192085281E-4</v>
      </c>
      <c r="AC1050">
        <f t="shared" ca="1" si="466"/>
        <v>1</v>
      </c>
      <c r="AD1050">
        <f ca="1">IF(V32="Supercritical",L1050,IF(V32="Subcritical",U1050,IF(AND(T1050=1,AC1050=1),IF((((F1050)*(L1050)^2)/2+(G1050)*(L1050)^3/3+(ABS(K1050)^2)/($I$5*MAX(((F1050)+(G1050)*(L1050))*(L1050),0.000001)))&gt;=(((F1050)*(U1050)^2)/2+(G1050)*(U1050)^3/3+(ABS(K1050)^2)/($I$5*MAX(((F1050)+(G1050)*(U1050))*(U1050),0.000001))),L1050,U1050),IF(T1050=1,L1050,IF(AC1050=1,U1050,MAX($D$16,POWER((ABS(K1050)^2)/($I$5*MAX(F1050,0.1)^2),1/3)))))))</f>
        <v>51800.26683766341</v>
      </c>
      <c r="AE1050">
        <f t="shared" ca="1" si="467"/>
        <v>52432.378837663411</v>
      </c>
      <c r="AF1050">
        <f t="shared" ca="1" si="468"/>
        <v>52432.378837665237</v>
      </c>
      <c r="AI1050">
        <v>0</v>
      </c>
      <c r="AJ1050">
        <v>0</v>
      </c>
      <c r="AK1050">
        <f t="shared" si="469"/>
        <v>0</v>
      </c>
      <c r="AL1050">
        <f t="shared" si="478"/>
        <v>0</v>
      </c>
      <c r="AM1050">
        <f t="shared" ca="1" si="470"/>
        <v>2.6560383008097266E-7</v>
      </c>
      <c r="AN1050" t="str">
        <f t="shared" ca="1" si="471"/>
        <v>Subcritical</v>
      </c>
      <c r="AO1050">
        <f t="shared" ca="1" si="472"/>
        <v>2.2562304480281055E-12</v>
      </c>
    </row>
    <row r="1051" spans="1:41" x14ac:dyDescent="0.35">
      <c r="A1051">
        <v>902</v>
      </c>
      <c r="B1051">
        <v>900.89</v>
      </c>
      <c r="C1051">
        <v>616085.35</v>
      </c>
      <c r="D1051">
        <v>3097102.96</v>
      </c>
      <c r="E1051">
        <v>632.11149999999998</v>
      </c>
      <c r="F1051">
        <v>5.2</v>
      </c>
      <c r="G1051">
        <v>0</v>
      </c>
      <c r="H1051" t="s">
        <v>186</v>
      </c>
      <c r="I1051">
        <v>5.7000000000000002E-2</v>
      </c>
      <c r="J1051">
        <f t="shared" si="473"/>
        <v>1</v>
      </c>
      <c r="K1051">
        <f t="shared" si="474"/>
        <v>51</v>
      </c>
      <c r="L1051">
        <f t="shared" ca="1" si="475"/>
        <v>51797.843837663619</v>
      </c>
      <c r="M1051">
        <f t="shared" ca="1" si="452"/>
        <v>269348.78795585083</v>
      </c>
      <c r="N1051">
        <f t="shared" ca="1" si="453"/>
        <v>2.5998694991876676</v>
      </c>
      <c r="O1051">
        <f t="shared" ca="1" si="454"/>
        <v>1.8934557080078435E-4</v>
      </c>
      <c r="P1051">
        <f t="shared" ca="1" si="455"/>
        <v>52429.955337663618</v>
      </c>
      <c r="Q1051">
        <f t="shared" ca="1" si="456"/>
        <v>52429.955337665444</v>
      </c>
      <c r="R1051">
        <f t="shared" ca="1" si="457"/>
        <v>2.2564415439646509E-12</v>
      </c>
      <c r="S1051">
        <f t="shared" ca="1" si="476"/>
        <v>5.0000000192085281E-4</v>
      </c>
      <c r="T1051">
        <f t="shared" ca="1" si="477"/>
        <v>1</v>
      </c>
      <c r="U1051">
        <f t="shared" ca="1" si="458"/>
        <v>51800.26683766341</v>
      </c>
      <c r="V1051">
        <f t="shared" ca="1" si="459"/>
        <v>269361.38755584974</v>
      </c>
      <c r="W1051">
        <f t="shared" ca="1" si="460"/>
        <v>2.5998695052916441</v>
      </c>
      <c r="X1051">
        <f t="shared" ca="1" si="461"/>
        <v>1.8933671400629237E-4</v>
      </c>
      <c r="Y1051">
        <f t="shared" ca="1" si="462"/>
        <v>52432.378337663409</v>
      </c>
      <c r="Z1051">
        <f t="shared" ca="1" si="463"/>
        <v>52432.378337665235</v>
      </c>
      <c r="AA1051">
        <f t="shared" ca="1" si="464"/>
        <v>2.2562304480281055E-12</v>
      </c>
      <c r="AB1051">
        <f t="shared" ca="1" si="465"/>
        <v>-5.0000000192085281E-4</v>
      </c>
      <c r="AC1051">
        <f t="shared" ca="1" si="466"/>
        <v>1</v>
      </c>
      <c r="AD1051">
        <f ca="1">IF(V32="Supercritical",L1051,IF(V32="Subcritical",U1051,IF(AND(T1051=1,AC1051=1),IF((((F1051)*(L1051)^2)/2+(G1051)*(L1051)^3/3+(ABS(K1051)^2)/($I$5*MAX(((F1051)+(G1051)*(L1051))*(L1051),0.000001)))&gt;=(((F1051)*(U1051)^2)/2+(G1051)*(U1051)^3/3+(ABS(K1051)^2)/($I$5*MAX(((F1051)+(G1051)*(U1051))*(U1051),0.000001))),L1051,U1051),IF(T1051=1,L1051,IF(AC1051=1,U1051,MAX($D$16,POWER((ABS(K1051)^2)/($I$5*MAX(F1051,0.1)^2),1/3)))))))</f>
        <v>51800.26683766341</v>
      </c>
      <c r="AE1051">
        <f t="shared" ca="1" si="467"/>
        <v>52432.378337663409</v>
      </c>
      <c r="AF1051">
        <f t="shared" ca="1" si="468"/>
        <v>52432.378337665235</v>
      </c>
      <c r="AI1051">
        <v>0</v>
      </c>
      <c r="AJ1051">
        <v>0</v>
      </c>
      <c r="AK1051">
        <f t="shared" si="469"/>
        <v>0</v>
      </c>
      <c r="AL1051">
        <f t="shared" si="478"/>
        <v>0</v>
      </c>
      <c r="AM1051">
        <f t="shared" ca="1" si="470"/>
        <v>2.6560383008097266E-7</v>
      </c>
      <c r="AN1051" t="str">
        <f t="shared" ca="1" si="471"/>
        <v>Subcritical</v>
      </c>
      <c r="AO1051">
        <f t="shared" ca="1" si="472"/>
        <v>2.2562304480281055E-12</v>
      </c>
    </row>
    <row r="1052" spans="1:41" x14ac:dyDescent="0.35">
      <c r="A1052">
        <v>903</v>
      </c>
      <c r="B1052">
        <v>901.88900000000001</v>
      </c>
      <c r="C1052">
        <v>616085.30700000003</v>
      </c>
      <c r="D1052">
        <v>3097101.9610000001</v>
      </c>
      <c r="E1052">
        <v>632.11099999999999</v>
      </c>
      <c r="F1052">
        <v>5.2</v>
      </c>
      <c r="G1052">
        <v>0</v>
      </c>
      <c r="H1052" t="s">
        <v>186</v>
      </c>
      <c r="I1052">
        <v>5.7000000000000002E-2</v>
      </c>
      <c r="J1052">
        <f t="shared" si="473"/>
        <v>0.99900000000002365</v>
      </c>
      <c r="K1052">
        <f t="shared" si="474"/>
        <v>51</v>
      </c>
      <c r="L1052">
        <f t="shared" ca="1" si="475"/>
        <v>51797.843837663619</v>
      </c>
      <c r="M1052">
        <f t="shared" ca="1" si="452"/>
        <v>269348.78795585083</v>
      </c>
      <c r="N1052">
        <f t="shared" ca="1" si="453"/>
        <v>2.5998694991876676</v>
      </c>
      <c r="O1052">
        <f t="shared" ca="1" si="454"/>
        <v>1.8934557080078435E-4</v>
      </c>
      <c r="P1052">
        <f t="shared" ca="1" si="455"/>
        <v>52429.954837663616</v>
      </c>
      <c r="Q1052">
        <f t="shared" ca="1" si="456"/>
        <v>52429.954837665442</v>
      </c>
      <c r="R1052">
        <f t="shared" ca="1" si="457"/>
        <v>2.2564415439646509E-12</v>
      </c>
      <c r="S1052">
        <f t="shared" ca="1" si="476"/>
        <v>5.0000000192085281E-4</v>
      </c>
      <c r="T1052">
        <f t="shared" ca="1" si="477"/>
        <v>1</v>
      </c>
      <c r="U1052">
        <f t="shared" ca="1" si="458"/>
        <v>51800.26683766341</v>
      </c>
      <c r="V1052">
        <f t="shared" ca="1" si="459"/>
        <v>269361.38755584974</v>
      </c>
      <c r="W1052">
        <f t="shared" ca="1" si="460"/>
        <v>2.5998695052916441</v>
      </c>
      <c r="X1052">
        <f t="shared" ca="1" si="461"/>
        <v>1.8933671400629237E-4</v>
      </c>
      <c r="Y1052">
        <f t="shared" ca="1" si="462"/>
        <v>52432.377837663407</v>
      </c>
      <c r="Z1052">
        <f t="shared" ca="1" si="463"/>
        <v>52432.377837665234</v>
      </c>
      <c r="AA1052">
        <f t="shared" ca="1" si="464"/>
        <v>2.2562304480281055E-12</v>
      </c>
      <c r="AB1052">
        <f t="shared" ca="1" si="465"/>
        <v>-4.999999946448952E-4</v>
      </c>
      <c r="AC1052">
        <f t="shared" ca="1" si="466"/>
        <v>1</v>
      </c>
      <c r="AD1052">
        <f ca="1">IF(V32="Supercritical",L1052,IF(V32="Subcritical",U1052,IF(AND(T1052=1,AC1052=1),IF((((F1052)*(L1052)^2)/2+(G1052)*(L1052)^3/3+(ABS(K1052)^2)/($I$5*MAX(((F1052)+(G1052)*(L1052))*(L1052),0.000001)))&gt;=(((F1052)*(U1052)^2)/2+(G1052)*(U1052)^3/3+(ABS(K1052)^2)/($I$5*MAX(((F1052)+(G1052)*(U1052))*(U1052),0.000001))),L1052,U1052),IF(T1052=1,L1052,IF(AC1052=1,U1052,MAX($D$16,POWER((ABS(K1052)^2)/($I$5*MAX(F1052,0.1)^2),1/3)))))))</f>
        <v>51800.26683766341</v>
      </c>
      <c r="AE1052">
        <f t="shared" ca="1" si="467"/>
        <v>52432.377837663407</v>
      </c>
      <c r="AF1052">
        <f t="shared" ca="1" si="468"/>
        <v>52432.377837665234</v>
      </c>
      <c r="AI1052">
        <v>0</v>
      </c>
      <c r="AJ1052">
        <v>0</v>
      </c>
      <c r="AK1052">
        <f t="shared" si="469"/>
        <v>0</v>
      </c>
      <c r="AL1052">
        <f t="shared" si="478"/>
        <v>0</v>
      </c>
      <c r="AM1052">
        <f t="shared" ca="1" si="470"/>
        <v>2.6560383008097266E-7</v>
      </c>
      <c r="AN1052" t="str">
        <f t="shared" ca="1" si="471"/>
        <v>Subcritical</v>
      </c>
      <c r="AO1052">
        <f t="shared" ca="1" si="472"/>
        <v>2.2562304480281055E-12</v>
      </c>
    </row>
    <row r="1053" spans="1:41" x14ac:dyDescent="0.35">
      <c r="A1053">
        <v>904</v>
      </c>
      <c r="B1053">
        <v>902.88900000000001</v>
      </c>
      <c r="C1053">
        <v>616085.26500000001</v>
      </c>
      <c r="D1053">
        <v>3097100.9619999998</v>
      </c>
      <c r="E1053">
        <v>632.1105</v>
      </c>
      <c r="F1053">
        <v>5.2</v>
      </c>
      <c r="G1053">
        <v>0</v>
      </c>
      <c r="H1053" t="s">
        <v>186</v>
      </c>
      <c r="I1053">
        <v>0</v>
      </c>
      <c r="J1053">
        <f t="shared" si="473"/>
        <v>1</v>
      </c>
      <c r="K1053">
        <f t="shared" si="474"/>
        <v>51</v>
      </c>
      <c r="L1053">
        <f t="shared" ca="1" si="475"/>
        <v>51797.843837663619</v>
      </c>
      <c r="M1053">
        <f t="shared" ca="1" si="452"/>
        <v>269348.78795585083</v>
      </c>
      <c r="N1053">
        <f t="shared" ca="1" si="453"/>
        <v>2.5998694991876676</v>
      </c>
      <c r="O1053">
        <f t="shared" ca="1" si="454"/>
        <v>1.8934557080078435E-4</v>
      </c>
      <c r="P1053">
        <f t="shared" ca="1" si="455"/>
        <v>52429.954337663621</v>
      </c>
      <c r="Q1053">
        <f t="shared" ca="1" si="456"/>
        <v>52429.954337665447</v>
      </c>
      <c r="R1053">
        <f t="shared" ca="1" si="457"/>
        <v>2.2564415439646509E-12</v>
      </c>
      <c r="S1053">
        <f t="shared" ca="1" si="476"/>
        <v>4.999999946448952E-4</v>
      </c>
      <c r="T1053">
        <f t="shared" ca="1" si="477"/>
        <v>1</v>
      </c>
      <c r="U1053">
        <f t="shared" ca="1" si="458"/>
        <v>51800.26683766341</v>
      </c>
      <c r="V1053">
        <f t="shared" ca="1" si="459"/>
        <v>269361.38755584974</v>
      </c>
      <c r="W1053">
        <f t="shared" ca="1" si="460"/>
        <v>2.5998695052916441</v>
      </c>
      <c r="X1053">
        <f t="shared" ca="1" si="461"/>
        <v>1.8933671400629237E-4</v>
      </c>
      <c r="Y1053">
        <f t="shared" ca="1" si="462"/>
        <v>52432.377337663413</v>
      </c>
      <c r="Z1053">
        <f t="shared" ca="1" si="463"/>
        <v>52432.377337665239</v>
      </c>
      <c r="AA1053">
        <f t="shared" ca="1" si="464"/>
        <v>2.2562304480281055E-12</v>
      </c>
      <c r="AB1053">
        <f t="shared" ca="1" si="465"/>
        <v>-5.0000000192085281E-4</v>
      </c>
      <c r="AC1053">
        <f t="shared" ca="1" si="466"/>
        <v>1</v>
      </c>
      <c r="AD1053">
        <f ca="1">IF(V32="Supercritical",L1053,IF(V32="Subcritical",U1053,IF(AND(T1053=1,AC1053=1),IF((((F1053)*(L1053)^2)/2+(G1053)*(L1053)^3/3+(ABS(K1053)^2)/($I$5*MAX(((F1053)+(G1053)*(L1053))*(L1053),0.000001)))&gt;=(((F1053)*(U1053)^2)/2+(G1053)*(U1053)^3/3+(ABS(K1053)^2)/($I$5*MAX(((F1053)+(G1053)*(U1053))*(U1053),0.000001))),L1053,U1053),IF(T1053=1,L1053,IF(AC1053=1,U1053,MAX($D$16,POWER((ABS(K1053)^2)/($I$5*MAX(F1053,0.1)^2),1/3)))))))</f>
        <v>51800.26683766341</v>
      </c>
      <c r="AE1053">
        <f t="shared" ca="1" si="467"/>
        <v>52432.377337663413</v>
      </c>
      <c r="AF1053">
        <f t="shared" ca="1" si="468"/>
        <v>52432.377337665239</v>
      </c>
      <c r="AI1053">
        <v>0</v>
      </c>
      <c r="AJ1053">
        <v>0</v>
      </c>
      <c r="AK1053">
        <f t="shared" si="469"/>
        <v>0</v>
      </c>
      <c r="AL1053">
        <f t="shared" si="478"/>
        <v>0</v>
      </c>
      <c r="AM1053">
        <f t="shared" ca="1" si="470"/>
        <v>2.6560383008097266E-7</v>
      </c>
      <c r="AN1053" t="str">
        <f t="shared" ca="1" si="471"/>
        <v>Subcritical</v>
      </c>
      <c r="AO1053">
        <f t="shared" ca="1" si="472"/>
        <v>2.2562304480281055E-12</v>
      </c>
    </row>
    <row r="1054" spans="1:41" x14ac:dyDescent="0.35">
      <c r="A1054">
        <v>905</v>
      </c>
      <c r="B1054">
        <v>903.88900000000001</v>
      </c>
      <c r="C1054">
        <v>616085.223</v>
      </c>
      <c r="D1054">
        <v>3097099.963</v>
      </c>
      <c r="E1054">
        <v>632.11</v>
      </c>
      <c r="F1054">
        <v>5.2</v>
      </c>
      <c r="G1054">
        <v>0</v>
      </c>
      <c r="H1054" t="s">
        <v>186</v>
      </c>
      <c r="I1054">
        <v>0</v>
      </c>
      <c r="J1054">
        <f t="shared" si="473"/>
        <v>1</v>
      </c>
      <c r="K1054">
        <f t="shared" si="474"/>
        <v>51</v>
      </c>
      <c r="L1054">
        <f t="shared" ca="1" si="475"/>
        <v>51797.843837663619</v>
      </c>
      <c r="M1054">
        <f t="shared" ca="1" si="452"/>
        <v>269348.78795585083</v>
      </c>
      <c r="N1054">
        <f t="shared" ca="1" si="453"/>
        <v>2.5998694991876676</v>
      </c>
      <c r="O1054">
        <f t="shared" ca="1" si="454"/>
        <v>1.8934557080078435E-4</v>
      </c>
      <c r="P1054">
        <f t="shared" ca="1" si="455"/>
        <v>52429.953837663619</v>
      </c>
      <c r="Q1054">
        <f t="shared" ca="1" si="456"/>
        <v>52429.953837665445</v>
      </c>
      <c r="R1054">
        <f t="shared" ca="1" si="457"/>
        <v>2.2564415439646509E-12</v>
      </c>
      <c r="S1054">
        <f t="shared" ca="1" si="476"/>
        <v>5.0000000192085281E-4</v>
      </c>
      <c r="T1054">
        <f t="shared" ca="1" si="477"/>
        <v>1</v>
      </c>
      <c r="U1054">
        <f t="shared" ca="1" si="458"/>
        <v>51800.26683766341</v>
      </c>
      <c r="V1054">
        <f t="shared" ca="1" si="459"/>
        <v>269361.38755584974</v>
      </c>
      <c r="W1054">
        <f t="shared" ca="1" si="460"/>
        <v>2.5998695052916441</v>
      </c>
      <c r="X1054">
        <f t="shared" ca="1" si="461"/>
        <v>1.8933671400629237E-4</v>
      </c>
      <c r="Y1054">
        <f t="shared" ca="1" si="462"/>
        <v>52432.376837663411</v>
      </c>
      <c r="Z1054">
        <f t="shared" ca="1" si="463"/>
        <v>52432.376837665237</v>
      </c>
      <c r="AA1054">
        <f t="shared" ca="1" si="464"/>
        <v>2.2562304480281055E-12</v>
      </c>
      <c r="AB1054">
        <f t="shared" ca="1" si="465"/>
        <v>-5.0000000192085281E-4</v>
      </c>
      <c r="AC1054">
        <f t="shared" ca="1" si="466"/>
        <v>1</v>
      </c>
      <c r="AD1054">
        <f ca="1">IF(V32="Supercritical",L1054,IF(V32="Subcritical",U1054,IF(AND(T1054=1,AC1054=1),IF((((F1054)*(L1054)^2)/2+(G1054)*(L1054)^3/3+(ABS(K1054)^2)/($I$5*MAX(((F1054)+(G1054)*(L1054))*(L1054),0.000001)))&gt;=(((F1054)*(U1054)^2)/2+(G1054)*(U1054)^3/3+(ABS(K1054)^2)/($I$5*MAX(((F1054)+(G1054)*(U1054))*(U1054),0.000001))),L1054,U1054),IF(T1054=1,L1054,IF(AC1054=1,U1054,MAX($D$16,POWER((ABS(K1054)^2)/($I$5*MAX(F1054,0.1)^2),1/3)))))))</f>
        <v>51800.26683766341</v>
      </c>
      <c r="AE1054">
        <f t="shared" ca="1" si="467"/>
        <v>52432.376837663411</v>
      </c>
      <c r="AF1054">
        <f t="shared" ca="1" si="468"/>
        <v>52432.376837665237</v>
      </c>
      <c r="AI1054">
        <v>0</v>
      </c>
      <c r="AJ1054">
        <v>0</v>
      </c>
      <c r="AK1054">
        <f t="shared" si="469"/>
        <v>0</v>
      </c>
      <c r="AL1054">
        <f t="shared" si="478"/>
        <v>0</v>
      </c>
      <c r="AM1054">
        <f t="shared" ca="1" si="470"/>
        <v>2.6560383008097266E-7</v>
      </c>
      <c r="AN1054" t="str">
        <f t="shared" ca="1" si="471"/>
        <v>Subcritical</v>
      </c>
      <c r="AO1054">
        <f t="shared" ca="1" si="472"/>
        <v>2.2562304480281055E-12</v>
      </c>
    </row>
    <row r="1055" spans="1:41" x14ac:dyDescent="0.35">
      <c r="A1055">
        <v>906</v>
      </c>
      <c r="B1055">
        <v>904.88900000000001</v>
      </c>
      <c r="C1055">
        <v>616085.18099999998</v>
      </c>
      <c r="D1055">
        <v>3097098.9640000002</v>
      </c>
      <c r="E1055">
        <v>632.10950000000003</v>
      </c>
      <c r="F1055">
        <v>5.2</v>
      </c>
      <c r="G1055">
        <v>0</v>
      </c>
      <c r="H1055" t="s">
        <v>186</v>
      </c>
      <c r="I1055">
        <v>5.7000000000000002E-2</v>
      </c>
      <c r="J1055">
        <f t="shared" si="473"/>
        <v>1</v>
      </c>
      <c r="K1055">
        <f t="shared" si="474"/>
        <v>51</v>
      </c>
      <c r="L1055">
        <f t="shared" ca="1" si="475"/>
        <v>51797.843837663619</v>
      </c>
      <c r="M1055">
        <f t="shared" ca="1" si="452"/>
        <v>269348.78795585083</v>
      </c>
      <c r="N1055">
        <f t="shared" ca="1" si="453"/>
        <v>2.5998694991876676</v>
      </c>
      <c r="O1055">
        <f t="shared" ca="1" si="454"/>
        <v>1.8934557080078435E-4</v>
      </c>
      <c r="P1055">
        <f t="shared" ca="1" si="455"/>
        <v>52429.953337663617</v>
      </c>
      <c r="Q1055">
        <f t="shared" ca="1" si="456"/>
        <v>52429.953337665444</v>
      </c>
      <c r="R1055">
        <f t="shared" ca="1" si="457"/>
        <v>2.2564415439646509E-12</v>
      </c>
      <c r="S1055">
        <f t="shared" ca="1" si="476"/>
        <v>5.0000000192085281E-4</v>
      </c>
      <c r="T1055">
        <f t="shared" ca="1" si="477"/>
        <v>1</v>
      </c>
      <c r="U1055">
        <f t="shared" ca="1" si="458"/>
        <v>51800.26683766341</v>
      </c>
      <c r="V1055">
        <f t="shared" ca="1" si="459"/>
        <v>269361.38755584974</v>
      </c>
      <c r="W1055">
        <f t="shared" ca="1" si="460"/>
        <v>2.5998695052916441</v>
      </c>
      <c r="X1055">
        <f t="shared" ca="1" si="461"/>
        <v>1.8933671400629237E-4</v>
      </c>
      <c r="Y1055">
        <f t="shared" ca="1" si="462"/>
        <v>52432.376337663409</v>
      </c>
      <c r="Z1055">
        <f t="shared" ca="1" si="463"/>
        <v>52432.376337665235</v>
      </c>
      <c r="AA1055">
        <f t="shared" ca="1" si="464"/>
        <v>2.2562304480281055E-12</v>
      </c>
      <c r="AB1055">
        <f t="shared" ca="1" si="465"/>
        <v>-5.0000000192085281E-4</v>
      </c>
      <c r="AC1055">
        <f t="shared" ca="1" si="466"/>
        <v>1</v>
      </c>
      <c r="AD1055">
        <f ca="1">IF(V32="Supercritical",L1055,IF(V32="Subcritical",U1055,IF(AND(T1055=1,AC1055=1),IF((((F1055)*(L1055)^2)/2+(G1055)*(L1055)^3/3+(ABS(K1055)^2)/($I$5*MAX(((F1055)+(G1055)*(L1055))*(L1055),0.000001)))&gt;=(((F1055)*(U1055)^2)/2+(G1055)*(U1055)^3/3+(ABS(K1055)^2)/($I$5*MAX(((F1055)+(G1055)*(U1055))*(U1055),0.000001))),L1055,U1055),IF(T1055=1,L1055,IF(AC1055=1,U1055,MAX($D$16,POWER((ABS(K1055)^2)/($I$5*MAX(F1055,0.1)^2),1/3)))))))</f>
        <v>51800.26683766341</v>
      </c>
      <c r="AE1055">
        <f t="shared" ca="1" si="467"/>
        <v>52432.376337663409</v>
      </c>
      <c r="AF1055">
        <f t="shared" ca="1" si="468"/>
        <v>52432.376337665235</v>
      </c>
      <c r="AI1055">
        <v>0</v>
      </c>
      <c r="AJ1055">
        <v>0</v>
      </c>
      <c r="AK1055">
        <f t="shared" si="469"/>
        <v>0</v>
      </c>
      <c r="AL1055">
        <f t="shared" si="478"/>
        <v>0</v>
      </c>
      <c r="AM1055">
        <f t="shared" ca="1" si="470"/>
        <v>2.6560383008097266E-7</v>
      </c>
      <c r="AN1055" t="str">
        <f t="shared" ca="1" si="471"/>
        <v>Subcritical</v>
      </c>
      <c r="AO1055">
        <f t="shared" ca="1" si="472"/>
        <v>2.2562304480281055E-12</v>
      </c>
    </row>
    <row r="1056" spans="1:41" x14ac:dyDescent="0.35">
      <c r="A1056">
        <v>907</v>
      </c>
      <c r="B1056">
        <v>905.88900000000001</v>
      </c>
      <c r="C1056">
        <v>616085.13800000004</v>
      </c>
      <c r="D1056">
        <v>3097097.9649999999</v>
      </c>
      <c r="E1056">
        <v>632.10900000000004</v>
      </c>
      <c r="F1056">
        <v>5.2</v>
      </c>
      <c r="G1056">
        <v>0</v>
      </c>
      <c r="H1056" t="s">
        <v>186</v>
      </c>
      <c r="I1056">
        <v>5.7000000000000002E-2</v>
      </c>
      <c r="J1056">
        <f t="shared" si="473"/>
        <v>1</v>
      </c>
      <c r="K1056">
        <f t="shared" si="474"/>
        <v>51</v>
      </c>
      <c r="L1056">
        <f t="shared" ca="1" si="475"/>
        <v>51797.843837663619</v>
      </c>
      <c r="M1056">
        <f t="shared" ca="1" si="452"/>
        <v>269348.78795585083</v>
      </c>
      <c r="N1056">
        <f t="shared" ca="1" si="453"/>
        <v>2.5998694991876676</v>
      </c>
      <c r="O1056">
        <f t="shared" ca="1" si="454"/>
        <v>1.8934557080078435E-4</v>
      </c>
      <c r="P1056">
        <f t="shared" ca="1" si="455"/>
        <v>52429.952837663615</v>
      </c>
      <c r="Q1056">
        <f t="shared" ca="1" si="456"/>
        <v>52429.952837665442</v>
      </c>
      <c r="R1056">
        <f t="shared" ca="1" si="457"/>
        <v>2.2564415439646509E-12</v>
      </c>
      <c r="S1056">
        <f t="shared" ca="1" si="476"/>
        <v>5.0000000192085281E-4</v>
      </c>
      <c r="T1056">
        <f t="shared" ca="1" si="477"/>
        <v>1</v>
      </c>
      <c r="U1056">
        <f t="shared" ca="1" si="458"/>
        <v>51800.26683766341</v>
      </c>
      <c r="V1056">
        <f t="shared" ca="1" si="459"/>
        <v>269361.38755584974</v>
      </c>
      <c r="W1056">
        <f t="shared" ca="1" si="460"/>
        <v>2.5998695052916441</v>
      </c>
      <c r="X1056">
        <f t="shared" ca="1" si="461"/>
        <v>1.8933671400629237E-4</v>
      </c>
      <c r="Y1056">
        <f t="shared" ca="1" si="462"/>
        <v>52432.375837663407</v>
      </c>
      <c r="Z1056">
        <f t="shared" ca="1" si="463"/>
        <v>52432.375837665233</v>
      </c>
      <c r="AA1056">
        <f t="shared" ca="1" si="464"/>
        <v>2.2562304480281055E-12</v>
      </c>
      <c r="AB1056">
        <f t="shared" ca="1" si="465"/>
        <v>-4.999999946448952E-4</v>
      </c>
      <c r="AC1056">
        <f t="shared" ca="1" si="466"/>
        <v>1</v>
      </c>
      <c r="AD1056">
        <f ca="1">IF(V32="Supercritical",L1056,IF(V32="Subcritical",U1056,IF(AND(T1056=1,AC1056=1),IF((((F1056)*(L1056)^2)/2+(G1056)*(L1056)^3/3+(ABS(K1056)^2)/($I$5*MAX(((F1056)+(G1056)*(L1056))*(L1056),0.000001)))&gt;=(((F1056)*(U1056)^2)/2+(G1056)*(U1056)^3/3+(ABS(K1056)^2)/($I$5*MAX(((F1056)+(G1056)*(U1056))*(U1056),0.000001))),L1056,U1056),IF(T1056=1,L1056,IF(AC1056=1,U1056,MAX($D$16,POWER((ABS(K1056)^2)/($I$5*MAX(F1056,0.1)^2),1/3)))))))</f>
        <v>51800.26683766341</v>
      </c>
      <c r="AE1056">
        <f t="shared" ca="1" si="467"/>
        <v>52432.375837663407</v>
      </c>
      <c r="AF1056">
        <f t="shared" ca="1" si="468"/>
        <v>52432.375837665233</v>
      </c>
      <c r="AI1056">
        <v>0</v>
      </c>
      <c r="AJ1056">
        <v>0</v>
      </c>
      <c r="AK1056">
        <f t="shared" si="469"/>
        <v>0</v>
      </c>
      <c r="AL1056">
        <f t="shared" si="478"/>
        <v>0</v>
      </c>
      <c r="AM1056">
        <f t="shared" ca="1" si="470"/>
        <v>2.6560383008097266E-7</v>
      </c>
      <c r="AN1056" t="str">
        <f t="shared" ca="1" si="471"/>
        <v>Subcritical</v>
      </c>
      <c r="AO1056">
        <f t="shared" ca="1" si="472"/>
        <v>2.2562304480281055E-12</v>
      </c>
    </row>
    <row r="1057" spans="1:41" x14ac:dyDescent="0.35">
      <c r="A1057">
        <v>908</v>
      </c>
      <c r="B1057">
        <v>906.88900000000001</v>
      </c>
      <c r="C1057">
        <v>616085.09600000002</v>
      </c>
      <c r="D1057">
        <v>3097096.966</v>
      </c>
      <c r="E1057">
        <v>632.10850000000005</v>
      </c>
      <c r="F1057">
        <v>5.2</v>
      </c>
      <c r="G1057">
        <v>0</v>
      </c>
      <c r="H1057" t="s">
        <v>186</v>
      </c>
      <c r="I1057">
        <v>0</v>
      </c>
      <c r="J1057">
        <f t="shared" si="473"/>
        <v>1</v>
      </c>
      <c r="K1057">
        <f t="shared" si="474"/>
        <v>51</v>
      </c>
      <c r="L1057">
        <f t="shared" ca="1" si="475"/>
        <v>51797.843837663619</v>
      </c>
      <c r="M1057">
        <f t="shared" ca="1" si="452"/>
        <v>269348.78795585083</v>
      </c>
      <c r="N1057">
        <f t="shared" ca="1" si="453"/>
        <v>2.5998694991876676</v>
      </c>
      <c r="O1057">
        <f t="shared" ca="1" si="454"/>
        <v>1.8934557080078435E-4</v>
      </c>
      <c r="P1057">
        <f t="shared" ca="1" si="455"/>
        <v>52429.952337663621</v>
      </c>
      <c r="Q1057">
        <f t="shared" ca="1" si="456"/>
        <v>52429.952337665447</v>
      </c>
      <c r="R1057">
        <f t="shared" ca="1" si="457"/>
        <v>2.2564415439646509E-12</v>
      </c>
      <c r="S1057">
        <f t="shared" ca="1" si="476"/>
        <v>4.999999946448952E-4</v>
      </c>
      <c r="T1057">
        <f t="shared" ca="1" si="477"/>
        <v>1</v>
      </c>
      <c r="U1057">
        <f t="shared" ca="1" si="458"/>
        <v>51800.26683766341</v>
      </c>
      <c r="V1057">
        <f t="shared" ca="1" si="459"/>
        <v>269361.38755584974</v>
      </c>
      <c r="W1057">
        <f t="shared" ca="1" si="460"/>
        <v>2.5998695052916441</v>
      </c>
      <c r="X1057">
        <f t="shared" ca="1" si="461"/>
        <v>1.8933671400629237E-4</v>
      </c>
      <c r="Y1057">
        <f t="shared" ca="1" si="462"/>
        <v>52432.375337663412</v>
      </c>
      <c r="Z1057">
        <f t="shared" ca="1" si="463"/>
        <v>52432.375337665238</v>
      </c>
      <c r="AA1057">
        <f t="shared" ca="1" si="464"/>
        <v>2.2562304480281055E-12</v>
      </c>
      <c r="AB1057">
        <f t="shared" ca="1" si="465"/>
        <v>-5.0000000192085281E-4</v>
      </c>
      <c r="AC1057">
        <f t="shared" ca="1" si="466"/>
        <v>1</v>
      </c>
      <c r="AD1057">
        <f ca="1">IF(V32="Supercritical",L1057,IF(V32="Subcritical",U1057,IF(AND(T1057=1,AC1057=1),IF((((F1057)*(L1057)^2)/2+(G1057)*(L1057)^3/3+(ABS(K1057)^2)/($I$5*MAX(((F1057)+(G1057)*(L1057))*(L1057),0.000001)))&gt;=(((F1057)*(U1057)^2)/2+(G1057)*(U1057)^3/3+(ABS(K1057)^2)/($I$5*MAX(((F1057)+(G1057)*(U1057))*(U1057),0.000001))),L1057,U1057),IF(T1057=1,L1057,IF(AC1057=1,U1057,MAX($D$16,POWER((ABS(K1057)^2)/($I$5*MAX(F1057,0.1)^2),1/3)))))))</f>
        <v>51800.26683766341</v>
      </c>
      <c r="AE1057">
        <f t="shared" ca="1" si="467"/>
        <v>52432.375337663412</v>
      </c>
      <c r="AF1057">
        <f t="shared" ca="1" si="468"/>
        <v>52432.375337665238</v>
      </c>
      <c r="AI1057">
        <v>0</v>
      </c>
      <c r="AJ1057">
        <v>0</v>
      </c>
      <c r="AK1057">
        <f t="shared" si="469"/>
        <v>0</v>
      </c>
      <c r="AL1057">
        <f t="shared" si="478"/>
        <v>0</v>
      </c>
      <c r="AM1057">
        <f t="shared" ca="1" si="470"/>
        <v>2.6560383008097266E-7</v>
      </c>
      <c r="AN1057" t="str">
        <f t="shared" ca="1" si="471"/>
        <v>Subcritical</v>
      </c>
      <c r="AO1057">
        <f t="shared" ca="1" si="472"/>
        <v>2.2562304480281055E-12</v>
      </c>
    </row>
    <row r="1058" spans="1:41" x14ac:dyDescent="0.35">
      <c r="A1058">
        <v>909</v>
      </c>
      <c r="B1058">
        <v>907.88900000000001</v>
      </c>
      <c r="C1058">
        <v>616085.054</v>
      </c>
      <c r="D1058">
        <v>3097095.9670000002</v>
      </c>
      <c r="E1058">
        <v>632.10799999999995</v>
      </c>
      <c r="F1058">
        <v>5.2</v>
      </c>
      <c r="G1058">
        <v>0</v>
      </c>
      <c r="H1058" t="s">
        <v>186</v>
      </c>
      <c r="I1058">
        <v>2E-3</v>
      </c>
      <c r="J1058">
        <f t="shared" si="473"/>
        <v>1</v>
      </c>
      <c r="K1058">
        <f t="shared" si="474"/>
        <v>51</v>
      </c>
      <c r="L1058">
        <f t="shared" ca="1" si="475"/>
        <v>51797.843837663619</v>
      </c>
      <c r="M1058">
        <f t="shared" ca="1" si="452"/>
        <v>269348.78795585083</v>
      </c>
      <c r="N1058">
        <f t="shared" ca="1" si="453"/>
        <v>2.5998694991876676</v>
      </c>
      <c r="O1058">
        <f t="shared" ca="1" si="454"/>
        <v>1.8934557080078435E-4</v>
      </c>
      <c r="P1058">
        <f t="shared" ca="1" si="455"/>
        <v>52429.951837663619</v>
      </c>
      <c r="Q1058">
        <f t="shared" ca="1" si="456"/>
        <v>52429.951837665445</v>
      </c>
      <c r="R1058">
        <f t="shared" ca="1" si="457"/>
        <v>2.2564415439646509E-12</v>
      </c>
      <c r="S1058">
        <f t="shared" ca="1" si="476"/>
        <v>5.0000000192085281E-4</v>
      </c>
      <c r="T1058">
        <f t="shared" ca="1" si="477"/>
        <v>1</v>
      </c>
      <c r="U1058">
        <f t="shared" ca="1" si="458"/>
        <v>51800.26683766341</v>
      </c>
      <c r="V1058">
        <f t="shared" ca="1" si="459"/>
        <v>269361.38755584974</v>
      </c>
      <c r="W1058">
        <f t="shared" ca="1" si="460"/>
        <v>2.5998695052916441</v>
      </c>
      <c r="X1058">
        <f t="shared" ca="1" si="461"/>
        <v>1.8933671400629237E-4</v>
      </c>
      <c r="Y1058">
        <f t="shared" ca="1" si="462"/>
        <v>52432.37483766341</v>
      </c>
      <c r="Z1058">
        <f t="shared" ca="1" si="463"/>
        <v>52432.374837665237</v>
      </c>
      <c r="AA1058">
        <f t="shared" ca="1" si="464"/>
        <v>2.2562304480281055E-12</v>
      </c>
      <c r="AB1058">
        <f t="shared" ca="1" si="465"/>
        <v>-5.0000000192085281E-4</v>
      </c>
      <c r="AC1058">
        <f t="shared" ca="1" si="466"/>
        <v>1</v>
      </c>
      <c r="AD1058">
        <f ca="1">IF(V32="Supercritical",L1058,IF(V32="Subcritical",U1058,IF(AND(T1058=1,AC1058=1),IF((((F1058)*(L1058)^2)/2+(G1058)*(L1058)^3/3+(ABS(K1058)^2)/($I$5*MAX(((F1058)+(G1058)*(L1058))*(L1058),0.000001)))&gt;=(((F1058)*(U1058)^2)/2+(G1058)*(U1058)^3/3+(ABS(K1058)^2)/($I$5*MAX(((F1058)+(G1058)*(U1058))*(U1058),0.000001))),L1058,U1058),IF(T1058=1,L1058,IF(AC1058=1,U1058,MAX($D$16,POWER((ABS(K1058)^2)/($I$5*MAX(F1058,0.1)^2),1/3)))))))</f>
        <v>51800.26683766341</v>
      </c>
      <c r="AE1058">
        <f t="shared" ca="1" si="467"/>
        <v>52432.37483766341</v>
      </c>
      <c r="AF1058">
        <f t="shared" ca="1" si="468"/>
        <v>52432.374837665237</v>
      </c>
      <c r="AI1058">
        <v>0</v>
      </c>
      <c r="AJ1058">
        <v>0</v>
      </c>
      <c r="AK1058">
        <f t="shared" si="469"/>
        <v>0</v>
      </c>
      <c r="AL1058">
        <f t="shared" si="478"/>
        <v>0</v>
      </c>
      <c r="AM1058">
        <f t="shared" ca="1" si="470"/>
        <v>2.6560383008097266E-7</v>
      </c>
      <c r="AN1058" t="str">
        <f t="shared" ca="1" si="471"/>
        <v>Subcritical</v>
      </c>
      <c r="AO1058">
        <f t="shared" ca="1" si="472"/>
        <v>2.2562304480281055E-12</v>
      </c>
    </row>
    <row r="1059" spans="1:41" x14ac:dyDescent="0.35">
      <c r="A1059">
        <v>910</v>
      </c>
      <c r="B1059">
        <v>908.89</v>
      </c>
      <c r="C1059">
        <v>616085.01199999999</v>
      </c>
      <c r="D1059">
        <v>3097094.9670000002</v>
      </c>
      <c r="E1059">
        <v>632.10749999999996</v>
      </c>
      <c r="F1059">
        <v>5.2</v>
      </c>
      <c r="G1059">
        <v>0</v>
      </c>
      <c r="H1059" t="s">
        <v>186</v>
      </c>
      <c r="I1059">
        <v>0.06</v>
      </c>
      <c r="J1059">
        <f t="shared" si="473"/>
        <v>1.0009999999999764</v>
      </c>
      <c r="K1059">
        <f t="shared" si="474"/>
        <v>51</v>
      </c>
      <c r="L1059">
        <f t="shared" ca="1" si="475"/>
        <v>51797.843837663619</v>
      </c>
      <c r="M1059">
        <f t="shared" ca="1" si="452"/>
        <v>269348.78795585083</v>
      </c>
      <c r="N1059">
        <f t="shared" ca="1" si="453"/>
        <v>2.5998694991876676</v>
      </c>
      <c r="O1059">
        <f t="shared" ca="1" si="454"/>
        <v>1.8934557080078435E-4</v>
      </c>
      <c r="P1059">
        <f t="shared" ca="1" si="455"/>
        <v>52429.951337663617</v>
      </c>
      <c r="Q1059">
        <f t="shared" ca="1" si="456"/>
        <v>52429.951337665443</v>
      </c>
      <c r="R1059">
        <f t="shared" ca="1" si="457"/>
        <v>2.2564415439646509E-12</v>
      </c>
      <c r="S1059">
        <f t="shared" ca="1" si="476"/>
        <v>5.0000000192085281E-4</v>
      </c>
      <c r="T1059">
        <f t="shared" ca="1" si="477"/>
        <v>1</v>
      </c>
      <c r="U1059">
        <f t="shared" ca="1" si="458"/>
        <v>51800.26683766341</v>
      </c>
      <c r="V1059">
        <f t="shared" ca="1" si="459"/>
        <v>269361.38755584974</v>
      </c>
      <c r="W1059">
        <f t="shared" ca="1" si="460"/>
        <v>2.5998695052916441</v>
      </c>
      <c r="X1059">
        <f t="shared" ca="1" si="461"/>
        <v>1.8933671400629237E-4</v>
      </c>
      <c r="Y1059">
        <f t="shared" ca="1" si="462"/>
        <v>52432.374337663408</v>
      </c>
      <c r="Z1059">
        <f t="shared" ca="1" si="463"/>
        <v>52432.374337665235</v>
      </c>
      <c r="AA1059">
        <f t="shared" ca="1" si="464"/>
        <v>2.2562304480281055E-12</v>
      </c>
      <c r="AB1059">
        <f t="shared" ca="1" si="465"/>
        <v>-4.999999946448952E-4</v>
      </c>
      <c r="AC1059">
        <f t="shared" ca="1" si="466"/>
        <v>1</v>
      </c>
      <c r="AD1059">
        <f ca="1">IF(V32="Supercritical",L1059,IF(V32="Subcritical",U1059,IF(AND(T1059=1,AC1059=1),IF((((F1059)*(L1059)^2)/2+(G1059)*(L1059)^3/3+(ABS(K1059)^2)/($I$5*MAX(((F1059)+(G1059)*(L1059))*(L1059),0.000001)))&gt;=(((F1059)*(U1059)^2)/2+(G1059)*(U1059)^3/3+(ABS(K1059)^2)/($I$5*MAX(((F1059)+(G1059)*(U1059))*(U1059),0.000001))),L1059,U1059),IF(T1059=1,L1059,IF(AC1059=1,U1059,MAX($D$16,POWER((ABS(K1059)^2)/($I$5*MAX(F1059,0.1)^2),1/3)))))))</f>
        <v>51800.26683766341</v>
      </c>
      <c r="AE1059">
        <f t="shared" ca="1" si="467"/>
        <v>52432.374337663408</v>
      </c>
      <c r="AF1059">
        <f t="shared" ca="1" si="468"/>
        <v>52432.374337665235</v>
      </c>
      <c r="AI1059">
        <v>0</v>
      </c>
      <c r="AJ1059">
        <v>0</v>
      </c>
      <c r="AK1059">
        <f t="shared" si="469"/>
        <v>0</v>
      </c>
      <c r="AL1059">
        <f t="shared" si="478"/>
        <v>0</v>
      </c>
      <c r="AM1059">
        <f t="shared" ca="1" si="470"/>
        <v>2.6560383008097266E-7</v>
      </c>
      <c r="AN1059" t="str">
        <f t="shared" ca="1" si="471"/>
        <v>Subcritical</v>
      </c>
      <c r="AO1059">
        <f t="shared" ca="1" si="472"/>
        <v>2.2562304480281055E-12</v>
      </c>
    </row>
    <row r="1060" spans="1:41" x14ac:dyDescent="0.35">
      <c r="A1060">
        <v>911</v>
      </c>
      <c r="B1060">
        <v>909.89</v>
      </c>
      <c r="C1060">
        <v>616084.96900000004</v>
      </c>
      <c r="D1060">
        <v>3097093.9679999999</v>
      </c>
      <c r="E1060">
        <v>632.10699999999997</v>
      </c>
      <c r="F1060">
        <v>5.2</v>
      </c>
      <c r="G1060">
        <v>0</v>
      </c>
      <c r="H1060" t="s">
        <v>186</v>
      </c>
      <c r="I1060">
        <v>5.7000000000000002E-2</v>
      </c>
      <c r="J1060">
        <f t="shared" si="473"/>
        <v>1</v>
      </c>
      <c r="K1060">
        <f t="shared" si="474"/>
        <v>51</v>
      </c>
      <c r="L1060">
        <f t="shared" ca="1" si="475"/>
        <v>51797.843837663619</v>
      </c>
      <c r="M1060">
        <f t="shared" ca="1" si="452"/>
        <v>269348.78795585083</v>
      </c>
      <c r="N1060">
        <f t="shared" ca="1" si="453"/>
        <v>2.5998694991876676</v>
      </c>
      <c r="O1060">
        <f t="shared" ca="1" si="454"/>
        <v>1.8934557080078435E-4</v>
      </c>
      <c r="P1060">
        <f t="shared" ca="1" si="455"/>
        <v>52429.950837663622</v>
      </c>
      <c r="Q1060">
        <f t="shared" ca="1" si="456"/>
        <v>52429.950837665448</v>
      </c>
      <c r="R1060">
        <f t="shared" ca="1" si="457"/>
        <v>2.2564415439646509E-12</v>
      </c>
      <c r="S1060">
        <f t="shared" ca="1" si="476"/>
        <v>4.999999946448952E-4</v>
      </c>
      <c r="T1060">
        <f t="shared" ca="1" si="477"/>
        <v>1</v>
      </c>
      <c r="U1060">
        <f t="shared" ca="1" si="458"/>
        <v>51800.26683766341</v>
      </c>
      <c r="V1060">
        <f t="shared" ca="1" si="459"/>
        <v>269361.38755584974</v>
      </c>
      <c r="W1060">
        <f t="shared" ca="1" si="460"/>
        <v>2.5998695052916441</v>
      </c>
      <c r="X1060">
        <f t="shared" ca="1" si="461"/>
        <v>1.8933671400629237E-4</v>
      </c>
      <c r="Y1060">
        <f t="shared" ca="1" si="462"/>
        <v>52432.373837663414</v>
      </c>
      <c r="Z1060">
        <f t="shared" ca="1" si="463"/>
        <v>52432.37383766524</v>
      </c>
      <c r="AA1060">
        <f t="shared" ca="1" si="464"/>
        <v>2.2562304480281055E-12</v>
      </c>
      <c r="AB1060">
        <f t="shared" ca="1" si="465"/>
        <v>-5.0000000192085281E-4</v>
      </c>
      <c r="AC1060">
        <f t="shared" ca="1" si="466"/>
        <v>1</v>
      </c>
      <c r="AD1060">
        <f ca="1">IF(V32="Supercritical",L1060,IF(V32="Subcritical",U1060,IF(AND(T1060=1,AC1060=1),IF((((F1060)*(L1060)^2)/2+(G1060)*(L1060)^3/3+(ABS(K1060)^2)/($I$5*MAX(((F1060)+(G1060)*(L1060))*(L1060),0.000001)))&gt;=(((F1060)*(U1060)^2)/2+(G1060)*(U1060)^3/3+(ABS(K1060)^2)/($I$5*MAX(((F1060)+(G1060)*(U1060))*(U1060),0.000001))),L1060,U1060),IF(T1060=1,L1060,IF(AC1060=1,U1060,MAX($D$16,POWER((ABS(K1060)^2)/($I$5*MAX(F1060,0.1)^2),1/3)))))))</f>
        <v>51800.26683766341</v>
      </c>
      <c r="AE1060">
        <f t="shared" ca="1" si="467"/>
        <v>52432.373837663414</v>
      </c>
      <c r="AF1060">
        <f t="shared" ca="1" si="468"/>
        <v>52432.37383766524</v>
      </c>
      <c r="AI1060">
        <v>0</v>
      </c>
      <c r="AJ1060">
        <v>0</v>
      </c>
      <c r="AK1060">
        <f t="shared" si="469"/>
        <v>0</v>
      </c>
      <c r="AL1060">
        <f t="shared" si="478"/>
        <v>0</v>
      </c>
      <c r="AM1060">
        <f t="shared" ca="1" si="470"/>
        <v>2.6560383008097266E-7</v>
      </c>
      <c r="AN1060" t="str">
        <f t="shared" ca="1" si="471"/>
        <v>Subcritical</v>
      </c>
      <c r="AO1060">
        <f t="shared" ca="1" si="472"/>
        <v>2.2562304480281055E-12</v>
      </c>
    </row>
    <row r="1061" spans="1:41" x14ac:dyDescent="0.35">
      <c r="A1061">
        <v>912</v>
      </c>
      <c r="B1061">
        <v>910.89</v>
      </c>
      <c r="C1061">
        <v>616084.92700000003</v>
      </c>
      <c r="D1061">
        <v>3097092.969</v>
      </c>
      <c r="E1061">
        <v>632.10649999999998</v>
      </c>
      <c r="F1061">
        <v>5.2</v>
      </c>
      <c r="G1061">
        <v>0</v>
      </c>
      <c r="H1061" t="s">
        <v>186</v>
      </c>
      <c r="I1061">
        <v>0</v>
      </c>
      <c r="J1061">
        <f t="shared" si="473"/>
        <v>1</v>
      </c>
      <c r="K1061">
        <f t="shared" si="474"/>
        <v>51</v>
      </c>
      <c r="L1061">
        <f t="shared" ca="1" si="475"/>
        <v>51797.843837663619</v>
      </c>
      <c r="M1061">
        <f t="shared" ca="1" si="452"/>
        <v>269348.78795585083</v>
      </c>
      <c r="N1061">
        <f t="shared" ca="1" si="453"/>
        <v>2.5998694991876676</v>
      </c>
      <c r="O1061">
        <f t="shared" ca="1" si="454"/>
        <v>1.8934557080078435E-4</v>
      </c>
      <c r="P1061">
        <f t="shared" ca="1" si="455"/>
        <v>52429.95033766362</v>
      </c>
      <c r="Q1061">
        <f t="shared" ca="1" si="456"/>
        <v>52429.950337665447</v>
      </c>
      <c r="R1061">
        <f t="shared" ca="1" si="457"/>
        <v>2.2564415439646509E-12</v>
      </c>
      <c r="S1061">
        <f t="shared" ca="1" si="476"/>
        <v>5.0000000192085281E-4</v>
      </c>
      <c r="T1061">
        <f t="shared" ca="1" si="477"/>
        <v>1</v>
      </c>
      <c r="U1061">
        <f t="shared" ca="1" si="458"/>
        <v>51800.26683766341</v>
      </c>
      <c r="V1061">
        <f t="shared" ca="1" si="459"/>
        <v>269361.38755584974</v>
      </c>
      <c r="W1061">
        <f t="shared" ca="1" si="460"/>
        <v>2.5998695052916441</v>
      </c>
      <c r="X1061">
        <f t="shared" ca="1" si="461"/>
        <v>1.8933671400629237E-4</v>
      </c>
      <c r="Y1061">
        <f t="shared" ca="1" si="462"/>
        <v>52432.373337663412</v>
      </c>
      <c r="Z1061">
        <f t="shared" ca="1" si="463"/>
        <v>52432.373337665238</v>
      </c>
      <c r="AA1061">
        <f t="shared" ca="1" si="464"/>
        <v>2.2562304480281055E-12</v>
      </c>
      <c r="AB1061">
        <f t="shared" ca="1" si="465"/>
        <v>-5.0000000192085281E-4</v>
      </c>
      <c r="AC1061">
        <f t="shared" ca="1" si="466"/>
        <v>1</v>
      </c>
      <c r="AD1061">
        <f ca="1">IF(V32="Supercritical",L1061,IF(V32="Subcritical",U1061,IF(AND(T1061=1,AC1061=1),IF((((F1061)*(L1061)^2)/2+(G1061)*(L1061)^3/3+(ABS(K1061)^2)/($I$5*MAX(((F1061)+(G1061)*(L1061))*(L1061),0.000001)))&gt;=(((F1061)*(U1061)^2)/2+(G1061)*(U1061)^3/3+(ABS(K1061)^2)/($I$5*MAX(((F1061)+(G1061)*(U1061))*(U1061),0.000001))),L1061,U1061),IF(T1061=1,L1061,IF(AC1061=1,U1061,MAX($D$16,POWER((ABS(K1061)^2)/($I$5*MAX(F1061,0.1)^2),1/3)))))))</f>
        <v>51800.26683766341</v>
      </c>
      <c r="AE1061">
        <f t="shared" ca="1" si="467"/>
        <v>52432.373337663412</v>
      </c>
      <c r="AF1061">
        <f t="shared" ca="1" si="468"/>
        <v>52432.373337665238</v>
      </c>
      <c r="AI1061">
        <v>0</v>
      </c>
      <c r="AJ1061">
        <v>0</v>
      </c>
      <c r="AK1061">
        <f t="shared" si="469"/>
        <v>0</v>
      </c>
      <c r="AL1061">
        <f t="shared" si="478"/>
        <v>0</v>
      </c>
      <c r="AM1061">
        <f t="shared" ca="1" si="470"/>
        <v>2.6560383008097266E-7</v>
      </c>
      <c r="AN1061" t="str">
        <f t="shared" ca="1" si="471"/>
        <v>Subcritical</v>
      </c>
      <c r="AO1061">
        <f t="shared" ca="1" si="472"/>
        <v>2.2562304480281055E-12</v>
      </c>
    </row>
    <row r="1062" spans="1:41" x14ac:dyDescent="0.35">
      <c r="A1062">
        <v>913</v>
      </c>
      <c r="B1062">
        <v>911.88900000000001</v>
      </c>
      <c r="C1062">
        <v>616084.88500000001</v>
      </c>
      <c r="D1062">
        <v>3097091.97</v>
      </c>
      <c r="E1062">
        <v>632.10599999999999</v>
      </c>
      <c r="F1062">
        <v>5.2</v>
      </c>
      <c r="G1062">
        <v>0</v>
      </c>
      <c r="H1062" t="s">
        <v>186</v>
      </c>
      <c r="I1062">
        <v>0</v>
      </c>
      <c r="J1062">
        <f t="shared" si="473"/>
        <v>0.99900000000002365</v>
      </c>
      <c r="K1062">
        <f t="shared" si="474"/>
        <v>51</v>
      </c>
      <c r="L1062">
        <f t="shared" ca="1" si="475"/>
        <v>51797.843837663619</v>
      </c>
      <c r="M1062">
        <f t="shared" ca="1" si="452"/>
        <v>269348.78795585083</v>
      </c>
      <c r="N1062">
        <f t="shared" ca="1" si="453"/>
        <v>2.5998694991876676</v>
      </c>
      <c r="O1062">
        <f t="shared" ca="1" si="454"/>
        <v>1.8934557080078435E-4</v>
      </c>
      <c r="P1062">
        <f t="shared" ca="1" si="455"/>
        <v>52429.949837663618</v>
      </c>
      <c r="Q1062">
        <f t="shared" ca="1" si="456"/>
        <v>52429.949837665445</v>
      </c>
      <c r="R1062">
        <f t="shared" ca="1" si="457"/>
        <v>2.2564415439646509E-12</v>
      </c>
      <c r="S1062">
        <f t="shared" ca="1" si="476"/>
        <v>5.0000000192085281E-4</v>
      </c>
      <c r="T1062">
        <f t="shared" ca="1" si="477"/>
        <v>1</v>
      </c>
      <c r="U1062">
        <f t="shared" ca="1" si="458"/>
        <v>51800.26683766341</v>
      </c>
      <c r="V1062">
        <f t="shared" ca="1" si="459"/>
        <v>269361.38755584974</v>
      </c>
      <c r="W1062">
        <f t="shared" ca="1" si="460"/>
        <v>2.5998695052916441</v>
      </c>
      <c r="X1062">
        <f t="shared" ca="1" si="461"/>
        <v>1.8933671400629237E-4</v>
      </c>
      <c r="Y1062">
        <f t="shared" ca="1" si="462"/>
        <v>52432.37283766341</v>
      </c>
      <c r="Z1062">
        <f t="shared" ca="1" si="463"/>
        <v>52432.372837665236</v>
      </c>
      <c r="AA1062">
        <f t="shared" ca="1" si="464"/>
        <v>2.2562304480281055E-12</v>
      </c>
      <c r="AB1062">
        <f t="shared" ca="1" si="465"/>
        <v>-5.0000000192085281E-4</v>
      </c>
      <c r="AC1062">
        <f t="shared" ca="1" si="466"/>
        <v>1</v>
      </c>
      <c r="AD1062">
        <f ca="1">IF(V32="Supercritical",L1062,IF(V32="Subcritical",U1062,IF(AND(T1062=1,AC1062=1),IF((((F1062)*(L1062)^2)/2+(G1062)*(L1062)^3/3+(ABS(K1062)^2)/($I$5*MAX(((F1062)+(G1062)*(L1062))*(L1062),0.000001)))&gt;=(((F1062)*(U1062)^2)/2+(G1062)*(U1062)^3/3+(ABS(K1062)^2)/($I$5*MAX(((F1062)+(G1062)*(U1062))*(U1062),0.000001))),L1062,U1062),IF(T1062=1,L1062,IF(AC1062=1,U1062,MAX($D$16,POWER((ABS(K1062)^2)/($I$5*MAX(F1062,0.1)^2),1/3)))))))</f>
        <v>51800.26683766341</v>
      </c>
      <c r="AE1062">
        <f t="shared" ca="1" si="467"/>
        <v>52432.37283766341</v>
      </c>
      <c r="AF1062">
        <f t="shared" ca="1" si="468"/>
        <v>52432.372837665236</v>
      </c>
      <c r="AI1062">
        <v>0</v>
      </c>
      <c r="AJ1062">
        <v>0</v>
      </c>
      <c r="AK1062">
        <f t="shared" si="469"/>
        <v>0</v>
      </c>
      <c r="AL1062">
        <f t="shared" si="478"/>
        <v>0</v>
      </c>
      <c r="AM1062">
        <f t="shared" ca="1" si="470"/>
        <v>2.6560383008097266E-7</v>
      </c>
      <c r="AN1062" t="str">
        <f t="shared" ca="1" si="471"/>
        <v>Subcritical</v>
      </c>
      <c r="AO1062">
        <f t="shared" ca="1" si="472"/>
        <v>2.2562304480281055E-12</v>
      </c>
    </row>
    <row r="1063" spans="1:41" x14ac:dyDescent="0.35">
      <c r="A1063">
        <v>914</v>
      </c>
      <c r="B1063">
        <v>912.88900000000001</v>
      </c>
      <c r="C1063">
        <v>616084.84299999999</v>
      </c>
      <c r="D1063">
        <v>3097090.9709999999</v>
      </c>
      <c r="E1063">
        <v>632.10550000000001</v>
      </c>
      <c r="F1063">
        <v>5.2</v>
      </c>
      <c r="G1063">
        <v>0</v>
      </c>
      <c r="H1063" t="s">
        <v>186</v>
      </c>
      <c r="I1063">
        <v>5.7000000000000002E-2</v>
      </c>
      <c r="J1063">
        <f t="shared" si="473"/>
        <v>1</v>
      </c>
      <c r="K1063">
        <f t="shared" si="474"/>
        <v>51</v>
      </c>
      <c r="L1063">
        <f t="shared" ca="1" si="475"/>
        <v>51797.843837663619</v>
      </c>
      <c r="M1063">
        <f t="shared" ca="1" si="452"/>
        <v>269348.78795585083</v>
      </c>
      <c r="N1063">
        <f t="shared" ca="1" si="453"/>
        <v>2.5998694991876676</v>
      </c>
      <c r="O1063">
        <f t="shared" ca="1" si="454"/>
        <v>1.8934557080078435E-4</v>
      </c>
      <c r="P1063">
        <f t="shared" ca="1" si="455"/>
        <v>52429.949337663616</v>
      </c>
      <c r="Q1063">
        <f t="shared" ca="1" si="456"/>
        <v>52429.949337665443</v>
      </c>
      <c r="R1063">
        <f t="shared" ca="1" si="457"/>
        <v>2.2564415439646509E-12</v>
      </c>
      <c r="S1063">
        <f t="shared" ca="1" si="476"/>
        <v>5.0000000192085281E-4</v>
      </c>
      <c r="T1063">
        <f t="shared" ca="1" si="477"/>
        <v>1</v>
      </c>
      <c r="U1063">
        <f t="shared" ca="1" si="458"/>
        <v>51800.26683766341</v>
      </c>
      <c r="V1063">
        <f t="shared" ca="1" si="459"/>
        <v>269361.38755584974</v>
      </c>
      <c r="W1063">
        <f t="shared" ca="1" si="460"/>
        <v>2.5998695052916441</v>
      </c>
      <c r="X1063">
        <f t="shared" ca="1" si="461"/>
        <v>1.8933671400629237E-4</v>
      </c>
      <c r="Y1063">
        <f t="shared" ca="1" si="462"/>
        <v>52432.372337663408</v>
      </c>
      <c r="Z1063">
        <f t="shared" ca="1" si="463"/>
        <v>52432.372337665234</v>
      </c>
      <c r="AA1063">
        <f t="shared" ca="1" si="464"/>
        <v>2.2562304480281055E-12</v>
      </c>
      <c r="AB1063">
        <f t="shared" ca="1" si="465"/>
        <v>-4.999999946448952E-4</v>
      </c>
      <c r="AC1063">
        <f t="shared" ca="1" si="466"/>
        <v>1</v>
      </c>
      <c r="AD1063">
        <f ca="1">IF(V32="Supercritical",L1063,IF(V32="Subcritical",U1063,IF(AND(T1063=1,AC1063=1),IF((((F1063)*(L1063)^2)/2+(G1063)*(L1063)^3/3+(ABS(K1063)^2)/($I$5*MAX(((F1063)+(G1063)*(L1063))*(L1063),0.000001)))&gt;=(((F1063)*(U1063)^2)/2+(G1063)*(U1063)^3/3+(ABS(K1063)^2)/($I$5*MAX(((F1063)+(G1063)*(U1063))*(U1063),0.000001))),L1063,U1063),IF(T1063=1,L1063,IF(AC1063=1,U1063,MAX($D$16,POWER((ABS(K1063)^2)/($I$5*MAX(F1063,0.1)^2),1/3)))))))</f>
        <v>51800.26683766341</v>
      </c>
      <c r="AE1063">
        <f t="shared" ca="1" si="467"/>
        <v>52432.372337663408</v>
      </c>
      <c r="AF1063">
        <f t="shared" ca="1" si="468"/>
        <v>52432.372337665234</v>
      </c>
      <c r="AI1063">
        <v>0</v>
      </c>
      <c r="AJ1063">
        <v>0</v>
      </c>
      <c r="AK1063">
        <f t="shared" si="469"/>
        <v>0</v>
      </c>
      <c r="AL1063">
        <f t="shared" si="478"/>
        <v>0</v>
      </c>
      <c r="AM1063">
        <f t="shared" ca="1" si="470"/>
        <v>2.6560383008097266E-7</v>
      </c>
      <c r="AN1063" t="str">
        <f t="shared" ca="1" si="471"/>
        <v>Subcritical</v>
      </c>
      <c r="AO1063">
        <f t="shared" ca="1" si="472"/>
        <v>2.2562304480281055E-12</v>
      </c>
    </row>
    <row r="1064" spans="1:41" x14ac:dyDescent="0.35">
      <c r="A1064">
        <v>915</v>
      </c>
      <c r="B1064">
        <v>913.88900000000001</v>
      </c>
      <c r="C1064">
        <v>616084.80000000005</v>
      </c>
      <c r="D1064">
        <v>3097089.9720000001</v>
      </c>
      <c r="E1064">
        <v>632.10500000000002</v>
      </c>
      <c r="F1064">
        <v>5.2</v>
      </c>
      <c r="G1064">
        <v>0</v>
      </c>
      <c r="H1064" t="s">
        <v>186</v>
      </c>
      <c r="I1064">
        <v>5.7000000000000002E-2</v>
      </c>
      <c r="J1064">
        <f t="shared" si="473"/>
        <v>1</v>
      </c>
      <c r="K1064">
        <f t="shared" si="474"/>
        <v>51</v>
      </c>
      <c r="L1064">
        <f t="shared" ca="1" si="475"/>
        <v>51797.843837663619</v>
      </c>
      <c r="M1064">
        <f t="shared" ca="1" si="452"/>
        <v>269348.78795585083</v>
      </c>
      <c r="N1064">
        <f t="shared" ca="1" si="453"/>
        <v>2.5998694991876676</v>
      </c>
      <c r="O1064">
        <f t="shared" ca="1" si="454"/>
        <v>1.8934557080078435E-4</v>
      </c>
      <c r="P1064">
        <f t="shared" ca="1" si="455"/>
        <v>52429.948837663622</v>
      </c>
      <c r="Q1064">
        <f t="shared" ca="1" si="456"/>
        <v>52429.948837665448</v>
      </c>
      <c r="R1064">
        <f t="shared" ca="1" si="457"/>
        <v>2.2564415439646509E-12</v>
      </c>
      <c r="S1064">
        <f t="shared" ca="1" si="476"/>
        <v>4.999999946448952E-4</v>
      </c>
      <c r="T1064">
        <f t="shared" ca="1" si="477"/>
        <v>1</v>
      </c>
      <c r="U1064">
        <f t="shared" ca="1" si="458"/>
        <v>51800.26683766341</v>
      </c>
      <c r="V1064">
        <f t="shared" ca="1" si="459"/>
        <v>269361.38755584974</v>
      </c>
      <c r="W1064">
        <f t="shared" ca="1" si="460"/>
        <v>2.5998695052916441</v>
      </c>
      <c r="X1064">
        <f t="shared" ca="1" si="461"/>
        <v>1.8933671400629237E-4</v>
      </c>
      <c r="Y1064">
        <f t="shared" ca="1" si="462"/>
        <v>52432.371837663413</v>
      </c>
      <c r="Z1064">
        <f t="shared" ca="1" si="463"/>
        <v>52432.37183766524</v>
      </c>
      <c r="AA1064">
        <f t="shared" ca="1" si="464"/>
        <v>2.2562304480281055E-12</v>
      </c>
      <c r="AB1064">
        <f t="shared" ca="1" si="465"/>
        <v>-5.0000000192085281E-4</v>
      </c>
      <c r="AC1064">
        <f t="shared" ca="1" si="466"/>
        <v>1</v>
      </c>
      <c r="AD1064">
        <f ca="1">IF(V32="Supercritical",L1064,IF(V32="Subcritical",U1064,IF(AND(T1064=1,AC1064=1),IF((((F1064)*(L1064)^2)/2+(G1064)*(L1064)^3/3+(ABS(K1064)^2)/($I$5*MAX(((F1064)+(G1064)*(L1064))*(L1064),0.000001)))&gt;=(((F1064)*(U1064)^2)/2+(G1064)*(U1064)^3/3+(ABS(K1064)^2)/($I$5*MAX(((F1064)+(G1064)*(U1064))*(U1064),0.000001))),L1064,U1064),IF(T1064=1,L1064,IF(AC1064=1,U1064,MAX($D$16,POWER((ABS(K1064)^2)/($I$5*MAX(F1064,0.1)^2),1/3)))))))</f>
        <v>51800.26683766341</v>
      </c>
      <c r="AE1064">
        <f t="shared" ca="1" si="467"/>
        <v>52432.371837663413</v>
      </c>
      <c r="AF1064">
        <f t="shared" ca="1" si="468"/>
        <v>52432.37183766524</v>
      </c>
      <c r="AI1064">
        <v>0</v>
      </c>
      <c r="AJ1064">
        <v>0</v>
      </c>
      <c r="AK1064">
        <f t="shared" si="469"/>
        <v>0</v>
      </c>
      <c r="AL1064">
        <f t="shared" si="478"/>
        <v>0</v>
      </c>
      <c r="AM1064">
        <f t="shared" ca="1" si="470"/>
        <v>2.6560383008097266E-7</v>
      </c>
      <c r="AN1064" t="str">
        <f t="shared" ca="1" si="471"/>
        <v>Subcritical</v>
      </c>
      <c r="AO1064">
        <f t="shared" ca="1" si="472"/>
        <v>2.2562304480281055E-12</v>
      </c>
    </row>
    <row r="1065" spans="1:41" x14ac:dyDescent="0.35">
      <c r="A1065">
        <v>916</v>
      </c>
      <c r="B1065">
        <v>914.88900000000001</v>
      </c>
      <c r="C1065">
        <v>616084.75800000003</v>
      </c>
      <c r="D1065">
        <v>3097088.9730000002</v>
      </c>
      <c r="E1065">
        <v>632.10450000000003</v>
      </c>
      <c r="F1065">
        <v>5.2</v>
      </c>
      <c r="G1065">
        <v>0</v>
      </c>
      <c r="H1065" t="s">
        <v>186</v>
      </c>
      <c r="I1065">
        <v>0</v>
      </c>
      <c r="J1065">
        <f t="shared" si="473"/>
        <v>1</v>
      </c>
      <c r="K1065">
        <f t="shared" si="474"/>
        <v>51</v>
      </c>
      <c r="L1065">
        <f t="shared" ca="1" si="475"/>
        <v>51797.843837663619</v>
      </c>
      <c r="M1065">
        <f t="shared" ca="1" si="452"/>
        <v>269348.78795585083</v>
      </c>
      <c r="N1065">
        <f t="shared" ca="1" si="453"/>
        <v>2.5998694991876676</v>
      </c>
      <c r="O1065">
        <f t="shared" ca="1" si="454"/>
        <v>1.8934557080078435E-4</v>
      </c>
      <c r="P1065">
        <f t="shared" ca="1" si="455"/>
        <v>52429.94833766362</v>
      </c>
      <c r="Q1065">
        <f t="shared" ca="1" si="456"/>
        <v>52429.948337665446</v>
      </c>
      <c r="R1065">
        <f t="shared" ca="1" si="457"/>
        <v>2.2564415439646509E-12</v>
      </c>
      <c r="S1065">
        <f t="shared" ca="1" si="476"/>
        <v>5.0000000192085281E-4</v>
      </c>
      <c r="T1065">
        <f t="shared" ca="1" si="477"/>
        <v>1</v>
      </c>
      <c r="U1065">
        <f t="shared" ca="1" si="458"/>
        <v>51800.26683766341</v>
      </c>
      <c r="V1065">
        <f t="shared" ca="1" si="459"/>
        <v>269361.38755584974</v>
      </c>
      <c r="W1065">
        <f t="shared" ca="1" si="460"/>
        <v>2.5998695052916441</v>
      </c>
      <c r="X1065">
        <f t="shared" ca="1" si="461"/>
        <v>1.8933671400629237E-4</v>
      </c>
      <c r="Y1065">
        <f t="shared" ca="1" si="462"/>
        <v>52432.371337663411</v>
      </c>
      <c r="Z1065">
        <f t="shared" ca="1" si="463"/>
        <v>52432.371337665238</v>
      </c>
      <c r="AA1065">
        <f t="shared" ca="1" si="464"/>
        <v>2.2562304480281055E-12</v>
      </c>
      <c r="AB1065">
        <f t="shared" ca="1" si="465"/>
        <v>-5.0000000192085281E-4</v>
      </c>
      <c r="AC1065">
        <f t="shared" ca="1" si="466"/>
        <v>1</v>
      </c>
      <c r="AD1065">
        <f ca="1">IF(V32="Supercritical",L1065,IF(V32="Subcritical",U1065,IF(AND(T1065=1,AC1065=1),IF((((F1065)*(L1065)^2)/2+(G1065)*(L1065)^3/3+(ABS(K1065)^2)/($I$5*MAX(((F1065)+(G1065)*(L1065))*(L1065),0.000001)))&gt;=(((F1065)*(U1065)^2)/2+(G1065)*(U1065)^3/3+(ABS(K1065)^2)/($I$5*MAX(((F1065)+(G1065)*(U1065))*(U1065),0.000001))),L1065,U1065),IF(T1065=1,L1065,IF(AC1065=1,U1065,MAX($D$16,POWER((ABS(K1065)^2)/($I$5*MAX(F1065,0.1)^2),1/3)))))))</f>
        <v>51800.26683766341</v>
      </c>
      <c r="AE1065">
        <f t="shared" ca="1" si="467"/>
        <v>52432.371337663411</v>
      </c>
      <c r="AF1065">
        <f t="shared" ca="1" si="468"/>
        <v>52432.371337665238</v>
      </c>
      <c r="AI1065">
        <v>0</v>
      </c>
      <c r="AJ1065">
        <v>0</v>
      </c>
      <c r="AK1065">
        <f t="shared" si="469"/>
        <v>0</v>
      </c>
      <c r="AL1065">
        <f t="shared" si="478"/>
        <v>0</v>
      </c>
      <c r="AM1065">
        <f t="shared" ca="1" si="470"/>
        <v>2.6560383008097266E-7</v>
      </c>
      <c r="AN1065" t="str">
        <f t="shared" ca="1" si="471"/>
        <v>Subcritical</v>
      </c>
      <c r="AO1065">
        <f t="shared" ca="1" si="472"/>
        <v>2.2562304480281055E-12</v>
      </c>
    </row>
    <row r="1066" spans="1:41" x14ac:dyDescent="0.35">
      <c r="A1066">
        <v>917</v>
      </c>
      <c r="B1066">
        <v>915.88900000000001</v>
      </c>
      <c r="C1066">
        <v>616084.71600000001</v>
      </c>
      <c r="D1066">
        <v>3097087.9739999999</v>
      </c>
      <c r="E1066">
        <v>632.10400000000004</v>
      </c>
      <c r="F1066">
        <v>5.2</v>
      </c>
      <c r="G1066">
        <v>0</v>
      </c>
      <c r="H1066" t="s">
        <v>186</v>
      </c>
      <c r="I1066">
        <v>0</v>
      </c>
      <c r="J1066">
        <f t="shared" si="473"/>
        <v>1</v>
      </c>
      <c r="K1066">
        <f t="shared" si="474"/>
        <v>51</v>
      </c>
      <c r="L1066">
        <f t="shared" ca="1" si="475"/>
        <v>51797.843837663619</v>
      </c>
      <c r="M1066">
        <f t="shared" ca="1" si="452"/>
        <v>269348.78795585083</v>
      </c>
      <c r="N1066">
        <f t="shared" ca="1" si="453"/>
        <v>2.5998694991876676</v>
      </c>
      <c r="O1066">
        <f t="shared" ca="1" si="454"/>
        <v>1.8934557080078435E-4</v>
      </c>
      <c r="P1066">
        <f t="shared" ca="1" si="455"/>
        <v>52429.947837663618</v>
      </c>
      <c r="Q1066">
        <f t="shared" ca="1" si="456"/>
        <v>52429.947837665444</v>
      </c>
      <c r="R1066">
        <f t="shared" ca="1" si="457"/>
        <v>2.2564415439646509E-12</v>
      </c>
      <c r="S1066">
        <f t="shared" ca="1" si="476"/>
        <v>5.0000000192085281E-4</v>
      </c>
      <c r="T1066">
        <f t="shared" ca="1" si="477"/>
        <v>1</v>
      </c>
      <c r="U1066">
        <f t="shared" ca="1" si="458"/>
        <v>51800.26683766341</v>
      </c>
      <c r="V1066">
        <f t="shared" ca="1" si="459"/>
        <v>269361.38755584974</v>
      </c>
      <c r="W1066">
        <f t="shared" ca="1" si="460"/>
        <v>2.5998695052916441</v>
      </c>
      <c r="X1066">
        <f t="shared" ca="1" si="461"/>
        <v>1.8933671400629237E-4</v>
      </c>
      <c r="Y1066">
        <f t="shared" ca="1" si="462"/>
        <v>52432.370837663409</v>
      </c>
      <c r="Z1066">
        <f t="shared" ca="1" si="463"/>
        <v>52432.370837665236</v>
      </c>
      <c r="AA1066">
        <f t="shared" ca="1" si="464"/>
        <v>2.2562304480281055E-12</v>
      </c>
      <c r="AB1066">
        <f t="shared" ca="1" si="465"/>
        <v>-5.0000000192085281E-4</v>
      </c>
      <c r="AC1066">
        <f t="shared" ca="1" si="466"/>
        <v>1</v>
      </c>
      <c r="AD1066">
        <f ca="1">IF(V32="Supercritical",L1066,IF(V32="Subcritical",U1066,IF(AND(T1066=1,AC1066=1),IF((((F1066)*(L1066)^2)/2+(G1066)*(L1066)^3/3+(ABS(K1066)^2)/($I$5*MAX(((F1066)+(G1066)*(L1066))*(L1066),0.000001)))&gt;=(((F1066)*(U1066)^2)/2+(G1066)*(U1066)^3/3+(ABS(K1066)^2)/($I$5*MAX(((F1066)+(G1066)*(U1066))*(U1066),0.000001))),L1066,U1066),IF(T1066=1,L1066,IF(AC1066=1,U1066,MAX($D$16,POWER((ABS(K1066)^2)/($I$5*MAX(F1066,0.1)^2),1/3)))))))</f>
        <v>51800.26683766341</v>
      </c>
      <c r="AE1066">
        <f t="shared" ca="1" si="467"/>
        <v>52432.370837663409</v>
      </c>
      <c r="AF1066">
        <f t="shared" ca="1" si="468"/>
        <v>52432.370837665236</v>
      </c>
      <c r="AI1066">
        <v>0</v>
      </c>
      <c r="AJ1066">
        <v>0</v>
      </c>
      <c r="AK1066">
        <f t="shared" si="469"/>
        <v>0</v>
      </c>
      <c r="AL1066">
        <f t="shared" si="478"/>
        <v>0</v>
      </c>
      <c r="AM1066">
        <f t="shared" ca="1" si="470"/>
        <v>2.6560383008097266E-7</v>
      </c>
      <c r="AN1066" t="str">
        <f t="shared" ca="1" si="471"/>
        <v>Subcritical</v>
      </c>
      <c r="AO1066">
        <f t="shared" ca="1" si="472"/>
        <v>2.2562304480281055E-12</v>
      </c>
    </row>
    <row r="1067" spans="1:41" x14ac:dyDescent="0.35">
      <c r="A1067">
        <v>918</v>
      </c>
      <c r="B1067">
        <v>916.88900000000001</v>
      </c>
      <c r="C1067">
        <v>616084.674</v>
      </c>
      <c r="D1067">
        <v>3097086.9750000001</v>
      </c>
      <c r="E1067">
        <v>632.10350000000005</v>
      </c>
      <c r="F1067">
        <v>5.2</v>
      </c>
      <c r="G1067">
        <v>0</v>
      </c>
      <c r="H1067" t="s">
        <v>186</v>
      </c>
      <c r="I1067">
        <v>5.5E-2</v>
      </c>
      <c r="J1067">
        <f t="shared" si="473"/>
        <v>1</v>
      </c>
      <c r="K1067">
        <f t="shared" si="474"/>
        <v>51</v>
      </c>
      <c r="L1067">
        <f t="shared" ca="1" si="475"/>
        <v>51797.843837663619</v>
      </c>
      <c r="M1067">
        <f t="shared" ca="1" si="452"/>
        <v>269348.78795585083</v>
      </c>
      <c r="N1067">
        <f t="shared" ca="1" si="453"/>
        <v>2.5998694991876676</v>
      </c>
      <c r="O1067">
        <f t="shared" ca="1" si="454"/>
        <v>1.8934557080078435E-4</v>
      </c>
      <c r="P1067">
        <f t="shared" ca="1" si="455"/>
        <v>52429.947337663616</v>
      </c>
      <c r="Q1067">
        <f t="shared" ca="1" si="456"/>
        <v>52429.947337665442</v>
      </c>
      <c r="R1067">
        <f t="shared" ca="1" si="457"/>
        <v>2.2564415439646509E-12</v>
      </c>
      <c r="S1067">
        <f t="shared" ca="1" si="476"/>
        <v>5.0000000192085281E-4</v>
      </c>
      <c r="T1067">
        <f t="shared" ca="1" si="477"/>
        <v>1</v>
      </c>
      <c r="U1067">
        <f t="shared" ca="1" si="458"/>
        <v>51800.26683766341</v>
      </c>
      <c r="V1067">
        <f t="shared" ca="1" si="459"/>
        <v>269361.38755584974</v>
      </c>
      <c r="W1067">
        <f t="shared" ca="1" si="460"/>
        <v>2.5998695052916441</v>
      </c>
      <c r="X1067">
        <f t="shared" ca="1" si="461"/>
        <v>1.8933671400629237E-4</v>
      </c>
      <c r="Y1067">
        <f t="shared" ca="1" si="462"/>
        <v>52432.370337663408</v>
      </c>
      <c r="Z1067">
        <f t="shared" ca="1" si="463"/>
        <v>52432.370337665234</v>
      </c>
      <c r="AA1067">
        <f t="shared" ca="1" si="464"/>
        <v>2.2562304480281055E-12</v>
      </c>
      <c r="AB1067">
        <f t="shared" ca="1" si="465"/>
        <v>-4.999999946448952E-4</v>
      </c>
      <c r="AC1067">
        <f t="shared" ca="1" si="466"/>
        <v>1</v>
      </c>
      <c r="AD1067">
        <f ca="1">IF(V32="Supercritical",L1067,IF(V32="Subcritical",U1067,IF(AND(T1067=1,AC1067=1),IF((((F1067)*(L1067)^2)/2+(G1067)*(L1067)^3/3+(ABS(K1067)^2)/($I$5*MAX(((F1067)+(G1067)*(L1067))*(L1067),0.000001)))&gt;=(((F1067)*(U1067)^2)/2+(G1067)*(U1067)^3/3+(ABS(K1067)^2)/($I$5*MAX(((F1067)+(G1067)*(U1067))*(U1067),0.000001))),L1067,U1067),IF(T1067=1,L1067,IF(AC1067=1,U1067,MAX($D$16,POWER((ABS(K1067)^2)/($I$5*MAX(F1067,0.1)^2),1/3)))))))</f>
        <v>51800.26683766341</v>
      </c>
      <c r="AE1067">
        <f t="shared" ca="1" si="467"/>
        <v>52432.370337663408</v>
      </c>
      <c r="AF1067">
        <f t="shared" ca="1" si="468"/>
        <v>52432.370337665234</v>
      </c>
      <c r="AI1067">
        <v>0</v>
      </c>
      <c r="AJ1067">
        <v>0</v>
      </c>
      <c r="AK1067">
        <f t="shared" si="469"/>
        <v>0</v>
      </c>
      <c r="AL1067">
        <f t="shared" si="478"/>
        <v>0</v>
      </c>
      <c r="AM1067">
        <f t="shared" ca="1" si="470"/>
        <v>2.6560383008097266E-7</v>
      </c>
      <c r="AN1067" t="str">
        <f t="shared" ca="1" si="471"/>
        <v>Subcritical</v>
      </c>
      <c r="AO1067">
        <f t="shared" ca="1" si="472"/>
        <v>2.2562304480281055E-12</v>
      </c>
    </row>
    <row r="1068" spans="1:41" x14ac:dyDescent="0.35">
      <c r="A1068">
        <v>919</v>
      </c>
      <c r="B1068">
        <v>917.89</v>
      </c>
      <c r="C1068">
        <v>616084.63100000005</v>
      </c>
      <c r="D1068">
        <v>3097085.9750000001</v>
      </c>
      <c r="E1068">
        <v>632.10299999999995</v>
      </c>
      <c r="F1068">
        <v>5.2</v>
      </c>
      <c r="G1068">
        <v>0</v>
      </c>
      <c r="H1068" t="s">
        <v>186</v>
      </c>
      <c r="I1068">
        <v>5.5E-2</v>
      </c>
      <c r="J1068">
        <f t="shared" si="473"/>
        <v>1.0009999999999764</v>
      </c>
      <c r="K1068">
        <f t="shared" si="474"/>
        <v>51</v>
      </c>
      <c r="L1068">
        <f t="shared" ca="1" si="475"/>
        <v>51797.843837663619</v>
      </c>
      <c r="M1068">
        <f t="shared" ca="1" si="452"/>
        <v>269348.78795585083</v>
      </c>
      <c r="N1068">
        <f t="shared" ca="1" si="453"/>
        <v>2.5998694991876676</v>
      </c>
      <c r="O1068">
        <f t="shared" ca="1" si="454"/>
        <v>1.8934557080078435E-4</v>
      </c>
      <c r="P1068">
        <f t="shared" ca="1" si="455"/>
        <v>52429.946837663621</v>
      </c>
      <c r="Q1068">
        <f t="shared" ca="1" si="456"/>
        <v>52429.946837665448</v>
      </c>
      <c r="R1068">
        <f t="shared" ca="1" si="457"/>
        <v>2.2564415439646509E-12</v>
      </c>
      <c r="S1068">
        <f t="shared" ca="1" si="476"/>
        <v>4.999999946448952E-4</v>
      </c>
      <c r="T1068">
        <f t="shared" ca="1" si="477"/>
        <v>1</v>
      </c>
      <c r="U1068">
        <f t="shared" ca="1" si="458"/>
        <v>51800.26683766341</v>
      </c>
      <c r="V1068">
        <f t="shared" ca="1" si="459"/>
        <v>269361.38755584974</v>
      </c>
      <c r="W1068">
        <f t="shared" ca="1" si="460"/>
        <v>2.5998695052916441</v>
      </c>
      <c r="X1068">
        <f t="shared" ca="1" si="461"/>
        <v>1.8933671400629237E-4</v>
      </c>
      <c r="Y1068">
        <f t="shared" ca="1" si="462"/>
        <v>52432.369837663413</v>
      </c>
      <c r="Z1068">
        <f t="shared" ca="1" si="463"/>
        <v>52432.369837665239</v>
      </c>
      <c r="AA1068">
        <f t="shared" ca="1" si="464"/>
        <v>2.2562304480281055E-12</v>
      </c>
      <c r="AB1068">
        <f t="shared" ca="1" si="465"/>
        <v>-5.0000000192085281E-4</v>
      </c>
      <c r="AC1068">
        <f t="shared" ca="1" si="466"/>
        <v>1</v>
      </c>
      <c r="AD1068">
        <f ca="1">IF(V32="Supercritical",L1068,IF(V32="Subcritical",U1068,IF(AND(T1068=1,AC1068=1),IF((((F1068)*(L1068)^2)/2+(G1068)*(L1068)^3/3+(ABS(K1068)^2)/($I$5*MAX(((F1068)+(G1068)*(L1068))*(L1068),0.000001)))&gt;=(((F1068)*(U1068)^2)/2+(G1068)*(U1068)^3/3+(ABS(K1068)^2)/($I$5*MAX(((F1068)+(G1068)*(U1068))*(U1068),0.000001))),L1068,U1068),IF(T1068=1,L1068,IF(AC1068=1,U1068,MAX($D$16,POWER((ABS(K1068)^2)/($I$5*MAX(F1068,0.1)^2),1/3)))))))</f>
        <v>51800.26683766341</v>
      </c>
      <c r="AE1068">
        <f t="shared" ca="1" si="467"/>
        <v>52432.369837663413</v>
      </c>
      <c r="AF1068">
        <f t="shared" ca="1" si="468"/>
        <v>52432.369837665239</v>
      </c>
      <c r="AI1068">
        <v>0</v>
      </c>
      <c r="AJ1068">
        <v>0</v>
      </c>
      <c r="AK1068">
        <f t="shared" si="469"/>
        <v>0</v>
      </c>
      <c r="AL1068">
        <f t="shared" si="478"/>
        <v>0</v>
      </c>
      <c r="AM1068">
        <f t="shared" ca="1" si="470"/>
        <v>2.6560383008097266E-7</v>
      </c>
      <c r="AN1068" t="str">
        <f t="shared" ca="1" si="471"/>
        <v>Subcritical</v>
      </c>
      <c r="AO1068">
        <f t="shared" ca="1" si="472"/>
        <v>2.2562304480281055E-12</v>
      </c>
    </row>
    <row r="1069" spans="1:41" x14ac:dyDescent="0.35">
      <c r="A1069">
        <v>920</v>
      </c>
      <c r="B1069">
        <v>918.89</v>
      </c>
      <c r="C1069">
        <v>616084.58900000004</v>
      </c>
      <c r="D1069">
        <v>3097084.9759999998</v>
      </c>
      <c r="E1069">
        <v>632.10249999999996</v>
      </c>
      <c r="F1069">
        <v>5.2</v>
      </c>
      <c r="G1069">
        <v>0</v>
      </c>
      <c r="H1069" t="s">
        <v>186</v>
      </c>
      <c r="I1069">
        <v>0</v>
      </c>
      <c r="J1069">
        <f t="shared" si="473"/>
        <v>1</v>
      </c>
      <c r="K1069">
        <f t="shared" si="474"/>
        <v>51</v>
      </c>
      <c r="L1069">
        <f t="shared" ca="1" si="475"/>
        <v>51797.843837663619</v>
      </c>
      <c r="M1069">
        <f t="shared" ca="1" si="452"/>
        <v>269348.78795585083</v>
      </c>
      <c r="N1069">
        <f t="shared" ca="1" si="453"/>
        <v>2.5998694991876676</v>
      </c>
      <c r="O1069">
        <f t="shared" ca="1" si="454"/>
        <v>1.8934557080078435E-4</v>
      </c>
      <c r="P1069">
        <f t="shared" ca="1" si="455"/>
        <v>52429.946337663619</v>
      </c>
      <c r="Q1069">
        <f t="shared" ca="1" si="456"/>
        <v>52429.946337665446</v>
      </c>
      <c r="R1069">
        <f t="shared" ca="1" si="457"/>
        <v>2.2564415439646509E-12</v>
      </c>
      <c r="S1069">
        <f t="shared" ca="1" si="476"/>
        <v>5.0000000192085281E-4</v>
      </c>
      <c r="T1069">
        <f t="shared" ca="1" si="477"/>
        <v>1</v>
      </c>
      <c r="U1069">
        <f t="shared" ca="1" si="458"/>
        <v>51800.26683766341</v>
      </c>
      <c r="V1069">
        <f t="shared" ca="1" si="459"/>
        <v>269361.38755584974</v>
      </c>
      <c r="W1069">
        <f t="shared" ca="1" si="460"/>
        <v>2.5998695052916441</v>
      </c>
      <c r="X1069">
        <f t="shared" ca="1" si="461"/>
        <v>1.8933671400629237E-4</v>
      </c>
      <c r="Y1069">
        <f t="shared" ca="1" si="462"/>
        <v>52432.369337663411</v>
      </c>
      <c r="Z1069">
        <f t="shared" ca="1" si="463"/>
        <v>52432.369337665237</v>
      </c>
      <c r="AA1069">
        <f t="shared" ca="1" si="464"/>
        <v>2.2562304480281055E-12</v>
      </c>
      <c r="AB1069">
        <f t="shared" ca="1" si="465"/>
        <v>-5.0000000192085281E-4</v>
      </c>
      <c r="AC1069">
        <f t="shared" ca="1" si="466"/>
        <v>1</v>
      </c>
      <c r="AD1069">
        <f ca="1">IF(V32="Supercritical",L1069,IF(V32="Subcritical",U1069,IF(AND(T1069=1,AC1069=1),IF((((F1069)*(L1069)^2)/2+(G1069)*(L1069)^3/3+(ABS(K1069)^2)/($I$5*MAX(((F1069)+(G1069)*(L1069))*(L1069),0.000001)))&gt;=(((F1069)*(U1069)^2)/2+(G1069)*(U1069)^3/3+(ABS(K1069)^2)/($I$5*MAX(((F1069)+(G1069)*(U1069))*(U1069),0.000001))),L1069,U1069),IF(T1069=1,L1069,IF(AC1069=1,U1069,MAX($D$16,POWER((ABS(K1069)^2)/($I$5*MAX(F1069,0.1)^2),1/3)))))))</f>
        <v>51800.26683766341</v>
      </c>
      <c r="AE1069">
        <f t="shared" ca="1" si="467"/>
        <v>52432.369337663411</v>
      </c>
      <c r="AF1069">
        <f t="shared" ca="1" si="468"/>
        <v>52432.369337665237</v>
      </c>
      <c r="AI1069">
        <v>0</v>
      </c>
      <c r="AJ1069">
        <v>0</v>
      </c>
      <c r="AK1069">
        <f t="shared" si="469"/>
        <v>0</v>
      </c>
      <c r="AL1069">
        <f t="shared" si="478"/>
        <v>0</v>
      </c>
      <c r="AM1069">
        <f t="shared" ca="1" si="470"/>
        <v>2.6560383008097266E-7</v>
      </c>
      <c r="AN1069" t="str">
        <f t="shared" ca="1" si="471"/>
        <v>Subcritical</v>
      </c>
      <c r="AO1069">
        <f t="shared" ca="1" si="472"/>
        <v>2.2562304480281055E-12</v>
      </c>
    </row>
    <row r="1070" spans="1:41" x14ac:dyDescent="0.35">
      <c r="A1070">
        <v>921</v>
      </c>
      <c r="B1070">
        <v>919.89</v>
      </c>
      <c r="C1070">
        <v>616084.54700000002</v>
      </c>
      <c r="D1070">
        <v>3097083.977</v>
      </c>
      <c r="E1070">
        <v>632.10199999999998</v>
      </c>
      <c r="F1070">
        <v>5.2</v>
      </c>
      <c r="G1070">
        <v>0</v>
      </c>
      <c r="H1070" t="s">
        <v>186</v>
      </c>
      <c r="I1070">
        <v>5.7000000000000002E-2</v>
      </c>
      <c r="J1070">
        <f t="shared" si="473"/>
        <v>1</v>
      </c>
      <c r="K1070">
        <f t="shared" si="474"/>
        <v>51</v>
      </c>
      <c r="L1070">
        <f t="shared" ca="1" si="475"/>
        <v>51797.843837663619</v>
      </c>
      <c r="M1070">
        <f t="shared" ca="1" si="452"/>
        <v>269348.78795585083</v>
      </c>
      <c r="N1070">
        <f t="shared" ca="1" si="453"/>
        <v>2.5998694991876676</v>
      </c>
      <c r="O1070">
        <f t="shared" ca="1" si="454"/>
        <v>1.8934557080078435E-4</v>
      </c>
      <c r="P1070">
        <f t="shared" ca="1" si="455"/>
        <v>52429.945837663618</v>
      </c>
      <c r="Q1070">
        <f t="shared" ca="1" si="456"/>
        <v>52429.945837665444</v>
      </c>
      <c r="R1070">
        <f t="shared" ca="1" si="457"/>
        <v>2.2564415439646509E-12</v>
      </c>
      <c r="S1070">
        <f t="shared" ca="1" si="476"/>
        <v>5.0000000192085281E-4</v>
      </c>
      <c r="T1070">
        <f t="shared" ca="1" si="477"/>
        <v>1</v>
      </c>
      <c r="U1070">
        <f t="shared" ca="1" si="458"/>
        <v>51800.26683766341</v>
      </c>
      <c r="V1070">
        <f t="shared" ca="1" si="459"/>
        <v>269361.38755584974</v>
      </c>
      <c r="W1070">
        <f t="shared" ca="1" si="460"/>
        <v>2.5998695052916441</v>
      </c>
      <c r="X1070">
        <f t="shared" ca="1" si="461"/>
        <v>1.8933671400629237E-4</v>
      </c>
      <c r="Y1070">
        <f t="shared" ca="1" si="462"/>
        <v>52432.368837663409</v>
      </c>
      <c r="Z1070">
        <f t="shared" ca="1" si="463"/>
        <v>52432.368837665235</v>
      </c>
      <c r="AA1070">
        <f t="shared" ca="1" si="464"/>
        <v>2.2562304480281055E-12</v>
      </c>
      <c r="AB1070">
        <f t="shared" ca="1" si="465"/>
        <v>-5.0000000192085281E-4</v>
      </c>
      <c r="AC1070">
        <f t="shared" ca="1" si="466"/>
        <v>1</v>
      </c>
      <c r="AD1070">
        <f ca="1">IF(V32="Supercritical",L1070,IF(V32="Subcritical",U1070,IF(AND(T1070=1,AC1070=1),IF((((F1070)*(L1070)^2)/2+(G1070)*(L1070)^3/3+(ABS(K1070)^2)/($I$5*MAX(((F1070)+(G1070)*(L1070))*(L1070),0.000001)))&gt;=(((F1070)*(U1070)^2)/2+(G1070)*(U1070)^3/3+(ABS(K1070)^2)/($I$5*MAX(((F1070)+(G1070)*(U1070))*(U1070),0.000001))),L1070,U1070),IF(T1070=1,L1070,IF(AC1070=1,U1070,MAX($D$16,POWER((ABS(K1070)^2)/($I$5*MAX(F1070,0.1)^2),1/3)))))))</f>
        <v>51800.26683766341</v>
      </c>
      <c r="AE1070">
        <f t="shared" ca="1" si="467"/>
        <v>52432.368837663409</v>
      </c>
      <c r="AF1070">
        <f t="shared" ca="1" si="468"/>
        <v>52432.368837665235</v>
      </c>
      <c r="AI1070">
        <v>0</v>
      </c>
      <c r="AJ1070">
        <v>0</v>
      </c>
      <c r="AK1070">
        <f t="shared" si="469"/>
        <v>0</v>
      </c>
      <c r="AL1070">
        <f t="shared" si="478"/>
        <v>0</v>
      </c>
      <c r="AM1070">
        <f t="shared" ca="1" si="470"/>
        <v>2.6560383008097266E-7</v>
      </c>
      <c r="AN1070" t="str">
        <f t="shared" ca="1" si="471"/>
        <v>Subcritical</v>
      </c>
      <c r="AO1070">
        <f t="shared" ca="1" si="472"/>
        <v>2.2562304480281055E-12</v>
      </c>
    </row>
    <row r="1071" spans="1:41" x14ac:dyDescent="0.35">
      <c r="A1071">
        <v>922</v>
      </c>
      <c r="B1071">
        <v>920.88900000000001</v>
      </c>
      <c r="C1071">
        <v>616084.50399999996</v>
      </c>
      <c r="D1071">
        <v>3097082.9780000001</v>
      </c>
      <c r="E1071">
        <v>632.10149999999999</v>
      </c>
      <c r="F1071">
        <v>5.2</v>
      </c>
      <c r="G1071">
        <v>0</v>
      </c>
      <c r="H1071" t="s">
        <v>186</v>
      </c>
      <c r="I1071">
        <v>5.7000000000000002E-2</v>
      </c>
      <c r="J1071">
        <f t="shared" si="473"/>
        <v>0.99900000000002365</v>
      </c>
      <c r="K1071">
        <f t="shared" si="474"/>
        <v>51</v>
      </c>
      <c r="L1071">
        <f t="shared" ca="1" si="475"/>
        <v>51797.843837663619</v>
      </c>
      <c r="M1071">
        <f t="shared" ca="1" si="452"/>
        <v>269348.78795585083</v>
      </c>
      <c r="N1071">
        <f t="shared" ca="1" si="453"/>
        <v>2.5998694991876676</v>
      </c>
      <c r="O1071">
        <f t="shared" ca="1" si="454"/>
        <v>1.8934557080078435E-4</v>
      </c>
      <c r="P1071">
        <f t="shared" ca="1" si="455"/>
        <v>52429.945337663616</v>
      </c>
      <c r="Q1071">
        <f t="shared" ca="1" si="456"/>
        <v>52429.945337665442</v>
      </c>
      <c r="R1071">
        <f t="shared" ca="1" si="457"/>
        <v>2.2564415439646509E-12</v>
      </c>
      <c r="S1071">
        <f t="shared" ca="1" si="476"/>
        <v>5.0000000192085281E-4</v>
      </c>
      <c r="T1071">
        <f t="shared" ca="1" si="477"/>
        <v>1</v>
      </c>
      <c r="U1071">
        <f t="shared" ca="1" si="458"/>
        <v>51800.26683766341</v>
      </c>
      <c r="V1071">
        <f t="shared" ca="1" si="459"/>
        <v>269361.38755584974</v>
      </c>
      <c r="W1071">
        <f t="shared" ca="1" si="460"/>
        <v>2.5998695052916441</v>
      </c>
      <c r="X1071">
        <f t="shared" ca="1" si="461"/>
        <v>1.8933671400629237E-4</v>
      </c>
      <c r="Y1071">
        <f t="shared" ca="1" si="462"/>
        <v>52432.368337663407</v>
      </c>
      <c r="Z1071">
        <f t="shared" ca="1" si="463"/>
        <v>52432.368337665233</v>
      </c>
      <c r="AA1071">
        <f t="shared" ca="1" si="464"/>
        <v>2.2562304480281055E-12</v>
      </c>
      <c r="AB1071">
        <f t="shared" ca="1" si="465"/>
        <v>-4.999999946448952E-4</v>
      </c>
      <c r="AC1071">
        <f t="shared" ca="1" si="466"/>
        <v>1</v>
      </c>
      <c r="AD1071">
        <f ca="1">IF(V32="Supercritical",L1071,IF(V32="Subcritical",U1071,IF(AND(T1071=1,AC1071=1),IF((((F1071)*(L1071)^2)/2+(G1071)*(L1071)^3/3+(ABS(K1071)^2)/($I$5*MAX(((F1071)+(G1071)*(L1071))*(L1071),0.000001)))&gt;=(((F1071)*(U1071)^2)/2+(G1071)*(U1071)^3/3+(ABS(K1071)^2)/($I$5*MAX(((F1071)+(G1071)*(U1071))*(U1071),0.000001))),L1071,U1071),IF(T1071=1,L1071,IF(AC1071=1,U1071,MAX($D$16,POWER((ABS(K1071)^2)/($I$5*MAX(F1071,0.1)^2),1/3)))))))</f>
        <v>51800.26683766341</v>
      </c>
      <c r="AE1071">
        <f t="shared" ca="1" si="467"/>
        <v>52432.368337663407</v>
      </c>
      <c r="AF1071">
        <f t="shared" ca="1" si="468"/>
        <v>52432.368337665233</v>
      </c>
      <c r="AI1071">
        <v>0</v>
      </c>
      <c r="AJ1071">
        <v>0</v>
      </c>
      <c r="AK1071">
        <f t="shared" si="469"/>
        <v>0</v>
      </c>
      <c r="AL1071">
        <f t="shared" si="478"/>
        <v>0</v>
      </c>
      <c r="AM1071">
        <f t="shared" ca="1" si="470"/>
        <v>2.6560383008097266E-7</v>
      </c>
      <c r="AN1071" t="str">
        <f t="shared" ca="1" si="471"/>
        <v>Subcritical</v>
      </c>
      <c r="AO1071">
        <f t="shared" ca="1" si="472"/>
        <v>2.2562304480281055E-12</v>
      </c>
    </row>
    <row r="1072" spans="1:41" x14ac:dyDescent="0.35">
      <c r="A1072">
        <v>923</v>
      </c>
      <c r="B1072">
        <v>921.88900000000001</v>
      </c>
      <c r="C1072">
        <v>616084.46200000006</v>
      </c>
      <c r="D1072">
        <v>3097081.9789999998</v>
      </c>
      <c r="E1072">
        <v>632.101</v>
      </c>
      <c r="F1072">
        <v>5.2</v>
      </c>
      <c r="G1072">
        <v>0</v>
      </c>
      <c r="H1072" t="s">
        <v>186</v>
      </c>
      <c r="I1072">
        <v>0</v>
      </c>
      <c r="J1072">
        <f t="shared" si="473"/>
        <v>1</v>
      </c>
      <c r="K1072">
        <f t="shared" si="474"/>
        <v>51</v>
      </c>
      <c r="L1072">
        <f t="shared" ca="1" si="475"/>
        <v>51797.843837663619</v>
      </c>
      <c r="M1072">
        <f t="shared" ca="1" si="452"/>
        <v>269348.78795585083</v>
      </c>
      <c r="N1072">
        <f t="shared" ca="1" si="453"/>
        <v>2.5998694991876676</v>
      </c>
      <c r="O1072">
        <f t="shared" ca="1" si="454"/>
        <v>1.8934557080078435E-4</v>
      </c>
      <c r="P1072">
        <f t="shared" ca="1" si="455"/>
        <v>52429.944837663621</v>
      </c>
      <c r="Q1072">
        <f t="shared" ca="1" si="456"/>
        <v>52429.944837665447</v>
      </c>
      <c r="R1072">
        <f t="shared" ca="1" si="457"/>
        <v>2.2564415439646509E-12</v>
      </c>
      <c r="S1072">
        <f t="shared" ca="1" si="476"/>
        <v>4.999999946448952E-4</v>
      </c>
      <c r="T1072">
        <f t="shared" ca="1" si="477"/>
        <v>1</v>
      </c>
      <c r="U1072">
        <f t="shared" ca="1" si="458"/>
        <v>51800.26683766341</v>
      </c>
      <c r="V1072">
        <f t="shared" ca="1" si="459"/>
        <v>269361.38755584974</v>
      </c>
      <c r="W1072">
        <f t="shared" ca="1" si="460"/>
        <v>2.5998695052916441</v>
      </c>
      <c r="X1072">
        <f t="shared" ca="1" si="461"/>
        <v>1.8933671400629237E-4</v>
      </c>
      <c r="Y1072">
        <f t="shared" ca="1" si="462"/>
        <v>52432.367837663413</v>
      </c>
      <c r="Z1072">
        <f t="shared" ca="1" si="463"/>
        <v>52432.367837665239</v>
      </c>
      <c r="AA1072">
        <f t="shared" ca="1" si="464"/>
        <v>2.2562304480281055E-12</v>
      </c>
      <c r="AB1072">
        <f t="shared" ca="1" si="465"/>
        <v>-5.0000000192085281E-4</v>
      </c>
      <c r="AC1072">
        <f t="shared" ca="1" si="466"/>
        <v>1</v>
      </c>
      <c r="AD1072">
        <f ca="1">IF(V32="Supercritical",L1072,IF(V32="Subcritical",U1072,IF(AND(T1072=1,AC1072=1),IF((((F1072)*(L1072)^2)/2+(G1072)*(L1072)^3/3+(ABS(K1072)^2)/($I$5*MAX(((F1072)+(G1072)*(L1072))*(L1072),0.000001)))&gt;=(((F1072)*(U1072)^2)/2+(G1072)*(U1072)^3/3+(ABS(K1072)^2)/($I$5*MAX(((F1072)+(G1072)*(U1072))*(U1072),0.000001))),L1072,U1072),IF(T1072=1,L1072,IF(AC1072=1,U1072,MAX($D$16,POWER((ABS(K1072)^2)/($I$5*MAX(F1072,0.1)^2),1/3)))))))</f>
        <v>51800.26683766341</v>
      </c>
      <c r="AE1072">
        <f t="shared" ca="1" si="467"/>
        <v>52432.367837663413</v>
      </c>
      <c r="AF1072">
        <f t="shared" ca="1" si="468"/>
        <v>52432.367837665239</v>
      </c>
      <c r="AI1072">
        <v>0</v>
      </c>
      <c r="AJ1072">
        <v>0</v>
      </c>
      <c r="AK1072">
        <f t="shared" si="469"/>
        <v>0</v>
      </c>
      <c r="AL1072">
        <f t="shared" si="478"/>
        <v>0</v>
      </c>
      <c r="AM1072">
        <f t="shared" ca="1" si="470"/>
        <v>2.6560383008097266E-7</v>
      </c>
      <c r="AN1072" t="str">
        <f t="shared" ca="1" si="471"/>
        <v>Subcritical</v>
      </c>
      <c r="AO1072">
        <f t="shared" ca="1" si="472"/>
        <v>2.2562304480281055E-12</v>
      </c>
    </row>
    <row r="1073" spans="1:41" x14ac:dyDescent="0.35">
      <c r="A1073">
        <v>924</v>
      </c>
      <c r="B1073">
        <v>922.88900000000001</v>
      </c>
      <c r="C1073">
        <v>616084.42000000004</v>
      </c>
      <c r="D1073">
        <v>3097080.98</v>
      </c>
      <c r="E1073">
        <v>632.10050000000001</v>
      </c>
      <c r="F1073">
        <v>5.2</v>
      </c>
      <c r="G1073">
        <v>0</v>
      </c>
      <c r="H1073" t="s">
        <v>186</v>
      </c>
      <c r="I1073">
        <v>0</v>
      </c>
      <c r="J1073">
        <f t="shared" si="473"/>
        <v>1</v>
      </c>
      <c r="K1073">
        <f t="shared" si="474"/>
        <v>51</v>
      </c>
      <c r="L1073">
        <f t="shared" ca="1" si="475"/>
        <v>51797.843837663619</v>
      </c>
      <c r="M1073">
        <f t="shared" ca="1" si="452"/>
        <v>269348.78795585083</v>
      </c>
      <c r="N1073">
        <f t="shared" ca="1" si="453"/>
        <v>2.5998694991876676</v>
      </c>
      <c r="O1073">
        <f t="shared" ca="1" si="454"/>
        <v>1.8934557080078435E-4</v>
      </c>
      <c r="P1073">
        <f t="shared" ca="1" si="455"/>
        <v>52429.944337663619</v>
      </c>
      <c r="Q1073">
        <f t="shared" ca="1" si="456"/>
        <v>52429.944337665445</v>
      </c>
      <c r="R1073">
        <f t="shared" ca="1" si="457"/>
        <v>2.2564415439646509E-12</v>
      </c>
      <c r="S1073">
        <f t="shared" ca="1" si="476"/>
        <v>5.0000000192085281E-4</v>
      </c>
      <c r="T1073">
        <f t="shared" ca="1" si="477"/>
        <v>1</v>
      </c>
      <c r="U1073">
        <f t="shared" ca="1" si="458"/>
        <v>51800.26683766341</v>
      </c>
      <c r="V1073">
        <f t="shared" ca="1" si="459"/>
        <v>269361.38755584974</v>
      </c>
      <c r="W1073">
        <f t="shared" ca="1" si="460"/>
        <v>2.5998695052916441</v>
      </c>
      <c r="X1073">
        <f t="shared" ca="1" si="461"/>
        <v>1.8933671400629237E-4</v>
      </c>
      <c r="Y1073">
        <f t="shared" ca="1" si="462"/>
        <v>52432.367337663411</v>
      </c>
      <c r="Z1073">
        <f t="shared" ca="1" si="463"/>
        <v>52432.367337665237</v>
      </c>
      <c r="AA1073">
        <f t="shared" ca="1" si="464"/>
        <v>2.2562304480281055E-12</v>
      </c>
      <c r="AB1073">
        <f t="shared" ca="1" si="465"/>
        <v>-5.0000000192085281E-4</v>
      </c>
      <c r="AC1073">
        <f t="shared" ca="1" si="466"/>
        <v>1</v>
      </c>
      <c r="AD1073">
        <f ca="1">IF(V32="Supercritical",L1073,IF(V32="Subcritical",U1073,IF(AND(T1073=1,AC1073=1),IF((((F1073)*(L1073)^2)/2+(G1073)*(L1073)^3/3+(ABS(K1073)^2)/($I$5*MAX(((F1073)+(G1073)*(L1073))*(L1073),0.000001)))&gt;=(((F1073)*(U1073)^2)/2+(G1073)*(U1073)^3/3+(ABS(K1073)^2)/($I$5*MAX(((F1073)+(G1073)*(U1073))*(U1073),0.000001))),L1073,U1073),IF(T1073=1,L1073,IF(AC1073=1,U1073,MAX($D$16,POWER((ABS(K1073)^2)/($I$5*MAX(F1073,0.1)^2),1/3)))))))</f>
        <v>51800.26683766341</v>
      </c>
      <c r="AE1073">
        <f t="shared" ca="1" si="467"/>
        <v>52432.367337663411</v>
      </c>
      <c r="AF1073">
        <f t="shared" ca="1" si="468"/>
        <v>52432.367337665237</v>
      </c>
      <c r="AI1073">
        <v>0</v>
      </c>
      <c r="AJ1073">
        <v>0</v>
      </c>
      <c r="AK1073">
        <f t="shared" si="469"/>
        <v>0</v>
      </c>
      <c r="AL1073">
        <f t="shared" si="478"/>
        <v>0</v>
      </c>
      <c r="AM1073">
        <f t="shared" ca="1" si="470"/>
        <v>2.6560383008097266E-7</v>
      </c>
      <c r="AN1073" t="str">
        <f t="shared" ca="1" si="471"/>
        <v>Subcritical</v>
      </c>
      <c r="AO1073">
        <f t="shared" ca="1" si="472"/>
        <v>2.2562304480281055E-12</v>
      </c>
    </row>
    <row r="1074" spans="1:41" x14ac:dyDescent="0.35">
      <c r="A1074">
        <v>925</v>
      </c>
      <c r="B1074">
        <v>923.88900000000001</v>
      </c>
      <c r="C1074">
        <v>616084.37800000003</v>
      </c>
      <c r="D1074">
        <v>3097079.9810000001</v>
      </c>
      <c r="E1074">
        <v>632.1</v>
      </c>
      <c r="F1074">
        <v>5.2</v>
      </c>
      <c r="G1074">
        <v>0</v>
      </c>
      <c r="H1074" t="s">
        <v>186</v>
      </c>
      <c r="I1074">
        <v>5.7000000000000002E-2</v>
      </c>
      <c r="J1074">
        <f t="shared" si="473"/>
        <v>1</v>
      </c>
      <c r="K1074">
        <f t="shared" si="474"/>
        <v>51</v>
      </c>
      <c r="L1074">
        <f t="shared" ca="1" si="475"/>
        <v>51797.843837663619</v>
      </c>
      <c r="M1074">
        <f t="shared" ca="1" si="452"/>
        <v>269348.78795585083</v>
      </c>
      <c r="N1074">
        <f t="shared" ca="1" si="453"/>
        <v>2.5998694991876676</v>
      </c>
      <c r="O1074">
        <f t="shared" ca="1" si="454"/>
        <v>1.8934557080078435E-4</v>
      </c>
      <c r="P1074">
        <f t="shared" ca="1" si="455"/>
        <v>52429.943837663617</v>
      </c>
      <c r="Q1074">
        <f t="shared" ca="1" si="456"/>
        <v>52429.943837665443</v>
      </c>
      <c r="R1074">
        <f t="shared" ca="1" si="457"/>
        <v>2.2564415439646509E-12</v>
      </c>
      <c r="S1074">
        <f t="shared" ca="1" si="476"/>
        <v>5.0000000192085281E-4</v>
      </c>
      <c r="T1074">
        <f t="shared" ca="1" si="477"/>
        <v>1</v>
      </c>
      <c r="U1074">
        <f t="shared" ca="1" si="458"/>
        <v>51800.26683766341</v>
      </c>
      <c r="V1074">
        <f t="shared" ca="1" si="459"/>
        <v>269361.38755584974</v>
      </c>
      <c r="W1074">
        <f t="shared" ca="1" si="460"/>
        <v>2.5998695052916441</v>
      </c>
      <c r="X1074">
        <f t="shared" ca="1" si="461"/>
        <v>1.8933671400629237E-4</v>
      </c>
      <c r="Y1074">
        <f t="shared" ca="1" si="462"/>
        <v>52432.366837663409</v>
      </c>
      <c r="Z1074">
        <f t="shared" ca="1" si="463"/>
        <v>52432.366837665235</v>
      </c>
      <c r="AA1074">
        <f t="shared" ca="1" si="464"/>
        <v>2.2562304480281055E-12</v>
      </c>
      <c r="AB1074">
        <f t="shared" ca="1" si="465"/>
        <v>-5.0000000192085281E-4</v>
      </c>
      <c r="AC1074">
        <f t="shared" ca="1" si="466"/>
        <v>1</v>
      </c>
      <c r="AD1074">
        <f ca="1">IF(V32="Supercritical",L1074,IF(V32="Subcritical",U1074,IF(AND(T1074=1,AC1074=1),IF((((F1074)*(L1074)^2)/2+(G1074)*(L1074)^3/3+(ABS(K1074)^2)/($I$5*MAX(((F1074)+(G1074)*(L1074))*(L1074),0.000001)))&gt;=(((F1074)*(U1074)^2)/2+(G1074)*(U1074)^3/3+(ABS(K1074)^2)/($I$5*MAX(((F1074)+(G1074)*(U1074))*(U1074),0.000001))),L1074,U1074),IF(T1074=1,L1074,IF(AC1074=1,U1074,MAX($D$16,POWER((ABS(K1074)^2)/($I$5*MAX(F1074,0.1)^2),1/3)))))))</f>
        <v>51800.26683766341</v>
      </c>
      <c r="AE1074">
        <f t="shared" ca="1" si="467"/>
        <v>52432.366837663409</v>
      </c>
      <c r="AF1074">
        <f t="shared" ca="1" si="468"/>
        <v>52432.366837665235</v>
      </c>
      <c r="AI1074">
        <v>0</v>
      </c>
      <c r="AJ1074">
        <v>0</v>
      </c>
      <c r="AK1074">
        <f t="shared" si="469"/>
        <v>0</v>
      </c>
      <c r="AL1074">
        <f t="shared" si="478"/>
        <v>0</v>
      </c>
      <c r="AM1074">
        <f t="shared" ca="1" si="470"/>
        <v>2.6560383008097266E-7</v>
      </c>
      <c r="AN1074" t="str">
        <f t="shared" ca="1" si="471"/>
        <v>Subcritical</v>
      </c>
      <c r="AO1074">
        <f t="shared" ca="1" si="472"/>
        <v>2.2562304480281055E-12</v>
      </c>
    </row>
    <row r="1075" spans="1:41" x14ac:dyDescent="0.35">
      <c r="A1075">
        <v>926</v>
      </c>
      <c r="B1075">
        <v>924.88900000000001</v>
      </c>
      <c r="C1075">
        <v>616084.33499999996</v>
      </c>
      <c r="D1075">
        <v>3097078.9819999998</v>
      </c>
      <c r="E1075">
        <v>632.09950000000003</v>
      </c>
      <c r="F1075">
        <v>5.2</v>
      </c>
      <c r="G1075">
        <v>0</v>
      </c>
      <c r="H1075" t="s">
        <v>186</v>
      </c>
      <c r="I1075">
        <v>5.7000000000000002E-2</v>
      </c>
      <c r="J1075">
        <f t="shared" si="473"/>
        <v>1</v>
      </c>
      <c r="K1075">
        <f t="shared" si="474"/>
        <v>51</v>
      </c>
      <c r="L1075">
        <f t="shared" ca="1" si="475"/>
        <v>51797.843837663619</v>
      </c>
      <c r="M1075">
        <f t="shared" ca="1" si="452"/>
        <v>269348.78795585083</v>
      </c>
      <c r="N1075">
        <f t="shared" ca="1" si="453"/>
        <v>2.5998694991876676</v>
      </c>
      <c r="O1075">
        <f t="shared" ca="1" si="454"/>
        <v>1.8934557080078435E-4</v>
      </c>
      <c r="P1075">
        <f t="shared" ca="1" si="455"/>
        <v>52429.943337663615</v>
      </c>
      <c r="Q1075">
        <f t="shared" ca="1" si="456"/>
        <v>52429.943337665442</v>
      </c>
      <c r="R1075">
        <f t="shared" ca="1" si="457"/>
        <v>2.2564415439646509E-12</v>
      </c>
      <c r="S1075">
        <f t="shared" ca="1" si="476"/>
        <v>5.0000000192085281E-4</v>
      </c>
      <c r="T1075">
        <f t="shared" ca="1" si="477"/>
        <v>1</v>
      </c>
      <c r="U1075">
        <f t="shared" ca="1" si="458"/>
        <v>51800.26683766341</v>
      </c>
      <c r="V1075">
        <f t="shared" ca="1" si="459"/>
        <v>269361.38755584974</v>
      </c>
      <c r="W1075">
        <f t="shared" ca="1" si="460"/>
        <v>2.5998695052916441</v>
      </c>
      <c r="X1075">
        <f t="shared" ca="1" si="461"/>
        <v>1.8933671400629237E-4</v>
      </c>
      <c r="Y1075">
        <f t="shared" ca="1" si="462"/>
        <v>52432.366337663407</v>
      </c>
      <c r="Z1075">
        <f t="shared" ca="1" si="463"/>
        <v>52432.366337665233</v>
      </c>
      <c r="AA1075">
        <f t="shared" ca="1" si="464"/>
        <v>2.2562304480281055E-12</v>
      </c>
      <c r="AB1075">
        <f t="shared" ca="1" si="465"/>
        <v>-4.999999946448952E-4</v>
      </c>
      <c r="AC1075">
        <f t="shared" ca="1" si="466"/>
        <v>1</v>
      </c>
      <c r="AD1075">
        <f ca="1">IF(V32="Supercritical",L1075,IF(V32="Subcritical",U1075,IF(AND(T1075=1,AC1075=1),IF((((F1075)*(L1075)^2)/2+(G1075)*(L1075)^3/3+(ABS(K1075)^2)/($I$5*MAX(((F1075)+(G1075)*(L1075))*(L1075),0.000001)))&gt;=(((F1075)*(U1075)^2)/2+(G1075)*(U1075)^3/3+(ABS(K1075)^2)/($I$5*MAX(((F1075)+(G1075)*(U1075))*(U1075),0.000001))),L1075,U1075),IF(T1075=1,L1075,IF(AC1075=1,U1075,MAX($D$16,POWER((ABS(K1075)^2)/($I$5*MAX(F1075,0.1)^2),1/3)))))))</f>
        <v>51800.26683766341</v>
      </c>
      <c r="AE1075">
        <f t="shared" ca="1" si="467"/>
        <v>52432.366337663407</v>
      </c>
      <c r="AF1075">
        <f t="shared" ca="1" si="468"/>
        <v>52432.366337665233</v>
      </c>
      <c r="AI1075">
        <v>0</v>
      </c>
      <c r="AJ1075">
        <v>0</v>
      </c>
      <c r="AK1075">
        <f t="shared" si="469"/>
        <v>0</v>
      </c>
      <c r="AL1075">
        <f t="shared" si="478"/>
        <v>0</v>
      </c>
      <c r="AM1075">
        <f t="shared" ca="1" si="470"/>
        <v>2.6560383008097266E-7</v>
      </c>
      <c r="AN1075" t="str">
        <f t="shared" ca="1" si="471"/>
        <v>Subcritical</v>
      </c>
      <c r="AO1075">
        <f t="shared" ca="1" si="472"/>
        <v>2.2562304480281055E-12</v>
      </c>
    </row>
    <row r="1076" spans="1:41" x14ac:dyDescent="0.35">
      <c r="A1076">
        <v>927</v>
      </c>
      <c r="B1076">
        <v>925.88900000000001</v>
      </c>
      <c r="C1076">
        <v>616084.29299999995</v>
      </c>
      <c r="D1076">
        <v>3097077.983</v>
      </c>
      <c r="E1076">
        <v>632.09900000000005</v>
      </c>
      <c r="F1076">
        <v>5.2</v>
      </c>
      <c r="G1076">
        <v>0</v>
      </c>
      <c r="H1076" t="s">
        <v>186</v>
      </c>
      <c r="I1076">
        <v>0</v>
      </c>
      <c r="J1076">
        <f t="shared" si="473"/>
        <v>1</v>
      </c>
      <c r="K1076">
        <f t="shared" si="474"/>
        <v>51</v>
      </c>
      <c r="L1076">
        <f t="shared" ca="1" si="475"/>
        <v>51797.843837663619</v>
      </c>
      <c r="M1076">
        <f t="shared" ca="1" si="452"/>
        <v>269348.78795585083</v>
      </c>
      <c r="N1076">
        <f t="shared" ca="1" si="453"/>
        <v>2.5998694991876676</v>
      </c>
      <c r="O1076">
        <f t="shared" ca="1" si="454"/>
        <v>1.8934557080078435E-4</v>
      </c>
      <c r="P1076">
        <f t="shared" ca="1" si="455"/>
        <v>52429.942837663621</v>
      </c>
      <c r="Q1076">
        <f t="shared" ca="1" si="456"/>
        <v>52429.942837665447</v>
      </c>
      <c r="R1076">
        <f t="shared" ca="1" si="457"/>
        <v>2.2564415439646509E-12</v>
      </c>
      <c r="S1076">
        <f t="shared" ca="1" si="476"/>
        <v>4.999999946448952E-4</v>
      </c>
      <c r="T1076">
        <f t="shared" ca="1" si="477"/>
        <v>1</v>
      </c>
      <c r="U1076">
        <f t="shared" ca="1" si="458"/>
        <v>51800.26683766341</v>
      </c>
      <c r="V1076">
        <f t="shared" ca="1" si="459"/>
        <v>269361.38755584974</v>
      </c>
      <c r="W1076">
        <f t="shared" ca="1" si="460"/>
        <v>2.5998695052916441</v>
      </c>
      <c r="X1076">
        <f t="shared" ca="1" si="461"/>
        <v>1.8933671400629237E-4</v>
      </c>
      <c r="Y1076">
        <f t="shared" ca="1" si="462"/>
        <v>52432.365837663412</v>
      </c>
      <c r="Z1076">
        <f t="shared" ca="1" si="463"/>
        <v>52432.365837665238</v>
      </c>
      <c r="AA1076">
        <f t="shared" ca="1" si="464"/>
        <v>2.2562304480281055E-12</v>
      </c>
      <c r="AB1076">
        <f t="shared" ca="1" si="465"/>
        <v>-5.0000000192085281E-4</v>
      </c>
      <c r="AC1076">
        <f t="shared" ca="1" si="466"/>
        <v>1</v>
      </c>
      <c r="AD1076">
        <f ca="1">IF(V32="Supercritical",L1076,IF(V32="Subcritical",U1076,IF(AND(T1076=1,AC1076=1),IF((((F1076)*(L1076)^2)/2+(G1076)*(L1076)^3/3+(ABS(K1076)^2)/($I$5*MAX(((F1076)+(G1076)*(L1076))*(L1076),0.000001)))&gt;=(((F1076)*(U1076)^2)/2+(G1076)*(U1076)^3/3+(ABS(K1076)^2)/($I$5*MAX(((F1076)+(G1076)*(U1076))*(U1076),0.000001))),L1076,U1076),IF(T1076=1,L1076,IF(AC1076=1,U1076,MAX($D$16,POWER((ABS(K1076)^2)/($I$5*MAX(F1076,0.1)^2),1/3)))))))</f>
        <v>51800.26683766341</v>
      </c>
      <c r="AE1076">
        <f t="shared" ca="1" si="467"/>
        <v>52432.365837663412</v>
      </c>
      <c r="AF1076">
        <f t="shared" ca="1" si="468"/>
        <v>52432.365837665238</v>
      </c>
      <c r="AI1076">
        <v>0</v>
      </c>
      <c r="AJ1076">
        <v>0</v>
      </c>
      <c r="AK1076">
        <f t="shared" si="469"/>
        <v>0</v>
      </c>
      <c r="AL1076">
        <f t="shared" si="478"/>
        <v>0</v>
      </c>
      <c r="AM1076">
        <f t="shared" ca="1" si="470"/>
        <v>2.6560383008097266E-7</v>
      </c>
      <c r="AN1076" t="str">
        <f t="shared" ca="1" si="471"/>
        <v>Subcritical</v>
      </c>
      <c r="AO1076">
        <f t="shared" ca="1" si="472"/>
        <v>2.2562304480281055E-12</v>
      </c>
    </row>
    <row r="1077" spans="1:41" x14ac:dyDescent="0.35">
      <c r="A1077">
        <v>928</v>
      </c>
      <c r="B1077">
        <v>926.88900000000001</v>
      </c>
      <c r="C1077">
        <v>616084.25100000005</v>
      </c>
      <c r="D1077">
        <v>3097076.9840000002</v>
      </c>
      <c r="E1077">
        <v>632.09849999999994</v>
      </c>
      <c r="F1077">
        <v>5.2</v>
      </c>
      <c r="G1077">
        <v>0</v>
      </c>
      <c r="H1077" t="s">
        <v>186</v>
      </c>
      <c r="I1077">
        <v>2E-3</v>
      </c>
      <c r="J1077">
        <f t="shared" si="473"/>
        <v>1</v>
      </c>
      <c r="K1077">
        <f t="shared" si="474"/>
        <v>51</v>
      </c>
      <c r="L1077">
        <f t="shared" ca="1" si="475"/>
        <v>51797.843837663619</v>
      </c>
      <c r="M1077">
        <f t="shared" ca="1" si="452"/>
        <v>269348.78795585083</v>
      </c>
      <c r="N1077">
        <f t="shared" ca="1" si="453"/>
        <v>2.5998694991876676</v>
      </c>
      <c r="O1077">
        <f t="shared" ca="1" si="454"/>
        <v>1.8934557080078435E-4</v>
      </c>
      <c r="P1077">
        <f t="shared" ca="1" si="455"/>
        <v>52429.942337663619</v>
      </c>
      <c r="Q1077">
        <f t="shared" ca="1" si="456"/>
        <v>52429.942337665445</v>
      </c>
      <c r="R1077">
        <f t="shared" ca="1" si="457"/>
        <v>2.2564415439646509E-12</v>
      </c>
      <c r="S1077">
        <f t="shared" ca="1" si="476"/>
        <v>5.0000000192085281E-4</v>
      </c>
      <c r="T1077">
        <f t="shared" ca="1" si="477"/>
        <v>1</v>
      </c>
      <c r="U1077">
        <f t="shared" ca="1" si="458"/>
        <v>51800.26683766341</v>
      </c>
      <c r="V1077">
        <f t="shared" ca="1" si="459"/>
        <v>269361.38755584974</v>
      </c>
      <c r="W1077">
        <f t="shared" ca="1" si="460"/>
        <v>2.5998695052916441</v>
      </c>
      <c r="X1077">
        <f t="shared" ca="1" si="461"/>
        <v>1.8933671400629237E-4</v>
      </c>
      <c r="Y1077">
        <f t="shared" ca="1" si="462"/>
        <v>52432.36533766341</v>
      </c>
      <c r="Z1077">
        <f t="shared" ca="1" si="463"/>
        <v>52432.365337665236</v>
      </c>
      <c r="AA1077">
        <f t="shared" ca="1" si="464"/>
        <v>2.2562304480281055E-12</v>
      </c>
      <c r="AB1077">
        <f t="shared" ca="1" si="465"/>
        <v>-5.0000000192085281E-4</v>
      </c>
      <c r="AC1077">
        <f t="shared" ca="1" si="466"/>
        <v>1</v>
      </c>
      <c r="AD1077">
        <f ca="1">IF(V32="Supercritical",L1077,IF(V32="Subcritical",U1077,IF(AND(T1077=1,AC1077=1),IF((((F1077)*(L1077)^2)/2+(G1077)*(L1077)^3/3+(ABS(K1077)^2)/($I$5*MAX(((F1077)+(G1077)*(L1077))*(L1077),0.000001)))&gt;=(((F1077)*(U1077)^2)/2+(G1077)*(U1077)^3/3+(ABS(K1077)^2)/($I$5*MAX(((F1077)+(G1077)*(U1077))*(U1077),0.000001))),L1077,U1077),IF(T1077=1,L1077,IF(AC1077=1,U1077,MAX($D$16,POWER((ABS(K1077)^2)/($I$5*MAX(F1077,0.1)^2),1/3)))))))</f>
        <v>51800.26683766341</v>
      </c>
      <c r="AE1077">
        <f t="shared" ca="1" si="467"/>
        <v>52432.36533766341</v>
      </c>
      <c r="AF1077">
        <f t="shared" ca="1" si="468"/>
        <v>52432.365337665236</v>
      </c>
      <c r="AI1077">
        <v>0</v>
      </c>
      <c r="AJ1077">
        <v>0</v>
      </c>
      <c r="AK1077">
        <f t="shared" si="469"/>
        <v>0</v>
      </c>
      <c r="AL1077">
        <f t="shared" si="478"/>
        <v>0</v>
      </c>
      <c r="AM1077">
        <f t="shared" ca="1" si="470"/>
        <v>2.6560383008097266E-7</v>
      </c>
      <c r="AN1077" t="str">
        <f t="shared" ca="1" si="471"/>
        <v>Subcritical</v>
      </c>
      <c r="AO1077">
        <f t="shared" ca="1" si="472"/>
        <v>2.2562304480281055E-12</v>
      </c>
    </row>
    <row r="1078" spans="1:41" x14ac:dyDescent="0.35">
      <c r="A1078">
        <v>929</v>
      </c>
      <c r="B1078">
        <v>927.89</v>
      </c>
      <c r="C1078">
        <v>616084.20900000003</v>
      </c>
      <c r="D1078">
        <v>3097075.9840000002</v>
      </c>
      <c r="E1078">
        <v>632.09799999999996</v>
      </c>
      <c r="F1078">
        <v>5.2</v>
      </c>
      <c r="G1078">
        <v>0</v>
      </c>
      <c r="H1078" t="s">
        <v>186</v>
      </c>
      <c r="I1078">
        <v>0.06</v>
      </c>
      <c r="J1078">
        <f t="shared" si="473"/>
        <v>1.0009999999999764</v>
      </c>
      <c r="K1078">
        <f t="shared" si="474"/>
        <v>51</v>
      </c>
      <c r="L1078">
        <f t="shared" ca="1" si="475"/>
        <v>51797.843837663619</v>
      </c>
      <c r="M1078">
        <f t="shared" ca="1" si="452"/>
        <v>269348.78795585083</v>
      </c>
      <c r="N1078">
        <f t="shared" ca="1" si="453"/>
        <v>2.5998694991876676</v>
      </c>
      <c r="O1078">
        <f t="shared" ca="1" si="454"/>
        <v>1.8934557080078435E-4</v>
      </c>
      <c r="P1078">
        <f t="shared" ca="1" si="455"/>
        <v>52429.941837663617</v>
      </c>
      <c r="Q1078">
        <f t="shared" ca="1" si="456"/>
        <v>52429.941837665443</v>
      </c>
      <c r="R1078">
        <f t="shared" ca="1" si="457"/>
        <v>2.2564415439646509E-12</v>
      </c>
      <c r="S1078">
        <f t="shared" ca="1" si="476"/>
        <v>5.0000000192085281E-4</v>
      </c>
      <c r="T1078">
        <f t="shared" ca="1" si="477"/>
        <v>1</v>
      </c>
      <c r="U1078">
        <f t="shared" ca="1" si="458"/>
        <v>51800.26683766341</v>
      </c>
      <c r="V1078">
        <f t="shared" ca="1" si="459"/>
        <v>269361.38755584974</v>
      </c>
      <c r="W1078">
        <f t="shared" ca="1" si="460"/>
        <v>2.5998695052916441</v>
      </c>
      <c r="X1078">
        <f t="shared" ca="1" si="461"/>
        <v>1.8933671400629237E-4</v>
      </c>
      <c r="Y1078">
        <f t="shared" ca="1" si="462"/>
        <v>52432.364837663408</v>
      </c>
      <c r="Z1078">
        <f t="shared" ca="1" si="463"/>
        <v>52432.364837665235</v>
      </c>
      <c r="AA1078">
        <f t="shared" ca="1" si="464"/>
        <v>2.2562304480281055E-12</v>
      </c>
      <c r="AB1078">
        <f t="shared" ca="1" si="465"/>
        <v>-4.999999946448952E-4</v>
      </c>
      <c r="AC1078">
        <f t="shared" ca="1" si="466"/>
        <v>1</v>
      </c>
      <c r="AD1078">
        <f ca="1">IF(V32="Supercritical",L1078,IF(V32="Subcritical",U1078,IF(AND(T1078=1,AC1078=1),IF((((F1078)*(L1078)^2)/2+(G1078)*(L1078)^3/3+(ABS(K1078)^2)/($I$5*MAX(((F1078)+(G1078)*(L1078))*(L1078),0.000001)))&gt;=(((F1078)*(U1078)^2)/2+(G1078)*(U1078)^3/3+(ABS(K1078)^2)/($I$5*MAX(((F1078)+(G1078)*(U1078))*(U1078),0.000001))),L1078,U1078),IF(T1078=1,L1078,IF(AC1078=1,U1078,MAX($D$16,POWER((ABS(K1078)^2)/($I$5*MAX(F1078,0.1)^2),1/3)))))))</f>
        <v>51800.26683766341</v>
      </c>
      <c r="AE1078">
        <f t="shared" ca="1" si="467"/>
        <v>52432.364837663408</v>
      </c>
      <c r="AF1078">
        <f t="shared" ca="1" si="468"/>
        <v>52432.364837665235</v>
      </c>
      <c r="AI1078">
        <v>0</v>
      </c>
      <c r="AJ1078">
        <v>0</v>
      </c>
      <c r="AK1078">
        <f t="shared" si="469"/>
        <v>0</v>
      </c>
      <c r="AL1078">
        <f t="shared" si="478"/>
        <v>0</v>
      </c>
      <c r="AM1078">
        <f t="shared" ca="1" si="470"/>
        <v>2.6560383008097266E-7</v>
      </c>
      <c r="AN1078" t="str">
        <f t="shared" ca="1" si="471"/>
        <v>Subcritical</v>
      </c>
      <c r="AO1078">
        <f t="shared" ca="1" si="472"/>
        <v>2.2562304480281055E-12</v>
      </c>
    </row>
    <row r="1079" spans="1:41" x14ac:dyDescent="0.35">
      <c r="A1079">
        <v>930</v>
      </c>
      <c r="B1079">
        <v>928.89</v>
      </c>
      <c r="C1079">
        <v>616084.16599999997</v>
      </c>
      <c r="D1079">
        <v>3097074.9849999999</v>
      </c>
      <c r="E1079">
        <v>632.09749999999997</v>
      </c>
      <c r="F1079">
        <v>5.2</v>
      </c>
      <c r="G1079">
        <v>0</v>
      </c>
      <c r="H1079" t="s">
        <v>186</v>
      </c>
      <c r="I1079">
        <v>5.7000000000000002E-2</v>
      </c>
      <c r="J1079">
        <f t="shared" si="473"/>
        <v>1</v>
      </c>
      <c r="K1079">
        <f t="shared" si="474"/>
        <v>51</v>
      </c>
      <c r="L1079">
        <f t="shared" ca="1" si="475"/>
        <v>51797.843837663619</v>
      </c>
      <c r="M1079">
        <f t="shared" ca="1" si="452"/>
        <v>269348.78795585083</v>
      </c>
      <c r="N1079">
        <f t="shared" ca="1" si="453"/>
        <v>2.5998694991876676</v>
      </c>
      <c r="O1079">
        <f t="shared" ca="1" si="454"/>
        <v>1.8934557080078435E-4</v>
      </c>
      <c r="P1079">
        <f t="shared" ca="1" si="455"/>
        <v>52429.941337663622</v>
      </c>
      <c r="Q1079">
        <f t="shared" ca="1" si="456"/>
        <v>52429.941337665448</v>
      </c>
      <c r="R1079">
        <f t="shared" ca="1" si="457"/>
        <v>2.2564415439646509E-12</v>
      </c>
      <c r="S1079">
        <f t="shared" ca="1" si="476"/>
        <v>4.999999946448952E-4</v>
      </c>
      <c r="T1079">
        <f t="shared" ca="1" si="477"/>
        <v>1</v>
      </c>
      <c r="U1079">
        <f t="shared" ca="1" si="458"/>
        <v>51800.26683766341</v>
      </c>
      <c r="V1079">
        <f t="shared" ca="1" si="459"/>
        <v>269361.38755584974</v>
      </c>
      <c r="W1079">
        <f t="shared" ca="1" si="460"/>
        <v>2.5998695052916441</v>
      </c>
      <c r="X1079">
        <f t="shared" ca="1" si="461"/>
        <v>1.8933671400629237E-4</v>
      </c>
      <c r="Y1079">
        <f t="shared" ca="1" si="462"/>
        <v>52432.364337663414</v>
      </c>
      <c r="Z1079">
        <f t="shared" ca="1" si="463"/>
        <v>52432.36433766524</v>
      </c>
      <c r="AA1079">
        <f t="shared" ca="1" si="464"/>
        <v>2.2562304480281055E-12</v>
      </c>
      <c r="AB1079">
        <f t="shared" ca="1" si="465"/>
        <v>-5.0000000192085281E-4</v>
      </c>
      <c r="AC1079">
        <f t="shared" ca="1" si="466"/>
        <v>1</v>
      </c>
      <c r="AD1079">
        <f ca="1">IF(V32="Supercritical",L1079,IF(V32="Subcritical",U1079,IF(AND(T1079=1,AC1079=1),IF((((F1079)*(L1079)^2)/2+(G1079)*(L1079)^3/3+(ABS(K1079)^2)/($I$5*MAX(((F1079)+(G1079)*(L1079))*(L1079),0.000001)))&gt;=(((F1079)*(U1079)^2)/2+(G1079)*(U1079)^3/3+(ABS(K1079)^2)/($I$5*MAX(((F1079)+(G1079)*(U1079))*(U1079),0.000001))),L1079,U1079),IF(T1079=1,L1079,IF(AC1079=1,U1079,MAX($D$16,POWER((ABS(K1079)^2)/($I$5*MAX(F1079,0.1)^2),1/3)))))))</f>
        <v>51800.26683766341</v>
      </c>
      <c r="AE1079">
        <f t="shared" ca="1" si="467"/>
        <v>52432.364337663414</v>
      </c>
      <c r="AF1079">
        <f t="shared" ca="1" si="468"/>
        <v>52432.36433766524</v>
      </c>
      <c r="AI1079">
        <v>0</v>
      </c>
      <c r="AJ1079">
        <v>0</v>
      </c>
      <c r="AK1079">
        <f t="shared" si="469"/>
        <v>0</v>
      </c>
      <c r="AL1079">
        <f t="shared" si="478"/>
        <v>0</v>
      </c>
      <c r="AM1079">
        <f t="shared" ca="1" si="470"/>
        <v>2.6560383008097266E-7</v>
      </c>
      <c r="AN1079" t="str">
        <f t="shared" ca="1" si="471"/>
        <v>Subcritical</v>
      </c>
      <c r="AO1079">
        <f t="shared" ca="1" si="472"/>
        <v>2.2562304480281055E-12</v>
      </c>
    </row>
    <row r="1080" spans="1:41" x14ac:dyDescent="0.35">
      <c r="A1080">
        <v>931</v>
      </c>
      <c r="B1080">
        <v>929.88900000000001</v>
      </c>
      <c r="C1080">
        <v>616084.12399999995</v>
      </c>
      <c r="D1080">
        <v>3097073.986</v>
      </c>
      <c r="E1080">
        <v>632.09699999999998</v>
      </c>
      <c r="F1080">
        <v>5.2</v>
      </c>
      <c r="G1080">
        <v>0</v>
      </c>
      <c r="H1080" t="s">
        <v>186</v>
      </c>
      <c r="I1080">
        <v>0</v>
      </c>
      <c r="J1080">
        <f t="shared" si="473"/>
        <v>0.99900000000002365</v>
      </c>
      <c r="K1080">
        <f t="shared" si="474"/>
        <v>51</v>
      </c>
      <c r="L1080">
        <f t="shared" ca="1" si="475"/>
        <v>51797.843837663619</v>
      </c>
      <c r="M1080">
        <f t="shared" ca="1" si="452"/>
        <v>269348.78795585083</v>
      </c>
      <c r="N1080">
        <f t="shared" ca="1" si="453"/>
        <v>2.5998694991876676</v>
      </c>
      <c r="O1080">
        <f t="shared" ca="1" si="454"/>
        <v>1.8934557080078435E-4</v>
      </c>
      <c r="P1080">
        <f t="shared" ca="1" si="455"/>
        <v>52429.94083766362</v>
      </c>
      <c r="Q1080">
        <f t="shared" ca="1" si="456"/>
        <v>52429.940837665446</v>
      </c>
      <c r="R1080">
        <f t="shared" ca="1" si="457"/>
        <v>2.2564415439646509E-12</v>
      </c>
      <c r="S1080">
        <f t="shared" ca="1" si="476"/>
        <v>5.0000000192085281E-4</v>
      </c>
      <c r="T1080">
        <f t="shared" ca="1" si="477"/>
        <v>1</v>
      </c>
      <c r="U1080">
        <f t="shared" ca="1" si="458"/>
        <v>51800.26683766341</v>
      </c>
      <c r="V1080">
        <f t="shared" ca="1" si="459"/>
        <v>269361.38755584974</v>
      </c>
      <c r="W1080">
        <f t="shared" ca="1" si="460"/>
        <v>2.5998695052916441</v>
      </c>
      <c r="X1080">
        <f t="shared" ca="1" si="461"/>
        <v>1.8933671400629237E-4</v>
      </c>
      <c r="Y1080">
        <f t="shared" ca="1" si="462"/>
        <v>52432.363837663412</v>
      </c>
      <c r="Z1080">
        <f t="shared" ca="1" si="463"/>
        <v>52432.363837665238</v>
      </c>
      <c r="AA1080">
        <f t="shared" ca="1" si="464"/>
        <v>2.2562304480281055E-12</v>
      </c>
      <c r="AB1080">
        <f t="shared" ca="1" si="465"/>
        <v>-5.0000000192085281E-4</v>
      </c>
      <c r="AC1080">
        <f t="shared" ca="1" si="466"/>
        <v>1</v>
      </c>
      <c r="AD1080">
        <f ca="1">IF(V32="Supercritical",L1080,IF(V32="Subcritical",U1080,IF(AND(T1080=1,AC1080=1),IF((((F1080)*(L1080)^2)/2+(G1080)*(L1080)^3/3+(ABS(K1080)^2)/($I$5*MAX(((F1080)+(G1080)*(L1080))*(L1080),0.000001)))&gt;=(((F1080)*(U1080)^2)/2+(G1080)*(U1080)^3/3+(ABS(K1080)^2)/($I$5*MAX(((F1080)+(G1080)*(U1080))*(U1080),0.000001))),L1080,U1080),IF(T1080=1,L1080,IF(AC1080=1,U1080,MAX($D$16,POWER((ABS(K1080)^2)/($I$5*MAX(F1080,0.1)^2),1/3)))))))</f>
        <v>51800.26683766341</v>
      </c>
      <c r="AE1080">
        <f t="shared" ca="1" si="467"/>
        <v>52432.363837663412</v>
      </c>
      <c r="AF1080">
        <f t="shared" ca="1" si="468"/>
        <v>52432.363837665238</v>
      </c>
      <c r="AI1080">
        <v>0</v>
      </c>
      <c r="AJ1080">
        <v>0</v>
      </c>
      <c r="AK1080">
        <f t="shared" si="469"/>
        <v>0</v>
      </c>
      <c r="AL1080">
        <f t="shared" si="478"/>
        <v>0</v>
      </c>
      <c r="AM1080">
        <f t="shared" ca="1" si="470"/>
        <v>2.6560383008097266E-7</v>
      </c>
      <c r="AN1080" t="str">
        <f t="shared" ca="1" si="471"/>
        <v>Subcritical</v>
      </c>
      <c r="AO1080">
        <f t="shared" ca="1" si="472"/>
        <v>2.2562304480281055E-12</v>
      </c>
    </row>
    <row r="1081" spans="1:41" x14ac:dyDescent="0.35">
      <c r="A1081">
        <v>932</v>
      </c>
      <c r="B1081">
        <v>930.88900000000001</v>
      </c>
      <c r="C1081">
        <v>616084.08200000005</v>
      </c>
      <c r="D1081">
        <v>3097072.9870000002</v>
      </c>
      <c r="E1081">
        <v>632.09649999999999</v>
      </c>
      <c r="F1081">
        <v>5.2</v>
      </c>
      <c r="G1081">
        <v>0</v>
      </c>
      <c r="H1081" t="s">
        <v>186</v>
      </c>
      <c r="I1081">
        <v>0</v>
      </c>
      <c r="J1081">
        <f t="shared" si="473"/>
        <v>1</v>
      </c>
      <c r="K1081">
        <f t="shared" si="474"/>
        <v>51</v>
      </c>
      <c r="L1081">
        <f t="shared" ca="1" si="475"/>
        <v>51797.843837663619</v>
      </c>
      <c r="M1081">
        <f t="shared" ca="1" si="452"/>
        <v>269348.78795585083</v>
      </c>
      <c r="N1081">
        <f t="shared" ca="1" si="453"/>
        <v>2.5998694991876676</v>
      </c>
      <c r="O1081">
        <f t="shared" ca="1" si="454"/>
        <v>1.8934557080078435E-4</v>
      </c>
      <c r="P1081">
        <f t="shared" ca="1" si="455"/>
        <v>52429.940337663618</v>
      </c>
      <c r="Q1081">
        <f t="shared" ca="1" si="456"/>
        <v>52429.940337665445</v>
      </c>
      <c r="R1081">
        <f t="shared" ca="1" si="457"/>
        <v>2.2564415439646509E-12</v>
      </c>
      <c r="S1081">
        <f t="shared" ca="1" si="476"/>
        <v>5.0000000192085281E-4</v>
      </c>
      <c r="T1081">
        <f t="shared" ca="1" si="477"/>
        <v>1</v>
      </c>
      <c r="U1081">
        <f t="shared" ca="1" si="458"/>
        <v>51800.26683766341</v>
      </c>
      <c r="V1081">
        <f t="shared" ca="1" si="459"/>
        <v>269361.38755584974</v>
      </c>
      <c r="W1081">
        <f t="shared" ca="1" si="460"/>
        <v>2.5998695052916441</v>
      </c>
      <c r="X1081">
        <f t="shared" ca="1" si="461"/>
        <v>1.8933671400629237E-4</v>
      </c>
      <c r="Y1081">
        <f t="shared" ca="1" si="462"/>
        <v>52432.36333766341</v>
      </c>
      <c r="Z1081">
        <f t="shared" ca="1" si="463"/>
        <v>52432.363337665236</v>
      </c>
      <c r="AA1081">
        <f t="shared" ca="1" si="464"/>
        <v>2.2562304480281055E-12</v>
      </c>
      <c r="AB1081">
        <f t="shared" ca="1" si="465"/>
        <v>-5.0000000192085281E-4</v>
      </c>
      <c r="AC1081">
        <f t="shared" ca="1" si="466"/>
        <v>1</v>
      </c>
      <c r="AD1081">
        <f ca="1">IF(V32="Supercritical",L1081,IF(V32="Subcritical",U1081,IF(AND(T1081=1,AC1081=1),IF((((F1081)*(L1081)^2)/2+(G1081)*(L1081)^3/3+(ABS(K1081)^2)/($I$5*MAX(((F1081)+(G1081)*(L1081))*(L1081),0.000001)))&gt;=(((F1081)*(U1081)^2)/2+(G1081)*(U1081)^3/3+(ABS(K1081)^2)/($I$5*MAX(((F1081)+(G1081)*(U1081))*(U1081),0.000001))),L1081,U1081),IF(T1081=1,L1081,IF(AC1081=1,U1081,MAX($D$16,POWER((ABS(K1081)^2)/($I$5*MAX(F1081,0.1)^2),1/3)))))))</f>
        <v>51800.26683766341</v>
      </c>
      <c r="AE1081">
        <f t="shared" ca="1" si="467"/>
        <v>52432.36333766341</v>
      </c>
      <c r="AF1081">
        <f t="shared" ca="1" si="468"/>
        <v>52432.363337665236</v>
      </c>
      <c r="AI1081">
        <v>0</v>
      </c>
      <c r="AJ1081">
        <v>0</v>
      </c>
      <c r="AK1081">
        <f t="shared" si="469"/>
        <v>0</v>
      </c>
      <c r="AL1081">
        <f t="shared" si="478"/>
        <v>0</v>
      </c>
      <c r="AM1081">
        <f t="shared" ca="1" si="470"/>
        <v>2.6560383008097266E-7</v>
      </c>
      <c r="AN1081" t="str">
        <f t="shared" ca="1" si="471"/>
        <v>Subcritical</v>
      </c>
      <c r="AO1081">
        <f t="shared" ca="1" si="472"/>
        <v>2.2562304480281055E-12</v>
      </c>
    </row>
    <row r="1082" spans="1:41" x14ac:dyDescent="0.35">
      <c r="A1082">
        <v>933</v>
      </c>
      <c r="B1082">
        <v>931.88900000000001</v>
      </c>
      <c r="C1082">
        <v>616084.04</v>
      </c>
      <c r="D1082">
        <v>3097071.9879999999</v>
      </c>
      <c r="E1082">
        <v>632.096</v>
      </c>
      <c r="F1082">
        <v>5.2</v>
      </c>
      <c r="G1082">
        <v>0</v>
      </c>
      <c r="H1082" t="s">
        <v>186</v>
      </c>
      <c r="I1082">
        <v>5.7000000000000002E-2</v>
      </c>
      <c r="J1082">
        <f t="shared" si="473"/>
        <v>1</v>
      </c>
      <c r="K1082">
        <f t="shared" si="474"/>
        <v>51</v>
      </c>
      <c r="L1082">
        <f t="shared" ca="1" si="475"/>
        <v>51797.843837663619</v>
      </c>
      <c r="M1082">
        <f t="shared" ca="1" si="452"/>
        <v>269348.78795585083</v>
      </c>
      <c r="N1082">
        <f t="shared" ca="1" si="453"/>
        <v>2.5998694991876676</v>
      </c>
      <c r="O1082">
        <f t="shared" ca="1" si="454"/>
        <v>1.8934557080078435E-4</v>
      </c>
      <c r="P1082">
        <f t="shared" ca="1" si="455"/>
        <v>52429.939837663616</v>
      </c>
      <c r="Q1082">
        <f t="shared" ca="1" si="456"/>
        <v>52429.939837665443</v>
      </c>
      <c r="R1082">
        <f t="shared" ca="1" si="457"/>
        <v>2.2564415439646509E-12</v>
      </c>
      <c r="S1082">
        <f t="shared" ca="1" si="476"/>
        <v>5.0000000192085281E-4</v>
      </c>
      <c r="T1082">
        <f t="shared" ca="1" si="477"/>
        <v>1</v>
      </c>
      <c r="U1082">
        <f t="shared" ca="1" si="458"/>
        <v>51800.26683766341</v>
      </c>
      <c r="V1082">
        <f t="shared" ca="1" si="459"/>
        <v>269361.38755584974</v>
      </c>
      <c r="W1082">
        <f t="shared" ca="1" si="460"/>
        <v>2.5998695052916441</v>
      </c>
      <c r="X1082">
        <f t="shared" ca="1" si="461"/>
        <v>1.8933671400629237E-4</v>
      </c>
      <c r="Y1082">
        <f t="shared" ca="1" si="462"/>
        <v>52432.362837663408</v>
      </c>
      <c r="Z1082">
        <f t="shared" ca="1" si="463"/>
        <v>52432.362837665234</v>
      </c>
      <c r="AA1082">
        <f t="shared" ca="1" si="464"/>
        <v>2.2562304480281055E-12</v>
      </c>
      <c r="AB1082">
        <f t="shared" ca="1" si="465"/>
        <v>-4.999999946448952E-4</v>
      </c>
      <c r="AC1082">
        <f t="shared" ca="1" si="466"/>
        <v>1</v>
      </c>
      <c r="AD1082">
        <f ca="1">IF(V32="Supercritical",L1082,IF(V32="Subcritical",U1082,IF(AND(T1082=1,AC1082=1),IF((((F1082)*(L1082)^2)/2+(G1082)*(L1082)^3/3+(ABS(K1082)^2)/($I$5*MAX(((F1082)+(G1082)*(L1082))*(L1082),0.000001)))&gt;=(((F1082)*(U1082)^2)/2+(G1082)*(U1082)^3/3+(ABS(K1082)^2)/($I$5*MAX(((F1082)+(G1082)*(U1082))*(U1082),0.000001))),L1082,U1082),IF(T1082=1,L1082,IF(AC1082=1,U1082,MAX($D$16,POWER((ABS(K1082)^2)/($I$5*MAX(F1082,0.1)^2),1/3)))))))</f>
        <v>51800.26683766341</v>
      </c>
      <c r="AE1082">
        <f t="shared" ca="1" si="467"/>
        <v>52432.362837663408</v>
      </c>
      <c r="AF1082">
        <f t="shared" ca="1" si="468"/>
        <v>52432.362837665234</v>
      </c>
      <c r="AI1082">
        <v>0</v>
      </c>
      <c r="AJ1082">
        <v>0</v>
      </c>
      <c r="AK1082">
        <f t="shared" si="469"/>
        <v>0</v>
      </c>
      <c r="AL1082">
        <f t="shared" si="478"/>
        <v>0</v>
      </c>
      <c r="AM1082">
        <f t="shared" ca="1" si="470"/>
        <v>2.6560383008097266E-7</v>
      </c>
      <c r="AN1082" t="str">
        <f t="shared" ca="1" si="471"/>
        <v>Subcritical</v>
      </c>
      <c r="AO1082">
        <f t="shared" ca="1" si="472"/>
        <v>2.2562304480281055E-12</v>
      </c>
    </row>
    <row r="1083" spans="1:41" x14ac:dyDescent="0.35">
      <c r="A1083">
        <v>934</v>
      </c>
      <c r="B1083">
        <v>932.88900000000001</v>
      </c>
      <c r="C1083">
        <v>616083.99699999997</v>
      </c>
      <c r="D1083">
        <v>3097070.9890000001</v>
      </c>
      <c r="E1083">
        <v>632.09550000000002</v>
      </c>
      <c r="F1083">
        <v>5.2</v>
      </c>
      <c r="G1083">
        <v>0</v>
      </c>
      <c r="H1083" t="s">
        <v>186</v>
      </c>
      <c r="I1083">
        <v>5.7000000000000002E-2</v>
      </c>
      <c r="J1083">
        <f t="shared" si="473"/>
        <v>1</v>
      </c>
      <c r="K1083">
        <f t="shared" si="474"/>
        <v>51</v>
      </c>
      <c r="L1083">
        <f t="shared" ca="1" si="475"/>
        <v>51797.843837663619</v>
      </c>
      <c r="M1083">
        <f t="shared" ca="1" si="452"/>
        <v>269348.78795585083</v>
      </c>
      <c r="N1083">
        <f t="shared" ca="1" si="453"/>
        <v>2.5998694991876676</v>
      </c>
      <c r="O1083">
        <f t="shared" ca="1" si="454"/>
        <v>1.8934557080078435E-4</v>
      </c>
      <c r="P1083">
        <f t="shared" ca="1" si="455"/>
        <v>52429.939337663622</v>
      </c>
      <c r="Q1083">
        <f t="shared" ca="1" si="456"/>
        <v>52429.939337665448</v>
      </c>
      <c r="R1083">
        <f t="shared" ca="1" si="457"/>
        <v>2.2564415439646509E-12</v>
      </c>
      <c r="S1083">
        <f t="shared" ca="1" si="476"/>
        <v>4.999999946448952E-4</v>
      </c>
      <c r="T1083">
        <f t="shared" ca="1" si="477"/>
        <v>1</v>
      </c>
      <c r="U1083">
        <f t="shared" ca="1" si="458"/>
        <v>51800.26683766341</v>
      </c>
      <c r="V1083">
        <f t="shared" ca="1" si="459"/>
        <v>269361.38755584974</v>
      </c>
      <c r="W1083">
        <f t="shared" ca="1" si="460"/>
        <v>2.5998695052916441</v>
      </c>
      <c r="X1083">
        <f t="shared" ca="1" si="461"/>
        <v>1.8933671400629237E-4</v>
      </c>
      <c r="Y1083">
        <f t="shared" ca="1" si="462"/>
        <v>52432.362337663413</v>
      </c>
      <c r="Z1083">
        <f t="shared" ca="1" si="463"/>
        <v>52432.362337665239</v>
      </c>
      <c r="AA1083">
        <f t="shared" ca="1" si="464"/>
        <v>2.2562304480281055E-12</v>
      </c>
      <c r="AB1083">
        <f t="shared" ca="1" si="465"/>
        <v>-5.0000000192085281E-4</v>
      </c>
      <c r="AC1083">
        <f t="shared" ca="1" si="466"/>
        <v>1</v>
      </c>
      <c r="AD1083">
        <f ca="1">IF(V32="Supercritical",L1083,IF(V32="Subcritical",U1083,IF(AND(T1083=1,AC1083=1),IF((((F1083)*(L1083)^2)/2+(G1083)*(L1083)^3/3+(ABS(K1083)^2)/($I$5*MAX(((F1083)+(G1083)*(L1083))*(L1083),0.000001)))&gt;=(((F1083)*(U1083)^2)/2+(G1083)*(U1083)^3/3+(ABS(K1083)^2)/($I$5*MAX(((F1083)+(G1083)*(U1083))*(U1083),0.000001))),L1083,U1083),IF(T1083=1,L1083,IF(AC1083=1,U1083,MAX($D$16,POWER((ABS(K1083)^2)/($I$5*MAX(F1083,0.1)^2),1/3)))))))</f>
        <v>51800.26683766341</v>
      </c>
      <c r="AE1083">
        <f t="shared" ca="1" si="467"/>
        <v>52432.362337663413</v>
      </c>
      <c r="AF1083">
        <f t="shared" ca="1" si="468"/>
        <v>52432.362337665239</v>
      </c>
      <c r="AI1083">
        <v>0</v>
      </c>
      <c r="AJ1083">
        <v>0</v>
      </c>
      <c r="AK1083">
        <f t="shared" si="469"/>
        <v>0</v>
      </c>
      <c r="AL1083">
        <f t="shared" si="478"/>
        <v>0</v>
      </c>
      <c r="AM1083">
        <f t="shared" ca="1" si="470"/>
        <v>2.6560383008097266E-7</v>
      </c>
      <c r="AN1083" t="str">
        <f t="shared" ca="1" si="471"/>
        <v>Subcritical</v>
      </c>
      <c r="AO1083">
        <f t="shared" ca="1" si="472"/>
        <v>2.2562304480281055E-12</v>
      </c>
    </row>
    <row r="1084" spans="1:41" x14ac:dyDescent="0.35">
      <c r="A1084">
        <v>935</v>
      </c>
      <c r="B1084">
        <v>933.88900000000001</v>
      </c>
      <c r="C1084">
        <v>616083.95499999996</v>
      </c>
      <c r="D1084">
        <v>3097069.99</v>
      </c>
      <c r="E1084">
        <v>632.09500000000003</v>
      </c>
      <c r="F1084">
        <v>5.2</v>
      </c>
      <c r="G1084">
        <v>0</v>
      </c>
      <c r="H1084" t="s">
        <v>186</v>
      </c>
      <c r="I1084">
        <v>0</v>
      </c>
      <c r="J1084">
        <f t="shared" si="473"/>
        <v>1</v>
      </c>
      <c r="K1084">
        <f t="shared" si="474"/>
        <v>51</v>
      </c>
      <c r="L1084">
        <f t="shared" ca="1" si="475"/>
        <v>51797.843837663619</v>
      </c>
      <c r="M1084">
        <f t="shared" ca="1" si="452"/>
        <v>269348.78795585083</v>
      </c>
      <c r="N1084">
        <f t="shared" ca="1" si="453"/>
        <v>2.5998694991876676</v>
      </c>
      <c r="O1084">
        <f t="shared" ca="1" si="454"/>
        <v>1.8934557080078435E-4</v>
      </c>
      <c r="P1084">
        <f t="shared" ca="1" si="455"/>
        <v>52429.93883766362</v>
      </c>
      <c r="Q1084">
        <f t="shared" ca="1" si="456"/>
        <v>52429.938837665446</v>
      </c>
      <c r="R1084">
        <f t="shared" ca="1" si="457"/>
        <v>2.2564415439646509E-12</v>
      </c>
      <c r="S1084">
        <f t="shared" ca="1" si="476"/>
        <v>5.0000000192085281E-4</v>
      </c>
      <c r="T1084">
        <f t="shared" ca="1" si="477"/>
        <v>1</v>
      </c>
      <c r="U1084">
        <f t="shared" ca="1" si="458"/>
        <v>51800.26683766341</v>
      </c>
      <c r="V1084">
        <f t="shared" ca="1" si="459"/>
        <v>269361.38755584974</v>
      </c>
      <c r="W1084">
        <f t="shared" ca="1" si="460"/>
        <v>2.5998695052916441</v>
      </c>
      <c r="X1084">
        <f t="shared" ca="1" si="461"/>
        <v>1.8933671400629237E-4</v>
      </c>
      <c r="Y1084">
        <f t="shared" ca="1" si="462"/>
        <v>52432.361837663411</v>
      </c>
      <c r="Z1084">
        <f t="shared" ca="1" si="463"/>
        <v>52432.361837665238</v>
      </c>
      <c r="AA1084">
        <f t="shared" ca="1" si="464"/>
        <v>2.2562304480281055E-12</v>
      </c>
      <c r="AB1084">
        <f t="shared" ca="1" si="465"/>
        <v>-5.0000000192085281E-4</v>
      </c>
      <c r="AC1084">
        <f t="shared" ca="1" si="466"/>
        <v>1</v>
      </c>
      <c r="AD1084">
        <f ca="1">IF(V32="Supercritical",L1084,IF(V32="Subcritical",U1084,IF(AND(T1084=1,AC1084=1),IF((((F1084)*(L1084)^2)/2+(G1084)*(L1084)^3/3+(ABS(K1084)^2)/($I$5*MAX(((F1084)+(G1084)*(L1084))*(L1084),0.000001)))&gt;=(((F1084)*(U1084)^2)/2+(G1084)*(U1084)^3/3+(ABS(K1084)^2)/($I$5*MAX(((F1084)+(G1084)*(U1084))*(U1084),0.000001))),L1084,U1084),IF(T1084=1,L1084,IF(AC1084=1,U1084,MAX($D$16,POWER((ABS(K1084)^2)/($I$5*MAX(F1084,0.1)^2),1/3)))))))</f>
        <v>51800.26683766341</v>
      </c>
      <c r="AE1084">
        <f t="shared" ca="1" si="467"/>
        <v>52432.361837663411</v>
      </c>
      <c r="AF1084">
        <f t="shared" ca="1" si="468"/>
        <v>52432.361837665238</v>
      </c>
      <c r="AI1084">
        <v>0</v>
      </c>
      <c r="AJ1084">
        <v>0</v>
      </c>
      <c r="AK1084">
        <f t="shared" si="469"/>
        <v>0</v>
      </c>
      <c r="AL1084">
        <f t="shared" si="478"/>
        <v>0</v>
      </c>
      <c r="AM1084">
        <f t="shared" ca="1" si="470"/>
        <v>2.6560383008097266E-7</v>
      </c>
      <c r="AN1084" t="str">
        <f t="shared" ca="1" si="471"/>
        <v>Subcritical</v>
      </c>
      <c r="AO1084">
        <f t="shared" ca="1" si="472"/>
        <v>2.2562304480281055E-12</v>
      </c>
    </row>
    <row r="1085" spans="1:41" x14ac:dyDescent="0.35">
      <c r="A1085">
        <v>936</v>
      </c>
      <c r="B1085">
        <v>934.88900000000001</v>
      </c>
      <c r="C1085">
        <v>616083.91299999994</v>
      </c>
      <c r="D1085">
        <v>3097068.9909999999</v>
      </c>
      <c r="E1085">
        <v>632.09450000000004</v>
      </c>
      <c r="F1085">
        <v>5.2</v>
      </c>
      <c r="G1085">
        <v>0</v>
      </c>
      <c r="H1085" t="s">
        <v>186</v>
      </c>
      <c r="I1085">
        <v>0</v>
      </c>
      <c r="J1085">
        <f t="shared" si="473"/>
        <v>1</v>
      </c>
      <c r="K1085">
        <f t="shared" si="474"/>
        <v>51</v>
      </c>
      <c r="L1085">
        <f t="shared" ca="1" si="475"/>
        <v>51797.843837663619</v>
      </c>
      <c r="M1085">
        <f t="shared" ca="1" si="452"/>
        <v>269348.78795585083</v>
      </c>
      <c r="N1085">
        <f t="shared" ca="1" si="453"/>
        <v>2.5998694991876676</v>
      </c>
      <c r="O1085">
        <f t="shared" ca="1" si="454"/>
        <v>1.8934557080078435E-4</v>
      </c>
      <c r="P1085">
        <f t="shared" ca="1" si="455"/>
        <v>52429.938337663618</v>
      </c>
      <c r="Q1085">
        <f t="shared" ca="1" si="456"/>
        <v>52429.938337665444</v>
      </c>
      <c r="R1085">
        <f t="shared" ca="1" si="457"/>
        <v>2.2564415439646509E-12</v>
      </c>
      <c r="S1085">
        <f t="shared" ca="1" si="476"/>
        <v>5.0000000192085281E-4</v>
      </c>
      <c r="T1085">
        <f t="shared" ca="1" si="477"/>
        <v>1</v>
      </c>
      <c r="U1085">
        <f t="shared" ca="1" si="458"/>
        <v>51800.26683766341</v>
      </c>
      <c r="V1085">
        <f t="shared" ca="1" si="459"/>
        <v>269361.38755584974</v>
      </c>
      <c r="W1085">
        <f t="shared" ca="1" si="460"/>
        <v>2.5998695052916441</v>
      </c>
      <c r="X1085">
        <f t="shared" ca="1" si="461"/>
        <v>1.8933671400629237E-4</v>
      </c>
      <c r="Y1085">
        <f t="shared" ca="1" si="462"/>
        <v>52432.361337663409</v>
      </c>
      <c r="Z1085">
        <f t="shared" ca="1" si="463"/>
        <v>52432.361337665236</v>
      </c>
      <c r="AA1085">
        <f t="shared" ca="1" si="464"/>
        <v>2.2562304480281055E-12</v>
      </c>
      <c r="AB1085">
        <f t="shared" ca="1" si="465"/>
        <v>-5.0000000192085281E-4</v>
      </c>
      <c r="AC1085">
        <f t="shared" ca="1" si="466"/>
        <v>1</v>
      </c>
      <c r="AD1085">
        <f ca="1">IF(V32="Supercritical",L1085,IF(V32="Subcritical",U1085,IF(AND(T1085=1,AC1085=1),IF((((F1085)*(L1085)^2)/2+(G1085)*(L1085)^3/3+(ABS(K1085)^2)/($I$5*MAX(((F1085)+(G1085)*(L1085))*(L1085),0.000001)))&gt;=(((F1085)*(U1085)^2)/2+(G1085)*(U1085)^3/3+(ABS(K1085)^2)/($I$5*MAX(((F1085)+(G1085)*(U1085))*(U1085),0.000001))),L1085,U1085),IF(T1085=1,L1085,IF(AC1085=1,U1085,MAX($D$16,POWER((ABS(K1085)^2)/($I$5*MAX(F1085,0.1)^2),1/3)))))))</f>
        <v>51800.26683766341</v>
      </c>
      <c r="AE1085">
        <f t="shared" ca="1" si="467"/>
        <v>52432.361337663409</v>
      </c>
      <c r="AF1085">
        <f t="shared" ca="1" si="468"/>
        <v>52432.361337665236</v>
      </c>
      <c r="AI1085">
        <v>0</v>
      </c>
      <c r="AJ1085">
        <v>0</v>
      </c>
      <c r="AK1085">
        <f t="shared" si="469"/>
        <v>0</v>
      </c>
      <c r="AL1085">
        <f t="shared" si="478"/>
        <v>0</v>
      </c>
      <c r="AM1085">
        <f t="shared" ca="1" si="470"/>
        <v>2.6560383008097266E-7</v>
      </c>
      <c r="AN1085" t="str">
        <f t="shared" ca="1" si="471"/>
        <v>Subcritical</v>
      </c>
      <c r="AO1085">
        <f t="shared" ca="1" si="472"/>
        <v>2.2562304480281055E-12</v>
      </c>
    </row>
    <row r="1086" spans="1:41" x14ac:dyDescent="0.35">
      <c r="A1086">
        <v>937</v>
      </c>
      <c r="B1086">
        <v>935.88900000000001</v>
      </c>
      <c r="C1086">
        <v>616083.87100000004</v>
      </c>
      <c r="D1086">
        <v>3097067.9920000001</v>
      </c>
      <c r="E1086">
        <v>632.09400000000005</v>
      </c>
      <c r="F1086">
        <v>5.2</v>
      </c>
      <c r="G1086">
        <v>0</v>
      </c>
      <c r="H1086" t="s">
        <v>186</v>
      </c>
      <c r="I1086">
        <v>5.5E-2</v>
      </c>
      <c r="J1086">
        <f t="shared" si="473"/>
        <v>1</v>
      </c>
      <c r="K1086">
        <f t="shared" si="474"/>
        <v>51</v>
      </c>
      <c r="L1086">
        <f t="shared" ca="1" si="475"/>
        <v>51797.843837663619</v>
      </c>
      <c r="M1086">
        <f t="shared" ca="1" si="452"/>
        <v>269348.78795585083</v>
      </c>
      <c r="N1086">
        <f t="shared" ca="1" si="453"/>
        <v>2.5998694991876676</v>
      </c>
      <c r="O1086">
        <f t="shared" ca="1" si="454"/>
        <v>1.8934557080078435E-4</v>
      </c>
      <c r="P1086">
        <f t="shared" ca="1" si="455"/>
        <v>52429.937837663616</v>
      </c>
      <c r="Q1086">
        <f t="shared" ca="1" si="456"/>
        <v>52429.937837665442</v>
      </c>
      <c r="R1086">
        <f t="shared" ca="1" si="457"/>
        <v>2.2564415439646509E-12</v>
      </c>
      <c r="S1086">
        <f t="shared" ca="1" si="476"/>
        <v>5.0000000192085281E-4</v>
      </c>
      <c r="T1086">
        <f t="shared" ca="1" si="477"/>
        <v>1</v>
      </c>
      <c r="U1086">
        <f t="shared" ca="1" si="458"/>
        <v>51800.26683766341</v>
      </c>
      <c r="V1086">
        <f t="shared" ca="1" si="459"/>
        <v>269361.38755584974</v>
      </c>
      <c r="W1086">
        <f t="shared" ca="1" si="460"/>
        <v>2.5998695052916441</v>
      </c>
      <c r="X1086">
        <f t="shared" ca="1" si="461"/>
        <v>1.8933671400629237E-4</v>
      </c>
      <c r="Y1086">
        <f t="shared" ca="1" si="462"/>
        <v>52432.360837663407</v>
      </c>
      <c r="Z1086">
        <f t="shared" ca="1" si="463"/>
        <v>52432.360837665234</v>
      </c>
      <c r="AA1086">
        <f t="shared" ca="1" si="464"/>
        <v>2.2562304480281055E-12</v>
      </c>
      <c r="AB1086">
        <f t="shared" ca="1" si="465"/>
        <v>-4.999999946448952E-4</v>
      </c>
      <c r="AC1086">
        <f t="shared" ca="1" si="466"/>
        <v>1</v>
      </c>
      <c r="AD1086">
        <f ca="1">IF(V32="Supercritical",L1086,IF(V32="Subcritical",U1086,IF(AND(T1086=1,AC1086=1),IF((((F1086)*(L1086)^2)/2+(G1086)*(L1086)^3/3+(ABS(K1086)^2)/($I$5*MAX(((F1086)+(G1086)*(L1086))*(L1086),0.000001)))&gt;=(((F1086)*(U1086)^2)/2+(G1086)*(U1086)^3/3+(ABS(K1086)^2)/($I$5*MAX(((F1086)+(G1086)*(U1086))*(U1086),0.000001))),L1086,U1086),IF(T1086=1,L1086,IF(AC1086=1,U1086,MAX($D$16,POWER((ABS(K1086)^2)/($I$5*MAX(F1086,0.1)^2),1/3)))))))</f>
        <v>51800.26683766341</v>
      </c>
      <c r="AE1086">
        <f t="shared" ca="1" si="467"/>
        <v>52432.360837663407</v>
      </c>
      <c r="AF1086">
        <f t="shared" ca="1" si="468"/>
        <v>52432.360837665234</v>
      </c>
      <c r="AI1086">
        <v>0</v>
      </c>
      <c r="AJ1086">
        <v>0</v>
      </c>
      <c r="AK1086">
        <f t="shared" si="469"/>
        <v>0</v>
      </c>
      <c r="AL1086">
        <f t="shared" si="478"/>
        <v>0</v>
      </c>
      <c r="AM1086">
        <f t="shared" ca="1" si="470"/>
        <v>2.6560383008097266E-7</v>
      </c>
      <c r="AN1086" t="str">
        <f t="shared" ca="1" si="471"/>
        <v>Subcritical</v>
      </c>
      <c r="AO1086">
        <f t="shared" ca="1" si="472"/>
        <v>2.2562304480281055E-12</v>
      </c>
    </row>
    <row r="1087" spans="1:41" x14ac:dyDescent="0.35">
      <c r="A1087">
        <v>938</v>
      </c>
      <c r="B1087">
        <v>936.89</v>
      </c>
      <c r="C1087">
        <v>616083.82799999998</v>
      </c>
      <c r="D1087">
        <v>3097066.9920000001</v>
      </c>
      <c r="E1087">
        <v>632.09349999999995</v>
      </c>
      <c r="F1087">
        <v>5.2</v>
      </c>
      <c r="G1087">
        <v>0</v>
      </c>
      <c r="H1087" t="s">
        <v>186</v>
      </c>
      <c r="I1087">
        <v>5.5E-2</v>
      </c>
      <c r="J1087">
        <f t="shared" si="473"/>
        <v>1.0009999999999764</v>
      </c>
      <c r="K1087">
        <f t="shared" si="474"/>
        <v>51</v>
      </c>
      <c r="L1087">
        <f t="shared" ca="1" si="475"/>
        <v>51797.843837663619</v>
      </c>
      <c r="M1087">
        <f t="shared" ca="1" si="452"/>
        <v>269348.78795585083</v>
      </c>
      <c r="N1087">
        <f t="shared" ca="1" si="453"/>
        <v>2.5998694991876676</v>
      </c>
      <c r="O1087">
        <f t="shared" ca="1" si="454"/>
        <v>1.8934557080078435E-4</v>
      </c>
      <c r="P1087">
        <f t="shared" ca="1" si="455"/>
        <v>52429.937337663621</v>
      </c>
      <c r="Q1087">
        <f t="shared" ca="1" si="456"/>
        <v>52429.937337665448</v>
      </c>
      <c r="R1087">
        <f t="shared" ca="1" si="457"/>
        <v>2.2564415439646509E-12</v>
      </c>
      <c r="S1087">
        <f t="shared" ca="1" si="476"/>
        <v>4.999999946448952E-4</v>
      </c>
      <c r="T1087">
        <f t="shared" ca="1" si="477"/>
        <v>1</v>
      </c>
      <c r="U1087">
        <f t="shared" ca="1" si="458"/>
        <v>51800.26683766341</v>
      </c>
      <c r="V1087">
        <f t="shared" ca="1" si="459"/>
        <v>269361.38755584974</v>
      </c>
      <c r="W1087">
        <f t="shared" ca="1" si="460"/>
        <v>2.5998695052916441</v>
      </c>
      <c r="X1087">
        <f t="shared" ca="1" si="461"/>
        <v>1.8933671400629237E-4</v>
      </c>
      <c r="Y1087">
        <f t="shared" ca="1" si="462"/>
        <v>52432.360337663413</v>
      </c>
      <c r="Z1087">
        <f t="shared" ca="1" si="463"/>
        <v>52432.360337665239</v>
      </c>
      <c r="AA1087">
        <f t="shared" ca="1" si="464"/>
        <v>2.2562304480281055E-12</v>
      </c>
      <c r="AB1087">
        <f t="shared" ca="1" si="465"/>
        <v>-5.0000000192085281E-4</v>
      </c>
      <c r="AC1087">
        <f t="shared" ca="1" si="466"/>
        <v>1</v>
      </c>
      <c r="AD1087">
        <f ca="1">IF(V32="Supercritical",L1087,IF(V32="Subcritical",U1087,IF(AND(T1087=1,AC1087=1),IF((((F1087)*(L1087)^2)/2+(G1087)*(L1087)^3/3+(ABS(K1087)^2)/($I$5*MAX(((F1087)+(G1087)*(L1087))*(L1087),0.000001)))&gt;=(((F1087)*(U1087)^2)/2+(G1087)*(U1087)^3/3+(ABS(K1087)^2)/($I$5*MAX(((F1087)+(G1087)*(U1087))*(U1087),0.000001))),L1087,U1087),IF(T1087=1,L1087,IF(AC1087=1,U1087,MAX($D$16,POWER((ABS(K1087)^2)/($I$5*MAX(F1087,0.1)^2),1/3)))))))</f>
        <v>51800.26683766341</v>
      </c>
      <c r="AE1087">
        <f t="shared" ca="1" si="467"/>
        <v>52432.360337663413</v>
      </c>
      <c r="AF1087">
        <f t="shared" ca="1" si="468"/>
        <v>52432.360337665239</v>
      </c>
      <c r="AI1087">
        <v>0</v>
      </c>
      <c r="AJ1087">
        <v>0</v>
      </c>
      <c r="AK1087">
        <f t="shared" si="469"/>
        <v>0</v>
      </c>
      <c r="AL1087">
        <f t="shared" si="478"/>
        <v>0</v>
      </c>
      <c r="AM1087">
        <f t="shared" ca="1" si="470"/>
        <v>2.6560383008097266E-7</v>
      </c>
      <c r="AN1087" t="str">
        <f t="shared" ca="1" si="471"/>
        <v>Subcritical</v>
      </c>
      <c r="AO1087">
        <f t="shared" ca="1" si="472"/>
        <v>2.2562304480281055E-12</v>
      </c>
    </row>
    <row r="1088" spans="1:41" x14ac:dyDescent="0.35">
      <c r="A1088">
        <v>939</v>
      </c>
      <c r="B1088">
        <v>937.89</v>
      </c>
      <c r="C1088">
        <v>616083.78599999996</v>
      </c>
      <c r="D1088">
        <v>3097065.9929999998</v>
      </c>
      <c r="E1088">
        <v>632.09299999999996</v>
      </c>
      <c r="F1088">
        <v>5.2</v>
      </c>
      <c r="G1088">
        <v>0</v>
      </c>
      <c r="H1088" t="s">
        <v>186</v>
      </c>
      <c r="I1088">
        <v>0</v>
      </c>
      <c r="J1088">
        <f t="shared" si="473"/>
        <v>1</v>
      </c>
      <c r="K1088">
        <f t="shared" si="474"/>
        <v>51</v>
      </c>
      <c r="L1088">
        <f t="shared" ca="1" si="475"/>
        <v>51797.843837663619</v>
      </c>
      <c r="M1088">
        <f t="shared" ca="1" si="452"/>
        <v>269348.78795585083</v>
      </c>
      <c r="N1088">
        <f t="shared" ca="1" si="453"/>
        <v>2.5998694991876676</v>
      </c>
      <c r="O1088">
        <f t="shared" ca="1" si="454"/>
        <v>1.8934557080078435E-4</v>
      </c>
      <c r="P1088">
        <f t="shared" ca="1" si="455"/>
        <v>52429.936837663619</v>
      </c>
      <c r="Q1088">
        <f t="shared" ca="1" si="456"/>
        <v>52429.936837665446</v>
      </c>
      <c r="R1088">
        <f t="shared" ca="1" si="457"/>
        <v>2.2564415439646509E-12</v>
      </c>
      <c r="S1088">
        <f t="shared" ca="1" si="476"/>
        <v>5.0000000192085281E-4</v>
      </c>
      <c r="T1088">
        <f t="shared" ca="1" si="477"/>
        <v>1</v>
      </c>
      <c r="U1088">
        <f t="shared" ca="1" si="458"/>
        <v>51800.26683766341</v>
      </c>
      <c r="V1088">
        <f t="shared" ca="1" si="459"/>
        <v>269361.38755584974</v>
      </c>
      <c r="W1088">
        <f t="shared" ca="1" si="460"/>
        <v>2.5998695052916441</v>
      </c>
      <c r="X1088">
        <f t="shared" ca="1" si="461"/>
        <v>1.8933671400629237E-4</v>
      </c>
      <c r="Y1088">
        <f t="shared" ca="1" si="462"/>
        <v>52432.359837663411</v>
      </c>
      <c r="Z1088">
        <f t="shared" ca="1" si="463"/>
        <v>52432.359837665237</v>
      </c>
      <c r="AA1088">
        <f t="shared" ca="1" si="464"/>
        <v>2.2562304480281055E-12</v>
      </c>
      <c r="AB1088">
        <f t="shared" ca="1" si="465"/>
        <v>-5.0000000192085281E-4</v>
      </c>
      <c r="AC1088">
        <f t="shared" ca="1" si="466"/>
        <v>1</v>
      </c>
      <c r="AD1088">
        <f ca="1">IF(V32="Supercritical",L1088,IF(V32="Subcritical",U1088,IF(AND(T1088=1,AC1088=1),IF((((F1088)*(L1088)^2)/2+(G1088)*(L1088)^3/3+(ABS(K1088)^2)/($I$5*MAX(((F1088)+(G1088)*(L1088))*(L1088),0.000001)))&gt;=(((F1088)*(U1088)^2)/2+(G1088)*(U1088)^3/3+(ABS(K1088)^2)/($I$5*MAX(((F1088)+(G1088)*(U1088))*(U1088),0.000001))),L1088,U1088),IF(T1088=1,L1088,IF(AC1088=1,U1088,MAX($D$16,POWER((ABS(K1088)^2)/($I$5*MAX(F1088,0.1)^2),1/3)))))))</f>
        <v>51800.26683766341</v>
      </c>
      <c r="AE1088">
        <f t="shared" ca="1" si="467"/>
        <v>52432.359837663411</v>
      </c>
      <c r="AF1088">
        <f t="shared" ca="1" si="468"/>
        <v>52432.359837665237</v>
      </c>
      <c r="AI1088">
        <v>0</v>
      </c>
      <c r="AJ1088">
        <v>0</v>
      </c>
      <c r="AK1088">
        <f t="shared" si="469"/>
        <v>0</v>
      </c>
      <c r="AL1088">
        <f t="shared" si="478"/>
        <v>0</v>
      </c>
      <c r="AM1088">
        <f t="shared" ca="1" si="470"/>
        <v>2.6560383008097266E-7</v>
      </c>
      <c r="AN1088" t="str">
        <f t="shared" ca="1" si="471"/>
        <v>Subcritical</v>
      </c>
      <c r="AO1088">
        <f t="shared" ca="1" si="472"/>
        <v>2.2562304480281055E-12</v>
      </c>
    </row>
    <row r="1089" spans="1:41" x14ac:dyDescent="0.35">
      <c r="A1089">
        <v>940</v>
      </c>
      <c r="B1089">
        <v>938.89</v>
      </c>
      <c r="C1089">
        <v>616083.74399999995</v>
      </c>
      <c r="D1089">
        <v>3097064.9939999999</v>
      </c>
      <c r="E1089">
        <v>632.09249999999997</v>
      </c>
      <c r="F1089">
        <v>5.2</v>
      </c>
      <c r="G1089">
        <v>0</v>
      </c>
      <c r="H1089" t="s">
        <v>186</v>
      </c>
      <c r="I1089">
        <v>0</v>
      </c>
      <c r="J1089">
        <f t="shared" si="473"/>
        <v>1</v>
      </c>
      <c r="K1089">
        <f t="shared" si="474"/>
        <v>51</v>
      </c>
      <c r="L1089">
        <f t="shared" ca="1" si="475"/>
        <v>51797.843837663619</v>
      </c>
      <c r="M1089">
        <f t="shared" ca="1" si="452"/>
        <v>269348.78795585083</v>
      </c>
      <c r="N1089">
        <f t="shared" ca="1" si="453"/>
        <v>2.5998694991876676</v>
      </c>
      <c r="O1089">
        <f t="shared" ca="1" si="454"/>
        <v>1.8934557080078435E-4</v>
      </c>
      <c r="P1089">
        <f t="shared" ca="1" si="455"/>
        <v>52429.936337663617</v>
      </c>
      <c r="Q1089">
        <f t="shared" ca="1" si="456"/>
        <v>52429.936337665444</v>
      </c>
      <c r="R1089">
        <f t="shared" ca="1" si="457"/>
        <v>2.2564415439646509E-12</v>
      </c>
      <c r="S1089">
        <f t="shared" ca="1" si="476"/>
        <v>5.0000000192085281E-4</v>
      </c>
      <c r="T1089">
        <f t="shared" ca="1" si="477"/>
        <v>1</v>
      </c>
      <c r="U1089">
        <f t="shared" ca="1" si="458"/>
        <v>51800.26683766341</v>
      </c>
      <c r="V1089">
        <f t="shared" ca="1" si="459"/>
        <v>269361.38755584974</v>
      </c>
      <c r="W1089">
        <f t="shared" ca="1" si="460"/>
        <v>2.5998695052916441</v>
      </c>
      <c r="X1089">
        <f t="shared" ca="1" si="461"/>
        <v>1.8933671400629237E-4</v>
      </c>
      <c r="Y1089">
        <f t="shared" ca="1" si="462"/>
        <v>52432.359337663409</v>
      </c>
      <c r="Z1089">
        <f t="shared" ca="1" si="463"/>
        <v>52432.359337665235</v>
      </c>
      <c r="AA1089">
        <f t="shared" ca="1" si="464"/>
        <v>2.2562304480281055E-12</v>
      </c>
      <c r="AB1089">
        <f t="shared" ca="1" si="465"/>
        <v>-5.0000000192085281E-4</v>
      </c>
      <c r="AC1089">
        <f t="shared" ca="1" si="466"/>
        <v>1</v>
      </c>
      <c r="AD1089">
        <f ca="1">IF(V32="Supercritical",L1089,IF(V32="Subcritical",U1089,IF(AND(T1089=1,AC1089=1),IF((((F1089)*(L1089)^2)/2+(G1089)*(L1089)^3/3+(ABS(K1089)^2)/($I$5*MAX(((F1089)+(G1089)*(L1089))*(L1089),0.000001)))&gt;=(((F1089)*(U1089)^2)/2+(G1089)*(U1089)^3/3+(ABS(K1089)^2)/($I$5*MAX(((F1089)+(G1089)*(U1089))*(U1089),0.000001))),L1089,U1089),IF(T1089=1,L1089,IF(AC1089=1,U1089,MAX($D$16,POWER((ABS(K1089)^2)/($I$5*MAX(F1089,0.1)^2),1/3)))))))</f>
        <v>51800.26683766341</v>
      </c>
      <c r="AE1089">
        <f t="shared" ca="1" si="467"/>
        <v>52432.359337663409</v>
      </c>
      <c r="AF1089">
        <f t="shared" ca="1" si="468"/>
        <v>52432.359337665235</v>
      </c>
      <c r="AI1089">
        <v>0</v>
      </c>
      <c r="AJ1089">
        <v>0</v>
      </c>
      <c r="AK1089">
        <f t="shared" si="469"/>
        <v>0</v>
      </c>
      <c r="AL1089">
        <f t="shared" si="478"/>
        <v>0</v>
      </c>
      <c r="AM1089">
        <f t="shared" ca="1" si="470"/>
        <v>2.6560383008097266E-7</v>
      </c>
      <c r="AN1089" t="str">
        <f t="shared" ca="1" si="471"/>
        <v>Subcritical</v>
      </c>
      <c r="AO1089">
        <f t="shared" ca="1" si="472"/>
        <v>2.2562304480281055E-12</v>
      </c>
    </row>
    <row r="1090" spans="1:41" x14ac:dyDescent="0.35">
      <c r="A1090">
        <v>941</v>
      </c>
      <c r="B1090">
        <v>939.88900000000001</v>
      </c>
      <c r="C1090">
        <v>616083.70200000005</v>
      </c>
      <c r="D1090">
        <v>3097063.9950000001</v>
      </c>
      <c r="E1090">
        <v>632.09199999999998</v>
      </c>
      <c r="F1090">
        <v>5.2</v>
      </c>
      <c r="G1090">
        <v>0</v>
      </c>
      <c r="H1090" t="s">
        <v>186</v>
      </c>
      <c r="I1090">
        <v>5.7000000000000002E-2</v>
      </c>
      <c r="J1090">
        <f t="shared" si="473"/>
        <v>0.99900000000002365</v>
      </c>
      <c r="K1090">
        <f t="shared" si="474"/>
        <v>51</v>
      </c>
      <c r="L1090">
        <f t="shared" ca="1" si="475"/>
        <v>51797.843837663619</v>
      </c>
      <c r="M1090">
        <f t="shared" ca="1" si="452"/>
        <v>269348.78795585083</v>
      </c>
      <c r="N1090">
        <f t="shared" ca="1" si="453"/>
        <v>2.5998694991876676</v>
      </c>
      <c r="O1090">
        <f t="shared" ca="1" si="454"/>
        <v>1.8934557080078435E-4</v>
      </c>
      <c r="P1090">
        <f t="shared" ca="1" si="455"/>
        <v>52429.935837663616</v>
      </c>
      <c r="Q1090">
        <f t="shared" ca="1" si="456"/>
        <v>52429.935837665442</v>
      </c>
      <c r="R1090">
        <f t="shared" ca="1" si="457"/>
        <v>2.2564415439646509E-12</v>
      </c>
      <c r="S1090">
        <f t="shared" ca="1" si="476"/>
        <v>5.0000000192085281E-4</v>
      </c>
      <c r="T1090">
        <f t="shared" ca="1" si="477"/>
        <v>1</v>
      </c>
      <c r="U1090">
        <f t="shared" ca="1" si="458"/>
        <v>51800.26683766341</v>
      </c>
      <c r="V1090">
        <f t="shared" ca="1" si="459"/>
        <v>269361.38755584974</v>
      </c>
      <c r="W1090">
        <f t="shared" ca="1" si="460"/>
        <v>2.5998695052916441</v>
      </c>
      <c r="X1090">
        <f t="shared" ca="1" si="461"/>
        <v>1.8933671400629237E-4</v>
      </c>
      <c r="Y1090">
        <f t="shared" ca="1" si="462"/>
        <v>52432.358837663407</v>
      </c>
      <c r="Z1090">
        <f t="shared" ca="1" si="463"/>
        <v>52432.358837665233</v>
      </c>
      <c r="AA1090">
        <f t="shared" ca="1" si="464"/>
        <v>2.2562304480281055E-12</v>
      </c>
      <c r="AB1090">
        <f t="shared" ca="1" si="465"/>
        <v>-4.999999946448952E-4</v>
      </c>
      <c r="AC1090">
        <f t="shared" ca="1" si="466"/>
        <v>1</v>
      </c>
      <c r="AD1090">
        <f ca="1">IF(V32="Supercritical",L1090,IF(V32="Subcritical",U1090,IF(AND(T1090=1,AC1090=1),IF((((F1090)*(L1090)^2)/2+(G1090)*(L1090)^3/3+(ABS(K1090)^2)/($I$5*MAX(((F1090)+(G1090)*(L1090))*(L1090),0.000001)))&gt;=(((F1090)*(U1090)^2)/2+(G1090)*(U1090)^3/3+(ABS(K1090)^2)/($I$5*MAX(((F1090)+(G1090)*(U1090))*(U1090),0.000001))),L1090,U1090),IF(T1090=1,L1090,IF(AC1090=1,U1090,MAX($D$16,POWER((ABS(K1090)^2)/($I$5*MAX(F1090,0.1)^2),1/3)))))))</f>
        <v>51800.26683766341</v>
      </c>
      <c r="AE1090">
        <f t="shared" ca="1" si="467"/>
        <v>52432.358837663407</v>
      </c>
      <c r="AF1090">
        <f t="shared" ca="1" si="468"/>
        <v>52432.358837665233</v>
      </c>
      <c r="AI1090">
        <v>0</v>
      </c>
      <c r="AJ1090">
        <v>0</v>
      </c>
      <c r="AK1090">
        <f t="shared" si="469"/>
        <v>0</v>
      </c>
      <c r="AL1090">
        <f t="shared" si="478"/>
        <v>0</v>
      </c>
      <c r="AM1090">
        <f t="shared" ca="1" si="470"/>
        <v>2.6560383008097266E-7</v>
      </c>
      <c r="AN1090" t="str">
        <f t="shared" ca="1" si="471"/>
        <v>Subcritical</v>
      </c>
      <c r="AO1090">
        <f t="shared" ca="1" si="472"/>
        <v>2.2562304480281055E-12</v>
      </c>
    </row>
    <row r="1091" spans="1:41" x14ac:dyDescent="0.35">
      <c r="A1091">
        <v>942</v>
      </c>
      <c r="B1091">
        <v>940.88900000000001</v>
      </c>
      <c r="C1091">
        <v>616083.65899999999</v>
      </c>
      <c r="D1091">
        <v>3097062.9959999998</v>
      </c>
      <c r="E1091">
        <v>632.0915</v>
      </c>
      <c r="F1091">
        <v>5.2</v>
      </c>
      <c r="G1091">
        <v>0</v>
      </c>
      <c r="H1091" t="s">
        <v>186</v>
      </c>
      <c r="I1091">
        <v>5.7000000000000002E-2</v>
      </c>
      <c r="J1091">
        <f t="shared" si="473"/>
        <v>1</v>
      </c>
      <c r="K1091">
        <f t="shared" si="474"/>
        <v>51</v>
      </c>
      <c r="L1091">
        <f t="shared" ca="1" si="475"/>
        <v>51797.843837663619</v>
      </c>
      <c r="M1091">
        <f t="shared" ca="1" si="452"/>
        <v>269348.78795585083</v>
      </c>
      <c r="N1091">
        <f t="shared" ca="1" si="453"/>
        <v>2.5998694991876676</v>
      </c>
      <c r="O1091">
        <f t="shared" ca="1" si="454"/>
        <v>1.8934557080078435E-4</v>
      </c>
      <c r="P1091">
        <f t="shared" ca="1" si="455"/>
        <v>52429.935337663621</v>
      </c>
      <c r="Q1091">
        <f t="shared" ca="1" si="456"/>
        <v>52429.935337665447</v>
      </c>
      <c r="R1091">
        <f t="shared" ca="1" si="457"/>
        <v>2.2564415439646509E-12</v>
      </c>
      <c r="S1091">
        <f t="shared" ca="1" si="476"/>
        <v>4.999999946448952E-4</v>
      </c>
      <c r="T1091">
        <f t="shared" ca="1" si="477"/>
        <v>1</v>
      </c>
      <c r="U1091">
        <f t="shared" ca="1" si="458"/>
        <v>51800.26683766341</v>
      </c>
      <c r="V1091">
        <f t="shared" ca="1" si="459"/>
        <v>269361.38755584974</v>
      </c>
      <c r="W1091">
        <f t="shared" ca="1" si="460"/>
        <v>2.5998695052916441</v>
      </c>
      <c r="X1091">
        <f t="shared" ca="1" si="461"/>
        <v>1.8933671400629237E-4</v>
      </c>
      <c r="Y1091">
        <f t="shared" ca="1" si="462"/>
        <v>52432.358337663412</v>
      </c>
      <c r="Z1091">
        <f t="shared" ca="1" si="463"/>
        <v>52432.358337665239</v>
      </c>
      <c r="AA1091">
        <f t="shared" ca="1" si="464"/>
        <v>2.2562304480281055E-12</v>
      </c>
      <c r="AB1091">
        <f t="shared" ca="1" si="465"/>
        <v>-5.0000000192085281E-4</v>
      </c>
      <c r="AC1091">
        <f t="shared" ca="1" si="466"/>
        <v>1</v>
      </c>
      <c r="AD1091">
        <f ca="1">IF(V32="Supercritical",L1091,IF(V32="Subcritical",U1091,IF(AND(T1091=1,AC1091=1),IF((((F1091)*(L1091)^2)/2+(G1091)*(L1091)^3/3+(ABS(K1091)^2)/($I$5*MAX(((F1091)+(G1091)*(L1091))*(L1091),0.000001)))&gt;=(((F1091)*(U1091)^2)/2+(G1091)*(U1091)^3/3+(ABS(K1091)^2)/($I$5*MAX(((F1091)+(G1091)*(U1091))*(U1091),0.000001))),L1091,U1091),IF(T1091=1,L1091,IF(AC1091=1,U1091,MAX($D$16,POWER((ABS(K1091)^2)/($I$5*MAX(F1091,0.1)^2),1/3)))))))</f>
        <v>51800.26683766341</v>
      </c>
      <c r="AE1091">
        <f t="shared" ca="1" si="467"/>
        <v>52432.358337663412</v>
      </c>
      <c r="AF1091">
        <f t="shared" ca="1" si="468"/>
        <v>52432.358337665239</v>
      </c>
      <c r="AI1091">
        <v>0</v>
      </c>
      <c r="AJ1091">
        <v>0</v>
      </c>
      <c r="AK1091">
        <f t="shared" si="469"/>
        <v>0</v>
      </c>
      <c r="AL1091">
        <f t="shared" si="478"/>
        <v>0</v>
      </c>
      <c r="AM1091">
        <f t="shared" ca="1" si="470"/>
        <v>2.6560383008097266E-7</v>
      </c>
      <c r="AN1091" t="str">
        <f t="shared" ca="1" si="471"/>
        <v>Subcritical</v>
      </c>
      <c r="AO1091">
        <f t="shared" ca="1" si="472"/>
        <v>2.2562304480281055E-12</v>
      </c>
    </row>
    <row r="1092" spans="1:41" x14ac:dyDescent="0.35">
      <c r="A1092">
        <v>943</v>
      </c>
      <c r="B1092">
        <v>941.88900000000001</v>
      </c>
      <c r="C1092">
        <v>616083.61699999997</v>
      </c>
      <c r="D1092">
        <v>3097061.997</v>
      </c>
      <c r="E1092">
        <v>632.09100000000001</v>
      </c>
      <c r="F1092">
        <v>5.2</v>
      </c>
      <c r="G1092">
        <v>0</v>
      </c>
      <c r="H1092" t="s">
        <v>186</v>
      </c>
      <c r="I1092">
        <v>0</v>
      </c>
      <c r="J1092">
        <f t="shared" si="473"/>
        <v>1</v>
      </c>
      <c r="K1092">
        <f t="shared" si="474"/>
        <v>51</v>
      </c>
      <c r="L1092">
        <f t="shared" ca="1" si="475"/>
        <v>51797.843837663619</v>
      </c>
      <c r="M1092">
        <f t="shared" ca="1" si="452"/>
        <v>269348.78795585083</v>
      </c>
      <c r="N1092">
        <f t="shared" ca="1" si="453"/>
        <v>2.5998694991876676</v>
      </c>
      <c r="O1092">
        <f t="shared" ca="1" si="454"/>
        <v>1.8934557080078435E-4</v>
      </c>
      <c r="P1092">
        <f t="shared" ca="1" si="455"/>
        <v>52429.934837663619</v>
      </c>
      <c r="Q1092">
        <f t="shared" ca="1" si="456"/>
        <v>52429.934837665445</v>
      </c>
      <c r="R1092">
        <f t="shared" ca="1" si="457"/>
        <v>2.2564415439646509E-12</v>
      </c>
      <c r="S1092">
        <f t="shared" ca="1" si="476"/>
        <v>5.0000000192085281E-4</v>
      </c>
      <c r="T1092">
        <f t="shared" ca="1" si="477"/>
        <v>1</v>
      </c>
      <c r="U1092">
        <f t="shared" ca="1" si="458"/>
        <v>51800.26683766341</v>
      </c>
      <c r="V1092">
        <f t="shared" ca="1" si="459"/>
        <v>269361.38755584974</v>
      </c>
      <c r="W1092">
        <f t="shared" ca="1" si="460"/>
        <v>2.5998695052916441</v>
      </c>
      <c r="X1092">
        <f t="shared" ca="1" si="461"/>
        <v>1.8933671400629237E-4</v>
      </c>
      <c r="Y1092">
        <f t="shared" ca="1" si="462"/>
        <v>52432.35783766341</v>
      </c>
      <c r="Z1092">
        <f t="shared" ca="1" si="463"/>
        <v>52432.357837665237</v>
      </c>
      <c r="AA1092">
        <f t="shared" ca="1" si="464"/>
        <v>2.2562304480281055E-12</v>
      </c>
      <c r="AB1092">
        <f t="shared" ca="1" si="465"/>
        <v>-5.0000000192085281E-4</v>
      </c>
      <c r="AC1092">
        <f t="shared" ca="1" si="466"/>
        <v>1</v>
      </c>
      <c r="AD1092">
        <f ca="1">IF(V32="Supercritical",L1092,IF(V32="Subcritical",U1092,IF(AND(T1092=1,AC1092=1),IF((((F1092)*(L1092)^2)/2+(G1092)*(L1092)^3/3+(ABS(K1092)^2)/($I$5*MAX(((F1092)+(G1092)*(L1092))*(L1092),0.000001)))&gt;=(((F1092)*(U1092)^2)/2+(G1092)*(U1092)^3/3+(ABS(K1092)^2)/($I$5*MAX(((F1092)+(G1092)*(U1092))*(U1092),0.000001))),L1092,U1092),IF(T1092=1,L1092,IF(AC1092=1,U1092,MAX($D$16,POWER((ABS(K1092)^2)/($I$5*MAX(F1092,0.1)^2),1/3)))))))</f>
        <v>51800.26683766341</v>
      </c>
      <c r="AE1092">
        <f t="shared" ca="1" si="467"/>
        <v>52432.35783766341</v>
      </c>
      <c r="AF1092">
        <f t="shared" ca="1" si="468"/>
        <v>52432.357837665237</v>
      </c>
      <c r="AI1092">
        <v>0</v>
      </c>
      <c r="AJ1092">
        <v>0</v>
      </c>
      <c r="AK1092">
        <f t="shared" si="469"/>
        <v>0</v>
      </c>
      <c r="AL1092">
        <f t="shared" si="478"/>
        <v>0</v>
      </c>
      <c r="AM1092">
        <f t="shared" ca="1" si="470"/>
        <v>2.6560383008097266E-7</v>
      </c>
      <c r="AN1092" t="str">
        <f t="shared" ca="1" si="471"/>
        <v>Subcritical</v>
      </c>
      <c r="AO1092">
        <f t="shared" ca="1" si="472"/>
        <v>2.2562304480281055E-12</v>
      </c>
    </row>
    <row r="1093" spans="1:41" x14ac:dyDescent="0.35">
      <c r="A1093">
        <v>944</v>
      </c>
      <c r="B1093">
        <v>942.88900000000001</v>
      </c>
      <c r="C1093">
        <v>616083.57499999995</v>
      </c>
      <c r="D1093">
        <v>3097060.9980000001</v>
      </c>
      <c r="E1093">
        <v>632.09050000000002</v>
      </c>
      <c r="F1093">
        <v>5.2</v>
      </c>
      <c r="G1093">
        <v>0</v>
      </c>
      <c r="H1093" t="s">
        <v>186</v>
      </c>
      <c r="I1093">
        <v>0</v>
      </c>
      <c r="J1093">
        <f t="shared" si="473"/>
        <v>1</v>
      </c>
      <c r="K1093">
        <f t="shared" si="474"/>
        <v>51</v>
      </c>
      <c r="L1093">
        <f t="shared" ca="1" si="475"/>
        <v>51797.843837663619</v>
      </c>
      <c r="M1093">
        <f t="shared" ca="1" si="452"/>
        <v>269348.78795585083</v>
      </c>
      <c r="N1093">
        <f t="shared" ca="1" si="453"/>
        <v>2.5998694991876676</v>
      </c>
      <c r="O1093">
        <f t="shared" ca="1" si="454"/>
        <v>1.8934557080078435E-4</v>
      </c>
      <c r="P1093">
        <f t="shared" ca="1" si="455"/>
        <v>52429.934337663617</v>
      </c>
      <c r="Q1093">
        <f t="shared" ca="1" si="456"/>
        <v>52429.934337665443</v>
      </c>
      <c r="R1093">
        <f t="shared" ca="1" si="457"/>
        <v>2.2564415439646509E-12</v>
      </c>
      <c r="S1093">
        <f t="shared" ca="1" si="476"/>
        <v>5.0000000192085281E-4</v>
      </c>
      <c r="T1093">
        <f t="shared" ca="1" si="477"/>
        <v>1</v>
      </c>
      <c r="U1093">
        <f t="shared" ca="1" si="458"/>
        <v>51800.26683766341</v>
      </c>
      <c r="V1093">
        <f t="shared" ca="1" si="459"/>
        <v>269361.38755584974</v>
      </c>
      <c r="W1093">
        <f t="shared" ca="1" si="460"/>
        <v>2.5998695052916441</v>
      </c>
      <c r="X1093">
        <f t="shared" ca="1" si="461"/>
        <v>1.8933671400629237E-4</v>
      </c>
      <c r="Y1093">
        <f t="shared" ca="1" si="462"/>
        <v>52432.357337663409</v>
      </c>
      <c r="Z1093">
        <f t="shared" ca="1" si="463"/>
        <v>52432.357337665235</v>
      </c>
      <c r="AA1093">
        <f t="shared" ca="1" si="464"/>
        <v>2.2562304480281055E-12</v>
      </c>
      <c r="AB1093">
        <f t="shared" ca="1" si="465"/>
        <v>-5.0000000192085281E-4</v>
      </c>
      <c r="AC1093">
        <f t="shared" ca="1" si="466"/>
        <v>1</v>
      </c>
      <c r="AD1093">
        <f ca="1">IF(V32="Supercritical",L1093,IF(V32="Subcritical",U1093,IF(AND(T1093=1,AC1093=1),IF((((F1093)*(L1093)^2)/2+(G1093)*(L1093)^3/3+(ABS(K1093)^2)/($I$5*MAX(((F1093)+(G1093)*(L1093))*(L1093),0.000001)))&gt;=(((F1093)*(U1093)^2)/2+(G1093)*(U1093)^3/3+(ABS(K1093)^2)/($I$5*MAX(((F1093)+(G1093)*(U1093))*(U1093),0.000001))),L1093,U1093),IF(T1093=1,L1093,IF(AC1093=1,U1093,MAX($D$16,POWER((ABS(K1093)^2)/($I$5*MAX(F1093,0.1)^2),1/3)))))))</f>
        <v>51800.26683766341</v>
      </c>
      <c r="AE1093">
        <f t="shared" ca="1" si="467"/>
        <v>52432.357337663409</v>
      </c>
      <c r="AF1093">
        <f t="shared" ca="1" si="468"/>
        <v>52432.357337665235</v>
      </c>
      <c r="AI1093">
        <v>0</v>
      </c>
      <c r="AJ1093">
        <v>0</v>
      </c>
      <c r="AK1093">
        <f t="shared" si="469"/>
        <v>0</v>
      </c>
      <c r="AL1093">
        <f t="shared" si="478"/>
        <v>0</v>
      </c>
      <c r="AM1093">
        <f t="shared" ca="1" si="470"/>
        <v>2.6560383008097266E-7</v>
      </c>
      <c r="AN1093" t="str">
        <f t="shared" ca="1" si="471"/>
        <v>Subcritical</v>
      </c>
      <c r="AO1093">
        <f t="shared" ca="1" si="472"/>
        <v>2.2562304480281055E-12</v>
      </c>
    </row>
    <row r="1094" spans="1:41" x14ac:dyDescent="0.35">
      <c r="A1094">
        <v>945</v>
      </c>
      <c r="B1094">
        <v>943.88900000000001</v>
      </c>
      <c r="C1094">
        <v>616083.53300000005</v>
      </c>
      <c r="D1094">
        <v>3097059.9989999998</v>
      </c>
      <c r="E1094">
        <v>632.09</v>
      </c>
      <c r="F1094">
        <v>5.2</v>
      </c>
      <c r="G1094">
        <v>0</v>
      </c>
      <c r="H1094" t="s">
        <v>186</v>
      </c>
      <c r="I1094">
        <v>5.7000000000000002E-2</v>
      </c>
      <c r="J1094">
        <f t="shared" si="473"/>
        <v>1</v>
      </c>
      <c r="K1094">
        <f t="shared" si="474"/>
        <v>51</v>
      </c>
      <c r="L1094">
        <f t="shared" ca="1" si="475"/>
        <v>51797.843837663619</v>
      </c>
      <c r="M1094">
        <f t="shared" ca="1" si="452"/>
        <v>269348.78795585083</v>
      </c>
      <c r="N1094">
        <f t="shared" ca="1" si="453"/>
        <v>2.5998694991876676</v>
      </c>
      <c r="O1094">
        <f t="shared" ca="1" si="454"/>
        <v>1.8934557080078435E-4</v>
      </c>
      <c r="P1094">
        <f t="shared" ca="1" si="455"/>
        <v>52429.933837663615</v>
      </c>
      <c r="Q1094">
        <f t="shared" ca="1" si="456"/>
        <v>52429.933837665441</v>
      </c>
      <c r="R1094">
        <f t="shared" ca="1" si="457"/>
        <v>2.2564415439646509E-12</v>
      </c>
      <c r="S1094">
        <f t="shared" ca="1" si="476"/>
        <v>5.0000000192085281E-4</v>
      </c>
      <c r="T1094">
        <f t="shared" ca="1" si="477"/>
        <v>1</v>
      </c>
      <c r="U1094">
        <f t="shared" ca="1" si="458"/>
        <v>51800.26683766341</v>
      </c>
      <c r="V1094">
        <f t="shared" ca="1" si="459"/>
        <v>269361.38755584974</v>
      </c>
      <c r="W1094">
        <f t="shared" ca="1" si="460"/>
        <v>2.5998695052916441</v>
      </c>
      <c r="X1094">
        <f t="shared" ca="1" si="461"/>
        <v>1.8933671400629237E-4</v>
      </c>
      <c r="Y1094">
        <f t="shared" ca="1" si="462"/>
        <v>52432.356837663407</v>
      </c>
      <c r="Z1094">
        <f t="shared" ca="1" si="463"/>
        <v>52432.356837665233</v>
      </c>
      <c r="AA1094">
        <f t="shared" ca="1" si="464"/>
        <v>2.2562304480281055E-12</v>
      </c>
      <c r="AB1094">
        <f t="shared" ca="1" si="465"/>
        <v>-4.999999946448952E-4</v>
      </c>
      <c r="AC1094">
        <f t="shared" ca="1" si="466"/>
        <v>1</v>
      </c>
      <c r="AD1094">
        <f ca="1">IF(V32="Supercritical",L1094,IF(V32="Subcritical",U1094,IF(AND(T1094=1,AC1094=1),IF((((F1094)*(L1094)^2)/2+(G1094)*(L1094)^3/3+(ABS(K1094)^2)/($I$5*MAX(((F1094)+(G1094)*(L1094))*(L1094),0.000001)))&gt;=(((F1094)*(U1094)^2)/2+(G1094)*(U1094)^3/3+(ABS(K1094)^2)/($I$5*MAX(((F1094)+(G1094)*(U1094))*(U1094),0.000001))),L1094,U1094),IF(T1094=1,L1094,IF(AC1094=1,U1094,MAX($D$16,POWER((ABS(K1094)^2)/($I$5*MAX(F1094,0.1)^2),1/3)))))))</f>
        <v>51800.26683766341</v>
      </c>
      <c r="AE1094">
        <f t="shared" ca="1" si="467"/>
        <v>52432.356837663407</v>
      </c>
      <c r="AF1094">
        <f t="shared" ca="1" si="468"/>
        <v>52432.356837665233</v>
      </c>
      <c r="AI1094">
        <v>0</v>
      </c>
      <c r="AJ1094">
        <v>0</v>
      </c>
      <c r="AK1094">
        <f t="shared" si="469"/>
        <v>0</v>
      </c>
      <c r="AL1094">
        <f t="shared" si="478"/>
        <v>0</v>
      </c>
      <c r="AM1094">
        <f t="shared" ca="1" si="470"/>
        <v>2.6560383008097266E-7</v>
      </c>
      <c r="AN1094" t="str">
        <f t="shared" ca="1" si="471"/>
        <v>Subcritical</v>
      </c>
      <c r="AO1094">
        <f t="shared" ca="1" si="472"/>
        <v>2.2562304480281055E-12</v>
      </c>
    </row>
    <row r="1095" spans="1:41" x14ac:dyDescent="0.35">
      <c r="A1095">
        <v>946</v>
      </c>
      <c r="B1095">
        <v>944.88900000000001</v>
      </c>
      <c r="C1095">
        <v>616083.49</v>
      </c>
      <c r="D1095">
        <v>3097059</v>
      </c>
      <c r="E1095">
        <v>632.08950000000004</v>
      </c>
      <c r="F1095">
        <v>5.2</v>
      </c>
      <c r="G1095">
        <v>0</v>
      </c>
      <c r="H1095" t="s">
        <v>186</v>
      </c>
      <c r="I1095">
        <v>5.7000000000000002E-2</v>
      </c>
      <c r="J1095">
        <f t="shared" si="473"/>
        <v>1</v>
      </c>
      <c r="K1095">
        <f t="shared" si="474"/>
        <v>51</v>
      </c>
      <c r="L1095">
        <f t="shared" ca="1" si="475"/>
        <v>51797.843837663619</v>
      </c>
      <c r="M1095">
        <f t="shared" ca="1" si="452"/>
        <v>269348.78795585083</v>
      </c>
      <c r="N1095">
        <f t="shared" ca="1" si="453"/>
        <v>2.5998694991876676</v>
      </c>
      <c r="O1095">
        <f t="shared" ca="1" si="454"/>
        <v>1.8934557080078435E-4</v>
      </c>
      <c r="P1095">
        <f t="shared" ca="1" si="455"/>
        <v>52429.93333766362</v>
      </c>
      <c r="Q1095">
        <f t="shared" ca="1" si="456"/>
        <v>52429.933337665447</v>
      </c>
      <c r="R1095">
        <f t="shared" ca="1" si="457"/>
        <v>2.2564415439646509E-12</v>
      </c>
      <c r="S1095">
        <f t="shared" ca="1" si="476"/>
        <v>4.999999946448952E-4</v>
      </c>
      <c r="T1095">
        <f t="shared" ca="1" si="477"/>
        <v>1</v>
      </c>
      <c r="U1095">
        <f t="shared" ca="1" si="458"/>
        <v>51800.26683766341</v>
      </c>
      <c r="V1095">
        <f t="shared" ca="1" si="459"/>
        <v>269361.38755584974</v>
      </c>
      <c r="W1095">
        <f t="shared" ca="1" si="460"/>
        <v>2.5998695052916441</v>
      </c>
      <c r="X1095">
        <f t="shared" ca="1" si="461"/>
        <v>1.8933671400629237E-4</v>
      </c>
      <c r="Y1095">
        <f t="shared" ca="1" si="462"/>
        <v>52432.356337663412</v>
      </c>
      <c r="Z1095">
        <f t="shared" ca="1" si="463"/>
        <v>52432.356337665238</v>
      </c>
      <c r="AA1095">
        <f t="shared" ca="1" si="464"/>
        <v>2.2562304480281055E-12</v>
      </c>
      <c r="AB1095">
        <f t="shared" ca="1" si="465"/>
        <v>-5.0000000192085281E-4</v>
      </c>
      <c r="AC1095">
        <f t="shared" ca="1" si="466"/>
        <v>1</v>
      </c>
      <c r="AD1095">
        <f ca="1">IF(V32="Supercritical",L1095,IF(V32="Subcritical",U1095,IF(AND(T1095=1,AC1095=1),IF((((F1095)*(L1095)^2)/2+(G1095)*(L1095)^3/3+(ABS(K1095)^2)/($I$5*MAX(((F1095)+(G1095)*(L1095))*(L1095),0.000001)))&gt;=(((F1095)*(U1095)^2)/2+(G1095)*(U1095)^3/3+(ABS(K1095)^2)/($I$5*MAX(((F1095)+(G1095)*(U1095))*(U1095),0.000001))),L1095,U1095),IF(T1095=1,L1095,IF(AC1095=1,U1095,MAX($D$16,POWER((ABS(K1095)^2)/($I$5*MAX(F1095,0.1)^2),1/3)))))))</f>
        <v>51800.26683766341</v>
      </c>
      <c r="AE1095">
        <f t="shared" ca="1" si="467"/>
        <v>52432.356337663412</v>
      </c>
      <c r="AF1095">
        <f t="shared" ca="1" si="468"/>
        <v>52432.356337665238</v>
      </c>
      <c r="AI1095">
        <v>0</v>
      </c>
      <c r="AJ1095">
        <v>0</v>
      </c>
      <c r="AK1095">
        <f t="shared" si="469"/>
        <v>0</v>
      </c>
      <c r="AL1095">
        <f t="shared" si="478"/>
        <v>0</v>
      </c>
      <c r="AM1095">
        <f t="shared" ca="1" si="470"/>
        <v>2.6560383008097266E-7</v>
      </c>
      <c r="AN1095" t="str">
        <f t="shared" ca="1" si="471"/>
        <v>Subcritical</v>
      </c>
      <c r="AO1095">
        <f t="shared" ca="1" si="472"/>
        <v>2.2562304480281055E-12</v>
      </c>
    </row>
    <row r="1096" spans="1:41" x14ac:dyDescent="0.35">
      <c r="A1096">
        <v>947</v>
      </c>
      <c r="B1096">
        <v>945.88900000000001</v>
      </c>
      <c r="C1096">
        <v>616083.44799999997</v>
      </c>
      <c r="D1096">
        <v>3097058.0010000002</v>
      </c>
      <c r="E1096">
        <v>632.08900000000006</v>
      </c>
      <c r="F1096">
        <v>5.2</v>
      </c>
      <c r="G1096">
        <v>0</v>
      </c>
      <c r="H1096" t="s">
        <v>186</v>
      </c>
      <c r="I1096">
        <v>2E-3</v>
      </c>
      <c r="J1096">
        <f t="shared" si="473"/>
        <v>1</v>
      </c>
      <c r="K1096">
        <f t="shared" si="474"/>
        <v>51</v>
      </c>
      <c r="L1096">
        <f t="shared" ca="1" si="475"/>
        <v>51797.843837663619</v>
      </c>
      <c r="M1096">
        <f t="shared" ca="1" si="452"/>
        <v>269348.78795585083</v>
      </c>
      <c r="N1096">
        <f t="shared" ca="1" si="453"/>
        <v>2.5998694991876676</v>
      </c>
      <c r="O1096">
        <f t="shared" ca="1" si="454"/>
        <v>1.8934557080078435E-4</v>
      </c>
      <c r="P1096">
        <f t="shared" ca="1" si="455"/>
        <v>52429.932837663619</v>
      </c>
      <c r="Q1096">
        <f t="shared" ca="1" si="456"/>
        <v>52429.932837665445</v>
      </c>
      <c r="R1096">
        <f t="shared" ca="1" si="457"/>
        <v>2.2564415439646509E-12</v>
      </c>
      <c r="S1096">
        <f t="shared" ca="1" si="476"/>
        <v>5.0000000192085281E-4</v>
      </c>
      <c r="T1096">
        <f t="shared" ca="1" si="477"/>
        <v>1</v>
      </c>
      <c r="U1096">
        <f t="shared" ca="1" si="458"/>
        <v>51800.26683766341</v>
      </c>
      <c r="V1096">
        <f t="shared" ca="1" si="459"/>
        <v>269361.38755584974</v>
      </c>
      <c r="W1096">
        <f t="shared" ca="1" si="460"/>
        <v>2.5998695052916441</v>
      </c>
      <c r="X1096">
        <f t="shared" ca="1" si="461"/>
        <v>1.8933671400629237E-4</v>
      </c>
      <c r="Y1096">
        <f t="shared" ca="1" si="462"/>
        <v>52432.35583766341</v>
      </c>
      <c r="Z1096">
        <f t="shared" ca="1" si="463"/>
        <v>52432.355837665236</v>
      </c>
      <c r="AA1096">
        <f t="shared" ca="1" si="464"/>
        <v>2.2562304480281055E-12</v>
      </c>
      <c r="AB1096">
        <f t="shared" ca="1" si="465"/>
        <v>-5.0000000192085281E-4</v>
      </c>
      <c r="AC1096">
        <f t="shared" ca="1" si="466"/>
        <v>1</v>
      </c>
      <c r="AD1096">
        <f ca="1">IF(V32="Supercritical",L1096,IF(V32="Subcritical",U1096,IF(AND(T1096=1,AC1096=1),IF((((F1096)*(L1096)^2)/2+(G1096)*(L1096)^3/3+(ABS(K1096)^2)/($I$5*MAX(((F1096)+(G1096)*(L1096))*(L1096),0.000001)))&gt;=(((F1096)*(U1096)^2)/2+(G1096)*(U1096)^3/3+(ABS(K1096)^2)/($I$5*MAX(((F1096)+(G1096)*(U1096))*(U1096),0.000001))),L1096,U1096),IF(T1096=1,L1096,IF(AC1096=1,U1096,MAX($D$16,POWER((ABS(K1096)^2)/($I$5*MAX(F1096,0.1)^2),1/3)))))))</f>
        <v>51800.26683766341</v>
      </c>
      <c r="AE1096">
        <f t="shared" ca="1" si="467"/>
        <v>52432.35583766341</v>
      </c>
      <c r="AF1096">
        <f t="shared" ca="1" si="468"/>
        <v>52432.355837665236</v>
      </c>
      <c r="AI1096">
        <v>0</v>
      </c>
      <c r="AJ1096">
        <v>0</v>
      </c>
      <c r="AK1096">
        <f t="shared" si="469"/>
        <v>0</v>
      </c>
      <c r="AL1096">
        <f t="shared" si="478"/>
        <v>0</v>
      </c>
      <c r="AM1096">
        <f t="shared" ca="1" si="470"/>
        <v>2.6560383008097266E-7</v>
      </c>
      <c r="AN1096" t="str">
        <f t="shared" ca="1" si="471"/>
        <v>Subcritical</v>
      </c>
      <c r="AO1096">
        <f t="shared" ca="1" si="472"/>
        <v>2.2562304480281055E-12</v>
      </c>
    </row>
    <row r="1097" spans="1:41" x14ac:dyDescent="0.35">
      <c r="A1097">
        <v>948</v>
      </c>
      <c r="B1097">
        <v>946.89</v>
      </c>
      <c r="C1097">
        <v>616083.40599999996</v>
      </c>
      <c r="D1097">
        <v>3097057.0010000002</v>
      </c>
      <c r="E1097">
        <v>632.08849999999995</v>
      </c>
      <c r="F1097">
        <v>5.2</v>
      </c>
      <c r="G1097">
        <v>0</v>
      </c>
      <c r="H1097" t="s">
        <v>186</v>
      </c>
      <c r="I1097">
        <v>0.06</v>
      </c>
      <c r="J1097">
        <f t="shared" si="473"/>
        <v>1.0009999999999764</v>
      </c>
      <c r="K1097">
        <f t="shared" si="474"/>
        <v>51</v>
      </c>
      <c r="L1097">
        <f t="shared" ca="1" si="475"/>
        <v>51797.843837663619</v>
      </c>
      <c r="M1097">
        <f t="shared" ca="1" si="452"/>
        <v>269348.78795585083</v>
      </c>
      <c r="N1097">
        <f t="shared" ca="1" si="453"/>
        <v>2.5998694991876676</v>
      </c>
      <c r="O1097">
        <f t="shared" ca="1" si="454"/>
        <v>1.8934557080078435E-4</v>
      </c>
      <c r="P1097">
        <f t="shared" ca="1" si="455"/>
        <v>52429.932337663617</v>
      </c>
      <c r="Q1097">
        <f t="shared" ca="1" si="456"/>
        <v>52429.932337665443</v>
      </c>
      <c r="R1097">
        <f t="shared" ca="1" si="457"/>
        <v>2.2564415439646509E-12</v>
      </c>
      <c r="S1097">
        <f t="shared" ca="1" si="476"/>
        <v>5.0000000192085281E-4</v>
      </c>
      <c r="T1097">
        <f t="shared" ca="1" si="477"/>
        <v>1</v>
      </c>
      <c r="U1097">
        <f t="shared" ca="1" si="458"/>
        <v>51800.26683766341</v>
      </c>
      <c r="V1097">
        <f t="shared" ca="1" si="459"/>
        <v>269361.38755584974</v>
      </c>
      <c r="W1097">
        <f t="shared" ca="1" si="460"/>
        <v>2.5998695052916441</v>
      </c>
      <c r="X1097">
        <f t="shared" ca="1" si="461"/>
        <v>1.8933671400629237E-4</v>
      </c>
      <c r="Y1097">
        <f t="shared" ca="1" si="462"/>
        <v>52432.355337663408</v>
      </c>
      <c r="Z1097">
        <f t="shared" ca="1" si="463"/>
        <v>52432.355337665234</v>
      </c>
      <c r="AA1097">
        <f t="shared" ca="1" si="464"/>
        <v>2.2562304480281055E-12</v>
      </c>
      <c r="AB1097">
        <f t="shared" ca="1" si="465"/>
        <v>-4.999999946448952E-4</v>
      </c>
      <c r="AC1097">
        <f t="shared" ca="1" si="466"/>
        <v>1</v>
      </c>
      <c r="AD1097">
        <f ca="1">IF(V32="Supercritical",L1097,IF(V32="Subcritical",U1097,IF(AND(T1097=1,AC1097=1),IF((((F1097)*(L1097)^2)/2+(G1097)*(L1097)^3/3+(ABS(K1097)^2)/($I$5*MAX(((F1097)+(G1097)*(L1097))*(L1097),0.000001)))&gt;=(((F1097)*(U1097)^2)/2+(G1097)*(U1097)^3/3+(ABS(K1097)^2)/($I$5*MAX(((F1097)+(G1097)*(U1097))*(U1097),0.000001))),L1097,U1097),IF(T1097=1,L1097,IF(AC1097=1,U1097,MAX($D$16,POWER((ABS(K1097)^2)/($I$5*MAX(F1097,0.1)^2),1/3)))))))</f>
        <v>51800.26683766341</v>
      </c>
      <c r="AE1097">
        <f t="shared" ca="1" si="467"/>
        <v>52432.355337663408</v>
      </c>
      <c r="AF1097">
        <f t="shared" ca="1" si="468"/>
        <v>52432.355337665234</v>
      </c>
      <c r="AI1097">
        <v>0</v>
      </c>
      <c r="AJ1097">
        <v>0</v>
      </c>
      <c r="AK1097">
        <f t="shared" si="469"/>
        <v>0</v>
      </c>
      <c r="AL1097">
        <f t="shared" si="478"/>
        <v>0</v>
      </c>
      <c r="AM1097">
        <f t="shared" ca="1" si="470"/>
        <v>2.6560383008097266E-7</v>
      </c>
      <c r="AN1097" t="str">
        <f t="shared" ca="1" si="471"/>
        <v>Subcritical</v>
      </c>
      <c r="AO1097">
        <f t="shared" ca="1" si="472"/>
        <v>2.2562304480281055E-12</v>
      </c>
    </row>
    <row r="1098" spans="1:41" x14ac:dyDescent="0.35">
      <c r="A1098">
        <v>949</v>
      </c>
      <c r="B1098">
        <v>947.89</v>
      </c>
      <c r="C1098">
        <v>616083.36300000001</v>
      </c>
      <c r="D1098">
        <v>3097056.0019999999</v>
      </c>
      <c r="E1098">
        <v>632.08799999999997</v>
      </c>
      <c r="F1098">
        <v>5.2</v>
      </c>
      <c r="G1098">
        <v>0</v>
      </c>
      <c r="H1098" t="s">
        <v>186</v>
      </c>
      <c r="I1098">
        <v>5.7000000000000002E-2</v>
      </c>
      <c r="J1098">
        <f t="shared" si="473"/>
        <v>1</v>
      </c>
      <c r="K1098">
        <f t="shared" si="474"/>
        <v>51</v>
      </c>
      <c r="L1098">
        <f t="shared" ca="1" si="475"/>
        <v>51797.843837663619</v>
      </c>
      <c r="M1098">
        <f t="shared" ca="1" si="452"/>
        <v>269348.78795585083</v>
      </c>
      <c r="N1098">
        <f t="shared" ca="1" si="453"/>
        <v>2.5998694991876676</v>
      </c>
      <c r="O1098">
        <f t="shared" ca="1" si="454"/>
        <v>1.8934557080078435E-4</v>
      </c>
      <c r="P1098">
        <f t="shared" ca="1" si="455"/>
        <v>52429.931837663622</v>
      </c>
      <c r="Q1098">
        <f t="shared" ca="1" si="456"/>
        <v>52429.931837665448</v>
      </c>
      <c r="R1098">
        <f t="shared" ca="1" si="457"/>
        <v>2.2564415439646509E-12</v>
      </c>
      <c r="S1098">
        <f t="shared" ca="1" si="476"/>
        <v>4.999999946448952E-4</v>
      </c>
      <c r="T1098">
        <f t="shared" ca="1" si="477"/>
        <v>1</v>
      </c>
      <c r="U1098">
        <f t="shared" ca="1" si="458"/>
        <v>51800.26683766341</v>
      </c>
      <c r="V1098">
        <f t="shared" ca="1" si="459"/>
        <v>269361.38755584974</v>
      </c>
      <c r="W1098">
        <f t="shared" ca="1" si="460"/>
        <v>2.5998695052916441</v>
      </c>
      <c r="X1098">
        <f t="shared" ca="1" si="461"/>
        <v>1.8933671400629237E-4</v>
      </c>
      <c r="Y1098">
        <f t="shared" ca="1" si="462"/>
        <v>52432.354837663413</v>
      </c>
      <c r="Z1098">
        <f t="shared" ca="1" si="463"/>
        <v>52432.35483766524</v>
      </c>
      <c r="AA1098">
        <f t="shared" ca="1" si="464"/>
        <v>2.2562304480281055E-12</v>
      </c>
      <c r="AB1098">
        <f t="shared" ca="1" si="465"/>
        <v>-5.0000000192085281E-4</v>
      </c>
      <c r="AC1098">
        <f t="shared" ca="1" si="466"/>
        <v>1</v>
      </c>
      <c r="AD1098">
        <f ca="1">IF(V32="Supercritical",L1098,IF(V32="Subcritical",U1098,IF(AND(T1098=1,AC1098=1),IF((((F1098)*(L1098)^2)/2+(G1098)*(L1098)^3/3+(ABS(K1098)^2)/($I$5*MAX(((F1098)+(G1098)*(L1098))*(L1098),0.000001)))&gt;=(((F1098)*(U1098)^2)/2+(G1098)*(U1098)^3/3+(ABS(K1098)^2)/($I$5*MAX(((F1098)+(G1098)*(U1098))*(U1098),0.000001))),L1098,U1098),IF(T1098=1,L1098,IF(AC1098=1,U1098,MAX($D$16,POWER((ABS(K1098)^2)/($I$5*MAX(F1098,0.1)^2),1/3)))))))</f>
        <v>51800.26683766341</v>
      </c>
      <c r="AE1098">
        <f t="shared" ca="1" si="467"/>
        <v>52432.354837663413</v>
      </c>
      <c r="AF1098">
        <f t="shared" ca="1" si="468"/>
        <v>52432.35483766524</v>
      </c>
      <c r="AI1098">
        <v>0</v>
      </c>
      <c r="AJ1098">
        <v>0</v>
      </c>
      <c r="AK1098">
        <f t="shared" si="469"/>
        <v>0</v>
      </c>
      <c r="AL1098">
        <f t="shared" si="478"/>
        <v>0</v>
      </c>
      <c r="AM1098">
        <f t="shared" ca="1" si="470"/>
        <v>2.6560383008097266E-7</v>
      </c>
      <c r="AN1098" t="str">
        <f t="shared" ca="1" si="471"/>
        <v>Subcritical</v>
      </c>
      <c r="AO1098">
        <f t="shared" ca="1" si="472"/>
        <v>2.2562304480281055E-12</v>
      </c>
    </row>
    <row r="1099" spans="1:41" x14ac:dyDescent="0.35">
      <c r="A1099">
        <v>950</v>
      </c>
      <c r="B1099">
        <v>948.88900000000001</v>
      </c>
      <c r="C1099">
        <v>616083.321</v>
      </c>
      <c r="D1099">
        <v>3097055.003</v>
      </c>
      <c r="E1099">
        <v>632.08749999999998</v>
      </c>
      <c r="F1099">
        <v>5.2</v>
      </c>
      <c r="G1099">
        <v>0</v>
      </c>
      <c r="H1099" t="s">
        <v>186</v>
      </c>
      <c r="I1099">
        <v>0</v>
      </c>
      <c r="J1099">
        <f t="shared" si="473"/>
        <v>0.99900000000002365</v>
      </c>
      <c r="K1099">
        <f t="shared" si="474"/>
        <v>51</v>
      </c>
      <c r="L1099">
        <f t="shared" ca="1" si="475"/>
        <v>51797.843837663619</v>
      </c>
      <c r="M1099">
        <f t="shared" ca="1" si="452"/>
        <v>269348.78795585083</v>
      </c>
      <c r="N1099">
        <f t="shared" ca="1" si="453"/>
        <v>2.5998694991876676</v>
      </c>
      <c r="O1099">
        <f t="shared" ca="1" si="454"/>
        <v>1.8934557080078435E-4</v>
      </c>
      <c r="P1099">
        <f t="shared" ca="1" si="455"/>
        <v>52429.93133766362</v>
      </c>
      <c r="Q1099">
        <f t="shared" ca="1" si="456"/>
        <v>52429.931337665446</v>
      </c>
      <c r="R1099">
        <f t="shared" ca="1" si="457"/>
        <v>2.2564415439646509E-12</v>
      </c>
      <c r="S1099">
        <f t="shared" ca="1" si="476"/>
        <v>5.0000000192085281E-4</v>
      </c>
      <c r="T1099">
        <f t="shared" ca="1" si="477"/>
        <v>1</v>
      </c>
      <c r="U1099">
        <f t="shared" ca="1" si="458"/>
        <v>51800.26683766341</v>
      </c>
      <c r="V1099">
        <f t="shared" ca="1" si="459"/>
        <v>269361.38755584974</v>
      </c>
      <c r="W1099">
        <f t="shared" ca="1" si="460"/>
        <v>2.5998695052916441</v>
      </c>
      <c r="X1099">
        <f t="shared" ca="1" si="461"/>
        <v>1.8933671400629237E-4</v>
      </c>
      <c r="Y1099">
        <f t="shared" ca="1" si="462"/>
        <v>52432.354337663412</v>
      </c>
      <c r="Z1099">
        <f t="shared" ca="1" si="463"/>
        <v>52432.354337665238</v>
      </c>
      <c r="AA1099">
        <f t="shared" ca="1" si="464"/>
        <v>2.2562304480281055E-12</v>
      </c>
      <c r="AB1099">
        <f t="shared" ca="1" si="465"/>
        <v>-5.0000000192085281E-4</v>
      </c>
      <c r="AC1099">
        <f t="shared" ca="1" si="466"/>
        <v>1</v>
      </c>
      <c r="AD1099">
        <f ca="1">IF(V32="Supercritical",L1099,IF(V32="Subcritical",U1099,IF(AND(T1099=1,AC1099=1),IF((((F1099)*(L1099)^2)/2+(G1099)*(L1099)^3/3+(ABS(K1099)^2)/($I$5*MAX(((F1099)+(G1099)*(L1099))*(L1099),0.000001)))&gt;=(((F1099)*(U1099)^2)/2+(G1099)*(U1099)^3/3+(ABS(K1099)^2)/($I$5*MAX(((F1099)+(G1099)*(U1099))*(U1099),0.000001))),L1099,U1099),IF(T1099=1,L1099,IF(AC1099=1,U1099,MAX($D$16,POWER((ABS(K1099)^2)/($I$5*MAX(F1099,0.1)^2),1/3)))))))</f>
        <v>51800.26683766341</v>
      </c>
      <c r="AE1099">
        <f t="shared" ca="1" si="467"/>
        <v>52432.354337663412</v>
      </c>
      <c r="AF1099">
        <f t="shared" ca="1" si="468"/>
        <v>52432.354337665238</v>
      </c>
      <c r="AI1099">
        <v>0</v>
      </c>
      <c r="AJ1099">
        <v>0</v>
      </c>
      <c r="AK1099">
        <f t="shared" si="469"/>
        <v>0</v>
      </c>
      <c r="AL1099">
        <f t="shared" si="478"/>
        <v>0</v>
      </c>
      <c r="AM1099">
        <f t="shared" ca="1" si="470"/>
        <v>2.6560383008097266E-7</v>
      </c>
      <c r="AN1099" t="str">
        <f t="shared" ca="1" si="471"/>
        <v>Subcritical</v>
      </c>
      <c r="AO1099">
        <f t="shared" ca="1" si="472"/>
        <v>2.2562304480281055E-12</v>
      </c>
    </row>
    <row r="1100" spans="1:41" x14ac:dyDescent="0.35">
      <c r="A1100">
        <v>951</v>
      </c>
      <c r="B1100">
        <v>949.88900000000001</v>
      </c>
      <c r="C1100">
        <v>616083.27899999998</v>
      </c>
      <c r="D1100">
        <v>3097054.0040000002</v>
      </c>
      <c r="E1100">
        <v>632.08699999999999</v>
      </c>
      <c r="F1100">
        <v>5.2</v>
      </c>
      <c r="G1100">
        <v>0</v>
      </c>
      <c r="H1100" t="s">
        <v>186</v>
      </c>
      <c r="I1100">
        <v>0</v>
      </c>
      <c r="J1100">
        <f t="shared" si="473"/>
        <v>1</v>
      </c>
      <c r="K1100">
        <f t="shared" si="474"/>
        <v>51</v>
      </c>
      <c r="L1100">
        <f t="shared" ca="1" si="475"/>
        <v>51797.843837663619</v>
      </c>
      <c r="M1100">
        <f t="shared" ca="1" si="452"/>
        <v>269348.78795585083</v>
      </c>
      <c r="N1100">
        <f t="shared" ca="1" si="453"/>
        <v>2.5998694991876676</v>
      </c>
      <c r="O1100">
        <f t="shared" ca="1" si="454"/>
        <v>1.8934557080078435E-4</v>
      </c>
      <c r="P1100">
        <f t="shared" ca="1" si="455"/>
        <v>52429.930837663618</v>
      </c>
      <c r="Q1100">
        <f t="shared" ca="1" si="456"/>
        <v>52429.930837665444</v>
      </c>
      <c r="R1100">
        <f t="shared" ca="1" si="457"/>
        <v>2.2564415439646509E-12</v>
      </c>
      <c r="S1100">
        <f t="shared" ca="1" si="476"/>
        <v>5.0000000192085281E-4</v>
      </c>
      <c r="T1100">
        <f t="shared" ca="1" si="477"/>
        <v>1</v>
      </c>
      <c r="U1100">
        <f t="shared" ca="1" si="458"/>
        <v>51800.26683766341</v>
      </c>
      <c r="V1100">
        <f t="shared" ca="1" si="459"/>
        <v>269361.38755584974</v>
      </c>
      <c r="W1100">
        <f t="shared" ca="1" si="460"/>
        <v>2.5998695052916441</v>
      </c>
      <c r="X1100">
        <f t="shared" ca="1" si="461"/>
        <v>1.8933671400629237E-4</v>
      </c>
      <c r="Y1100">
        <f t="shared" ca="1" si="462"/>
        <v>52432.35383766341</v>
      </c>
      <c r="Z1100">
        <f t="shared" ca="1" si="463"/>
        <v>52432.353837665236</v>
      </c>
      <c r="AA1100">
        <f t="shared" ca="1" si="464"/>
        <v>2.2562304480281055E-12</v>
      </c>
      <c r="AB1100">
        <f t="shared" ca="1" si="465"/>
        <v>-5.0000000192085281E-4</v>
      </c>
      <c r="AC1100">
        <f t="shared" ca="1" si="466"/>
        <v>1</v>
      </c>
      <c r="AD1100">
        <f ca="1">IF(V32="Supercritical",L1100,IF(V32="Subcritical",U1100,IF(AND(T1100=1,AC1100=1),IF((((F1100)*(L1100)^2)/2+(G1100)*(L1100)^3/3+(ABS(K1100)^2)/($I$5*MAX(((F1100)+(G1100)*(L1100))*(L1100),0.000001)))&gt;=(((F1100)*(U1100)^2)/2+(G1100)*(U1100)^3/3+(ABS(K1100)^2)/($I$5*MAX(((F1100)+(G1100)*(U1100))*(U1100),0.000001))),L1100,U1100),IF(T1100=1,L1100,IF(AC1100=1,U1100,MAX($D$16,POWER((ABS(K1100)^2)/($I$5*MAX(F1100,0.1)^2),1/3)))))))</f>
        <v>51800.26683766341</v>
      </c>
      <c r="AE1100">
        <f t="shared" ca="1" si="467"/>
        <v>52432.35383766341</v>
      </c>
      <c r="AF1100">
        <f t="shared" ca="1" si="468"/>
        <v>52432.353837665236</v>
      </c>
      <c r="AI1100">
        <v>0</v>
      </c>
      <c r="AJ1100">
        <v>0</v>
      </c>
      <c r="AK1100">
        <f t="shared" si="469"/>
        <v>0</v>
      </c>
      <c r="AL1100">
        <f t="shared" si="478"/>
        <v>0</v>
      </c>
      <c r="AM1100">
        <f t="shared" ca="1" si="470"/>
        <v>2.6560383008097266E-7</v>
      </c>
      <c r="AN1100" t="str">
        <f t="shared" ca="1" si="471"/>
        <v>Subcritical</v>
      </c>
      <c r="AO1100">
        <f t="shared" ca="1" si="472"/>
        <v>2.2562304480281055E-12</v>
      </c>
    </row>
    <row r="1101" spans="1:41" x14ac:dyDescent="0.35">
      <c r="A1101">
        <v>952</v>
      </c>
      <c r="B1101">
        <v>950.88900000000001</v>
      </c>
      <c r="C1101">
        <v>616083.23699999996</v>
      </c>
      <c r="D1101">
        <v>3097053.0049999999</v>
      </c>
      <c r="E1101">
        <v>632.0865</v>
      </c>
      <c r="F1101">
        <v>5.2</v>
      </c>
      <c r="G1101">
        <v>0</v>
      </c>
      <c r="H1101" t="s">
        <v>186</v>
      </c>
      <c r="I1101">
        <v>5.7000000000000002E-2</v>
      </c>
      <c r="J1101">
        <f t="shared" si="473"/>
        <v>1</v>
      </c>
      <c r="K1101">
        <f t="shared" si="474"/>
        <v>51</v>
      </c>
      <c r="L1101">
        <f t="shared" ca="1" si="475"/>
        <v>51797.843837663619</v>
      </c>
      <c r="M1101">
        <f t="shared" ca="1" si="452"/>
        <v>269348.78795585083</v>
      </c>
      <c r="N1101">
        <f t="shared" ca="1" si="453"/>
        <v>2.5998694991876676</v>
      </c>
      <c r="O1101">
        <f t="shared" ca="1" si="454"/>
        <v>1.8934557080078435E-4</v>
      </c>
      <c r="P1101">
        <f t="shared" ca="1" si="455"/>
        <v>52429.930337663616</v>
      </c>
      <c r="Q1101">
        <f t="shared" ca="1" si="456"/>
        <v>52429.930337665442</v>
      </c>
      <c r="R1101">
        <f t="shared" ca="1" si="457"/>
        <v>2.2564415439646509E-12</v>
      </c>
      <c r="S1101">
        <f t="shared" ca="1" si="476"/>
        <v>5.0000000192085281E-4</v>
      </c>
      <c r="T1101">
        <f t="shared" ca="1" si="477"/>
        <v>1</v>
      </c>
      <c r="U1101">
        <f t="shared" ca="1" si="458"/>
        <v>51800.26683766341</v>
      </c>
      <c r="V1101">
        <f t="shared" ca="1" si="459"/>
        <v>269361.38755584974</v>
      </c>
      <c r="W1101">
        <f t="shared" ca="1" si="460"/>
        <v>2.5998695052916441</v>
      </c>
      <c r="X1101">
        <f t="shared" ca="1" si="461"/>
        <v>1.8933671400629237E-4</v>
      </c>
      <c r="Y1101">
        <f t="shared" ca="1" si="462"/>
        <v>52432.353337663408</v>
      </c>
      <c r="Z1101">
        <f t="shared" ca="1" si="463"/>
        <v>52432.353337665234</v>
      </c>
      <c r="AA1101">
        <f t="shared" ca="1" si="464"/>
        <v>2.2562304480281055E-12</v>
      </c>
      <c r="AB1101">
        <f t="shared" ca="1" si="465"/>
        <v>-4.999999946448952E-4</v>
      </c>
      <c r="AC1101">
        <f t="shared" ca="1" si="466"/>
        <v>1</v>
      </c>
      <c r="AD1101">
        <f ca="1">IF(V32="Supercritical",L1101,IF(V32="Subcritical",U1101,IF(AND(T1101=1,AC1101=1),IF((((F1101)*(L1101)^2)/2+(G1101)*(L1101)^3/3+(ABS(K1101)^2)/($I$5*MAX(((F1101)+(G1101)*(L1101))*(L1101),0.000001)))&gt;=(((F1101)*(U1101)^2)/2+(G1101)*(U1101)^3/3+(ABS(K1101)^2)/($I$5*MAX(((F1101)+(G1101)*(U1101))*(U1101),0.000001))),L1101,U1101),IF(T1101=1,L1101,IF(AC1101=1,U1101,MAX($D$16,POWER((ABS(K1101)^2)/($I$5*MAX(F1101,0.1)^2),1/3)))))))</f>
        <v>51800.26683766341</v>
      </c>
      <c r="AE1101">
        <f t="shared" ca="1" si="467"/>
        <v>52432.353337663408</v>
      </c>
      <c r="AF1101">
        <f t="shared" ca="1" si="468"/>
        <v>52432.353337665234</v>
      </c>
      <c r="AI1101">
        <v>0</v>
      </c>
      <c r="AJ1101">
        <v>0</v>
      </c>
      <c r="AK1101">
        <f t="shared" si="469"/>
        <v>0</v>
      </c>
      <c r="AL1101">
        <f t="shared" si="478"/>
        <v>0</v>
      </c>
      <c r="AM1101">
        <f t="shared" ca="1" si="470"/>
        <v>2.6560383008097266E-7</v>
      </c>
      <c r="AN1101" t="str">
        <f t="shared" ca="1" si="471"/>
        <v>Subcritical</v>
      </c>
      <c r="AO1101">
        <f t="shared" ca="1" si="472"/>
        <v>2.2562304480281055E-12</v>
      </c>
    </row>
    <row r="1102" spans="1:41" x14ac:dyDescent="0.35">
      <c r="A1102">
        <v>953</v>
      </c>
      <c r="B1102">
        <v>951.88900000000001</v>
      </c>
      <c r="C1102">
        <v>616083.19400000002</v>
      </c>
      <c r="D1102">
        <v>3097052.0060000001</v>
      </c>
      <c r="E1102">
        <v>632.08600000000001</v>
      </c>
      <c r="F1102">
        <v>5.2</v>
      </c>
      <c r="G1102">
        <v>0</v>
      </c>
      <c r="H1102" t="s">
        <v>186</v>
      </c>
      <c r="I1102">
        <v>5.7000000000000002E-2</v>
      </c>
      <c r="J1102">
        <f t="shared" si="473"/>
        <v>1</v>
      </c>
      <c r="K1102">
        <f t="shared" si="474"/>
        <v>51</v>
      </c>
      <c r="L1102">
        <f t="shared" ca="1" si="475"/>
        <v>51797.843837663619</v>
      </c>
      <c r="M1102">
        <f t="shared" ca="1" si="452"/>
        <v>269348.78795585083</v>
      </c>
      <c r="N1102">
        <f t="shared" ca="1" si="453"/>
        <v>2.5998694991876676</v>
      </c>
      <c r="O1102">
        <f t="shared" ca="1" si="454"/>
        <v>1.8934557080078435E-4</v>
      </c>
      <c r="P1102">
        <f t="shared" ca="1" si="455"/>
        <v>52429.929837663622</v>
      </c>
      <c r="Q1102">
        <f t="shared" ca="1" si="456"/>
        <v>52429.929837665448</v>
      </c>
      <c r="R1102">
        <f t="shared" ca="1" si="457"/>
        <v>2.2564415439646509E-12</v>
      </c>
      <c r="S1102">
        <f t="shared" ca="1" si="476"/>
        <v>4.999999946448952E-4</v>
      </c>
      <c r="T1102">
        <f t="shared" ca="1" si="477"/>
        <v>1</v>
      </c>
      <c r="U1102">
        <f t="shared" ca="1" si="458"/>
        <v>51800.26683766341</v>
      </c>
      <c r="V1102">
        <f t="shared" ca="1" si="459"/>
        <v>269361.38755584974</v>
      </c>
      <c r="W1102">
        <f t="shared" ca="1" si="460"/>
        <v>2.5998695052916441</v>
      </c>
      <c r="X1102">
        <f t="shared" ca="1" si="461"/>
        <v>1.8933671400629237E-4</v>
      </c>
      <c r="Y1102">
        <f t="shared" ca="1" si="462"/>
        <v>52432.352837663413</v>
      </c>
      <c r="Z1102">
        <f t="shared" ca="1" si="463"/>
        <v>52432.352837665239</v>
      </c>
      <c r="AA1102">
        <f t="shared" ca="1" si="464"/>
        <v>2.2562304480281055E-12</v>
      </c>
      <c r="AB1102">
        <f t="shared" ca="1" si="465"/>
        <v>-5.0000000192085281E-4</v>
      </c>
      <c r="AC1102">
        <f t="shared" ca="1" si="466"/>
        <v>1</v>
      </c>
      <c r="AD1102">
        <f ca="1">IF(V32="Supercritical",L1102,IF(V32="Subcritical",U1102,IF(AND(T1102=1,AC1102=1),IF((((F1102)*(L1102)^2)/2+(G1102)*(L1102)^3/3+(ABS(K1102)^2)/($I$5*MAX(((F1102)+(G1102)*(L1102))*(L1102),0.000001)))&gt;=(((F1102)*(U1102)^2)/2+(G1102)*(U1102)^3/3+(ABS(K1102)^2)/($I$5*MAX(((F1102)+(G1102)*(U1102))*(U1102),0.000001))),L1102,U1102),IF(T1102=1,L1102,IF(AC1102=1,U1102,MAX($D$16,POWER((ABS(K1102)^2)/($I$5*MAX(F1102,0.1)^2),1/3)))))))</f>
        <v>51800.26683766341</v>
      </c>
      <c r="AE1102">
        <f t="shared" ca="1" si="467"/>
        <v>52432.352837663413</v>
      </c>
      <c r="AF1102">
        <f t="shared" ca="1" si="468"/>
        <v>52432.352837665239</v>
      </c>
      <c r="AI1102">
        <v>0</v>
      </c>
      <c r="AJ1102">
        <v>0</v>
      </c>
      <c r="AK1102">
        <f t="shared" si="469"/>
        <v>0</v>
      </c>
      <c r="AL1102">
        <f t="shared" si="478"/>
        <v>0</v>
      </c>
      <c r="AM1102">
        <f t="shared" ca="1" si="470"/>
        <v>2.6560383008097266E-7</v>
      </c>
      <c r="AN1102" t="str">
        <f t="shared" ca="1" si="471"/>
        <v>Subcritical</v>
      </c>
      <c r="AO1102">
        <f t="shared" ca="1" si="472"/>
        <v>2.2562304480281055E-12</v>
      </c>
    </row>
    <row r="1103" spans="1:41" x14ac:dyDescent="0.35">
      <c r="A1103">
        <v>954</v>
      </c>
      <c r="B1103">
        <v>952.88900000000001</v>
      </c>
      <c r="C1103">
        <v>616083.152</v>
      </c>
      <c r="D1103">
        <v>3097051.0070000002</v>
      </c>
      <c r="E1103">
        <v>632.08550000000002</v>
      </c>
      <c r="F1103">
        <v>5.2</v>
      </c>
      <c r="G1103">
        <v>0</v>
      </c>
      <c r="H1103" t="s">
        <v>186</v>
      </c>
      <c r="I1103">
        <v>0</v>
      </c>
      <c r="J1103">
        <f t="shared" si="473"/>
        <v>1</v>
      </c>
      <c r="K1103">
        <f t="shared" si="474"/>
        <v>51</v>
      </c>
      <c r="L1103">
        <f t="shared" ca="1" si="475"/>
        <v>51797.843837663619</v>
      </c>
      <c r="M1103">
        <f t="shared" ca="1" si="452"/>
        <v>269348.78795585083</v>
      </c>
      <c r="N1103">
        <f t="shared" ca="1" si="453"/>
        <v>2.5998694991876676</v>
      </c>
      <c r="O1103">
        <f t="shared" ca="1" si="454"/>
        <v>1.8934557080078435E-4</v>
      </c>
      <c r="P1103">
        <f t="shared" ca="1" si="455"/>
        <v>52429.92933766362</v>
      </c>
      <c r="Q1103">
        <f t="shared" ca="1" si="456"/>
        <v>52429.929337665446</v>
      </c>
      <c r="R1103">
        <f t="shared" ca="1" si="457"/>
        <v>2.2564415439646509E-12</v>
      </c>
      <c r="S1103">
        <f t="shared" ca="1" si="476"/>
        <v>5.0000000192085281E-4</v>
      </c>
      <c r="T1103">
        <f t="shared" ca="1" si="477"/>
        <v>1</v>
      </c>
      <c r="U1103">
        <f t="shared" ca="1" si="458"/>
        <v>51800.26683766341</v>
      </c>
      <c r="V1103">
        <f t="shared" ca="1" si="459"/>
        <v>269361.38755584974</v>
      </c>
      <c r="W1103">
        <f t="shared" ca="1" si="460"/>
        <v>2.5998695052916441</v>
      </c>
      <c r="X1103">
        <f t="shared" ca="1" si="461"/>
        <v>1.8933671400629237E-4</v>
      </c>
      <c r="Y1103">
        <f t="shared" ca="1" si="462"/>
        <v>52432.352337663411</v>
      </c>
      <c r="Z1103">
        <f t="shared" ca="1" si="463"/>
        <v>52432.352337665237</v>
      </c>
      <c r="AA1103">
        <f t="shared" ca="1" si="464"/>
        <v>2.2562304480281055E-12</v>
      </c>
      <c r="AB1103">
        <f t="shared" ca="1" si="465"/>
        <v>-5.0000000192085281E-4</v>
      </c>
      <c r="AC1103">
        <f t="shared" ca="1" si="466"/>
        <v>1</v>
      </c>
      <c r="AD1103">
        <f ca="1">IF(V32="Supercritical",L1103,IF(V32="Subcritical",U1103,IF(AND(T1103=1,AC1103=1),IF((((F1103)*(L1103)^2)/2+(G1103)*(L1103)^3/3+(ABS(K1103)^2)/($I$5*MAX(((F1103)+(G1103)*(L1103))*(L1103),0.000001)))&gt;=(((F1103)*(U1103)^2)/2+(G1103)*(U1103)^3/3+(ABS(K1103)^2)/($I$5*MAX(((F1103)+(G1103)*(U1103))*(U1103),0.000001))),L1103,U1103),IF(T1103=1,L1103,IF(AC1103=1,U1103,MAX($D$16,POWER((ABS(K1103)^2)/($I$5*MAX(F1103,0.1)^2),1/3)))))))</f>
        <v>51800.26683766341</v>
      </c>
      <c r="AE1103">
        <f t="shared" ca="1" si="467"/>
        <v>52432.352337663411</v>
      </c>
      <c r="AF1103">
        <f t="shared" ca="1" si="468"/>
        <v>52432.352337665237</v>
      </c>
      <c r="AI1103">
        <v>0</v>
      </c>
      <c r="AJ1103">
        <v>0</v>
      </c>
      <c r="AK1103">
        <f t="shared" si="469"/>
        <v>0</v>
      </c>
      <c r="AL1103">
        <f t="shared" si="478"/>
        <v>0</v>
      </c>
      <c r="AM1103">
        <f t="shared" ca="1" si="470"/>
        <v>2.6560383008097266E-7</v>
      </c>
      <c r="AN1103" t="str">
        <f t="shared" ca="1" si="471"/>
        <v>Subcritical</v>
      </c>
      <c r="AO1103">
        <f t="shared" ca="1" si="472"/>
        <v>2.2562304480281055E-12</v>
      </c>
    </row>
    <row r="1104" spans="1:41" x14ac:dyDescent="0.35">
      <c r="A1104">
        <v>955</v>
      </c>
      <c r="B1104">
        <v>953.88900000000001</v>
      </c>
      <c r="C1104">
        <v>616083.11</v>
      </c>
      <c r="D1104">
        <v>3097050.0079999999</v>
      </c>
      <c r="E1104">
        <v>632.08500000000004</v>
      </c>
      <c r="F1104">
        <v>5.2</v>
      </c>
      <c r="G1104">
        <v>0</v>
      </c>
      <c r="H1104" t="s">
        <v>186</v>
      </c>
      <c r="I1104">
        <v>0</v>
      </c>
      <c r="J1104">
        <f t="shared" si="473"/>
        <v>1</v>
      </c>
      <c r="K1104">
        <f t="shared" si="474"/>
        <v>51</v>
      </c>
      <c r="L1104">
        <f t="shared" ca="1" si="475"/>
        <v>51797.843837663619</v>
      </c>
      <c r="M1104">
        <f t="shared" ca="1" si="452"/>
        <v>269348.78795585083</v>
      </c>
      <c r="N1104">
        <f t="shared" ca="1" si="453"/>
        <v>2.5998694991876676</v>
      </c>
      <c r="O1104">
        <f t="shared" ca="1" si="454"/>
        <v>1.8934557080078435E-4</v>
      </c>
      <c r="P1104">
        <f t="shared" ca="1" si="455"/>
        <v>52429.928837663618</v>
      </c>
      <c r="Q1104">
        <f t="shared" ca="1" si="456"/>
        <v>52429.928837665444</v>
      </c>
      <c r="R1104">
        <f t="shared" ca="1" si="457"/>
        <v>2.2564415439646509E-12</v>
      </c>
      <c r="S1104">
        <f t="shared" ca="1" si="476"/>
        <v>5.0000000192085281E-4</v>
      </c>
      <c r="T1104">
        <f t="shared" ca="1" si="477"/>
        <v>1</v>
      </c>
      <c r="U1104">
        <f t="shared" ca="1" si="458"/>
        <v>51800.26683766341</v>
      </c>
      <c r="V1104">
        <f t="shared" ca="1" si="459"/>
        <v>269361.38755584974</v>
      </c>
      <c r="W1104">
        <f t="shared" ca="1" si="460"/>
        <v>2.5998695052916441</v>
      </c>
      <c r="X1104">
        <f t="shared" ca="1" si="461"/>
        <v>1.8933671400629237E-4</v>
      </c>
      <c r="Y1104">
        <f t="shared" ca="1" si="462"/>
        <v>52432.351837663409</v>
      </c>
      <c r="Z1104">
        <f t="shared" ca="1" si="463"/>
        <v>52432.351837665236</v>
      </c>
      <c r="AA1104">
        <f t="shared" ca="1" si="464"/>
        <v>2.2562304480281055E-12</v>
      </c>
      <c r="AB1104">
        <f t="shared" ca="1" si="465"/>
        <v>-5.0000000192085281E-4</v>
      </c>
      <c r="AC1104">
        <f t="shared" ca="1" si="466"/>
        <v>1</v>
      </c>
      <c r="AD1104">
        <f ca="1">IF(V32="Supercritical",L1104,IF(V32="Subcritical",U1104,IF(AND(T1104=1,AC1104=1),IF((((F1104)*(L1104)^2)/2+(G1104)*(L1104)^3/3+(ABS(K1104)^2)/($I$5*MAX(((F1104)+(G1104)*(L1104))*(L1104),0.000001)))&gt;=(((F1104)*(U1104)^2)/2+(G1104)*(U1104)^3/3+(ABS(K1104)^2)/($I$5*MAX(((F1104)+(G1104)*(U1104))*(U1104),0.000001))),L1104,U1104),IF(T1104=1,L1104,IF(AC1104=1,U1104,MAX($D$16,POWER((ABS(K1104)^2)/($I$5*MAX(F1104,0.1)^2),1/3)))))))</f>
        <v>51800.26683766341</v>
      </c>
      <c r="AE1104">
        <f t="shared" ca="1" si="467"/>
        <v>52432.351837663409</v>
      </c>
      <c r="AF1104">
        <f t="shared" ca="1" si="468"/>
        <v>52432.351837665236</v>
      </c>
      <c r="AI1104">
        <v>0</v>
      </c>
      <c r="AJ1104">
        <v>0</v>
      </c>
      <c r="AK1104">
        <f t="shared" si="469"/>
        <v>0</v>
      </c>
      <c r="AL1104">
        <f t="shared" si="478"/>
        <v>0</v>
      </c>
      <c r="AM1104">
        <f t="shared" ca="1" si="470"/>
        <v>2.6560383008097266E-7</v>
      </c>
      <c r="AN1104" t="str">
        <f t="shared" ca="1" si="471"/>
        <v>Subcritical</v>
      </c>
      <c r="AO1104">
        <f t="shared" ca="1" si="472"/>
        <v>2.2562304480281055E-12</v>
      </c>
    </row>
    <row r="1105" spans="1:41" x14ac:dyDescent="0.35">
      <c r="A1105">
        <v>956</v>
      </c>
      <c r="B1105">
        <v>954.88900000000001</v>
      </c>
      <c r="C1105">
        <v>616083.06799999997</v>
      </c>
      <c r="D1105">
        <v>3097049.0090000001</v>
      </c>
      <c r="E1105">
        <v>632.08450000000005</v>
      </c>
      <c r="F1105">
        <v>5.2</v>
      </c>
      <c r="G1105">
        <v>0</v>
      </c>
      <c r="H1105" t="s">
        <v>186</v>
      </c>
      <c r="I1105">
        <v>5.5E-2</v>
      </c>
      <c r="J1105">
        <f t="shared" si="473"/>
        <v>1</v>
      </c>
      <c r="K1105">
        <f t="shared" si="474"/>
        <v>51</v>
      </c>
      <c r="L1105">
        <f t="shared" ca="1" si="475"/>
        <v>51797.843837663619</v>
      </c>
      <c r="M1105">
        <f t="shared" ca="1" si="452"/>
        <v>269348.78795585083</v>
      </c>
      <c r="N1105">
        <f t="shared" ca="1" si="453"/>
        <v>2.5998694991876676</v>
      </c>
      <c r="O1105">
        <f t="shared" ca="1" si="454"/>
        <v>1.8934557080078435E-4</v>
      </c>
      <c r="P1105">
        <f t="shared" ca="1" si="455"/>
        <v>52429.928337663616</v>
      </c>
      <c r="Q1105">
        <f t="shared" ca="1" si="456"/>
        <v>52429.928337665442</v>
      </c>
      <c r="R1105">
        <f t="shared" ca="1" si="457"/>
        <v>2.2564415439646509E-12</v>
      </c>
      <c r="S1105">
        <f t="shared" ca="1" si="476"/>
        <v>5.0000000192085281E-4</v>
      </c>
      <c r="T1105">
        <f t="shared" ca="1" si="477"/>
        <v>1</v>
      </c>
      <c r="U1105">
        <f t="shared" ca="1" si="458"/>
        <v>51800.26683766341</v>
      </c>
      <c r="V1105">
        <f t="shared" ca="1" si="459"/>
        <v>269361.38755584974</v>
      </c>
      <c r="W1105">
        <f t="shared" ca="1" si="460"/>
        <v>2.5998695052916441</v>
      </c>
      <c r="X1105">
        <f t="shared" ca="1" si="461"/>
        <v>1.8933671400629237E-4</v>
      </c>
      <c r="Y1105">
        <f t="shared" ca="1" si="462"/>
        <v>52432.351337663407</v>
      </c>
      <c r="Z1105">
        <f t="shared" ca="1" si="463"/>
        <v>52432.351337665234</v>
      </c>
      <c r="AA1105">
        <f t="shared" ca="1" si="464"/>
        <v>2.2562304480281055E-12</v>
      </c>
      <c r="AB1105">
        <f t="shared" ca="1" si="465"/>
        <v>-4.999999946448952E-4</v>
      </c>
      <c r="AC1105">
        <f t="shared" ca="1" si="466"/>
        <v>1</v>
      </c>
      <c r="AD1105">
        <f ca="1">IF(V32="Supercritical",L1105,IF(V32="Subcritical",U1105,IF(AND(T1105=1,AC1105=1),IF((((F1105)*(L1105)^2)/2+(G1105)*(L1105)^3/3+(ABS(K1105)^2)/($I$5*MAX(((F1105)+(G1105)*(L1105))*(L1105),0.000001)))&gt;=(((F1105)*(U1105)^2)/2+(G1105)*(U1105)^3/3+(ABS(K1105)^2)/($I$5*MAX(((F1105)+(G1105)*(U1105))*(U1105),0.000001))),L1105,U1105),IF(T1105=1,L1105,IF(AC1105=1,U1105,MAX($D$16,POWER((ABS(K1105)^2)/($I$5*MAX(F1105,0.1)^2),1/3)))))))</f>
        <v>51800.26683766341</v>
      </c>
      <c r="AE1105">
        <f t="shared" ca="1" si="467"/>
        <v>52432.351337663407</v>
      </c>
      <c r="AF1105">
        <f t="shared" ca="1" si="468"/>
        <v>52432.351337665234</v>
      </c>
      <c r="AI1105">
        <v>0</v>
      </c>
      <c r="AJ1105">
        <v>0</v>
      </c>
      <c r="AK1105">
        <f t="shared" si="469"/>
        <v>0</v>
      </c>
      <c r="AL1105">
        <f t="shared" si="478"/>
        <v>0</v>
      </c>
      <c r="AM1105">
        <f t="shared" ca="1" si="470"/>
        <v>2.6560383008097266E-7</v>
      </c>
      <c r="AN1105" t="str">
        <f t="shared" ca="1" si="471"/>
        <v>Subcritical</v>
      </c>
      <c r="AO1105">
        <f t="shared" ca="1" si="472"/>
        <v>2.2562304480281055E-12</v>
      </c>
    </row>
    <row r="1106" spans="1:41" x14ac:dyDescent="0.35">
      <c r="A1106">
        <v>957</v>
      </c>
      <c r="B1106">
        <v>955.89</v>
      </c>
      <c r="C1106">
        <v>616083.02500000002</v>
      </c>
      <c r="D1106">
        <v>3097048.0090000001</v>
      </c>
      <c r="E1106">
        <v>632.08399999999995</v>
      </c>
      <c r="F1106">
        <v>5.2</v>
      </c>
      <c r="G1106">
        <v>0</v>
      </c>
      <c r="H1106" t="s">
        <v>186</v>
      </c>
      <c r="I1106">
        <v>5.5E-2</v>
      </c>
      <c r="J1106">
        <f t="shared" si="473"/>
        <v>1.0009999999999764</v>
      </c>
      <c r="K1106">
        <f t="shared" si="474"/>
        <v>51</v>
      </c>
      <c r="L1106">
        <f t="shared" ca="1" si="475"/>
        <v>51797.843837663619</v>
      </c>
      <c r="M1106">
        <f t="shared" ca="1" si="452"/>
        <v>269348.78795585083</v>
      </c>
      <c r="N1106">
        <f t="shared" ca="1" si="453"/>
        <v>2.5998694991876676</v>
      </c>
      <c r="O1106">
        <f t="shared" ca="1" si="454"/>
        <v>1.8934557080078435E-4</v>
      </c>
      <c r="P1106">
        <f t="shared" ca="1" si="455"/>
        <v>52429.927837663621</v>
      </c>
      <c r="Q1106">
        <f t="shared" ca="1" si="456"/>
        <v>52429.927837665447</v>
      </c>
      <c r="R1106">
        <f t="shared" ca="1" si="457"/>
        <v>2.2564415439646509E-12</v>
      </c>
      <c r="S1106">
        <f t="shared" ca="1" si="476"/>
        <v>4.999999946448952E-4</v>
      </c>
      <c r="T1106">
        <f t="shared" ca="1" si="477"/>
        <v>1</v>
      </c>
      <c r="U1106">
        <f t="shared" ca="1" si="458"/>
        <v>51800.26683766341</v>
      </c>
      <c r="V1106">
        <f t="shared" ca="1" si="459"/>
        <v>269361.38755584974</v>
      </c>
      <c r="W1106">
        <f t="shared" ca="1" si="460"/>
        <v>2.5998695052916441</v>
      </c>
      <c r="X1106">
        <f t="shared" ca="1" si="461"/>
        <v>1.8933671400629237E-4</v>
      </c>
      <c r="Y1106">
        <f t="shared" ca="1" si="462"/>
        <v>52432.350837663413</v>
      </c>
      <c r="Z1106">
        <f t="shared" ca="1" si="463"/>
        <v>52432.350837665239</v>
      </c>
      <c r="AA1106">
        <f t="shared" ca="1" si="464"/>
        <v>2.2562304480281055E-12</v>
      </c>
      <c r="AB1106">
        <f t="shared" ca="1" si="465"/>
        <v>-5.0000000192085281E-4</v>
      </c>
      <c r="AC1106">
        <f t="shared" ca="1" si="466"/>
        <v>1</v>
      </c>
      <c r="AD1106">
        <f ca="1">IF(V32="Supercritical",L1106,IF(V32="Subcritical",U1106,IF(AND(T1106=1,AC1106=1),IF((((F1106)*(L1106)^2)/2+(G1106)*(L1106)^3/3+(ABS(K1106)^2)/($I$5*MAX(((F1106)+(G1106)*(L1106))*(L1106),0.000001)))&gt;=(((F1106)*(U1106)^2)/2+(G1106)*(U1106)^3/3+(ABS(K1106)^2)/($I$5*MAX(((F1106)+(G1106)*(U1106))*(U1106),0.000001))),L1106,U1106),IF(T1106=1,L1106,IF(AC1106=1,U1106,MAX($D$16,POWER((ABS(K1106)^2)/($I$5*MAX(F1106,0.1)^2),1/3)))))))</f>
        <v>51800.26683766341</v>
      </c>
      <c r="AE1106">
        <f t="shared" ca="1" si="467"/>
        <v>52432.350837663413</v>
      </c>
      <c r="AF1106">
        <f t="shared" ca="1" si="468"/>
        <v>52432.350837665239</v>
      </c>
      <c r="AI1106">
        <v>0</v>
      </c>
      <c r="AJ1106">
        <v>0</v>
      </c>
      <c r="AK1106">
        <f t="shared" si="469"/>
        <v>0</v>
      </c>
      <c r="AL1106">
        <f t="shared" si="478"/>
        <v>0</v>
      </c>
      <c r="AM1106">
        <f t="shared" ca="1" si="470"/>
        <v>2.6560383008097266E-7</v>
      </c>
      <c r="AN1106" t="str">
        <f t="shared" ca="1" si="471"/>
        <v>Subcritical</v>
      </c>
      <c r="AO1106">
        <f t="shared" ca="1" si="472"/>
        <v>2.2562304480281055E-12</v>
      </c>
    </row>
    <row r="1107" spans="1:41" x14ac:dyDescent="0.35">
      <c r="A1107">
        <v>958</v>
      </c>
      <c r="B1107">
        <v>956.89</v>
      </c>
      <c r="C1107">
        <v>616082.98300000001</v>
      </c>
      <c r="D1107">
        <v>3097047.01</v>
      </c>
      <c r="E1107">
        <v>632.08349999999996</v>
      </c>
      <c r="F1107">
        <v>5.2</v>
      </c>
      <c r="G1107">
        <v>0</v>
      </c>
      <c r="H1107" t="s">
        <v>186</v>
      </c>
      <c r="I1107">
        <v>0</v>
      </c>
      <c r="J1107">
        <f t="shared" si="473"/>
        <v>1</v>
      </c>
      <c r="K1107">
        <f t="shared" si="474"/>
        <v>51</v>
      </c>
      <c r="L1107">
        <f t="shared" ca="1" si="475"/>
        <v>51797.843837663619</v>
      </c>
      <c r="M1107">
        <f t="shared" ca="1" si="452"/>
        <v>269348.78795585083</v>
      </c>
      <c r="N1107">
        <f t="shared" ca="1" si="453"/>
        <v>2.5998694991876676</v>
      </c>
      <c r="O1107">
        <f t="shared" ca="1" si="454"/>
        <v>1.8934557080078435E-4</v>
      </c>
      <c r="P1107">
        <f t="shared" ca="1" si="455"/>
        <v>52429.927337663619</v>
      </c>
      <c r="Q1107">
        <f t="shared" ca="1" si="456"/>
        <v>52429.927337665446</v>
      </c>
      <c r="R1107">
        <f t="shared" ca="1" si="457"/>
        <v>2.2564415439646509E-12</v>
      </c>
      <c r="S1107">
        <f t="shared" ca="1" si="476"/>
        <v>5.0000000192085281E-4</v>
      </c>
      <c r="T1107">
        <f t="shared" ca="1" si="477"/>
        <v>1</v>
      </c>
      <c r="U1107">
        <f t="shared" ca="1" si="458"/>
        <v>51800.26683766341</v>
      </c>
      <c r="V1107">
        <f t="shared" ca="1" si="459"/>
        <v>269361.38755584974</v>
      </c>
      <c r="W1107">
        <f t="shared" ca="1" si="460"/>
        <v>2.5998695052916441</v>
      </c>
      <c r="X1107">
        <f t="shared" ca="1" si="461"/>
        <v>1.8933671400629237E-4</v>
      </c>
      <c r="Y1107">
        <f t="shared" ca="1" si="462"/>
        <v>52432.350337663411</v>
      </c>
      <c r="Z1107">
        <f t="shared" ca="1" si="463"/>
        <v>52432.350337665237</v>
      </c>
      <c r="AA1107">
        <f t="shared" ca="1" si="464"/>
        <v>2.2562304480281055E-12</v>
      </c>
      <c r="AB1107">
        <f t="shared" ca="1" si="465"/>
        <v>-5.0000000192085281E-4</v>
      </c>
      <c r="AC1107">
        <f t="shared" ca="1" si="466"/>
        <v>1</v>
      </c>
      <c r="AD1107">
        <f ca="1">IF(V32="Supercritical",L1107,IF(V32="Subcritical",U1107,IF(AND(T1107=1,AC1107=1),IF((((F1107)*(L1107)^2)/2+(G1107)*(L1107)^3/3+(ABS(K1107)^2)/($I$5*MAX(((F1107)+(G1107)*(L1107))*(L1107),0.000001)))&gt;=(((F1107)*(U1107)^2)/2+(G1107)*(U1107)^3/3+(ABS(K1107)^2)/($I$5*MAX(((F1107)+(G1107)*(U1107))*(U1107),0.000001))),L1107,U1107),IF(T1107=1,L1107,IF(AC1107=1,U1107,MAX($D$16,POWER((ABS(K1107)^2)/($I$5*MAX(F1107,0.1)^2),1/3)))))))</f>
        <v>51800.26683766341</v>
      </c>
      <c r="AE1107">
        <f t="shared" ca="1" si="467"/>
        <v>52432.350337663411</v>
      </c>
      <c r="AF1107">
        <f t="shared" ca="1" si="468"/>
        <v>52432.350337665237</v>
      </c>
      <c r="AI1107">
        <v>0</v>
      </c>
      <c r="AJ1107">
        <v>0</v>
      </c>
      <c r="AK1107">
        <f t="shared" si="469"/>
        <v>0</v>
      </c>
      <c r="AL1107">
        <f t="shared" si="478"/>
        <v>0</v>
      </c>
      <c r="AM1107">
        <f t="shared" ca="1" si="470"/>
        <v>2.6560383008097266E-7</v>
      </c>
      <c r="AN1107" t="str">
        <f t="shared" ca="1" si="471"/>
        <v>Subcritical</v>
      </c>
      <c r="AO1107">
        <f t="shared" ca="1" si="472"/>
        <v>2.2562304480281055E-12</v>
      </c>
    </row>
    <row r="1108" spans="1:41" x14ac:dyDescent="0.35">
      <c r="A1108">
        <v>959</v>
      </c>
      <c r="B1108">
        <v>957.88900000000001</v>
      </c>
      <c r="C1108">
        <v>616082.94099999999</v>
      </c>
      <c r="D1108">
        <v>3097046.0109999999</v>
      </c>
      <c r="E1108">
        <v>632.08299999999997</v>
      </c>
      <c r="F1108">
        <v>5.2</v>
      </c>
      <c r="G1108">
        <v>0</v>
      </c>
      <c r="H1108" t="s">
        <v>186</v>
      </c>
      <c r="I1108">
        <v>0</v>
      </c>
      <c r="J1108">
        <f t="shared" si="473"/>
        <v>0.99900000000002365</v>
      </c>
      <c r="K1108">
        <f t="shared" si="474"/>
        <v>51</v>
      </c>
      <c r="L1108">
        <f t="shared" ca="1" si="475"/>
        <v>51797.843837663619</v>
      </c>
      <c r="M1108">
        <f t="shared" ca="1" si="452"/>
        <v>269348.78795585083</v>
      </c>
      <c r="N1108">
        <f t="shared" ca="1" si="453"/>
        <v>2.5998694991876676</v>
      </c>
      <c r="O1108">
        <f t="shared" ca="1" si="454"/>
        <v>1.8934557080078435E-4</v>
      </c>
      <c r="P1108">
        <f t="shared" ca="1" si="455"/>
        <v>52429.926837663617</v>
      </c>
      <c r="Q1108">
        <f t="shared" ca="1" si="456"/>
        <v>52429.926837665444</v>
      </c>
      <c r="R1108">
        <f t="shared" ca="1" si="457"/>
        <v>2.2564415439646509E-12</v>
      </c>
      <c r="S1108">
        <f t="shared" ca="1" si="476"/>
        <v>5.0000000192085281E-4</v>
      </c>
      <c r="T1108">
        <f t="shared" ca="1" si="477"/>
        <v>1</v>
      </c>
      <c r="U1108">
        <f t="shared" ca="1" si="458"/>
        <v>51800.26683766341</v>
      </c>
      <c r="V1108">
        <f t="shared" ca="1" si="459"/>
        <v>269361.38755584974</v>
      </c>
      <c r="W1108">
        <f t="shared" ca="1" si="460"/>
        <v>2.5998695052916441</v>
      </c>
      <c r="X1108">
        <f t="shared" ca="1" si="461"/>
        <v>1.8933671400629237E-4</v>
      </c>
      <c r="Y1108">
        <f t="shared" ca="1" si="462"/>
        <v>52432.349837663409</v>
      </c>
      <c r="Z1108">
        <f t="shared" ca="1" si="463"/>
        <v>52432.349837665235</v>
      </c>
      <c r="AA1108">
        <f t="shared" ca="1" si="464"/>
        <v>2.2562304480281055E-12</v>
      </c>
      <c r="AB1108">
        <f t="shared" ca="1" si="465"/>
        <v>-5.0000000192085281E-4</v>
      </c>
      <c r="AC1108">
        <f t="shared" ca="1" si="466"/>
        <v>1</v>
      </c>
      <c r="AD1108">
        <f ca="1">IF(V32="Supercritical",L1108,IF(V32="Subcritical",U1108,IF(AND(T1108=1,AC1108=1),IF((((F1108)*(L1108)^2)/2+(G1108)*(L1108)^3/3+(ABS(K1108)^2)/($I$5*MAX(((F1108)+(G1108)*(L1108))*(L1108),0.000001)))&gt;=(((F1108)*(U1108)^2)/2+(G1108)*(U1108)^3/3+(ABS(K1108)^2)/($I$5*MAX(((F1108)+(G1108)*(U1108))*(U1108),0.000001))),L1108,U1108),IF(T1108=1,L1108,IF(AC1108=1,U1108,MAX($D$16,POWER((ABS(K1108)^2)/($I$5*MAX(F1108,0.1)^2),1/3)))))))</f>
        <v>51800.26683766341</v>
      </c>
      <c r="AE1108">
        <f t="shared" ca="1" si="467"/>
        <v>52432.349837663409</v>
      </c>
      <c r="AF1108">
        <f t="shared" ca="1" si="468"/>
        <v>52432.349837665235</v>
      </c>
      <c r="AI1108">
        <v>0</v>
      </c>
      <c r="AJ1108">
        <v>0</v>
      </c>
      <c r="AK1108">
        <f t="shared" si="469"/>
        <v>0</v>
      </c>
      <c r="AL1108">
        <f t="shared" si="478"/>
        <v>0</v>
      </c>
      <c r="AM1108">
        <f t="shared" ca="1" si="470"/>
        <v>2.6560383008097266E-7</v>
      </c>
      <c r="AN1108" t="str">
        <f t="shared" ca="1" si="471"/>
        <v>Subcritical</v>
      </c>
      <c r="AO1108">
        <f t="shared" ca="1" si="472"/>
        <v>2.2562304480281055E-12</v>
      </c>
    </row>
    <row r="1109" spans="1:41" x14ac:dyDescent="0.35">
      <c r="A1109">
        <v>960</v>
      </c>
      <c r="B1109">
        <v>958.88900000000001</v>
      </c>
      <c r="C1109">
        <v>616082.89899999998</v>
      </c>
      <c r="D1109">
        <v>3097045.0120000001</v>
      </c>
      <c r="E1109">
        <v>632.08249999999998</v>
      </c>
      <c r="F1109">
        <v>5.2</v>
      </c>
      <c r="G1109">
        <v>0</v>
      </c>
      <c r="H1109" t="s">
        <v>186</v>
      </c>
      <c r="I1109">
        <v>5.7000000000000002E-2</v>
      </c>
      <c r="J1109">
        <f t="shared" si="473"/>
        <v>1</v>
      </c>
      <c r="K1109">
        <f t="shared" si="474"/>
        <v>51</v>
      </c>
      <c r="L1109">
        <f t="shared" ca="1" si="475"/>
        <v>51797.843837663619</v>
      </c>
      <c r="M1109">
        <f t="shared" ca="1" si="452"/>
        <v>269348.78795585083</v>
      </c>
      <c r="N1109">
        <f t="shared" ca="1" si="453"/>
        <v>2.5998694991876676</v>
      </c>
      <c r="O1109">
        <f t="shared" ca="1" si="454"/>
        <v>1.8934557080078435E-4</v>
      </c>
      <c r="P1109">
        <f t="shared" ca="1" si="455"/>
        <v>52429.926337663615</v>
      </c>
      <c r="Q1109">
        <f t="shared" ca="1" si="456"/>
        <v>52429.926337665442</v>
      </c>
      <c r="R1109">
        <f t="shared" ca="1" si="457"/>
        <v>2.2564415439646509E-12</v>
      </c>
      <c r="S1109">
        <f t="shared" ca="1" si="476"/>
        <v>5.0000000192085281E-4</v>
      </c>
      <c r="T1109">
        <f t="shared" ca="1" si="477"/>
        <v>1</v>
      </c>
      <c r="U1109">
        <f t="shared" ca="1" si="458"/>
        <v>51800.26683766341</v>
      </c>
      <c r="V1109">
        <f t="shared" ca="1" si="459"/>
        <v>269361.38755584974</v>
      </c>
      <c r="W1109">
        <f t="shared" ca="1" si="460"/>
        <v>2.5998695052916441</v>
      </c>
      <c r="X1109">
        <f t="shared" ca="1" si="461"/>
        <v>1.8933671400629237E-4</v>
      </c>
      <c r="Y1109">
        <f t="shared" ca="1" si="462"/>
        <v>52432.349337663407</v>
      </c>
      <c r="Z1109">
        <f t="shared" ca="1" si="463"/>
        <v>52432.349337665233</v>
      </c>
      <c r="AA1109">
        <f t="shared" ca="1" si="464"/>
        <v>2.2562304480281055E-12</v>
      </c>
      <c r="AB1109">
        <f t="shared" ca="1" si="465"/>
        <v>-4.999999946448952E-4</v>
      </c>
      <c r="AC1109">
        <f t="shared" ca="1" si="466"/>
        <v>1</v>
      </c>
      <c r="AD1109">
        <f ca="1">IF(V32="Supercritical",L1109,IF(V32="Subcritical",U1109,IF(AND(T1109=1,AC1109=1),IF((((F1109)*(L1109)^2)/2+(G1109)*(L1109)^3/3+(ABS(K1109)^2)/($I$5*MAX(((F1109)+(G1109)*(L1109))*(L1109),0.000001)))&gt;=(((F1109)*(U1109)^2)/2+(G1109)*(U1109)^3/3+(ABS(K1109)^2)/($I$5*MAX(((F1109)+(G1109)*(U1109))*(U1109),0.000001))),L1109,U1109),IF(T1109=1,L1109,IF(AC1109=1,U1109,MAX($D$16,POWER((ABS(K1109)^2)/($I$5*MAX(F1109,0.1)^2),1/3)))))))</f>
        <v>51800.26683766341</v>
      </c>
      <c r="AE1109">
        <f t="shared" ca="1" si="467"/>
        <v>52432.349337663407</v>
      </c>
      <c r="AF1109">
        <f t="shared" ca="1" si="468"/>
        <v>52432.349337665233</v>
      </c>
      <c r="AI1109">
        <v>0</v>
      </c>
      <c r="AJ1109">
        <v>0</v>
      </c>
      <c r="AK1109">
        <f t="shared" si="469"/>
        <v>0</v>
      </c>
      <c r="AL1109">
        <f t="shared" si="478"/>
        <v>0</v>
      </c>
      <c r="AM1109">
        <f t="shared" ca="1" si="470"/>
        <v>2.6560383008097266E-7</v>
      </c>
      <c r="AN1109" t="str">
        <f t="shared" ca="1" si="471"/>
        <v>Subcritical</v>
      </c>
      <c r="AO1109">
        <f t="shared" ca="1" si="472"/>
        <v>2.2562304480281055E-12</v>
      </c>
    </row>
    <row r="1110" spans="1:41" x14ac:dyDescent="0.35">
      <c r="A1110">
        <v>961</v>
      </c>
      <c r="B1110">
        <v>959.88900000000001</v>
      </c>
      <c r="C1110">
        <v>616082.85600000003</v>
      </c>
      <c r="D1110">
        <v>3097044.0129999998</v>
      </c>
      <c r="E1110">
        <v>632.08199999999999</v>
      </c>
      <c r="F1110">
        <v>5.2</v>
      </c>
      <c r="G1110">
        <v>0</v>
      </c>
      <c r="H1110" t="s">
        <v>186</v>
      </c>
      <c r="I1110">
        <v>5.7000000000000002E-2</v>
      </c>
      <c r="J1110">
        <f t="shared" si="473"/>
        <v>1</v>
      </c>
      <c r="K1110">
        <f t="shared" si="474"/>
        <v>51</v>
      </c>
      <c r="L1110">
        <f t="shared" ca="1" si="475"/>
        <v>51797.843837663619</v>
      </c>
      <c r="M1110">
        <f t="shared" ref="M1110:M1173" ca="1" si="479">((F1110)+(G1110)*(L1110))*(L1110)</f>
        <v>269348.78795585083</v>
      </c>
      <c r="N1110">
        <f t="shared" ref="N1110:N1173" ca="1" si="480">(((F1110)+(G1110)*(L1110))*(L1110))/MAX((F1110)+2*(L1110)*SQRT(1+(G1110)^2),0.000001)</f>
        <v>2.5998694991876676</v>
      </c>
      <c r="O1110">
        <f t="shared" ref="O1110:O1173" ca="1" si="481">ABS(K1110)/MAX(((F1110)+(G1110)*(L1110))*(L1110),0.000001)</f>
        <v>1.8934557080078435E-4</v>
      </c>
      <c r="P1110">
        <f t="shared" ref="P1110:P1173" ca="1" si="482">E1110+L1110</f>
        <v>52429.925837663621</v>
      </c>
      <c r="Q1110">
        <f t="shared" ref="Q1110:Q1173" ca="1" si="483">P1110+((ABS(K1110)/MAX(((F1110)+(G1110)*(L1110))*(L1110),0.000001))^2)/(2*$I$5)</f>
        <v>52429.925837665447</v>
      </c>
      <c r="R1110">
        <f t="shared" ref="R1110:R1173" ca="1" si="484">((ABS(K1110)*$D$6)/(MAX(((F1110)+(G1110)*(L1110))*(L1110),0.000001)*MAX(((((F1110)+(G1110)*(L1110))*(L1110))/MAX((F1110)+2*(L1110)*SQRT(1+(G1110)^2),0.000001))^(2/3),0.000001)))^2</f>
        <v>2.2564415439646509E-12</v>
      </c>
      <c r="S1110">
        <f t="shared" ca="1" si="476"/>
        <v>4.999999946448952E-4</v>
      </c>
      <c r="T1110">
        <f t="shared" ca="1" si="477"/>
        <v>1</v>
      </c>
      <c r="U1110">
        <f t="shared" ref="U1110:U1173" ca="1" si="485">IF($D$20=0,U1111,IF(AC1111=0,U1111,IF(U1110=0,U1111,IF(ABS(AB1110)&gt;$D$19,MAX($D$16,U1110+((AB1110)*$D$18*IF((ABS(ABS(K1110)/MAX(((F1110)+(G1110)*(U1110))*(U1110),0.000001))/SQRT($I$5*MAX((((F1110)+(G1110)*(U1110))*(U1110))/MAX((F1110)+2*(G1110)*(U1110),0.000001),0.000001)))&lt;1,1,-1))),U1110))))</f>
        <v>51800.26683766341</v>
      </c>
      <c r="V1110">
        <f t="shared" ref="V1110:V1173" ca="1" si="486">((F1110)+(G1110)*(U1110))*(U1110)</f>
        <v>269361.38755584974</v>
      </c>
      <c r="W1110">
        <f t="shared" ref="W1110:W1173" ca="1" si="487">(((F1110)+(G1110)*(U1110))*(U1110))/MAX((F1110)+2*(U1110)*SQRT(1+(G1110)^2),0.000001)</f>
        <v>2.5998695052916441</v>
      </c>
      <c r="X1110">
        <f t="shared" ref="X1110:X1173" ca="1" si="488">ABS(K1110)/MAX(((F1110)+(G1110)*(U1110))*(U1110),0.000001)</f>
        <v>1.8933671400629237E-4</v>
      </c>
      <c r="Y1110">
        <f t="shared" ref="Y1110:Y1173" ca="1" si="489">E1110+U1110</f>
        <v>52432.348837663412</v>
      </c>
      <c r="Z1110">
        <f t="shared" ref="Z1110:Z1173" ca="1" si="490">Y1110+((ABS(K1110)/MAX(((F1110)+(G1110)*(U1110))*(U1110),0.000001))^2)/(2*$I$5)</f>
        <v>52432.348837665239</v>
      </c>
      <c r="AA1110">
        <f t="shared" ref="AA1110:AA1173" ca="1" si="491">((ABS(K1110)*$D$6)/(MAX(((F1110)+(G1110)*(U1110))*(U1110),0.000001)*MAX(((((F1110)+(G1110)*(U1110))*(U1110))/MAX((F1110)+2*(U1110)*SQRT(1+(G1110)^2),0.000001))^(2/3),0.000001)))^2</f>
        <v>2.2562304480281055E-12</v>
      </c>
      <c r="AB1110">
        <f t="shared" ref="AB1110:AB1173" ca="1" si="492">Z1111+(((AA1110+AA1111)/2)*J1111)+(IF(X1110&gt;X1111,$D$8*((X1110^2-X1111^2)/(2*$I$5)),$D$9*((X1111^2-X1110^2)/(2*$I$5)))+($D$10*(ABS(I1111)/90)*(MAX(X1110^2,X1111^2)/(2*$I$5))))-Z1110</f>
        <v>-5.0000000192085281E-4</v>
      </c>
      <c r="AC1110">
        <f t="shared" ref="AC1110:AC1173" ca="1" si="493">IF(ABS(AB1110)&lt;$D$19,1,0)</f>
        <v>1</v>
      </c>
      <c r="AD1110">
        <f ca="1">IF(V32="Supercritical",L1110,IF(V32="Subcritical",U1110,IF(AND(T1110=1,AC1110=1),IF((((F1110)*(L1110)^2)/2+(G1110)*(L1110)^3/3+(ABS(K1110)^2)/($I$5*MAX(((F1110)+(G1110)*(L1110))*(L1110),0.000001)))&gt;=(((F1110)*(U1110)^2)/2+(G1110)*(U1110)^3/3+(ABS(K1110)^2)/($I$5*MAX(((F1110)+(G1110)*(U1110))*(U1110),0.000001))),L1110,U1110),IF(T1110=1,L1110,IF(AC1110=1,U1110,MAX($D$16,POWER((ABS(K1110)^2)/($I$5*MAX(F1110,0.1)^2),1/3)))))))</f>
        <v>51800.26683766341</v>
      </c>
      <c r="AE1110">
        <f t="shared" ref="AE1110:AE1173" ca="1" si="494">E1110+AD1110</f>
        <v>52432.348837663412</v>
      </c>
      <c r="AF1110">
        <f t="shared" ref="AF1110:AF1173" ca="1" si="495">AE1110+((ABS(K1110)/MAX(((F1110)+(G1110)*(AD1110))*(AD1110),0.000001))^2)/(2*$I$5)</f>
        <v>52432.348837665239</v>
      </c>
      <c r="AI1110">
        <v>0</v>
      </c>
      <c r="AJ1110">
        <v>0</v>
      </c>
      <c r="AK1110">
        <f t="shared" ref="AK1110:AK1173" si="496">AI1110+AJ1110</f>
        <v>0</v>
      </c>
      <c r="AL1110">
        <f t="shared" si="478"/>
        <v>0</v>
      </c>
      <c r="AM1110">
        <f t="shared" ref="AM1110:AM1173" ca="1" si="497">ABS(ABS(K1110)/MAX(((F1110)+(G1110)*(AD1110))*(AD1110),0.000001))/SQRT($I$5*MAX((((F1110)+(G1110)*(AD1110))*(AD1110))/MAX((F1110)+2*(G1110)*(AD1110),0.000001),0.000001))</f>
        <v>2.6560383008097266E-7</v>
      </c>
      <c r="AN1110" t="str">
        <f t="shared" ref="AN1110:AN1173" ca="1" si="498">IF(AM1110&lt;1,"Subcritical","Supercritical")</f>
        <v>Subcritical</v>
      </c>
      <c r="AO1110">
        <f t="shared" ref="AO1110:AO1173" ca="1" si="499">((ABS(K1110)*$D$6)/(MAX(((F1110)+(G1110)*(AD1110))*(AD1110),0.000001)*MAX(((((F1110)+(G1110)*(AD1110))*(AD1110))/MAX((F1110)+2*(AD1110)*SQRT(1+(G1110)^2),0.000001))^(2/3),0.000001)))^2</f>
        <v>2.2562304480281055E-12</v>
      </c>
    </row>
    <row r="1111" spans="1:41" x14ac:dyDescent="0.35">
      <c r="A1111">
        <v>962</v>
      </c>
      <c r="B1111">
        <v>960.88900000000001</v>
      </c>
      <c r="C1111">
        <v>616082.81400000001</v>
      </c>
      <c r="D1111">
        <v>3097043.014</v>
      </c>
      <c r="E1111">
        <v>632.08150000000001</v>
      </c>
      <c r="F1111">
        <v>5.2</v>
      </c>
      <c r="G1111">
        <v>0</v>
      </c>
      <c r="H1111" t="s">
        <v>186</v>
      </c>
      <c r="I1111">
        <v>0</v>
      </c>
      <c r="J1111">
        <f t="shared" ref="J1111:J1174" si="500">B1111-B1110</f>
        <v>1</v>
      </c>
      <c r="K1111">
        <f t="shared" ref="K1111:K1174" si="501">MAX(0,K1110-AK1110)</f>
        <v>51</v>
      </c>
      <c r="L1111">
        <f t="shared" ref="L1111:L1174" ca="1" si="502">IF($D$20=0,L1110,IF(T1110=0,L1110,IF(L1111=0,L1110,IF(ABS(S1111)&gt;$D$19,MAX($D$16,L1111+((S1111)*$D$18*IF((ABS(ABS(K1111)/MAX(((F1111)+(G1111)*(L1111))*(L1111),0.000001))/SQRT($I$5*MAX((((F1111)+(G1111)*(L1111))*(L1111))/MAX((F1111)+2*(G1111)*(L1111),0.000001),0.000001)))&lt;1,1,-1))),L1111))))</f>
        <v>51797.843837663619</v>
      </c>
      <c r="M1111">
        <f t="shared" ca="1" si="479"/>
        <v>269348.78795585083</v>
      </c>
      <c r="N1111">
        <f t="shared" ca="1" si="480"/>
        <v>2.5998694991876676</v>
      </c>
      <c r="O1111">
        <f t="shared" ca="1" si="481"/>
        <v>1.8934557080078435E-4</v>
      </c>
      <c r="P1111">
        <f t="shared" ca="1" si="482"/>
        <v>52429.925337663619</v>
      </c>
      <c r="Q1111">
        <f t="shared" ca="1" si="483"/>
        <v>52429.925337665445</v>
      </c>
      <c r="R1111">
        <f t="shared" ca="1" si="484"/>
        <v>2.2564415439646509E-12</v>
      </c>
      <c r="S1111">
        <f t="shared" ref="S1111:S1174" ca="1" si="503">Q1110-(((R1110+R1111)/2)*J1111)-(IF(O1110&gt;O1111,$D$8*((O1110^2-O1111^2)/(2*$I$5)),$D$9*((O1111^2-O1110^2)/(2*$I$5)))+($D$10*(ABS(I1111)/90)*(MAX(O1110^2,O1111^2)/(2*$I$5))))-Q1111</f>
        <v>5.0000000192085281E-4</v>
      </c>
      <c r="T1111">
        <f t="shared" ref="T1111:T1174" ca="1" si="504">IF(ABS(S1111)&lt;$D$19,1,0)</f>
        <v>1</v>
      </c>
      <c r="U1111">
        <f t="shared" ca="1" si="485"/>
        <v>51800.26683766341</v>
      </c>
      <c r="V1111">
        <f t="shared" ca="1" si="486"/>
        <v>269361.38755584974</v>
      </c>
      <c r="W1111">
        <f t="shared" ca="1" si="487"/>
        <v>2.5998695052916441</v>
      </c>
      <c r="X1111">
        <f t="shared" ca="1" si="488"/>
        <v>1.8933671400629237E-4</v>
      </c>
      <c r="Y1111">
        <f t="shared" ca="1" si="489"/>
        <v>52432.34833766341</v>
      </c>
      <c r="Z1111">
        <f t="shared" ca="1" si="490"/>
        <v>52432.348337665237</v>
      </c>
      <c r="AA1111">
        <f t="shared" ca="1" si="491"/>
        <v>2.2562304480281055E-12</v>
      </c>
      <c r="AB1111">
        <f t="shared" ca="1" si="492"/>
        <v>-5.0000000192085281E-4</v>
      </c>
      <c r="AC1111">
        <f t="shared" ca="1" si="493"/>
        <v>1</v>
      </c>
      <c r="AD1111">
        <f ca="1">IF(V32="Supercritical",L1111,IF(V32="Subcritical",U1111,IF(AND(T1111=1,AC1111=1),IF((((F1111)*(L1111)^2)/2+(G1111)*(L1111)^3/3+(ABS(K1111)^2)/($I$5*MAX(((F1111)+(G1111)*(L1111))*(L1111),0.000001)))&gt;=(((F1111)*(U1111)^2)/2+(G1111)*(U1111)^3/3+(ABS(K1111)^2)/($I$5*MAX(((F1111)+(G1111)*(U1111))*(U1111),0.000001))),L1111,U1111),IF(T1111=1,L1111,IF(AC1111=1,U1111,MAX($D$16,POWER((ABS(K1111)^2)/($I$5*MAX(F1111,0.1)^2),1/3)))))))</f>
        <v>51800.26683766341</v>
      </c>
      <c r="AE1111">
        <f t="shared" ca="1" si="494"/>
        <v>52432.34833766341</v>
      </c>
      <c r="AF1111">
        <f t="shared" ca="1" si="495"/>
        <v>52432.348337665237</v>
      </c>
      <c r="AI1111">
        <v>0</v>
      </c>
      <c r="AJ1111">
        <v>0</v>
      </c>
      <c r="AK1111">
        <f t="shared" si="496"/>
        <v>0</v>
      </c>
      <c r="AL1111">
        <f t="shared" ref="AL1111:AL1174" si="505">AL1110+AK1111</f>
        <v>0</v>
      </c>
      <c r="AM1111">
        <f t="shared" ca="1" si="497"/>
        <v>2.6560383008097266E-7</v>
      </c>
      <c r="AN1111" t="str">
        <f t="shared" ca="1" si="498"/>
        <v>Subcritical</v>
      </c>
      <c r="AO1111">
        <f t="shared" ca="1" si="499"/>
        <v>2.2562304480281055E-12</v>
      </c>
    </row>
    <row r="1112" spans="1:41" x14ac:dyDescent="0.35">
      <c r="A1112">
        <v>963</v>
      </c>
      <c r="B1112">
        <v>961.88900000000001</v>
      </c>
      <c r="C1112">
        <v>616082.772</v>
      </c>
      <c r="D1112">
        <v>3097042.0150000001</v>
      </c>
      <c r="E1112">
        <v>632.08100000000002</v>
      </c>
      <c r="F1112">
        <v>5.2</v>
      </c>
      <c r="G1112">
        <v>0</v>
      </c>
      <c r="H1112" t="s">
        <v>186</v>
      </c>
      <c r="I1112">
        <v>0</v>
      </c>
      <c r="J1112">
        <f t="shared" si="500"/>
        <v>1</v>
      </c>
      <c r="K1112">
        <f t="shared" si="501"/>
        <v>51</v>
      </c>
      <c r="L1112">
        <f t="shared" ca="1" si="502"/>
        <v>51797.843837663619</v>
      </c>
      <c r="M1112">
        <f t="shared" ca="1" si="479"/>
        <v>269348.78795585083</v>
      </c>
      <c r="N1112">
        <f t="shared" ca="1" si="480"/>
        <v>2.5998694991876676</v>
      </c>
      <c r="O1112">
        <f t="shared" ca="1" si="481"/>
        <v>1.8934557080078435E-4</v>
      </c>
      <c r="P1112">
        <f t="shared" ca="1" si="482"/>
        <v>52429.924837663617</v>
      </c>
      <c r="Q1112">
        <f t="shared" ca="1" si="483"/>
        <v>52429.924837665443</v>
      </c>
      <c r="R1112">
        <f t="shared" ca="1" si="484"/>
        <v>2.2564415439646509E-12</v>
      </c>
      <c r="S1112">
        <f t="shared" ca="1" si="503"/>
        <v>5.0000000192085281E-4</v>
      </c>
      <c r="T1112">
        <f t="shared" ca="1" si="504"/>
        <v>1</v>
      </c>
      <c r="U1112">
        <f t="shared" ca="1" si="485"/>
        <v>51800.26683766341</v>
      </c>
      <c r="V1112">
        <f t="shared" ca="1" si="486"/>
        <v>269361.38755584974</v>
      </c>
      <c r="W1112">
        <f t="shared" ca="1" si="487"/>
        <v>2.5998695052916441</v>
      </c>
      <c r="X1112">
        <f t="shared" ca="1" si="488"/>
        <v>1.8933671400629237E-4</v>
      </c>
      <c r="Y1112">
        <f t="shared" ca="1" si="489"/>
        <v>52432.347837663408</v>
      </c>
      <c r="Z1112">
        <f t="shared" ca="1" si="490"/>
        <v>52432.347837665235</v>
      </c>
      <c r="AA1112">
        <f t="shared" ca="1" si="491"/>
        <v>2.2562304480281055E-12</v>
      </c>
      <c r="AB1112">
        <f t="shared" ca="1" si="492"/>
        <v>-5.0000000192085281E-4</v>
      </c>
      <c r="AC1112">
        <f t="shared" ca="1" si="493"/>
        <v>1</v>
      </c>
      <c r="AD1112">
        <f ca="1">IF(V32="Supercritical",L1112,IF(V32="Subcritical",U1112,IF(AND(T1112=1,AC1112=1),IF((((F1112)*(L1112)^2)/2+(G1112)*(L1112)^3/3+(ABS(K1112)^2)/($I$5*MAX(((F1112)+(G1112)*(L1112))*(L1112),0.000001)))&gt;=(((F1112)*(U1112)^2)/2+(G1112)*(U1112)^3/3+(ABS(K1112)^2)/($I$5*MAX(((F1112)+(G1112)*(U1112))*(U1112),0.000001))),L1112,U1112),IF(T1112=1,L1112,IF(AC1112=1,U1112,MAX($D$16,POWER((ABS(K1112)^2)/($I$5*MAX(F1112,0.1)^2),1/3)))))))</f>
        <v>51800.26683766341</v>
      </c>
      <c r="AE1112">
        <f t="shared" ca="1" si="494"/>
        <v>52432.347837663408</v>
      </c>
      <c r="AF1112">
        <f t="shared" ca="1" si="495"/>
        <v>52432.347837665235</v>
      </c>
      <c r="AI1112">
        <v>0</v>
      </c>
      <c r="AJ1112">
        <v>0</v>
      </c>
      <c r="AK1112">
        <f t="shared" si="496"/>
        <v>0</v>
      </c>
      <c r="AL1112">
        <f t="shared" si="505"/>
        <v>0</v>
      </c>
      <c r="AM1112">
        <f t="shared" ca="1" si="497"/>
        <v>2.6560383008097266E-7</v>
      </c>
      <c r="AN1112" t="str">
        <f t="shared" ca="1" si="498"/>
        <v>Subcritical</v>
      </c>
      <c r="AO1112">
        <f t="shared" ca="1" si="499"/>
        <v>2.2562304480281055E-12</v>
      </c>
    </row>
    <row r="1113" spans="1:41" x14ac:dyDescent="0.35">
      <c r="A1113">
        <v>964</v>
      </c>
      <c r="B1113">
        <v>962.88900000000001</v>
      </c>
      <c r="C1113">
        <v>616082.73</v>
      </c>
      <c r="D1113">
        <v>3097041.0159999998</v>
      </c>
      <c r="E1113">
        <v>632.08050000000003</v>
      </c>
      <c r="F1113">
        <v>5.2</v>
      </c>
      <c r="G1113">
        <v>0</v>
      </c>
      <c r="H1113" t="s">
        <v>186</v>
      </c>
      <c r="I1113">
        <v>5.7000000000000002E-2</v>
      </c>
      <c r="J1113">
        <f t="shared" si="500"/>
        <v>1</v>
      </c>
      <c r="K1113">
        <f t="shared" si="501"/>
        <v>51</v>
      </c>
      <c r="L1113">
        <f t="shared" ca="1" si="502"/>
        <v>51797.843837663619</v>
      </c>
      <c r="M1113">
        <f t="shared" ca="1" si="479"/>
        <v>269348.78795585083</v>
      </c>
      <c r="N1113">
        <f t="shared" ca="1" si="480"/>
        <v>2.5998694991876676</v>
      </c>
      <c r="O1113">
        <f t="shared" ca="1" si="481"/>
        <v>1.8934557080078435E-4</v>
      </c>
      <c r="P1113">
        <f t="shared" ca="1" si="482"/>
        <v>52429.924337663615</v>
      </c>
      <c r="Q1113">
        <f t="shared" ca="1" si="483"/>
        <v>52429.924337665441</v>
      </c>
      <c r="R1113">
        <f t="shared" ca="1" si="484"/>
        <v>2.2564415439646509E-12</v>
      </c>
      <c r="S1113">
        <f t="shared" ca="1" si="503"/>
        <v>5.0000000192085281E-4</v>
      </c>
      <c r="T1113">
        <f t="shared" ca="1" si="504"/>
        <v>1</v>
      </c>
      <c r="U1113">
        <f t="shared" ca="1" si="485"/>
        <v>51800.26683766341</v>
      </c>
      <c r="V1113">
        <f t="shared" ca="1" si="486"/>
        <v>269361.38755584974</v>
      </c>
      <c r="W1113">
        <f t="shared" ca="1" si="487"/>
        <v>2.5998695052916441</v>
      </c>
      <c r="X1113">
        <f t="shared" ca="1" si="488"/>
        <v>1.8933671400629237E-4</v>
      </c>
      <c r="Y1113">
        <f t="shared" ca="1" si="489"/>
        <v>52432.347337663407</v>
      </c>
      <c r="Z1113">
        <f t="shared" ca="1" si="490"/>
        <v>52432.347337665233</v>
      </c>
      <c r="AA1113">
        <f t="shared" ca="1" si="491"/>
        <v>2.2562304480281055E-12</v>
      </c>
      <c r="AB1113">
        <f t="shared" ca="1" si="492"/>
        <v>-4.999999946448952E-4</v>
      </c>
      <c r="AC1113">
        <f t="shared" ca="1" si="493"/>
        <v>1</v>
      </c>
      <c r="AD1113">
        <f ca="1">IF(V32="Supercritical",L1113,IF(V32="Subcritical",U1113,IF(AND(T1113=1,AC1113=1),IF((((F1113)*(L1113)^2)/2+(G1113)*(L1113)^3/3+(ABS(K1113)^2)/($I$5*MAX(((F1113)+(G1113)*(L1113))*(L1113),0.000001)))&gt;=(((F1113)*(U1113)^2)/2+(G1113)*(U1113)^3/3+(ABS(K1113)^2)/($I$5*MAX(((F1113)+(G1113)*(U1113))*(U1113),0.000001))),L1113,U1113),IF(T1113=1,L1113,IF(AC1113=1,U1113,MAX($D$16,POWER((ABS(K1113)^2)/($I$5*MAX(F1113,0.1)^2),1/3)))))))</f>
        <v>51800.26683766341</v>
      </c>
      <c r="AE1113">
        <f t="shared" ca="1" si="494"/>
        <v>52432.347337663407</v>
      </c>
      <c r="AF1113">
        <f t="shared" ca="1" si="495"/>
        <v>52432.347337665233</v>
      </c>
      <c r="AI1113">
        <v>0</v>
      </c>
      <c r="AJ1113">
        <v>0</v>
      </c>
      <c r="AK1113">
        <f t="shared" si="496"/>
        <v>0</v>
      </c>
      <c r="AL1113">
        <f t="shared" si="505"/>
        <v>0</v>
      </c>
      <c r="AM1113">
        <f t="shared" ca="1" si="497"/>
        <v>2.6560383008097266E-7</v>
      </c>
      <c r="AN1113" t="str">
        <f t="shared" ca="1" si="498"/>
        <v>Subcritical</v>
      </c>
      <c r="AO1113">
        <f t="shared" ca="1" si="499"/>
        <v>2.2562304480281055E-12</v>
      </c>
    </row>
    <row r="1114" spans="1:41" x14ac:dyDescent="0.35">
      <c r="A1114">
        <v>965</v>
      </c>
      <c r="B1114">
        <v>963.88900000000001</v>
      </c>
      <c r="C1114">
        <v>616082.68700000003</v>
      </c>
      <c r="D1114">
        <v>3097040.017</v>
      </c>
      <c r="E1114">
        <v>632.08000000000004</v>
      </c>
      <c r="F1114">
        <v>5.2</v>
      </c>
      <c r="G1114">
        <v>0</v>
      </c>
      <c r="H1114" t="s">
        <v>186</v>
      </c>
      <c r="I1114">
        <v>0.06</v>
      </c>
      <c r="J1114">
        <f t="shared" si="500"/>
        <v>1</v>
      </c>
      <c r="K1114">
        <f t="shared" si="501"/>
        <v>51</v>
      </c>
      <c r="L1114">
        <f t="shared" ca="1" si="502"/>
        <v>51797.843837663619</v>
      </c>
      <c r="M1114">
        <f t="shared" ca="1" si="479"/>
        <v>269348.78795585083</v>
      </c>
      <c r="N1114">
        <f t="shared" ca="1" si="480"/>
        <v>2.5998694991876676</v>
      </c>
      <c r="O1114">
        <f t="shared" ca="1" si="481"/>
        <v>1.8934557080078435E-4</v>
      </c>
      <c r="P1114">
        <f t="shared" ca="1" si="482"/>
        <v>52429.92383766362</v>
      </c>
      <c r="Q1114">
        <f t="shared" ca="1" si="483"/>
        <v>52429.923837665447</v>
      </c>
      <c r="R1114">
        <f t="shared" ca="1" si="484"/>
        <v>2.2564415439646509E-12</v>
      </c>
      <c r="S1114">
        <f t="shared" ca="1" si="503"/>
        <v>4.999999946448952E-4</v>
      </c>
      <c r="T1114">
        <f t="shared" ca="1" si="504"/>
        <v>1</v>
      </c>
      <c r="U1114">
        <f t="shared" ca="1" si="485"/>
        <v>51800.26683766341</v>
      </c>
      <c r="V1114">
        <f t="shared" ca="1" si="486"/>
        <v>269361.38755584974</v>
      </c>
      <c r="W1114">
        <f t="shared" ca="1" si="487"/>
        <v>2.5998695052916441</v>
      </c>
      <c r="X1114">
        <f t="shared" ca="1" si="488"/>
        <v>1.8933671400629237E-4</v>
      </c>
      <c r="Y1114">
        <f t="shared" ca="1" si="489"/>
        <v>52432.346837663412</v>
      </c>
      <c r="Z1114">
        <f t="shared" ca="1" si="490"/>
        <v>52432.346837665238</v>
      </c>
      <c r="AA1114">
        <f t="shared" ca="1" si="491"/>
        <v>2.2562304480281055E-12</v>
      </c>
      <c r="AB1114">
        <f t="shared" ca="1" si="492"/>
        <v>-5.0000000192085281E-4</v>
      </c>
      <c r="AC1114">
        <f t="shared" ca="1" si="493"/>
        <v>1</v>
      </c>
      <c r="AD1114">
        <f ca="1">IF(V32="Supercritical",L1114,IF(V32="Subcritical",U1114,IF(AND(T1114=1,AC1114=1),IF((((F1114)*(L1114)^2)/2+(G1114)*(L1114)^3/3+(ABS(K1114)^2)/($I$5*MAX(((F1114)+(G1114)*(L1114))*(L1114),0.000001)))&gt;=(((F1114)*(U1114)^2)/2+(G1114)*(U1114)^3/3+(ABS(K1114)^2)/($I$5*MAX(((F1114)+(G1114)*(U1114))*(U1114),0.000001))),L1114,U1114),IF(T1114=1,L1114,IF(AC1114=1,U1114,MAX($D$16,POWER((ABS(K1114)^2)/($I$5*MAX(F1114,0.1)^2),1/3)))))))</f>
        <v>51800.26683766341</v>
      </c>
      <c r="AE1114">
        <f t="shared" ca="1" si="494"/>
        <v>52432.346837663412</v>
      </c>
      <c r="AF1114">
        <f t="shared" ca="1" si="495"/>
        <v>52432.346837665238</v>
      </c>
      <c r="AI1114">
        <v>0</v>
      </c>
      <c r="AJ1114">
        <v>0</v>
      </c>
      <c r="AK1114">
        <f t="shared" si="496"/>
        <v>0</v>
      </c>
      <c r="AL1114">
        <f t="shared" si="505"/>
        <v>0</v>
      </c>
      <c r="AM1114">
        <f t="shared" ca="1" si="497"/>
        <v>2.6560383008097266E-7</v>
      </c>
      <c r="AN1114" t="str">
        <f t="shared" ca="1" si="498"/>
        <v>Subcritical</v>
      </c>
      <c r="AO1114">
        <f t="shared" ca="1" si="499"/>
        <v>2.2562304480281055E-12</v>
      </c>
    </row>
    <row r="1115" spans="1:41" x14ac:dyDescent="0.35">
      <c r="A1115">
        <v>966</v>
      </c>
      <c r="B1115">
        <v>964.89</v>
      </c>
      <c r="C1115">
        <v>616082.64500000002</v>
      </c>
      <c r="D1115">
        <v>3097039.017</v>
      </c>
      <c r="E1115">
        <v>632.07950000000005</v>
      </c>
      <c r="F1115">
        <v>5.2</v>
      </c>
      <c r="G1115">
        <v>0</v>
      </c>
      <c r="H1115" t="s">
        <v>186</v>
      </c>
      <c r="I1115">
        <v>2E-3</v>
      </c>
      <c r="J1115">
        <f t="shared" si="500"/>
        <v>1.0009999999999764</v>
      </c>
      <c r="K1115">
        <f t="shared" si="501"/>
        <v>51</v>
      </c>
      <c r="L1115">
        <f t="shared" ca="1" si="502"/>
        <v>51797.843837663619</v>
      </c>
      <c r="M1115">
        <f t="shared" ca="1" si="479"/>
        <v>269348.78795585083</v>
      </c>
      <c r="N1115">
        <f t="shared" ca="1" si="480"/>
        <v>2.5998694991876676</v>
      </c>
      <c r="O1115">
        <f t="shared" ca="1" si="481"/>
        <v>1.8934557080078435E-4</v>
      </c>
      <c r="P1115">
        <f t="shared" ca="1" si="482"/>
        <v>52429.923337663618</v>
      </c>
      <c r="Q1115">
        <f t="shared" ca="1" si="483"/>
        <v>52429.923337665445</v>
      </c>
      <c r="R1115">
        <f t="shared" ca="1" si="484"/>
        <v>2.2564415439646509E-12</v>
      </c>
      <c r="S1115">
        <f t="shared" ca="1" si="503"/>
        <v>5.0000000192085281E-4</v>
      </c>
      <c r="T1115">
        <f t="shared" ca="1" si="504"/>
        <v>1</v>
      </c>
      <c r="U1115">
        <f t="shared" ca="1" si="485"/>
        <v>51800.26683766341</v>
      </c>
      <c r="V1115">
        <f t="shared" ca="1" si="486"/>
        <v>269361.38755584974</v>
      </c>
      <c r="W1115">
        <f t="shared" ca="1" si="487"/>
        <v>2.5998695052916441</v>
      </c>
      <c r="X1115">
        <f t="shared" ca="1" si="488"/>
        <v>1.8933671400629237E-4</v>
      </c>
      <c r="Y1115">
        <f t="shared" ca="1" si="489"/>
        <v>52432.34633766341</v>
      </c>
      <c r="Z1115">
        <f t="shared" ca="1" si="490"/>
        <v>52432.346337665236</v>
      </c>
      <c r="AA1115">
        <f t="shared" ca="1" si="491"/>
        <v>2.2562304480281055E-12</v>
      </c>
      <c r="AB1115">
        <f t="shared" ca="1" si="492"/>
        <v>-5.0000000192085281E-4</v>
      </c>
      <c r="AC1115">
        <f t="shared" ca="1" si="493"/>
        <v>1</v>
      </c>
      <c r="AD1115">
        <f ca="1">IF(V32="Supercritical",L1115,IF(V32="Subcritical",U1115,IF(AND(T1115=1,AC1115=1),IF((((F1115)*(L1115)^2)/2+(G1115)*(L1115)^3/3+(ABS(K1115)^2)/($I$5*MAX(((F1115)+(G1115)*(L1115))*(L1115),0.000001)))&gt;=(((F1115)*(U1115)^2)/2+(G1115)*(U1115)^3/3+(ABS(K1115)^2)/($I$5*MAX(((F1115)+(G1115)*(U1115))*(U1115),0.000001))),L1115,U1115),IF(T1115=1,L1115,IF(AC1115=1,U1115,MAX($D$16,POWER((ABS(K1115)^2)/($I$5*MAX(F1115,0.1)^2),1/3)))))))</f>
        <v>51800.26683766341</v>
      </c>
      <c r="AE1115">
        <f t="shared" ca="1" si="494"/>
        <v>52432.34633766341</v>
      </c>
      <c r="AF1115">
        <f t="shared" ca="1" si="495"/>
        <v>52432.346337665236</v>
      </c>
      <c r="AI1115">
        <v>0</v>
      </c>
      <c r="AJ1115">
        <v>0</v>
      </c>
      <c r="AK1115">
        <f t="shared" si="496"/>
        <v>0</v>
      </c>
      <c r="AL1115">
        <f t="shared" si="505"/>
        <v>0</v>
      </c>
      <c r="AM1115">
        <f t="shared" ca="1" si="497"/>
        <v>2.6560383008097266E-7</v>
      </c>
      <c r="AN1115" t="str">
        <f t="shared" ca="1" si="498"/>
        <v>Subcritical</v>
      </c>
      <c r="AO1115">
        <f t="shared" ca="1" si="499"/>
        <v>2.2562304480281055E-12</v>
      </c>
    </row>
    <row r="1116" spans="1:41" x14ac:dyDescent="0.35">
      <c r="A1116">
        <v>967</v>
      </c>
      <c r="B1116">
        <v>965.89</v>
      </c>
      <c r="C1116">
        <v>616082.603</v>
      </c>
      <c r="D1116">
        <v>3097038.0180000002</v>
      </c>
      <c r="E1116">
        <v>632.07899999999995</v>
      </c>
      <c r="F1116">
        <v>5.2</v>
      </c>
      <c r="G1116">
        <v>0</v>
      </c>
      <c r="H1116" t="s">
        <v>186</v>
      </c>
      <c r="I1116">
        <v>0</v>
      </c>
      <c r="J1116">
        <f t="shared" si="500"/>
        <v>1</v>
      </c>
      <c r="K1116">
        <f t="shared" si="501"/>
        <v>51</v>
      </c>
      <c r="L1116">
        <f t="shared" ca="1" si="502"/>
        <v>51797.843837663619</v>
      </c>
      <c r="M1116">
        <f t="shared" ca="1" si="479"/>
        <v>269348.78795585083</v>
      </c>
      <c r="N1116">
        <f t="shared" ca="1" si="480"/>
        <v>2.5998694991876676</v>
      </c>
      <c r="O1116">
        <f t="shared" ca="1" si="481"/>
        <v>1.8934557080078435E-4</v>
      </c>
      <c r="P1116">
        <f t="shared" ca="1" si="482"/>
        <v>52429.922837663617</v>
      </c>
      <c r="Q1116">
        <f t="shared" ca="1" si="483"/>
        <v>52429.922837665443</v>
      </c>
      <c r="R1116">
        <f t="shared" ca="1" si="484"/>
        <v>2.2564415439646509E-12</v>
      </c>
      <c r="S1116">
        <f t="shared" ca="1" si="503"/>
        <v>5.0000000192085281E-4</v>
      </c>
      <c r="T1116">
        <f t="shared" ca="1" si="504"/>
        <v>1</v>
      </c>
      <c r="U1116">
        <f t="shared" ca="1" si="485"/>
        <v>51800.26683766341</v>
      </c>
      <c r="V1116">
        <f t="shared" ca="1" si="486"/>
        <v>269361.38755584974</v>
      </c>
      <c r="W1116">
        <f t="shared" ca="1" si="487"/>
        <v>2.5998695052916441</v>
      </c>
      <c r="X1116">
        <f t="shared" ca="1" si="488"/>
        <v>1.8933671400629237E-4</v>
      </c>
      <c r="Y1116">
        <f t="shared" ca="1" si="489"/>
        <v>52432.345837663408</v>
      </c>
      <c r="Z1116">
        <f t="shared" ca="1" si="490"/>
        <v>52432.345837665234</v>
      </c>
      <c r="AA1116">
        <f t="shared" ca="1" si="491"/>
        <v>2.2562304480281055E-12</v>
      </c>
      <c r="AB1116">
        <f t="shared" ca="1" si="492"/>
        <v>-4.999999946448952E-4</v>
      </c>
      <c r="AC1116">
        <f t="shared" ca="1" si="493"/>
        <v>1</v>
      </c>
      <c r="AD1116">
        <f ca="1">IF(V32="Supercritical",L1116,IF(V32="Subcritical",U1116,IF(AND(T1116=1,AC1116=1),IF((((F1116)*(L1116)^2)/2+(G1116)*(L1116)^3/3+(ABS(K1116)^2)/($I$5*MAX(((F1116)+(G1116)*(L1116))*(L1116),0.000001)))&gt;=(((F1116)*(U1116)^2)/2+(G1116)*(U1116)^3/3+(ABS(K1116)^2)/($I$5*MAX(((F1116)+(G1116)*(U1116))*(U1116),0.000001))),L1116,U1116),IF(T1116=1,L1116,IF(AC1116=1,U1116,MAX($D$16,POWER((ABS(K1116)^2)/($I$5*MAX(F1116,0.1)^2),1/3)))))))</f>
        <v>51800.26683766341</v>
      </c>
      <c r="AE1116">
        <f t="shared" ca="1" si="494"/>
        <v>52432.345837663408</v>
      </c>
      <c r="AF1116">
        <f t="shared" ca="1" si="495"/>
        <v>52432.345837665234</v>
      </c>
      <c r="AI1116">
        <v>0</v>
      </c>
      <c r="AJ1116">
        <v>0</v>
      </c>
      <c r="AK1116">
        <f t="shared" si="496"/>
        <v>0</v>
      </c>
      <c r="AL1116">
        <f t="shared" si="505"/>
        <v>0</v>
      </c>
      <c r="AM1116">
        <f t="shared" ca="1" si="497"/>
        <v>2.6560383008097266E-7</v>
      </c>
      <c r="AN1116" t="str">
        <f t="shared" ca="1" si="498"/>
        <v>Subcritical</v>
      </c>
      <c r="AO1116">
        <f t="shared" ca="1" si="499"/>
        <v>2.2562304480281055E-12</v>
      </c>
    </row>
    <row r="1117" spans="1:41" x14ac:dyDescent="0.35">
      <c r="A1117">
        <v>968</v>
      </c>
      <c r="B1117">
        <v>966.89</v>
      </c>
      <c r="C1117">
        <v>616082.56099999999</v>
      </c>
      <c r="D1117">
        <v>3097037.0189999999</v>
      </c>
      <c r="E1117">
        <v>632.07849999999996</v>
      </c>
      <c r="F1117">
        <v>5.2</v>
      </c>
      <c r="G1117">
        <v>0</v>
      </c>
      <c r="H1117" t="s">
        <v>186</v>
      </c>
      <c r="I1117">
        <v>5.7000000000000002E-2</v>
      </c>
      <c r="J1117">
        <f t="shared" si="500"/>
        <v>1</v>
      </c>
      <c r="K1117">
        <f t="shared" si="501"/>
        <v>51</v>
      </c>
      <c r="L1117">
        <f t="shared" ca="1" si="502"/>
        <v>51797.843837663619</v>
      </c>
      <c r="M1117">
        <f t="shared" ca="1" si="479"/>
        <v>269348.78795585083</v>
      </c>
      <c r="N1117">
        <f t="shared" ca="1" si="480"/>
        <v>2.5998694991876676</v>
      </c>
      <c r="O1117">
        <f t="shared" ca="1" si="481"/>
        <v>1.8934557080078435E-4</v>
      </c>
      <c r="P1117">
        <f t="shared" ca="1" si="482"/>
        <v>52429.922337663622</v>
      </c>
      <c r="Q1117">
        <f t="shared" ca="1" si="483"/>
        <v>52429.922337665448</v>
      </c>
      <c r="R1117">
        <f t="shared" ca="1" si="484"/>
        <v>2.2564415439646509E-12</v>
      </c>
      <c r="S1117">
        <f t="shared" ca="1" si="503"/>
        <v>4.999999946448952E-4</v>
      </c>
      <c r="T1117">
        <f t="shared" ca="1" si="504"/>
        <v>1</v>
      </c>
      <c r="U1117">
        <f t="shared" ca="1" si="485"/>
        <v>51800.26683766341</v>
      </c>
      <c r="V1117">
        <f t="shared" ca="1" si="486"/>
        <v>269361.38755584974</v>
      </c>
      <c r="W1117">
        <f t="shared" ca="1" si="487"/>
        <v>2.5998695052916441</v>
      </c>
      <c r="X1117">
        <f t="shared" ca="1" si="488"/>
        <v>1.8933671400629237E-4</v>
      </c>
      <c r="Y1117">
        <f t="shared" ca="1" si="489"/>
        <v>52432.345337663413</v>
      </c>
      <c r="Z1117">
        <f t="shared" ca="1" si="490"/>
        <v>52432.34533766524</v>
      </c>
      <c r="AA1117">
        <f t="shared" ca="1" si="491"/>
        <v>2.2562304480281055E-12</v>
      </c>
      <c r="AB1117">
        <f t="shared" ca="1" si="492"/>
        <v>-5.0000000192085281E-4</v>
      </c>
      <c r="AC1117">
        <f t="shared" ca="1" si="493"/>
        <v>1</v>
      </c>
      <c r="AD1117">
        <f ca="1">IF(V32="Supercritical",L1117,IF(V32="Subcritical",U1117,IF(AND(T1117=1,AC1117=1),IF((((F1117)*(L1117)^2)/2+(G1117)*(L1117)^3/3+(ABS(K1117)^2)/($I$5*MAX(((F1117)+(G1117)*(L1117))*(L1117),0.000001)))&gt;=(((F1117)*(U1117)^2)/2+(G1117)*(U1117)^3/3+(ABS(K1117)^2)/($I$5*MAX(((F1117)+(G1117)*(U1117))*(U1117),0.000001))),L1117,U1117),IF(T1117=1,L1117,IF(AC1117=1,U1117,MAX($D$16,POWER((ABS(K1117)^2)/($I$5*MAX(F1117,0.1)^2),1/3)))))))</f>
        <v>51800.26683766341</v>
      </c>
      <c r="AE1117">
        <f t="shared" ca="1" si="494"/>
        <v>52432.345337663413</v>
      </c>
      <c r="AF1117">
        <f t="shared" ca="1" si="495"/>
        <v>52432.34533766524</v>
      </c>
      <c r="AI1117">
        <v>0</v>
      </c>
      <c r="AJ1117">
        <v>0</v>
      </c>
      <c r="AK1117">
        <f t="shared" si="496"/>
        <v>0</v>
      </c>
      <c r="AL1117">
        <f t="shared" si="505"/>
        <v>0</v>
      </c>
      <c r="AM1117">
        <f t="shared" ca="1" si="497"/>
        <v>2.6560383008097266E-7</v>
      </c>
      <c r="AN1117" t="str">
        <f t="shared" ca="1" si="498"/>
        <v>Subcritical</v>
      </c>
      <c r="AO1117">
        <f t="shared" ca="1" si="499"/>
        <v>2.2562304480281055E-12</v>
      </c>
    </row>
    <row r="1118" spans="1:41" x14ac:dyDescent="0.35">
      <c r="A1118">
        <v>969</v>
      </c>
      <c r="B1118">
        <v>967.88900000000001</v>
      </c>
      <c r="C1118">
        <v>616082.51800000004</v>
      </c>
      <c r="D1118">
        <v>3097036.02</v>
      </c>
      <c r="E1118">
        <v>632.07799999999997</v>
      </c>
      <c r="F1118">
        <v>5.2</v>
      </c>
      <c r="G1118">
        <v>0</v>
      </c>
      <c r="H1118" t="s">
        <v>186</v>
      </c>
      <c r="I1118">
        <v>5.7000000000000002E-2</v>
      </c>
      <c r="J1118">
        <f t="shared" si="500"/>
        <v>0.99900000000002365</v>
      </c>
      <c r="K1118">
        <f t="shared" si="501"/>
        <v>51</v>
      </c>
      <c r="L1118">
        <f t="shared" ca="1" si="502"/>
        <v>51797.843837663619</v>
      </c>
      <c r="M1118">
        <f t="shared" ca="1" si="479"/>
        <v>269348.78795585083</v>
      </c>
      <c r="N1118">
        <f t="shared" ca="1" si="480"/>
        <v>2.5998694991876676</v>
      </c>
      <c r="O1118">
        <f t="shared" ca="1" si="481"/>
        <v>1.8934557080078435E-4</v>
      </c>
      <c r="P1118">
        <f t="shared" ca="1" si="482"/>
        <v>52429.92183766362</v>
      </c>
      <c r="Q1118">
        <f t="shared" ca="1" si="483"/>
        <v>52429.921837665446</v>
      </c>
      <c r="R1118">
        <f t="shared" ca="1" si="484"/>
        <v>2.2564415439646509E-12</v>
      </c>
      <c r="S1118">
        <f t="shared" ca="1" si="503"/>
        <v>5.0000000192085281E-4</v>
      </c>
      <c r="T1118">
        <f t="shared" ca="1" si="504"/>
        <v>1</v>
      </c>
      <c r="U1118">
        <f t="shared" ca="1" si="485"/>
        <v>51800.26683766341</v>
      </c>
      <c r="V1118">
        <f t="shared" ca="1" si="486"/>
        <v>269361.38755584974</v>
      </c>
      <c r="W1118">
        <f t="shared" ca="1" si="487"/>
        <v>2.5998695052916441</v>
      </c>
      <c r="X1118">
        <f t="shared" ca="1" si="488"/>
        <v>1.8933671400629237E-4</v>
      </c>
      <c r="Y1118">
        <f t="shared" ca="1" si="489"/>
        <v>52432.344837663411</v>
      </c>
      <c r="Z1118">
        <f t="shared" ca="1" si="490"/>
        <v>52432.344837665238</v>
      </c>
      <c r="AA1118">
        <f t="shared" ca="1" si="491"/>
        <v>2.2562304480281055E-12</v>
      </c>
      <c r="AB1118">
        <f t="shared" ca="1" si="492"/>
        <v>-5.0000000192085281E-4</v>
      </c>
      <c r="AC1118">
        <f t="shared" ca="1" si="493"/>
        <v>1</v>
      </c>
      <c r="AD1118">
        <f ca="1">IF(V32="Supercritical",L1118,IF(V32="Subcritical",U1118,IF(AND(T1118=1,AC1118=1),IF((((F1118)*(L1118)^2)/2+(G1118)*(L1118)^3/3+(ABS(K1118)^2)/($I$5*MAX(((F1118)+(G1118)*(L1118))*(L1118),0.000001)))&gt;=(((F1118)*(U1118)^2)/2+(G1118)*(U1118)^3/3+(ABS(K1118)^2)/($I$5*MAX(((F1118)+(G1118)*(U1118))*(U1118),0.000001))),L1118,U1118),IF(T1118=1,L1118,IF(AC1118=1,U1118,MAX($D$16,POWER((ABS(K1118)^2)/($I$5*MAX(F1118,0.1)^2),1/3)))))))</f>
        <v>51800.26683766341</v>
      </c>
      <c r="AE1118">
        <f t="shared" ca="1" si="494"/>
        <v>52432.344837663411</v>
      </c>
      <c r="AF1118">
        <f t="shared" ca="1" si="495"/>
        <v>52432.344837665238</v>
      </c>
      <c r="AI1118">
        <v>0</v>
      </c>
      <c r="AJ1118">
        <v>0</v>
      </c>
      <c r="AK1118">
        <f t="shared" si="496"/>
        <v>0</v>
      </c>
      <c r="AL1118">
        <f t="shared" si="505"/>
        <v>0</v>
      </c>
      <c r="AM1118">
        <f t="shared" ca="1" si="497"/>
        <v>2.6560383008097266E-7</v>
      </c>
      <c r="AN1118" t="str">
        <f t="shared" ca="1" si="498"/>
        <v>Subcritical</v>
      </c>
      <c r="AO1118">
        <f t="shared" ca="1" si="499"/>
        <v>2.2562304480281055E-12</v>
      </c>
    </row>
    <row r="1119" spans="1:41" x14ac:dyDescent="0.35">
      <c r="A1119">
        <v>970</v>
      </c>
      <c r="B1119">
        <v>968.88900000000001</v>
      </c>
      <c r="C1119">
        <v>616082.47600000002</v>
      </c>
      <c r="D1119">
        <v>3097035.0210000002</v>
      </c>
      <c r="E1119">
        <v>632.07749999999999</v>
      </c>
      <c r="F1119">
        <v>5.2</v>
      </c>
      <c r="G1119">
        <v>0</v>
      </c>
      <c r="H1119" t="s">
        <v>186</v>
      </c>
      <c r="I1119">
        <v>0</v>
      </c>
      <c r="J1119">
        <f t="shared" si="500"/>
        <v>1</v>
      </c>
      <c r="K1119">
        <f t="shared" si="501"/>
        <v>51</v>
      </c>
      <c r="L1119">
        <f t="shared" ca="1" si="502"/>
        <v>51797.843837663619</v>
      </c>
      <c r="M1119">
        <f t="shared" ca="1" si="479"/>
        <v>269348.78795585083</v>
      </c>
      <c r="N1119">
        <f t="shared" ca="1" si="480"/>
        <v>2.5998694991876676</v>
      </c>
      <c r="O1119">
        <f t="shared" ca="1" si="481"/>
        <v>1.8934557080078435E-4</v>
      </c>
      <c r="P1119">
        <f t="shared" ca="1" si="482"/>
        <v>52429.921337663618</v>
      </c>
      <c r="Q1119">
        <f t="shared" ca="1" si="483"/>
        <v>52429.921337665444</v>
      </c>
      <c r="R1119">
        <f t="shared" ca="1" si="484"/>
        <v>2.2564415439646509E-12</v>
      </c>
      <c r="S1119">
        <f t="shared" ca="1" si="503"/>
        <v>5.0000000192085281E-4</v>
      </c>
      <c r="T1119">
        <f t="shared" ca="1" si="504"/>
        <v>1</v>
      </c>
      <c r="U1119">
        <f t="shared" ca="1" si="485"/>
        <v>51800.26683766341</v>
      </c>
      <c r="V1119">
        <f t="shared" ca="1" si="486"/>
        <v>269361.38755584974</v>
      </c>
      <c r="W1119">
        <f t="shared" ca="1" si="487"/>
        <v>2.5998695052916441</v>
      </c>
      <c r="X1119">
        <f t="shared" ca="1" si="488"/>
        <v>1.8933671400629237E-4</v>
      </c>
      <c r="Y1119">
        <f t="shared" ca="1" si="489"/>
        <v>52432.34433766341</v>
      </c>
      <c r="Z1119">
        <f t="shared" ca="1" si="490"/>
        <v>52432.344337665236</v>
      </c>
      <c r="AA1119">
        <f t="shared" ca="1" si="491"/>
        <v>2.2562304480281055E-12</v>
      </c>
      <c r="AB1119">
        <f t="shared" ca="1" si="492"/>
        <v>-5.0000000192085281E-4</v>
      </c>
      <c r="AC1119">
        <f t="shared" ca="1" si="493"/>
        <v>1</v>
      </c>
      <c r="AD1119">
        <f ca="1">IF(V32="Supercritical",L1119,IF(V32="Subcritical",U1119,IF(AND(T1119=1,AC1119=1),IF((((F1119)*(L1119)^2)/2+(G1119)*(L1119)^3/3+(ABS(K1119)^2)/($I$5*MAX(((F1119)+(G1119)*(L1119))*(L1119),0.000001)))&gt;=(((F1119)*(U1119)^2)/2+(G1119)*(U1119)^3/3+(ABS(K1119)^2)/($I$5*MAX(((F1119)+(G1119)*(U1119))*(U1119),0.000001))),L1119,U1119),IF(T1119=1,L1119,IF(AC1119=1,U1119,MAX($D$16,POWER((ABS(K1119)^2)/($I$5*MAX(F1119,0.1)^2),1/3)))))))</f>
        <v>51800.26683766341</v>
      </c>
      <c r="AE1119">
        <f t="shared" ca="1" si="494"/>
        <v>52432.34433766341</v>
      </c>
      <c r="AF1119">
        <f t="shared" ca="1" si="495"/>
        <v>52432.344337665236</v>
      </c>
      <c r="AI1119">
        <v>0</v>
      </c>
      <c r="AJ1119">
        <v>0</v>
      </c>
      <c r="AK1119">
        <f t="shared" si="496"/>
        <v>0</v>
      </c>
      <c r="AL1119">
        <f t="shared" si="505"/>
        <v>0</v>
      </c>
      <c r="AM1119">
        <f t="shared" ca="1" si="497"/>
        <v>2.6560383008097266E-7</v>
      </c>
      <c r="AN1119" t="str">
        <f t="shared" ca="1" si="498"/>
        <v>Subcritical</v>
      </c>
      <c r="AO1119">
        <f t="shared" ca="1" si="499"/>
        <v>2.2562304480281055E-12</v>
      </c>
    </row>
    <row r="1120" spans="1:41" x14ac:dyDescent="0.35">
      <c r="A1120">
        <v>971</v>
      </c>
      <c r="B1120">
        <v>969.88900000000001</v>
      </c>
      <c r="C1120">
        <v>616082.43400000001</v>
      </c>
      <c r="D1120">
        <v>3097034.0219999999</v>
      </c>
      <c r="E1120">
        <v>632.077</v>
      </c>
      <c r="F1120">
        <v>5.2</v>
      </c>
      <c r="G1120">
        <v>0</v>
      </c>
      <c r="H1120" t="s">
        <v>186</v>
      </c>
      <c r="I1120">
        <v>0</v>
      </c>
      <c r="J1120">
        <f t="shared" si="500"/>
        <v>1</v>
      </c>
      <c r="K1120">
        <f t="shared" si="501"/>
        <v>51</v>
      </c>
      <c r="L1120">
        <f t="shared" ca="1" si="502"/>
        <v>51797.843837663619</v>
      </c>
      <c r="M1120">
        <f t="shared" ca="1" si="479"/>
        <v>269348.78795585083</v>
      </c>
      <c r="N1120">
        <f t="shared" ca="1" si="480"/>
        <v>2.5998694991876676</v>
      </c>
      <c r="O1120">
        <f t="shared" ca="1" si="481"/>
        <v>1.8934557080078435E-4</v>
      </c>
      <c r="P1120">
        <f t="shared" ca="1" si="482"/>
        <v>52429.920837663616</v>
      </c>
      <c r="Q1120">
        <f t="shared" ca="1" si="483"/>
        <v>52429.920837665442</v>
      </c>
      <c r="R1120">
        <f t="shared" ca="1" si="484"/>
        <v>2.2564415439646509E-12</v>
      </c>
      <c r="S1120">
        <f t="shared" ca="1" si="503"/>
        <v>5.0000000192085281E-4</v>
      </c>
      <c r="T1120">
        <f t="shared" ca="1" si="504"/>
        <v>1</v>
      </c>
      <c r="U1120">
        <f t="shared" ca="1" si="485"/>
        <v>51800.26683766341</v>
      </c>
      <c r="V1120">
        <f t="shared" ca="1" si="486"/>
        <v>269361.38755584974</v>
      </c>
      <c r="W1120">
        <f t="shared" ca="1" si="487"/>
        <v>2.5998695052916441</v>
      </c>
      <c r="X1120">
        <f t="shared" ca="1" si="488"/>
        <v>1.8933671400629237E-4</v>
      </c>
      <c r="Y1120">
        <f t="shared" ca="1" si="489"/>
        <v>52432.343837663408</v>
      </c>
      <c r="Z1120">
        <f t="shared" ca="1" si="490"/>
        <v>52432.343837665234</v>
      </c>
      <c r="AA1120">
        <f t="shared" ca="1" si="491"/>
        <v>2.2562304480281055E-12</v>
      </c>
      <c r="AB1120">
        <f t="shared" ca="1" si="492"/>
        <v>-4.999999946448952E-4</v>
      </c>
      <c r="AC1120">
        <f t="shared" ca="1" si="493"/>
        <v>1</v>
      </c>
      <c r="AD1120">
        <f ca="1">IF(V32="Supercritical",L1120,IF(V32="Subcritical",U1120,IF(AND(T1120=1,AC1120=1),IF((((F1120)*(L1120)^2)/2+(G1120)*(L1120)^3/3+(ABS(K1120)^2)/($I$5*MAX(((F1120)+(G1120)*(L1120))*(L1120),0.000001)))&gt;=(((F1120)*(U1120)^2)/2+(G1120)*(U1120)^3/3+(ABS(K1120)^2)/($I$5*MAX(((F1120)+(G1120)*(U1120))*(U1120),0.000001))),L1120,U1120),IF(T1120=1,L1120,IF(AC1120=1,U1120,MAX($D$16,POWER((ABS(K1120)^2)/($I$5*MAX(F1120,0.1)^2),1/3)))))))</f>
        <v>51800.26683766341</v>
      </c>
      <c r="AE1120">
        <f t="shared" ca="1" si="494"/>
        <v>52432.343837663408</v>
      </c>
      <c r="AF1120">
        <f t="shared" ca="1" si="495"/>
        <v>52432.343837665234</v>
      </c>
      <c r="AI1120">
        <v>0</v>
      </c>
      <c r="AJ1120">
        <v>0</v>
      </c>
      <c r="AK1120">
        <f t="shared" si="496"/>
        <v>0</v>
      </c>
      <c r="AL1120">
        <f t="shared" si="505"/>
        <v>0</v>
      </c>
      <c r="AM1120">
        <f t="shared" ca="1" si="497"/>
        <v>2.6560383008097266E-7</v>
      </c>
      <c r="AN1120" t="str">
        <f t="shared" ca="1" si="498"/>
        <v>Subcritical</v>
      </c>
      <c r="AO1120">
        <f t="shared" ca="1" si="499"/>
        <v>2.2562304480281055E-12</v>
      </c>
    </row>
    <row r="1121" spans="1:41" x14ac:dyDescent="0.35">
      <c r="A1121">
        <v>972</v>
      </c>
      <c r="B1121">
        <v>970.88900000000001</v>
      </c>
      <c r="C1121">
        <v>616082.39199999999</v>
      </c>
      <c r="D1121">
        <v>3097033.023</v>
      </c>
      <c r="E1121">
        <v>632.07650000000001</v>
      </c>
      <c r="F1121">
        <v>5.2</v>
      </c>
      <c r="G1121">
        <v>0</v>
      </c>
      <c r="H1121" t="s">
        <v>186</v>
      </c>
      <c r="I1121">
        <v>5.7000000000000002E-2</v>
      </c>
      <c r="J1121">
        <f t="shared" si="500"/>
        <v>1</v>
      </c>
      <c r="K1121">
        <f t="shared" si="501"/>
        <v>51</v>
      </c>
      <c r="L1121">
        <f t="shared" ca="1" si="502"/>
        <v>51797.843837663619</v>
      </c>
      <c r="M1121">
        <f t="shared" ca="1" si="479"/>
        <v>269348.78795585083</v>
      </c>
      <c r="N1121">
        <f t="shared" ca="1" si="480"/>
        <v>2.5998694991876676</v>
      </c>
      <c r="O1121">
        <f t="shared" ca="1" si="481"/>
        <v>1.8934557080078435E-4</v>
      </c>
      <c r="P1121">
        <f t="shared" ca="1" si="482"/>
        <v>52429.920337663621</v>
      </c>
      <c r="Q1121">
        <f t="shared" ca="1" si="483"/>
        <v>52429.920337665448</v>
      </c>
      <c r="R1121">
        <f t="shared" ca="1" si="484"/>
        <v>2.2564415439646509E-12</v>
      </c>
      <c r="S1121">
        <f t="shared" ca="1" si="503"/>
        <v>4.999999946448952E-4</v>
      </c>
      <c r="T1121">
        <f t="shared" ca="1" si="504"/>
        <v>1</v>
      </c>
      <c r="U1121">
        <f t="shared" ca="1" si="485"/>
        <v>51800.26683766341</v>
      </c>
      <c r="V1121">
        <f t="shared" ca="1" si="486"/>
        <v>269361.38755584974</v>
      </c>
      <c r="W1121">
        <f t="shared" ca="1" si="487"/>
        <v>2.5998695052916441</v>
      </c>
      <c r="X1121">
        <f t="shared" ca="1" si="488"/>
        <v>1.8933671400629237E-4</v>
      </c>
      <c r="Y1121">
        <f t="shared" ca="1" si="489"/>
        <v>52432.343337663413</v>
      </c>
      <c r="Z1121">
        <f t="shared" ca="1" si="490"/>
        <v>52432.343337665239</v>
      </c>
      <c r="AA1121">
        <f t="shared" ca="1" si="491"/>
        <v>2.2562304480281055E-12</v>
      </c>
      <c r="AB1121">
        <f t="shared" ca="1" si="492"/>
        <v>-5.0000000192085281E-4</v>
      </c>
      <c r="AC1121">
        <f t="shared" ca="1" si="493"/>
        <v>1</v>
      </c>
      <c r="AD1121">
        <f ca="1">IF(V32="Supercritical",L1121,IF(V32="Subcritical",U1121,IF(AND(T1121=1,AC1121=1),IF((((F1121)*(L1121)^2)/2+(G1121)*(L1121)^3/3+(ABS(K1121)^2)/($I$5*MAX(((F1121)+(G1121)*(L1121))*(L1121),0.000001)))&gt;=(((F1121)*(U1121)^2)/2+(G1121)*(U1121)^3/3+(ABS(K1121)^2)/($I$5*MAX(((F1121)+(G1121)*(U1121))*(U1121),0.000001))),L1121,U1121),IF(T1121=1,L1121,IF(AC1121=1,U1121,MAX($D$16,POWER((ABS(K1121)^2)/($I$5*MAX(F1121,0.1)^2),1/3)))))))</f>
        <v>51800.26683766341</v>
      </c>
      <c r="AE1121">
        <f t="shared" ca="1" si="494"/>
        <v>52432.343337663413</v>
      </c>
      <c r="AF1121">
        <f t="shared" ca="1" si="495"/>
        <v>52432.343337665239</v>
      </c>
      <c r="AI1121">
        <v>0</v>
      </c>
      <c r="AJ1121">
        <v>0</v>
      </c>
      <c r="AK1121">
        <f t="shared" si="496"/>
        <v>0</v>
      </c>
      <c r="AL1121">
        <f t="shared" si="505"/>
        <v>0</v>
      </c>
      <c r="AM1121">
        <f t="shared" ca="1" si="497"/>
        <v>2.6560383008097266E-7</v>
      </c>
      <c r="AN1121" t="str">
        <f t="shared" ca="1" si="498"/>
        <v>Subcritical</v>
      </c>
      <c r="AO1121">
        <f t="shared" ca="1" si="499"/>
        <v>2.2562304480281055E-12</v>
      </c>
    </row>
    <row r="1122" spans="1:41" x14ac:dyDescent="0.35">
      <c r="A1122">
        <v>973</v>
      </c>
      <c r="B1122">
        <v>971.88900000000001</v>
      </c>
      <c r="C1122">
        <v>616082.34900000005</v>
      </c>
      <c r="D1122">
        <v>3097032.0240000002</v>
      </c>
      <c r="E1122">
        <v>632.07600000000002</v>
      </c>
      <c r="F1122">
        <v>5.2</v>
      </c>
      <c r="G1122">
        <v>0</v>
      </c>
      <c r="H1122" t="s">
        <v>186</v>
      </c>
      <c r="I1122">
        <v>5.7000000000000002E-2</v>
      </c>
      <c r="J1122">
        <f t="shared" si="500"/>
        <v>1</v>
      </c>
      <c r="K1122">
        <f t="shared" si="501"/>
        <v>51</v>
      </c>
      <c r="L1122">
        <f t="shared" ca="1" si="502"/>
        <v>51797.843837663619</v>
      </c>
      <c r="M1122">
        <f t="shared" ca="1" si="479"/>
        <v>269348.78795585083</v>
      </c>
      <c r="N1122">
        <f t="shared" ca="1" si="480"/>
        <v>2.5998694991876676</v>
      </c>
      <c r="O1122">
        <f t="shared" ca="1" si="481"/>
        <v>1.8934557080078435E-4</v>
      </c>
      <c r="P1122">
        <f t="shared" ca="1" si="482"/>
        <v>52429.91983766362</v>
      </c>
      <c r="Q1122">
        <f t="shared" ca="1" si="483"/>
        <v>52429.919837665446</v>
      </c>
      <c r="R1122">
        <f t="shared" ca="1" si="484"/>
        <v>2.2564415439646509E-12</v>
      </c>
      <c r="S1122">
        <f t="shared" ca="1" si="503"/>
        <v>5.0000000192085281E-4</v>
      </c>
      <c r="T1122">
        <f t="shared" ca="1" si="504"/>
        <v>1</v>
      </c>
      <c r="U1122">
        <f t="shared" ca="1" si="485"/>
        <v>51800.26683766341</v>
      </c>
      <c r="V1122">
        <f t="shared" ca="1" si="486"/>
        <v>269361.38755584974</v>
      </c>
      <c r="W1122">
        <f t="shared" ca="1" si="487"/>
        <v>2.5998695052916441</v>
      </c>
      <c r="X1122">
        <f t="shared" ca="1" si="488"/>
        <v>1.8933671400629237E-4</v>
      </c>
      <c r="Y1122">
        <f t="shared" ca="1" si="489"/>
        <v>52432.342837663411</v>
      </c>
      <c r="Z1122">
        <f t="shared" ca="1" si="490"/>
        <v>52432.342837665237</v>
      </c>
      <c r="AA1122">
        <f t="shared" ca="1" si="491"/>
        <v>2.2562304480281055E-12</v>
      </c>
      <c r="AB1122">
        <f t="shared" ca="1" si="492"/>
        <v>-5.0000000192085281E-4</v>
      </c>
      <c r="AC1122">
        <f t="shared" ca="1" si="493"/>
        <v>1</v>
      </c>
      <c r="AD1122">
        <f ca="1">IF(V32="Supercritical",L1122,IF(V32="Subcritical",U1122,IF(AND(T1122=1,AC1122=1),IF((((F1122)*(L1122)^2)/2+(G1122)*(L1122)^3/3+(ABS(K1122)^2)/($I$5*MAX(((F1122)+(G1122)*(L1122))*(L1122),0.000001)))&gt;=(((F1122)*(U1122)^2)/2+(G1122)*(U1122)^3/3+(ABS(K1122)^2)/($I$5*MAX(((F1122)+(G1122)*(U1122))*(U1122),0.000001))),L1122,U1122),IF(T1122=1,L1122,IF(AC1122=1,U1122,MAX($D$16,POWER((ABS(K1122)^2)/($I$5*MAX(F1122,0.1)^2),1/3)))))))</f>
        <v>51800.26683766341</v>
      </c>
      <c r="AE1122">
        <f t="shared" ca="1" si="494"/>
        <v>52432.342837663411</v>
      </c>
      <c r="AF1122">
        <f t="shared" ca="1" si="495"/>
        <v>52432.342837665237</v>
      </c>
      <c r="AI1122">
        <v>0</v>
      </c>
      <c r="AJ1122">
        <v>0</v>
      </c>
      <c r="AK1122">
        <f t="shared" si="496"/>
        <v>0</v>
      </c>
      <c r="AL1122">
        <f t="shared" si="505"/>
        <v>0</v>
      </c>
      <c r="AM1122">
        <f t="shared" ca="1" si="497"/>
        <v>2.6560383008097266E-7</v>
      </c>
      <c r="AN1122" t="str">
        <f t="shared" ca="1" si="498"/>
        <v>Subcritical</v>
      </c>
      <c r="AO1122">
        <f t="shared" ca="1" si="499"/>
        <v>2.2562304480281055E-12</v>
      </c>
    </row>
    <row r="1123" spans="1:41" x14ac:dyDescent="0.35">
      <c r="A1123">
        <v>974</v>
      </c>
      <c r="B1123">
        <v>972.88900000000001</v>
      </c>
      <c r="C1123">
        <v>616082.30700000003</v>
      </c>
      <c r="D1123">
        <v>3097031.0249999999</v>
      </c>
      <c r="E1123">
        <v>632.07550000000003</v>
      </c>
      <c r="F1123">
        <v>5.2</v>
      </c>
      <c r="G1123">
        <v>0</v>
      </c>
      <c r="H1123" t="s">
        <v>186</v>
      </c>
      <c r="I1123">
        <v>0</v>
      </c>
      <c r="J1123">
        <f t="shared" si="500"/>
        <v>1</v>
      </c>
      <c r="K1123">
        <f t="shared" si="501"/>
        <v>51</v>
      </c>
      <c r="L1123">
        <f t="shared" ca="1" si="502"/>
        <v>51797.843837663619</v>
      </c>
      <c r="M1123">
        <f t="shared" ca="1" si="479"/>
        <v>269348.78795585083</v>
      </c>
      <c r="N1123">
        <f t="shared" ca="1" si="480"/>
        <v>2.5998694991876676</v>
      </c>
      <c r="O1123">
        <f t="shared" ca="1" si="481"/>
        <v>1.8934557080078435E-4</v>
      </c>
      <c r="P1123">
        <f t="shared" ca="1" si="482"/>
        <v>52429.919337663618</v>
      </c>
      <c r="Q1123">
        <f t="shared" ca="1" si="483"/>
        <v>52429.919337665444</v>
      </c>
      <c r="R1123">
        <f t="shared" ca="1" si="484"/>
        <v>2.2564415439646509E-12</v>
      </c>
      <c r="S1123">
        <f t="shared" ca="1" si="503"/>
        <v>5.0000000192085281E-4</v>
      </c>
      <c r="T1123">
        <f t="shared" ca="1" si="504"/>
        <v>1</v>
      </c>
      <c r="U1123">
        <f t="shared" ca="1" si="485"/>
        <v>51800.26683766341</v>
      </c>
      <c r="V1123">
        <f t="shared" ca="1" si="486"/>
        <v>269361.38755584974</v>
      </c>
      <c r="W1123">
        <f t="shared" ca="1" si="487"/>
        <v>2.5998695052916441</v>
      </c>
      <c r="X1123">
        <f t="shared" ca="1" si="488"/>
        <v>1.8933671400629237E-4</v>
      </c>
      <c r="Y1123">
        <f t="shared" ca="1" si="489"/>
        <v>52432.342337663409</v>
      </c>
      <c r="Z1123">
        <f t="shared" ca="1" si="490"/>
        <v>52432.342337665235</v>
      </c>
      <c r="AA1123">
        <f t="shared" ca="1" si="491"/>
        <v>2.2562304480281055E-12</v>
      </c>
      <c r="AB1123">
        <f t="shared" ca="1" si="492"/>
        <v>-5.0000000192085281E-4</v>
      </c>
      <c r="AC1123">
        <f t="shared" ca="1" si="493"/>
        <v>1</v>
      </c>
      <c r="AD1123">
        <f ca="1">IF(V32="Supercritical",L1123,IF(V32="Subcritical",U1123,IF(AND(T1123=1,AC1123=1),IF((((F1123)*(L1123)^2)/2+(G1123)*(L1123)^3/3+(ABS(K1123)^2)/($I$5*MAX(((F1123)+(G1123)*(L1123))*(L1123),0.000001)))&gt;=(((F1123)*(U1123)^2)/2+(G1123)*(U1123)^3/3+(ABS(K1123)^2)/($I$5*MAX(((F1123)+(G1123)*(U1123))*(U1123),0.000001))),L1123,U1123),IF(T1123=1,L1123,IF(AC1123=1,U1123,MAX($D$16,POWER((ABS(K1123)^2)/($I$5*MAX(F1123,0.1)^2),1/3)))))))</f>
        <v>51800.26683766341</v>
      </c>
      <c r="AE1123">
        <f t="shared" ca="1" si="494"/>
        <v>52432.342337663409</v>
      </c>
      <c r="AF1123">
        <f t="shared" ca="1" si="495"/>
        <v>52432.342337665235</v>
      </c>
      <c r="AI1123">
        <v>0</v>
      </c>
      <c r="AJ1123">
        <v>0</v>
      </c>
      <c r="AK1123">
        <f t="shared" si="496"/>
        <v>0</v>
      </c>
      <c r="AL1123">
        <f t="shared" si="505"/>
        <v>0</v>
      </c>
      <c r="AM1123">
        <f t="shared" ca="1" si="497"/>
        <v>2.6560383008097266E-7</v>
      </c>
      <c r="AN1123" t="str">
        <f t="shared" ca="1" si="498"/>
        <v>Subcritical</v>
      </c>
      <c r="AO1123">
        <f t="shared" ca="1" si="499"/>
        <v>2.2562304480281055E-12</v>
      </c>
    </row>
    <row r="1124" spans="1:41" x14ac:dyDescent="0.35">
      <c r="A1124">
        <v>975</v>
      </c>
      <c r="B1124">
        <v>973.88900000000001</v>
      </c>
      <c r="C1124">
        <v>616082.26500000001</v>
      </c>
      <c r="D1124">
        <v>3097030.0260000001</v>
      </c>
      <c r="E1124">
        <v>632.07500000000005</v>
      </c>
      <c r="F1124">
        <v>5.2</v>
      </c>
      <c r="G1124">
        <v>0</v>
      </c>
      <c r="H1124" t="s">
        <v>186</v>
      </c>
      <c r="I1124">
        <v>5.5E-2</v>
      </c>
      <c r="J1124">
        <f t="shared" si="500"/>
        <v>1</v>
      </c>
      <c r="K1124">
        <f t="shared" si="501"/>
        <v>51</v>
      </c>
      <c r="L1124">
        <f t="shared" ca="1" si="502"/>
        <v>51797.843837663619</v>
      </c>
      <c r="M1124">
        <f t="shared" ca="1" si="479"/>
        <v>269348.78795585083</v>
      </c>
      <c r="N1124">
        <f t="shared" ca="1" si="480"/>
        <v>2.5998694991876676</v>
      </c>
      <c r="O1124">
        <f t="shared" ca="1" si="481"/>
        <v>1.8934557080078435E-4</v>
      </c>
      <c r="P1124">
        <f t="shared" ca="1" si="482"/>
        <v>52429.918837663616</v>
      </c>
      <c r="Q1124">
        <f t="shared" ca="1" si="483"/>
        <v>52429.918837665442</v>
      </c>
      <c r="R1124">
        <f t="shared" ca="1" si="484"/>
        <v>2.2564415439646509E-12</v>
      </c>
      <c r="S1124">
        <f t="shared" ca="1" si="503"/>
        <v>5.0000000192085281E-4</v>
      </c>
      <c r="T1124">
        <f t="shared" ca="1" si="504"/>
        <v>1</v>
      </c>
      <c r="U1124">
        <f t="shared" ca="1" si="485"/>
        <v>51800.26683766341</v>
      </c>
      <c r="V1124">
        <f t="shared" ca="1" si="486"/>
        <v>269361.38755584974</v>
      </c>
      <c r="W1124">
        <f t="shared" ca="1" si="487"/>
        <v>2.5998695052916441</v>
      </c>
      <c r="X1124">
        <f t="shared" ca="1" si="488"/>
        <v>1.8933671400629237E-4</v>
      </c>
      <c r="Y1124">
        <f t="shared" ca="1" si="489"/>
        <v>52432.341837663407</v>
      </c>
      <c r="Z1124">
        <f t="shared" ca="1" si="490"/>
        <v>52432.341837665233</v>
      </c>
      <c r="AA1124">
        <f t="shared" ca="1" si="491"/>
        <v>2.2562304480281055E-12</v>
      </c>
      <c r="AB1124">
        <f t="shared" ca="1" si="492"/>
        <v>-4.999999946448952E-4</v>
      </c>
      <c r="AC1124">
        <f t="shared" ca="1" si="493"/>
        <v>1</v>
      </c>
      <c r="AD1124">
        <f ca="1">IF(V32="Supercritical",L1124,IF(V32="Subcritical",U1124,IF(AND(T1124=1,AC1124=1),IF((((F1124)*(L1124)^2)/2+(G1124)*(L1124)^3/3+(ABS(K1124)^2)/($I$5*MAX(((F1124)+(G1124)*(L1124))*(L1124),0.000001)))&gt;=(((F1124)*(U1124)^2)/2+(G1124)*(U1124)^3/3+(ABS(K1124)^2)/($I$5*MAX(((F1124)+(G1124)*(U1124))*(U1124),0.000001))),L1124,U1124),IF(T1124=1,L1124,IF(AC1124=1,U1124,MAX($D$16,POWER((ABS(K1124)^2)/($I$5*MAX(F1124,0.1)^2),1/3)))))))</f>
        <v>51800.26683766341</v>
      </c>
      <c r="AE1124">
        <f t="shared" ca="1" si="494"/>
        <v>52432.341837663407</v>
      </c>
      <c r="AF1124">
        <f t="shared" ca="1" si="495"/>
        <v>52432.341837665233</v>
      </c>
      <c r="AI1124">
        <v>0</v>
      </c>
      <c r="AJ1124">
        <v>0</v>
      </c>
      <c r="AK1124">
        <f t="shared" si="496"/>
        <v>0</v>
      </c>
      <c r="AL1124">
        <f t="shared" si="505"/>
        <v>0</v>
      </c>
      <c r="AM1124">
        <f t="shared" ca="1" si="497"/>
        <v>2.6560383008097266E-7</v>
      </c>
      <c r="AN1124" t="str">
        <f t="shared" ca="1" si="498"/>
        <v>Subcritical</v>
      </c>
      <c r="AO1124">
        <f t="shared" ca="1" si="499"/>
        <v>2.2562304480281055E-12</v>
      </c>
    </row>
    <row r="1125" spans="1:41" x14ac:dyDescent="0.35">
      <c r="A1125">
        <v>976</v>
      </c>
      <c r="B1125">
        <v>974.89</v>
      </c>
      <c r="C1125">
        <v>616082.22199999995</v>
      </c>
      <c r="D1125">
        <v>3097029.0260000001</v>
      </c>
      <c r="E1125">
        <v>632.07449999999994</v>
      </c>
      <c r="F1125">
        <v>5.2</v>
      </c>
      <c r="G1125">
        <v>0</v>
      </c>
      <c r="H1125" t="s">
        <v>186</v>
      </c>
      <c r="I1125">
        <v>5.5E-2</v>
      </c>
      <c r="J1125">
        <f t="shared" si="500"/>
        <v>1.0009999999999764</v>
      </c>
      <c r="K1125">
        <f t="shared" si="501"/>
        <v>51</v>
      </c>
      <c r="L1125">
        <f t="shared" ca="1" si="502"/>
        <v>51797.843837663619</v>
      </c>
      <c r="M1125">
        <f t="shared" ca="1" si="479"/>
        <v>269348.78795585083</v>
      </c>
      <c r="N1125">
        <f t="shared" ca="1" si="480"/>
        <v>2.5998694991876676</v>
      </c>
      <c r="O1125">
        <f t="shared" ca="1" si="481"/>
        <v>1.8934557080078435E-4</v>
      </c>
      <c r="P1125">
        <f t="shared" ca="1" si="482"/>
        <v>52429.918337663621</v>
      </c>
      <c r="Q1125">
        <f t="shared" ca="1" si="483"/>
        <v>52429.918337665447</v>
      </c>
      <c r="R1125">
        <f t="shared" ca="1" si="484"/>
        <v>2.2564415439646509E-12</v>
      </c>
      <c r="S1125">
        <f t="shared" ca="1" si="503"/>
        <v>4.999999946448952E-4</v>
      </c>
      <c r="T1125">
        <f t="shared" ca="1" si="504"/>
        <v>1</v>
      </c>
      <c r="U1125">
        <f t="shared" ca="1" si="485"/>
        <v>51800.26683766341</v>
      </c>
      <c r="V1125">
        <f t="shared" ca="1" si="486"/>
        <v>269361.38755584974</v>
      </c>
      <c r="W1125">
        <f t="shared" ca="1" si="487"/>
        <v>2.5998695052916441</v>
      </c>
      <c r="X1125">
        <f t="shared" ca="1" si="488"/>
        <v>1.8933671400629237E-4</v>
      </c>
      <c r="Y1125">
        <f t="shared" ca="1" si="489"/>
        <v>52432.341337663413</v>
      </c>
      <c r="Z1125">
        <f t="shared" ca="1" si="490"/>
        <v>52432.341337665239</v>
      </c>
      <c r="AA1125">
        <f t="shared" ca="1" si="491"/>
        <v>2.2562304480281055E-12</v>
      </c>
      <c r="AB1125">
        <f t="shared" ca="1" si="492"/>
        <v>-5.0000000192085281E-4</v>
      </c>
      <c r="AC1125">
        <f t="shared" ca="1" si="493"/>
        <v>1</v>
      </c>
      <c r="AD1125">
        <f ca="1">IF(V32="Supercritical",L1125,IF(V32="Subcritical",U1125,IF(AND(T1125=1,AC1125=1),IF((((F1125)*(L1125)^2)/2+(G1125)*(L1125)^3/3+(ABS(K1125)^2)/($I$5*MAX(((F1125)+(G1125)*(L1125))*(L1125),0.000001)))&gt;=(((F1125)*(U1125)^2)/2+(G1125)*(U1125)^3/3+(ABS(K1125)^2)/($I$5*MAX(((F1125)+(G1125)*(U1125))*(U1125),0.000001))),L1125,U1125),IF(T1125=1,L1125,IF(AC1125=1,U1125,MAX($D$16,POWER((ABS(K1125)^2)/($I$5*MAX(F1125,0.1)^2),1/3)))))))</f>
        <v>51800.26683766341</v>
      </c>
      <c r="AE1125">
        <f t="shared" ca="1" si="494"/>
        <v>52432.341337663413</v>
      </c>
      <c r="AF1125">
        <f t="shared" ca="1" si="495"/>
        <v>52432.341337665239</v>
      </c>
      <c r="AI1125">
        <v>0</v>
      </c>
      <c r="AJ1125">
        <v>0</v>
      </c>
      <c r="AK1125">
        <f t="shared" si="496"/>
        <v>0</v>
      </c>
      <c r="AL1125">
        <f t="shared" si="505"/>
        <v>0</v>
      </c>
      <c r="AM1125">
        <f t="shared" ca="1" si="497"/>
        <v>2.6560383008097266E-7</v>
      </c>
      <c r="AN1125" t="str">
        <f t="shared" ca="1" si="498"/>
        <v>Subcritical</v>
      </c>
      <c r="AO1125">
        <f t="shared" ca="1" si="499"/>
        <v>2.2562304480281055E-12</v>
      </c>
    </row>
    <row r="1126" spans="1:41" x14ac:dyDescent="0.35">
      <c r="A1126">
        <v>977</v>
      </c>
      <c r="B1126">
        <v>975.89</v>
      </c>
      <c r="C1126">
        <v>616082.18000000005</v>
      </c>
      <c r="D1126">
        <v>3097028.0269999998</v>
      </c>
      <c r="E1126">
        <v>632.07399999999996</v>
      </c>
      <c r="F1126">
        <v>5.2</v>
      </c>
      <c r="G1126">
        <v>0</v>
      </c>
      <c r="H1126" t="s">
        <v>186</v>
      </c>
      <c r="I1126">
        <v>0</v>
      </c>
      <c r="J1126">
        <f t="shared" si="500"/>
        <v>1</v>
      </c>
      <c r="K1126">
        <f t="shared" si="501"/>
        <v>51</v>
      </c>
      <c r="L1126">
        <f t="shared" ca="1" si="502"/>
        <v>51797.843837663619</v>
      </c>
      <c r="M1126">
        <f t="shared" ca="1" si="479"/>
        <v>269348.78795585083</v>
      </c>
      <c r="N1126">
        <f t="shared" ca="1" si="480"/>
        <v>2.5998694991876676</v>
      </c>
      <c r="O1126">
        <f t="shared" ca="1" si="481"/>
        <v>1.8934557080078435E-4</v>
      </c>
      <c r="P1126">
        <f t="shared" ca="1" si="482"/>
        <v>52429.917837663619</v>
      </c>
      <c r="Q1126">
        <f t="shared" ca="1" si="483"/>
        <v>52429.917837665445</v>
      </c>
      <c r="R1126">
        <f t="shared" ca="1" si="484"/>
        <v>2.2564415439646509E-12</v>
      </c>
      <c r="S1126">
        <f t="shared" ca="1" si="503"/>
        <v>5.0000000192085281E-4</v>
      </c>
      <c r="T1126">
        <f t="shared" ca="1" si="504"/>
        <v>1</v>
      </c>
      <c r="U1126">
        <f t="shared" ca="1" si="485"/>
        <v>51800.26683766341</v>
      </c>
      <c r="V1126">
        <f t="shared" ca="1" si="486"/>
        <v>269361.38755584974</v>
      </c>
      <c r="W1126">
        <f t="shared" ca="1" si="487"/>
        <v>2.5998695052916441</v>
      </c>
      <c r="X1126">
        <f t="shared" ca="1" si="488"/>
        <v>1.8933671400629237E-4</v>
      </c>
      <c r="Y1126">
        <f t="shared" ca="1" si="489"/>
        <v>52432.340837663411</v>
      </c>
      <c r="Z1126">
        <f t="shared" ca="1" si="490"/>
        <v>52432.340837665237</v>
      </c>
      <c r="AA1126">
        <f t="shared" ca="1" si="491"/>
        <v>2.2562304480281055E-12</v>
      </c>
      <c r="AB1126">
        <f t="shared" ca="1" si="492"/>
        <v>-5.0000000192085281E-4</v>
      </c>
      <c r="AC1126">
        <f t="shared" ca="1" si="493"/>
        <v>1</v>
      </c>
      <c r="AD1126">
        <f ca="1">IF(V32="Supercritical",L1126,IF(V32="Subcritical",U1126,IF(AND(T1126=1,AC1126=1),IF((((F1126)*(L1126)^2)/2+(G1126)*(L1126)^3/3+(ABS(K1126)^2)/($I$5*MAX(((F1126)+(G1126)*(L1126))*(L1126),0.000001)))&gt;=(((F1126)*(U1126)^2)/2+(G1126)*(U1126)^3/3+(ABS(K1126)^2)/($I$5*MAX(((F1126)+(G1126)*(U1126))*(U1126),0.000001))),L1126,U1126),IF(T1126=1,L1126,IF(AC1126=1,U1126,MAX($D$16,POWER((ABS(K1126)^2)/($I$5*MAX(F1126,0.1)^2),1/3)))))))</f>
        <v>51800.26683766341</v>
      </c>
      <c r="AE1126">
        <f t="shared" ca="1" si="494"/>
        <v>52432.340837663411</v>
      </c>
      <c r="AF1126">
        <f t="shared" ca="1" si="495"/>
        <v>52432.340837665237</v>
      </c>
      <c r="AI1126">
        <v>0</v>
      </c>
      <c r="AJ1126">
        <v>0</v>
      </c>
      <c r="AK1126">
        <f t="shared" si="496"/>
        <v>0</v>
      </c>
      <c r="AL1126">
        <f t="shared" si="505"/>
        <v>0</v>
      </c>
      <c r="AM1126">
        <f t="shared" ca="1" si="497"/>
        <v>2.6560383008097266E-7</v>
      </c>
      <c r="AN1126" t="str">
        <f t="shared" ca="1" si="498"/>
        <v>Subcritical</v>
      </c>
      <c r="AO1126">
        <f t="shared" ca="1" si="499"/>
        <v>2.2562304480281055E-12</v>
      </c>
    </row>
    <row r="1127" spans="1:41" x14ac:dyDescent="0.35">
      <c r="A1127">
        <v>978</v>
      </c>
      <c r="B1127">
        <v>976.88900000000001</v>
      </c>
      <c r="C1127">
        <v>616082.13800000004</v>
      </c>
      <c r="D1127">
        <v>3097027.0279999999</v>
      </c>
      <c r="E1127">
        <v>632.07349999999997</v>
      </c>
      <c r="F1127">
        <v>5.2</v>
      </c>
      <c r="G1127">
        <v>0</v>
      </c>
      <c r="H1127" t="s">
        <v>186</v>
      </c>
      <c r="I1127">
        <v>0</v>
      </c>
      <c r="J1127">
        <f t="shared" si="500"/>
        <v>0.99900000000002365</v>
      </c>
      <c r="K1127">
        <f t="shared" si="501"/>
        <v>51</v>
      </c>
      <c r="L1127">
        <f t="shared" ca="1" si="502"/>
        <v>51797.843837663619</v>
      </c>
      <c r="M1127">
        <f t="shared" ca="1" si="479"/>
        <v>269348.78795585083</v>
      </c>
      <c r="N1127">
        <f t="shared" ca="1" si="480"/>
        <v>2.5998694991876676</v>
      </c>
      <c r="O1127">
        <f t="shared" ca="1" si="481"/>
        <v>1.8934557080078435E-4</v>
      </c>
      <c r="P1127">
        <f t="shared" ca="1" si="482"/>
        <v>52429.917337663617</v>
      </c>
      <c r="Q1127">
        <f t="shared" ca="1" si="483"/>
        <v>52429.917337665443</v>
      </c>
      <c r="R1127">
        <f t="shared" ca="1" si="484"/>
        <v>2.2564415439646509E-12</v>
      </c>
      <c r="S1127">
        <f t="shared" ca="1" si="503"/>
        <v>5.0000000192085281E-4</v>
      </c>
      <c r="T1127">
        <f t="shared" ca="1" si="504"/>
        <v>1</v>
      </c>
      <c r="U1127">
        <f t="shared" ca="1" si="485"/>
        <v>51800.26683766341</v>
      </c>
      <c r="V1127">
        <f t="shared" ca="1" si="486"/>
        <v>269361.38755584974</v>
      </c>
      <c r="W1127">
        <f t="shared" ca="1" si="487"/>
        <v>2.5998695052916441</v>
      </c>
      <c r="X1127">
        <f t="shared" ca="1" si="488"/>
        <v>1.8933671400629237E-4</v>
      </c>
      <c r="Y1127">
        <f t="shared" ca="1" si="489"/>
        <v>52432.340337663409</v>
      </c>
      <c r="Z1127">
        <f t="shared" ca="1" si="490"/>
        <v>52432.340337665235</v>
      </c>
      <c r="AA1127">
        <f t="shared" ca="1" si="491"/>
        <v>2.2562304480281055E-12</v>
      </c>
      <c r="AB1127">
        <f t="shared" ca="1" si="492"/>
        <v>-5.0000000192085281E-4</v>
      </c>
      <c r="AC1127">
        <f t="shared" ca="1" si="493"/>
        <v>1</v>
      </c>
      <c r="AD1127">
        <f ca="1">IF(V32="Supercritical",L1127,IF(V32="Subcritical",U1127,IF(AND(T1127=1,AC1127=1),IF((((F1127)*(L1127)^2)/2+(G1127)*(L1127)^3/3+(ABS(K1127)^2)/($I$5*MAX(((F1127)+(G1127)*(L1127))*(L1127),0.000001)))&gt;=(((F1127)*(U1127)^2)/2+(G1127)*(U1127)^3/3+(ABS(K1127)^2)/($I$5*MAX(((F1127)+(G1127)*(U1127))*(U1127),0.000001))),L1127,U1127),IF(T1127=1,L1127,IF(AC1127=1,U1127,MAX($D$16,POWER((ABS(K1127)^2)/($I$5*MAX(F1127,0.1)^2),1/3)))))))</f>
        <v>51800.26683766341</v>
      </c>
      <c r="AE1127">
        <f t="shared" ca="1" si="494"/>
        <v>52432.340337663409</v>
      </c>
      <c r="AF1127">
        <f t="shared" ca="1" si="495"/>
        <v>52432.340337665235</v>
      </c>
      <c r="AI1127">
        <v>0</v>
      </c>
      <c r="AJ1127">
        <v>0</v>
      </c>
      <c r="AK1127">
        <f t="shared" si="496"/>
        <v>0</v>
      </c>
      <c r="AL1127">
        <f t="shared" si="505"/>
        <v>0</v>
      </c>
      <c r="AM1127">
        <f t="shared" ca="1" si="497"/>
        <v>2.6560383008097266E-7</v>
      </c>
      <c r="AN1127" t="str">
        <f t="shared" ca="1" si="498"/>
        <v>Subcritical</v>
      </c>
      <c r="AO1127">
        <f t="shared" ca="1" si="499"/>
        <v>2.2562304480281055E-12</v>
      </c>
    </row>
    <row r="1128" spans="1:41" x14ac:dyDescent="0.35">
      <c r="A1128">
        <v>979</v>
      </c>
      <c r="B1128">
        <v>977.88900000000001</v>
      </c>
      <c r="C1128">
        <v>616082.09600000002</v>
      </c>
      <c r="D1128">
        <v>3097026.0290000001</v>
      </c>
      <c r="E1128">
        <v>632.07299999999998</v>
      </c>
      <c r="F1128">
        <v>5.2</v>
      </c>
      <c r="G1128">
        <v>0</v>
      </c>
      <c r="H1128" t="s">
        <v>186</v>
      </c>
      <c r="I1128">
        <v>5.7000000000000002E-2</v>
      </c>
      <c r="J1128">
        <f t="shared" si="500"/>
        <v>1</v>
      </c>
      <c r="K1128">
        <f t="shared" si="501"/>
        <v>51</v>
      </c>
      <c r="L1128">
        <f t="shared" ca="1" si="502"/>
        <v>51797.843837663619</v>
      </c>
      <c r="M1128">
        <f t="shared" ca="1" si="479"/>
        <v>269348.78795585083</v>
      </c>
      <c r="N1128">
        <f t="shared" ca="1" si="480"/>
        <v>2.5998694991876676</v>
      </c>
      <c r="O1128">
        <f t="shared" ca="1" si="481"/>
        <v>1.8934557080078435E-4</v>
      </c>
      <c r="P1128">
        <f t="shared" ca="1" si="482"/>
        <v>52429.916837663615</v>
      </c>
      <c r="Q1128">
        <f t="shared" ca="1" si="483"/>
        <v>52429.916837665442</v>
      </c>
      <c r="R1128">
        <f t="shared" ca="1" si="484"/>
        <v>2.2564415439646509E-12</v>
      </c>
      <c r="S1128">
        <f t="shared" ca="1" si="503"/>
        <v>5.0000000192085281E-4</v>
      </c>
      <c r="T1128">
        <f t="shared" ca="1" si="504"/>
        <v>1</v>
      </c>
      <c r="U1128">
        <f t="shared" ca="1" si="485"/>
        <v>51800.26683766341</v>
      </c>
      <c r="V1128">
        <f t="shared" ca="1" si="486"/>
        <v>269361.38755584974</v>
      </c>
      <c r="W1128">
        <f t="shared" ca="1" si="487"/>
        <v>2.5998695052916441</v>
      </c>
      <c r="X1128">
        <f t="shared" ca="1" si="488"/>
        <v>1.8933671400629237E-4</v>
      </c>
      <c r="Y1128">
        <f t="shared" ca="1" si="489"/>
        <v>52432.339837663407</v>
      </c>
      <c r="Z1128">
        <f t="shared" ca="1" si="490"/>
        <v>52432.339837665233</v>
      </c>
      <c r="AA1128">
        <f t="shared" ca="1" si="491"/>
        <v>2.2562304480281055E-12</v>
      </c>
      <c r="AB1128">
        <f t="shared" ca="1" si="492"/>
        <v>-4.999999946448952E-4</v>
      </c>
      <c r="AC1128">
        <f t="shared" ca="1" si="493"/>
        <v>1</v>
      </c>
      <c r="AD1128">
        <f ca="1">IF(V32="Supercritical",L1128,IF(V32="Subcritical",U1128,IF(AND(T1128=1,AC1128=1),IF((((F1128)*(L1128)^2)/2+(G1128)*(L1128)^3/3+(ABS(K1128)^2)/($I$5*MAX(((F1128)+(G1128)*(L1128))*(L1128),0.000001)))&gt;=(((F1128)*(U1128)^2)/2+(G1128)*(U1128)^3/3+(ABS(K1128)^2)/($I$5*MAX(((F1128)+(G1128)*(U1128))*(U1128),0.000001))),L1128,U1128),IF(T1128=1,L1128,IF(AC1128=1,U1128,MAX($D$16,POWER((ABS(K1128)^2)/($I$5*MAX(F1128,0.1)^2),1/3)))))))</f>
        <v>51800.26683766341</v>
      </c>
      <c r="AE1128">
        <f t="shared" ca="1" si="494"/>
        <v>52432.339837663407</v>
      </c>
      <c r="AF1128">
        <f t="shared" ca="1" si="495"/>
        <v>52432.339837665233</v>
      </c>
      <c r="AI1128">
        <v>0</v>
      </c>
      <c r="AJ1128">
        <v>0</v>
      </c>
      <c r="AK1128">
        <f t="shared" si="496"/>
        <v>0</v>
      </c>
      <c r="AL1128">
        <f t="shared" si="505"/>
        <v>0</v>
      </c>
      <c r="AM1128">
        <f t="shared" ca="1" si="497"/>
        <v>2.6560383008097266E-7</v>
      </c>
      <c r="AN1128" t="str">
        <f t="shared" ca="1" si="498"/>
        <v>Subcritical</v>
      </c>
      <c r="AO1128">
        <f t="shared" ca="1" si="499"/>
        <v>2.2562304480281055E-12</v>
      </c>
    </row>
    <row r="1129" spans="1:41" x14ac:dyDescent="0.35">
      <c r="A1129">
        <v>980</v>
      </c>
      <c r="B1129">
        <v>978.88900000000001</v>
      </c>
      <c r="C1129">
        <v>616082.05299999996</v>
      </c>
      <c r="D1129">
        <v>3097025.03</v>
      </c>
      <c r="E1129">
        <v>632.07249999999999</v>
      </c>
      <c r="F1129">
        <v>5.2</v>
      </c>
      <c r="G1129">
        <v>0</v>
      </c>
      <c r="H1129" t="s">
        <v>186</v>
      </c>
      <c r="I1129">
        <v>5.7000000000000002E-2</v>
      </c>
      <c r="J1129">
        <f t="shared" si="500"/>
        <v>1</v>
      </c>
      <c r="K1129">
        <f t="shared" si="501"/>
        <v>51</v>
      </c>
      <c r="L1129">
        <f t="shared" ca="1" si="502"/>
        <v>51797.843837663619</v>
      </c>
      <c r="M1129">
        <f t="shared" ca="1" si="479"/>
        <v>269348.78795585083</v>
      </c>
      <c r="N1129">
        <f t="shared" ca="1" si="480"/>
        <v>2.5998694991876676</v>
      </c>
      <c r="O1129">
        <f t="shared" ca="1" si="481"/>
        <v>1.8934557080078435E-4</v>
      </c>
      <c r="P1129">
        <f t="shared" ca="1" si="482"/>
        <v>52429.916337663621</v>
      </c>
      <c r="Q1129">
        <f t="shared" ca="1" si="483"/>
        <v>52429.916337665447</v>
      </c>
      <c r="R1129">
        <f t="shared" ca="1" si="484"/>
        <v>2.2564415439646509E-12</v>
      </c>
      <c r="S1129">
        <f t="shared" ca="1" si="503"/>
        <v>4.999999946448952E-4</v>
      </c>
      <c r="T1129">
        <f t="shared" ca="1" si="504"/>
        <v>1</v>
      </c>
      <c r="U1129">
        <f t="shared" ca="1" si="485"/>
        <v>51800.26683766341</v>
      </c>
      <c r="V1129">
        <f t="shared" ca="1" si="486"/>
        <v>269361.38755584974</v>
      </c>
      <c r="W1129">
        <f t="shared" ca="1" si="487"/>
        <v>2.5998695052916441</v>
      </c>
      <c r="X1129">
        <f t="shared" ca="1" si="488"/>
        <v>1.8933671400629237E-4</v>
      </c>
      <c r="Y1129">
        <f t="shared" ca="1" si="489"/>
        <v>52432.339337663412</v>
      </c>
      <c r="Z1129">
        <f t="shared" ca="1" si="490"/>
        <v>52432.339337665238</v>
      </c>
      <c r="AA1129">
        <f t="shared" ca="1" si="491"/>
        <v>2.2562304480281055E-12</v>
      </c>
      <c r="AB1129">
        <f t="shared" ca="1" si="492"/>
        <v>-5.0000000192085281E-4</v>
      </c>
      <c r="AC1129">
        <f t="shared" ca="1" si="493"/>
        <v>1</v>
      </c>
      <c r="AD1129">
        <f ca="1">IF(V32="Supercritical",L1129,IF(V32="Subcritical",U1129,IF(AND(T1129=1,AC1129=1),IF((((F1129)*(L1129)^2)/2+(G1129)*(L1129)^3/3+(ABS(K1129)^2)/($I$5*MAX(((F1129)+(G1129)*(L1129))*(L1129),0.000001)))&gt;=(((F1129)*(U1129)^2)/2+(G1129)*(U1129)^3/3+(ABS(K1129)^2)/($I$5*MAX(((F1129)+(G1129)*(U1129))*(U1129),0.000001))),L1129,U1129),IF(T1129=1,L1129,IF(AC1129=1,U1129,MAX($D$16,POWER((ABS(K1129)^2)/($I$5*MAX(F1129,0.1)^2),1/3)))))))</f>
        <v>51800.26683766341</v>
      </c>
      <c r="AE1129">
        <f t="shared" ca="1" si="494"/>
        <v>52432.339337663412</v>
      </c>
      <c r="AF1129">
        <f t="shared" ca="1" si="495"/>
        <v>52432.339337665238</v>
      </c>
      <c r="AI1129">
        <v>0</v>
      </c>
      <c r="AJ1129">
        <v>0</v>
      </c>
      <c r="AK1129">
        <f t="shared" si="496"/>
        <v>0</v>
      </c>
      <c r="AL1129">
        <f t="shared" si="505"/>
        <v>0</v>
      </c>
      <c r="AM1129">
        <f t="shared" ca="1" si="497"/>
        <v>2.6560383008097266E-7</v>
      </c>
      <c r="AN1129" t="str">
        <f t="shared" ca="1" si="498"/>
        <v>Subcritical</v>
      </c>
      <c r="AO1129">
        <f t="shared" ca="1" si="499"/>
        <v>2.2562304480281055E-12</v>
      </c>
    </row>
    <row r="1130" spans="1:41" x14ac:dyDescent="0.35">
      <c r="A1130">
        <v>981</v>
      </c>
      <c r="B1130">
        <v>979.88900000000001</v>
      </c>
      <c r="C1130">
        <v>616082.01100000006</v>
      </c>
      <c r="D1130">
        <v>3097024.031</v>
      </c>
      <c r="E1130">
        <v>632.072</v>
      </c>
      <c r="F1130">
        <v>5.2</v>
      </c>
      <c r="G1130">
        <v>0</v>
      </c>
      <c r="H1130" t="s">
        <v>186</v>
      </c>
      <c r="I1130">
        <v>0</v>
      </c>
      <c r="J1130">
        <f t="shared" si="500"/>
        <v>1</v>
      </c>
      <c r="K1130">
        <f t="shared" si="501"/>
        <v>51</v>
      </c>
      <c r="L1130">
        <f t="shared" ca="1" si="502"/>
        <v>51797.843837663619</v>
      </c>
      <c r="M1130">
        <f t="shared" ca="1" si="479"/>
        <v>269348.78795585083</v>
      </c>
      <c r="N1130">
        <f t="shared" ca="1" si="480"/>
        <v>2.5998694991876676</v>
      </c>
      <c r="O1130">
        <f t="shared" ca="1" si="481"/>
        <v>1.8934557080078435E-4</v>
      </c>
      <c r="P1130">
        <f t="shared" ca="1" si="482"/>
        <v>52429.915837663619</v>
      </c>
      <c r="Q1130">
        <f t="shared" ca="1" si="483"/>
        <v>52429.915837665445</v>
      </c>
      <c r="R1130">
        <f t="shared" ca="1" si="484"/>
        <v>2.2564415439646509E-12</v>
      </c>
      <c r="S1130">
        <f t="shared" ca="1" si="503"/>
        <v>5.0000000192085281E-4</v>
      </c>
      <c r="T1130">
        <f t="shared" ca="1" si="504"/>
        <v>1</v>
      </c>
      <c r="U1130">
        <f t="shared" ca="1" si="485"/>
        <v>51800.26683766341</v>
      </c>
      <c r="V1130">
        <f t="shared" ca="1" si="486"/>
        <v>269361.38755584974</v>
      </c>
      <c r="W1130">
        <f t="shared" ca="1" si="487"/>
        <v>2.5998695052916441</v>
      </c>
      <c r="X1130">
        <f t="shared" ca="1" si="488"/>
        <v>1.8933671400629237E-4</v>
      </c>
      <c r="Y1130">
        <f t="shared" ca="1" si="489"/>
        <v>52432.33883766341</v>
      </c>
      <c r="Z1130">
        <f t="shared" ca="1" si="490"/>
        <v>52432.338837665236</v>
      </c>
      <c r="AA1130">
        <f t="shared" ca="1" si="491"/>
        <v>2.2562304480281055E-12</v>
      </c>
      <c r="AB1130">
        <f t="shared" ca="1" si="492"/>
        <v>-5.0000000192085281E-4</v>
      </c>
      <c r="AC1130">
        <f t="shared" ca="1" si="493"/>
        <v>1</v>
      </c>
      <c r="AD1130">
        <f ca="1">IF(V32="Supercritical",L1130,IF(V32="Subcritical",U1130,IF(AND(T1130=1,AC1130=1),IF((((F1130)*(L1130)^2)/2+(G1130)*(L1130)^3/3+(ABS(K1130)^2)/($I$5*MAX(((F1130)+(G1130)*(L1130))*(L1130),0.000001)))&gt;=(((F1130)*(U1130)^2)/2+(G1130)*(U1130)^3/3+(ABS(K1130)^2)/($I$5*MAX(((F1130)+(G1130)*(U1130))*(U1130),0.000001))),L1130,U1130),IF(T1130=1,L1130,IF(AC1130=1,U1130,MAX($D$16,POWER((ABS(K1130)^2)/($I$5*MAX(F1130,0.1)^2),1/3)))))))</f>
        <v>51800.26683766341</v>
      </c>
      <c r="AE1130">
        <f t="shared" ca="1" si="494"/>
        <v>52432.33883766341</v>
      </c>
      <c r="AF1130">
        <f t="shared" ca="1" si="495"/>
        <v>52432.338837665236</v>
      </c>
      <c r="AI1130">
        <v>0</v>
      </c>
      <c r="AJ1130">
        <v>0</v>
      </c>
      <c r="AK1130">
        <f t="shared" si="496"/>
        <v>0</v>
      </c>
      <c r="AL1130">
        <f t="shared" si="505"/>
        <v>0</v>
      </c>
      <c r="AM1130">
        <f t="shared" ca="1" si="497"/>
        <v>2.6560383008097266E-7</v>
      </c>
      <c r="AN1130" t="str">
        <f t="shared" ca="1" si="498"/>
        <v>Subcritical</v>
      </c>
      <c r="AO1130">
        <f t="shared" ca="1" si="499"/>
        <v>2.2562304480281055E-12</v>
      </c>
    </row>
    <row r="1131" spans="1:41" x14ac:dyDescent="0.35">
      <c r="A1131">
        <v>982</v>
      </c>
      <c r="B1131">
        <v>980.88900000000001</v>
      </c>
      <c r="C1131">
        <v>616081.96900000004</v>
      </c>
      <c r="D1131">
        <v>3097023.0320000001</v>
      </c>
      <c r="E1131">
        <v>632.07150000000001</v>
      </c>
      <c r="F1131">
        <v>5.2</v>
      </c>
      <c r="G1131">
        <v>0</v>
      </c>
      <c r="H1131" t="s">
        <v>186</v>
      </c>
      <c r="I1131">
        <v>0</v>
      </c>
      <c r="J1131">
        <f t="shared" si="500"/>
        <v>1</v>
      </c>
      <c r="K1131">
        <f t="shared" si="501"/>
        <v>51</v>
      </c>
      <c r="L1131">
        <f t="shared" ca="1" si="502"/>
        <v>51797.843837663619</v>
      </c>
      <c r="M1131">
        <f t="shared" ca="1" si="479"/>
        <v>269348.78795585083</v>
      </c>
      <c r="N1131">
        <f t="shared" ca="1" si="480"/>
        <v>2.5998694991876676</v>
      </c>
      <c r="O1131">
        <f t="shared" ca="1" si="481"/>
        <v>1.8934557080078435E-4</v>
      </c>
      <c r="P1131">
        <f t="shared" ca="1" si="482"/>
        <v>52429.915337663617</v>
      </c>
      <c r="Q1131">
        <f t="shared" ca="1" si="483"/>
        <v>52429.915337665443</v>
      </c>
      <c r="R1131">
        <f t="shared" ca="1" si="484"/>
        <v>2.2564415439646509E-12</v>
      </c>
      <c r="S1131">
        <f t="shared" ca="1" si="503"/>
        <v>5.0000000192085281E-4</v>
      </c>
      <c r="T1131">
        <f t="shared" ca="1" si="504"/>
        <v>1</v>
      </c>
      <c r="U1131">
        <f t="shared" ca="1" si="485"/>
        <v>51800.26683766341</v>
      </c>
      <c r="V1131">
        <f t="shared" ca="1" si="486"/>
        <v>269361.38755584974</v>
      </c>
      <c r="W1131">
        <f t="shared" ca="1" si="487"/>
        <v>2.5998695052916441</v>
      </c>
      <c r="X1131">
        <f t="shared" ca="1" si="488"/>
        <v>1.8933671400629237E-4</v>
      </c>
      <c r="Y1131">
        <f t="shared" ca="1" si="489"/>
        <v>52432.338337663408</v>
      </c>
      <c r="Z1131">
        <f t="shared" ca="1" si="490"/>
        <v>52432.338337665235</v>
      </c>
      <c r="AA1131">
        <f t="shared" ca="1" si="491"/>
        <v>2.2562304480281055E-12</v>
      </c>
      <c r="AB1131">
        <f t="shared" ca="1" si="492"/>
        <v>-4.999999946448952E-4</v>
      </c>
      <c r="AC1131">
        <f t="shared" ca="1" si="493"/>
        <v>1</v>
      </c>
      <c r="AD1131">
        <f ca="1">IF(V32="Supercritical",L1131,IF(V32="Subcritical",U1131,IF(AND(T1131=1,AC1131=1),IF((((F1131)*(L1131)^2)/2+(G1131)*(L1131)^3/3+(ABS(K1131)^2)/($I$5*MAX(((F1131)+(G1131)*(L1131))*(L1131),0.000001)))&gt;=(((F1131)*(U1131)^2)/2+(G1131)*(U1131)^3/3+(ABS(K1131)^2)/($I$5*MAX(((F1131)+(G1131)*(U1131))*(U1131),0.000001))),L1131,U1131),IF(T1131=1,L1131,IF(AC1131=1,U1131,MAX($D$16,POWER((ABS(K1131)^2)/($I$5*MAX(F1131,0.1)^2),1/3)))))))</f>
        <v>51800.26683766341</v>
      </c>
      <c r="AE1131">
        <f t="shared" ca="1" si="494"/>
        <v>52432.338337663408</v>
      </c>
      <c r="AF1131">
        <f t="shared" ca="1" si="495"/>
        <v>52432.338337665235</v>
      </c>
      <c r="AI1131">
        <v>0</v>
      </c>
      <c r="AJ1131">
        <v>0</v>
      </c>
      <c r="AK1131">
        <f t="shared" si="496"/>
        <v>0</v>
      </c>
      <c r="AL1131">
        <f t="shared" si="505"/>
        <v>0</v>
      </c>
      <c r="AM1131">
        <f t="shared" ca="1" si="497"/>
        <v>2.6560383008097266E-7</v>
      </c>
      <c r="AN1131" t="str">
        <f t="shared" ca="1" si="498"/>
        <v>Subcritical</v>
      </c>
      <c r="AO1131">
        <f t="shared" ca="1" si="499"/>
        <v>2.2562304480281055E-12</v>
      </c>
    </row>
    <row r="1132" spans="1:41" x14ac:dyDescent="0.35">
      <c r="A1132">
        <v>983</v>
      </c>
      <c r="B1132">
        <v>981.88900000000001</v>
      </c>
      <c r="C1132">
        <v>616081.92700000003</v>
      </c>
      <c r="D1132">
        <v>3097022.0329999998</v>
      </c>
      <c r="E1132">
        <v>632.07100000000003</v>
      </c>
      <c r="F1132">
        <v>5.2</v>
      </c>
      <c r="G1132">
        <v>0</v>
      </c>
      <c r="H1132" t="s">
        <v>186</v>
      </c>
      <c r="I1132">
        <v>5.7000000000000002E-2</v>
      </c>
      <c r="J1132">
        <f t="shared" si="500"/>
        <v>1</v>
      </c>
      <c r="K1132">
        <f t="shared" si="501"/>
        <v>51</v>
      </c>
      <c r="L1132">
        <f t="shared" ca="1" si="502"/>
        <v>51797.843837663619</v>
      </c>
      <c r="M1132">
        <f t="shared" ca="1" si="479"/>
        <v>269348.78795585083</v>
      </c>
      <c r="N1132">
        <f t="shared" ca="1" si="480"/>
        <v>2.5998694991876676</v>
      </c>
      <c r="O1132">
        <f t="shared" ca="1" si="481"/>
        <v>1.8934557080078435E-4</v>
      </c>
      <c r="P1132">
        <f t="shared" ca="1" si="482"/>
        <v>52429.914837663622</v>
      </c>
      <c r="Q1132">
        <f t="shared" ca="1" si="483"/>
        <v>52429.914837665448</v>
      </c>
      <c r="R1132">
        <f t="shared" ca="1" si="484"/>
        <v>2.2564415439646509E-12</v>
      </c>
      <c r="S1132">
        <f t="shared" ca="1" si="503"/>
        <v>4.999999946448952E-4</v>
      </c>
      <c r="T1132">
        <f t="shared" ca="1" si="504"/>
        <v>1</v>
      </c>
      <c r="U1132">
        <f t="shared" ca="1" si="485"/>
        <v>51800.26683766341</v>
      </c>
      <c r="V1132">
        <f t="shared" ca="1" si="486"/>
        <v>269361.38755584974</v>
      </c>
      <c r="W1132">
        <f t="shared" ca="1" si="487"/>
        <v>2.5998695052916441</v>
      </c>
      <c r="X1132">
        <f t="shared" ca="1" si="488"/>
        <v>1.8933671400629237E-4</v>
      </c>
      <c r="Y1132">
        <f t="shared" ca="1" si="489"/>
        <v>52432.337837663414</v>
      </c>
      <c r="Z1132">
        <f t="shared" ca="1" si="490"/>
        <v>52432.33783766524</v>
      </c>
      <c r="AA1132">
        <f t="shared" ca="1" si="491"/>
        <v>2.2562304480281055E-12</v>
      </c>
      <c r="AB1132">
        <f t="shared" ca="1" si="492"/>
        <v>-5.0000000192085281E-4</v>
      </c>
      <c r="AC1132">
        <f t="shared" ca="1" si="493"/>
        <v>1</v>
      </c>
      <c r="AD1132">
        <f ca="1">IF(V32="Supercritical",L1132,IF(V32="Subcritical",U1132,IF(AND(T1132=1,AC1132=1),IF((((F1132)*(L1132)^2)/2+(G1132)*(L1132)^3/3+(ABS(K1132)^2)/($I$5*MAX(((F1132)+(G1132)*(L1132))*(L1132),0.000001)))&gt;=(((F1132)*(U1132)^2)/2+(G1132)*(U1132)^3/3+(ABS(K1132)^2)/($I$5*MAX(((F1132)+(G1132)*(U1132))*(U1132),0.000001))),L1132,U1132),IF(T1132=1,L1132,IF(AC1132=1,U1132,MAX($D$16,POWER((ABS(K1132)^2)/($I$5*MAX(F1132,0.1)^2),1/3)))))))</f>
        <v>51800.26683766341</v>
      </c>
      <c r="AE1132">
        <f t="shared" ca="1" si="494"/>
        <v>52432.337837663414</v>
      </c>
      <c r="AF1132">
        <f t="shared" ca="1" si="495"/>
        <v>52432.33783766524</v>
      </c>
      <c r="AI1132">
        <v>0</v>
      </c>
      <c r="AJ1132">
        <v>0</v>
      </c>
      <c r="AK1132">
        <f t="shared" si="496"/>
        <v>0</v>
      </c>
      <c r="AL1132">
        <f t="shared" si="505"/>
        <v>0</v>
      </c>
      <c r="AM1132">
        <f t="shared" ca="1" si="497"/>
        <v>2.6560383008097266E-7</v>
      </c>
      <c r="AN1132" t="str">
        <f t="shared" ca="1" si="498"/>
        <v>Subcritical</v>
      </c>
      <c r="AO1132">
        <f t="shared" ca="1" si="499"/>
        <v>2.2562304480281055E-12</v>
      </c>
    </row>
    <row r="1133" spans="1:41" x14ac:dyDescent="0.35">
      <c r="A1133">
        <v>984</v>
      </c>
      <c r="B1133">
        <v>982.88900000000001</v>
      </c>
      <c r="C1133">
        <v>616081.88399999996</v>
      </c>
      <c r="D1133">
        <v>3097021.034</v>
      </c>
      <c r="E1133">
        <v>632.07050000000004</v>
      </c>
      <c r="F1133">
        <v>5.2</v>
      </c>
      <c r="G1133">
        <v>0</v>
      </c>
      <c r="H1133" t="s">
        <v>186</v>
      </c>
      <c r="I1133">
        <v>0.06</v>
      </c>
      <c r="J1133">
        <f t="shared" si="500"/>
        <v>1</v>
      </c>
      <c r="K1133">
        <f t="shared" si="501"/>
        <v>51</v>
      </c>
      <c r="L1133">
        <f t="shared" ca="1" si="502"/>
        <v>51797.843837663619</v>
      </c>
      <c r="M1133">
        <f t="shared" ca="1" si="479"/>
        <v>269348.78795585083</v>
      </c>
      <c r="N1133">
        <f t="shared" ca="1" si="480"/>
        <v>2.5998694991876676</v>
      </c>
      <c r="O1133">
        <f t="shared" ca="1" si="481"/>
        <v>1.8934557080078435E-4</v>
      </c>
      <c r="P1133">
        <f t="shared" ca="1" si="482"/>
        <v>52429.91433766362</v>
      </c>
      <c r="Q1133">
        <f t="shared" ca="1" si="483"/>
        <v>52429.914337665447</v>
      </c>
      <c r="R1133">
        <f t="shared" ca="1" si="484"/>
        <v>2.2564415439646509E-12</v>
      </c>
      <c r="S1133">
        <f t="shared" ca="1" si="503"/>
        <v>5.0000000192085281E-4</v>
      </c>
      <c r="T1133">
        <f t="shared" ca="1" si="504"/>
        <v>1</v>
      </c>
      <c r="U1133">
        <f t="shared" ca="1" si="485"/>
        <v>51800.26683766341</v>
      </c>
      <c r="V1133">
        <f t="shared" ca="1" si="486"/>
        <v>269361.38755584974</v>
      </c>
      <c r="W1133">
        <f t="shared" ca="1" si="487"/>
        <v>2.5998695052916441</v>
      </c>
      <c r="X1133">
        <f t="shared" ca="1" si="488"/>
        <v>1.8933671400629237E-4</v>
      </c>
      <c r="Y1133">
        <f t="shared" ca="1" si="489"/>
        <v>52432.337337663412</v>
      </c>
      <c r="Z1133">
        <f t="shared" ca="1" si="490"/>
        <v>52432.337337665238</v>
      </c>
      <c r="AA1133">
        <f t="shared" ca="1" si="491"/>
        <v>2.2562304480281055E-12</v>
      </c>
      <c r="AB1133">
        <f t="shared" ca="1" si="492"/>
        <v>-5.0000000192085281E-4</v>
      </c>
      <c r="AC1133">
        <f t="shared" ca="1" si="493"/>
        <v>1</v>
      </c>
      <c r="AD1133">
        <f ca="1">IF(V32="Supercritical",L1133,IF(V32="Subcritical",U1133,IF(AND(T1133=1,AC1133=1),IF((((F1133)*(L1133)^2)/2+(G1133)*(L1133)^3/3+(ABS(K1133)^2)/($I$5*MAX(((F1133)+(G1133)*(L1133))*(L1133),0.000001)))&gt;=(((F1133)*(U1133)^2)/2+(G1133)*(U1133)^3/3+(ABS(K1133)^2)/($I$5*MAX(((F1133)+(G1133)*(U1133))*(U1133),0.000001))),L1133,U1133),IF(T1133=1,L1133,IF(AC1133=1,U1133,MAX($D$16,POWER((ABS(K1133)^2)/($I$5*MAX(F1133,0.1)^2),1/3)))))))</f>
        <v>51800.26683766341</v>
      </c>
      <c r="AE1133">
        <f t="shared" ca="1" si="494"/>
        <v>52432.337337663412</v>
      </c>
      <c r="AF1133">
        <f t="shared" ca="1" si="495"/>
        <v>52432.337337665238</v>
      </c>
      <c r="AI1133">
        <v>0</v>
      </c>
      <c r="AJ1133">
        <v>0</v>
      </c>
      <c r="AK1133">
        <f t="shared" si="496"/>
        <v>0</v>
      </c>
      <c r="AL1133">
        <f t="shared" si="505"/>
        <v>0</v>
      </c>
      <c r="AM1133">
        <f t="shared" ca="1" si="497"/>
        <v>2.6560383008097266E-7</v>
      </c>
      <c r="AN1133" t="str">
        <f t="shared" ca="1" si="498"/>
        <v>Subcritical</v>
      </c>
      <c r="AO1133">
        <f t="shared" ca="1" si="499"/>
        <v>2.2562304480281055E-12</v>
      </c>
    </row>
    <row r="1134" spans="1:41" x14ac:dyDescent="0.35">
      <c r="A1134">
        <v>985</v>
      </c>
      <c r="B1134">
        <v>983.89</v>
      </c>
      <c r="C1134">
        <v>616081.84199999995</v>
      </c>
      <c r="D1134">
        <v>3097020.034</v>
      </c>
      <c r="E1134">
        <v>632.07000000000005</v>
      </c>
      <c r="F1134">
        <v>5.2</v>
      </c>
      <c r="G1134">
        <v>0</v>
      </c>
      <c r="H1134" t="s">
        <v>186</v>
      </c>
      <c r="I1134">
        <v>2E-3</v>
      </c>
      <c r="J1134">
        <f t="shared" si="500"/>
        <v>1.0009999999999764</v>
      </c>
      <c r="K1134">
        <f t="shared" si="501"/>
        <v>51</v>
      </c>
      <c r="L1134">
        <f t="shared" ca="1" si="502"/>
        <v>51797.843837663619</v>
      </c>
      <c r="M1134">
        <f t="shared" ca="1" si="479"/>
        <v>269348.78795585083</v>
      </c>
      <c r="N1134">
        <f t="shared" ca="1" si="480"/>
        <v>2.5998694991876676</v>
      </c>
      <c r="O1134">
        <f t="shared" ca="1" si="481"/>
        <v>1.8934557080078435E-4</v>
      </c>
      <c r="P1134">
        <f t="shared" ca="1" si="482"/>
        <v>52429.913837663618</v>
      </c>
      <c r="Q1134">
        <f t="shared" ca="1" si="483"/>
        <v>52429.913837665445</v>
      </c>
      <c r="R1134">
        <f t="shared" ca="1" si="484"/>
        <v>2.2564415439646509E-12</v>
      </c>
      <c r="S1134">
        <f t="shared" ca="1" si="503"/>
        <v>5.0000000192085281E-4</v>
      </c>
      <c r="T1134">
        <f t="shared" ca="1" si="504"/>
        <v>1</v>
      </c>
      <c r="U1134">
        <f t="shared" ca="1" si="485"/>
        <v>51800.26683766341</v>
      </c>
      <c r="V1134">
        <f t="shared" ca="1" si="486"/>
        <v>269361.38755584974</v>
      </c>
      <c r="W1134">
        <f t="shared" ca="1" si="487"/>
        <v>2.5998695052916441</v>
      </c>
      <c r="X1134">
        <f t="shared" ca="1" si="488"/>
        <v>1.8933671400629237E-4</v>
      </c>
      <c r="Y1134">
        <f t="shared" ca="1" si="489"/>
        <v>52432.33683766341</v>
      </c>
      <c r="Z1134">
        <f t="shared" ca="1" si="490"/>
        <v>52432.336837665236</v>
      </c>
      <c r="AA1134">
        <f t="shared" ca="1" si="491"/>
        <v>2.2562304480281055E-12</v>
      </c>
      <c r="AB1134">
        <f t="shared" ca="1" si="492"/>
        <v>-5.0000000192085281E-4</v>
      </c>
      <c r="AC1134">
        <f t="shared" ca="1" si="493"/>
        <v>1</v>
      </c>
      <c r="AD1134">
        <f ca="1">IF(V32="Supercritical",L1134,IF(V32="Subcritical",U1134,IF(AND(T1134=1,AC1134=1),IF((((F1134)*(L1134)^2)/2+(G1134)*(L1134)^3/3+(ABS(K1134)^2)/($I$5*MAX(((F1134)+(G1134)*(L1134))*(L1134),0.000001)))&gt;=(((F1134)*(U1134)^2)/2+(G1134)*(U1134)^3/3+(ABS(K1134)^2)/($I$5*MAX(((F1134)+(G1134)*(U1134))*(U1134),0.000001))),L1134,U1134),IF(T1134=1,L1134,IF(AC1134=1,U1134,MAX($D$16,POWER((ABS(K1134)^2)/($I$5*MAX(F1134,0.1)^2),1/3)))))))</f>
        <v>51800.26683766341</v>
      </c>
      <c r="AE1134">
        <f t="shared" ca="1" si="494"/>
        <v>52432.33683766341</v>
      </c>
      <c r="AF1134">
        <f t="shared" ca="1" si="495"/>
        <v>52432.336837665236</v>
      </c>
      <c r="AI1134">
        <v>0</v>
      </c>
      <c r="AJ1134">
        <v>0</v>
      </c>
      <c r="AK1134">
        <f t="shared" si="496"/>
        <v>0</v>
      </c>
      <c r="AL1134">
        <f t="shared" si="505"/>
        <v>0</v>
      </c>
      <c r="AM1134">
        <f t="shared" ca="1" si="497"/>
        <v>2.6560383008097266E-7</v>
      </c>
      <c r="AN1134" t="str">
        <f t="shared" ca="1" si="498"/>
        <v>Subcritical</v>
      </c>
      <c r="AO1134">
        <f t="shared" ca="1" si="499"/>
        <v>2.2562304480281055E-12</v>
      </c>
    </row>
    <row r="1135" spans="1:41" x14ac:dyDescent="0.35">
      <c r="A1135">
        <v>986</v>
      </c>
      <c r="B1135">
        <v>984.89</v>
      </c>
      <c r="C1135">
        <v>616081.80000000005</v>
      </c>
      <c r="D1135">
        <v>3097019.0350000001</v>
      </c>
      <c r="E1135">
        <v>632.06949999999995</v>
      </c>
      <c r="F1135">
        <v>5.2</v>
      </c>
      <c r="G1135">
        <v>0</v>
      </c>
      <c r="H1135" t="s">
        <v>186</v>
      </c>
      <c r="I1135">
        <v>0</v>
      </c>
      <c r="J1135">
        <f t="shared" si="500"/>
        <v>1</v>
      </c>
      <c r="K1135">
        <f t="shared" si="501"/>
        <v>51</v>
      </c>
      <c r="L1135">
        <f t="shared" ca="1" si="502"/>
        <v>51797.843837663619</v>
      </c>
      <c r="M1135">
        <f t="shared" ca="1" si="479"/>
        <v>269348.78795585083</v>
      </c>
      <c r="N1135">
        <f t="shared" ca="1" si="480"/>
        <v>2.5998694991876676</v>
      </c>
      <c r="O1135">
        <f t="shared" ca="1" si="481"/>
        <v>1.8934557080078435E-4</v>
      </c>
      <c r="P1135">
        <f t="shared" ca="1" si="482"/>
        <v>52429.913337663616</v>
      </c>
      <c r="Q1135">
        <f t="shared" ca="1" si="483"/>
        <v>52429.913337665443</v>
      </c>
      <c r="R1135">
        <f t="shared" ca="1" si="484"/>
        <v>2.2564415439646509E-12</v>
      </c>
      <c r="S1135">
        <f t="shared" ca="1" si="503"/>
        <v>5.0000000192085281E-4</v>
      </c>
      <c r="T1135">
        <f t="shared" ca="1" si="504"/>
        <v>1</v>
      </c>
      <c r="U1135">
        <f t="shared" ca="1" si="485"/>
        <v>51800.26683766341</v>
      </c>
      <c r="V1135">
        <f t="shared" ca="1" si="486"/>
        <v>269361.38755584974</v>
      </c>
      <c r="W1135">
        <f t="shared" ca="1" si="487"/>
        <v>2.5998695052916441</v>
      </c>
      <c r="X1135">
        <f t="shared" ca="1" si="488"/>
        <v>1.8933671400629237E-4</v>
      </c>
      <c r="Y1135">
        <f t="shared" ca="1" si="489"/>
        <v>52432.336337663408</v>
      </c>
      <c r="Z1135">
        <f t="shared" ca="1" si="490"/>
        <v>52432.336337665234</v>
      </c>
      <c r="AA1135">
        <f t="shared" ca="1" si="491"/>
        <v>2.2562304480281055E-12</v>
      </c>
      <c r="AB1135">
        <f t="shared" ca="1" si="492"/>
        <v>-4.999999946448952E-4</v>
      </c>
      <c r="AC1135">
        <f t="shared" ca="1" si="493"/>
        <v>1</v>
      </c>
      <c r="AD1135">
        <f ca="1">IF(V32="Supercritical",L1135,IF(V32="Subcritical",U1135,IF(AND(T1135=1,AC1135=1),IF((((F1135)*(L1135)^2)/2+(G1135)*(L1135)^3/3+(ABS(K1135)^2)/($I$5*MAX(((F1135)+(G1135)*(L1135))*(L1135),0.000001)))&gt;=(((F1135)*(U1135)^2)/2+(G1135)*(U1135)^3/3+(ABS(K1135)^2)/($I$5*MAX(((F1135)+(G1135)*(U1135))*(U1135),0.000001))),L1135,U1135),IF(T1135=1,L1135,IF(AC1135=1,U1135,MAX($D$16,POWER((ABS(K1135)^2)/($I$5*MAX(F1135,0.1)^2),1/3)))))))</f>
        <v>51800.26683766341</v>
      </c>
      <c r="AE1135">
        <f t="shared" ca="1" si="494"/>
        <v>52432.336337663408</v>
      </c>
      <c r="AF1135">
        <f t="shared" ca="1" si="495"/>
        <v>52432.336337665234</v>
      </c>
      <c r="AI1135">
        <v>0</v>
      </c>
      <c r="AJ1135">
        <v>0</v>
      </c>
      <c r="AK1135">
        <f t="shared" si="496"/>
        <v>0</v>
      </c>
      <c r="AL1135">
        <f t="shared" si="505"/>
        <v>0</v>
      </c>
      <c r="AM1135">
        <f t="shared" ca="1" si="497"/>
        <v>2.6560383008097266E-7</v>
      </c>
      <c r="AN1135" t="str">
        <f t="shared" ca="1" si="498"/>
        <v>Subcritical</v>
      </c>
      <c r="AO1135">
        <f t="shared" ca="1" si="499"/>
        <v>2.2562304480281055E-12</v>
      </c>
    </row>
    <row r="1136" spans="1:41" x14ac:dyDescent="0.35">
      <c r="A1136">
        <v>987</v>
      </c>
      <c r="B1136">
        <v>985.88900000000001</v>
      </c>
      <c r="C1136">
        <v>616081.75800000003</v>
      </c>
      <c r="D1136">
        <v>3097018.0359999998</v>
      </c>
      <c r="E1136">
        <v>632.06899999999996</v>
      </c>
      <c r="F1136">
        <v>5.2</v>
      </c>
      <c r="G1136">
        <v>0</v>
      </c>
      <c r="H1136" t="s">
        <v>186</v>
      </c>
      <c r="I1136">
        <v>5.7000000000000002E-2</v>
      </c>
      <c r="J1136">
        <f t="shared" si="500"/>
        <v>0.99900000000002365</v>
      </c>
      <c r="K1136">
        <f t="shared" si="501"/>
        <v>51</v>
      </c>
      <c r="L1136">
        <f t="shared" ca="1" si="502"/>
        <v>51797.843837663619</v>
      </c>
      <c r="M1136">
        <f t="shared" ca="1" si="479"/>
        <v>269348.78795585083</v>
      </c>
      <c r="N1136">
        <f t="shared" ca="1" si="480"/>
        <v>2.5998694991876676</v>
      </c>
      <c r="O1136">
        <f t="shared" ca="1" si="481"/>
        <v>1.8934557080078435E-4</v>
      </c>
      <c r="P1136">
        <f t="shared" ca="1" si="482"/>
        <v>52429.912837663622</v>
      </c>
      <c r="Q1136">
        <f t="shared" ca="1" si="483"/>
        <v>52429.912837665448</v>
      </c>
      <c r="R1136">
        <f t="shared" ca="1" si="484"/>
        <v>2.2564415439646509E-12</v>
      </c>
      <c r="S1136">
        <f t="shared" ca="1" si="503"/>
        <v>4.999999946448952E-4</v>
      </c>
      <c r="T1136">
        <f t="shared" ca="1" si="504"/>
        <v>1</v>
      </c>
      <c r="U1136">
        <f t="shared" ca="1" si="485"/>
        <v>51800.26683766341</v>
      </c>
      <c r="V1136">
        <f t="shared" ca="1" si="486"/>
        <v>269361.38755584974</v>
      </c>
      <c r="W1136">
        <f t="shared" ca="1" si="487"/>
        <v>2.5998695052916441</v>
      </c>
      <c r="X1136">
        <f t="shared" ca="1" si="488"/>
        <v>1.8933671400629237E-4</v>
      </c>
      <c r="Y1136">
        <f t="shared" ca="1" si="489"/>
        <v>52432.335837663413</v>
      </c>
      <c r="Z1136">
        <f t="shared" ca="1" si="490"/>
        <v>52432.33583766524</v>
      </c>
      <c r="AA1136">
        <f t="shared" ca="1" si="491"/>
        <v>2.2562304480281055E-12</v>
      </c>
      <c r="AB1136">
        <f t="shared" ca="1" si="492"/>
        <v>-5.0000000192085281E-4</v>
      </c>
      <c r="AC1136">
        <f t="shared" ca="1" si="493"/>
        <v>1</v>
      </c>
      <c r="AD1136">
        <f ca="1">IF(V32="Supercritical",L1136,IF(V32="Subcritical",U1136,IF(AND(T1136=1,AC1136=1),IF((((F1136)*(L1136)^2)/2+(G1136)*(L1136)^3/3+(ABS(K1136)^2)/($I$5*MAX(((F1136)+(G1136)*(L1136))*(L1136),0.000001)))&gt;=(((F1136)*(U1136)^2)/2+(G1136)*(U1136)^3/3+(ABS(K1136)^2)/($I$5*MAX(((F1136)+(G1136)*(U1136))*(U1136),0.000001))),L1136,U1136),IF(T1136=1,L1136,IF(AC1136=1,U1136,MAX($D$16,POWER((ABS(K1136)^2)/($I$5*MAX(F1136,0.1)^2),1/3)))))))</f>
        <v>51800.26683766341</v>
      </c>
      <c r="AE1136">
        <f t="shared" ca="1" si="494"/>
        <v>52432.335837663413</v>
      </c>
      <c r="AF1136">
        <f t="shared" ca="1" si="495"/>
        <v>52432.33583766524</v>
      </c>
      <c r="AI1136">
        <v>0</v>
      </c>
      <c r="AJ1136">
        <v>0</v>
      </c>
      <c r="AK1136">
        <f t="shared" si="496"/>
        <v>0</v>
      </c>
      <c r="AL1136">
        <f t="shared" si="505"/>
        <v>0</v>
      </c>
      <c r="AM1136">
        <f t="shared" ca="1" si="497"/>
        <v>2.6560383008097266E-7</v>
      </c>
      <c r="AN1136" t="str">
        <f t="shared" ca="1" si="498"/>
        <v>Subcritical</v>
      </c>
      <c r="AO1136">
        <f t="shared" ca="1" si="499"/>
        <v>2.2562304480281055E-12</v>
      </c>
    </row>
    <row r="1137" spans="1:41" x14ac:dyDescent="0.35">
      <c r="A1137">
        <v>988</v>
      </c>
      <c r="B1137">
        <v>986.88900000000001</v>
      </c>
      <c r="C1137">
        <v>616081.71499999997</v>
      </c>
      <c r="D1137">
        <v>3097017.037</v>
      </c>
      <c r="E1137">
        <v>632.06849999999997</v>
      </c>
      <c r="F1137">
        <v>5.2</v>
      </c>
      <c r="G1137">
        <v>0</v>
      </c>
      <c r="H1137" t="s">
        <v>186</v>
      </c>
      <c r="I1137">
        <v>5.7000000000000002E-2</v>
      </c>
      <c r="J1137">
        <f t="shared" si="500"/>
        <v>1</v>
      </c>
      <c r="K1137">
        <f t="shared" si="501"/>
        <v>51</v>
      </c>
      <c r="L1137">
        <f t="shared" ca="1" si="502"/>
        <v>51797.843837663619</v>
      </c>
      <c r="M1137">
        <f t="shared" ca="1" si="479"/>
        <v>269348.78795585083</v>
      </c>
      <c r="N1137">
        <f t="shared" ca="1" si="480"/>
        <v>2.5998694991876676</v>
      </c>
      <c r="O1137">
        <f t="shared" ca="1" si="481"/>
        <v>1.8934557080078435E-4</v>
      </c>
      <c r="P1137">
        <f t="shared" ca="1" si="482"/>
        <v>52429.91233766362</v>
      </c>
      <c r="Q1137">
        <f t="shared" ca="1" si="483"/>
        <v>52429.912337665446</v>
      </c>
      <c r="R1137">
        <f t="shared" ca="1" si="484"/>
        <v>2.2564415439646509E-12</v>
      </c>
      <c r="S1137">
        <f t="shared" ca="1" si="503"/>
        <v>5.0000000192085281E-4</v>
      </c>
      <c r="T1137">
        <f t="shared" ca="1" si="504"/>
        <v>1</v>
      </c>
      <c r="U1137">
        <f t="shared" ca="1" si="485"/>
        <v>51800.26683766341</v>
      </c>
      <c r="V1137">
        <f t="shared" ca="1" si="486"/>
        <v>269361.38755584974</v>
      </c>
      <c r="W1137">
        <f t="shared" ca="1" si="487"/>
        <v>2.5998695052916441</v>
      </c>
      <c r="X1137">
        <f t="shared" ca="1" si="488"/>
        <v>1.8933671400629237E-4</v>
      </c>
      <c r="Y1137">
        <f t="shared" ca="1" si="489"/>
        <v>52432.335337663411</v>
      </c>
      <c r="Z1137">
        <f t="shared" ca="1" si="490"/>
        <v>52432.335337665238</v>
      </c>
      <c r="AA1137">
        <f t="shared" ca="1" si="491"/>
        <v>2.2562304480281055E-12</v>
      </c>
      <c r="AB1137">
        <f t="shared" ca="1" si="492"/>
        <v>-5.0000000192085281E-4</v>
      </c>
      <c r="AC1137">
        <f t="shared" ca="1" si="493"/>
        <v>1</v>
      </c>
      <c r="AD1137">
        <f ca="1">IF(V32="Supercritical",L1137,IF(V32="Subcritical",U1137,IF(AND(T1137=1,AC1137=1),IF((((F1137)*(L1137)^2)/2+(G1137)*(L1137)^3/3+(ABS(K1137)^2)/($I$5*MAX(((F1137)+(G1137)*(L1137))*(L1137),0.000001)))&gt;=(((F1137)*(U1137)^2)/2+(G1137)*(U1137)^3/3+(ABS(K1137)^2)/($I$5*MAX(((F1137)+(G1137)*(U1137))*(U1137),0.000001))),L1137,U1137),IF(T1137=1,L1137,IF(AC1137=1,U1137,MAX($D$16,POWER((ABS(K1137)^2)/($I$5*MAX(F1137,0.1)^2),1/3)))))))</f>
        <v>51800.26683766341</v>
      </c>
      <c r="AE1137">
        <f t="shared" ca="1" si="494"/>
        <v>52432.335337663411</v>
      </c>
      <c r="AF1137">
        <f t="shared" ca="1" si="495"/>
        <v>52432.335337665238</v>
      </c>
      <c r="AI1137">
        <v>0</v>
      </c>
      <c r="AJ1137">
        <v>0</v>
      </c>
      <c r="AK1137">
        <f t="shared" si="496"/>
        <v>0</v>
      </c>
      <c r="AL1137">
        <f t="shared" si="505"/>
        <v>0</v>
      </c>
      <c r="AM1137">
        <f t="shared" ca="1" si="497"/>
        <v>2.6560383008097266E-7</v>
      </c>
      <c r="AN1137" t="str">
        <f t="shared" ca="1" si="498"/>
        <v>Subcritical</v>
      </c>
      <c r="AO1137">
        <f t="shared" ca="1" si="499"/>
        <v>2.2562304480281055E-12</v>
      </c>
    </row>
    <row r="1138" spans="1:41" x14ac:dyDescent="0.35">
      <c r="A1138">
        <v>989</v>
      </c>
      <c r="B1138">
        <v>987.88900000000001</v>
      </c>
      <c r="C1138">
        <v>616081.67299999995</v>
      </c>
      <c r="D1138">
        <v>3097016.0380000002</v>
      </c>
      <c r="E1138">
        <v>632.06799999999998</v>
      </c>
      <c r="F1138">
        <v>5.2</v>
      </c>
      <c r="G1138">
        <v>0</v>
      </c>
      <c r="H1138" t="s">
        <v>186</v>
      </c>
      <c r="I1138">
        <v>0</v>
      </c>
      <c r="J1138">
        <f t="shared" si="500"/>
        <v>1</v>
      </c>
      <c r="K1138">
        <f t="shared" si="501"/>
        <v>51</v>
      </c>
      <c r="L1138">
        <f t="shared" ca="1" si="502"/>
        <v>51797.843837663619</v>
      </c>
      <c r="M1138">
        <f t="shared" ca="1" si="479"/>
        <v>269348.78795585083</v>
      </c>
      <c r="N1138">
        <f t="shared" ca="1" si="480"/>
        <v>2.5998694991876676</v>
      </c>
      <c r="O1138">
        <f t="shared" ca="1" si="481"/>
        <v>1.8934557080078435E-4</v>
      </c>
      <c r="P1138">
        <f t="shared" ca="1" si="482"/>
        <v>52429.911837663618</v>
      </c>
      <c r="Q1138">
        <f t="shared" ca="1" si="483"/>
        <v>52429.911837665444</v>
      </c>
      <c r="R1138">
        <f t="shared" ca="1" si="484"/>
        <v>2.2564415439646509E-12</v>
      </c>
      <c r="S1138">
        <f t="shared" ca="1" si="503"/>
        <v>5.0000000192085281E-4</v>
      </c>
      <c r="T1138">
        <f t="shared" ca="1" si="504"/>
        <v>1</v>
      </c>
      <c r="U1138">
        <f t="shared" ca="1" si="485"/>
        <v>51800.26683766341</v>
      </c>
      <c r="V1138">
        <f t="shared" ca="1" si="486"/>
        <v>269361.38755584974</v>
      </c>
      <c r="W1138">
        <f t="shared" ca="1" si="487"/>
        <v>2.5998695052916441</v>
      </c>
      <c r="X1138">
        <f t="shared" ca="1" si="488"/>
        <v>1.8933671400629237E-4</v>
      </c>
      <c r="Y1138">
        <f t="shared" ca="1" si="489"/>
        <v>52432.334837663409</v>
      </c>
      <c r="Z1138">
        <f t="shared" ca="1" si="490"/>
        <v>52432.334837665236</v>
      </c>
      <c r="AA1138">
        <f t="shared" ca="1" si="491"/>
        <v>2.2562304480281055E-12</v>
      </c>
      <c r="AB1138">
        <f t="shared" ca="1" si="492"/>
        <v>-5.0000000192085281E-4</v>
      </c>
      <c r="AC1138">
        <f t="shared" ca="1" si="493"/>
        <v>1</v>
      </c>
      <c r="AD1138">
        <f ca="1">IF(V32="Supercritical",L1138,IF(V32="Subcritical",U1138,IF(AND(T1138=1,AC1138=1),IF((((F1138)*(L1138)^2)/2+(G1138)*(L1138)^3/3+(ABS(K1138)^2)/($I$5*MAX(((F1138)+(G1138)*(L1138))*(L1138),0.000001)))&gt;=(((F1138)*(U1138)^2)/2+(G1138)*(U1138)^3/3+(ABS(K1138)^2)/($I$5*MAX(((F1138)+(G1138)*(U1138))*(U1138),0.000001))),L1138,U1138),IF(T1138=1,L1138,IF(AC1138=1,U1138,MAX($D$16,POWER((ABS(K1138)^2)/($I$5*MAX(F1138,0.1)^2),1/3)))))))</f>
        <v>51800.26683766341</v>
      </c>
      <c r="AE1138">
        <f t="shared" ca="1" si="494"/>
        <v>52432.334837663409</v>
      </c>
      <c r="AF1138">
        <f t="shared" ca="1" si="495"/>
        <v>52432.334837665236</v>
      </c>
      <c r="AI1138">
        <v>0</v>
      </c>
      <c r="AJ1138">
        <v>0</v>
      </c>
      <c r="AK1138">
        <f t="shared" si="496"/>
        <v>0</v>
      </c>
      <c r="AL1138">
        <f t="shared" si="505"/>
        <v>0</v>
      </c>
      <c r="AM1138">
        <f t="shared" ca="1" si="497"/>
        <v>2.6560383008097266E-7</v>
      </c>
      <c r="AN1138" t="str">
        <f t="shared" ca="1" si="498"/>
        <v>Subcritical</v>
      </c>
      <c r="AO1138">
        <f t="shared" ca="1" si="499"/>
        <v>2.2562304480281055E-12</v>
      </c>
    </row>
    <row r="1139" spans="1:41" x14ac:dyDescent="0.35">
      <c r="A1139">
        <v>990</v>
      </c>
      <c r="B1139">
        <v>988.88900000000001</v>
      </c>
      <c r="C1139">
        <v>616081.63100000005</v>
      </c>
      <c r="D1139">
        <v>3097015.0389999999</v>
      </c>
      <c r="E1139">
        <v>632.0675</v>
      </c>
      <c r="F1139">
        <v>5.2</v>
      </c>
      <c r="G1139">
        <v>0</v>
      </c>
      <c r="H1139" t="s">
        <v>186</v>
      </c>
      <c r="I1139">
        <v>0</v>
      </c>
      <c r="J1139">
        <f t="shared" si="500"/>
        <v>1</v>
      </c>
      <c r="K1139">
        <f t="shared" si="501"/>
        <v>51</v>
      </c>
      <c r="L1139">
        <f t="shared" ca="1" si="502"/>
        <v>51797.843837663619</v>
      </c>
      <c r="M1139">
        <f t="shared" ca="1" si="479"/>
        <v>269348.78795585083</v>
      </c>
      <c r="N1139">
        <f t="shared" ca="1" si="480"/>
        <v>2.5998694991876676</v>
      </c>
      <c r="O1139">
        <f t="shared" ca="1" si="481"/>
        <v>1.8934557080078435E-4</v>
      </c>
      <c r="P1139">
        <f t="shared" ca="1" si="482"/>
        <v>52429.911337663616</v>
      </c>
      <c r="Q1139">
        <f t="shared" ca="1" si="483"/>
        <v>52429.911337665442</v>
      </c>
      <c r="R1139">
        <f t="shared" ca="1" si="484"/>
        <v>2.2564415439646509E-12</v>
      </c>
      <c r="S1139">
        <f t="shared" ca="1" si="503"/>
        <v>5.0000000192085281E-4</v>
      </c>
      <c r="T1139">
        <f t="shared" ca="1" si="504"/>
        <v>1</v>
      </c>
      <c r="U1139">
        <f t="shared" ca="1" si="485"/>
        <v>51800.26683766341</v>
      </c>
      <c r="V1139">
        <f t="shared" ca="1" si="486"/>
        <v>269361.38755584974</v>
      </c>
      <c r="W1139">
        <f t="shared" ca="1" si="487"/>
        <v>2.5998695052916441</v>
      </c>
      <c r="X1139">
        <f t="shared" ca="1" si="488"/>
        <v>1.8933671400629237E-4</v>
      </c>
      <c r="Y1139">
        <f t="shared" ca="1" si="489"/>
        <v>52432.334337663407</v>
      </c>
      <c r="Z1139">
        <f t="shared" ca="1" si="490"/>
        <v>52432.334337665234</v>
      </c>
      <c r="AA1139">
        <f t="shared" ca="1" si="491"/>
        <v>2.2562304480281055E-12</v>
      </c>
      <c r="AB1139">
        <f t="shared" ca="1" si="492"/>
        <v>-4.999999946448952E-4</v>
      </c>
      <c r="AC1139">
        <f t="shared" ca="1" si="493"/>
        <v>1</v>
      </c>
      <c r="AD1139">
        <f ca="1">IF(V32="Supercritical",L1139,IF(V32="Subcritical",U1139,IF(AND(T1139=1,AC1139=1),IF((((F1139)*(L1139)^2)/2+(G1139)*(L1139)^3/3+(ABS(K1139)^2)/($I$5*MAX(((F1139)+(G1139)*(L1139))*(L1139),0.000001)))&gt;=(((F1139)*(U1139)^2)/2+(G1139)*(U1139)^3/3+(ABS(K1139)^2)/($I$5*MAX(((F1139)+(G1139)*(U1139))*(U1139),0.000001))),L1139,U1139),IF(T1139=1,L1139,IF(AC1139=1,U1139,MAX($D$16,POWER((ABS(K1139)^2)/($I$5*MAX(F1139,0.1)^2),1/3)))))))</f>
        <v>51800.26683766341</v>
      </c>
      <c r="AE1139">
        <f t="shared" ca="1" si="494"/>
        <v>52432.334337663407</v>
      </c>
      <c r="AF1139">
        <f t="shared" ca="1" si="495"/>
        <v>52432.334337665234</v>
      </c>
      <c r="AI1139">
        <v>0</v>
      </c>
      <c r="AJ1139">
        <v>0</v>
      </c>
      <c r="AK1139">
        <f t="shared" si="496"/>
        <v>0</v>
      </c>
      <c r="AL1139">
        <f t="shared" si="505"/>
        <v>0</v>
      </c>
      <c r="AM1139">
        <f t="shared" ca="1" si="497"/>
        <v>2.6560383008097266E-7</v>
      </c>
      <c r="AN1139" t="str">
        <f t="shared" ca="1" si="498"/>
        <v>Subcritical</v>
      </c>
      <c r="AO1139">
        <f t="shared" ca="1" si="499"/>
        <v>2.2562304480281055E-12</v>
      </c>
    </row>
    <row r="1140" spans="1:41" x14ac:dyDescent="0.35">
      <c r="A1140">
        <v>991</v>
      </c>
      <c r="B1140">
        <v>989.88900000000001</v>
      </c>
      <c r="C1140">
        <v>616081.58900000004</v>
      </c>
      <c r="D1140">
        <v>3097014.04</v>
      </c>
      <c r="E1140">
        <v>632.06700000000001</v>
      </c>
      <c r="F1140">
        <v>5.2</v>
      </c>
      <c r="G1140">
        <v>0</v>
      </c>
      <c r="H1140" t="s">
        <v>186</v>
      </c>
      <c r="I1140">
        <v>5.7000000000000002E-2</v>
      </c>
      <c r="J1140">
        <f t="shared" si="500"/>
        <v>1</v>
      </c>
      <c r="K1140">
        <f t="shared" si="501"/>
        <v>51</v>
      </c>
      <c r="L1140">
        <f t="shared" ca="1" si="502"/>
        <v>51797.843837663619</v>
      </c>
      <c r="M1140">
        <f t="shared" ca="1" si="479"/>
        <v>269348.78795585083</v>
      </c>
      <c r="N1140">
        <f t="shared" ca="1" si="480"/>
        <v>2.5998694991876676</v>
      </c>
      <c r="O1140">
        <f t="shared" ca="1" si="481"/>
        <v>1.8934557080078435E-4</v>
      </c>
      <c r="P1140">
        <f t="shared" ca="1" si="482"/>
        <v>52429.910837663621</v>
      </c>
      <c r="Q1140">
        <f t="shared" ca="1" si="483"/>
        <v>52429.910837665448</v>
      </c>
      <c r="R1140">
        <f t="shared" ca="1" si="484"/>
        <v>2.2564415439646509E-12</v>
      </c>
      <c r="S1140">
        <f t="shared" ca="1" si="503"/>
        <v>4.999999946448952E-4</v>
      </c>
      <c r="T1140">
        <f t="shared" ca="1" si="504"/>
        <v>1</v>
      </c>
      <c r="U1140">
        <f t="shared" ca="1" si="485"/>
        <v>51800.26683766341</v>
      </c>
      <c r="V1140">
        <f t="shared" ca="1" si="486"/>
        <v>269361.38755584974</v>
      </c>
      <c r="W1140">
        <f t="shared" ca="1" si="487"/>
        <v>2.5998695052916441</v>
      </c>
      <c r="X1140">
        <f t="shared" ca="1" si="488"/>
        <v>1.8933671400629237E-4</v>
      </c>
      <c r="Y1140">
        <f t="shared" ca="1" si="489"/>
        <v>52432.333837663413</v>
      </c>
      <c r="Z1140">
        <f t="shared" ca="1" si="490"/>
        <v>52432.333837665239</v>
      </c>
      <c r="AA1140">
        <f t="shared" ca="1" si="491"/>
        <v>2.2562304480281055E-12</v>
      </c>
      <c r="AB1140">
        <f t="shared" ca="1" si="492"/>
        <v>-5.0000000192085281E-4</v>
      </c>
      <c r="AC1140">
        <f t="shared" ca="1" si="493"/>
        <v>1</v>
      </c>
      <c r="AD1140">
        <f ca="1">IF(V32="Supercritical",L1140,IF(V32="Subcritical",U1140,IF(AND(T1140=1,AC1140=1),IF((((F1140)*(L1140)^2)/2+(G1140)*(L1140)^3/3+(ABS(K1140)^2)/($I$5*MAX(((F1140)+(G1140)*(L1140))*(L1140),0.000001)))&gt;=(((F1140)*(U1140)^2)/2+(G1140)*(U1140)^3/3+(ABS(K1140)^2)/($I$5*MAX(((F1140)+(G1140)*(U1140))*(U1140),0.000001))),L1140,U1140),IF(T1140=1,L1140,IF(AC1140=1,U1140,MAX($D$16,POWER((ABS(K1140)^2)/($I$5*MAX(F1140,0.1)^2),1/3)))))))</f>
        <v>51800.26683766341</v>
      </c>
      <c r="AE1140">
        <f t="shared" ca="1" si="494"/>
        <v>52432.333837663413</v>
      </c>
      <c r="AF1140">
        <f t="shared" ca="1" si="495"/>
        <v>52432.333837665239</v>
      </c>
      <c r="AI1140">
        <v>0</v>
      </c>
      <c r="AJ1140">
        <v>0</v>
      </c>
      <c r="AK1140">
        <f t="shared" si="496"/>
        <v>0</v>
      </c>
      <c r="AL1140">
        <f t="shared" si="505"/>
        <v>0</v>
      </c>
      <c r="AM1140">
        <f t="shared" ca="1" si="497"/>
        <v>2.6560383008097266E-7</v>
      </c>
      <c r="AN1140" t="str">
        <f t="shared" ca="1" si="498"/>
        <v>Subcritical</v>
      </c>
      <c r="AO1140">
        <f t="shared" ca="1" si="499"/>
        <v>2.2562304480281055E-12</v>
      </c>
    </row>
    <row r="1141" spans="1:41" x14ac:dyDescent="0.35">
      <c r="A1141">
        <v>992</v>
      </c>
      <c r="B1141">
        <v>990.88900000000001</v>
      </c>
      <c r="C1141">
        <v>616081.54599999997</v>
      </c>
      <c r="D1141">
        <v>3097013.0410000002</v>
      </c>
      <c r="E1141">
        <v>632.06650000000002</v>
      </c>
      <c r="F1141">
        <v>5.2</v>
      </c>
      <c r="G1141">
        <v>0</v>
      </c>
      <c r="H1141" t="s">
        <v>186</v>
      </c>
      <c r="I1141">
        <v>5.7000000000000002E-2</v>
      </c>
      <c r="J1141">
        <f t="shared" si="500"/>
        <v>1</v>
      </c>
      <c r="K1141">
        <f t="shared" si="501"/>
        <v>51</v>
      </c>
      <c r="L1141">
        <f t="shared" ca="1" si="502"/>
        <v>51797.843837663619</v>
      </c>
      <c r="M1141">
        <f t="shared" ca="1" si="479"/>
        <v>269348.78795585083</v>
      </c>
      <c r="N1141">
        <f t="shared" ca="1" si="480"/>
        <v>2.5998694991876676</v>
      </c>
      <c r="O1141">
        <f t="shared" ca="1" si="481"/>
        <v>1.8934557080078435E-4</v>
      </c>
      <c r="P1141">
        <f t="shared" ca="1" si="482"/>
        <v>52429.910337663619</v>
      </c>
      <c r="Q1141">
        <f t="shared" ca="1" si="483"/>
        <v>52429.910337665446</v>
      </c>
      <c r="R1141">
        <f t="shared" ca="1" si="484"/>
        <v>2.2564415439646509E-12</v>
      </c>
      <c r="S1141">
        <f t="shared" ca="1" si="503"/>
        <v>5.0000000192085281E-4</v>
      </c>
      <c r="T1141">
        <f t="shared" ca="1" si="504"/>
        <v>1</v>
      </c>
      <c r="U1141">
        <f t="shared" ca="1" si="485"/>
        <v>51800.26683766341</v>
      </c>
      <c r="V1141">
        <f t="shared" ca="1" si="486"/>
        <v>269361.38755584974</v>
      </c>
      <c r="W1141">
        <f t="shared" ca="1" si="487"/>
        <v>2.5998695052916441</v>
      </c>
      <c r="X1141">
        <f t="shared" ca="1" si="488"/>
        <v>1.8933671400629237E-4</v>
      </c>
      <c r="Y1141">
        <f t="shared" ca="1" si="489"/>
        <v>52432.333337663411</v>
      </c>
      <c r="Z1141">
        <f t="shared" ca="1" si="490"/>
        <v>52432.333337665237</v>
      </c>
      <c r="AA1141">
        <f t="shared" ca="1" si="491"/>
        <v>2.2562304480281055E-12</v>
      </c>
      <c r="AB1141">
        <f t="shared" ca="1" si="492"/>
        <v>-5.0000000192085281E-4</v>
      </c>
      <c r="AC1141">
        <f t="shared" ca="1" si="493"/>
        <v>1</v>
      </c>
      <c r="AD1141">
        <f ca="1">IF(V32="Supercritical",L1141,IF(V32="Subcritical",U1141,IF(AND(T1141=1,AC1141=1),IF((((F1141)*(L1141)^2)/2+(G1141)*(L1141)^3/3+(ABS(K1141)^2)/($I$5*MAX(((F1141)+(G1141)*(L1141))*(L1141),0.000001)))&gt;=(((F1141)*(U1141)^2)/2+(G1141)*(U1141)^3/3+(ABS(K1141)^2)/($I$5*MAX(((F1141)+(G1141)*(U1141))*(U1141),0.000001))),L1141,U1141),IF(T1141=1,L1141,IF(AC1141=1,U1141,MAX($D$16,POWER((ABS(K1141)^2)/($I$5*MAX(F1141,0.1)^2),1/3)))))))</f>
        <v>51800.26683766341</v>
      </c>
      <c r="AE1141">
        <f t="shared" ca="1" si="494"/>
        <v>52432.333337663411</v>
      </c>
      <c r="AF1141">
        <f t="shared" ca="1" si="495"/>
        <v>52432.333337665237</v>
      </c>
      <c r="AI1141">
        <v>0</v>
      </c>
      <c r="AJ1141">
        <v>0</v>
      </c>
      <c r="AK1141">
        <f t="shared" si="496"/>
        <v>0</v>
      </c>
      <c r="AL1141">
        <f t="shared" si="505"/>
        <v>0</v>
      </c>
      <c r="AM1141">
        <f t="shared" ca="1" si="497"/>
        <v>2.6560383008097266E-7</v>
      </c>
      <c r="AN1141" t="str">
        <f t="shared" ca="1" si="498"/>
        <v>Subcritical</v>
      </c>
      <c r="AO1141">
        <f t="shared" ca="1" si="499"/>
        <v>2.2562304480281055E-12</v>
      </c>
    </row>
    <row r="1142" spans="1:41" x14ac:dyDescent="0.35">
      <c r="A1142">
        <v>993</v>
      </c>
      <c r="B1142">
        <v>991.88900000000001</v>
      </c>
      <c r="C1142">
        <v>616081.50399999996</v>
      </c>
      <c r="D1142">
        <v>3097012.0419999999</v>
      </c>
      <c r="E1142">
        <v>632.06600000000003</v>
      </c>
      <c r="F1142">
        <v>5.2</v>
      </c>
      <c r="G1142">
        <v>0</v>
      </c>
      <c r="H1142" t="s">
        <v>186</v>
      </c>
      <c r="I1142">
        <v>2E-3</v>
      </c>
      <c r="J1142">
        <f t="shared" si="500"/>
        <v>1</v>
      </c>
      <c r="K1142">
        <f t="shared" si="501"/>
        <v>51</v>
      </c>
      <c r="L1142">
        <f t="shared" ca="1" si="502"/>
        <v>51797.843837663619</v>
      </c>
      <c r="M1142">
        <f t="shared" ca="1" si="479"/>
        <v>269348.78795585083</v>
      </c>
      <c r="N1142">
        <f t="shared" ca="1" si="480"/>
        <v>2.5998694991876676</v>
      </c>
      <c r="O1142">
        <f t="shared" ca="1" si="481"/>
        <v>1.8934557080078435E-4</v>
      </c>
      <c r="P1142">
        <f t="shared" ca="1" si="482"/>
        <v>52429.909837663618</v>
      </c>
      <c r="Q1142">
        <f t="shared" ca="1" si="483"/>
        <v>52429.909837665444</v>
      </c>
      <c r="R1142">
        <f t="shared" ca="1" si="484"/>
        <v>2.2564415439646509E-12</v>
      </c>
      <c r="S1142">
        <f t="shared" ca="1" si="503"/>
        <v>5.0000000192085281E-4</v>
      </c>
      <c r="T1142">
        <f t="shared" ca="1" si="504"/>
        <v>1</v>
      </c>
      <c r="U1142">
        <f t="shared" ca="1" si="485"/>
        <v>51800.26683766341</v>
      </c>
      <c r="V1142">
        <f t="shared" ca="1" si="486"/>
        <v>269361.38755584974</v>
      </c>
      <c r="W1142">
        <f t="shared" ca="1" si="487"/>
        <v>2.5998695052916441</v>
      </c>
      <c r="X1142">
        <f t="shared" ca="1" si="488"/>
        <v>1.8933671400629237E-4</v>
      </c>
      <c r="Y1142">
        <f t="shared" ca="1" si="489"/>
        <v>52432.332837663409</v>
      </c>
      <c r="Z1142">
        <f t="shared" ca="1" si="490"/>
        <v>52432.332837665235</v>
      </c>
      <c r="AA1142">
        <f t="shared" ca="1" si="491"/>
        <v>2.2562304480281055E-12</v>
      </c>
      <c r="AB1142">
        <f t="shared" ca="1" si="492"/>
        <v>-5.0000000192085281E-4</v>
      </c>
      <c r="AC1142">
        <f t="shared" ca="1" si="493"/>
        <v>1</v>
      </c>
      <c r="AD1142">
        <f ca="1">IF(V32="Supercritical",L1142,IF(V32="Subcritical",U1142,IF(AND(T1142=1,AC1142=1),IF((((F1142)*(L1142)^2)/2+(G1142)*(L1142)^3/3+(ABS(K1142)^2)/($I$5*MAX(((F1142)+(G1142)*(L1142))*(L1142),0.000001)))&gt;=(((F1142)*(U1142)^2)/2+(G1142)*(U1142)^3/3+(ABS(K1142)^2)/($I$5*MAX(((F1142)+(G1142)*(U1142))*(U1142),0.000001))),L1142,U1142),IF(T1142=1,L1142,IF(AC1142=1,U1142,MAX($D$16,POWER((ABS(K1142)^2)/($I$5*MAX(F1142,0.1)^2),1/3)))))))</f>
        <v>51800.26683766341</v>
      </c>
      <c r="AE1142">
        <f t="shared" ca="1" si="494"/>
        <v>52432.332837663409</v>
      </c>
      <c r="AF1142">
        <f t="shared" ca="1" si="495"/>
        <v>52432.332837665235</v>
      </c>
      <c r="AI1142">
        <v>0</v>
      </c>
      <c r="AJ1142">
        <v>0</v>
      </c>
      <c r="AK1142">
        <f t="shared" si="496"/>
        <v>0</v>
      </c>
      <c r="AL1142">
        <f t="shared" si="505"/>
        <v>0</v>
      </c>
      <c r="AM1142">
        <f t="shared" ca="1" si="497"/>
        <v>2.6560383008097266E-7</v>
      </c>
      <c r="AN1142" t="str">
        <f t="shared" ca="1" si="498"/>
        <v>Subcritical</v>
      </c>
      <c r="AO1142">
        <f t="shared" ca="1" si="499"/>
        <v>2.2562304480281055E-12</v>
      </c>
    </row>
    <row r="1143" spans="1:41" x14ac:dyDescent="0.35">
      <c r="A1143">
        <v>994</v>
      </c>
      <c r="B1143">
        <v>992.89</v>
      </c>
      <c r="C1143">
        <v>616081.46200000006</v>
      </c>
      <c r="D1143">
        <v>3097011.0419999999</v>
      </c>
      <c r="E1143">
        <v>632.06550000000004</v>
      </c>
      <c r="F1143">
        <v>5.2</v>
      </c>
      <c r="G1143">
        <v>0</v>
      </c>
      <c r="H1143" t="s">
        <v>186</v>
      </c>
      <c r="I1143">
        <v>2E-3</v>
      </c>
      <c r="J1143">
        <f t="shared" si="500"/>
        <v>1.0009999999999764</v>
      </c>
      <c r="K1143">
        <f t="shared" si="501"/>
        <v>51</v>
      </c>
      <c r="L1143">
        <f t="shared" ca="1" si="502"/>
        <v>51797.843837663619</v>
      </c>
      <c r="M1143">
        <f t="shared" ca="1" si="479"/>
        <v>269348.78795585083</v>
      </c>
      <c r="N1143">
        <f t="shared" ca="1" si="480"/>
        <v>2.5998694991876676</v>
      </c>
      <c r="O1143">
        <f t="shared" ca="1" si="481"/>
        <v>1.8934557080078435E-4</v>
      </c>
      <c r="P1143">
        <f t="shared" ca="1" si="482"/>
        <v>52429.909337663616</v>
      </c>
      <c r="Q1143">
        <f t="shared" ca="1" si="483"/>
        <v>52429.909337665442</v>
      </c>
      <c r="R1143">
        <f t="shared" ca="1" si="484"/>
        <v>2.2564415439646509E-12</v>
      </c>
      <c r="S1143">
        <f t="shared" ca="1" si="503"/>
        <v>5.0000000192085281E-4</v>
      </c>
      <c r="T1143">
        <f t="shared" ca="1" si="504"/>
        <v>1</v>
      </c>
      <c r="U1143">
        <f t="shared" ca="1" si="485"/>
        <v>51800.26683766341</v>
      </c>
      <c r="V1143">
        <f t="shared" ca="1" si="486"/>
        <v>269361.38755584974</v>
      </c>
      <c r="W1143">
        <f t="shared" ca="1" si="487"/>
        <v>2.5998695052916441</v>
      </c>
      <c r="X1143">
        <f t="shared" ca="1" si="488"/>
        <v>1.8933671400629237E-4</v>
      </c>
      <c r="Y1143">
        <f t="shared" ca="1" si="489"/>
        <v>52432.332337663407</v>
      </c>
      <c r="Z1143">
        <f t="shared" ca="1" si="490"/>
        <v>52432.332337665233</v>
      </c>
      <c r="AA1143">
        <f t="shared" ca="1" si="491"/>
        <v>2.2562304480281055E-12</v>
      </c>
      <c r="AB1143">
        <f t="shared" ca="1" si="492"/>
        <v>-4.999999946448952E-4</v>
      </c>
      <c r="AC1143">
        <f t="shared" ca="1" si="493"/>
        <v>1</v>
      </c>
      <c r="AD1143">
        <f ca="1">IF(V32="Supercritical",L1143,IF(V32="Subcritical",U1143,IF(AND(T1143=1,AC1143=1),IF((((F1143)*(L1143)^2)/2+(G1143)*(L1143)^3/3+(ABS(K1143)^2)/($I$5*MAX(((F1143)+(G1143)*(L1143))*(L1143),0.000001)))&gt;=(((F1143)*(U1143)^2)/2+(G1143)*(U1143)^3/3+(ABS(K1143)^2)/($I$5*MAX(((F1143)+(G1143)*(U1143))*(U1143),0.000001))),L1143,U1143),IF(T1143=1,L1143,IF(AC1143=1,U1143,MAX($D$16,POWER((ABS(K1143)^2)/($I$5*MAX(F1143,0.1)^2),1/3)))))))</f>
        <v>51800.26683766341</v>
      </c>
      <c r="AE1143">
        <f t="shared" ca="1" si="494"/>
        <v>52432.332337663407</v>
      </c>
      <c r="AF1143">
        <f t="shared" ca="1" si="495"/>
        <v>52432.332337665233</v>
      </c>
      <c r="AI1143">
        <v>0</v>
      </c>
      <c r="AJ1143">
        <v>0</v>
      </c>
      <c r="AK1143">
        <f t="shared" si="496"/>
        <v>0</v>
      </c>
      <c r="AL1143">
        <f t="shared" si="505"/>
        <v>0</v>
      </c>
      <c r="AM1143">
        <f t="shared" ca="1" si="497"/>
        <v>2.6560383008097266E-7</v>
      </c>
      <c r="AN1143" t="str">
        <f t="shared" ca="1" si="498"/>
        <v>Subcritical</v>
      </c>
      <c r="AO1143">
        <f t="shared" ca="1" si="499"/>
        <v>2.2562304480281055E-12</v>
      </c>
    </row>
    <row r="1144" spans="1:41" x14ac:dyDescent="0.35">
      <c r="A1144">
        <v>995</v>
      </c>
      <c r="B1144">
        <v>993.89</v>
      </c>
      <c r="C1144">
        <v>616081.42000000004</v>
      </c>
      <c r="D1144">
        <v>3097010.0430000001</v>
      </c>
      <c r="E1144">
        <v>632.06500000000005</v>
      </c>
      <c r="F1144">
        <v>5.2</v>
      </c>
      <c r="G1144">
        <v>0</v>
      </c>
      <c r="H1144" t="s">
        <v>186</v>
      </c>
      <c r="I1144">
        <v>5.7000000000000002E-2</v>
      </c>
      <c r="J1144">
        <f t="shared" si="500"/>
        <v>1</v>
      </c>
      <c r="K1144">
        <f t="shared" si="501"/>
        <v>51</v>
      </c>
      <c r="L1144">
        <f t="shared" ca="1" si="502"/>
        <v>51797.843837663619</v>
      </c>
      <c r="M1144">
        <f t="shared" ca="1" si="479"/>
        <v>269348.78795585083</v>
      </c>
      <c r="N1144">
        <f t="shared" ca="1" si="480"/>
        <v>2.5998694991876676</v>
      </c>
      <c r="O1144">
        <f t="shared" ca="1" si="481"/>
        <v>1.8934557080078435E-4</v>
      </c>
      <c r="P1144">
        <f t="shared" ca="1" si="482"/>
        <v>52429.908837663621</v>
      </c>
      <c r="Q1144">
        <f t="shared" ca="1" si="483"/>
        <v>52429.908837665447</v>
      </c>
      <c r="R1144">
        <f t="shared" ca="1" si="484"/>
        <v>2.2564415439646509E-12</v>
      </c>
      <c r="S1144">
        <f t="shared" ca="1" si="503"/>
        <v>4.999999946448952E-4</v>
      </c>
      <c r="T1144">
        <f t="shared" ca="1" si="504"/>
        <v>1</v>
      </c>
      <c r="U1144">
        <f t="shared" ca="1" si="485"/>
        <v>51800.26683766341</v>
      </c>
      <c r="V1144">
        <f t="shared" ca="1" si="486"/>
        <v>269361.38755584974</v>
      </c>
      <c r="W1144">
        <f t="shared" ca="1" si="487"/>
        <v>2.5998695052916441</v>
      </c>
      <c r="X1144">
        <f t="shared" ca="1" si="488"/>
        <v>1.8933671400629237E-4</v>
      </c>
      <c r="Y1144">
        <f t="shared" ca="1" si="489"/>
        <v>52432.331837663412</v>
      </c>
      <c r="Z1144">
        <f t="shared" ca="1" si="490"/>
        <v>52432.331837665239</v>
      </c>
      <c r="AA1144">
        <f t="shared" ca="1" si="491"/>
        <v>2.2562304480281055E-12</v>
      </c>
      <c r="AB1144">
        <f t="shared" ca="1" si="492"/>
        <v>-5.0000000192085281E-4</v>
      </c>
      <c r="AC1144">
        <f t="shared" ca="1" si="493"/>
        <v>1</v>
      </c>
      <c r="AD1144">
        <f ca="1">IF(V32="Supercritical",L1144,IF(V32="Subcritical",U1144,IF(AND(T1144=1,AC1144=1),IF((((F1144)*(L1144)^2)/2+(G1144)*(L1144)^3/3+(ABS(K1144)^2)/($I$5*MAX(((F1144)+(G1144)*(L1144))*(L1144),0.000001)))&gt;=(((F1144)*(U1144)^2)/2+(G1144)*(U1144)^3/3+(ABS(K1144)^2)/($I$5*MAX(((F1144)+(G1144)*(U1144))*(U1144),0.000001))),L1144,U1144),IF(T1144=1,L1144,IF(AC1144=1,U1144,MAX($D$16,POWER((ABS(K1144)^2)/($I$5*MAX(F1144,0.1)^2),1/3)))))))</f>
        <v>51800.26683766341</v>
      </c>
      <c r="AE1144">
        <f t="shared" ca="1" si="494"/>
        <v>52432.331837663412</v>
      </c>
      <c r="AF1144">
        <f t="shared" ca="1" si="495"/>
        <v>52432.331837665239</v>
      </c>
      <c r="AI1144">
        <v>0</v>
      </c>
      <c r="AJ1144">
        <v>0</v>
      </c>
      <c r="AK1144">
        <f t="shared" si="496"/>
        <v>0</v>
      </c>
      <c r="AL1144">
        <f t="shared" si="505"/>
        <v>0</v>
      </c>
      <c r="AM1144">
        <f t="shared" ca="1" si="497"/>
        <v>2.6560383008097266E-7</v>
      </c>
      <c r="AN1144" t="str">
        <f t="shared" ca="1" si="498"/>
        <v>Subcritical</v>
      </c>
      <c r="AO1144">
        <f t="shared" ca="1" si="499"/>
        <v>2.2562304480281055E-12</v>
      </c>
    </row>
    <row r="1145" spans="1:41" x14ac:dyDescent="0.35">
      <c r="A1145">
        <v>996</v>
      </c>
      <c r="B1145">
        <v>994.89</v>
      </c>
      <c r="C1145">
        <v>616081.37699999998</v>
      </c>
      <c r="D1145">
        <v>3097009.0440000002</v>
      </c>
      <c r="E1145">
        <v>632.06449999999995</v>
      </c>
      <c r="F1145">
        <v>5.2</v>
      </c>
      <c r="G1145">
        <v>0</v>
      </c>
      <c r="H1145" t="s">
        <v>186</v>
      </c>
      <c r="I1145">
        <v>5.7000000000000002E-2</v>
      </c>
      <c r="J1145">
        <f t="shared" si="500"/>
        <v>1</v>
      </c>
      <c r="K1145">
        <f t="shared" si="501"/>
        <v>51</v>
      </c>
      <c r="L1145">
        <f t="shared" ca="1" si="502"/>
        <v>51797.843837663619</v>
      </c>
      <c r="M1145">
        <f t="shared" ca="1" si="479"/>
        <v>269348.78795585083</v>
      </c>
      <c r="N1145">
        <f t="shared" ca="1" si="480"/>
        <v>2.5998694991876676</v>
      </c>
      <c r="O1145">
        <f t="shared" ca="1" si="481"/>
        <v>1.8934557080078435E-4</v>
      </c>
      <c r="P1145">
        <f t="shared" ca="1" si="482"/>
        <v>52429.908337663619</v>
      </c>
      <c r="Q1145">
        <f t="shared" ca="1" si="483"/>
        <v>52429.908337665445</v>
      </c>
      <c r="R1145">
        <f t="shared" ca="1" si="484"/>
        <v>2.2564415439646509E-12</v>
      </c>
      <c r="S1145">
        <f t="shared" ca="1" si="503"/>
        <v>5.0000000192085281E-4</v>
      </c>
      <c r="T1145">
        <f t="shared" ca="1" si="504"/>
        <v>1</v>
      </c>
      <c r="U1145">
        <f t="shared" ca="1" si="485"/>
        <v>51800.26683766341</v>
      </c>
      <c r="V1145">
        <f t="shared" ca="1" si="486"/>
        <v>269361.38755584974</v>
      </c>
      <c r="W1145">
        <f t="shared" ca="1" si="487"/>
        <v>2.5998695052916441</v>
      </c>
      <c r="X1145">
        <f t="shared" ca="1" si="488"/>
        <v>1.8933671400629237E-4</v>
      </c>
      <c r="Y1145">
        <f t="shared" ca="1" si="489"/>
        <v>52432.331337663411</v>
      </c>
      <c r="Z1145">
        <f t="shared" ca="1" si="490"/>
        <v>52432.331337665237</v>
      </c>
      <c r="AA1145">
        <f t="shared" ca="1" si="491"/>
        <v>2.2562304480281055E-12</v>
      </c>
      <c r="AB1145">
        <f t="shared" ca="1" si="492"/>
        <v>-5.0000000192085281E-4</v>
      </c>
      <c r="AC1145">
        <f t="shared" ca="1" si="493"/>
        <v>1</v>
      </c>
      <c r="AD1145">
        <f ca="1">IF(V32="Supercritical",L1145,IF(V32="Subcritical",U1145,IF(AND(T1145=1,AC1145=1),IF((((F1145)*(L1145)^2)/2+(G1145)*(L1145)^3/3+(ABS(K1145)^2)/($I$5*MAX(((F1145)+(G1145)*(L1145))*(L1145),0.000001)))&gt;=(((F1145)*(U1145)^2)/2+(G1145)*(U1145)^3/3+(ABS(K1145)^2)/($I$5*MAX(((F1145)+(G1145)*(U1145))*(U1145),0.000001))),L1145,U1145),IF(T1145=1,L1145,IF(AC1145=1,U1145,MAX($D$16,POWER((ABS(K1145)^2)/($I$5*MAX(F1145,0.1)^2),1/3)))))))</f>
        <v>51800.26683766341</v>
      </c>
      <c r="AE1145">
        <f t="shared" ca="1" si="494"/>
        <v>52432.331337663411</v>
      </c>
      <c r="AF1145">
        <f t="shared" ca="1" si="495"/>
        <v>52432.331337665237</v>
      </c>
      <c r="AI1145">
        <v>0</v>
      </c>
      <c r="AJ1145">
        <v>0</v>
      </c>
      <c r="AK1145">
        <f t="shared" si="496"/>
        <v>0</v>
      </c>
      <c r="AL1145">
        <f t="shared" si="505"/>
        <v>0</v>
      </c>
      <c r="AM1145">
        <f t="shared" ca="1" si="497"/>
        <v>2.6560383008097266E-7</v>
      </c>
      <c r="AN1145" t="str">
        <f t="shared" ca="1" si="498"/>
        <v>Subcritical</v>
      </c>
      <c r="AO1145">
        <f t="shared" ca="1" si="499"/>
        <v>2.2562304480281055E-12</v>
      </c>
    </row>
    <row r="1146" spans="1:41" x14ac:dyDescent="0.35">
      <c r="A1146">
        <v>997</v>
      </c>
      <c r="B1146">
        <v>995.88900000000001</v>
      </c>
      <c r="C1146">
        <v>616081.33499999996</v>
      </c>
      <c r="D1146">
        <v>3097008.0449999999</v>
      </c>
      <c r="E1146">
        <v>632.06399999999996</v>
      </c>
      <c r="F1146">
        <v>5.2</v>
      </c>
      <c r="G1146">
        <v>0</v>
      </c>
      <c r="H1146" t="s">
        <v>186</v>
      </c>
      <c r="I1146">
        <v>0</v>
      </c>
      <c r="J1146">
        <f t="shared" si="500"/>
        <v>0.99900000000002365</v>
      </c>
      <c r="K1146">
        <f t="shared" si="501"/>
        <v>51</v>
      </c>
      <c r="L1146">
        <f t="shared" ca="1" si="502"/>
        <v>51797.843837663619</v>
      </c>
      <c r="M1146">
        <f t="shared" ca="1" si="479"/>
        <v>269348.78795585083</v>
      </c>
      <c r="N1146">
        <f t="shared" ca="1" si="480"/>
        <v>2.5998694991876676</v>
      </c>
      <c r="O1146">
        <f t="shared" ca="1" si="481"/>
        <v>1.8934557080078435E-4</v>
      </c>
      <c r="P1146">
        <f t="shared" ca="1" si="482"/>
        <v>52429.907837663617</v>
      </c>
      <c r="Q1146">
        <f t="shared" ca="1" si="483"/>
        <v>52429.907837665443</v>
      </c>
      <c r="R1146">
        <f t="shared" ca="1" si="484"/>
        <v>2.2564415439646509E-12</v>
      </c>
      <c r="S1146">
        <f t="shared" ca="1" si="503"/>
        <v>5.0000000192085281E-4</v>
      </c>
      <c r="T1146">
        <f t="shared" ca="1" si="504"/>
        <v>1</v>
      </c>
      <c r="U1146">
        <f t="shared" ca="1" si="485"/>
        <v>51800.26683766341</v>
      </c>
      <c r="V1146">
        <f t="shared" ca="1" si="486"/>
        <v>269361.38755584974</v>
      </c>
      <c r="W1146">
        <f t="shared" ca="1" si="487"/>
        <v>2.5998695052916441</v>
      </c>
      <c r="X1146">
        <f t="shared" ca="1" si="488"/>
        <v>1.8933671400629237E-4</v>
      </c>
      <c r="Y1146">
        <f t="shared" ca="1" si="489"/>
        <v>52432.330837663409</v>
      </c>
      <c r="Z1146">
        <f t="shared" ca="1" si="490"/>
        <v>52432.330837665235</v>
      </c>
      <c r="AA1146">
        <f t="shared" ca="1" si="491"/>
        <v>2.2562304480281055E-12</v>
      </c>
      <c r="AB1146">
        <f t="shared" ca="1" si="492"/>
        <v>-5.0000000192085281E-4</v>
      </c>
      <c r="AC1146">
        <f t="shared" ca="1" si="493"/>
        <v>1</v>
      </c>
      <c r="AD1146">
        <f ca="1">IF(V32="Supercritical",L1146,IF(V32="Subcritical",U1146,IF(AND(T1146=1,AC1146=1),IF((((F1146)*(L1146)^2)/2+(G1146)*(L1146)^3/3+(ABS(K1146)^2)/($I$5*MAX(((F1146)+(G1146)*(L1146))*(L1146),0.000001)))&gt;=(((F1146)*(U1146)^2)/2+(G1146)*(U1146)^3/3+(ABS(K1146)^2)/($I$5*MAX(((F1146)+(G1146)*(U1146))*(U1146),0.000001))),L1146,U1146),IF(T1146=1,L1146,IF(AC1146=1,U1146,MAX($D$16,POWER((ABS(K1146)^2)/($I$5*MAX(F1146,0.1)^2),1/3)))))))</f>
        <v>51800.26683766341</v>
      </c>
      <c r="AE1146">
        <f t="shared" ca="1" si="494"/>
        <v>52432.330837663409</v>
      </c>
      <c r="AF1146">
        <f t="shared" ca="1" si="495"/>
        <v>52432.330837665235</v>
      </c>
      <c r="AI1146">
        <v>0</v>
      </c>
      <c r="AJ1146">
        <v>0</v>
      </c>
      <c r="AK1146">
        <f t="shared" si="496"/>
        <v>0</v>
      </c>
      <c r="AL1146">
        <f t="shared" si="505"/>
        <v>0</v>
      </c>
      <c r="AM1146">
        <f t="shared" ca="1" si="497"/>
        <v>2.6560383008097266E-7</v>
      </c>
      <c r="AN1146" t="str">
        <f t="shared" ca="1" si="498"/>
        <v>Subcritical</v>
      </c>
      <c r="AO1146">
        <f t="shared" ca="1" si="499"/>
        <v>2.2562304480281055E-12</v>
      </c>
    </row>
    <row r="1147" spans="1:41" x14ac:dyDescent="0.35">
      <c r="A1147">
        <v>998</v>
      </c>
      <c r="B1147">
        <v>996.88900000000001</v>
      </c>
      <c r="C1147">
        <v>616081.29299999995</v>
      </c>
      <c r="D1147">
        <v>3097007.0460000001</v>
      </c>
      <c r="E1147">
        <v>632.06349999999998</v>
      </c>
      <c r="F1147">
        <v>5.2</v>
      </c>
      <c r="G1147">
        <v>0</v>
      </c>
      <c r="H1147" t="s">
        <v>186</v>
      </c>
      <c r="I1147">
        <v>0</v>
      </c>
      <c r="J1147">
        <f t="shared" si="500"/>
        <v>1</v>
      </c>
      <c r="K1147">
        <f t="shared" si="501"/>
        <v>51</v>
      </c>
      <c r="L1147">
        <f t="shared" ca="1" si="502"/>
        <v>51797.843837663619</v>
      </c>
      <c r="M1147">
        <f t="shared" ca="1" si="479"/>
        <v>269348.78795585083</v>
      </c>
      <c r="N1147">
        <f t="shared" ca="1" si="480"/>
        <v>2.5998694991876676</v>
      </c>
      <c r="O1147">
        <f t="shared" ca="1" si="481"/>
        <v>1.8934557080078435E-4</v>
      </c>
      <c r="P1147">
        <f t="shared" ca="1" si="482"/>
        <v>52429.907337663615</v>
      </c>
      <c r="Q1147">
        <f t="shared" ca="1" si="483"/>
        <v>52429.907337665441</v>
      </c>
      <c r="R1147">
        <f t="shared" ca="1" si="484"/>
        <v>2.2564415439646509E-12</v>
      </c>
      <c r="S1147">
        <f t="shared" ca="1" si="503"/>
        <v>5.0000000192085281E-4</v>
      </c>
      <c r="T1147">
        <f t="shared" ca="1" si="504"/>
        <v>1</v>
      </c>
      <c r="U1147">
        <f t="shared" ca="1" si="485"/>
        <v>51800.26683766341</v>
      </c>
      <c r="V1147">
        <f t="shared" ca="1" si="486"/>
        <v>269361.38755584974</v>
      </c>
      <c r="W1147">
        <f t="shared" ca="1" si="487"/>
        <v>2.5998695052916441</v>
      </c>
      <c r="X1147">
        <f t="shared" ca="1" si="488"/>
        <v>1.8933671400629237E-4</v>
      </c>
      <c r="Y1147">
        <f t="shared" ca="1" si="489"/>
        <v>52432.330337663407</v>
      </c>
      <c r="Z1147">
        <f t="shared" ca="1" si="490"/>
        <v>52432.330337665233</v>
      </c>
      <c r="AA1147">
        <f t="shared" ca="1" si="491"/>
        <v>2.2562304480281055E-12</v>
      </c>
      <c r="AB1147">
        <f t="shared" ca="1" si="492"/>
        <v>-4.999999946448952E-4</v>
      </c>
      <c r="AC1147">
        <f t="shared" ca="1" si="493"/>
        <v>1</v>
      </c>
      <c r="AD1147">
        <f ca="1">IF(V32="Supercritical",L1147,IF(V32="Subcritical",U1147,IF(AND(T1147=1,AC1147=1),IF((((F1147)*(L1147)^2)/2+(G1147)*(L1147)^3/3+(ABS(K1147)^2)/($I$5*MAX(((F1147)+(G1147)*(L1147))*(L1147),0.000001)))&gt;=(((F1147)*(U1147)^2)/2+(G1147)*(U1147)^3/3+(ABS(K1147)^2)/($I$5*MAX(((F1147)+(G1147)*(U1147))*(U1147),0.000001))),L1147,U1147),IF(T1147=1,L1147,IF(AC1147=1,U1147,MAX($D$16,POWER((ABS(K1147)^2)/($I$5*MAX(F1147,0.1)^2),1/3)))))))</f>
        <v>51800.26683766341</v>
      </c>
      <c r="AE1147">
        <f t="shared" ca="1" si="494"/>
        <v>52432.330337663407</v>
      </c>
      <c r="AF1147">
        <f t="shared" ca="1" si="495"/>
        <v>52432.330337665233</v>
      </c>
      <c r="AI1147">
        <v>0</v>
      </c>
      <c r="AJ1147">
        <v>0</v>
      </c>
      <c r="AK1147">
        <f t="shared" si="496"/>
        <v>0</v>
      </c>
      <c r="AL1147">
        <f t="shared" si="505"/>
        <v>0</v>
      </c>
      <c r="AM1147">
        <f t="shared" ca="1" si="497"/>
        <v>2.6560383008097266E-7</v>
      </c>
      <c r="AN1147" t="str">
        <f t="shared" ca="1" si="498"/>
        <v>Subcritical</v>
      </c>
      <c r="AO1147">
        <f t="shared" ca="1" si="499"/>
        <v>2.2562304480281055E-12</v>
      </c>
    </row>
    <row r="1148" spans="1:41" x14ac:dyDescent="0.35">
      <c r="A1148">
        <v>999</v>
      </c>
      <c r="B1148">
        <v>997.88900000000001</v>
      </c>
      <c r="C1148">
        <v>616081.25100000005</v>
      </c>
      <c r="D1148">
        <v>3097006.0469999998</v>
      </c>
      <c r="E1148">
        <v>632.06299999999999</v>
      </c>
      <c r="F1148">
        <v>5.2</v>
      </c>
      <c r="G1148">
        <v>0</v>
      </c>
      <c r="H1148" t="s">
        <v>186</v>
      </c>
      <c r="I1148">
        <v>5.7000000000000002E-2</v>
      </c>
      <c r="J1148">
        <f t="shared" si="500"/>
        <v>1</v>
      </c>
      <c r="K1148">
        <f t="shared" si="501"/>
        <v>51</v>
      </c>
      <c r="L1148">
        <f t="shared" ca="1" si="502"/>
        <v>51797.843837663619</v>
      </c>
      <c r="M1148">
        <f t="shared" ca="1" si="479"/>
        <v>269348.78795585083</v>
      </c>
      <c r="N1148">
        <f t="shared" ca="1" si="480"/>
        <v>2.5998694991876676</v>
      </c>
      <c r="O1148">
        <f t="shared" ca="1" si="481"/>
        <v>1.8934557080078435E-4</v>
      </c>
      <c r="P1148">
        <f t="shared" ca="1" si="482"/>
        <v>52429.906837663621</v>
      </c>
      <c r="Q1148">
        <f t="shared" ca="1" si="483"/>
        <v>52429.906837665447</v>
      </c>
      <c r="R1148">
        <f t="shared" ca="1" si="484"/>
        <v>2.2564415439646509E-12</v>
      </c>
      <c r="S1148">
        <f t="shared" ca="1" si="503"/>
        <v>4.999999946448952E-4</v>
      </c>
      <c r="T1148">
        <f t="shared" ca="1" si="504"/>
        <v>1</v>
      </c>
      <c r="U1148">
        <f t="shared" ca="1" si="485"/>
        <v>51800.26683766341</v>
      </c>
      <c r="V1148">
        <f t="shared" ca="1" si="486"/>
        <v>269361.38755584974</v>
      </c>
      <c r="W1148">
        <f t="shared" ca="1" si="487"/>
        <v>2.5998695052916441</v>
      </c>
      <c r="X1148">
        <f t="shared" ca="1" si="488"/>
        <v>1.8933671400629237E-4</v>
      </c>
      <c r="Y1148">
        <f t="shared" ca="1" si="489"/>
        <v>52432.329837663412</v>
      </c>
      <c r="Z1148">
        <f t="shared" ca="1" si="490"/>
        <v>52432.329837665238</v>
      </c>
      <c r="AA1148">
        <f t="shared" ca="1" si="491"/>
        <v>2.2562304480281055E-12</v>
      </c>
      <c r="AB1148">
        <f t="shared" ca="1" si="492"/>
        <v>-5.0000000192085281E-4</v>
      </c>
      <c r="AC1148">
        <f t="shared" ca="1" si="493"/>
        <v>1</v>
      </c>
      <c r="AD1148">
        <f ca="1">IF(V32="Supercritical",L1148,IF(V32="Subcritical",U1148,IF(AND(T1148=1,AC1148=1),IF((((F1148)*(L1148)^2)/2+(G1148)*(L1148)^3/3+(ABS(K1148)^2)/($I$5*MAX(((F1148)+(G1148)*(L1148))*(L1148),0.000001)))&gt;=(((F1148)*(U1148)^2)/2+(G1148)*(U1148)^3/3+(ABS(K1148)^2)/($I$5*MAX(((F1148)+(G1148)*(U1148))*(U1148),0.000001))),L1148,U1148),IF(T1148=1,L1148,IF(AC1148=1,U1148,MAX($D$16,POWER((ABS(K1148)^2)/($I$5*MAX(F1148,0.1)^2),1/3)))))))</f>
        <v>51800.26683766341</v>
      </c>
      <c r="AE1148">
        <f t="shared" ca="1" si="494"/>
        <v>52432.329837663412</v>
      </c>
      <c r="AF1148">
        <f t="shared" ca="1" si="495"/>
        <v>52432.329837665238</v>
      </c>
      <c r="AI1148">
        <v>0</v>
      </c>
      <c r="AJ1148">
        <v>0</v>
      </c>
      <c r="AK1148">
        <f t="shared" si="496"/>
        <v>0</v>
      </c>
      <c r="AL1148">
        <f t="shared" si="505"/>
        <v>0</v>
      </c>
      <c r="AM1148">
        <f t="shared" ca="1" si="497"/>
        <v>2.6560383008097266E-7</v>
      </c>
      <c r="AN1148" t="str">
        <f t="shared" ca="1" si="498"/>
        <v>Subcritical</v>
      </c>
      <c r="AO1148">
        <f t="shared" ca="1" si="499"/>
        <v>2.2562304480281055E-12</v>
      </c>
    </row>
    <row r="1149" spans="1:41" x14ac:dyDescent="0.35">
      <c r="A1149">
        <v>1000</v>
      </c>
      <c r="B1149">
        <v>998.88900000000001</v>
      </c>
      <c r="C1149">
        <v>616081.20799999998</v>
      </c>
      <c r="D1149">
        <v>3097005.048</v>
      </c>
      <c r="E1149">
        <v>632.0625</v>
      </c>
      <c r="F1149">
        <v>5.2</v>
      </c>
      <c r="G1149">
        <v>0</v>
      </c>
      <c r="H1149" t="s">
        <v>186</v>
      </c>
      <c r="I1149">
        <v>5.7000000000000002E-2</v>
      </c>
      <c r="J1149">
        <f t="shared" si="500"/>
        <v>1</v>
      </c>
      <c r="K1149">
        <f t="shared" si="501"/>
        <v>51</v>
      </c>
      <c r="L1149">
        <f t="shared" ca="1" si="502"/>
        <v>51797.843837663619</v>
      </c>
      <c r="M1149">
        <f t="shared" ca="1" si="479"/>
        <v>269348.78795585083</v>
      </c>
      <c r="N1149">
        <f t="shared" ca="1" si="480"/>
        <v>2.5998694991876676</v>
      </c>
      <c r="O1149">
        <f t="shared" ca="1" si="481"/>
        <v>1.8934557080078435E-4</v>
      </c>
      <c r="P1149">
        <f t="shared" ca="1" si="482"/>
        <v>52429.906337663619</v>
      </c>
      <c r="Q1149">
        <f t="shared" ca="1" si="483"/>
        <v>52429.906337665445</v>
      </c>
      <c r="R1149">
        <f t="shared" ca="1" si="484"/>
        <v>2.2564415439646509E-12</v>
      </c>
      <c r="S1149">
        <f t="shared" ca="1" si="503"/>
        <v>5.0000000192085281E-4</v>
      </c>
      <c r="T1149">
        <f t="shared" ca="1" si="504"/>
        <v>1</v>
      </c>
      <c r="U1149">
        <f t="shared" ca="1" si="485"/>
        <v>51800.26683766341</v>
      </c>
      <c r="V1149">
        <f t="shared" ca="1" si="486"/>
        <v>269361.38755584974</v>
      </c>
      <c r="W1149">
        <f t="shared" ca="1" si="487"/>
        <v>2.5998695052916441</v>
      </c>
      <c r="X1149">
        <f t="shared" ca="1" si="488"/>
        <v>1.8933671400629237E-4</v>
      </c>
      <c r="Y1149">
        <f t="shared" ca="1" si="489"/>
        <v>52432.32933766341</v>
      </c>
      <c r="Z1149">
        <f t="shared" ca="1" si="490"/>
        <v>52432.329337665236</v>
      </c>
      <c r="AA1149">
        <f t="shared" ca="1" si="491"/>
        <v>2.2562304480281055E-12</v>
      </c>
      <c r="AB1149">
        <f t="shared" ca="1" si="492"/>
        <v>-5.0000000192085281E-4</v>
      </c>
      <c r="AC1149">
        <f t="shared" ca="1" si="493"/>
        <v>1</v>
      </c>
      <c r="AD1149">
        <f ca="1">IF(V32="Supercritical",L1149,IF(V32="Subcritical",U1149,IF(AND(T1149=1,AC1149=1),IF((((F1149)*(L1149)^2)/2+(G1149)*(L1149)^3/3+(ABS(K1149)^2)/($I$5*MAX(((F1149)+(G1149)*(L1149))*(L1149),0.000001)))&gt;=(((F1149)*(U1149)^2)/2+(G1149)*(U1149)^3/3+(ABS(K1149)^2)/($I$5*MAX(((F1149)+(G1149)*(U1149))*(U1149),0.000001))),L1149,U1149),IF(T1149=1,L1149,IF(AC1149=1,U1149,MAX($D$16,POWER((ABS(K1149)^2)/($I$5*MAX(F1149,0.1)^2),1/3)))))))</f>
        <v>51800.26683766341</v>
      </c>
      <c r="AE1149">
        <f t="shared" ca="1" si="494"/>
        <v>52432.32933766341</v>
      </c>
      <c r="AF1149">
        <f t="shared" ca="1" si="495"/>
        <v>52432.329337665236</v>
      </c>
      <c r="AI1149">
        <v>0</v>
      </c>
      <c r="AJ1149">
        <v>0</v>
      </c>
      <c r="AK1149">
        <f t="shared" si="496"/>
        <v>0</v>
      </c>
      <c r="AL1149">
        <f t="shared" si="505"/>
        <v>0</v>
      </c>
      <c r="AM1149">
        <f t="shared" ca="1" si="497"/>
        <v>2.6560383008097266E-7</v>
      </c>
      <c r="AN1149" t="str">
        <f t="shared" ca="1" si="498"/>
        <v>Subcritical</v>
      </c>
      <c r="AO1149">
        <f t="shared" ca="1" si="499"/>
        <v>2.2562304480281055E-12</v>
      </c>
    </row>
    <row r="1150" spans="1:41" x14ac:dyDescent="0.35">
      <c r="A1150">
        <v>1001</v>
      </c>
      <c r="B1150">
        <v>999.88900000000001</v>
      </c>
      <c r="C1150">
        <v>616081.16599999997</v>
      </c>
      <c r="D1150">
        <v>3097004.0490000001</v>
      </c>
      <c r="E1150">
        <v>632.06200000000001</v>
      </c>
      <c r="F1150">
        <v>5.2</v>
      </c>
      <c r="G1150">
        <v>0</v>
      </c>
      <c r="H1150" t="s">
        <v>186</v>
      </c>
      <c r="I1150">
        <v>0</v>
      </c>
      <c r="J1150">
        <f t="shared" si="500"/>
        <v>1</v>
      </c>
      <c r="K1150">
        <f t="shared" si="501"/>
        <v>51</v>
      </c>
      <c r="L1150">
        <f t="shared" ca="1" si="502"/>
        <v>51797.843837663619</v>
      </c>
      <c r="M1150">
        <f t="shared" ca="1" si="479"/>
        <v>269348.78795585083</v>
      </c>
      <c r="N1150">
        <f t="shared" ca="1" si="480"/>
        <v>2.5998694991876676</v>
      </c>
      <c r="O1150">
        <f t="shared" ca="1" si="481"/>
        <v>1.8934557080078435E-4</v>
      </c>
      <c r="P1150">
        <f t="shared" ca="1" si="482"/>
        <v>52429.905837663617</v>
      </c>
      <c r="Q1150">
        <f t="shared" ca="1" si="483"/>
        <v>52429.905837665443</v>
      </c>
      <c r="R1150">
        <f t="shared" ca="1" si="484"/>
        <v>2.2564415439646509E-12</v>
      </c>
      <c r="S1150">
        <f t="shared" ca="1" si="503"/>
        <v>5.0000000192085281E-4</v>
      </c>
      <c r="T1150">
        <f t="shared" ca="1" si="504"/>
        <v>1</v>
      </c>
      <c r="U1150">
        <f t="shared" ca="1" si="485"/>
        <v>51800.26683766341</v>
      </c>
      <c r="V1150">
        <f t="shared" ca="1" si="486"/>
        <v>269361.38755584974</v>
      </c>
      <c r="W1150">
        <f t="shared" ca="1" si="487"/>
        <v>2.5998695052916441</v>
      </c>
      <c r="X1150">
        <f t="shared" ca="1" si="488"/>
        <v>1.8933671400629237E-4</v>
      </c>
      <c r="Y1150">
        <f t="shared" ca="1" si="489"/>
        <v>52432.328837663408</v>
      </c>
      <c r="Z1150">
        <f t="shared" ca="1" si="490"/>
        <v>52432.328837665234</v>
      </c>
      <c r="AA1150">
        <f t="shared" ca="1" si="491"/>
        <v>2.2562304480281055E-12</v>
      </c>
      <c r="AB1150">
        <f t="shared" ca="1" si="492"/>
        <v>-4.999999946448952E-4</v>
      </c>
      <c r="AC1150">
        <f t="shared" ca="1" si="493"/>
        <v>1</v>
      </c>
      <c r="AD1150">
        <f ca="1">IF(V32="Supercritical",L1150,IF(V32="Subcritical",U1150,IF(AND(T1150=1,AC1150=1),IF((((F1150)*(L1150)^2)/2+(G1150)*(L1150)^3/3+(ABS(K1150)^2)/($I$5*MAX(((F1150)+(G1150)*(L1150))*(L1150),0.000001)))&gt;=(((F1150)*(U1150)^2)/2+(G1150)*(U1150)^3/3+(ABS(K1150)^2)/($I$5*MAX(((F1150)+(G1150)*(U1150))*(U1150),0.000001))),L1150,U1150),IF(T1150=1,L1150,IF(AC1150=1,U1150,MAX($D$16,POWER((ABS(K1150)^2)/($I$5*MAX(F1150,0.1)^2),1/3)))))))</f>
        <v>51800.26683766341</v>
      </c>
      <c r="AE1150">
        <f t="shared" ca="1" si="494"/>
        <v>52432.328837663408</v>
      </c>
      <c r="AF1150">
        <f t="shared" ca="1" si="495"/>
        <v>52432.328837665234</v>
      </c>
      <c r="AI1150">
        <v>0</v>
      </c>
      <c r="AJ1150">
        <v>0</v>
      </c>
      <c r="AK1150">
        <f t="shared" si="496"/>
        <v>0</v>
      </c>
      <c r="AL1150">
        <f t="shared" si="505"/>
        <v>0</v>
      </c>
      <c r="AM1150">
        <f t="shared" ca="1" si="497"/>
        <v>2.6560383008097266E-7</v>
      </c>
      <c r="AN1150" t="str">
        <f t="shared" ca="1" si="498"/>
        <v>Subcritical</v>
      </c>
      <c r="AO1150">
        <f t="shared" ca="1" si="499"/>
        <v>2.2562304480281055E-12</v>
      </c>
    </row>
    <row r="1151" spans="1:41" x14ac:dyDescent="0.35">
      <c r="A1151">
        <v>1002</v>
      </c>
      <c r="B1151">
        <v>1000.889</v>
      </c>
      <c r="C1151">
        <v>616081.12399999995</v>
      </c>
      <c r="D1151">
        <v>3097003.05</v>
      </c>
      <c r="E1151">
        <v>632.06150000000002</v>
      </c>
      <c r="F1151">
        <v>5.2</v>
      </c>
      <c r="G1151">
        <v>0</v>
      </c>
      <c r="H1151" t="s">
        <v>186</v>
      </c>
      <c r="I1151">
        <v>0</v>
      </c>
      <c r="J1151">
        <f t="shared" si="500"/>
        <v>1</v>
      </c>
      <c r="K1151">
        <f t="shared" si="501"/>
        <v>51</v>
      </c>
      <c r="L1151">
        <f t="shared" ca="1" si="502"/>
        <v>51797.843837663619</v>
      </c>
      <c r="M1151">
        <f t="shared" ca="1" si="479"/>
        <v>269348.78795585083</v>
      </c>
      <c r="N1151">
        <f t="shared" ca="1" si="480"/>
        <v>2.5998694991876676</v>
      </c>
      <c r="O1151">
        <f t="shared" ca="1" si="481"/>
        <v>1.8934557080078435E-4</v>
      </c>
      <c r="P1151">
        <f t="shared" ca="1" si="482"/>
        <v>52429.905337663622</v>
      </c>
      <c r="Q1151">
        <f t="shared" ca="1" si="483"/>
        <v>52429.905337665448</v>
      </c>
      <c r="R1151">
        <f t="shared" ca="1" si="484"/>
        <v>2.2564415439646509E-12</v>
      </c>
      <c r="S1151">
        <f t="shared" ca="1" si="503"/>
        <v>4.999999946448952E-4</v>
      </c>
      <c r="T1151">
        <f t="shared" ca="1" si="504"/>
        <v>1</v>
      </c>
      <c r="U1151">
        <f t="shared" ca="1" si="485"/>
        <v>51800.26683766341</v>
      </c>
      <c r="V1151">
        <f t="shared" ca="1" si="486"/>
        <v>269361.38755584974</v>
      </c>
      <c r="W1151">
        <f t="shared" ca="1" si="487"/>
        <v>2.5998695052916441</v>
      </c>
      <c r="X1151">
        <f t="shared" ca="1" si="488"/>
        <v>1.8933671400629237E-4</v>
      </c>
      <c r="Y1151">
        <f t="shared" ca="1" si="489"/>
        <v>52432.328337663414</v>
      </c>
      <c r="Z1151">
        <f t="shared" ca="1" si="490"/>
        <v>52432.32833766524</v>
      </c>
      <c r="AA1151">
        <f t="shared" ca="1" si="491"/>
        <v>2.2562304480281055E-12</v>
      </c>
      <c r="AB1151">
        <f t="shared" ca="1" si="492"/>
        <v>-5.0000000192085281E-4</v>
      </c>
      <c r="AC1151">
        <f t="shared" ca="1" si="493"/>
        <v>1</v>
      </c>
      <c r="AD1151">
        <f ca="1">IF(V32="Supercritical",L1151,IF(V32="Subcritical",U1151,IF(AND(T1151=1,AC1151=1),IF((((F1151)*(L1151)^2)/2+(G1151)*(L1151)^3/3+(ABS(K1151)^2)/($I$5*MAX(((F1151)+(G1151)*(L1151))*(L1151),0.000001)))&gt;=(((F1151)*(U1151)^2)/2+(G1151)*(U1151)^3/3+(ABS(K1151)^2)/($I$5*MAX(((F1151)+(G1151)*(U1151))*(U1151),0.000001))),L1151,U1151),IF(T1151=1,L1151,IF(AC1151=1,U1151,MAX($D$16,POWER((ABS(K1151)^2)/($I$5*MAX(F1151,0.1)^2),1/3)))))))</f>
        <v>51800.26683766341</v>
      </c>
      <c r="AE1151">
        <f t="shared" ca="1" si="494"/>
        <v>52432.328337663414</v>
      </c>
      <c r="AF1151">
        <f t="shared" ca="1" si="495"/>
        <v>52432.32833766524</v>
      </c>
      <c r="AI1151">
        <v>0</v>
      </c>
      <c r="AJ1151">
        <v>0</v>
      </c>
      <c r="AK1151">
        <f t="shared" si="496"/>
        <v>0</v>
      </c>
      <c r="AL1151">
        <f t="shared" si="505"/>
        <v>0</v>
      </c>
      <c r="AM1151">
        <f t="shared" ca="1" si="497"/>
        <v>2.6560383008097266E-7</v>
      </c>
      <c r="AN1151" t="str">
        <f t="shared" ca="1" si="498"/>
        <v>Subcritical</v>
      </c>
      <c r="AO1151">
        <f t="shared" ca="1" si="499"/>
        <v>2.2562304480281055E-12</v>
      </c>
    </row>
    <row r="1152" spans="1:41" x14ac:dyDescent="0.35">
      <c r="A1152">
        <v>1003</v>
      </c>
      <c r="B1152">
        <v>1001.889</v>
      </c>
      <c r="C1152">
        <v>616081.08200000005</v>
      </c>
      <c r="D1152">
        <v>3097002.051</v>
      </c>
      <c r="E1152">
        <v>632.06100000000004</v>
      </c>
      <c r="F1152">
        <v>5.2</v>
      </c>
      <c r="G1152">
        <v>0</v>
      </c>
      <c r="H1152" t="s">
        <v>186</v>
      </c>
      <c r="I1152">
        <v>5.5E-2</v>
      </c>
      <c r="J1152">
        <f t="shared" si="500"/>
        <v>1</v>
      </c>
      <c r="K1152">
        <f t="shared" si="501"/>
        <v>51</v>
      </c>
      <c r="L1152">
        <f t="shared" ca="1" si="502"/>
        <v>51797.843837663619</v>
      </c>
      <c r="M1152">
        <f t="shared" ca="1" si="479"/>
        <v>269348.78795585083</v>
      </c>
      <c r="N1152">
        <f t="shared" ca="1" si="480"/>
        <v>2.5998694991876676</v>
      </c>
      <c r="O1152">
        <f t="shared" ca="1" si="481"/>
        <v>1.8934557080078435E-4</v>
      </c>
      <c r="P1152">
        <f t="shared" ca="1" si="482"/>
        <v>52429.90483766362</v>
      </c>
      <c r="Q1152">
        <f t="shared" ca="1" si="483"/>
        <v>52429.904837665446</v>
      </c>
      <c r="R1152">
        <f t="shared" ca="1" si="484"/>
        <v>2.2564415439646509E-12</v>
      </c>
      <c r="S1152">
        <f t="shared" ca="1" si="503"/>
        <v>5.0000000192085281E-4</v>
      </c>
      <c r="T1152">
        <f t="shared" ca="1" si="504"/>
        <v>1</v>
      </c>
      <c r="U1152">
        <f t="shared" ca="1" si="485"/>
        <v>51800.26683766341</v>
      </c>
      <c r="V1152">
        <f t="shared" ca="1" si="486"/>
        <v>269361.38755584974</v>
      </c>
      <c r="W1152">
        <f t="shared" ca="1" si="487"/>
        <v>2.5998695052916441</v>
      </c>
      <c r="X1152">
        <f t="shared" ca="1" si="488"/>
        <v>1.8933671400629237E-4</v>
      </c>
      <c r="Y1152">
        <f t="shared" ca="1" si="489"/>
        <v>52432.327837663412</v>
      </c>
      <c r="Z1152">
        <f t="shared" ca="1" si="490"/>
        <v>52432.327837665238</v>
      </c>
      <c r="AA1152">
        <f t="shared" ca="1" si="491"/>
        <v>2.2562304480281055E-12</v>
      </c>
      <c r="AB1152">
        <f t="shared" ca="1" si="492"/>
        <v>-5.0000000192085281E-4</v>
      </c>
      <c r="AC1152">
        <f t="shared" ca="1" si="493"/>
        <v>1</v>
      </c>
      <c r="AD1152">
        <f ca="1">IF(V32="Supercritical",L1152,IF(V32="Subcritical",U1152,IF(AND(T1152=1,AC1152=1),IF((((F1152)*(L1152)^2)/2+(G1152)*(L1152)^3/3+(ABS(K1152)^2)/($I$5*MAX(((F1152)+(G1152)*(L1152))*(L1152),0.000001)))&gt;=(((F1152)*(U1152)^2)/2+(G1152)*(U1152)^3/3+(ABS(K1152)^2)/($I$5*MAX(((F1152)+(G1152)*(U1152))*(U1152),0.000001))),L1152,U1152),IF(T1152=1,L1152,IF(AC1152=1,U1152,MAX($D$16,POWER((ABS(K1152)^2)/($I$5*MAX(F1152,0.1)^2),1/3)))))))</f>
        <v>51800.26683766341</v>
      </c>
      <c r="AE1152">
        <f t="shared" ca="1" si="494"/>
        <v>52432.327837663412</v>
      </c>
      <c r="AF1152">
        <f t="shared" ca="1" si="495"/>
        <v>52432.327837665238</v>
      </c>
      <c r="AI1152">
        <v>0</v>
      </c>
      <c r="AJ1152">
        <v>0</v>
      </c>
      <c r="AK1152">
        <f t="shared" si="496"/>
        <v>0</v>
      </c>
      <c r="AL1152">
        <f t="shared" si="505"/>
        <v>0</v>
      </c>
      <c r="AM1152">
        <f t="shared" ca="1" si="497"/>
        <v>2.6560383008097266E-7</v>
      </c>
      <c r="AN1152" t="str">
        <f t="shared" ca="1" si="498"/>
        <v>Subcritical</v>
      </c>
      <c r="AO1152">
        <f t="shared" ca="1" si="499"/>
        <v>2.2562304480281055E-12</v>
      </c>
    </row>
    <row r="1153" spans="1:41" x14ac:dyDescent="0.35">
      <c r="A1153">
        <v>1004</v>
      </c>
      <c r="B1153">
        <v>1002.89</v>
      </c>
      <c r="C1153">
        <v>616081.03899999999</v>
      </c>
      <c r="D1153">
        <v>3097001.051</v>
      </c>
      <c r="E1153">
        <v>632.06050000000005</v>
      </c>
      <c r="F1153">
        <v>5.2</v>
      </c>
      <c r="G1153">
        <v>0</v>
      </c>
      <c r="H1153" t="s">
        <v>186</v>
      </c>
      <c r="I1153">
        <v>5.5E-2</v>
      </c>
      <c r="J1153">
        <f t="shared" si="500"/>
        <v>1.0009999999999764</v>
      </c>
      <c r="K1153">
        <f t="shared" si="501"/>
        <v>51</v>
      </c>
      <c r="L1153">
        <f t="shared" ca="1" si="502"/>
        <v>51797.843837663619</v>
      </c>
      <c r="M1153">
        <f t="shared" ca="1" si="479"/>
        <v>269348.78795585083</v>
      </c>
      <c r="N1153">
        <f t="shared" ca="1" si="480"/>
        <v>2.5998694991876676</v>
      </c>
      <c r="O1153">
        <f t="shared" ca="1" si="481"/>
        <v>1.8934557080078435E-4</v>
      </c>
      <c r="P1153">
        <f t="shared" ca="1" si="482"/>
        <v>52429.904337663618</v>
      </c>
      <c r="Q1153">
        <f t="shared" ca="1" si="483"/>
        <v>52429.904337665444</v>
      </c>
      <c r="R1153">
        <f t="shared" ca="1" si="484"/>
        <v>2.2564415439646509E-12</v>
      </c>
      <c r="S1153">
        <f t="shared" ca="1" si="503"/>
        <v>5.0000000192085281E-4</v>
      </c>
      <c r="T1153">
        <f t="shared" ca="1" si="504"/>
        <v>1</v>
      </c>
      <c r="U1153">
        <f t="shared" ca="1" si="485"/>
        <v>51800.26683766341</v>
      </c>
      <c r="V1153">
        <f t="shared" ca="1" si="486"/>
        <v>269361.38755584974</v>
      </c>
      <c r="W1153">
        <f t="shared" ca="1" si="487"/>
        <v>2.5998695052916441</v>
      </c>
      <c r="X1153">
        <f t="shared" ca="1" si="488"/>
        <v>1.8933671400629237E-4</v>
      </c>
      <c r="Y1153">
        <f t="shared" ca="1" si="489"/>
        <v>52432.32733766341</v>
      </c>
      <c r="Z1153">
        <f t="shared" ca="1" si="490"/>
        <v>52432.327337665236</v>
      </c>
      <c r="AA1153">
        <f t="shared" ca="1" si="491"/>
        <v>2.2562304480281055E-12</v>
      </c>
      <c r="AB1153">
        <f t="shared" ca="1" si="492"/>
        <v>-5.0000000192085281E-4</v>
      </c>
      <c r="AC1153">
        <f t="shared" ca="1" si="493"/>
        <v>1</v>
      </c>
      <c r="AD1153">
        <f ca="1">IF(V32="Supercritical",L1153,IF(V32="Subcritical",U1153,IF(AND(T1153=1,AC1153=1),IF((((F1153)*(L1153)^2)/2+(G1153)*(L1153)^3/3+(ABS(K1153)^2)/($I$5*MAX(((F1153)+(G1153)*(L1153))*(L1153),0.000001)))&gt;=(((F1153)*(U1153)^2)/2+(G1153)*(U1153)^3/3+(ABS(K1153)^2)/($I$5*MAX(((F1153)+(G1153)*(U1153))*(U1153),0.000001))),L1153,U1153),IF(T1153=1,L1153,IF(AC1153=1,U1153,MAX($D$16,POWER((ABS(K1153)^2)/($I$5*MAX(F1153,0.1)^2),1/3)))))))</f>
        <v>51800.26683766341</v>
      </c>
      <c r="AE1153">
        <f t="shared" ca="1" si="494"/>
        <v>52432.32733766341</v>
      </c>
      <c r="AF1153">
        <f t="shared" ca="1" si="495"/>
        <v>52432.327337665236</v>
      </c>
      <c r="AI1153">
        <v>0</v>
      </c>
      <c r="AJ1153">
        <v>0</v>
      </c>
      <c r="AK1153">
        <f t="shared" si="496"/>
        <v>0</v>
      </c>
      <c r="AL1153">
        <f t="shared" si="505"/>
        <v>0</v>
      </c>
      <c r="AM1153">
        <f t="shared" ca="1" si="497"/>
        <v>2.6560383008097266E-7</v>
      </c>
      <c r="AN1153" t="str">
        <f t="shared" ca="1" si="498"/>
        <v>Subcritical</v>
      </c>
      <c r="AO1153">
        <f t="shared" ca="1" si="499"/>
        <v>2.2562304480281055E-12</v>
      </c>
    </row>
    <row r="1154" spans="1:41" x14ac:dyDescent="0.35">
      <c r="A1154">
        <v>1005</v>
      </c>
      <c r="B1154">
        <v>1003.89</v>
      </c>
      <c r="C1154">
        <v>616080.99699999997</v>
      </c>
      <c r="D1154">
        <v>3097000.0520000001</v>
      </c>
      <c r="E1154">
        <v>632.05999999999995</v>
      </c>
      <c r="F1154">
        <v>5.2</v>
      </c>
      <c r="G1154">
        <v>0</v>
      </c>
      <c r="H1154" t="s">
        <v>186</v>
      </c>
      <c r="I1154">
        <v>0</v>
      </c>
      <c r="J1154">
        <f t="shared" si="500"/>
        <v>1</v>
      </c>
      <c r="K1154">
        <f t="shared" si="501"/>
        <v>51</v>
      </c>
      <c r="L1154">
        <f t="shared" ca="1" si="502"/>
        <v>51797.843837663619</v>
      </c>
      <c r="M1154">
        <f t="shared" ca="1" si="479"/>
        <v>269348.78795585083</v>
      </c>
      <c r="N1154">
        <f t="shared" ca="1" si="480"/>
        <v>2.5998694991876676</v>
      </c>
      <c r="O1154">
        <f t="shared" ca="1" si="481"/>
        <v>1.8934557080078435E-4</v>
      </c>
      <c r="P1154">
        <f t="shared" ca="1" si="482"/>
        <v>52429.903837663616</v>
      </c>
      <c r="Q1154">
        <f t="shared" ca="1" si="483"/>
        <v>52429.903837665443</v>
      </c>
      <c r="R1154">
        <f t="shared" ca="1" si="484"/>
        <v>2.2564415439646509E-12</v>
      </c>
      <c r="S1154">
        <f t="shared" ca="1" si="503"/>
        <v>5.0000000192085281E-4</v>
      </c>
      <c r="T1154">
        <f t="shared" ca="1" si="504"/>
        <v>1</v>
      </c>
      <c r="U1154">
        <f t="shared" ca="1" si="485"/>
        <v>51800.26683766341</v>
      </c>
      <c r="V1154">
        <f t="shared" ca="1" si="486"/>
        <v>269361.38755584974</v>
      </c>
      <c r="W1154">
        <f t="shared" ca="1" si="487"/>
        <v>2.5998695052916441</v>
      </c>
      <c r="X1154">
        <f t="shared" ca="1" si="488"/>
        <v>1.8933671400629237E-4</v>
      </c>
      <c r="Y1154">
        <f t="shared" ca="1" si="489"/>
        <v>52432.326837663408</v>
      </c>
      <c r="Z1154">
        <f t="shared" ca="1" si="490"/>
        <v>52432.326837665234</v>
      </c>
      <c r="AA1154">
        <f t="shared" ca="1" si="491"/>
        <v>2.2562304480281055E-12</v>
      </c>
      <c r="AB1154">
        <f t="shared" ca="1" si="492"/>
        <v>-4.999999946448952E-4</v>
      </c>
      <c r="AC1154">
        <f t="shared" ca="1" si="493"/>
        <v>1</v>
      </c>
      <c r="AD1154">
        <f ca="1">IF(V32="Supercritical",L1154,IF(V32="Subcritical",U1154,IF(AND(T1154=1,AC1154=1),IF((((F1154)*(L1154)^2)/2+(G1154)*(L1154)^3/3+(ABS(K1154)^2)/($I$5*MAX(((F1154)+(G1154)*(L1154))*(L1154),0.000001)))&gt;=(((F1154)*(U1154)^2)/2+(G1154)*(U1154)^3/3+(ABS(K1154)^2)/($I$5*MAX(((F1154)+(G1154)*(U1154))*(U1154),0.000001))),L1154,U1154),IF(T1154=1,L1154,IF(AC1154=1,U1154,MAX($D$16,POWER((ABS(K1154)^2)/($I$5*MAX(F1154,0.1)^2),1/3)))))))</f>
        <v>51800.26683766341</v>
      </c>
      <c r="AE1154">
        <f t="shared" ca="1" si="494"/>
        <v>52432.326837663408</v>
      </c>
      <c r="AF1154">
        <f t="shared" ca="1" si="495"/>
        <v>52432.326837665234</v>
      </c>
      <c r="AI1154">
        <v>0</v>
      </c>
      <c r="AJ1154">
        <v>0</v>
      </c>
      <c r="AK1154">
        <f t="shared" si="496"/>
        <v>0</v>
      </c>
      <c r="AL1154">
        <f t="shared" si="505"/>
        <v>0</v>
      </c>
      <c r="AM1154">
        <f t="shared" ca="1" si="497"/>
        <v>2.6560383008097266E-7</v>
      </c>
      <c r="AN1154" t="str">
        <f t="shared" ca="1" si="498"/>
        <v>Subcritical</v>
      </c>
      <c r="AO1154">
        <f t="shared" ca="1" si="499"/>
        <v>2.2562304480281055E-12</v>
      </c>
    </row>
    <row r="1155" spans="1:41" x14ac:dyDescent="0.35">
      <c r="A1155">
        <v>1006</v>
      </c>
      <c r="B1155">
        <v>1004.889</v>
      </c>
      <c r="C1155">
        <v>616080.95499999996</v>
      </c>
      <c r="D1155">
        <v>3096999.0529999998</v>
      </c>
      <c r="E1155">
        <v>632.05949999999996</v>
      </c>
      <c r="F1155">
        <v>5.2</v>
      </c>
      <c r="G1155">
        <v>0</v>
      </c>
      <c r="H1155" t="s">
        <v>186</v>
      </c>
      <c r="I1155">
        <v>5.7000000000000002E-2</v>
      </c>
      <c r="J1155">
        <f t="shared" si="500"/>
        <v>0.99900000000002365</v>
      </c>
      <c r="K1155">
        <f t="shared" si="501"/>
        <v>51</v>
      </c>
      <c r="L1155">
        <f t="shared" ca="1" si="502"/>
        <v>51797.843837663619</v>
      </c>
      <c r="M1155">
        <f t="shared" ca="1" si="479"/>
        <v>269348.78795585083</v>
      </c>
      <c r="N1155">
        <f t="shared" ca="1" si="480"/>
        <v>2.5998694991876676</v>
      </c>
      <c r="O1155">
        <f t="shared" ca="1" si="481"/>
        <v>1.8934557080078435E-4</v>
      </c>
      <c r="P1155">
        <f t="shared" ca="1" si="482"/>
        <v>52429.903337663622</v>
      </c>
      <c r="Q1155">
        <f t="shared" ca="1" si="483"/>
        <v>52429.903337665448</v>
      </c>
      <c r="R1155">
        <f t="shared" ca="1" si="484"/>
        <v>2.2564415439646509E-12</v>
      </c>
      <c r="S1155">
        <f t="shared" ca="1" si="503"/>
        <v>4.999999946448952E-4</v>
      </c>
      <c r="T1155">
        <f t="shared" ca="1" si="504"/>
        <v>1</v>
      </c>
      <c r="U1155">
        <f t="shared" ca="1" si="485"/>
        <v>51800.26683766341</v>
      </c>
      <c r="V1155">
        <f t="shared" ca="1" si="486"/>
        <v>269361.38755584974</v>
      </c>
      <c r="W1155">
        <f t="shared" ca="1" si="487"/>
        <v>2.5998695052916441</v>
      </c>
      <c r="X1155">
        <f t="shared" ca="1" si="488"/>
        <v>1.8933671400629237E-4</v>
      </c>
      <c r="Y1155">
        <f t="shared" ca="1" si="489"/>
        <v>52432.326337663413</v>
      </c>
      <c r="Z1155">
        <f t="shared" ca="1" si="490"/>
        <v>52432.326337665239</v>
      </c>
      <c r="AA1155">
        <f t="shared" ca="1" si="491"/>
        <v>2.2562304480281055E-12</v>
      </c>
      <c r="AB1155">
        <f t="shared" ca="1" si="492"/>
        <v>-5.0000000192085281E-4</v>
      </c>
      <c r="AC1155">
        <f t="shared" ca="1" si="493"/>
        <v>1</v>
      </c>
      <c r="AD1155">
        <f ca="1">IF(V32="Supercritical",L1155,IF(V32="Subcritical",U1155,IF(AND(T1155=1,AC1155=1),IF((((F1155)*(L1155)^2)/2+(G1155)*(L1155)^3/3+(ABS(K1155)^2)/($I$5*MAX(((F1155)+(G1155)*(L1155))*(L1155),0.000001)))&gt;=(((F1155)*(U1155)^2)/2+(G1155)*(U1155)^3/3+(ABS(K1155)^2)/($I$5*MAX(((F1155)+(G1155)*(U1155))*(U1155),0.000001))),L1155,U1155),IF(T1155=1,L1155,IF(AC1155=1,U1155,MAX($D$16,POWER((ABS(K1155)^2)/($I$5*MAX(F1155,0.1)^2),1/3)))))))</f>
        <v>51800.26683766341</v>
      </c>
      <c r="AE1155">
        <f t="shared" ca="1" si="494"/>
        <v>52432.326337663413</v>
      </c>
      <c r="AF1155">
        <f t="shared" ca="1" si="495"/>
        <v>52432.326337665239</v>
      </c>
      <c r="AI1155">
        <v>0</v>
      </c>
      <c r="AJ1155">
        <v>0</v>
      </c>
      <c r="AK1155">
        <f t="shared" si="496"/>
        <v>0</v>
      </c>
      <c r="AL1155">
        <f t="shared" si="505"/>
        <v>0</v>
      </c>
      <c r="AM1155">
        <f t="shared" ca="1" si="497"/>
        <v>2.6560383008097266E-7</v>
      </c>
      <c r="AN1155" t="str">
        <f t="shared" ca="1" si="498"/>
        <v>Subcritical</v>
      </c>
      <c r="AO1155">
        <f t="shared" ca="1" si="499"/>
        <v>2.2562304480281055E-12</v>
      </c>
    </row>
    <row r="1156" spans="1:41" x14ac:dyDescent="0.35">
      <c r="A1156">
        <v>1007</v>
      </c>
      <c r="B1156">
        <v>1005.889</v>
      </c>
      <c r="C1156">
        <v>616080.91200000001</v>
      </c>
      <c r="D1156">
        <v>3096998.054</v>
      </c>
      <c r="E1156">
        <v>632.05899999999997</v>
      </c>
      <c r="F1156">
        <v>5.2</v>
      </c>
      <c r="G1156">
        <v>0</v>
      </c>
      <c r="H1156" t="s">
        <v>186</v>
      </c>
      <c r="I1156">
        <v>5.7000000000000002E-2</v>
      </c>
      <c r="J1156">
        <f t="shared" si="500"/>
        <v>1</v>
      </c>
      <c r="K1156">
        <f t="shared" si="501"/>
        <v>51</v>
      </c>
      <c r="L1156">
        <f t="shared" ca="1" si="502"/>
        <v>51797.843837663619</v>
      </c>
      <c r="M1156">
        <f t="shared" ca="1" si="479"/>
        <v>269348.78795585083</v>
      </c>
      <c r="N1156">
        <f t="shared" ca="1" si="480"/>
        <v>2.5998694991876676</v>
      </c>
      <c r="O1156">
        <f t="shared" ca="1" si="481"/>
        <v>1.8934557080078435E-4</v>
      </c>
      <c r="P1156">
        <f t="shared" ca="1" si="482"/>
        <v>52429.90283766362</v>
      </c>
      <c r="Q1156">
        <f t="shared" ca="1" si="483"/>
        <v>52429.902837665446</v>
      </c>
      <c r="R1156">
        <f t="shared" ca="1" si="484"/>
        <v>2.2564415439646509E-12</v>
      </c>
      <c r="S1156">
        <f t="shared" ca="1" si="503"/>
        <v>5.0000000192085281E-4</v>
      </c>
      <c r="T1156">
        <f t="shared" ca="1" si="504"/>
        <v>1</v>
      </c>
      <c r="U1156">
        <f t="shared" ca="1" si="485"/>
        <v>51800.26683766341</v>
      </c>
      <c r="V1156">
        <f t="shared" ca="1" si="486"/>
        <v>269361.38755584974</v>
      </c>
      <c r="W1156">
        <f t="shared" ca="1" si="487"/>
        <v>2.5998695052916441</v>
      </c>
      <c r="X1156">
        <f t="shared" ca="1" si="488"/>
        <v>1.8933671400629237E-4</v>
      </c>
      <c r="Y1156">
        <f t="shared" ca="1" si="489"/>
        <v>52432.325837663411</v>
      </c>
      <c r="Z1156">
        <f t="shared" ca="1" si="490"/>
        <v>52432.325837665237</v>
      </c>
      <c r="AA1156">
        <f t="shared" ca="1" si="491"/>
        <v>2.2562304480281055E-12</v>
      </c>
      <c r="AB1156">
        <f t="shared" ca="1" si="492"/>
        <v>-5.0000000192085281E-4</v>
      </c>
      <c r="AC1156">
        <f t="shared" ca="1" si="493"/>
        <v>1</v>
      </c>
      <c r="AD1156">
        <f ca="1">IF(V32="Supercritical",L1156,IF(V32="Subcritical",U1156,IF(AND(T1156=1,AC1156=1),IF((((F1156)*(L1156)^2)/2+(G1156)*(L1156)^3/3+(ABS(K1156)^2)/($I$5*MAX(((F1156)+(G1156)*(L1156))*(L1156),0.000001)))&gt;=(((F1156)*(U1156)^2)/2+(G1156)*(U1156)^3/3+(ABS(K1156)^2)/($I$5*MAX(((F1156)+(G1156)*(U1156))*(U1156),0.000001))),L1156,U1156),IF(T1156=1,L1156,IF(AC1156=1,U1156,MAX($D$16,POWER((ABS(K1156)^2)/($I$5*MAX(F1156,0.1)^2),1/3)))))))</f>
        <v>51800.26683766341</v>
      </c>
      <c r="AE1156">
        <f t="shared" ca="1" si="494"/>
        <v>52432.325837663411</v>
      </c>
      <c r="AF1156">
        <f t="shared" ca="1" si="495"/>
        <v>52432.325837665237</v>
      </c>
      <c r="AI1156">
        <v>0</v>
      </c>
      <c r="AJ1156">
        <v>0</v>
      </c>
      <c r="AK1156">
        <f t="shared" si="496"/>
        <v>0</v>
      </c>
      <c r="AL1156">
        <f t="shared" si="505"/>
        <v>0</v>
      </c>
      <c r="AM1156">
        <f t="shared" ca="1" si="497"/>
        <v>2.6560383008097266E-7</v>
      </c>
      <c r="AN1156" t="str">
        <f t="shared" ca="1" si="498"/>
        <v>Subcritical</v>
      </c>
      <c r="AO1156">
        <f t="shared" ca="1" si="499"/>
        <v>2.2562304480281055E-12</v>
      </c>
    </row>
    <row r="1157" spans="1:41" x14ac:dyDescent="0.35">
      <c r="A1157">
        <v>1008</v>
      </c>
      <c r="B1157">
        <v>1006.889</v>
      </c>
      <c r="C1157">
        <v>616080.87</v>
      </c>
      <c r="D1157">
        <v>3096997.0550000002</v>
      </c>
      <c r="E1157">
        <v>632.05849999999998</v>
      </c>
      <c r="F1157">
        <v>5.2</v>
      </c>
      <c r="G1157">
        <v>0</v>
      </c>
      <c r="H1157" t="s">
        <v>186</v>
      </c>
      <c r="I1157">
        <v>0</v>
      </c>
      <c r="J1157">
        <f t="shared" si="500"/>
        <v>1</v>
      </c>
      <c r="K1157">
        <f t="shared" si="501"/>
        <v>51</v>
      </c>
      <c r="L1157">
        <f t="shared" ca="1" si="502"/>
        <v>51797.843837663619</v>
      </c>
      <c r="M1157">
        <f t="shared" ca="1" si="479"/>
        <v>269348.78795585083</v>
      </c>
      <c r="N1157">
        <f t="shared" ca="1" si="480"/>
        <v>2.5998694991876676</v>
      </c>
      <c r="O1157">
        <f t="shared" ca="1" si="481"/>
        <v>1.8934557080078435E-4</v>
      </c>
      <c r="P1157">
        <f t="shared" ca="1" si="482"/>
        <v>52429.902337663618</v>
      </c>
      <c r="Q1157">
        <f t="shared" ca="1" si="483"/>
        <v>52429.902337665444</v>
      </c>
      <c r="R1157">
        <f t="shared" ca="1" si="484"/>
        <v>2.2564415439646509E-12</v>
      </c>
      <c r="S1157">
        <f t="shared" ca="1" si="503"/>
        <v>5.0000000192085281E-4</v>
      </c>
      <c r="T1157">
        <f t="shared" ca="1" si="504"/>
        <v>1</v>
      </c>
      <c r="U1157">
        <f t="shared" ca="1" si="485"/>
        <v>51800.26683766341</v>
      </c>
      <c r="V1157">
        <f t="shared" ca="1" si="486"/>
        <v>269361.38755584974</v>
      </c>
      <c r="W1157">
        <f t="shared" ca="1" si="487"/>
        <v>2.5998695052916441</v>
      </c>
      <c r="X1157">
        <f t="shared" ca="1" si="488"/>
        <v>1.8933671400629237E-4</v>
      </c>
      <c r="Y1157">
        <f t="shared" ca="1" si="489"/>
        <v>52432.325337663409</v>
      </c>
      <c r="Z1157">
        <f t="shared" ca="1" si="490"/>
        <v>52432.325337665236</v>
      </c>
      <c r="AA1157">
        <f t="shared" ca="1" si="491"/>
        <v>2.2562304480281055E-12</v>
      </c>
      <c r="AB1157">
        <f t="shared" ca="1" si="492"/>
        <v>-5.0000000192085281E-4</v>
      </c>
      <c r="AC1157">
        <f t="shared" ca="1" si="493"/>
        <v>1</v>
      </c>
      <c r="AD1157">
        <f ca="1">IF(V32="Supercritical",L1157,IF(V32="Subcritical",U1157,IF(AND(T1157=1,AC1157=1),IF((((F1157)*(L1157)^2)/2+(G1157)*(L1157)^3/3+(ABS(K1157)^2)/($I$5*MAX(((F1157)+(G1157)*(L1157))*(L1157),0.000001)))&gt;=(((F1157)*(U1157)^2)/2+(G1157)*(U1157)^3/3+(ABS(K1157)^2)/($I$5*MAX(((F1157)+(G1157)*(U1157))*(U1157),0.000001))),L1157,U1157),IF(T1157=1,L1157,IF(AC1157=1,U1157,MAX($D$16,POWER((ABS(K1157)^2)/($I$5*MAX(F1157,0.1)^2),1/3)))))))</f>
        <v>51800.26683766341</v>
      </c>
      <c r="AE1157">
        <f t="shared" ca="1" si="494"/>
        <v>52432.325337663409</v>
      </c>
      <c r="AF1157">
        <f t="shared" ca="1" si="495"/>
        <v>52432.325337665236</v>
      </c>
      <c r="AI1157">
        <v>0</v>
      </c>
      <c r="AJ1157">
        <v>0</v>
      </c>
      <c r="AK1157">
        <f t="shared" si="496"/>
        <v>0</v>
      </c>
      <c r="AL1157">
        <f t="shared" si="505"/>
        <v>0</v>
      </c>
      <c r="AM1157">
        <f t="shared" ca="1" si="497"/>
        <v>2.6560383008097266E-7</v>
      </c>
      <c r="AN1157" t="str">
        <f t="shared" ca="1" si="498"/>
        <v>Subcritical</v>
      </c>
      <c r="AO1157">
        <f t="shared" ca="1" si="499"/>
        <v>2.2562304480281055E-12</v>
      </c>
    </row>
    <row r="1158" spans="1:41" x14ac:dyDescent="0.35">
      <c r="A1158">
        <v>1009</v>
      </c>
      <c r="B1158">
        <v>1007.889</v>
      </c>
      <c r="C1158">
        <v>616080.82799999998</v>
      </c>
      <c r="D1158">
        <v>3096996.0559999999</v>
      </c>
      <c r="E1158">
        <v>632.05799999999999</v>
      </c>
      <c r="F1158">
        <v>5.2</v>
      </c>
      <c r="G1158">
        <v>0</v>
      </c>
      <c r="H1158" t="s">
        <v>186</v>
      </c>
      <c r="I1158">
        <v>0</v>
      </c>
      <c r="J1158">
        <f t="shared" si="500"/>
        <v>1</v>
      </c>
      <c r="K1158">
        <f t="shared" si="501"/>
        <v>51</v>
      </c>
      <c r="L1158">
        <f t="shared" ca="1" si="502"/>
        <v>51797.843837663619</v>
      </c>
      <c r="M1158">
        <f t="shared" ca="1" si="479"/>
        <v>269348.78795585083</v>
      </c>
      <c r="N1158">
        <f t="shared" ca="1" si="480"/>
        <v>2.5998694991876676</v>
      </c>
      <c r="O1158">
        <f t="shared" ca="1" si="481"/>
        <v>1.8934557080078435E-4</v>
      </c>
      <c r="P1158">
        <f t="shared" ca="1" si="482"/>
        <v>52429.901837663616</v>
      </c>
      <c r="Q1158">
        <f t="shared" ca="1" si="483"/>
        <v>52429.901837665442</v>
      </c>
      <c r="R1158">
        <f t="shared" ca="1" si="484"/>
        <v>2.2564415439646509E-12</v>
      </c>
      <c r="S1158">
        <f t="shared" ca="1" si="503"/>
        <v>5.0000000192085281E-4</v>
      </c>
      <c r="T1158">
        <f t="shared" ca="1" si="504"/>
        <v>1</v>
      </c>
      <c r="U1158">
        <f t="shared" ca="1" si="485"/>
        <v>51800.26683766341</v>
      </c>
      <c r="V1158">
        <f t="shared" ca="1" si="486"/>
        <v>269361.38755584974</v>
      </c>
      <c r="W1158">
        <f t="shared" ca="1" si="487"/>
        <v>2.5998695052916441</v>
      </c>
      <c r="X1158">
        <f t="shared" ca="1" si="488"/>
        <v>1.8933671400629237E-4</v>
      </c>
      <c r="Y1158">
        <f t="shared" ca="1" si="489"/>
        <v>52432.324837663407</v>
      </c>
      <c r="Z1158">
        <f t="shared" ca="1" si="490"/>
        <v>52432.324837665234</v>
      </c>
      <c r="AA1158">
        <f t="shared" ca="1" si="491"/>
        <v>2.2562304480281055E-12</v>
      </c>
      <c r="AB1158">
        <f t="shared" ca="1" si="492"/>
        <v>-4.999999946448952E-4</v>
      </c>
      <c r="AC1158">
        <f t="shared" ca="1" si="493"/>
        <v>1</v>
      </c>
      <c r="AD1158">
        <f ca="1">IF(V32="Supercritical",L1158,IF(V32="Subcritical",U1158,IF(AND(T1158=1,AC1158=1),IF((((F1158)*(L1158)^2)/2+(G1158)*(L1158)^3/3+(ABS(K1158)^2)/($I$5*MAX(((F1158)+(G1158)*(L1158))*(L1158),0.000001)))&gt;=(((F1158)*(U1158)^2)/2+(G1158)*(U1158)^3/3+(ABS(K1158)^2)/($I$5*MAX(((F1158)+(G1158)*(U1158))*(U1158),0.000001))),L1158,U1158),IF(T1158=1,L1158,IF(AC1158=1,U1158,MAX($D$16,POWER((ABS(K1158)^2)/($I$5*MAX(F1158,0.1)^2),1/3)))))))</f>
        <v>51800.26683766341</v>
      </c>
      <c r="AE1158">
        <f t="shared" ca="1" si="494"/>
        <v>52432.324837663407</v>
      </c>
      <c r="AF1158">
        <f t="shared" ca="1" si="495"/>
        <v>52432.324837665234</v>
      </c>
      <c r="AI1158">
        <v>0</v>
      </c>
      <c r="AJ1158">
        <v>0</v>
      </c>
      <c r="AK1158">
        <f t="shared" si="496"/>
        <v>0</v>
      </c>
      <c r="AL1158">
        <f t="shared" si="505"/>
        <v>0</v>
      </c>
      <c r="AM1158">
        <f t="shared" ca="1" si="497"/>
        <v>2.6560383008097266E-7</v>
      </c>
      <c r="AN1158" t="str">
        <f t="shared" ca="1" si="498"/>
        <v>Subcritical</v>
      </c>
      <c r="AO1158">
        <f t="shared" ca="1" si="499"/>
        <v>2.2562304480281055E-12</v>
      </c>
    </row>
    <row r="1159" spans="1:41" x14ac:dyDescent="0.35">
      <c r="A1159">
        <v>1010</v>
      </c>
      <c r="B1159">
        <v>1008.889</v>
      </c>
      <c r="C1159">
        <v>616080.78599999996</v>
      </c>
      <c r="D1159">
        <v>3096995.057</v>
      </c>
      <c r="E1159">
        <v>632.0575</v>
      </c>
      <c r="F1159">
        <v>5.2</v>
      </c>
      <c r="G1159">
        <v>0</v>
      </c>
      <c r="H1159" t="s">
        <v>186</v>
      </c>
      <c r="I1159">
        <v>5.7000000000000002E-2</v>
      </c>
      <c r="J1159">
        <f t="shared" si="500"/>
        <v>1</v>
      </c>
      <c r="K1159">
        <f t="shared" si="501"/>
        <v>51</v>
      </c>
      <c r="L1159">
        <f t="shared" ca="1" si="502"/>
        <v>51797.843837663619</v>
      </c>
      <c r="M1159">
        <f t="shared" ca="1" si="479"/>
        <v>269348.78795585083</v>
      </c>
      <c r="N1159">
        <f t="shared" ca="1" si="480"/>
        <v>2.5998694991876676</v>
      </c>
      <c r="O1159">
        <f t="shared" ca="1" si="481"/>
        <v>1.8934557080078435E-4</v>
      </c>
      <c r="P1159">
        <f t="shared" ca="1" si="482"/>
        <v>52429.901337663621</v>
      </c>
      <c r="Q1159">
        <f t="shared" ca="1" si="483"/>
        <v>52429.901337665447</v>
      </c>
      <c r="R1159">
        <f t="shared" ca="1" si="484"/>
        <v>2.2564415439646509E-12</v>
      </c>
      <c r="S1159">
        <f t="shared" ca="1" si="503"/>
        <v>4.999999946448952E-4</v>
      </c>
      <c r="T1159">
        <f t="shared" ca="1" si="504"/>
        <v>1</v>
      </c>
      <c r="U1159">
        <f t="shared" ca="1" si="485"/>
        <v>51800.26683766341</v>
      </c>
      <c r="V1159">
        <f t="shared" ca="1" si="486"/>
        <v>269361.38755584974</v>
      </c>
      <c r="W1159">
        <f t="shared" ca="1" si="487"/>
        <v>2.5998695052916441</v>
      </c>
      <c r="X1159">
        <f t="shared" ca="1" si="488"/>
        <v>1.8933671400629237E-4</v>
      </c>
      <c r="Y1159">
        <f t="shared" ca="1" si="489"/>
        <v>52432.324337663413</v>
      </c>
      <c r="Z1159">
        <f t="shared" ca="1" si="490"/>
        <v>52432.324337665239</v>
      </c>
      <c r="AA1159">
        <f t="shared" ca="1" si="491"/>
        <v>2.2562304480281055E-12</v>
      </c>
      <c r="AB1159">
        <f t="shared" ca="1" si="492"/>
        <v>-5.0000000192085281E-4</v>
      </c>
      <c r="AC1159">
        <f t="shared" ca="1" si="493"/>
        <v>1</v>
      </c>
      <c r="AD1159">
        <f ca="1">IF(V32="Supercritical",L1159,IF(V32="Subcritical",U1159,IF(AND(T1159=1,AC1159=1),IF((((F1159)*(L1159)^2)/2+(G1159)*(L1159)^3/3+(ABS(K1159)^2)/($I$5*MAX(((F1159)+(G1159)*(L1159))*(L1159),0.000001)))&gt;=(((F1159)*(U1159)^2)/2+(G1159)*(U1159)^3/3+(ABS(K1159)^2)/($I$5*MAX(((F1159)+(G1159)*(U1159))*(U1159),0.000001))),L1159,U1159),IF(T1159=1,L1159,IF(AC1159=1,U1159,MAX($D$16,POWER((ABS(K1159)^2)/($I$5*MAX(F1159,0.1)^2),1/3)))))))</f>
        <v>51800.26683766341</v>
      </c>
      <c r="AE1159">
        <f t="shared" ca="1" si="494"/>
        <v>52432.324337663413</v>
      </c>
      <c r="AF1159">
        <f t="shared" ca="1" si="495"/>
        <v>52432.324337665239</v>
      </c>
      <c r="AI1159">
        <v>0</v>
      </c>
      <c r="AJ1159">
        <v>0</v>
      </c>
      <c r="AK1159">
        <f t="shared" si="496"/>
        <v>0</v>
      </c>
      <c r="AL1159">
        <f t="shared" si="505"/>
        <v>0</v>
      </c>
      <c r="AM1159">
        <f t="shared" ca="1" si="497"/>
        <v>2.6560383008097266E-7</v>
      </c>
      <c r="AN1159" t="str">
        <f t="shared" ca="1" si="498"/>
        <v>Subcritical</v>
      </c>
      <c r="AO1159">
        <f t="shared" ca="1" si="499"/>
        <v>2.2562304480281055E-12</v>
      </c>
    </row>
    <row r="1160" spans="1:41" x14ac:dyDescent="0.35">
      <c r="A1160">
        <v>1011</v>
      </c>
      <c r="B1160">
        <v>1009.889</v>
      </c>
      <c r="C1160">
        <v>616080.74300000002</v>
      </c>
      <c r="D1160">
        <v>3096994.0580000002</v>
      </c>
      <c r="E1160">
        <v>632.05700000000002</v>
      </c>
      <c r="F1160">
        <v>5.2</v>
      </c>
      <c r="G1160">
        <v>0</v>
      </c>
      <c r="H1160" t="s">
        <v>186</v>
      </c>
      <c r="I1160">
        <v>5.7000000000000002E-2</v>
      </c>
      <c r="J1160">
        <f t="shared" si="500"/>
        <v>1</v>
      </c>
      <c r="K1160">
        <f t="shared" si="501"/>
        <v>51</v>
      </c>
      <c r="L1160">
        <f t="shared" ca="1" si="502"/>
        <v>51797.843837663619</v>
      </c>
      <c r="M1160">
        <f t="shared" ca="1" si="479"/>
        <v>269348.78795585083</v>
      </c>
      <c r="N1160">
        <f t="shared" ca="1" si="480"/>
        <v>2.5998694991876676</v>
      </c>
      <c r="O1160">
        <f t="shared" ca="1" si="481"/>
        <v>1.8934557080078435E-4</v>
      </c>
      <c r="P1160">
        <f t="shared" ca="1" si="482"/>
        <v>52429.900837663619</v>
      </c>
      <c r="Q1160">
        <f t="shared" ca="1" si="483"/>
        <v>52429.900837665446</v>
      </c>
      <c r="R1160">
        <f t="shared" ca="1" si="484"/>
        <v>2.2564415439646509E-12</v>
      </c>
      <c r="S1160">
        <f t="shared" ca="1" si="503"/>
        <v>5.0000000192085281E-4</v>
      </c>
      <c r="T1160">
        <f t="shared" ca="1" si="504"/>
        <v>1</v>
      </c>
      <c r="U1160">
        <f t="shared" ca="1" si="485"/>
        <v>51800.26683766341</v>
      </c>
      <c r="V1160">
        <f t="shared" ca="1" si="486"/>
        <v>269361.38755584974</v>
      </c>
      <c r="W1160">
        <f t="shared" ca="1" si="487"/>
        <v>2.5998695052916441</v>
      </c>
      <c r="X1160">
        <f t="shared" ca="1" si="488"/>
        <v>1.8933671400629237E-4</v>
      </c>
      <c r="Y1160">
        <f t="shared" ca="1" si="489"/>
        <v>52432.323837663411</v>
      </c>
      <c r="Z1160">
        <f t="shared" ca="1" si="490"/>
        <v>52432.323837665237</v>
      </c>
      <c r="AA1160">
        <f t="shared" ca="1" si="491"/>
        <v>2.2562304480281055E-12</v>
      </c>
      <c r="AB1160">
        <f t="shared" ca="1" si="492"/>
        <v>-5.0000000192085281E-4</v>
      </c>
      <c r="AC1160">
        <f t="shared" ca="1" si="493"/>
        <v>1</v>
      </c>
      <c r="AD1160">
        <f ca="1">IF(V32="Supercritical",L1160,IF(V32="Subcritical",U1160,IF(AND(T1160=1,AC1160=1),IF((((F1160)*(L1160)^2)/2+(G1160)*(L1160)^3/3+(ABS(K1160)^2)/($I$5*MAX(((F1160)+(G1160)*(L1160))*(L1160),0.000001)))&gt;=(((F1160)*(U1160)^2)/2+(G1160)*(U1160)^3/3+(ABS(K1160)^2)/($I$5*MAX(((F1160)+(G1160)*(U1160))*(U1160),0.000001))),L1160,U1160),IF(T1160=1,L1160,IF(AC1160=1,U1160,MAX($D$16,POWER((ABS(K1160)^2)/($I$5*MAX(F1160,0.1)^2),1/3)))))))</f>
        <v>51800.26683766341</v>
      </c>
      <c r="AE1160">
        <f t="shared" ca="1" si="494"/>
        <v>52432.323837663411</v>
      </c>
      <c r="AF1160">
        <f t="shared" ca="1" si="495"/>
        <v>52432.323837665237</v>
      </c>
      <c r="AI1160">
        <v>0</v>
      </c>
      <c r="AJ1160">
        <v>0</v>
      </c>
      <c r="AK1160">
        <f t="shared" si="496"/>
        <v>0</v>
      </c>
      <c r="AL1160">
        <f t="shared" si="505"/>
        <v>0</v>
      </c>
      <c r="AM1160">
        <f t="shared" ca="1" si="497"/>
        <v>2.6560383008097266E-7</v>
      </c>
      <c r="AN1160" t="str">
        <f t="shared" ca="1" si="498"/>
        <v>Subcritical</v>
      </c>
      <c r="AO1160">
        <f t="shared" ca="1" si="499"/>
        <v>2.2562304480281055E-12</v>
      </c>
    </row>
    <row r="1161" spans="1:41" x14ac:dyDescent="0.35">
      <c r="A1161">
        <v>1012</v>
      </c>
      <c r="B1161">
        <v>1010.889</v>
      </c>
      <c r="C1161">
        <v>616080.701</v>
      </c>
      <c r="D1161">
        <v>3096993.0589999999</v>
      </c>
      <c r="E1161">
        <v>632.05650000000003</v>
      </c>
      <c r="F1161">
        <v>5.2</v>
      </c>
      <c r="G1161">
        <v>0</v>
      </c>
      <c r="H1161" t="s">
        <v>186</v>
      </c>
      <c r="I1161">
        <v>2E-3</v>
      </c>
      <c r="J1161">
        <f t="shared" si="500"/>
        <v>1</v>
      </c>
      <c r="K1161">
        <f t="shared" si="501"/>
        <v>51</v>
      </c>
      <c r="L1161">
        <f t="shared" ca="1" si="502"/>
        <v>51797.843837663619</v>
      </c>
      <c r="M1161">
        <f t="shared" ca="1" si="479"/>
        <v>269348.78795585083</v>
      </c>
      <c r="N1161">
        <f t="shared" ca="1" si="480"/>
        <v>2.5998694991876676</v>
      </c>
      <c r="O1161">
        <f t="shared" ca="1" si="481"/>
        <v>1.8934557080078435E-4</v>
      </c>
      <c r="P1161">
        <f t="shared" ca="1" si="482"/>
        <v>52429.900337663617</v>
      </c>
      <c r="Q1161">
        <f t="shared" ca="1" si="483"/>
        <v>52429.900337665444</v>
      </c>
      <c r="R1161">
        <f t="shared" ca="1" si="484"/>
        <v>2.2564415439646509E-12</v>
      </c>
      <c r="S1161">
        <f t="shared" ca="1" si="503"/>
        <v>5.0000000192085281E-4</v>
      </c>
      <c r="T1161">
        <f t="shared" ca="1" si="504"/>
        <v>1</v>
      </c>
      <c r="U1161">
        <f t="shared" ca="1" si="485"/>
        <v>51800.26683766341</v>
      </c>
      <c r="V1161">
        <f t="shared" ca="1" si="486"/>
        <v>269361.38755584974</v>
      </c>
      <c r="W1161">
        <f t="shared" ca="1" si="487"/>
        <v>2.5998695052916441</v>
      </c>
      <c r="X1161">
        <f t="shared" ca="1" si="488"/>
        <v>1.8933671400629237E-4</v>
      </c>
      <c r="Y1161">
        <f t="shared" ca="1" si="489"/>
        <v>52432.323337663409</v>
      </c>
      <c r="Z1161">
        <f t="shared" ca="1" si="490"/>
        <v>52432.323337665235</v>
      </c>
      <c r="AA1161">
        <f t="shared" ca="1" si="491"/>
        <v>2.2562304480281055E-12</v>
      </c>
      <c r="AB1161">
        <f t="shared" ca="1" si="492"/>
        <v>-5.0000000192085281E-4</v>
      </c>
      <c r="AC1161">
        <f t="shared" ca="1" si="493"/>
        <v>1</v>
      </c>
      <c r="AD1161">
        <f ca="1">IF(V32="Supercritical",L1161,IF(V32="Subcritical",U1161,IF(AND(T1161=1,AC1161=1),IF((((F1161)*(L1161)^2)/2+(G1161)*(L1161)^3/3+(ABS(K1161)^2)/($I$5*MAX(((F1161)+(G1161)*(L1161))*(L1161),0.000001)))&gt;=(((F1161)*(U1161)^2)/2+(G1161)*(U1161)^3/3+(ABS(K1161)^2)/($I$5*MAX(((F1161)+(G1161)*(U1161))*(U1161),0.000001))),L1161,U1161),IF(T1161=1,L1161,IF(AC1161=1,U1161,MAX($D$16,POWER((ABS(K1161)^2)/($I$5*MAX(F1161,0.1)^2),1/3)))))))</f>
        <v>51800.26683766341</v>
      </c>
      <c r="AE1161">
        <f t="shared" ca="1" si="494"/>
        <v>52432.323337663409</v>
      </c>
      <c r="AF1161">
        <f t="shared" ca="1" si="495"/>
        <v>52432.323337665235</v>
      </c>
      <c r="AI1161">
        <v>0</v>
      </c>
      <c r="AJ1161">
        <v>0</v>
      </c>
      <c r="AK1161">
        <f t="shared" si="496"/>
        <v>0</v>
      </c>
      <c r="AL1161">
        <f t="shared" si="505"/>
        <v>0</v>
      </c>
      <c r="AM1161">
        <f t="shared" ca="1" si="497"/>
        <v>2.6560383008097266E-7</v>
      </c>
      <c r="AN1161" t="str">
        <f t="shared" ca="1" si="498"/>
        <v>Subcritical</v>
      </c>
      <c r="AO1161">
        <f t="shared" ca="1" si="499"/>
        <v>2.2562304480281055E-12</v>
      </c>
    </row>
    <row r="1162" spans="1:41" x14ac:dyDescent="0.35">
      <c r="A1162">
        <v>1013</v>
      </c>
      <c r="B1162">
        <v>1011.89</v>
      </c>
      <c r="C1162">
        <v>616080.65899999999</v>
      </c>
      <c r="D1162">
        <v>3096992.0589999999</v>
      </c>
      <c r="E1162">
        <v>632.05600000000004</v>
      </c>
      <c r="F1162">
        <v>5.2</v>
      </c>
      <c r="G1162">
        <v>0</v>
      </c>
      <c r="H1162" t="s">
        <v>186</v>
      </c>
      <c r="I1162">
        <v>2E-3</v>
      </c>
      <c r="J1162">
        <f t="shared" si="500"/>
        <v>1.0009999999999764</v>
      </c>
      <c r="K1162">
        <f t="shared" si="501"/>
        <v>51</v>
      </c>
      <c r="L1162">
        <f t="shared" ca="1" si="502"/>
        <v>51797.843837663619</v>
      </c>
      <c r="M1162">
        <f t="shared" ca="1" si="479"/>
        <v>269348.78795585083</v>
      </c>
      <c r="N1162">
        <f t="shared" ca="1" si="480"/>
        <v>2.5998694991876676</v>
      </c>
      <c r="O1162">
        <f t="shared" ca="1" si="481"/>
        <v>1.8934557080078435E-4</v>
      </c>
      <c r="P1162">
        <f t="shared" ca="1" si="482"/>
        <v>52429.899837663615</v>
      </c>
      <c r="Q1162">
        <f t="shared" ca="1" si="483"/>
        <v>52429.899837665442</v>
      </c>
      <c r="R1162">
        <f t="shared" ca="1" si="484"/>
        <v>2.2564415439646509E-12</v>
      </c>
      <c r="S1162">
        <f t="shared" ca="1" si="503"/>
        <v>5.0000000192085281E-4</v>
      </c>
      <c r="T1162">
        <f t="shared" ca="1" si="504"/>
        <v>1</v>
      </c>
      <c r="U1162">
        <f t="shared" ca="1" si="485"/>
        <v>51800.26683766341</v>
      </c>
      <c r="V1162">
        <f t="shared" ca="1" si="486"/>
        <v>269361.38755584974</v>
      </c>
      <c r="W1162">
        <f t="shared" ca="1" si="487"/>
        <v>2.5998695052916441</v>
      </c>
      <c r="X1162">
        <f t="shared" ca="1" si="488"/>
        <v>1.8933671400629237E-4</v>
      </c>
      <c r="Y1162">
        <f t="shared" ca="1" si="489"/>
        <v>52432.322837663407</v>
      </c>
      <c r="Z1162">
        <f t="shared" ca="1" si="490"/>
        <v>52432.322837665233</v>
      </c>
      <c r="AA1162">
        <f t="shared" ca="1" si="491"/>
        <v>2.2562304480281055E-12</v>
      </c>
      <c r="AB1162">
        <f t="shared" ca="1" si="492"/>
        <v>-4.999999946448952E-4</v>
      </c>
      <c r="AC1162">
        <f t="shared" ca="1" si="493"/>
        <v>1</v>
      </c>
      <c r="AD1162">
        <f ca="1">IF(V32="Supercritical",L1162,IF(V32="Subcritical",U1162,IF(AND(T1162=1,AC1162=1),IF((((F1162)*(L1162)^2)/2+(G1162)*(L1162)^3/3+(ABS(K1162)^2)/($I$5*MAX(((F1162)+(G1162)*(L1162))*(L1162),0.000001)))&gt;=(((F1162)*(U1162)^2)/2+(G1162)*(U1162)^3/3+(ABS(K1162)^2)/($I$5*MAX(((F1162)+(G1162)*(U1162))*(U1162),0.000001))),L1162,U1162),IF(T1162=1,L1162,IF(AC1162=1,U1162,MAX($D$16,POWER((ABS(K1162)^2)/($I$5*MAX(F1162,0.1)^2),1/3)))))))</f>
        <v>51800.26683766341</v>
      </c>
      <c r="AE1162">
        <f t="shared" ca="1" si="494"/>
        <v>52432.322837663407</v>
      </c>
      <c r="AF1162">
        <f t="shared" ca="1" si="495"/>
        <v>52432.322837665233</v>
      </c>
      <c r="AI1162">
        <v>0</v>
      </c>
      <c r="AJ1162">
        <v>0</v>
      </c>
      <c r="AK1162">
        <f t="shared" si="496"/>
        <v>0</v>
      </c>
      <c r="AL1162">
        <f t="shared" si="505"/>
        <v>0</v>
      </c>
      <c r="AM1162">
        <f t="shared" ca="1" si="497"/>
        <v>2.6560383008097266E-7</v>
      </c>
      <c r="AN1162" t="str">
        <f t="shared" ca="1" si="498"/>
        <v>Subcritical</v>
      </c>
      <c r="AO1162">
        <f t="shared" ca="1" si="499"/>
        <v>2.2562304480281055E-12</v>
      </c>
    </row>
    <row r="1163" spans="1:41" x14ac:dyDescent="0.35">
      <c r="A1163">
        <v>1014</v>
      </c>
      <c r="B1163">
        <v>1012.89</v>
      </c>
      <c r="C1163">
        <v>616080.61699999997</v>
      </c>
      <c r="D1163">
        <v>3096991.06</v>
      </c>
      <c r="E1163">
        <v>632.05550000000005</v>
      </c>
      <c r="F1163">
        <v>5.2</v>
      </c>
      <c r="G1163">
        <v>0</v>
      </c>
      <c r="H1163" t="s">
        <v>186</v>
      </c>
      <c r="I1163">
        <v>5.7000000000000002E-2</v>
      </c>
      <c r="J1163">
        <f t="shared" si="500"/>
        <v>1</v>
      </c>
      <c r="K1163">
        <f t="shared" si="501"/>
        <v>51</v>
      </c>
      <c r="L1163">
        <f t="shared" ca="1" si="502"/>
        <v>51797.843837663619</v>
      </c>
      <c r="M1163">
        <f t="shared" ca="1" si="479"/>
        <v>269348.78795585083</v>
      </c>
      <c r="N1163">
        <f t="shared" ca="1" si="480"/>
        <v>2.5998694991876676</v>
      </c>
      <c r="O1163">
        <f t="shared" ca="1" si="481"/>
        <v>1.8934557080078435E-4</v>
      </c>
      <c r="P1163">
        <f t="shared" ca="1" si="482"/>
        <v>52429.899337663621</v>
      </c>
      <c r="Q1163">
        <f t="shared" ca="1" si="483"/>
        <v>52429.899337665447</v>
      </c>
      <c r="R1163">
        <f t="shared" ca="1" si="484"/>
        <v>2.2564415439646509E-12</v>
      </c>
      <c r="S1163">
        <f t="shared" ca="1" si="503"/>
        <v>4.999999946448952E-4</v>
      </c>
      <c r="T1163">
        <f t="shared" ca="1" si="504"/>
        <v>1</v>
      </c>
      <c r="U1163">
        <f t="shared" ca="1" si="485"/>
        <v>51800.26683766341</v>
      </c>
      <c r="V1163">
        <f t="shared" ca="1" si="486"/>
        <v>269361.38755584974</v>
      </c>
      <c r="W1163">
        <f t="shared" ca="1" si="487"/>
        <v>2.5998695052916441</v>
      </c>
      <c r="X1163">
        <f t="shared" ca="1" si="488"/>
        <v>1.8933671400629237E-4</v>
      </c>
      <c r="Y1163">
        <f t="shared" ca="1" si="489"/>
        <v>52432.322337663412</v>
      </c>
      <c r="Z1163">
        <f t="shared" ca="1" si="490"/>
        <v>52432.322337665239</v>
      </c>
      <c r="AA1163">
        <f t="shared" ca="1" si="491"/>
        <v>2.2562304480281055E-12</v>
      </c>
      <c r="AB1163">
        <f t="shared" ca="1" si="492"/>
        <v>-5.0000000192085281E-4</v>
      </c>
      <c r="AC1163">
        <f t="shared" ca="1" si="493"/>
        <v>1</v>
      </c>
      <c r="AD1163">
        <f ca="1">IF(V32="Supercritical",L1163,IF(V32="Subcritical",U1163,IF(AND(T1163=1,AC1163=1),IF((((F1163)*(L1163)^2)/2+(G1163)*(L1163)^3/3+(ABS(K1163)^2)/($I$5*MAX(((F1163)+(G1163)*(L1163))*(L1163),0.000001)))&gt;=(((F1163)*(U1163)^2)/2+(G1163)*(U1163)^3/3+(ABS(K1163)^2)/($I$5*MAX(((F1163)+(G1163)*(U1163))*(U1163),0.000001))),L1163,U1163),IF(T1163=1,L1163,IF(AC1163=1,U1163,MAX($D$16,POWER((ABS(K1163)^2)/($I$5*MAX(F1163,0.1)^2),1/3)))))))</f>
        <v>51800.26683766341</v>
      </c>
      <c r="AE1163">
        <f t="shared" ca="1" si="494"/>
        <v>52432.322337663412</v>
      </c>
      <c r="AF1163">
        <f t="shared" ca="1" si="495"/>
        <v>52432.322337665239</v>
      </c>
      <c r="AI1163">
        <v>0</v>
      </c>
      <c r="AJ1163">
        <v>0</v>
      </c>
      <c r="AK1163">
        <f t="shared" si="496"/>
        <v>0</v>
      </c>
      <c r="AL1163">
        <f t="shared" si="505"/>
        <v>0</v>
      </c>
      <c r="AM1163">
        <f t="shared" ca="1" si="497"/>
        <v>2.6560383008097266E-7</v>
      </c>
      <c r="AN1163" t="str">
        <f t="shared" ca="1" si="498"/>
        <v>Subcritical</v>
      </c>
      <c r="AO1163">
        <f t="shared" ca="1" si="499"/>
        <v>2.2562304480281055E-12</v>
      </c>
    </row>
    <row r="1164" spans="1:41" x14ac:dyDescent="0.35">
      <c r="A1164">
        <v>1015</v>
      </c>
      <c r="B1164">
        <v>1013.89</v>
      </c>
      <c r="C1164">
        <v>616080.57400000002</v>
      </c>
      <c r="D1164">
        <v>3096990.0610000002</v>
      </c>
      <c r="E1164">
        <v>632.05499999999995</v>
      </c>
      <c r="F1164">
        <v>5.2</v>
      </c>
      <c r="G1164">
        <v>0</v>
      </c>
      <c r="H1164" t="s">
        <v>186</v>
      </c>
      <c r="I1164">
        <v>5.7000000000000002E-2</v>
      </c>
      <c r="J1164">
        <f t="shared" si="500"/>
        <v>1</v>
      </c>
      <c r="K1164">
        <f t="shared" si="501"/>
        <v>51</v>
      </c>
      <c r="L1164">
        <f t="shared" ca="1" si="502"/>
        <v>51797.843837663619</v>
      </c>
      <c r="M1164">
        <f t="shared" ca="1" si="479"/>
        <v>269348.78795585083</v>
      </c>
      <c r="N1164">
        <f t="shared" ca="1" si="480"/>
        <v>2.5998694991876676</v>
      </c>
      <c r="O1164">
        <f t="shared" ca="1" si="481"/>
        <v>1.8934557080078435E-4</v>
      </c>
      <c r="P1164">
        <f t="shared" ca="1" si="482"/>
        <v>52429.898837663619</v>
      </c>
      <c r="Q1164">
        <f t="shared" ca="1" si="483"/>
        <v>52429.898837665445</v>
      </c>
      <c r="R1164">
        <f t="shared" ca="1" si="484"/>
        <v>2.2564415439646509E-12</v>
      </c>
      <c r="S1164">
        <f t="shared" ca="1" si="503"/>
        <v>5.0000000192085281E-4</v>
      </c>
      <c r="T1164">
        <f t="shared" ca="1" si="504"/>
        <v>1</v>
      </c>
      <c r="U1164">
        <f t="shared" ca="1" si="485"/>
        <v>51800.26683766341</v>
      </c>
      <c r="V1164">
        <f t="shared" ca="1" si="486"/>
        <v>269361.38755584974</v>
      </c>
      <c r="W1164">
        <f t="shared" ca="1" si="487"/>
        <v>2.5998695052916441</v>
      </c>
      <c r="X1164">
        <f t="shared" ca="1" si="488"/>
        <v>1.8933671400629237E-4</v>
      </c>
      <c r="Y1164">
        <f t="shared" ca="1" si="489"/>
        <v>52432.32183766341</v>
      </c>
      <c r="Z1164">
        <f t="shared" ca="1" si="490"/>
        <v>52432.321837665237</v>
      </c>
      <c r="AA1164">
        <f t="shared" ca="1" si="491"/>
        <v>2.2562304480281055E-12</v>
      </c>
      <c r="AB1164">
        <f t="shared" ca="1" si="492"/>
        <v>-5.0000000192085281E-4</v>
      </c>
      <c r="AC1164">
        <f t="shared" ca="1" si="493"/>
        <v>1</v>
      </c>
      <c r="AD1164">
        <f ca="1">IF(V32="Supercritical",L1164,IF(V32="Subcritical",U1164,IF(AND(T1164=1,AC1164=1),IF((((F1164)*(L1164)^2)/2+(G1164)*(L1164)^3/3+(ABS(K1164)^2)/($I$5*MAX(((F1164)+(G1164)*(L1164))*(L1164),0.000001)))&gt;=(((F1164)*(U1164)^2)/2+(G1164)*(U1164)^3/3+(ABS(K1164)^2)/($I$5*MAX(((F1164)+(G1164)*(U1164))*(U1164),0.000001))),L1164,U1164),IF(T1164=1,L1164,IF(AC1164=1,U1164,MAX($D$16,POWER((ABS(K1164)^2)/($I$5*MAX(F1164,0.1)^2),1/3)))))))</f>
        <v>51800.26683766341</v>
      </c>
      <c r="AE1164">
        <f t="shared" ca="1" si="494"/>
        <v>52432.32183766341</v>
      </c>
      <c r="AF1164">
        <f t="shared" ca="1" si="495"/>
        <v>52432.321837665237</v>
      </c>
      <c r="AI1164">
        <v>0</v>
      </c>
      <c r="AJ1164">
        <v>0</v>
      </c>
      <c r="AK1164">
        <f t="shared" si="496"/>
        <v>0</v>
      </c>
      <c r="AL1164">
        <f t="shared" si="505"/>
        <v>0</v>
      </c>
      <c r="AM1164">
        <f t="shared" ca="1" si="497"/>
        <v>2.6560383008097266E-7</v>
      </c>
      <c r="AN1164" t="str">
        <f t="shared" ca="1" si="498"/>
        <v>Subcritical</v>
      </c>
      <c r="AO1164">
        <f t="shared" ca="1" si="499"/>
        <v>2.2562304480281055E-12</v>
      </c>
    </row>
    <row r="1165" spans="1:41" x14ac:dyDescent="0.35">
      <c r="A1165">
        <v>1016</v>
      </c>
      <c r="B1165">
        <v>1014.889</v>
      </c>
      <c r="C1165">
        <v>616080.53200000001</v>
      </c>
      <c r="D1165">
        <v>3096989.0619999999</v>
      </c>
      <c r="E1165">
        <v>632.05449999999996</v>
      </c>
      <c r="F1165">
        <v>5.2</v>
      </c>
      <c r="G1165">
        <v>0</v>
      </c>
      <c r="H1165" t="s">
        <v>186</v>
      </c>
      <c r="I1165">
        <v>0</v>
      </c>
      <c r="J1165">
        <f t="shared" si="500"/>
        <v>0.99900000000002365</v>
      </c>
      <c r="K1165">
        <f t="shared" si="501"/>
        <v>51</v>
      </c>
      <c r="L1165">
        <f t="shared" ca="1" si="502"/>
        <v>51797.843837663619</v>
      </c>
      <c r="M1165">
        <f t="shared" ca="1" si="479"/>
        <v>269348.78795585083</v>
      </c>
      <c r="N1165">
        <f t="shared" ca="1" si="480"/>
        <v>2.5998694991876676</v>
      </c>
      <c r="O1165">
        <f t="shared" ca="1" si="481"/>
        <v>1.8934557080078435E-4</v>
      </c>
      <c r="P1165">
        <f t="shared" ca="1" si="482"/>
        <v>52429.898337663617</v>
      </c>
      <c r="Q1165">
        <f t="shared" ca="1" si="483"/>
        <v>52429.898337665443</v>
      </c>
      <c r="R1165">
        <f t="shared" ca="1" si="484"/>
        <v>2.2564415439646509E-12</v>
      </c>
      <c r="S1165">
        <f t="shared" ca="1" si="503"/>
        <v>5.0000000192085281E-4</v>
      </c>
      <c r="T1165">
        <f t="shared" ca="1" si="504"/>
        <v>1</v>
      </c>
      <c r="U1165">
        <f t="shared" ca="1" si="485"/>
        <v>51800.26683766341</v>
      </c>
      <c r="V1165">
        <f t="shared" ca="1" si="486"/>
        <v>269361.38755584974</v>
      </c>
      <c r="W1165">
        <f t="shared" ca="1" si="487"/>
        <v>2.5998695052916441</v>
      </c>
      <c r="X1165">
        <f t="shared" ca="1" si="488"/>
        <v>1.8933671400629237E-4</v>
      </c>
      <c r="Y1165">
        <f t="shared" ca="1" si="489"/>
        <v>52432.321337663408</v>
      </c>
      <c r="Z1165">
        <f t="shared" ca="1" si="490"/>
        <v>52432.321337665235</v>
      </c>
      <c r="AA1165">
        <f t="shared" ca="1" si="491"/>
        <v>2.2562304480281055E-12</v>
      </c>
      <c r="AB1165">
        <f t="shared" ca="1" si="492"/>
        <v>-5.0000000192085281E-4</v>
      </c>
      <c r="AC1165">
        <f t="shared" ca="1" si="493"/>
        <v>1</v>
      </c>
      <c r="AD1165">
        <f ca="1">IF(V32="Supercritical",L1165,IF(V32="Subcritical",U1165,IF(AND(T1165=1,AC1165=1),IF((((F1165)*(L1165)^2)/2+(G1165)*(L1165)^3/3+(ABS(K1165)^2)/($I$5*MAX(((F1165)+(G1165)*(L1165))*(L1165),0.000001)))&gt;=(((F1165)*(U1165)^2)/2+(G1165)*(U1165)^3/3+(ABS(K1165)^2)/($I$5*MAX(((F1165)+(G1165)*(U1165))*(U1165),0.000001))),L1165,U1165),IF(T1165=1,L1165,IF(AC1165=1,U1165,MAX($D$16,POWER((ABS(K1165)^2)/($I$5*MAX(F1165,0.1)^2),1/3)))))))</f>
        <v>51800.26683766341</v>
      </c>
      <c r="AE1165">
        <f t="shared" ca="1" si="494"/>
        <v>52432.321337663408</v>
      </c>
      <c r="AF1165">
        <f t="shared" ca="1" si="495"/>
        <v>52432.321337665235</v>
      </c>
      <c r="AI1165">
        <v>0</v>
      </c>
      <c r="AJ1165">
        <v>0</v>
      </c>
      <c r="AK1165">
        <f t="shared" si="496"/>
        <v>0</v>
      </c>
      <c r="AL1165">
        <f t="shared" si="505"/>
        <v>0</v>
      </c>
      <c r="AM1165">
        <f t="shared" ca="1" si="497"/>
        <v>2.6560383008097266E-7</v>
      </c>
      <c r="AN1165" t="str">
        <f t="shared" ca="1" si="498"/>
        <v>Subcritical</v>
      </c>
      <c r="AO1165">
        <f t="shared" ca="1" si="499"/>
        <v>2.2562304480281055E-12</v>
      </c>
    </row>
    <row r="1166" spans="1:41" x14ac:dyDescent="0.35">
      <c r="A1166">
        <v>1017</v>
      </c>
      <c r="B1166">
        <v>1015.889</v>
      </c>
      <c r="C1166">
        <v>616080.49</v>
      </c>
      <c r="D1166">
        <v>3096988.0630000001</v>
      </c>
      <c r="E1166">
        <v>632.05399999999997</v>
      </c>
      <c r="F1166">
        <v>5.2</v>
      </c>
      <c r="G1166">
        <v>0</v>
      </c>
      <c r="H1166" t="s">
        <v>186</v>
      </c>
      <c r="I1166">
        <v>0</v>
      </c>
      <c r="J1166">
        <f t="shared" si="500"/>
        <v>1</v>
      </c>
      <c r="K1166">
        <f t="shared" si="501"/>
        <v>51</v>
      </c>
      <c r="L1166">
        <f t="shared" ca="1" si="502"/>
        <v>51797.843837663619</v>
      </c>
      <c r="M1166">
        <f t="shared" ca="1" si="479"/>
        <v>269348.78795585083</v>
      </c>
      <c r="N1166">
        <f t="shared" ca="1" si="480"/>
        <v>2.5998694991876676</v>
      </c>
      <c r="O1166">
        <f t="shared" ca="1" si="481"/>
        <v>1.8934557080078435E-4</v>
      </c>
      <c r="P1166">
        <f t="shared" ca="1" si="482"/>
        <v>52429.897837663615</v>
      </c>
      <c r="Q1166">
        <f t="shared" ca="1" si="483"/>
        <v>52429.897837665441</v>
      </c>
      <c r="R1166">
        <f t="shared" ca="1" si="484"/>
        <v>2.2564415439646509E-12</v>
      </c>
      <c r="S1166">
        <f t="shared" ca="1" si="503"/>
        <v>5.0000000192085281E-4</v>
      </c>
      <c r="T1166">
        <f t="shared" ca="1" si="504"/>
        <v>1</v>
      </c>
      <c r="U1166">
        <f t="shared" ca="1" si="485"/>
        <v>51800.26683766341</v>
      </c>
      <c r="V1166">
        <f t="shared" ca="1" si="486"/>
        <v>269361.38755584974</v>
      </c>
      <c r="W1166">
        <f t="shared" ca="1" si="487"/>
        <v>2.5998695052916441</v>
      </c>
      <c r="X1166">
        <f t="shared" ca="1" si="488"/>
        <v>1.8933671400629237E-4</v>
      </c>
      <c r="Y1166">
        <f t="shared" ca="1" si="489"/>
        <v>52432.320837663407</v>
      </c>
      <c r="Z1166">
        <f t="shared" ca="1" si="490"/>
        <v>52432.320837665233</v>
      </c>
      <c r="AA1166">
        <f t="shared" ca="1" si="491"/>
        <v>2.2562304480281055E-12</v>
      </c>
      <c r="AB1166">
        <f t="shared" ca="1" si="492"/>
        <v>-4.999999946448952E-4</v>
      </c>
      <c r="AC1166">
        <f t="shared" ca="1" si="493"/>
        <v>1</v>
      </c>
      <c r="AD1166">
        <f ca="1">IF(V32="Supercritical",L1166,IF(V32="Subcritical",U1166,IF(AND(T1166=1,AC1166=1),IF((((F1166)*(L1166)^2)/2+(G1166)*(L1166)^3/3+(ABS(K1166)^2)/($I$5*MAX(((F1166)+(G1166)*(L1166))*(L1166),0.000001)))&gt;=(((F1166)*(U1166)^2)/2+(G1166)*(U1166)^3/3+(ABS(K1166)^2)/($I$5*MAX(((F1166)+(G1166)*(U1166))*(U1166),0.000001))),L1166,U1166),IF(T1166=1,L1166,IF(AC1166=1,U1166,MAX($D$16,POWER((ABS(K1166)^2)/($I$5*MAX(F1166,0.1)^2),1/3)))))))</f>
        <v>51800.26683766341</v>
      </c>
      <c r="AE1166">
        <f t="shared" ca="1" si="494"/>
        <v>52432.320837663407</v>
      </c>
      <c r="AF1166">
        <f t="shared" ca="1" si="495"/>
        <v>52432.320837665233</v>
      </c>
      <c r="AI1166">
        <v>0</v>
      </c>
      <c r="AJ1166">
        <v>0</v>
      </c>
      <c r="AK1166">
        <f t="shared" si="496"/>
        <v>0</v>
      </c>
      <c r="AL1166">
        <f t="shared" si="505"/>
        <v>0</v>
      </c>
      <c r="AM1166">
        <f t="shared" ca="1" si="497"/>
        <v>2.6560383008097266E-7</v>
      </c>
      <c r="AN1166" t="str">
        <f t="shared" ca="1" si="498"/>
        <v>Subcritical</v>
      </c>
      <c r="AO1166">
        <f t="shared" ca="1" si="499"/>
        <v>2.2562304480281055E-12</v>
      </c>
    </row>
    <row r="1167" spans="1:41" x14ac:dyDescent="0.35">
      <c r="A1167">
        <v>1018</v>
      </c>
      <c r="B1167">
        <v>1016.889</v>
      </c>
      <c r="C1167">
        <v>616080.44799999997</v>
      </c>
      <c r="D1167">
        <v>3096987.0639999998</v>
      </c>
      <c r="E1167">
        <v>632.05349999999999</v>
      </c>
      <c r="F1167">
        <v>5.2</v>
      </c>
      <c r="G1167">
        <v>0</v>
      </c>
      <c r="H1167" t="s">
        <v>186</v>
      </c>
      <c r="I1167">
        <v>5.7000000000000002E-2</v>
      </c>
      <c r="J1167">
        <f t="shared" si="500"/>
        <v>1</v>
      </c>
      <c r="K1167">
        <f t="shared" si="501"/>
        <v>51</v>
      </c>
      <c r="L1167">
        <f t="shared" ca="1" si="502"/>
        <v>51797.843837663619</v>
      </c>
      <c r="M1167">
        <f t="shared" ca="1" si="479"/>
        <v>269348.78795585083</v>
      </c>
      <c r="N1167">
        <f t="shared" ca="1" si="480"/>
        <v>2.5998694991876676</v>
      </c>
      <c r="O1167">
        <f t="shared" ca="1" si="481"/>
        <v>1.8934557080078435E-4</v>
      </c>
      <c r="P1167">
        <f t="shared" ca="1" si="482"/>
        <v>52429.89733766362</v>
      </c>
      <c r="Q1167">
        <f t="shared" ca="1" si="483"/>
        <v>52429.897337665447</v>
      </c>
      <c r="R1167">
        <f t="shared" ca="1" si="484"/>
        <v>2.2564415439646509E-12</v>
      </c>
      <c r="S1167">
        <f t="shared" ca="1" si="503"/>
        <v>4.999999946448952E-4</v>
      </c>
      <c r="T1167">
        <f t="shared" ca="1" si="504"/>
        <v>1</v>
      </c>
      <c r="U1167">
        <f t="shared" ca="1" si="485"/>
        <v>51800.26683766341</v>
      </c>
      <c r="V1167">
        <f t="shared" ca="1" si="486"/>
        <v>269361.38755584974</v>
      </c>
      <c r="W1167">
        <f t="shared" ca="1" si="487"/>
        <v>2.5998695052916441</v>
      </c>
      <c r="X1167">
        <f t="shared" ca="1" si="488"/>
        <v>1.8933671400629237E-4</v>
      </c>
      <c r="Y1167">
        <f t="shared" ca="1" si="489"/>
        <v>52432.320337663412</v>
      </c>
      <c r="Z1167">
        <f t="shared" ca="1" si="490"/>
        <v>52432.320337665238</v>
      </c>
      <c r="AA1167">
        <f t="shared" ca="1" si="491"/>
        <v>2.2562304480281055E-12</v>
      </c>
      <c r="AB1167">
        <f t="shared" ca="1" si="492"/>
        <v>-5.0000000192085281E-4</v>
      </c>
      <c r="AC1167">
        <f t="shared" ca="1" si="493"/>
        <v>1</v>
      </c>
      <c r="AD1167">
        <f ca="1">IF(V32="Supercritical",L1167,IF(V32="Subcritical",U1167,IF(AND(T1167=1,AC1167=1),IF((((F1167)*(L1167)^2)/2+(G1167)*(L1167)^3/3+(ABS(K1167)^2)/($I$5*MAX(((F1167)+(G1167)*(L1167))*(L1167),0.000001)))&gt;=(((F1167)*(U1167)^2)/2+(G1167)*(U1167)^3/3+(ABS(K1167)^2)/($I$5*MAX(((F1167)+(G1167)*(U1167))*(U1167),0.000001))),L1167,U1167),IF(T1167=1,L1167,IF(AC1167=1,U1167,MAX($D$16,POWER((ABS(K1167)^2)/($I$5*MAX(F1167,0.1)^2),1/3)))))))</f>
        <v>51800.26683766341</v>
      </c>
      <c r="AE1167">
        <f t="shared" ca="1" si="494"/>
        <v>52432.320337663412</v>
      </c>
      <c r="AF1167">
        <f t="shared" ca="1" si="495"/>
        <v>52432.320337665238</v>
      </c>
      <c r="AI1167">
        <v>0</v>
      </c>
      <c r="AJ1167">
        <v>0</v>
      </c>
      <c r="AK1167">
        <f t="shared" si="496"/>
        <v>0</v>
      </c>
      <c r="AL1167">
        <f t="shared" si="505"/>
        <v>0</v>
      </c>
      <c r="AM1167">
        <f t="shared" ca="1" si="497"/>
        <v>2.6560383008097266E-7</v>
      </c>
      <c r="AN1167" t="str">
        <f t="shared" ca="1" si="498"/>
        <v>Subcritical</v>
      </c>
      <c r="AO1167">
        <f t="shared" ca="1" si="499"/>
        <v>2.2562304480281055E-12</v>
      </c>
    </row>
    <row r="1168" spans="1:41" x14ac:dyDescent="0.35">
      <c r="A1168">
        <v>1019</v>
      </c>
      <c r="B1168">
        <v>1017.889</v>
      </c>
      <c r="C1168">
        <v>616080.40500000003</v>
      </c>
      <c r="D1168">
        <v>3096986.0649999999</v>
      </c>
      <c r="E1168">
        <v>632.053</v>
      </c>
      <c r="F1168">
        <v>5.2</v>
      </c>
      <c r="G1168">
        <v>0</v>
      </c>
      <c r="H1168" t="s">
        <v>186</v>
      </c>
      <c r="I1168">
        <v>5.7000000000000002E-2</v>
      </c>
      <c r="J1168">
        <f t="shared" si="500"/>
        <v>1</v>
      </c>
      <c r="K1168">
        <f t="shared" si="501"/>
        <v>51</v>
      </c>
      <c r="L1168">
        <f t="shared" ca="1" si="502"/>
        <v>51797.843837663619</v>
      </c>
      <c r="M1168">
        <f t="shared" ca="1" si="479"/>
        <v>269348.78795585083</v>
      </c>
      <c r="N1168">
        <f t="shared" ca="1" si="480"/>
        <v>2.5998694991876676</v>
      </c>
      <c r="O1168">
        <f t="shared" ca="1" si="481"/>
        <v>1.8934557080078435E-4</v>
      </c>
      <c r="P1168">
        <f t="shared" ca="1" si="482"/>
        <v>52429.896837663618</v>
      </c>
      <c r="Q1168">
        <f t="shared" ca="1" si="483"/>
        <v>52429.896837665445</v>
      </c>
      <c r="R1168">
        <f t="shared" ca="1" si="484"/>
        <v>2.2564415439646509E-12</v>
      </c>
      <c r="S1168">
        <f t="shared" ca="1" si="503"/>
        <v>5.0000000192085281E-4</v>
      </c>
      <c r="T1168">
        <f t="shared" ca="1" si="504"/>
        <v>1</v>
      </c>
      <c r="U1168">
        <f t="shared" ca="1" si="485"/>
        <v>51800.26683766341</v>
      </c>
      <c r="V1168">
        <f t="shared" ca="1" si="486"/>
        <v>269361.38755584974</v>
      </c>
      <c r="W1168">
        <f t="shared" ca="1" si="487"/>
        <v>2.5998695052916441</v>
      </c>
      <c r="X1168">
        <f t="shared" ca="1" si="488"/>
        <v>1.8933671400629237E-4</v>
      </c>
      <c r="Y1168">
        <f t="shared" ca="1" si="489"/>
        <v>52432.31983766341</v>
      </c>
      <c r="Z1168">
        <f t="shared" ca="1" si="490"/>
        <v>52432.319837665236</v>
      </c>
      <c r="AA1168">
        <f t="shared" ca="1" si="491"/>
        <v>2.2562304480281055E-12</v>
      </c>
      <c r="AB1168">
        <f t="shared" ca="1" si="492"/>
        <v>-5.0000000192085281E-4</v>
      </c>
      <c r="AC1168">
        <f t="shared" ca="1" si="493"/>
        <v>1</v>
      </c>
      <c r="AD1168">
        <f ca="1">IF(V32="Supercritical",L1168,IF(V32="Subcritical",U1168,IF(AND(T1168=1,AC1168=1),IF((((F1168)*(L1168)^2)/2+(G1168)*(L1168)^3/3+(ABS(K1168)^2)/($I$5*MAX(((F1168)+(G1168)*(L1168))*(L1168),0.000001)))&gt;=(((F1168)*(U1168)^2)/2+(G1168)*(U1168)^3/3+(ABS(K1168)^2)/($I$5*MAX(((F1168)+(G1168)*(U1168))*(U1168),0.000001))),L1168,U1168),IF(T1168=1,L1168,IF(AC1168=1,U1168,MAX($D$16,POWER((ABS(K1168)^2)/($I$5*MAX(F1168,0.1)^2),1/3)))))))</f>
        <v>51800.26683766341</v>
      </c>
      <c r="AE1168">
        <f t="shared" ca="1" si="494"/>
        <v>52432.31983766341</v>
      </c>
      <c r="AF1168">
        <f t="shared" ca="1" si="495"/>
        <v>52432.319837665236</v>
      </c>
      <c r="AI1168">
        <v>0</v>
      </c>
      <c r="AJ1168">
        <v>0</v>
      </c>
      <c r="AK1168">
        <f t="shared" si="496"/>
        <v>0</v>
      </c>
      <c r="AL1168">
        <f t="shared" si="505"/>
        <v>0</v>
      </c>
      <c r="AM1168">
        <f t="shared" ca="1" si="497"/>
        <v>2.6560383008097266E-7</v>
      </c>
      <c r="AN1168" t="str">
        <f t="shared" ca="1" si="498"/>
        <v>Subcritical</v>
      </c>
      <c r="AO1168">
        <f t="shared" ca="1" si="499"/>
        <v>2.2562304480281055E-12</v>
      </c>
    </row>
    <row r="1169" spans="1:41" x14ac:dyDescent="0.35">
      <c r="A1169">
        <v>1020</v>
      </c>
      <c r="B1169">
        <v>1018.889</v>
      </c>
      <c r="C1169">
        <v>616080.36300000001</v>
      </c>
      <c r="D1169">
        <v>3096985.0660000001</v>
      </c>
      <c r="E1169">
        <v>632.05250000000001</v>
      </c>
      <c r="F1169">
        <v>5.2</v>
      </c>
      <c r="G1169">
        <v>0</v>
      </c>
      <c r="H1169" t="s">
        <v>186</v>
      </c>
      <c r="I1169">
        <v>0</v>
      </c>
      <c r="J1169">
        <f t="shared" si="500"/>
        <v>1</v>
      </c>
      <c r="K1169">
        <f t="shared" si="501"/>
        <v>51</v>
      </c>
      <c r="L1169">
        <f t="shared" ca="1" si="502"/>
        <v>51797.843837663619</v>
      </c>
      <c r="M1169">
        <f t="shared" ca="1" si="479"/>
        <v>269348.78795585083</v>
      </c>
      <c r="N1169">
        <f t="shared" ca="1" si="480"/>
        <v>2.5998694991876676</v>
      </c>
      <c r="O1169">
        <f t="shared" ca="1" si="481"/>
        <v>1.8934557080078435E-4</v>
      </c>
      <c r="P1169">
        <f t="shared" ca="1" si="482"/>
        <v>52429.896337663617</v>
      </c>
      <c r="Q1169">
        <f t="shared" ca="1" si="483"/>
        <v>52429.896337665443</v>
      </c>
      <c r="R1169">
        <f t="shared" ca="1" si="484"/>
        <v>2.2564415439646509E-12</v>
      </c>
      <c r="S1169">
        <f t="shared" ca="1" si="503"/>
        <v>5.0000000192085281E-4</v>
      </c>
      <c r="T1169">
        <f t="shared" ca="1" si="504"/>
        <v>1</v>
      </c>
      <c r="U1169">
        <f t="shared" ca="1" si="485"/>
        <v>51800.26683766341</v>
      </c>
      <c r="V1169">
        <f t="shared" ca="1" si="486"/>
        <v>269361.38755584974</v>
      </c>
      <c r="W1169">
        <f t="shared" ca="1" si="487"/>
        <v>2.5998695052916441</v>
      </c>
      <c r="X1169">
        <f t="shared" ca="1" si="488"/>
        <v>1.8933671400629237E-4</v>
      </c>
      <c r="Y1169">
        <f t="shared" ca="1" si="489"/>
        <v>52432.319337663408</v>
      </c>
      <c r="Z1169">
        <f t="shared" ca="1" si="490"/>
        <v>52432.319337665234</v>
      </c>
      <c r="AA1169">
        <f t="shared" ca="1" si="491"/>
        <v>2.2562304480281055E-12</v>
      </c>
      <c r="AB1169">
        <f t="shared" ca="1" si="492"/>
        <v>-4.999999946448952E-4</v>
      </c>
      <c r="AC1169">
        <f t="shared" ca="1" si="493"/>
        <v>1</v>
      </c>
      <c r="AD1169">
        <f ca="1">IF(V32="Supercritical",L1169,IF(V32="Subcritical",U1169,IF(AND(T1169=1,AC1169=1),IF((((F1169)*(L1169)^2)/2+(G1169)*(L1169)^3/3+(ABS(K1169)^2)/($I$5*MAX(((F1169)+(G1169)*(L1169))*(L1169),0.000001)))&gt;=(((F1169)*(U1169)^2)/2+(G1169)*(U1169)^3/3+(ABS(K1169)^2)/($I$5*MAX(((F1169)+(G1169)*(U1169))*(U1169),0.000001))),L1169,U1169),IF(T1169=1,L1169,IF(AC1169=1,U1169,MAX($D$16,POWER((ABS(K1169)^2)/($I$5*MAX(F1169,0.1)^2),1/3)))))))</f>
        <v>51800.26683766341</v>
      </c>
      <c r="AE1169">
        <f t="shared" ca="1" si="494"/>
        <v>52432.319337663408</v>
      </c>
      <c r="AF1169">
        <f t="shared" ca="1" si="495"/>
        <v>52432.319337665234</v>
      </c>
      <c r="AI1169">
        <v>0</v>
      </c>
      <c r="AJ1169">
        <v>0</v>
      </c>
      <c r="AK1169">
        <f t="shared" si="496"/>
        <v>0</v>
      </c>
      <c r="AL1169">
        <f t="shared" si="505"/>
        <v>0</v>
      </c>
      <c r="AM1169">
        <f t="shared" ca="1" si="497"/>
        <v>2.6560383008097266E-7</v>
      </c>
      <c r="AN1169" t="str">
        <f t="shared" ca="1" si="498"/>
        <v>Subcritical</v>
      </c>
      <c r="AO1169">
        <f t="shared" ca="1" si="499"/>
        <v>2.2562304480281055E-12</v>
      </c>
    </row>
    <row r="1170" spans="1:41" x14ac:dyDescent="0.35">
      <c r="A1170">
        <v>1021</v>
      </c>
      <c r="B1170">
        <v>1019.889</v>
      </c>
      <c r="C1170">
        <v>616080.321</v>
      </c>
      <c r="D1170">
        <v>3096984.0669999998</v>
      </c>
      <c r="E1170">
        <v>632.05200000000002</v>
      </c>
      <c r="F1170">
        <v>5.2</v>
      </c>
      <c r="G1170">
        <v>0</v>
      </c>
      <c r="H1170" t="s">
        <v>186</v>
      </c>
      <c r="I1170">
        <v>0</v>
      </c>
      <c r="J1170">
        <f t="shared" si="500"/>
        <v>1</v>
      </c>
      <c r="K1170">
        <f t="shared" si="501"/>
        <v>51</v>
      </c>
      <c r="L1170">
        <f t="shared" ca="1" si="502"/>
        <v>51797.843837663619</v>
      </c>
      <c r="M1170">
        <f t="shared" ca="1" si="479"/>
        <v>269348.78795585083</v>
      </c>
      <c r="N1170">
        <f t="shared" ca="1" si="480"/>
        <v>2.5998694991876676</v>
      </c>
      <c r="O1170">
        <f t="shared" ca="1" si="481"/>
        <v>1.8934557080078435E-4</v>
      </c>
      <c r="P1170">
        <f t="shared" ca="1" si="482"/>
        <v>52429.895837663622</v>
      </c>
      <c r="Q1170">
        <f t="shared" ca="1" si="483"/>
        <v>52429.895837665448</v>
      </c>
      <c r="R1170">
        <f t="shared" ca="1" si="484"/>
        <v>2.2564415439646509E-12</v>
      </c>
      <c r="S1170">
        <f t="shared" ca="1" si="503"/>
        <v>4.999999946448952E-4</v>
      </c>
      <c r="T1170">
        <f t="shared" ca="1" si="504"/>
        <v>1</v>
      </c>
      <c r="U1170">
        <f t="shared" ca="1" si="485"/>
        <v>51800.26683766341</v>
      </c>
      <c r="V1170">
        <f t="shared" ca="1" si="486"/>
        <v>269361.38755584974</v>
      </c>
      <c r="W1170">
        <f t="shared" ca="1" si="487"/>
        <v>2.5998695052916441</v>
      </c>
      <c r="X1170">
        <f t="shared" ca="1" si="488"/>
        <v>1.8933671400629237E-4</v>
      </c>
      <c r="Y1170">
        <f t="shared" ca="1" si="489"/>
        <v>52432.318837663413</v>
      </c>
      <c r="Z1170">
        <f t="shared" ca="1" si="490"/>
        <v>52432.31883766524</v>
      </c>
      <c r="AA1170">
        <f t="shared" ca="1" si="491"/>
        <v>2.2562304480281055E-12</v>
      </c>
      <c r="AB1170">
        <f t="shared" ca="1" si="492"/>
        <v>-5.0000000192085281E-4</v>
      </c>
      <c r="AC1170">
        <f t="shared" ca="1" si="493"/>
        <v>1</v>
      </c>
      <c r="AD1170">
        <f ca="1">IF(V32="Supercritical",L1170,IF(V32="Subcritical",U1170,IF(AND(T1170=1,AC1170=1),IF((((F1170)*(L1170)^2)/2+(G1170)*(L1170)^3/3+(ABS(K1170)^2)/($I$5*MAX(((F1170)+(G1170)*(L1170))*(L1170),0.000001)))&gt;=(((F1170)*(U1170)^2)/2+(G1170)*(U1170)^3/3+(ABS(K1170)^2)/($I$5*MAX(((F1170)+(G1170)*(U1170))*(U1170),0.000001))),L1170,U1170),IF(T1170=1,L1170,IF(AC1170=1,U1170,MAX($D$16,POWER((ABS(K1170)^2)/($I$5*MAX(F1170,0.1)^2),1/3)))))))</f>
        <v>51800.26683766341</v>
      </c>
      <c r="AE1170">
        <f t="shared" ca="1" si="494"/>
        <v>52432.318837663413</v>
      </c>
      <c r="AF1170">
        <f t="shared" ca="1" si="495"/>
        <v>52432.31883766524</v>
      </c>
      <c r="AI1170">
        <v>0</v>
      </c>
      <c r="AJ1170">
        <v>0</v>
      </c>
      <c r="AK1170">
        <f t="shared" si="496"/>
        <v>0</v>
      </c>
      <c r="AL1170">
        <f t="shared" si="505"/>
        <v>0</v>
      </c>
      <c r="AM1170">
        <f t="shared" ca="1" si="497"/>
        <v>2.6560383008097266E-7</v>
      </c>
      <c r="AN1170" t="str">
        <f t="shared" ca="1" si="498"/>
        <v>Subcritical</v>
      </c>
      <c r="AO1170">
        <f t="shared" ca="1" si="499"/>
        <v>2.2562304480281055E-12</v>
      </c>
    </row>
    <row r="1171" spans="1:41" x14ac:dyDescent="0.35">
      <c r="A1171">
        <v>1022</v>
      </c>
      <c r="B1171">
        <v>1020.889</v>
      </c>
      <c r="C1171">
        <v>616080.27899999998</v>
      </c>
      <c r="D1171">
        <v>3096983.068</v>
      </c>
      <c r="E1171">
        <v>632.05150000000003</v>
      </c>
      <c r="F1171">
        <v>5.2</v>
      </c>
      <c r="G1171">
        <v>0</v>
      </c>
      <c r="H1171" t="s">
        <v>186</v>
      </c>
      <c r="I1171">
        <v>5.5E-2</v>
      </c>
      <c r="J1171">
        <f t="shared" si="500"/>
        <v>1</v>
      </c>
      <c r="K1171">
        <f t="shared" si="501"/>
        <v>51</v>
      </c>
      <c r="L1171">
        <f t="shared" ca="1" si="502"/>
        <v>51797.843837663619</v>
      </c>
      <c r="M1171">
        <f t="shared" ca="1" si="479"/>
        <v>269348.78795585083</v>
      </c>
      <c r="N1171">
        <f t="shared" ca="1" si="480"/>
        <v>2.5998694991876676</v>
      </c>
      <c r="O1171">
        <f t="shared" ca="1" si="481"/>
        <v>1.8934557080078435E-4</v>
      </c>
      <c r="P1171">
        <f t="shared" ca="1" si="482"/>
        <v>52429.89533766362</v>
      </c>
      <c r="Q1171">
        <f t="shared" ca="1" si="483"/>
        <v>52429.895337665446</v>
      </c>
      <c r="R1171">
        <f t="shared" ca="1" si="484"/>
        <v>2.2564415439646509E-12</v>
      </c>
      <c r="S1171">
        <f t="shared" ca="1" si="503"/>
        <v>5.0000000192085281E-4</v>
      </c>
      <c r="T1171">
        <f t="shared" ca="1" si="504"/>
        <v>1</v>
      </c>
      <c r="U1171">
        <f t="shared" ca="1" si="485"/>
        <v>51800.26683766341</v>
      </c>
      <c r="V1171">
        <f t="shared" ca="1" si="486"/>
        <v>269361.38755584974</v>
      </c>
      <c r="W1171">
        <f t="shared" ca="1" si="487"/>
        <v>2.5998695052916441</v>
      </c>
      <c r="X1171">
        <f t="shared" ca="1" si="488"/>
        <v>1.8933671400629237E-4</v>
      </c>
      <c r="Y1171">
        <f t="shared" ca="1" si="489"/>
        <v>52432.318337663412</v>
      </c>
      <c r="Z1171">
        <f t="shared" ca="1" si="490"/>
        <v>52432.318337665238</v>
      </c>
      <c r="AA1171">
        <f t="shared" ca="1" si="491"/>
        <v>2.2562304480281055E-12</v>
      </c>
      <c r="AB1171">
        <f t="shared" ca="1" si="492"/>
        <v>-5.0000000192085281E-4</v>
      </c>
      <c r="AC1171">
        <f t="shared" ca="1" si="493"/>
        <v>1</v>
      </c>
      <c r="AD1171">
        <f ca="1">IF(V32="Supercritical",L1171,IF(V32="Subcritical",U1171,IF(AND(T1171=1,AC1171=1),IF((((F1171)*(L1171)^2)/2+(G1171)*(L1171)^3/3+(ABS(K1171)^2)/($I$5*MAX(((F1171)+(G1171)*(L1171))*(L1171),0.000001)))&gt;=(((F1171)*(U1171)^2)/2+(G1171)*(U1171)^3/3+(ABS(K1171)^2)/($I$5*MAX(((F1171)+(G1171)*(U1171))*(U1171),0.000001))),L1171,U1171),IF(T1171=1,L1171,IF(AC1171=1,U1171,MAX($D$16,POWER((ABS(K1171)^2)/($I$5*MAX(F1171,0.1)^2),1/3)))))))</f>
        <v>51800.26683766341</v>
      </c>
      <c r="AE1171">
        <f t="shared" ca="1" si="494"/>
        <v>52432.318337663412</v>
      </c>
      <c r="AF1171">
        <f t="shared" ca="1" si="495"/>
        <v>52432.318337665238</v>
      </c>
      <c r="AI1171">
        <v>0</v>
      </c>
      <c r="AJ1171">
        <v>0</v>
      </c>
      <c r="AK1171">
        <f t="shared" si="496"/>
        <v>0</v>
      </c>
      <c r="AL1171">
        <f t="shared" si="505"/>
        <v>0</v>
      </c>
      <c r="AM1171">
        <f t="shared" ca="1" si="497"/>
        <v>2.6560383008097266E-7</v>
      </c>
      <c r="AN1171" t="str">
        <f t="shared" ca="1" si="498"/>
        <v>Subcritical</v>
      </c>
      <c r="AO1171">
        <f t="shared" ca="1" si="499"/>
        <v>2.2562304480281055E-12</v>
      </c>
    </row>
    <row r="1172" spans="1:41" x14ac:dyDescent="0.35">
      <c r="A1172">
        <v>1023</v>
      </c>
      <c r="B1172">
        <v>1021.89</v>
      </c>
      <c r="C1172">
        <v>616080.23600000003</v>
      </c>
      <c r="D1172">
        <v>3096982.068</v>
      </c>
      <c r="E1172">
        <v>632.05100000000004</v>
      </c>
      <c r="F1172">
        <v>5.2</v>
      </c>
      <c r="G1172">
        <v>0</v>
      </c>
      <c r="H1172" t="s">
        <v>186</v>
      </c>
      <c r="I1172">
        <v>5.5E-2</v>
      </c>
      <c r="J1172">
        <f t="shared" si="500"/>
        <v>1.0009999999999764</v>
      </c>
      <c r="K1172">
        <f t="shared" si="501"/>
        <v>51</v>
      </c>
      <c r="L1172">
        <f t="shared" ca="1" si="502"/>
        <v>51797.843837663619</v>
      </c>
      <c r="M1172">
        <f t="shared" ca="1" si="479"/>
        <v>269348.78795585083</v>
      </c>
      <c r="N1172">
        <f t="shared" ca="1" si="480"/>
        <v>2.5998694991876676</v>
      </c>
      <c r="O1172">
        <f t="shared" ca="1" si="481"/>
        <v>1.8934557080078435E-4</v>
      </c>
      <c r="P1172">
        <f t="shared" ca="1" si="482"/>
        <v>52429.894837663618</v>
      </c>
      <c r="Q1172">
        <f t="shared" ca="1" si="483"/>
        <v>52429.894837665444</v>
      </c>
      <c r="R1172">
        <f t="shared" ca="1" si="484"/>
        <v>2.2564415439646509E-12</v>
      </c>
      <c r="S1172">
        <f t="shared" ca="1" si="503"/>
        <v>5.0000000192085281E-4</v>
      </c>
      <c r="T1172">
        <f t="shared" ca="1" si="504"/>
        <v>1</v>
      </c>
      <c r="U1172">
        <f t="shared" ca="1" si="485"/>
        <v>51800.26683766341</v>
      </c>
      <c r="V1172">
        <f t="shared" ca="1" si="486"/>
        <v>269361.38755584974</v>
      </c>
      <c r="W1172">
        <f t="shared" ca="1" si="487"/>
        <v>2.5998695052916441</v>
      </c>
      <c r="X1172">
        <f t="shared" ca="1" si="488"/>
        <v>1.8933671400629237E-4</v>
      </c>
      <c r="Y1172">
        <f t="shared" ca="1" si="489"/>
        <v>52432.31783766341</v>
      </c>
      <c r="Z1172">
        <f t="shared" ca="1" si="490"/>
        <v>52432.317837665236</v>
      </c>
      <c r="AA1172">
        <f t="shared" ca="1" si="491"/>
        <v>2.2562304480281055E-12</v>
      </c>
      <c r="AB1172">
        <f t="shared" ca="1" si="492"/>
        <v>-5.0000000192085281E-4</v>
      </c>
      <c r="AC1172">
        <f t="shared" ca="1" si="493"/>
        <v>1</v>
      </c>
      <c r="AD1172">
        <f ca="1">IF(V32="Supercritical",L1172,IF(V32="Subcritical",U1172,IF(AND(T1172=1,AC1172=1),IF((((F1172)*(L1172)^2)/2+(G1172)*(L1172)^3/3+(ABS(K1172)^2)/($I$5*MAX(((F1172)+(G1172)*(L1172))*(L1172),0.000001)))&gt;=(((F1172)*(U1172)^2)/2+(G1172)*(U1172)^3/3+(ABS(K1172)^2)/($I$5*MAX(((F1172)+(G1172)*(U1172))*(U1172),0.000001))),L1172,U1172),IF(T1172=1,L1172,IF(AC1172=1,U1172,MAX($D$16,POWER((ABS(K1172)^2)/($I$5*MAX(F1172,0.1)^2),1/3)))))))</f>
        <v>51800.26683766341</v>
      </c>
      <c r="AE1172">
        <f t="shared" ca="1" si="494"/>
        <v>52432.31783766341</v>
      </c>
      <c r="AF1172">
        <f t="shared" ca="1" si="495"/>
        <v>52432.317837665236</v>
      </c>
      <c r="AI1172">
        <v>0</v>
      </c>
      <c r="AJ1172">
        <v>0</v>
      </c>
      <c r="AK1172">
        <f t="shared" si="496"/>
        <v>0</v>
      </c>
      <c r="AL1172">
        <f t="shared" si="505"/>
        <v>0</v>
      </c>
      <c r="AM1172">
        <f t="shared" ca="1" si="497"/>
        <v>2.6560383008097266E-7</v>
      </c>
      <c r="AN1172" t="str">
        <f t="shared" ca="1" si="498"/>
        <v>Subcritical</v>
      </c>
      <c r="AO1172">
        <f t="shared" ca="1" si="499"/>
        <v>2.2562304480281055E-12</v>
      </c>
    </row>
    <row r="1173" spans="1:41" x14ac:dyDescent="0.35">
      <c r="A1173">
        <v>1024</v>
      </c>
      <c r="B1173">
        <v>1022.89</v>
      </c>
      <c r="C1173">
        <v>616080.19400000002</v>
      </c>
      <c r="D1173">
        <v>3096981.0690000001</v>
      </c>
      <c r="E1173">
        <v>632.05050000000006</v>
      </c>
      <c r="F1173">
        <v>5.2</v>
      </c>
      <c r="G1173">
        <v>0</v>
      </c>
      <c r="H1173" t="s">
        <v>186</v>
      </c>
      <c r="I1173">
        <v>0</v>
      </c>
      <c r="J1173">
        <f t="shared" si="500"/>
        <v>1</v>
      </c>
      <c r="K1173">
        <f t="shared" si="501"/>
        <v>51</v>
      </c>
      <c r="L1173">
        <f t="shared" ca="1" si="502"/>
        <v>51797.843837663619</v>
      </c>
      <c r="M1173">
        <f t="shared" ca="1" si="479"/>
        <v>269348.78795585083</v>
      </c>
      <c r="N1173">
        <f t="shared" ca="1" si="480"/>
        <v>2.5998694991876676</v>
      </c>
      <c r="O1173">
        <f t="shared" ca="1" si="481"/>
        <v>1.8934557080078435E-4</v>
      </c>
      <c r="P1173">
        <f t="shared" ca="1" si="482"/>
        <v>52429.894337663616</v>
      </c>
      <c r="Q1173">
        <f t="shared" ca="1" si="483"/>
        <v>52429.894337665442</v>
      </c>
      <c r="R1173">
        <f t="shared" ca="1" si="484"/>
        <v>2.2564415439646509E-12</v>
      </c>
      <c r="S1173">
        <f t="shared" ca="1" si="503"/>
        <v>5.0000000192085281E-4</v>
      </c>
      <c r="T1173">
        <f t="shared" ca="1" si="504"/>
        <v>1</v>
      </c>
      <c r="U1173">
        <f t="shared" ca="1" si="485"/>
        <v>51800.26683766341</v>
      </c>
      <c r="V1173">
        <f t="shared" ca="1" si="486"/>
        <v>269361.38755584974</v>
      </c>
      <c r="W1173">
        <f t="shared" ca="1" si="487"/>
        <v>2.5998695052916441</v>
      </c>
      <c r="X1173">
        <f t="shared" ca="1" si="488"/>
        <v>1.8933671400629237E-4</v>
      </c>
      <c r="Y1173">
        <f t="shared" ca="1" si="489"/>
        <v>52432.317337663408</v>
      </c>
      <c r="Z1173">
        <f t="shared" ca="1" si="490"/>
        <v>52432.317337665234</v>
      </c>
      <c r="AA1173">
        <f t="shared" ca="1" si="491"/>
        <v>2.2562304480281055E-12</v>
      </c>
      <c r="AB1173">
        <f t="shared" ca="1" si="492"/>
        <v>-4.999999946448952E-4</v>
      </c>
      <c r="AC1173">
        <f t="shared" ca="1" si="493"/>
        <v>1</v>
      </c>
      <c r="AD1173">
        <f ca="1">IF(V32="Supercritical",L1173,IF(V32="Subcritical",U1173,IF(AND(T1173=1,AC1173=1),IF((((F1173)*(L1173)^2)/2+(G1173)*(L1173)^3/3+(ABS(K1173)^2)/($I$5*MAX(((F1173)+(G1173)*(L1173))*(L1173),0.000001)))&gt;=(((F1173)*(U1173)^2)/2+(G1173)*(U1173)^3/3+(ABS(K1173)^2)/($I$5*MAX(((F1173)+(G1173)*(U1173))*(U1173),0.000001))),L1173,U1173),IF(T1173=1,L1173,IF(AC1173=1,U1173,MAX($D$16,POWER((ABS(K1173)^2)/($I$5*MAX(F1173,0.1)^2),1/3)))))))</f>
        <v>51800.26683766341</v>
      </c>
      <c r="AE1173">
        <f t="shared" ca="1" si="494"/>
        <v>52432.317337663408</v>
      </c>
      <c r="AF1173">
        <f t="shared" ca="1" si="495"/>
        <v>52432.317337665234</v>
      </c>
      <c r="AI1173">
        <v>0</v>
      </c>
      <c r="AJ1173">
        <v>0</v>
      </c>
      <c r="AK1173">
        <f t="shared" si="496"/>
        <v>0</v>
      </c>
      <c r="AL1173">
        <f t="shared" si="505"/>
        <v>0</v>
      </c>
      <c r="AM1173">
        <f t="shared" ca="1" si="497"/>
        <v>2.6560383008097266E-7</v>
      </c>
      <c r="AN1173" t="str">
        <f t="shared" ca="1" si="498"/>
        <v>Subcritical</v>
      </c>
      <c r="AO1173">
        <f t="shared" ca="1" si="499"/>
        <v>2.2562304480281055E-12</v>
      </c>
    </row>
    <row r="1174" spans="1:41" x14ac:dyDescent="0.35">
      <c r="A1174">
        <v>1025</v>
      </c>
      <c r="B1174">
        <v>1023.889</v>
      </c>
      <c r="C1174">
        <v>616080.152</v>
      </c>
      <c r="D1174">
        <v>3096980.07</v>
      </c>
      <c r="E1174">
        <v>632.04999999999995</v>
      </c>
      <c r="F1174">
        <v>5.2</v>
      </c>
      <c r="G1174">
        <v>0</v>
      </c>
      <c r="H1174" t="s">
        <v>186</v>
      </c>
      <c r="I1174">
        <v>0</v>
      </c>
      <c r="J1174">
        <f t="shared" si="500"/>
        <v>0.99900000000002365</v>
      </c>
      <c r="K1174">
        <f t="shared" si="501"/>
        <v>51</v>
      </c>
      <c r="L1174">
        <f t="shared" ca="1" si="502"/>
        <v>51797.843837663619</v>
      </c>
      <c r="M1174">
        <f t="shared" ref="M1174:M1237" ca="1" si="506">((F1174)+(G1174)*(L1174))*(L1174)</f>
        <v>269348.78795585083</v>
      </c>
      <c r="N1174">
        <f t="shared" ref="N1174:N1237" ca="1" si="507">(((F1174)+(G1174)*(L1174))*(L1174))/MAX((F1174)+2*(L1174)*SQRT(1+(G1174)^2),0.000001)</f>
        <v>2.5998694991876676</v>
      </c>
      <c r="O1174">
        <f t="shared" ref="O1174:O1237" ca="1" si="508">ABS(K1174)/MAX(((F1174)+(G1174)*(L1174))*(L1174),0.000001)</f>
        <v>1.8934557080078435E-4</v>
      </c>
      <c r="P1174">
        <f t="shared" ref="P1174:P1237" ca="1" si="509">E1174+L1174</f>
        <v>52429.893837663622</v>
      </c>
      <c r="Q1174">
        <f t="shared" ref="Q1174:Q1237" ca="1" si="510">P1174+((ABS(K1174)/MAX(((F1174)+(G1174)*(L1174))*(L1174),0.000001))^2)/(2*$I$5)</f>
        <v>52429.893837665448</v>
      </c>
      <c r="R1174">
        <f t="shared" ref="R1174:R1237" ca="1" si="511">((ABS(K1174)*$D$6)/(MAX(((F1174)+(G1174)*(L1174))*(L1174),0.000001)*MAX(((((F1174)+(G1174)*(L1174))*(L1174))/MAX((F1174)+2*(L1174)*SQRT(1+(G1174)^2),0.000001))^(2/3),0.000001)))^2</f>
        <v>2.2564415439646509E-12</v>
      </c>
      <c r="S1174">
        <f t="shared" ca="1" si="503"/>
        <v>4.999999946448952E-4</v>
      </c>
      <c r="T1174">
        <f t="shared" ca="1" si="504"/>
        <v>1</v>
      </c>
      <c r="U1174">
        <f t="shared" ref="U1174:U1237" ca="1" si="512">IF($D$20=0,U1175,IF(AC1175=0,U1175,IF(U1174=0,U1175,IF(ABS(AB1174)&gt;$D$19,MAX($D$16,U1174+((AB1174)*$D$18*IF((ABS(ABS(K1174)/MAX(((F1174)+(G1174)*(U1174))*(U1174),0.000001))/SQRT($I$5*MAX((((F1174)+(G1174)*(U1174))*(U1174))/MAX((F1174)+2*(G1174)*(U1174),0.000001),0.000001)))&lt;1,1,-1))),U1174))))</f>
        <v>51800.26683766341</v>
      </c>
      <c r="V1174">
        <f t="shared" ref="V1174:V1237" ca="1" si="513">((F1174)+(G1174)*(U1174))*(U1174)</f>
        <v>269361.38755584974</v>
      </c>
      <c r="W1174">
        <f t="shared" ref="W1174:W1237" ca="1" si="514">(((F1174)+(G1174)*(U1174))*(U1174))/MAX((F1174)+2*(U1174)*SQRT(1+(G1174)^2),0.000001)</f>
        <v>2.5998695052916441</v>
      </c>
      <c r="X1174">
        <f t="shared" ref="X1174:X1237" ca="1" si="515">ABS(K1174)/MAX(((F1174)+(G1174)*(U1174))*(U1174),0.000001)</f>
        <v>1.8933671400629237E-4</v>
      </c>
      <c r="Y1174">
        <f t="shared" ref="Y1174:Y1237" ca="1" si="516">E1174+U1174</f>
        <v>52432.316837663413</v>
      </c>
      <c r="Z1174">
        <f t="shared" ref="Z1174:Z1237" ca="1" si="517">Y1174+((ABS(K1174)/MAX(((F1174)+(G1174)*(U1174))*(U1174),0.000001))^2)/(2*$I$5)</f>
        <v>52432.316837665239</v>
      </c>
      <c r="AA1174">
        <f t="shared" ref="AA1174:AA1237" ca="1" si="518">((ABS(K1174)*$D$6)/(MAX(((F1174)+(G1174)*(U1174))*(U1174),0.000001)*MAX(((((F1174)+(G1174)*(U1174))*(U1174))/MAX((F1174)+2*(U1174)*SQRT(1+(G1174)^2),0.000001))^(2/3),0.000001)))^2</f>
        <v>2.2562304480281055E-12</v>
      </c>
      <c r="AB1174">
        <f t="shared" ref="AB1174:AB1237" ca="1" si="519">Z1175+(((AA1174+AA1175)/2)*J1175)+(IF(X1174&gt;X1175,$D$8*((X1174^2-X1175^2)/(2*$I$5)),$D$9*((X1175^2-X1174^2)/(2*$I$5)))+($D$10*(ABS(I1175)/90)*(MAX(X1174^2,X1175^2)/(2*$I$5))))-Z1174</f>
        <v>-5.0000000192085281E-4</v>
      </c>
      <c r="AC1174">
        <f t="shared" ref="AC1174:AC1237" ca="1" si="520">IF(ABS(AB1174)&lt;$D$19,1,0)</f>
        <v>1</v>
      </c>
      <c r="AD1174">
        <f ca="1">IF(V32="Supercritical",L1174,IF(V32="Subcritical",U1174,IF(AND(T1174=1,AC1174=1),IF((((F1174)*(L1174)^2)/2+(G1174)*(L1174)^3/3+(ABS(K1174)^2)/($I$5*MAX(((F1174)+(G1174)*(L1174))*(L1174),0.000001)))&gt;=(((F1174)*(U1174)^2)/2+(G1174)*(U1174)^3/3+(ABS(K1174)^2)/($I$5*MAX(((F1174)+(G1174)*(U1174))*(U1174),0.000001))),L1174,U1174),IF(T1174=1,L1174,IF(AC1174=1,U1174,MAX($D$16,POWER((ABS(K1174)^2)/($I$5*MAX(F1174,0.1)^2),1/3)))))))</f>
        <v>51800.26683766341</v>
      </c>
      <c r="AE1174">
        <f t="shared" ref="AE1174:AE1237" ca="1" si="521">E1174+AD1174</f>
        <v>52432.316837663413</v>
      </c>
      <c r="AF1174">
        <f t="shared" ref="AF1174:AF1237" ca="1" si="522">AE1174+((ABS(K1174)/MAX(((F1174)+(G1174)*(AD1174))*(AD1174),0.000001))^2)/(2*$I$5)</f>
        <v>52432.316837665239</v>
      </c>
      <c r="AI1174">
        <v>0</v>
      </c>
      <c r="AJ1174">
        <v>0</v>
      </c>
      <c r="AK1174">
        <f t="shared" ref="AK1174:AK1237" si="523">AI1174+AJ1174</f>
        <v>0</v>
      </c>
      <c r="AL1174">
        <f t="shared" si="505"/>
        <v>0</v>
      </c>
      <c r="AM1174">
        <f t="shared" ref="AM1174:AM1237" ca="1" si="524">ABS(ABS(K1174)/MAX(((F1174)+(G1174)*(AD1174))*(AD1174),0.000001))/SQRT($I$5*MAX((((F1174)+(G1174)*(AD1174))*(AD1174))/MAX((F1174)+2*(G1174)*(AD1174),0.000001),0.000001))</f>
        <v>2.6560383008097266E-7</v>
      </c>
      <c r="AN1174" t="str">
        <f t="shared" ref="AN1174:AN1237" ca="1" si="525">IF(AM1174&lt;1,"Subcritical","Supercritical")</f>
        <v>Subcritical</v>
      </c>
      <c r="AO1174">
        <f t="shared" ref="AO1174:AO1237" ca="1" si="526">((ABS(K1174)*$D$6)/(MAX(((F1174)+(G1174)*(AD1174))*(AD1174),0.000001)*MAX(((((F1174)+(G1174)*(AD1174))*(AD1174))/MAX((F1174)+2*(AD1174)*SQRT(1+(G1174)^2),0.000001))^(2/3),0.000001)))^2</f>
        <v>2.2562304480281055E-12</v>
      </c>
    </row>
    <row r="1175" spans="1:41" x14ac:dyDescent="0.35">
      <c r="A1175">
        <v>1026</v>
      </c>
      <c r="B1175">
        <v>1024.8889999999999</v>
      </c>
      <c r="C1175">
        <v>616080.11</v>
      </c>
      <c r="D1175">
        <v>3096979.071</v>
      </c>
      <c r="E1175">
        <v>632.04949999999997</v>
      </c>
      <c r="F1175">
        <v>5.2</v>
      </c>
      <c r="G1175">
        <v>0</v>
      </c>
      <c r="H1175" t="s">
        <v>186</v>
      </c>
      <c r="I1175">
        <v>5.7000000000000002E-2</v>
      </c>
      <c r="J1175">
        <f t="shared" ref="J1175:J1238" si="527">B1175-B1174</f>
        <v>0.99999999999988631</v>
      </c>
      <c r="K1175">
        <f t="shared" ref="K1175:K1238" si="528">MAX(0,K1174-AK1174)</f>
        <v>51</v>
      </c>
      <c r="L1175">
        <f t="shared" ref="L1175:L1238" ca="1" si="529">IF($D$20=0,L1174,IF(T1174=0,L1174,IF(L1175=0,L1174,IF(ABS(S1175)&gt;$D$19,MAX($D$16,L1175+((S1175)*$D$18*IF((ABS(ABS(K1175)/MAX(((F1175)+(G1175)*(L1175))*(L1175),0.000001))/SQRT($I$5*MAX((((F1175)+(G1175)*(L1175))*(L1175))/MAX((F1175)+2*(G1175)*(L1175),0.000001),0.000001)))&lt;1,1,-1))),L1175))))</f>
        <v>51797.843837663619</v>
      </c>
      <c r="M1175">
        <f t="shared" ca="1" si="506"/>
        <v>269348.78795585083</v>
      </c>
      <c r="N1175">
        <f t="shared" ca="1" si="507"/>
        <v>2.5998694991876676</v>
      </c>
      <c r="O1175">
        <f t="shared" ca="1" si="508"/>
        <v>1.8934557080078435E-4</v>
      </c>
      <c r="P1175">
        <f t="shared" ca="1" si="509"/>
        <v>52429.89333766362</v>
      </c>
      <c r="Q1175">
        <f t="shared" ca="1" si="510"/>
        <v>52429.893337665446</v>
      </c>
      <c r="R1175">
        <f t="shared" ca="1" si="511"/>
        <v>2.2564415439646509E-12</v>
      </c>
      <c r="S1175">
        <f t="shared" ref="S1175:S1238" ca="1" si="530">Q1174-(((R1174+R1175)/2)*J1175)-(IF(O1174&gt;O1175,$D$8*((O1174^2-O1175^2)/(2*$I$5)),$D$9*((O1175^2-O1174^2)/(2*$I$5)))+($D$10*(ABS(I1175)/90)*(MAX(O1174^2,O1175^2)/(2*$I$5))))-Q1175</f>
        <v>5.0000000192085281E-4</v>
      </c>
      <c r="T1175">
        <f t="shared" ref="T1175:T1238" ca="1" si="531">IF(ABS(S1175)&lt;$D$19,1,0)</f>
        <v>1</v>
      </c>
      <c r="U1175">
        <f t="shared" ca="1" si="512"/>
        <v>51800.26683766341</v>
      </c>
      <c r="V1175">
        <f t="shared" ca="1" si="513"/>
        <v>269361.38755584974</v>
      </c>
      <c r="W1175">
        <f t="shared" ca="1" si="514"/>
        <v>2.5998695052916441</v>
      </c>
      <c r="X1175">
        <f t="shared" ca="1" si="515"/>
        <v>1.8933671400629237E-4</v>
      </c>
      <c r="Y1175">
        <f t="shared" ca="1" si="516"/>
        <v>52432.316337663411</v>
      </c>
      <c r="Z1175">
        <f t="shared" ca="1" si="517"/>
        <v>52432.316337665237</v>
      </c>
      <c r="AA1175">
        <f t="shared" ca="1" si="518"/>
        <v>2.2562304480281055E-12</v>
      </c>
      <c r="AB1175">
        <f t="shared" ca="1" si="519"/>
        <v>-5.0000000192085281E-4</v>
      </c>
      <c r="AC1175">
        <f t="shared" ca="1" si="520"/>
        <v>1</v>
      </c>
      <c r="AD1175">
        <f ca="1">IF(V32="Supercritical",L1175,IF(V32="Subcritical",U1175,IF(AND(T1175=1,AC1175=1),IF((((F1175)*(L1175)^2)/2+(G1175)*(L1175)^3/3+(ABS(K1175)^2)/($I$5*MAX(((F1175)+(G1175)*(L1175))*(L1175),0.000001)))&gt;=(((F1175)*(U1175)^2)/2+(G1175)*(U1175)^3/3+(ABS(K1175)^2)/($I$5*MAX(((F1175)+(G1175)*(U1175))*(U1175),0.000001))),L1175,U1175),IF(T1175=1,L1175,IF(AC1175=1,U1175,MAX($D$16,POWER((ABS(K1175)^2)/($I$5*MAX(F1175,0.1)^2),1/3)))))))</f>
        <v>51800.26683766341</v>
      </c>
      <c r="AE1175">
        <f t="shared" ca="1" si="521"/>
        <v>52432.316337663411</v>
      </c>
      <c r="AF1175">
        <f t="shared" ca="1" si="522"/>
        <v>52432.316337665237</v>
      </c>
      <c r="AI1175">
        <v>0</v>
      </c>
      <c r="AJ1175">
        <v>0</v>
      </c>
      <c r="AK1175">
        <f t="shared" si="523"/>
        <v>0</v>
      </c>
      <c r="AL1175">
        <f t="shared" ref="AL1175:AL1238" si="532">AL1174+AK1175</f>
        <v>0</v>
      </c>
      <c r="AM1175">
        <f t="shared" ca="1" si="524"/>
        <v>2.6560383008097266E-7</v>
      </c>
      <c r="AN1175" t="str">
        <f t="shared" ca="1" si="525"/>
        <v>Subcritical</v>
      </c>
      <c r="AO1175">
        <f t="shared" ca="1" si="526"/>
        <v>2.2562304480281055E-12</v>
      </c>
    </row>
    <row r="1176" spans="1:41" x14ac:dyDescent="0.35">
      <c r="A1176">
        <v>1027</v>
      </c>
      <c r="B1176">
        <v>1025.8889999999999</v>
      </c>
      <c r="C1176">
        <v>616080.06700000004</v>
      </c>
      <c r="D1176">
        <v>3096978.0720000002</v>
      </c>
      <c r="E1176">
        <v>632.04899999999998</v>
      </c>
      <c r="F1176">
        <v>5.2</v>
      </c>
      <c r="G1176">
        <v>0</v>
      </c>
      <c r="H1176" t="s">
        <v>186</v>
      </c>
      <c r="I1176">
        <v>5.7000000000000002E-2</v>
      </c>
      <c r="J1176">
        <f t="shared" si="527"/>
        <v>1</v>
      </c>
      <c r="K1176">
        <f t="shared" si="528"/>
        <v>51</v>
      </c>
      <c r="L1176">
        <f t="shared" ca="1" si="529"/>
        <v>51797.843837663619</v>
      </c>
      <c r="M1176">
        <f t="shared" ca="1" si="506"/>
        <v>269348.78795585083</v>
      </c>
      <c r="N1176">
        <f t="shared" ca="1" si="507"/>
        <v>2.5998694991876676</v>
      </c>
      <c r="O1176">
        <f t="shared" ca="1" si="508"/>
        <v>1.8934557080078435E-4</v>
      </c>
      <c r="P1176">
        <f t="shared" ca="1" si="509"/>
        <v>52429.892837663618</v>
      </c>
      <c r="Q1176">
        <f t="shared" ca="1" si="510"/>
        <v>52429.892837665444</v>
      </c>
      <c r="R1176">
        <f t="shared" ca="1" si="511"/>
        <v>2.2564415439646509E-12</v>
      </c>
      <c r="S1176">
        <f t="shared" ca="1" si="530"/>
        <v>5.0000000192085281E-4</v>
      </c>
      <c r="T1176">
        <f t="shared" ca="1" si="531"/>
        <v>1</v>
      </c>
      <c r="U1176">
        <f t="shared" ca="1" si="512"/>
        <v>51800.26683766341</v>
      </c>
      <c r="V1176">
        <f t="shared" ca="1" si="513"/>
        <v>269361.38755584974</v>
      </c>
      <c r="W1176">
        <f t="shared" ca="1" si="514"/>
        <v>2.5998695052916441</v>
      </c>
      <c r="X1176">
        <f t="shared" ca="1" si="515"/>
        <v>1.8933671400629237E-4</v>
      </c>
      <c r="Y1176">
        <f t="shared" ca="1" si="516"/>
        <v>52432.315837663409</v>
      </c>
      <c r="Z1176">
        <f t="shared" ca="1" si="517"/>
        <v>52432.315837665235</v>
      </c>
      <c r="AA1176">
        <f t="shared" ca="1" si="518"/>
        <v>2.2562304480281055E-12</v>
      </c>
      <c r="AB1176">
        <f t="shared" ca="1" si="519"/>
        <v>-5.0000000192085281E-4</v>
      </c>
      <c r="AC1176">
        <f t="shared" ca="1" si="520"/>
        <v>1</v>
      </c>
      <c r="AD1176">
        <f ca="1">IF(V32="Supercritical",L1176,IF(V32="Subcritical",U1176,IF(AND(T1176=1,AC1176=1),IF((((F1176)*(L1176)^2)/2+(G1176)*(L1176)^3/3+(ABS(K1176)^2)/($I$5*MAX(((F1176)+(G1176)*(L1176))*(L1176),0.000001)))&gt;=(((F1176)*(U1176)^2)/2+(G1176)*(U1176)^3/3+(ABS(K1176)^2)/($I$5*MAX(((F1176)+(G1176)*(U1176))*(U1176),0.000001))),L1176,U1176),IF(T1176=1,L1176,IF(AC1176=1,U1176,MAX($D$16,POWER((ABS(K1176)^2)/($I$5*MAX(F1176,0.1)^2),1/3)))))))</f>
        <v>51800.26683766341</v>
      </c>
      <c r="AE1176">
        <f t="shared" ca="1" si="521"/>
        <v>52432.315837663409</v>
      </c>
      <c r="AF1176">
        <f t="shared" ca="1" si="522"/>
        <v>52432.315837665235</v>
      </c>
      <c r="AI1176">
        <v>0</v>
      </c>
      <c r="AJ1176">
        <v>0</v>
      </c>
      <c r="AK1176">
        <f t="shared" si="523"/>
        <v>0</v>
      </c>
      <c r="AL1176">
        <f t="shared" si="532"/>
        <v>0</v>
      </c>
      <c r="AM1176">
        <f t="shared" ca="1" si="524"/>
        <v>2.6560383008097266E-7</v>
      </c>
      <c r="AN1176" t="str">
        <f t="shared" ca="1" si="525"/>
        <v>Subcritical</v>
      </c>
      <c r="AO1176">
        <f t="shared" ca="1" si="526"/>
        <v>2.2562304480281055E-12</v>
      </c>
    </row>
    <row r="1177" spans="1:41" x14ac:dyDescent="0.35">
      <c r="A1177">
        <v>1028</v>
      </c>
      <c r="B1177">
        <v>1026.8889999999999</v>
      </c>
      <c r="C1177">
        <v>616080.02500000002</v>
      </c>
      <c r="D1177">
        <v>3096977.0729999999</v>
      </c>
      <c r="E1177">
        <v>632.04849999999999</v>
      </c>
      <c r="F1177">
        <v>5.2</v>
      </c>
      <c r="G1177">
        <v>0</v>
      </c>
      <c r="H1177" t="s">
        <v>186</v>
      </c>
      <c r="I1177">
        <v>0</v>
      </c>
      <c r="J1177">
        <f t="shared" si="527"/>
        <v>1</v>
      </c>
      <c r="K1177">
        <f t="shared" si="528"/>
        <v>51</v>
      </c>
      <c r="L1177">
        <f t="shared" ca="1" si="529"/>
        <v>51797.843837663619</v>
      </c>
      <c r="M1177">
        <f t="shared" ca="1" si="506"/>
        <v>269348.78795585083</v>
      </c>
      <c r="N1177">
        <f t="shared" ca="1" si="507"/>
        <v>2.5998694991876676</v>
      </c>
      <c r="O1177">
        <f t="shared" ca="1" si="508"/>
        <v>1.8934557080078435E-4</v>
      </c>
      <c r="P1177">
        <f t="shared" ca="1" si="509"/>
        <v>52429.892337663616</v>
      </c>
      <c r="Q1177">
        <f t="shared" ca="1" si="510"/>
        <v>52429.892337665442</v>
      </c>
      <c r="R1177">
        <f t="shared" ca="1" si="511"/>
        <v>2.2564415439646509E-12</v>
      </c>
      <c r="S1177">
        <f t="shared" ca="1" si="530"/>
        <v>5.0000000192085281E-4</v>
      </c>
      <c r="T1177">
        <f t="shared" ca="1" si="531"/>
        <v>1</v>
      </c>
      <c r="U1177">
        <f t="shared" ca="1" si="512"/>
        <v>51800.26683766341</v>
      </c>
      <c r="V1177">
        <f t="shared" ca="1" si="513"/>
        <v>269361.38755584974</v>
      </c>
      <c r="W1177">
        <f t="shared" ca="1" si="514"/>
        <v>2.5998695052916441</v>
      </c>
      <c r="X1177">
        <f t="shared" ca="1" si="515"/>
        <v>1.8933671400629237E-4</v>
      </c>
      <c r="Y1177">
        <f t="shared" ca="1" si="516"/>
        <v>52432.315337663407</v>
      </c>
      <c r="Z1177">
        <f t="shared" ca="1" si="517"/>
        <v>52432.315337665234</v>
      </c>
      <c r="AA1177">
        <f t="shared" ca="1" si="518"/>
        <v>2.2562304480281055E-12</v>
      </c>
      <c r="AB1177">
        <f t="shared" ca="1" si="519"/>
        <v>-4.999999946448952E-4</v>
      </c>
      <c r="AC1177">
        <f t="shared" ca="1" si="520"/>
        <v>1</v>
      </c>
      <c r="AD1177">
        <f ca="1">IF(V32="Supercritical",L1177,IF(V32="Subcritical",U1177,IF(AND(T1177=1,AC1177=1),IF((((F1177)*(L1177)^2)/2+(G1177)*(L1177)^3/3+(ABS(K1177)^2)/($I$5*MAX(((F1177)+(G1177)*(L1177))*(L1177),0.000001)))&gt;=(((F1177)*(U1177)^2)/2+(G1177)*(U1177)^3/3+(ABS(K1177)^2)/($I$5*MAX(((F1177)+(G1177)*(U1177))*(U1177),0.000001))),L1177,U1177),IF(T1177=1,L1177,IF(AC1177=1,U1177,MAX($D$16,POWER((ABS(K1177)^2)/($I$5*MAX(F1177,0.1)^2),1/3)))))))</f>
        <v>51800.26683766341</v>
      </c>
      <c r="AE1177">
        <f t="shared" ca="1" si="521"/>
        <v>52432.315337663407</v>
      </c>
      <c r="AF1177">
        <f t="shared" ca="1" si="522"/>
        <v>52432.315337665234</v>
      </c>
      <c r="AI1177">
        <v>0</v>
      </c>
      <c r="AJ1177">
        <v>0</v>
      </c>
      <c r="AK1177">
        <f t="shared" si="523"/>
        <v>0</v>
      </c>
      <c r="AL1177">
        <f t="shared" si="532"/>
        <v>0</v>
      </c>
      <c r="AM1177">
        <f t="shared" ca="1" si="524"/>
        <v>2.6560383008097266E-7</v>
      </c>
      <c r="AN1177" t="str">
        <f t="shared" ca="1" si="525"/>
        <v>Subcritical</v>
      </c>
      <c r="AO1177">
        <f t="shared" ca="1" si="526"/>
        <v>2.2562304480281055E-12</v>
      </c>
    </row>
    <row r="1178" spans="1:41" x14ac:dyDescent="0.35">
      <c r="A1178">
        <v>1029</v>
      </c>
      <c r="B1178">
        <v>1027.8889999999999</v>
      </c>
      <c r="C1178">
        <v>616079.98300000001</v>
      </c>
      <c r="D1178">
        <v>3096976.074</v>
      </c>
      <c r="E1178">
        <v>632.048</v>
      </c>
      <c r="F1178">
        <v>5.2</v>
      </c>
      <c r="G1178">
        <v>0</v>
      </c>
      <c r="H1178" t="s">
        <v>186</v>
      </c>
      <c r="I1178">
        <v>0</v>
      </c>
      <c r="J1178">
        <f t="shared" si="527"/>
        <v>1</v>
      </c>
      <c r="K1178">
        <f t="shared" si="528"/>
        <v>51</v>
      </c>
      <c r="L1178">
        <f t="shared" ca="1" si="529"/>
        <v>51797.843837663619</v>
      </c>
      <c r="M1178">
        <f t="shared" ca="1" si="506"/>
        <v>269348.78795585083</v>
      </c>
      <c r="N1178">
        <f t="shared" ca="1" si="507"/>
        <v>2.5998694991876676</v>
      </c>
      <c r="O1178">
        <f t="shared" ca="1" si="508"/>
        <v>1.8934557080078435E-4</v>
      </c>
      <c r="P1178">
        <f t="shared" ca="1" si="509"/>
        <v>52429.891837663621</v>
      </c>
      <c r="Q1178">
        <f t="shared" ca="1" si="510"/>
        <v>52429.891837665447</v>
      </c>
      <c r="R1178">
        <f t="shared" ca="1" si="511"/>
        <v>2.2564415439646509E-12</v>
      </c>
      <c r="S1178">
        <f t="shared" ca="1" si="530"/>
        <v>4.999999946448952E-4</v>
      </c>
      <c r="T1178">
        <f t="shared" ca="1" si="531"/>
        <v>1</v>
      </c>
      <c r="U1178">
        <f t="shared" ca="1" si="512"/>
        <v>51800.26683766341</v>
      </c>
      <c r="V1178">
        <f t="shared" ca="1" si="513"/>
        <v>269361.38755584974</v>
      </c>
      <c r="W1178">
        <f t="shared" ca="1" si="514"/>
        <v>2.5998695052916441</v>
      </c>
      <c r="X1178">
        <f t="shared" ca="1" si="515"/>
        <v>1.8933671400629237E-4</v>
      </c>
      <c r="Y1178">
        <f t="shared" ca="1" si="516"/>
        <v>52432.314837663413</v>
      </c>
      <c r="Z1178">
        <f t="shared" ca="1" si="517"/>
        <v>52432.314837665239</v>
      </c>
      <c r="AA1178">
        <f t="shared" ca="1" si="518"/>
        <v>2.2562304480281055E-12</v>
      </c>
      <c r="AB1178">
        <f t="shared" ca="1" si="519"/>
        <v>-5.0000000192085281E-4</v>
      </c>
      <c r="AC1178">
        <f t="shared" ca="1" si="520"/>
        <v>1</v>
      </c>
      <c r="AD1178">
        <f ca="1">IF(V32="Supercritical",L1178,IF(V32="Subcritical",U1178,IF(AND(T1178=1,AC1178=1),IF((((F1178)*(L1178)^2)/2+(G1178)*(L1178)^3/3+(ABS(K1178)^2)/($I$5*MAX(((F1178)+(G1178)*(L1178))*(L1178),0.000001)))&gt;=(((F1178)*(U1178)^2)/2+(G1178)*(U1178)^3/3+(ABS(K1178)^2)/($I$5*MAX(((F1178)+(G1178)*(U1178))*(U1178),0.000001))),L1178,U1178),IF(T1178=1,L1178,IF(AC1178=1,U1178,MAX($D$16,POWER((ABS(K1178)^2)/($I$5*MAX(F1178,0.1)^2),1/3)))))))</f>
        <v>51800.26683766341</v>
      </c>
      <c r="AE1178">
        <f t="shared" ca="1" si="521"/>
        <v>52432.314837663413</v>
      </c>
      <c r="AF1178">
        <f t="shared" ca="1" si="522"/>
        <v>52432.314837665239</v>
      </c>
      <c r="AI1178">
        <v>0</v>
      </c>
      <c r="AJ1178">
        <v>0</v>
      </c>
      <c r="AK1178">
        <f t="shared" si="523"/>
        <v>0</v>
      </c>
      <c r="AL1178">
        <f t="shared" si="532"/>
        <v>0</v>
      </c>
      <c r="AM1178">
        <f t="shared" ca="1" si="524"/>
        <v>2.6560383008097266E-7</v>
      </c>
      <c r="AN1178" t="str">
        <f t="shared" ca="1" si="525"/>
        <v>Subcritical</v>
      </c>
      <c r="AO1178">
        <f t="shared" ca="1" si="526"/>
        <v>2.2562304480281055E-12</v>
      </c>
    </row>
    <row r="1179" spans="1:41" x14ac:dyDescent="0.35">
      <c r="A1179">
        <v>1030</v>
      </c>
      <c r="B1179">
        <v>1028.8889999999999</v>
      </c>
      <c r="C1179">
        <v>616079.94099999999</v>
      </c>
      <c r="D1179">
        <v>3096975.0750000002</v>
      </c>
      <c r="E1179">
        <v>632.04750000000001</v>
      </c>
      <c r="F1179">
        <v>5.2</v>
      </c>
      <c r="G1179">
        <v>0</v>
      </c>
      <c r="H1179" t="s">
        <v>186</v>
      </c>
      <c r="I1179">
        <v>5.7000000000000002E-2</v>
      </c>
      <c r="J1179">
        <f t="shared" si="527"/>
        <v>1</v>
      </c>
      <c r="K1179">
        <f t="shared" si="528"/>
        <v>51</v>
      </c>
      <c r="L1179">
        <f t="shared" ca="1" si="529"/>
        <v>51797.843837663619</v>
      </c>
      <c r="M1179">
        <f t="shared" ca="1" si="506"/>
        <v>269348.78795585083</v>
      </c>
      <c r="N1179">
        <f t="shared" ca="1" si="507"/>
        <v>2.5998694991876676</v>
      </c>
      <c r="O1179">
        <f t="shared" ca="1" si="508"/>
        <v>1.8934557080078435E-4</v>
      </c>
      <c r="P1179">
        <f t="shared" ca="1" si="509"/>
        <v>52429.891337663619</v>
      </c>
      <c r="Q1179">
        <f t="shared" ca="1" si="510"/>
        <v>52429.891337665445</v>
      </c>
      <c r="R1179">
        <f t="shared" ca="1" si="511"/>
        <v>2.2564415439646509E-12</v>
      </c>
      <c r="S1179">
        <f t="shared" ca="1" si="530"/>
        <v>5.0000000192085281E-4</v>
      </c>
      <c r="T1179">
        <f t="shared" ca="1" si="531"/>
        <v>1</v>
      </c>
      <c r="U1179">
        <f t="shared" ca="1" si="512"/>
        <v>51800.26683766341</v>
      </c>
      <c r="V1179">
        <f t="shared" ca="1" si="513"/>
        <v>269361.38755584974</v>
      </c>
      <c r="W1179">
        <f t="shared" ca="1" si="514"/>
        <v>2.5998695052916441</v>
      </c>
      <c r="X1179">
        <f t="shared" ca="1" si="515"/>
        <v>1.8933671400629237E-4</v>
      </c>
      <c r="Y1179">
        <f t="shared" ca="1" si="516"/>
        <v>52432.314337663411</v>
      </c>
      <c r="Z1179">
        <f t="shared" ca="1" si="517"/>
        <v>52432.314337665237</v>
      </c>
      <c r="AA1179">
        <f t="shared" ca="1" si="518"/>
        <v>2.2562304480281055E-12</v>
      </c>
      <c r="AB1179">
        <f t="shared" ca="1" si="519"/>
        <v>-5.0000000192085281E-4</v>
      </c>
      <c r="AC1179">
        <f t="shared" ca="1" si="520"/>
        <v>1</v>
      </c>
      <c r="AD1179">
        <f ca="1">IF(V32="Supercritical",L1179,IF(V32="Subcritical",U1179,IF(AND(T1179=1,AC1179=1),IF((((F1179)*(L1179)^2)/2+(G1179)*(L1179)^3/3+(ABS(K1179)^2)/($I$5*MAX(((F1179)+(G1179)*(L1179))*(L1179),0.000001)))&gt;=(((F1179)*(U1179)^2)/2+(G1179)*(U1179)^3/3+(ABS(K1179)^2)/($I$5*MAX(((F1179)+(G1179)*(U1179))*(U1179),0.000001))),L1179,U1179),IF(T1179=1,L1179,IF(AC1179=1,U1179,MAX($D$16,POWER((ABS(K1179)^2)/($I$5*MAX(F1179,0.1)^2),1/3)))))))</f>
        <v>51800.26683766341</v>
      </c>
      <c r="AE1179">
        <f t="shared" ca="1" si="521"/>
        <v>52432.314337663411</v>
      </c>
      <c r="AF1179">
        <f t="shared" ca="1" si="522"/>
        <v>52432.314337665237</v>
      </c>
      <c r="AI1179">
        <v>0</v>
      </c>
      <c r="AJ1179">
        <v>0</v>
      </c>
      <c r="AK1179">
        <f t="shared" si="523"/>
        <v>0</v>
      </c>
      <c r="AL1179">
        <f t="shared" si="532"/>
        <v>0</v>
      </c>
      <c r="AM1179">
        <f t="shared" ca="1" si="524"/>
        <v>2.6560383008097266E-7</v>
      </c>
      <c r="AN1179" t="str">
        <f t="shared" ca="1" si="525"/>
        <v>Subcritical</v>
      </c>
      <c r="AO1179">
        <f t="shared" ca="1" si="526"/>
        <v>2.2562304480281055E-12</v>
      </c>
    </row>
    <row r="1180" spans="1:41" x14ac:dyDescent="0.35">
      <c r="A1180">
        <v>1031</v>
      </c>
      <c r="B1180">
        <v>1029.8889999999999</v>
      </c>
      <c r="C1180">
        <v>616079.89800000004</v>
      </c>
      <c r="D1180">
        <v>3096974.0759999999</v>
      </c>
      <c r="E1180">
        <v>632.04700000000003</v>
      </c>
      <c r="F1180">
        <v>5.2</v>
      </c>
      <c r="G1180">
        <v>0</v>
      </c>
      <c r="H1180" t="s">
        <v>186</v>
      </c>
      <c r="I1180">
        <v>0.06</v>
      </c>
      <c r="J1180">
        <f t="shared" si="527"/>
        <v>1</v>
      </c>
      <c r="K1180">
        <f t="shared" si="528"/>
        <v>51</v>
      </c>
      <c r="L1180">
        <f t="shared" ca="1" si="529"/>
        <v>51797.843837663619</v>
      </c>
      <c r="M1180">
        <f t="shared" ca="1" si="506"/>
        <v>269348.78795585083</v>
      </c>
      <c r="N1180">
        <f t="shared" ca="1" si="507"/>
        <v>2.5998694991876676</v>
      </c>
      <c r="O1180">
        <f t="shared" ca="1" si="508"/>
        <v>1.8934557080078435E-4</v>
      </c>
      <c r="P1180">
        <f t="shared" ca="1" si="509"/>
        <v>52429.890837663617</v>
      </c>
      <c r="Q1180">
        <f t="shared" ca="1" si="510"/>
        <v>52429.890837665444</v>
      </c>
      <c r="R1180">
        <f t="shared" ca="1" si="511"/>
        <v>2.2564415439646509E-12</v>
      </c>
      <c r="S1180">
        <f t="shared" ca="1" si="530"/>
        <v>5.0000000192085281E-4</v>
      </c>
      <c r="T1180">
        <f t="shared" ca="1" si="531"/>
        <v>1</v>
      </c>
      <c r="U1180">
        <f t="shared" ca="1" si="512"/>
        <v>51800.26683766341</v>
      </c>
      <c r="V1180">
        <f t="shared" ca="1" si="513"/>
        <v>269361.38755584974</v>
      </c>
      <c r="W1180">
        <f t="shared" ca="1" si="514"/>
        <v>2.5998695052916441</v>
      </c>
      <c r="X1180">
        <f t="shared" ca="1" si="515"/>
        <v>1.8933671400629237E-4</v>
      </c>
      <c r="Y1180">
        <f t="shared" ca="1" si="516"/>
        <v>52432.313837663409</v>
      </c>
      <c r="Z1180">
        <f t="shared" ca="1" si="517"/>
        <v>52432.313837665235</v>
      </c>
      <c r="AA1180">
        <f t="shared" ca="1" si="518"/>
        <v>2.2562304480281055E-12</v>
      </c>
      <c r="AB1180">
        <f t="shared" ca="1" si="519"/>
        <v>-5.0000000192085281E-4</v>
      </c>
      <c r="AC1180">
        <f t="shared" ca="1" si="520"/>
        <v>1</v>
      </c>
      <c r="AD1180">
        <f ca="1">IF(V32="Supercritical",L1180,IF(V32="Subcritical",U1180,IF(AND(T1180=1,AC1180=1),IF((((F1180)*(L1180)^2)/2+(G1180)*(L1180)^3/3+(ABS(K1180)^2)/($I$5*MAX(((F1180)+(G1180)*(L1180))*(L1180),0.000001)))&gt;=(((F1180)*(U1180)^2)/2+(G1180)*(U1180)^3/3+(ABS(K1180)^2)/($I$5*MAX(((F1180)+(G1180)*(U1180))*(U1180),0.000001))),L1180,U1180),IF(T1180=1,L1180,IF(AC1180=1,U1180,MAX($D$16,POWER((ABS(K1180)^2)/($I$5*MAX(F1180,0.1)^2),1/3)))))))</f>
        <v>51800.26683766341</v>
      </c>
      <c r="AE1180">
        <f t="shared" ca="1" si="521"/>
        <v>52432.313837663409</v>
      </c>
      <c r="AF1180">
        <f t="shared" ca="1" si="522"/>
        <v>52432.313837665235</v>
      </c>
      <c r="AI1180">
        <v>0</v>
      </c>
      <c r="AJ1180">
        <v>0</v>
      </c>
      <c r="AK1180">
        <f t="shared" si="523"/>
        <v>0</v>
      </c>
      <c r="AL1180">
        <f t="shared" si="532"/>
        <v>0</v>
      </c>
      <c r="AM1180">
        <f t="shared" ca="1" si="524"/>
        <v>2.6560383008097266E-7</v>
      </c>
      <c r="AN1180" t="str">
        <f t="shared" ca="1" si="525"/>
        <v>Subcritical</v>
      </c>
      <c r="AO1180">
        <f t="shared" ca="1" si="526"/>
        <v>2.2562304480281055E-12</v>
      </c>
    </row>
    <row r="1181" spans="1:41" x14ac:dyDescent="0.35">
      <c r="A1181">
        <v>1032</v>
      </c>
      <c r="B1181">
        <v>1030.8900000000001</v>
      </c>
      <c r="C1181">
        <v>616079.85600000003</v>
      </c>
      <c r="D1181">
        <v>3096973.0759999999</v>
      </c>
      <c r="E1181">
        <v>632.04650000000004</v>
      </c>
      <c r="F1181">
        <v>5.2</v>
      </c>
      <c r="G1181">
        <v>0</v>
      </c>
      <c r="H1181" t="s">
        <v>186</v>
      </c>
      <c r="I1181">
        <v>2E-3</v>
      </c>
      <c r="J1181">
        <f t="shared" si="527"/>
        <v>1.0010000000002037</v>
      </c>
      <c r="K1181">
        <f t="shared" si="528"/>
        <v>51</v>
      </c>
      <c r="L1181">
        <f t="shared" ca="1" si="529"/>
        <v>51797.843837663619</v>
      </c>
      <c r="M1181">
        <f t="shared" ca="1" si="506"/>
        <v>269348.78795585083</v>
      </c>
      <c r="N1181">
        <f t="shared" ca="1" si="507"/>
        <v>2.5998694991876676</v>
      </c>
      <c r="O1181">
        <f t="shared" ca="1" si="508"/>
        <v>1.8934557080078435E-4</v>
      </c>
      <c r="P1181">
        <f t="shared" ca="1" si="509"/>
        <v>52429.890337663615</v>
      </c>
      <c r="Q1181">
        <f t="shared" ca="1" si="510"/>
        <v>52429.890337665442</v>
      </c>
      <c r="R1181">
        <f t="shared" ca="1" si="511"/>
        <v>2.2564415439646509E-12</v>
      </c>
      <c r="S1181">
        <f t="shared" ca="1" si="530"/>
        <v>5.0000000192085281E-4</v>
      </c>
      <c r="T1181">
        <f t="shared" ca="1" si="531"/>
        <v>1</v>
      </c>
      <c r="U1181">
        <f t="shared" ca="1" si="512"/>
        <v>51800.26683766341</v>
      </c>
      <c r="V1181">
        <f t="shared" ca="1" si="513"/>
        <v>269361.38755584974</v>
      </c>
      <c r="W1181">
        <f t="shared" ca="1" si="514"/>
        <v>2.5998695052916441</v>
      </c>
      <c r="X1181">
        <f t="shared" ca="1" si="515"/>
        <v>1.8933671400629237E-4</v>
      </c>
      <c r="Y1181">
        <f t="shared" ca="1" si="516"/>
        <v>52432.313337663407</v>
      </c>
      <c r="Z1181">
        <f t="shared" ca="1" si="517"/>
        <v>52432.313337665233</v>
      </c>
      <c r="AA1181">
        <f t="shared" ca="1" si="518"/>
        <v>2.2562304480281055E-12</v>
      </c>
      <c r="AB1181">
        <f t="shared" ca="1" si="519"/>
        <v>-4.999999946448952E-4</v>
      </c>
      <c r="AC1181">
        <f t="shared" ca="1" si="520"/>
        <v>1</v>
      </c>
      <c r="AD1181">
        <f ca="1">IF(V32="Supercritical",L1181,IF(V32="Subcritical",U1181,IF(AND(T1181=1,AC1181=1),IF((((F1181)*(L1181)^2)/2+(G1181)*(L1181)^3/3+(ABS(K1181)^2)/($I$5*MAX(((F1181)+(G1181)*(L1181))*(L1181),0.000001)))&gt;=(((F1181)*(U1181)^2)/2+(G1181)*(U1181)^3/3+(ABS(K1181)^2)/($I$5*MAX(((F1181)+(G1181)*(U1181))*(U1181),0.000001))),L1181,U1181),IF(T1181=1,L1181,IF(AC1181=1,U1181,MAX($D$16,POWER((ABS(K1181)^2)/($I$5*MAX(F1181,0.1)^2),1/3)))))))</f>
        <v>51800.26683766341</v>
      </c>
      <c r="AE1181">
        <f t="shared" ca="1" si="521"/>
        <v>52432.313337663407</v>
      </c>
      <c r="AF1181">
        <f t="shared" ca="1" si="522"/>
        <v>52432.313337665233</v>
      </c>
      <c r="AI1181">
        <v>0</v>
      </c>
      <c r="AJ1181">
        <v>0</v>
      </c>
      <c r="AK1181">
        <f t="shared" si="523"/>
        <v>0</v>
      </c>
      <c r="AL1181">
        <f t="shared" si="532"/>
        <v>0</v>
      </c>
      <c r="AM1181">
        <f t="shared" ca="1" si="524"/>
        <v>2.6560383008097266E-7</v>
      </c>
      <c r="AN1181" t="str">
        <f t="shared" ca="1" si="525"/>
        <v>Subcritical</v>
      </c>
      <c r="AO1181">
        <f t="shared" ca="1" si="526"/>
        <v>2.2562304480281055E-12</v>
      </c>
    </row>
    <row r="1182" spans="1:41" x14ac:dyDescent="0.35">
      <c r="A1182">
        <v>1033</v>
      </c>
      <c r="B1182">
        <v>1031.8900000000001</v>
      </c>
      <c r="C1182">
        <v>616079.81400000001</v>
      </c>
      <c r="D1182">
        <v>3096972.077</v>
      </c>
      <c r="E1182">
        <v>632.04600000000005</v>
      </c>
      <c r="F1182">
        <v>5.2</v>
      </c>
      <c r="G1182">
        <v>0</v>
      </c>
      <c r="H1182" t="s">
        <v>186</v>
      </c>
      <c r="I1182">
        <v>5.7000000000000002E-2</v>
      </c>
      <c r="J1182">
        <f t="shared" si="527"/>
        <v>1</v>
      </c>
      <c r="K1182">
        <f t="shared" si="528"/>
        <v>51</v>
      </c>
      <c r="L1182">
        <f t="shared" ca="1" si="529"/>
        <v>51797.843837663619</v>
      </c>
      <c r="M1182">
        <f t="shared" ca="1" si="506"/>
        <v>269348.78795585083</v>
      </c>
      <c r="N1182">
        <f t="shared" ca="1" si="507"/>
        <v>2.5998694991876676</v>
      </c>
      <c r="O1182">
        <f t="shared" ca="1" si="508"/>
        <v>1.8934557080078435E-4</v>
      </c>
      <c r="P1182">
        <f t="shared" ca="1" si="509"/>
        <v>52429.889837663621</v>
      </c>
      <c r="Q1182">
        <f t="shared" ca="1" si="510"/>
        <v>52429.889837665447</v>
      </c>
      <c r="R1182">
        <f t="shared" ca="1" si="511"/>
        <v>2.2564415439646509E-12</v>
      </c>
      <c r="S1182">
        <f t="shared" ca="1" si="530"/>
        <v>4.999999946448952E-4</v>
      </c>
      <c r="T1182">
        <f t="shared" ca="1" si="531"/>
        <v>1</v>
      </c>
      <c r="U1182">
        <f t="shared" ca="1" si="512"/>
        <v>51800.26683766341</v>
      </c>
      <c r="V1182">
        <f t="shared" ca="1" si="513"/>
        <v>269361.38755584974</v>
      </c>
      <c r="W1182">
        <f t="shared" ca="1" si="514"/>
        <v>2.5998695052916441</v>
      </c>
      <c r="X1182">
        <f t="shared" ca="1" si="515"/>
        <v>1.8933671400629237E-4</v>
      </c>
      <c r="Y1182">
        <f t="shared" ca="1" si="516"/>
        <v>52432.312837663412</v>
      </c>
      <c r="Z1182">
        <f t="shared" ca="1" si="517"/>
        <v>52432.312837665238</v>
      </c>
      <c r="AA1182">
        <f t="shared" ca="1" si="518"/>
        <v>2.2562304480281055E-12</v>
      </c>
      <c r="AB1182">
        <f t="shared" ca="1" si="519"/>
        <v>-5.0000000192085281E-4</v>
      </c>
      <c r="AC1182">
        <f t="shared" ca="1" si="520"/>
        <v>1</v>
      </c>
      <c r="AD1182">
        <f ca="1">IF(V32="Supercritical",L1182,IF(V32="Subcritical",U1182,IF(AND(T1182=1,AC1182=1),IF((((F1182)*(L1182)^2)/2+(G1182)*(L1182)^3/3+(ABS(K1182)^2)/($I$5*MAX(((F1182)+(G1182)*(L1182))*(L1182),0.000001)))&gt;=(((F1182)*(U1182)^2)/2+(G1182)*(U1182)^3/3+(ABS(K1182)^2)/($I$5*MAX(((F1182)+(G1182)*(U1182))*(U1182),0.000001))),L1182,U1182),IF(T1182=1,L1182,IF(AC1182=1,U1182,MAX($D$16,POWER((ABS(K1182)^2)/($I$5*MAX(F1182,0.1)^2),1/3)))))))</f>
        <v>51800.26683766341</v>
      </c>
      <c r="AE1182">
        <f t="shared" ca="1" si="521"/>
        <v>52432.312837663412</v>
      </c>
      <c r="AF1182">
        <f t="shared" ca="1" si="522"/>
        <v>52432.312837665238</v>
      </c>
      <c r="AI1182">
        <v>0</v>
      </c>
      <c r="AJ1182">
        <v>0</v>
      </c>
      <c r="AK1182">
        <f t="shared" si="523"/>
        <v>0</v>
      </c>
      <c r="AL1182">
        <f t="shared" si="532"/>
        <v>0</v>
      </c>
      <c r="AM1182">
        <f t="shared" ca="1" si="524"/>
        <v>2.6560383008097266E-7</v>
      </c>
      <c r="AN1182" t="str">
        <f t="shared" ca="1" si="525"/>
        <v>Subcritical</v>
      </c>
      <c r="AO1182">
        <f t="shared" ca="1" si="526"/>
        <v>2.2562304480281055E-12</v>
      </c>
    </row>
    <row r="1183" spans="1:41" x14ac:dyDescent="0.35">
      <c r="A1183">
        <v>1034</v>
      </c>
      <c r="B1183">
        <v>1032.8900000000001</v>
      </c>
      <c r="C1183">
        <v>616079.77099999995</v>
      </c>
      <c r="D1183">
        <v>3096971.0780000002</v>
      </c>
      <c r="E1183">
        <v>632.04549999999995</v>
      </c>
      <c r="F1183">
        <v>5.2</v>
      </c>
      <c r="G1183">
        <v>0</v>
      </c>
      <c r="H1183" t="s">
        <v>186</v>
      </c>
      <c r="I1183">
        <v>5.7000000000000002E-2</v>
      </c>
      <c r="J1183">
        <f t="shared" si="527"/>
        <v>1</v>
      </c>
      <c r="K1183">
        <f t="shared" si="528"/>
        <v>51</v>
      </c>
      <c r="L1183">
        <f t="shared" ca="1" si="529"/>
        <v>51797.843837663619</v>
      </c>
      <c r="M1183">
        <f t="shared" ca="1" si="506"/>
        <v>269348.78795585083</v>
      </c>
      <c r="N1183">
        <f t="shared" ca="1" si="507"/>
        <v>2.5998694991876676</v>
      </c>
      <c r="O1183">
        <f t="shared" ca="1" si="508"/>
        <v>1.8934557080078435E-4</v>
      </c>
      <c r="P1183">
        <f t="shared" ca="1" si="509"/>
        <v>52429.889337663619</v>
      </c>
      <c r="Q1183">
        <f t="shared" ca="1" si="510"/>
        <v>52429.889337665445</v>
      </c>
      <c r="R1183">
        <f t="shared" ca="1" si="511"/>
        <v>2.2564415439646509E-12</v>
      </c>
      <c r="S1183">
        <f t="shared" ca="1" si="530"/>
        <v>5.0000000192085281E-4</v>
      </c>
      <c r="T1183">
        <f t="shared" ca="1" si="531"/>
        <v>1</v>
      </c>
      <c r="U1183">
        <f t="shared" ca="1" si="512"/>
        <v>51800.26683766341</v>
      </c>
      <c r="V1183">
        <f t="shared" ca="1" si="513"/>
        <v>269361.38755584974</v>
      </c>
      <c r="W1183">
        <f t="shared" ca="1" si="514"/>
        <v>2.5998695052916441</v>
      </c>
      <c r="X1183">
        <f t="shared" ca="1" si="515"/>
        <v>1.8933671400629237E-4</v>
      </c>
      <c r="Y1183">
        <f t="shared" ca="1" si="516"/>
        <v>52432.31233766341</v>
      </c>
      <c r="Z1183">
        <f t="shared" ca="1" si="517"/>
        <v>52432.312337665237</v>
      </c>
      <c r="AA1183">
        <f t="shared" ca="1" si="518"/>
        <v>2.2562304480281055E-12</v>
      </c>
      <c r="AB1183">
        <f t="shared" ca="1" si="519"/>
        <v>-5.0000000192085281E-4</v>
      </c>
      <c r="AC1183">
        <f t="shared" ca="1" si="520"/>
        <v>1</v>
      </c>
      <c r="AD1183">
        <f ca="1">IF(V32="Supercritical",L1183,IF(V32="Subcritical",U1183,IF(AND(T1183=1,AC1183=1),IF((((F1183)*(L1183)^2)/2+(G1183)*(L1183)^3/3+(ABS(K1183)^2)/($I$5*MAX(((F1183)+(G1183)*(L1183))*(L1183),0.000001)))&gt;=(((F1183)*(U1183)^2)/2+(G1183)*(U1183)^3/3+(ABS(K1183)^2)/($I$5*MAX(((F1183)+(G1183)*(U1183))*(U1183),0.000001))),L1183,U1183),IF(T1183=1,L1183,IF(AC1183=1,U1183,MAX($D$16,POWER((ABS(K1183)^2)/($I$5*MAX(F1183,0.1)^2),1/3)))))))</f>
        <v>51800.26683766341</v>
      </c>
      <c r="AE1183">
        <f t="shared" ca="1" si="521"/>
        <v>52432.31233766341</v>
      </c>
      <c r="AF1183">
        <f t="shared" ca="1" si="522"/>
        <v>52432.312337665237</v>
      </c>
      <c r="AI1183">
        <v>0</v>
      </c>
      <c r="AJ1183">
        <v>0</v>
      </c>
      <c r="AK1183">
        <f t="shared" si="523"/>
        <v>0</v>
      </c>
      <c r="AL1183">
        <f t="shared" si="532"/>
        <v>0</v>
      </c>
      <c r="AM1183">
        <f t="shared" ca="1" si="524"/>
        <v>2.6560383008097266E-7</v>
      </c>
      <c r="AN1183" t="str">
        <f t="shared" ca="1" si="525"/>
        <v>Subcritical</v>
      </c>
      <c r="AO1183">
        <f t="shared" ca="1" si="526"/>
        <v>2.2562304480281055E-12</v>
      </c>
    </row>
    <row r="1184" spans="1:41" x14ac:dyDescent="0.35">
      <c r="A1184">
        <v>1035</v>
      </c>
      <c r="B1184">
        <v>1033.8889999999999</v>
      </c>
      <c r="C1184">
        <v>616079.72900000005</v>
      </c>
      <c r="D1184">
        <v>3096970.0789999999</v>
      </c>
      <c r="E1184">
        <v>632.04499999999996</v>
      </c>
      <c r="F1184">
        <v>5.2</v>
      </c>
      <c r="G1184">
        <v>0</v>
      </c>
      <c r="H1184" t="s">
        <v>186</v>
      </c>
      <c r="I1184">
        <v>0</v>
      </c>
      <c r="J1184">
        <f t="shared" si="527"/>
        <v>0.99899999999979627</v>
      </c>
      <c r="K1184">
        <f t="shared" si="528"/>
        <v>51</v>
      </c>
      <c r="L1184">
        <f t="shared" ca="1" si="529"/>
        <v>51797.843837663619</v>
      </c>
      <c r="M1184">
        <f t="shared" ca="1" si="506"/>
        <v>269348.78795585083</v>
      </c>
      <c r="N1184">
        <f t="shared" ca="1" si="507"/>
        <v>2.5998694991876676</v>
      </c>
      <c r="O1184">
        <f t="shared" ca="1" si="508"/>
        <v>1.8934557080078435E-4</v>
      </c>
      <c r="P1184">
        <f t="shared" ca="1" si="509"/>
        <v>52429.888837663617</v>
      </c>
      <c r="Q1184">
        <f t="shared" ca="1" si="510"/>
        <v>52429.888837665443</v>
      </c>
      <c r="R1184">
        <f t="shared" ca="1" si="511"/>
        <v>2.2564415439646509E-12</v>
      </c>
      <c r="S1184">
        <f t="shared" ca="1" si="530"/>
        <v>5.0000000192085281E-4</v>
      </c>
      <c r="T1184">
        <f t="shared" ca="1" si="531"/>
        <v>1</v>
      </c>
      <c r="U1184">
        <f t="shared" ca="1" si="512"/>
        <v>51800.26683766341</v>
      </c>
      <c r="V1184">
        <f t="shared" ca="1" si="513"/>
        <v>269361.38755584974</v>
      </c>
      <c r="W1184">
        <f t="shared" ca="1" si="514"/>
        <v>2.5998695052916441</v>
      </c>
      <c r="X1184">
        <f t="shared" ca="1" si="515"/>
        <v>1.8933671400629237E-4</v>
      </c>
      <c r="Y1184">
        <f t="shared" ca="1" si="516"/>
        <v>52432.311837663408</v>
      </c>
      <c r="Z1184">
        <f t="shared" ca="1" si="517"/>
        <v>52432.311837665235</v>
      </c>
      <c r="AA1184">
        <f t="shared" ca="1" si="518"/>
        <v>2.2562304480281055E-12</v>
      </c>
      <c r="AB1184">
        <f t="shared" ca="1" si="519"/>
        <v>-4.999999946448952E-4</v>
      </c>
      <c r="AC1184">
        <f t="shared" ca="1" si="520"/>
        <v>1</v>
      </c>
      <c r="AD1184">
        <f ca="1">IF(V32="Supercritical",L1184,IF(V32="Subcritical",U1184,IF(AND(T1184=1,AC1184=1),IF((((F1184)*(L1184)^2)/2+(G1184)*(L1184)^3/3+(ABS(K1184)^2)/($I$5*MAX(((F1184)+(G1184)*(L1184))*(L1184),0.000001)))&gt;=(((F1184)*(U1184)^2)/2+(G1184)*(U1184)^3/3+(ABS(K1184)^2)/($I$5*MAX(((F1184)+(G1184)*(U1184))*(U1184),0.000001))),L1184,U1184),IF(T1184=1,L1184,IF(AC1184=1,U1184,MAX($D$16,POWER((ABS(K1184)^2)/($I$5*MAX(F1184,0.1)^2),1/3)))))))</f>
        <v>51800.26683766341</v>
      </c>
      <c r="AE1184">
        <f t="shared" ca="1" si="521"/>
        <v>52432.311837663408</v>
      </c>
      <c r="AF1184">
        <f t="shared" ca="1" si="522"/>
        <v>52432.311837665235</v>
      </c>
      <c r="AI1184">
        <v>0</v>
      </c>
      <c r="AJ1184">
        <v>0</v>
      </c>
      <c r="AK1184">
        <f t="shared" si="523"/>
        <v>0</v>
      </c>
      <c r="AL1184">
        <f t="shared" si="532"/>
        <v>0</v>
      </c>
      <c r="AM1184">
        <f t="shared" ca="1" si="524"/>
        <v>2.6560383008097266E-7</v>
      </c>
      <c r="AN1184" t="str">
        <f t="shared" ca="1" si="525"/>
        <v>Subcritical</v>
      </c>
      <c r="AO1184">
        <f t="shared" ca="1" si="526"/>
        <v>2.2562304480281055E-12</v>
      </c>
    </row>
    <row r="1185" spans="1:41" x14ac:dyDescent="0.35">
      <c r="A1185">
        <v>1036</v>
      </c>
      <c r="B1185">
        <v>1034.8889999999999</v>
      </c>
      <c r="C1185">
        <v>616079.68700000003</v>
      </c>
      <c r="D1185">
        <v>3096969.08</v>
      </c>
      <c r="E1185">
        <v>632.04449999999997</v>
      </c>
      <c r="F1185">
        <v>5.2</v>
      </c>
      <c r="G1185">
        <v>0</v>
      </c>
      <c r="H1185" t="s">
        <v>186</v>
      </c>
      <c r="I1185">
        <v>0</v>
      </c>
      <c r="J1185">
        <f t="shared" si="527"/>
        <v>1</v>
      </c>
      <c r="K1185">
        <f t="shared" si="528"/>
        <v>51</v>
      </c>
      <c r="L1185">
        <f t="shared" ca="1" si="529"/>
        <v>51797.843837663619</v>
      </c>
      <c r="M1185">
        <f t="shared" ca="1" si="506"/>
        <v>269348.78795585083</v>
      </c>
      <c r="N1185">
        <f t="shared" ca="1" si="507"/>
        <v>2.5998694991876676</v>
      </c>
      <c r="O1185">
        <f t="shared" ca="1" si="508"/>
        <v>1.8934557080078435E-4</v>
      </c>
      <c r="P1185">
        <f t="shared" ca="1" si="509"/>
        <v>52429.888337663622</v>
      </c>
      <c r="Q1185">
        <f t="shared" ca="1" si="510"/>
        <v>52429.888337665448</v>
      </c>
      <c r="R1185">
        <f t="shared" ca="1" si="511"/>
        <v>2.2564415439646509E-12</v>
      </c>
      <c r="S1185">
        <f t="shared" ca="1" si="530"/>
        <v>4.999999946448952E-4</v>
      </c>
      <c r="T1185">
        <f t="shared" ca="1" si="531"/>
        <v>1</v>
      </c>
      <c r="U1185">
        <f t="shared" ca="1" si="512"/>
        <v>51800.26683766341</v>
      </c>
      <c r="V1185">
        <f t="shared" ca="1" si="513"/>
        <v>269361.38755584974</v>
      </c>
      <c r="W1185">
        <f t="shared" ca="1" si="514"/>
        <v>2.5998695052916441</v>
      </c>
      <c r="X1185">
        <f t="shared" ca="1" si="515"/>
        <v>1.8933671400629237E-4</v>
      </c>
      <c r="Y1185">
        <f t="shared" ca="1" si="516"/>
        <v>52432.311337663414</v>
      </c>
      <c r="Z1185">
        <f t="shared" ca="1" si="517"/>
        <v>52432.31133766524</v>
      </c>
      <c r="AA1185">
        <f t="shared" ca="1" si="518"/>
        <v>2.2562304480281055E-12</v>
      </c>
      <c r="AB1185">
        <f t="shared" ca="1" si="519"/>
        <v>-5.0000000192085281E-4</v>
      </c>
      <c r="AC1185">
        <f t="shared" ca="1" si="520"/>
        <v>1</v>
      </c>
      <c r="AD1185">
        <f ca="1">IF(V32="Supercritical",L1185,IF(V32="Subcritical",U1185,IF(AND(T1185=1,AC1185=1),IF((((F1185)*(L1185)^2)/2+(G1185)*(L1185)^3/3+(ABS(K1185)^2)/($I$5*MAX(((F1185)+(G1185)*(L1185))*(L1185),0.000001)))&gt;=(((F1185)*(U1185)^2)/2+(G1185)*(U1185)^3/3+(ABS(K1185)^2)/($I$5*MAX(((F1185)+(G1185)*(U1185))*(U1185),0.000001))),L1185,U1185),IF(T1185=1,L1185,IF(AC1185=1,U1185,MAX($D$16,POWER((ABS(K1185)^2)/($I$5*MAX(F1185,0.1)^2),1/3)))))))</f>
        <v>51800.26683766341</v>
      </c>
      <c r="AE1185">
        <f t="shared" ca="1" si="521"/>
        <v>52432.311337663414</v>
      </c>
      <c r="AF1185">
        <f t="shared" ca="1" si="522"/>
        <v>52432.31133766524</v>
      </c>
      <c r="AI1185">
        <v>0</v>
      </c>
      <c r="AJ1185">
        <v>0</v>
      </c>
      <c r="AK1185">
        <f t="shared" si="523"/>
        <v>0</v>
      </c>
      <c r="AL1185">
        <f t="shared" si="532"/>
        <v>0</v>
      </c>
      <c r="AM1185">
        <f t="shared" ca="1" si="524"/>
        <v>2.6560383008097266E-7</v>
      </c>
      <c r="AN1185" t="str">
        <f t="shared" ca="1" si="525"/>
        <v>Subcritical</v>
      </c>
      <c r="AO1185">
        <f t="shared" ca="1" si="526"/>
        <v>2.2562304480281055E-12</v>
      </c>
    </row>
    <row r="1186" spans="1:41" x14ac:dyDescent="0.35">
      <c r="A1186">
        <v>1037</v>
      </c>
      <c r="B1186">
        <v>1035.8889999999999</v>
      </c>
      <c r="C1186">
        <v>616079.64500000002</v>
      </c>
      <c r="D1186">
        <v>3096968.0809999998</v>
      </c>
      <c r="E1186">
        <v>632.04399999999998</v>
      </c>
      <c r="F1186">
        <v>5.2</v>
      </c>
      <c r="G1186">
        <v>0</v>
      </c>
      <c r="H1186" t="s">
        <v>186</v>
      </c>
      <c r="I1186">
        <v>5.7000000000000002E-2</v>
      </c>
      <c r="J1186">
        <f t="shared" si="527"/>
        <v>1</v>
      </c>
      <c r="K1186">
        <f t="shared" si="528"/>
        <v>51</v>
      </c>
      <c r="L1186">
        <f t="shared" ca="1" si="529"/>
        <v>51797.843837663619</v>
      </c>
      <c r="M1186">
        <f t="shared" ca="1" si="506"/>
        <v>269348.78795585083</v>
      </c>
      <c r="N1186">
        <f t="shared" ca="1" si="507"/>
        <v>2.5998694991876676</v>
      </c>
      <c r="O1186">
        <f t="shared" ca="1" si="508"/>
        <v>1.8934557080078435E-4</v>
      </c>
      <c r="P1186">
        <f t="shared" ca="1" si="509"/>
        <v>52429.88783766362</v>
      </c>
      <c r="Q1186">
        <f t="shared" ca="1" si="510"/>
        <v>52429.887837665447</v>
      </c>
      <c r="R1186">
        <f t="shared" ca="1" si="511"/>
        <v>2.2564415439646509E-12</v>
      </c>
      <c r="S1186">
        <f t="shared" ca="1" si="530"/>
        <v>5.0000000192085281E-4</v>
      </c>
      <c r="T1186">
        <f t="shared" ca="1" si="531"/>
        <v>1</v>
      </c>
      <c r="U1186">
        <f t="shared" ca="1" si="512"/>
        <v>51800.26683766341</v>
      </c>
      <c r="V1186">
        <f t="shared" ca="1" si="513"/>
        <v>269361.38755584974</v>
      </c>
      <c r="W1186">
        <f t="shared" ca="1" si="514"/>
        <v>2.5998695052916441</v>
      </c>
      <c r="X1186">
        <f t="shared" ca="1" si="515"/>
        <v>1.8933671400629237E-4</v>
      </c>
      <c r="Y1186">
        <f t="shared" ca="1" si="516"/>
        <v>52432.310837663412</v>
      </c>
      <c r="Z1186">
        <f t="shared" ca="1" si="517"/>
        <v>52432.310837665238</v>
      </c>
      <c r="AA1186">
        <f t="shared" ca="1" si="518"/>
        <v>2.2562304480281055E-12</v>
      </c>
      <c r="AB1186">
        <f t="shared" ca="1" si="519"/>
        <v>-5.0000000192085281E-4</v>
      </c>
      <c r="AC1186">
        <f t="shared" ca="1" si="520"/>
        <v>1</v>
      </c>
      <c r="AD1186">
        <f ca="1">IF(V32="Supercritical",L1186,IF(V32="Subcritical",U1186,IF(AND(T1186=1,AC1186=1),IF((((F1186)*(L1186)^2)/2+(G1186)*(L1186)^3/3+(ABS(K1186)^2)/($I$5*MAX(((F1186)+(G1186)*(L1186))*(L1186),0.000001)))&gt;=(((F1186)*(U1186)^2)/2+(G1186)*(U1186)^3/3+(ABS(K1186)^2)/($I$5*MAX(((F1186)+(G1186)*(U1186))*(U1186),0.000001))),L1186,U1186),IF(T1186=1,L1186,IF(AC1186=1,U1186,MAX($D$16,POWER((ABS(K1186)^2)/($I$5*MAX(F1186,0.1)^2),1/3)))))))</f>
        <v>51800.26683766341</v>
      </c>
      <c r="AE1186">
        <f t="shared" ca="1" si="521"/>
        <v>52432.310837663412</v>
      </c>
      <c r="AF1186">
        <f t="shared" ca="1" si="522"/>
        <v>52432.310837665238</v>
      </c>
      <c r="AI1186">
        <v>0</v>
      </c>
      <c r="AJ1186">
        <v>0</v>
      </c>
      <c r="AK1186">
        <f t="shared" si="523"/>
        <v>0</v>
      </c>
      <c r="AL1186">
        <f t="shared" si="532"/>
        <v>0</v>
      </c>
      <c r="AM1186">
        <f t="shared" ca="1" si="524"/>
        <v>2.6560383008097266E-7</v>
      </c>
      <c r="AN1186" t="str">
        <f t="shared" ca="1" si="525"/>
        <v>Subcritical</v>
      </c>
      <c r="AO1186">
        <f t="shared" ca="1" si="526"/>
        <v>2.2562304480281055E-12</v>
      </c>
    </row>
    <row r="1187" spans="1:41" x14ac:dyDescent="0.35">
      <c r="A1187">
        <v>1038</v>
      </c>
      <c r="B1187">
        <v>1036.8889999999999</v>
      </c>
      <c r="C1187">
        <v>616079.60199999996</v>
      </c>
      <c r="D1187">
        <v>3096967.0819999999</v>
      </c>
      <c r="E1187">
        <v>632.04349999999999</v>
      </c>
      <c r="F1187">
        <v>5.2</v>
      </c>
      <c r="G1187">
        <v>0</v>
      </c>
      <c r="H1187" t="s">
        <v>186</v>
      </c>
      <c r="I1187">
        <v>5.7000000000000002E-2</v>
      </c>
      <c r="J1187">
        <f t="shared" si="527"/>
        <v>1</v>
      </c>
      <c r="K1187">
        <f t="shared" si="528"/>
        <v>51</v>
      </c>
      <c r="L1187">
        <f t="shared" ca="1" si="529"/>
        <v>51797.843837663619</v>
      </c>
      <c r="M1187">
        <f t="shared" ca="1" si="506"/>
        <v>269348.78795585083</v>
      </c>
      <c r="N1187">
        <f t="shared" ca="1" si="507"/>
        <v>2.5998694991876676</v>
      </c>
      <c r="O1187">
        <f t="shared" ca="1" si="508"/>
        <v>1.8934557080078435E-4</v>
      </c>
      <c r="P1187">
        <f t="shared" ca="1" si="509"/>
        <v>52429.887337663618</v>
      </c>
      <c r="Q1187">
        <f t="shared" ca="1" si="510"/>
        <v>52429.887337665445</v>
      </c>
      <c r="R1187">
        <f t="shared" ca="1" si="511"/>
        <v>2.2564415439646509E-12</v>
      </c>
      <c r="S1187">
        <f t="shared" ca="1" si="530"/>
        <v>5.0000000192085281E-4</v>
      </c>
      <c r="T1187">
        <f t="shared" ca="1" si="531"/>
        <v>1</v>
      </c>
      <c r="U1187">
        <f t="shared" ca="1" si="512"/>
        <v>51800.26683766341</v>
      </c>
      <c r="V1187">
        <f t="shared" ca="1" si="513"/>
        <v>269361.38755584974</v>
      </c>
      <c r="W1187">
        <f t="shared" ca="1" si="514"/>
        <v>2.5998695052916441</v>
      </c>
      <c r="X1187">
        <f t="shared" ca="1" si="515"/>
        <v>1.8933671400629237E-4</v>
      </c>
      <c r="Y1187">
        <f t="shared" ca="1" si="516"/>
        <v>52432.31033766341</v>
      </c>
      <c r="Z1187">
        <f t="shared" ca="1" si="517"/>
        <v>52432.310337665236</v>
      </c>
      <c r="AA1187">
        <f t="shared" ca="1" si="518"/>
        <v>2.2562304480281055E-12</v>
      </c>
      <c r="AB1187">
        <f t="shared" ca="1" si="519"/>
        <v>-5.0000000192085281E-4</v>
      </c>
      <c r="AC1187">
        <f t="shared" ca="1" si="520"/>
        <v>1</v>
      </c>
      <c r="AD1187">
        <f ca="1">IF(V32="Supercritical",L1187,IF(V32="Subcritical",U1187,IF(AND(T1187=1,AC1187=1),IF((((F1187)*(L1187)^2)/2+(G1187)*(L1187)^3/3+(ABS(K1187)^2)/($I$5*MAX(((F1187)+(G1187)*(L1187))*(L1187),0.000001)))&gt;=(((F1187)*(U1187)^2)/2+(G1187)*(U1187)^3/3+(ABS(K1187)^2)/($I$5*MAX(((F1187)+(G1187)*(U1187))*(U1187),0.000001))),L1187,U1187),IF(T1187=1,L1187,IF(AC1187=1,U1187,MAX($D$16,POWER((ABS(K1187)^2)/($I$5*MAX(F1187,0.1)^2),1/3)))))))</f>
        <v>51800.26683766341</v>
      </c>
      <c r="AE1187">
        <f t="shared" ca="1" si="521"/>
        <v>52432.31033766341</v>
      </c>
      <c r="AF1187">
        <f t="shared" ca="1" si="522"/>
        <v>52432.310337665236</v>
      </c>
      <c r="AI1187">
        <v>0</v>
      </c>
      <c r="AJ1187">
        <v>0</v>
      </c>
      <c r="AK1187">
        <f t="shared" si="523"/>
        <v>0</v>
      </c>
      <c r="AL1187">
        <f t="shared" si="532"/>
        <v>0</v>
      </c>
      <c r="AM1187">
        <f t="shared" ca="1" si="524"/>
        <v>2.6560383008097266E-7</v>
      </c>
      <c r="AN1187" t="str">
        <f t="shared" ca="1" si="525"/>
        <v>Subcritical</v>
      </c>
      <c r="AO1187">
        <f t="shared" ca="1" si="526"/>
        <v>2.2562304480281055E-12</v>
      </c>
    </row>
    <row r="1188" spans="1:41" x14ac:dyDescent="0.35">
      <c r="A1188">
        <v>1039</v>
      </c>
      <c r="B1188">
        <v>1037.8889999999999</v>
      </c>
      <c r="C1188">
        <v>616079.56000000006</v>
      </c>
      <c r="D1188">
        <v>3096966.0830000001</v>
      </c>
      <c r="E1188">
        <v>632.04300000000001</v>
      </c>
      <c r="F1188">
        <v>5.2</v>
      </c>
      <c r="G1188">
        <v>0</v>
      </c>
      <c r="H1188" t="s">
        <v>186</v>
      </c>
      <c r="I1188">
        <v>0</v>
      </c>
      <c r="J1188">
        <f t="shared" si="527"/>
        <v>1</v>
      </c>
      <c r="K1188">
        <f t="shared" si="528"/>
        <v>51</v>
      </c>
      <c r="L1188">
        <f t="shared" ca="1" si="529"/>
        <v>51797.843837663619</v>
      </c>
      <c r="M1188">
        <f t="shared" ca="1" si="506"/>
        <v>269348.78795585083</v>
      </c>
      <c r="N1188">
        <f t="shared" ca="1" si="507"/>
        <v>2.5998694991876676</v>
      </c>
      <c r="O1188">
        <f t="shared" ca="1" si="508"/>
        <v>1.8934557080078435E-4</v>
      </c>
      <c r="P1188">
        <f t="shared" ca="1" si="509"/>
        <v>52429.886837663616</v>
      </c>
      <c r="Q1188">
        <f t="shared" ca="1" si="510"/>
        <v>52429.886837665443</v>
      </c>
      <c r="R1188">
        <f t="shared" ca="1" si="511"/>
        <v>2.2564415439646509E-12</v>
      </c>
      <c r="S1188">
        <f t="shared" ca="1" si="530"/>
        <v>5.0000000192085281E-4</v>
      </c>
      <c r="T1188">
        <f t="shared" ca="1" si="531"/>
        <v>1</v>
      </c>
      <c r="U1188">
        <f t="shared" ca="1" si="512"/>
        <v>51800.26683766341</v>
      </c>
      <c r="V1188">
        <f t="shared" ca="1" si="513"/>
        <v>269361.38755584974</v>
      </c>
      <c r="W1188">
        <f t="shared" ca="1" si="514"/>
        <v>2.5998695052916441</v>
      </c>
      <c r="X1188">
        <f t="shared" ca="1" si="515"/>
        <v>1.8933671400629237E-4</v>
      </c>
      <c r="Y1188">
        <f t="shared" ca="1" si="516"/>
        <v>52432.309837663408</v>
      </c>
      <c r="Z1188">
        <f t="shared" ca="1" si="517"/>
        <v>52432.309837665234</v>
      </c>
      <c r="AA1188">
        <f t="shared" ca="1" si="518"/>
        <v>2.2562304480281055E-12</v>
      </c>
      <c r="AB1188">
        <f t="shared" ca="1" si="519"/>
        <v>-4.999999946448952E-4</v>
      </c>
      <c r="AC1188">
        <f t="shared" ca="1" si="520"/>
        <v>1</v>
      </c>
      <c r="AD1188">
        <f ca="1">IF(V32="Supercritical",L1188,IF(V32="Subcritical",U1188,IF(AND(T1188=1,AC1188=1),IF((((F1188)*(L1188)^2)/2+(G1188)*(L1188)^3/3+(ABS(K1188)^2)/($I$5*MAX(((F1188)+(G1188)*(L1188))*(L1188),0.000001)))&gt;=(((F1188)*(U1188)^2)/2+(G1188)*(U1188)^3/3+(ABS(K1188)^2)/($I$5*MAX(((F1188)+(G1188)*(U1188))*(U1188),0.000001))),L1188,U1188),IF(T1188=1,L1188,IF(AC1188=1,U1188,MAX($D$16,POWER((ABS(K1188)^2)/($I$5*MAX(F1188,0.1)^2),1/3)))))))</f>
        <v>51800.26683766341</v>
      </c>
      <c r="AE1188">
        <f t="shared" ca="1" si="521"/>
        <v>52432.309837663408</v>
      </c>
      <c r="AF1188">
        <f t="shared" ca="1" si="522"/>
        <v>52432.309837665234</v>
      </c>
      <c r="AI1188">
        <v>0</v>
      </c>
      <c r="AJ1188">
        <v>0</v>
      </c>
      <c r="AK1188">
        <f t="shared" si="523"/>
        <v>0</v>
      </c>
      <c r="AL1188">
        <f t="shared" si="532"/>
        <v>0</v>
      </c>
      <c r="AM1188">
        <f t="shared" ca="1" si="524"/>
        <v>2.6560383008097266E-7</v>
      </c>
      <c r="AN1188" t="str">
        <f t="shared" ca="1" si="525"/>
        <v>Subcritical</v>
      </c>
      <c r="AO1188">
        <f t="shared" ca="1" si="526"/>
        <v>2.2562304480281055E-12</v>
      </c>
    </row>
    <row r="1189" spans="1:41" x14ac:dyDescent="0.35">
      <c r="A1189">
        <v>1040</v>
      </c>
      <c r="B1189">
        <v>1038.8889999999999</v>
      </c>
      <c r="C1189">
        <v>616079.51800000004</v>
      </c>
      <c r="D1189">
        <v>3096965.0839999998</v>
      </c>
      <c r="E1189">
        <v>632.04250000000002</v>
      </c>
      <c r="F1189">
        <v>5.2</v>
      </c>
      <c r="G1189">
        <v>0</v>
      </c>
      <c r="H1189" t="s">
        <v>186</v>
      </c>
      <c r="I1189">
        <v>2E-3</v>
      </c>
      <c r="J1189">
        <f t="shared" si="527"/>
        <v>1</v>
      </c>
      <c r="K1189">
        <f t="shared" si="528"/>
        <v>51</v>
      </c>
      <c r="L1189">
        <f t="shared" ca="1" si="529"/>
        <v>51797.843837663619</v>
      </c>
      <c r="M1189">
        <f t="shared" ca="1" si="506"/>
        <v>269348.78795585083</v>
      </c>
      <c r="N1189">
        <f t="shared" ca="1" si="507"/>
        <v>2.5998694991876676</v>
      </c>
      <c r="O1189">
        <f t="shared" ca="1" si="508"/>
        <v>1.8934557080078435E-4</v>
      </c>
      <c r="P1189">
        <f t="shared" ca="1" si="509"/>
        <v>52429.886337663622</v>
      </c>
      <c r="Q1189">
        <f t="shared" ca="1" si="510"/>
        <v>52429.886337665448</v>
      </c>
      <c r="R1189">
        <f t="shared" ca="1" si="511"/>
        <v>2.2564415439646509E-12</v>
      </c>
      <c r="S1189">
        <f t="shared" ca="1" si="530"/>
        <v>4.999999946448952E-4</v>
      </c>
      <c r="T1189">
        <f t="shared" ca="1" si="531"/>
        <v>1</v>
      </c>
      <c r="U1189">
        <f t="shared" ca="1" si="512"/>
        <v>51800.26683766341</v>
      </c>
      <c r="V1189">
        <f t="shared" ca="1" si="513"/>
        <v>269361.38755584974</v>
      </c>
      <c r="W1189">
        <f t="shared" ca="1" si="514"/>
        <v>2.5998695052916441</v>
      </c>
      <c r="X1189">
        <f t="shared" ca="1" si="515"/>
        <v>1.8933671400629237E-4</v>
      </c>
      <c r="Y1189">
        <f t="shared" ca="1" si="516"/>
        <v>52432.309337663413</v>
      </c>
      <c r="Z1189">
        <f t="shared" ca="1" si="517"/>
        <v>52432.30933766524</v>
      </c>
      <c r="AA1189">
        <f t="shared" ca="1" si="518"/>
        <v>2.2562304480281055E-12</v>
      </c>
      <c r="AB1189">
        <f t="shared" ca="1" si="519"/>
        <v>-5.0000000192085281E-4</v>
      </c>
      <c r="AC1189">
        <f t="shared" ca="1" si="520"/>
        <v>1</v>
      </c>
      <c r="AD1189">
        <f ca="1">IF(V32="Supercritical",L1189,IF(V32="Subcritical",U1189,IF(AND(T1189=1,AC1189=1),IF((((F1189)*(L1189)^2)/2+(G1189)*(L1189)^3/3+(ABS(K1189)^2)/($I$5*MAX(((F1189)+(G1189)*(L1189))*(L1189),0.000001)))&gt;=(((F1189)*(U1189)^2)/2+(G1189)*(U1189)^3/3+(ABS(K1189)^2)/($I$5*MAX(((F1189)+(G1189)*(U1189))*(U1189),0.000001))),L1189,U1189),IF(T1189=1,L1189,IF(AC1189=1,U1189,MAX($D$16,POWER((ABS(K1189)^2)/($I$5*MAX(F1189,0.1)^2),1/3)))))))</f>
        <v>51800.26683766341</v>
      </c>
      <c r="AE1189">
        <f t="shared" ca="1" si="521"/>
        <v>52432.309337663413</v>
      </c>
      <c r="AF1189">
        <f t="shared" ca="1" si="522"/>
        <v>52432.30933766524</v>
      </c>
      <c r="AI1189">
        <v>0</v>
      </c>
      <c r="AJ1189">
        <v>0</v>
      </c>
      <c r="AK1189">
        <f t="shared" si="523"/>
        <v>0</v>
      </c>
      <c r="AL1189">
        <f t="shared" si="532"/>
        <v>0</v>
      </c>
      <c r="AM1189">
        <f t="shared" ca="1" si="524"/>
        <v>2.6560383008097266E-7</v>
      </c>
      <c r="AN1189" t="str">
        <f t="shared" ca="1" si="525"/>
        <v>Subcritical</v>
      </c>
      <c r="AO1189">
        <f t="shared" ca="1" si="526"/>
        <v>2.2562304480281055E-12</v>
      </c>
    </row>
    <row r="1190" spans="1:41" x14ac:dyDescent="0.35">
      <c r="A1190">
        <v>1041</v>
      </c>
      <c r="B1190">
        <v>1039.8900000000001</v>
      </c>
      <c r="C1190">
        <v>616079.47600000002</v>
      </c>
      <c r="D1190">
        <v>3096964.0839999998</v>
      </c>
      <c r="E1190">
        <v>632.04200000000003</v>
      </c>
      <c r="F1190">
        <v>5.2</v>
      </c>
      <c r="G1190">
        <v>0</v>
      </c>
      <c r="H1190" t="s">
        <v>186</v>
      </c>
      <c r="I1190">
        <v>0.06</v>
      </c>
      <c r="J1190">
        <f t="shared" si="527"/>
        <v>1.0010000000002037</v>
      </c>
      <c r="K1190">
        <f t="shared" si="528"/>
        <v>51</v>
      </c>
      <c r="L1190">
        <f t="shared" ca="1" si="529"/>
        <v>51797.843837663619</v>
      </c>
      <c r="M1190">
        <f t="shared" ca="1" si="506"/>
        <v>269348.78795585083</v>
      </c>
      <c r="N1190">
        <f t="shared" ca="1" si="507"/>
        <v>2.5998694991876676</v>
      </c>
      <c r="O1190">
        <f t="shared" ca="1" si="508"/>
        <v>1.8934557080078435E-4</v>
      </c>
      <c r="P1190">
        <f t="shared" ca="1" si="509"/>
        <v>52429.88583766362</v>
      </c>
      <c r="Q1190">
        <f t="shared" ca="1" si="510"/>
        <v>52429.885837665446</v>
      </c>
      <c r="R1190">
        <f t="shared" ca="1" si="511"/>
        <v>2.2564415439646509E-12</v>
      </c>
      <c r="S1190">
        <f t="shared" ca="1" si="530"/>
        <v>5.0000000192085281E-4</v>
      </c>
      <c r="T1190">
        <f t="shared" ca="1" si="531"/>
        <v>1</v>
      </c>
      <c r="U1190">
        <f t="shared" ca="1" si="512"/>
        <v>51800.26683766341</v>
      </c>
      <c r="V1190">
        <f t="shared" ca="1" si="513"/>
        <v>269361.38755584974</v>
      </c>
      <c r="W1190">
        <f t="shared" ca="1" si="514"/>
        <v>2.5998695052916441</v>
      </c>
      <c r="X1190">
        <f t="shared" ca="1" si="515"/>
        <v>1.8933671400629237E-4</v>
      </c>
      <c r="Y1190">
        <f t="shared" ca="1" si="516"/>
        <v>52432.308837663411</v>
      </c>
      <c r="Z1190">
        <f t="shared" ca="1" si="517"/>
        <v>52432.308837665238</v>
      </c>
      <c r="AA1190">
        <f t="shared" ca="1" si="518"/>
        <v>2.2562304480281055E-12</v>
      </c>
      <c r="AB1190">
        <f t="shared" ca="1" si="519"/>
        <v>-5.0000000192085281E-4</v>
      </c>
      <c r="AC1190">
        <f t="shared" ca="1" si="520"/>
        <v>1</v>
      </c>
      <c r="AD1190">
        <f ca="1">IF(V32="Supercritical",L1190,IF(V32="Subcritical",U1190,IF(AND(T1190=1,AC1190=1),IF((((F1190)*(L1190)^2)/2+(G1190)*(L1190)^3/3+(ABS(K1190)^2)/($I$5*MAX(((F1190)+(G1190)*(L1190))*(L1190),0.000001)))&gt;=(((F1190)*(U1190)^2)/2+(G1190)*(U1190)^3/3+(ABS(K1190)^2)/($I$5*MAX(((F1190)+(G1190)*(U1190))*(U1190),0.000001))),L1190,U1190),IF(T1190=1,L1190,IF(AC1190=1,U1190,MAX($D$16,POWER((ABS(K1190)^2)/($I$5*MAX(F1190,0.1)^2),1/3)))))))</f>
        <v>51800.26683766341</v>
      </c>
      <c r="AE1190">
        <f t="shared" ca="1" si="521"/>
        <v>52432.308837663411</v>
      </c>
      <c r="AF1190">
        <f t="shared" ca="1" si="522"/>
        <v>52432.308837665238</v>
      </c>
      <c r="AI1190">
        <v>0</v>
      </c>
      <c r="AJ1190">
        <v>0</v>
      </c>
      <c r="AK1190">
        <f t="shared" si="523"/>
        <v>0</v>
      </c>
      <c r="AL1190">
        <f t="shared" si="532"/>
        <v>0</v>
      </c>
      <c r="AM1190">
        <f t="shared" ca="1" si="524"/>
        <v>2.6560383008097266E-7</v>
      </c>
      <c r="AN1190" t="str">
        <f t="shared" ca="1" si="525"/>
        <v>Subcritical</v>
      </c>
      <c r="AO1190">
        <f t="shared" ca="1" si="526"/>
        <v>2.2562304480281055E-12</v>
      </c>
    </row>
    <row r="1191" spans="1:41" x14ac:dyDescent="0.35">
      <c r="A1191">
        <v>1042</v>
      </c>
      <c r="B1191">
        <v>1040.8900000000001</v>
      </c>
      <c r="C1191">
        <v>616079.43299999996</v>
      </c>
      <c r="D1191">
        <v>3096963.085</v>
      </c>
      <c r="E1191">
        <v>632.04150000000004</v>
      </c>
      <c r="F1191">
        <v>5.2</v>
      </c>
      <c r="G1191">
        <v>0</v>
      </c>
      <c r="H1191" t="s">
        <v>186</v>
      </c>
      <c r="I1191">
        <v>5.7000000000000002E-2</v>
      </c>
      <c r="J1191">
        <f t="shared" si="527"/>
        <v>1</v>
      </c>
      <c r="K1191">
        <f t="shared" si="528"/>
        <v>51</v>
      </c>
      <c r="L1191">
        <f t="shared" ca="1" si="529"/>
        <v>51797.843837663619</v>
      </c>
      <c r="M1191">
        <f t="shared" ca="1" si="506"/>
        <v>269348.78795585083</v>
      </c>
      <c r="N1191">
        <f t="shared" ca="1" si="507"/>
        <v>2.5998694991876676</v>
      </c>
      <c r="O1191">
        <f t="shared" ca="1" si="508"/>
        <v>1.8934557080078435E-4</v>
      </c>
      <c r="P1191">
        <f t="shared" ca="1" si="509"/>
        <v>52429.885337663618</v>
      </c>
      <c r="Q1191">
        <f t="shared" ca="1" si="510"/>
        <v>52429.885337665444</v>
      </c>
      <c r="R1191">
        <f t="shared" ca="1" si="511"/>
        <v>2.2564415439646509E-12</v>
      </c>
      <c r="S1191">
        <f t="shared" ca="1" si="530"/>
        <v>5.0000000192085281E-4</v>
      </c>
      <c r="T1191">
        <f t="shared" ca="1" si="531"/>
        <v>1</v>
      </c>
      <c r="U1191">
        <f t="shared" ca="1" si="512"/>
        <v>51800.26683766341</v>
      </c>
      <c r="V1191">
        <f t="shared" ca="1" si="513"/>
        <v>269361.38755584974</v>
      </c>
      <c r="W1191">
        <f t="shared" ca="1" si="514"/>
        <v>2.5998695052916441</v>
      </c>
      <c r="X1191">
        <f t="shared" ca="1" si="515"/>
        <v>1.8933671400629237E-4</v>
      </c>
      <c r="Y1191">
        <f t="shared" ca="1" si="516"/>
        <v>52432.308337663409</v>
      </c>
      <c r="Z1191">
        <f t="shared" ca="1" si="517"/>
        <v>52432.308337665236</v>
      </c>
      <c r="AA1191">
        <f t="shared" ca="1" si="518"/>
        <v>2.2562304480281055E-12</v>
      </c>
      <c r="AB1191">
        <f t="shared" ca="1" si="519"/>
        <v>-5.0000000192085281E-4</v>
      </c>
      <c r="AC1191">
        <f t="shared" ca="1" si="520"/>
        <v>1</v>
      </c>
      <c r="AD1191">
        <f ca="1">IF(V32="Supercritical",L1191,IF(V32="Subcritical",U1191,IF(AND(T1191=1,AC1191=1),IF((((F1191)*(L1191)^2)/2+(G1191)*(L1191)^3/3+(ABS(K1191)^2)/($I$5*MAX(((F1191)+(G1191)*(L1191))*(L1191),0.000001)))&gt;=(((F1191)*(U1191)^2)/2+(G1191)*(U1191)^3/3+(ABS(K1191)^2)/($I$5*MAX(((F1191)+(G1191)*(U1191))*(U1191),0.000001))),L1191,U1191),IF(T1191=1,L1191,IF(AC1191=1,U1191,MAX($D$16,POWER((ABS(K1191)^2)/($I$5*MAX(F1191,0.1)^2),1/3)))))))</f>
        <v>51800.26683766341</v>
      </c>
      <c r="AE1191">
        <f t="shared" ca="1" si="521"/>
        <v>52432.308337663409</v>
      </c>
      <c r="AF1191">
        <f t="shared" ca="1" si="522"/>
        <v>52432.308337665236</v>
      </c>
      <c r="AI1191">
        <v>0</v>
      </c>
      <c r="AJ1191">
        <v>0</v>
      </c>
      <c r="AK1191">
        <f t="shared" si="523"/>
        <v>0</v>
      </c>
      <c r="AL1191">
        <f t="shared" si="532"/>
        <v>0</v>
      </c>
      <c r="AM1191">
        <f t="shared" ca="1" si="524"/>
        <v>2.6560383008097266E-7</v>
      </c>
      <c r="AN1191" t="str">
        <f t="shared" ca="1" si="525"/>
        <v>Subcritical</v>
      </c>
      <c r="AO1191">
        <f t="shared" ca="1" si="526"/>
        <v>2.2562304480281055E-12</v>
      </c>
    </row>
    <row r="1192" spans="1:41" x14ac:dyDescent="0.35">
      <c r="A1192">
        <v>1043</v>
      </c>
      <c r="B1192">
        <v>1041.8900000000001</v>
      </c>
      <c r="C1192">
        <v>616079.39099999995</v>
      </c>
      <c r="D1192">
        <v>3096962.0860000001</v>
      </c>
      <c r="E1192">
        <v>632.04100000000005</v>
      </c>
      <c r="F1192">
        <v>5.2</v>
      </c>
      <c r="G1192">
        <v>0</v>
      </c>
      <c r="H1192" t="s">
        <v>186</v>
      </c>
      <c r="I1192">
        <v>0</v>
      </c>
      <c r="J1192">
        <f t="shared" si="527"/>
        <v>1</v>
      </c>
      <c r="K1192">
        <f t="shared" si="528"/>
        <v>51</v>
      </c>
      <c r="L1192">
        <f t="shared" ca="1" si="529"/>
        <v>51797.843837663619</v>
      </c>
      <c r="M1192">
        <f t="shared" ca="1" si="506"/>
        <v>269348.78795585083</v>
      </c>
      <c r="N1192">
        <f t="shared" ca="1" si="507"/>
        <v>2.5998694991876676</v>
      </c>
      <c r="O1192">
        <f t="shared" ca="1" si="508"/>
        <v>1.8934557080078435E-4</v>
      </c>
      <c r="P1192">
        <f t="shared" ca="1" si="509"/>
        <v>52429.884837663616</v>
      </c>
      <c r="Q1192">
        <f t="shared" ca="1" si="510"/>
        <v>52429.884837665442</v>
      </c>
      <c r="R1192">
        <f t="shared" ca="1" si="511"/>
        <v>2.2564415439646509E-12</v>
      </c>
      <c r="S1192">
        <f t="shared" ca="1" si="530"/>
        <v>5.0000000192085281E-4</v>
      </c>
      <c r="T1192">
        <f t="shared" ca="1" si="531"/>
        <v>1</v>
      </c>
      <c r="U1192">
        <f t="shared" ca="1" si="512"/>
        <v>51800.26683766341</v>
      </c>
      <c r="V1192">
        <f t="shared" ca="1" si="513"/>
        <v>269361.38755584974</v>
      </c>
      <c r="W1192">
        <f t="shared" ca="1" si="514"/>
        <v>2.5998695052916441</v>
      </c>
      <c r="X1192">
        <f t="shared" ca="1" si="515"/>
        <v>1.8933671400629237E-4</v>
      </c>
      <c r="Y1192">
        <f t="shared" ca="1" si="516"/>
        <v>52432.307837663408</v>
      </c>
      <c r="Z1192">
        <f t="shared" ca="1" si="517"/>
        <v>52432.307837665234</v>
      </c>
      <c r="AA1192">
        <f t="shared" ca="1" si="518"/>
        <v>2.2562304480281055E-12</v>
      </c>
      <c r="AB1192">
        <f t="shared" ca="1" si="519"/>
        <v>-4.999999946448952E-4</v>
      </c>
      <c r="AC1192">
        <f t="shared" ca="1" si="520"/>
        <v>1</v>
      </c>
      <c r="AD1192">
        <f ca="1">IF(V32="Supercritical",L1192,IF(V32="Subcritical",U1192,IF(AND(T1192=1,AC1192=1),IF((((F1192)*(L1192)^2)/2+(G1192)*(L1192)^3/3+(ABS(K1192)^2)/($I$5*MAX(((F1192)+(G1192)*(L1192))*(L1192),0.000001)))&gt;=(((F1192)*(U1192)^2)/2+(G1192)*(U1192)^3/3+(ABS(K1192)^2)/($I$5*MAX(((F1192)+(G1192)*(U1192))*(U1192),0.000001))),L1192,U1192),IF(T1192=1,L1192,IF(AC1192=1,U1192,MAX($D$16,POWER((ABS(K1192)^2)/($I$5*MAX(F1192,0.1)^2),1/3)))))))</f>
        <v>51800.26683766341</v>
      </c>
      <c r="AE1192">
        <f t="shared" ca="1" si="521"/>
        <v>52432.307837663408</v>
      </c>
      <c r="AF1192">
        <f t="shared" ca="1" si="522"/>
        <v>52432.307837665234</v>
      </c>
      <c r="AI1192">
        <v>0</v>
      </c>
      <c r="AJ1192">
        <v>0</v>
      </c>
      <c r="AK1192">
        <f t="shared" si="523"/>
        <v>0</v>
      </c>
      <c r="AL1192">
        <f t="shared" si="532"/>
        <v>0</v>
      </c>
      <c r="AM1192">
        <f t="shared" ca="1" si="524"/>
        <v>2.6560383008097266E-7</v>
      </c>
      <c r="AN1192" t="str">
        <f t="shared" ca="1" si="525"/>
        <v>Subcritical</v>
      </c>
      <c r="AO1192">
        <f t="shared" ca="1" si="526"/>
        <v>2.2562304480281055E-12</v>
      </c>
    </row>
    <row r="1193" spans="1:41" x14ac:dyDescent="0.35">
      <c r="A1193">
        <v>1044</v>
      </c>
      <c r="B1193">
        <v>1042.8889999999999</v>
      </c>
      <c r="C1193">
        <v>616079.34900000005</v>
      </c>
      <c r="D1193">
        <v>3096961.0869999998</v>
      </c>
      <c r="E1193">
        <v>632.04049999999995</v>
      </c>
      <c r="F1193">
        <v>5.2</v>
      </c>
      <c r="G1193">
        <v>0</v>
      </c>
      <c r="H1193" t="s">
        <v>186</v>
      </c>
      <c r="I1193">
        <v>0</v>
      </c>
      <c r="J1193">
        <f t="shared" si="527"/>
        <v>0.99899999999979627</v>
      </c>
      <c r="K1193">
        <f t="shared" si="528"/>
        <v>51</v>
      </c>
      <c r="L1193">
        <f t="shared" ca="1" si="529"/>
        <v>51797.843837663619</v>
      </c>
      <c r="M1193">
        <f t="shared" ca="1" si="506"/>
        <v>269348.78795585083</v>
      </c>
      <c r="N1193">
        <f t="shared" ca="1" si="507"/>
        <v>2.5998694991876676</v>
      </c>
      <c r="O1193">
        <f t="shared" ca="1" si="508"/>
        <v>1.8934557080078435E-4</v>
      </c>
      <c r="P1193">
        <f t="shared" ca="1" si="509"/>
        <v>52429.884337663621</v>
      </c>
      <c r="Q1193">
        <f t="shared" ca="1" si="510"/>
        <v>52429.884337665448</v>
      </c>
      <c r="R1193">
        <f t="shared" ca="1" si="511"/>
        <v>2.2564415439646509E-12</v>
      </c>
      <c r="S1193">
        <f t="shared" ca="1" si="530"/>
        <v>4.999999946448952E-4</v>
      </c>
      <c r="T1193">
        <f t="shared" ca="1" si="531"/>
        <v>1</v>
      </c>
      <c r="U1193">
        <f t="shared" ca="1" si="512"/>
        <v>51800.26683766341</v>
      </c>
      <c r="V1193">
        <f t="shared" ca="1" si="513"/>
        <v>269361.38755584974</v>
      </c>
      <c r="W1193">
        <f t="shared" ca="1" si="514"/>
        <v>2.5998695052916441</v>
      </c>
      <c r="X1193">
        <f t="shared" ca="1" si="515"/>
        <v>1.8933671400629237E-4</v>
      </c>
      <c r="Y1193">
        <f t="shared" ca="1" si="516"/>
        <v>52432.307337663413</v>
      </c>
      <c r="Z1193">
        <f t="shared" ca="1" si="517"/>
        <v>52432.307337665239</v>
      </c>
      <c r="AA1193">
        <f t="shared" ca="1" si="518"/>
        <v>2.2562304480281055E-12</v>
      </c>
      <c r="AB1193">
        <f t="shared" ca="1" si="519"/>
        <v>-5.0000000192085281E-4</v>
      </c>
      <c r="AC1193">
        <f t="shared" ca="1" si="520"/>
        <v>1</v>
      </c>
      <c r="AD1193">
        <f ca="1">IF(V32="Supercritical",L1193,IF(V32="Subcritical",U1193,IF(AND(T1193=1,AC1193=1),IF((((F1193)*(L1193)^2)/2+(G1193)*(L1193)^3/3+(ABS(K1193)^2)/($I$5*MAX(((F1193)+(G1193)*(L1193))*(L1193),0.000001)))&gt;=(((F1193)*(U1193)^2)/2+(G1193)*(U1193)^3/3+(ABS(K1193)^2)/($I$5*MAX(((F1193)+(G1193)*(U1193))*(U1193),0.000001))),L1193,U1193),IF(T1193=1,L1193,IF(AC1193=1,U1193,MAX($D$16,POWER((ABS(K1193)^2)/($I$5*MAX(F1193,0.1)^2),1/3)))))))</f>
        <v>51800.26683766341</v>
      </c>
      <c r="AE1193">
        <f t="shared" ca="1" si="521"/>
        <v>52432.307337663413</v>
      </c>
      <c r="AF1193">
        <f t="shared" ca="1" si="522"/>
        <v>52432.307337665239</v>
      </c>
      <c r="AI1193">
        <v>0</v>
      </c>
      <c r="AJ1193">
        <v>0</v>
      </c>
      <c r="AK1193">
        <f t="shared" si="523"/>
        <v>0</v>
      </c>
      <c r="AL1193">
        <f t="shared" si="532"/>
        <v>0</v>
      </c>
      <c r="AM1193">
        <f t="shared" ca="1" si="524"/>
        <v>2.6560383008097266E-7</v>
      </c>
      <c r="AN1193" t="str">
        <f t="shared" ca="1" si="525"/>
        <v>Subcritical</v>
      </c>
      <c r="AO1193">
        <f t="shared" ca="1" si="526"/>
        <v>2.2562304480281055E-12</v>
      </c>
    </row>
    <row r="1194" spans="1:41" x14ac:dyDescent="0.35">
      <c r="A1194">
        <v>1045</v>
      </c>
      <c r="B1194">
        <v>1043.8889999999999</v>
      </c>
      <c r="C1194">
        <v>616079.30700000003</v>
      </c>
      <c r="D1194">
        <v>3096960.088</v>
      </c>
      <c r="E1194">
        <v>632.04</v>
      </c>
      <c r="F1194">
        <v>5.2</v>
      </c>
      <c r="G1194">
        <v>0</v>
      </c>
      <c r="H1194" t="s">
        <v>186</v>
      </c>
      <c r="I1194">
        <v>5.7000000000000002E-2</v>
      </c>
      <c r="J1194">
        <f t="shared" si="527"/>
        <v>1</v>
      </c>
      <c r="K1194">
        <f t="shared" si="528"/>
        <v>51</v>
      </c>
      <c r="L1194">
        <f t="shared" ca="1" si="529"/>
        <v>51797.843837663619</v>
      </c>
      <c r="M1194">
        <f t="shared" ca="1" si="506"/>
        <v>269348.78795585083</v>
      </c>
      <c r="N1194">
        <f t="shared" ca="1" si="507"/>
        <v>2.5998694991876676</v>
      </c>
      <c r="O1194">
        <f t="shared" ca="1" si="508"/>
        <v>1.8934557080078435E-4</v>
      </c>
      <c r="P1194">
        <f t="shared" ca="1" si="509"/>
        <v>52429.883837663619</v>
      </c>
      <c r="Q1194">
        <f t="shared" ca="1" si="510"/>
        <v>52429.883837665446</v>
      </c>
      <c r="R1194">
        <f t="shared" ca="1" si="511"/>
        <v>2.2564415439646509E-12</v>
      </c>
      <c r="S1194">
        <f t="shared" ca="1" si="530"/>
        <v>5.0000000192085281E-4</v>
      </c>
      <c r="T1194">
        <f t="shared" ca="1" si="531"/>
        <v>1</v>
      </c>
      <c r="U1194">
        <f t="shared" ca="1" si="512"/>
        <v>51800.26683766341</v>
      </c>
      <c r="V1194">
        <f t="shared" ca="1" si="513"/>
        <v>269361.38755584974</v>
      </c>
      <c r="W1194">
        <f t="shared" ca="1" si="514"/>
        <v>2.5998695052916441</v>
      </c>
      <c r="X1194">
        <f t="shared" ca="1" si="515"/>
        <v>1.8933671400629237E-4</v>
      </c>
      <c r="Y1194">
        <f t="shared" ca="1" si="516"/>
        <v>52432.306837663411</v>
      </c>
      <c r="Z1194">
        <f t="shared" ca="1" si="517"/>
        <v>52432.306837665237</v>
      </c>
      <c r="AA1194">
        <f t="shared" ca="1" si="518"/>
        <v>2.2562304480281055E-12</v>
      </c>
      <c r="AB1194">
        <f t="shared" ca="1" si="519"/>
        <v>-5.0000000192085281E-4</v>
      </c>
      <c r="AC1194">
        <f t="shared" ca="1" si="520"/>
        <v>1</v>
      </c>
      <c r="AD1194">
        <f ca="1">IF(V32="Supercritical",L1194,IF(V32="Subcritical",U1194,IF(AND(T1194=1,AC1194=1),IF((((F1194)*(L1194)^2)/2+(G1194)*(L1194)^3/3+(ABS(K1194)^2)/($I$5*MAX(((F1194)+(G1194)*(L1194))*(L1194),0.000001)))&gt;=(((F1194)*(U1194)^2)/2+(G1194)*(U1194)^3/3+(ABS(K1194)^2)/($I$5*MAX(((F1194)+(G1194)*(U1194))*(U1194),0.000001))),L1194,U1194),IF(T1194=1,L1194,IF(AC1194=1,U1194,MAX($D$16,POWER((ABS(K1194)^2)/($I$5*MAX(F1194,0.1)^2),1/3)))))))</f>
        <v>51800.26683766341</v>
      </c>
      <c r="AE1194">
        <f t="shared" ca="1" si="521"/>
        <v>52432.306837663411</v>
      </c>
      <c r="AF1194">
        <f t="shared" ca="1" si="522"/>
        <v>52432.306837665237</v>
      </c>
      <c r="AI1194">
        <v>0</v>
      </c>
      <c r="AJ1194">
        <v>0</v>
      </c>
      <c r="AK1194">
        <f t="shared" si="523"/>
        <v>0</v>
      </c>
      <c r="AL1194">
        <f t="shared" si="532"/>
        <v>0</v>
      </c>
      <c r="AM1194">
        <f t="shared" ca="1" si="524"/>
        <v>2.6560383008097266E-7</v>
      </c>
      <c r="AN1194" t="str">
        <f t="shared" ca="1" si="525"/>
        <v>Subcritical</v>
      </c>
      <c r="AO1194">
        <f t="shared" ca="1" si="526"/>
        <v>2.2562304480281055E-12</v>
      </c>
    </row>
    <row r="1195" spans="1:41" x14ac:dyDescent="0.35">
      <c r="A1195">
        <v>1046</v>
      </c>
      <c r="B1195">
        <v>1044.8889999999999</v>
      </c>
      <c r="C1195">
        <v>616079.26399999997</v>
      </c>
      <c r="D1195">
        <v>3096959.0890000002</v>
      </c>
      <c r="E1195">
        <v>632.03949999999998</v>
      </c>
      <c r="F1195">
        <v>5.2</v>
      </c>
      <c r="G1195">
        <v>0</v>
      </c>
      <c r="H1195" t="s">
        <v>186</v>
      </c>
      <c r="I1195">
        <v>5.7000000000000002E-2</v>
      </c>
      <c r="J1195">
        <f t="shared" si="527"/>
        <v>1</v>
      </c>
      <c r="K1195">
        <f t="shared" si="528"/>
        <v>51</v>
      </c>
      <c r="L1195">
        <f t="shared" ca="1" si="529"/>
        <v>51797.843837663619</v>
      </c>
      <c r="M1195">
        <f t="shared" ca="1" si="506"/>
        <v>269348.78795585083</v>
      </c>
      <c r="N1195">
        <f t="shared" ca="1" si="507"/>
        <v>2.5998694991876676</v>
      </c>
      <c r="O1195">
        <f t="shared" ca="1" si="508"/>
        <v>1.8934557080078435E-4</v>
      </c>
      <c r="P1195">
        <f t="shared" ca="1" si="509"/>
        <v>52429.883337663618</v>
      </c>
      <c r="Q1195">
        <f t="shared" ca="1" si="510"/>
        <v>52429.883337665444</v>
      </c>
      <c r="R1195">
        <f t="shared" ca="1" si="511"/>
        <v>2.2564415439646509E-12</v>
      </c>
      <c r="S1195">
        <f t="shared" ca="1" si="530"/>
        <v>5.0000000192085281E-4</v>
      </c>
      <c r="T1195">
        <f t="shared" ca="1" si="531"/>
        <v>1</v>
      </c>
      <c r="U1195">
        <f t="shared" ca="1" si="512"/>
        <v>51800.26683766341</v>
      </c>
      <c r="V1195">
        <f t="shared" ca="1" si="513"/>
        <v>269361.38755584974</v>
      </c>
      <c r="W1195">
        <f t="shared" ca="1" si="514"/>
        <v>2.5998695052916441</v>
      </c>
      <c r="X1195">
        <f t="shared" ca="1" si="515"/>
        <v>1.8933671400629237E-4</v>
      </c>
      <c r="Y1195">
        <f t="shared" ca="1" si="516"/>
        <v>52432.306337663409</v>
      </c>
      <c r="Z1195">
        <f t="shared" ca="1" si="517"/>
        <v>52432.306337665235</v>
      </c>
      <c r="AA1195">
        <f t="shared" ca="1" si="518"/>
        <v>2.2562304480281055E-12</v>
      </c>
      <c r="AB1195">
        <f t="shared" ca="1" si="519"/>
        <v>-5.0000000192085281E-4</v>
      </c>
      <c r="AC1195">
        <f t="shared" ca="1" si="520"/>
        <v>1</v>
      </c>
      <c r="AD1195">
        <f ca="1">IF(V32="Supercritical",L1195,IF(V32="Subcritical",U1195,IF(AND(T1195=1,AC1195=1),IF((((F1195)*(L1195)^2)/2+(G1195)*(L1195)^3/3+(ABS(K1195)^2)/($I$5*MAX(((F1195)+(G1195)*(L1195))*(L1195),0.000001)))&gt;=(((F1195)*(U1195)^2)/2+(G1195)*(U1195)^3/3+(ABS(K1195)^2)/($I$5*MAX(((F1195)+(G1195)*(U1195))*(U1195),0.000001))),L1195,U1195),IF(T1195=1,L1195,IF(AC1195=1,U1195,MAX($D$16,POWER((ABS(K1195)^2)/($I$5*MAX(F1195,0.1)^2),1/3)))))))</f>
        <v>51800.26683766341</v>
      </c>
      <c r="AE1195">
        <f t="shared" ca="1" si="521"/>
        <v>52432.306337663409</v>
      </c>
      <c r="AF1195">
        <f t="shared" ca="1" si="522"/>
        <v>52432.306337665235</v>
      </c>
      <c r="AI1195">
        <v>0</v>
      </c>
      <c r="AJ1195">
        <v>0</v>
      </c>
      <c r="AK1195">
        <f t="shared" si="523"/>
        <v>0</v>
      </c>
      <c r="AL1195">
        <f t="shared" si="532"/>
        <v>0</v>
      </c>
      <c r="AM1195">
        <f t="shared" ca="1" si="524"/>
        <v>2.6560383008097266E-7</v>
      </c>
      <c r="AN1195" t="str">
        <f t="shared" ca="1" si="525"/>
        <v>Subcritical</v>
      </c>
      <c r="AO1195">
        <f t="shared" ca="1" si="526"/>
        <v>2.2562304480281055E-12</v>
      </c>
    </row>
    <row r="1196" spans="1:41" x14ac:dyDescent="0.35">
      <c r="A1196">
        <v>1047</v>
      </c>
      <c r="B1196">
        <v>1045.8889999999999</v>
      </c>
      <c r="C1196">
        <v>616079.22199999995</v>
      </c>
      <c r="D1196">
        <v>3096958.09</v>
      </c>
      <c r="E1196">
        <v>632.03899999999999</v>
      </c>
      <c r="F1196">
        <v>5.2</v>
      </c>
      <c r="G1196">
        <v>0</v>
      </c>
      <c r="H1196" t="s">
        <v>186</v>
      </c>
      <c r="I1196">
        <v>0</v>
      </c>
      <c r="J1196">
        <f t="shared" si="527"/>
        <v>1</v>
      </c>
      <c r="K1196">
        <f t="shared" si="528"/>
        <v>51</v>
      </c>
      <c r="L1196">
        <f t="shared" ca="1" si="529"/>
        <v>51797.843837663619</v>
      </c>
      <c r="M1196">
        <f t="shared" ca="1" si="506"/>
        <v>269348.78795585083</v>
      </c>
      <c r="N1196">
        <f t="shared" ca="1" si="507"/>
        <v>2.5998694991876676</v>
      </c>
      <c r="O1196">
        <f t="shared" ca="1" si="508"/>
        <v>1.8934557080078435E-4</v>
      </c>
      <c r="P1196">
        <f t="shared" ca="1" si="509"/>
        <v>52429.882837663616</v>
      </c>
      <c r="Q1196">
        <f t="shared" ca="1" si="510"/>
        <v>52429.882837665442</v>
      </c>
      <c r="R1196">
        <f t="shared" ca="1" si="511"/>
        <v>2.2564415439646509E-12</v>
      </c>
      <c r="S1196">
        <f t="shared" ca="1" si="530"/>
        <v>5.0000000192085281E-4</v>
      </c>
      <c r="T1196">
        <f t="shared" ca="1" si="531"/>
        <v>1</v>
      </c>
      <c r="U1196">
        <f t="shared" ca="1" si="512"/>
        <v>51800.26683766341</v>
      </c>
      <c r="V1196">
        <f t="shared" ca="1" si="513"/>
        <v>269361.38755584974</v>
      </c>
      <c r="W1196">
        <f t="shared" ca="1" si="514"/>
        <v>2.5998695052916441</v>
      </c>
      <c r="X1196">
        <f t="shared" ca="1" si="515"/>
        <v>1.8933671400629237E-4</v>
      </c>
      <c r="Y1196">
        <f t="shared" ca="1" si="516"/>
        <v>52432.305837663407</v>
      </c>
      <c r="Z1196">
        <f t="shared" ca="1" si="517"/>
        <v>52432.305837665233</v>
      </c>
      <c r="AA1196">
        <f t="shared" ca="1" si="518"/>
        <v>2.2562304480281055E-12</v>
      </c>
      <c r="AB1196">
        <f t="shared" ca="1" si="519"/>
        <v>-4.999999946448952E-4</v>
      </c>
      <c r="AC1196">
        <f t="shared" ca="1" si="520"/>
        <v>1</v>
      </c>
      <c r="AD1196">
        <f ca="1">IF(V32="Supercritical",L1196,IF(V32="Subcritical",U1196,IF(AND(T1196=1,AC1196=1),IF((((F1196)*(L1196)^2)/2+(G1196)*(L1196)^3/3+(ABS(K1196)^2)/($I$5*MAX(((F1196)+(G1196)*(L1196))*(L1196),0.000001)))&gt;=(((F1196)*(U1196)^2)/2+(G1196)*(U1196)^3/3+(ABS(K1196)^2)/($I$5*MAX(((F1196)+(G1196)*(U1196))*(U1196),0.000001))),L1196,U1196),IF(T1196=1,L1196,IF(AC1196=1,U1196,MAX($D$16,POWER((ABS(K1196)^2)/($I$5*MAX(F1196,0.1)^2),1/3)))))))</f>
        <v>51800.26683766341</v>
      </c>
      <c r="AE1196">
        <f t="shared" ca="1" si="521"/>
        <v>52432.305837663407</v>
      </c>
      <c r="AF1196">
        <f t="shared" ca="1" si="522"/>
        <v>52432.305837665233</v>
      </c>
      <c r="AI1196">
        <v>0</v>
      </c>
      <c r="AJ1196">
        <v>0</v>
      </c>
      <c r="AK1196">
        <f t="shared" si="523"/>
        <v>0</v>
      </c>
      <c r="AL1196">
        <f t="shared" si="532"/>
        <v>0</v>
      </c>
      <c r="AM1196">
        <f t="shared" ca="1" si="524"/>
        <v>2.6560383008097266E-7</v>
      </c>
      <c r="AN1196" t="str">
        <f t="shared" ca="1" si="525"/>
        <v>Subcritical</v>
      </c>
      <c r="AO1196">
        <f t="shared" ca="1" si="526"/>
        <v>2.2562304480281055E-12</v>
      </c>
    </row>
    <row r="1197" spans="1:41" x14ac:dyDescent="0.35">
      <c r="A1197">
        <v>1048</v>
      </c>
      <c r="B1197">
        <v>1046.8889999999999</v>
      </c>
      <c r="C1197">
        <v>616079.18000000005</v>
      </c>
      <c r="D1197">
        <v>3096957.091</v>
      </c>
      <c r="E1197">
        <v>632.0385</v>
      </c>
      <c r="F1197">
        <v>5.2</v>
      </c>
      <c r="G1197">
        <v>0</v>
      </c>
      <c r="H1197" t="s">
        <v>186</v>
      </c>
      <c r="I1197">
        <v>0</v>
      </c>
      <c r="J1197">
        <f t="shared" si="527"/>
        <v>1</v>
      </c>
      <c r="K1197">
        <f t="shared" si="528"/>
        <v>51</v>
      </c>
      <c r="L1197">
        <f t="shared" ca="1" si="529"/>
        <v>51797.843837663619</v>
      </c>
      <c r="M1197">
        <f t="shared" ca="1" si="506"/>
        <v>269348.78795585083</v>
      </c>
      <c r="N1197">
        <f t="shared" ca="1" si="507"/>
        <v>2.5998694991876676</v>
      </c>
      <c r="O1197">
        <f t="shared" ca="1" si="508"/>
        <v>1.8934557080078435E-4</v>
      </c>
      <c r="P1197">
        <f t="shared" ca="1" si="509"/>
        <v>52429.882337663621</v>
      </c>
      <c r="Q1197">
        <f t="shared" ca="1" si="510"/>
        <v>52429.882337665447</v>
      </c>
      <c r="R1197">
        <f t="shared" ca="1" si="511"/>
        <v>2.2564415439646509E-12</v>
      </c>
      <c r="S1197">
        <f t="shared" ca="1" si="530"/>
        <v>4.999999946448952E-4</v>
      </c>
      <c r="T1197">
        <f t="shared" ca="1" si="531"/>
        <v>1</v>
      </c>
      <c r="U1197">
        <f t="shared" ca="1" si="512"/>
        <v>51800.26683766341</v>
      </c>
      <c r="V1197">
        <f t="shared" ca="1" si="513"/>
        <v>269361.38755584974</v>
      </c>
      <c r="W1197">
        <f t="shared" ca="1" si="514"/>
        <v>2.5998695052916441</v>
      </c>
      <c r="X1197">
        <f t="shared" ca="1" si="515"/>
        <v>1.8933671400629237E-4</v>
      </c>
      <c r="Y1197">
        <f t="shared" ca="1" si="516"/>
        <v>52432.305337663413</v>
      </c>
      <c r="Z1197">
        <f t="shared" ca="1" si="517"/>
        <v>52432.305337665239</v>
      </c>
      <c r="AA1197">
        <f t="shared" ca="1" si="518"/>
        <v>2.2562304480281055E-12</v>
      </c>
      <c r="AB1197">
        <f t="shared" ca="1" si="519"/>
        <v>-5.0000000192085281E-4</v>
      </c>
      <c r="AC1197">
        <f t="shared" ca="1" si="520"/>
        <v>1</v>
      </c>
      <c r="AD1197">
        <f ca="1">IF(V32="Supercritical",L1197,IF(V32="Subcritical",U1197,IF(AND(T1197=1,AC1197=1),IF((((F1197)*(L1197)^2)/2+(G1197)*(L1197)^3/3+(ABS(K1197)^2)/($I$5*MAX(((F1197)+(G1197)*(L1197))*(L1197),0.000001)))&gt;=(((F1197)*(U1197)^2)/2+(G1197)*(U1197)^3/3+(ABS(K1197)^2)/($I$5*MAX(((F1197)+(G1197)*(U1197))*(U1197),0.000001))),L1197,U1197),IF(T1197=1,L1197,IF(AC1197=1,U1197,MAX($D$16,POWER((ABS(K1197)^2)/($I$5*MAX(F1197,0.1)^2),1/3)))))))</f>
        <v>51800.26683766341</v>
      </c>
      <c r="AE1197">
        <f t="shared" ca="1" si="521"/>
        <v>52432.305337663413</v>
      </c>
      <c r="AF1197">
        <f t="shared" ca="1" si="522"/>
        <v>52432.305337665239</v>
      </c>
      <c r="AI1197">
        <v>0</v>
      </c>
      <c r="AJ1197">
        <v>0</v>
      </c>
      <c r="AK1197">
        <f t="shared" si="523"/>
        <v>0</v>
      </c>
      <c r="AL1197">
        <f t="shared" si="532"/>
        <v>0</v>
      </c>
      <c r="AM1197">
        <f t="shared" ca="1" si="524"/>
        <v>2.6560383008097266E-7</v>
      </c>
      <c r="AN1197" t="str">
        <f t="shared" ca="1" si="525"/>
        <v>Subcritical</v>
      </c>
      <c r="AO1197">
        <f t="shared" ca="1" si="526"/>
        <v>2.2562304480281055E-12</v>
      </c>
    </row>
    <row r="1198" spans="1:41" x14ac:dyDescent="0.35">
      <c r="A1198">
        <v>1049</v>
      </c>
      <c r="B1198">
        <v>1047.8889999999999</v>
      </c>
      <c r="C1198">
        <v>616079.13800000004</v>
      </c>
      <c r="D1198">
        <v>3096956.0920000002</v>
      </c>
      <c r="E1198">
        <v>632.03800000000001</v>
      </c>
      <c r="F1198">
        <v>5.2</v>
      </c>
      <c r="G1198">
        <v>0</v>
      </c>
      <c r="H1198" t="s">
        <v>186</v>
      </c>
      <c r="I1198">
        <v>5.7000000000000002E-2</v>
      </c>
      <c r="J1198">
        <f t="shared" si="527"/>
        <v>1</v>
      </c>
      <c r="K1198">
        <f t="shared" si="528"/>
        <v>51</v>
      </c>
      <c r="L1198">
        <f t="shared" ca="1" si="529"/>
        <v>51797.843837663619</v>
      </c>
      <c r="M1198">
        <f t="shared" ca="1" si="506"/>
        <v>269348.78795585083</v>
      </c>
      <c r="N1198">
        <f t="shared" ca="1" si="507"/>
        <v>2.5998694991876676</v>
      </c>
      <c r="O1198">
        <f t="shared" ca="1" si="508"/>
        <v>1.8934557080078435E-4</v>
      </c>
      <c r="P1198">
        <f t="shared" ca="1" si="509"/>
        <v>52429.881837663619</v>
      </c>
      <c r="Q1198">
        <f t="shared" ca="1" si="510"/>
        <v>52429.881837665445</v>
      </c>
      <c r="R1198">
        <f t="shared" ca="1" si="511"/>
        <v>2.2564415439646509E-12</v>
      </c>
      <c r="S1198">
        <f t="shared" ca="1" si="530"/>
        <v>5.0000000192085281E-4</v>
      </c>
      <c r="T1198">
        <f t="shared" ca="1" si="531"/>
        <v>1</v>
      </c>
      <c r="U1198">
        <f t="shared" ca="1" si="512"/>
        <v>51800.26683766341</v>
      </c>
      <c r="V1198">
        <f t="shared" ca="1" si="513"/>
        <v>269361.38755584974</v>
      </c>
      <c r="W1198">
        <f t="shared" ca="1" si="514"/>
        <v>2.5998695052916441</v>
      </c>
      <c r="X1198">
        <f t="shared" ca="1" si="515"/>
        <v>1.8933671400629237E-4</v>
      </c>
      <c r="Y1198">
        <f t="shared" ca="1" si="516"/>
        <v>52432.304837663411</v>
      </c>
      <c r="Z1198">
        <f t="shared" ca="1" si="517"/>
        <v>52432.304837665237</v>
      </c>
      <c r="AA1198">
        <f t="shared" ca="1" si="518"/>
        <v>2.2562304480281055E-12</v>
      </c>
      <c r="AB1198">
        <f t="shared" ca="1" si="519"/>
        <v>-5.0000000192085281E-4</v>
      </c>
      <c r="AC1198">
        <f t="shared" ca="1" si="520"/>
        <v>1</v>
      </c>
      <c r="AD1198">
        <f ca="1">IF(V32="Supercritical",L1198,IF(V32="Subcritical",U1198,IF(AND(T1198=1,AC1198=1),IF((((F1198)*(L1198)^2)/2+(G1198)*(L1198)^3/3+(ABS(K1198)^2)/($I$5*MAX(((F1198)+(G1198)*(L1198))*(L1198),0.000001)))&gt;=(((F1198)*(U1198)^2)/2+(G1198)*(U1198)^3/3+(ABS(K1198)^2)/($I$5*MAX(((F1198)+(G1198)*(U1198))*(U1198),0.000001))),L1198,U1198),IF(T1198=1,L1198,IF(AC1198=1,U1198,MAX($D$16,POWER((ABS(K1198)^2)/($I$5*MAX(F1198,0.1)^2),1/3)))))))</f>
        <v>51800.26683766341</v>
      </c>
      <c r="AE1198">
        <f t="shared" ca="1" si="521"/>
        <v>52432.304837663411</v>
      </c>
      <c r="AF1198">
        <f t="shared" ca="1" si="522"/>
        <v>52432.304837665237</v>
      </c>
      <c r="AI1198">
        <v>0</v>
      </c>
      <c r="AJ1198">
        <v>0</v>
      </c>
      <c r="AK1198">
        <f t="shared" si="523"/>
        <v>0</v>
      </c>
      <c r="AL1198">
        <f t="shared" si="532"/>
        <v>0</v>
      </c>
      <c r="AM1198">
        <f t="shared" ca="1" si="524"/>
        <v>2.6560383008097266E-7</v>
      </c>
      <c r="AN1198" t="str">
        <f t="shared" ca="1" si="525"/>
        <v>Subcritical</v>
      </c>
      <c r="AO1198">
        <f t="shared" ca="1" si="526"/>
        <v>2.2562304480281055E-12</v>
      </c>
    </row>
    <row r="1199" spans="1:41" x14ac:dyDescent="0.35">
      <c r="A1199">
        <v>1050</v>
      </c>
      <c r="B1199">
        <v>1048.8889999999999</v>
      </c>
      <c r="C1199">
        <v>616079.09499999997</v>
      </c>
      <c r="D1199">
        <v>3096955.0929999999</v>
      </c>
      <c r="E1199">
        <v>632.03750000000002</v>
      </c>
      <c r="F1199">
        <v>5.2</v>
      </c>
      <c r="G1199">
        <v>0</v>
      </c>
      <c r="H1199" t="s">
        <v>186</v>
      </c>
      <c r="I1199">
        <v>0.06</v>
      </c>
      <c r="J1199">
        <f t="shared" si="527"/>
        <v>1</v>
      </c>
      <c r="K1199">
        <f t="shared" si="528"/>
        <v>51</v>
      </c>
      <c r="L1199">
        <f t="shared" ca="1" si="529"/>
        <v>51797.843837663619</v>
      </c>
      <c r="M1199">
        <f t="shared" ca="1" si="506"/>
        <v>269348.78795585083</v>
      </c>
      <c r="N1199">
        <f t="shared" ca="1" si="507"/>
        <v>2.5998694991876676</v>
      </c>
      <c r="O1199">
        <f t="shared" ca="1" si="508"/>
        <v>1.8934557080078435E-4</v>
      </c>
      <c r="P1199">
        <f t="shared" ca="1" si="509"/>
        <v>52429.881337663617</v>
      </c>
      <c r="Q1199">
        <f t="shared" ca="1" si="510"/>
        <v>52429.881337665443</v>
      </c>
      <c r="R1199">
        <f t="shared" ca="1" si="511"/>
        <v>2.2564415439646509E-12</v>
      </c>
      <c r="S1199">
        <f t="shared" ca="1" si="530"/>
        <v>5.0000000192085281E-4</v>
      </c>
      <c r="T1199">
        <f t="shared" ca="1" si="531"/>
        <v>1</v>
      </c>
      <c r="U1199">
        <f t="shared" ca="1" si="512"/>
        <v>51800.26683766341</v>
      </c>
      <c r="V1199">
        <f t="shared" ca="1" si="513"/>
        <v>269361.38755584974</v>
      </c>
      <c r="W1199">
        <f t="shared" ca="1" si="514"/>
        <v>2.5998695052916441</v>
      </c>
      <c r="X1199">
        <f t="shared" ca="1" si="515"/>
        <v>1.8933671400629237E-4</v>
      </c>
      <c r="Y1199">
        <f t="shared" ca="1" si="516"/>
        <v>52432.304337663409</v>
      </c>
      <c r="Z1199">
        <f t="shared" ca="1" si="517"/>
        <v>52432.304337665235</v>
      </c>
      <c r="AA1199">
        <f t="shared" ca="1" si="518"/>
        <v>2.2562304480281055E-12</v>
      </c>
      <c r="AB1199">
        <f t="shared" ca="1" si="519"/>
        <v>-5.0000000192085281E-4</v>
      </c>
      <c r="AC1199">
        <f t="shared" ca="1" si="520"/>
        <v>1</v>
      </c>
      <c r="AD1199">
        <f ca="1">IF(V32="Supercritical",L1199,IF(V32="Subcritical",U1199,IF(AND(T1199=1,AC1199=1),IF((((F1199)*(L1199)^2)/2+(G1199)*(L1199)^3/3+(ABS(K1199)^2)/($I$5*MAX(((F1199)+(G1199)*(L1199))*(L1199),0.000001)))&gt;=(((F1199)*(U1199)^2)/2+(G1199)*(U1199)^3/3+(ABS(K1199)^2)/($I$5*MAX(((F1199)+(G1199)*(U1199))*(U1199),0.000001))),L1199,U1199),IF(T1199=1,L1199,IF(AC1199=1,U1199,MAX($D$16,POWER((ABS(K1199)^2)/($I$5*MAX(F1199,0.1)^2),1/3)))))))</f>
        <v>51800.26683766341</v>
      </c>
      <c r="AE1199">
        <f t="shared" ca="1" si="521"/>
        <v>52432.304337663409</v>
      </c>
      <c r="AF1199">
        <f t="shared" ca="1" si="522"/>
        <v>52432.304337665235</v>
      </c>
      <c r="AI1199">
        <v>0</v>
      </c>
      <c r="AJ1199">
        <v>0</v>
      </c>
      <c r="AK1199">
        <f t="shared" si="523"/>
        <v>0</v>
      </c>
      <c r="AL1199">
        <f t="shared" si="532"/>
        <v>0</v>
      </c>
      <c r="AM1199">
        <f t="shared" ca="1" si="524"/>
        <v>2.6560383008097266E-7</v>
      </c>
      <c r="AN1199" t="str">
        <f t="shared" ca="1" si="525"/>
        <v>Subcritical</v>
      </c>
      <c r="AO1199">
        <f t="shared" ca="1" si="526"/>
        <v>2.2562304480281055E-12</v>
      </c>
    </row>
    <row r="1200" spans="1:41" x14ac:dyDescent="0.35">
      <c r="A1200">
        <v>1051</v>
      </c>
      <c r="B1200">
        <v>1049.8900000000001</v>
      </c>
      <c r="C1200">
        <v>616079.05299999996</v>
      </c>
      <c r="D1200">
        <v>3096954.0929999999</v>
      </c>
      <c r="E1200">
        <v>632.03700000000003</v>
      </c>
      <c r="F1200">
        <v>5.2</v>
      </c>
      <c r="G1200">
        <v>0</v>
      </c>
      <c r="H1200" t="s">
        <v>186</v>
      </c>
      <c r="I1200">
        <v>2E-3</v>
      </c>
      <c r="J1200">
        <f t="shared" si="527"/>
        <v>1.0010000000002037</v>
      </c>
      <c r="K1200">
        <f t="shared" si="528"/>
        <v>51</v>
      </c>
      <c r="L1200">
        <f t="shared" ca="1" si="529"/>
        <v>51797.843837663619</v>
      </c>
      <c r="M1200">
        <f t="shared" ca="1" si="506"/>
        <v>269348.78795585083</v>
      </c>
      <c r="N1200">
        <f t="shared" ca="1" si="507"/>
        <v>2.5998694991876676</v>
      </c>
      <c r="O1200">
        <f t="shared" ca="1" si="508"/>
        <v>1.8934557080078435E-4</v>
      </c>
      <c r="P1200">
        <f t="shared" ca="1" si="509"/>
        <v>52429.880837663615</v>
      </c>
      <c r="Q1200">
        <f t="shared" ca="1" si="510"/>
        <v>52429.880837665442</v>
      </c>
      <c r="R1200">
        <f t="shared" ca="1" si="511"/>
        <v>2.2564415439646509E-12</v>
      </c>
      <c r="S1200">
        <f t="shared" ca="1" si="530"/>
        <v>5.0000000192085281E-4</v>
      </c>
      <c r="T1200">
        <f t="shared" ca="1" si="531"/>
        <v>1</v>
      </c>
      <c r="U1200">
        <f t="shared" ca="1" si="512"/>
        <v>51800.26683766341</v>
      </c>
      <c r="V1200">
        <f t="shared" ca="1" si="513"/>
        <v>269361.38755584974</v>
      </c>
      <c r="W1200">
        <f t="shared" ca="1" si="514"/>
        <v>2.5998695052916441</v>
      </c>
      <c r="X1200">
        <f t="shared" ca="1" si="515"/>
        <v>1.8933671400629237E-4</v>
      </c>
      <c r="Y1200">
        <f t="shared" ca="1" si="516"/>
        <v>52432.303837663407</v>
      </c>
      <c r="Z1200">
        <f t="shared" ca="1" si="517"/>
        <v>52432.303837665233</v>
      </c>
      <c r="AA1200">
        <f t="shared" ca="1" si="518"/>
        <v>2.2562304480281055E-12</v>
      </c>
      <c r="AB1200">
        <f t="shared" ca="1" si="519"/>
        <v>-4.999999946448952E-4</v>
      </c>
      <c r="AC1200">
        <f t="shared" ca="1" si="520"/>
        <v>1</v>
      </c>
      <c r="AD1200">
        <f ca="1">IF(V32="Supercritical",L1200,IF(V32="Subcritical",U1200,IF(AND(T1200=1,AC1200=1),IF((((F1200)*(L1200)^2)/2+(G1200)*(L1200)^3/3+(ABS(K1200)^2)/($I$5*MAX(((F1200)+(G1200)*(L1200))*(L1200),0.000001)))&gt;=(((F1200)*(U1200)^2)/2+(G1200)*(U1200)^3/3+(ABS(K1200)^2)/($I$5*MAX(((F1200)+(G1200)*(U1200))*(U1200),0.000001))),L1200,U1200),IF(T1200=1,L1200,IF(AC1200=1,U1200,MAX($D$16,POWER((ABS(K1200)^2)/($I$5*MAX(F1200,0.1)^2),1/3)))))))</f>
        <v>51800.26683766341</v>
      </c>
      <c r="AE1200">
        <f t="shared" ca="1" si="521"/>
        <v>52432.303837663407</v>
      </c>
      <c r="AF1200">
        <f t="shared" ca="1" si="522"/>
        <v>52432.303837665233</v>
      </c>
      <c r="AI1200">
        <v>0</v>
      </c>
      <c r="AJ1200">
        <v>0</v>
      </c>
      <c r="AK1200">
        <f t="shared" si="523"/>
        <v>0</v>
      </c>
      <c r="AL1200">
        <f t="shared" si="532"/>
        <v>0</v>
      </c>
      <c r="AM1200">
        <f t="shared" ca="1" si="524"/>
        <v>2.6560383008097266E-7</v>
      </c>
      <c r="AN1200" t="str">
        <f t="shared" ca="1" si="525"/>
        <v>Subcritical</v>
      </c>
      <c r="AO1200">
        <f t="shared" ca="1" si="526"/>
        <v>2.2562304480281055E-12</v>
      </c>
    </row>
    <row r="1201" spans="1:41" x14ac:dyDescent="0.35">
      <c r="A1201">
        <v>1052</v>
      </c>
      <c r="B1201">
        <v>1050.8900000000001</v>
      </c>
      <c r="C1201">
        <v>616079.01100000006</v>
      </c>
      <c r="D1201">
        <v>3096953.094</v>
      </c>
      <c r="E1201">
        <v>632.03650000000005</v>
      </c>
      <c r="F1201">
        <v>5.2</v>
      </c>
      <c r="G1201">
        <v>0</v>
      </c>
      <c r="H1201" t="s">
        <v>186</v>
      </c>
      <c r="I1201">
        <v>0</v>
      </c>
      <c r="J1201">
        <f t="shared" si="527"/>
        <v>1</v>
      </c>
      <c r="K1201">
        <f t="shared" si="528"/>
        <v>51</v>
      </c>
      <c r="L1201">
        <f t="shared" ca="1" si="529"/>
        <v>51797.843837663619</v>
      </c>
      <c r="M1201">
        <f t="shared" ca="1" si="506"/>
        <v>269348.78795585083</v>
      </c>
      <c r="N1201">
        <f t="shared" ca="1" si="507"/>
        <v>2.5998694991876676</v>
      </c>
      <c r="O1201">
        <f t="shared" ca="1" si="508"/>
        <v>1.8934557080078435E-4</v>
      </c>
      <c r="P1201">
        <f t="shared" ca="1" si="509"/>
        <v>52429.880337663621</v>
      </c>
      <c r="Q1201">
        <f t="shared" ca="1" si="510"/>
        <v>52429.880337665447</v>
      </c>
      <c r="R1201">
        <f t="shared" ca="1" si="511"/>
        <v>2.2564415439646509E-12</v>
      </c>
      <c r="S1201">
        <f t="shared" ca="1" si="530"/>
        <v>4.999999946448952E-4</v>
      </c>
      <c r="T1201">
        <f t="shared" ca="1" si="531"/>
        <v>1</v>
      </c>
      <c r="U1201">
        <f t="shared" ca="1" si="512"/>
        <v>51800.26683766341</v>
      </c>
      <c r="V1201">
        <f t="shared" ca="1" si="513"/>
        <v>269361.38755584974</v>
      </c>
      <c r="W1201">
        <f t="shared" ca="1" si="514"/>
        <v>2.5998695052916441</v>
      </c>
      <c r="X1201">
        <f t="shared" ca="1" si="515"/>
        <v>1.8933671400629237E-4</v>
      </c>
      <c r="Y1201">
        <f t="shared" ca="1" si="516"/>
        <v>52432.303337663412</v>
      </c>
      <c r="Z1201">
        <f t="shared" ca="1" si="517"/>
        <v>52432.303337665238</v>
      </c>
      <c r="AA1201">
        <f t="shared" ca="1" si="518"/>
        <v>2.2562304480281055E-12</v>
      </c>
      <c r="AB1201">
        <f t="shared" ca="1" si="519"/>
        <v>-5.0000000192085281E-4</v>
      </c>
      <c r="AC1201">
        <f t="shared" ca="1" si="520"/>
        <v>1</v>
      </c>
      <c r="AD1201">
        <f ca="1">IF(V32="Supercritical",L1201,IF(V32="Subcritical",U1201,IF(AND(T1201=1,AC1201=1),IF((((F1201)*(L1201)^2)/2+(G1201)*(L1201)^3/3+(ABS(K1201)^2)/($I$5*MAX(((F1201)+(G1201)*(L1201))*(L1201),0.000001)))&gt;=(((F1201)*(U1201)^2)/2+(G1201)*(U1201)^3/3+(ABS(K1201)^2)/($I$5*MAX(((F1201)+(G1201)*(U1201))*(U1201),0.000001))),L1201,U1201),IF(T1201=1,L1201,IF(AC1201=1,U1201,MAX($D$16,POWER((ABS(K1201)^2)/($I$5*MAX(F1201,0.1)^2),1/3)))))))</f>
        <v>51800.26683766341</v>
      </c>
      <c r="AE1201">
        <f t="shared" ca="1" si="521"/>
        <v>52432.303337663412</v>
      </c>
      <c r="AF1201">
        <f t="shared" ca="1" si="522"/>
        <v>52432.303337665238</v>
      </c>
      <c r="AI1201">
        <v>0</v>
      </c>
      <c r="AJ1201">
        <v>0</v>
      </c>
      <c r="AK1201">
        <f t="shared" si="523"/>
        <v>0</v>
      </c>
      <c r="AL1201">
        <f t="shared" si="532"/>
        <v>0</v>
      </c>
      <c r="AM1201">
        <f t="shared" ca="1" si="524"/>
        <v>2.6560383008097266E-7</v>
      </c>
      <c r="AN1201" t="str">
        <f t="shared" ca="1" si="525"/>
        <v>Subcritical</v>
      </c>
      <c r="AO1201">
        <f t="shared" ca="1" si="526"/>
        <v>2.2562304480281055E-12</v>
      </c>
    </row>
    <row r="1202" spans="1:41" x14ac:dyDescent="0.35">
      <c r="A1202">
        <v>1053</v>
      </c>
      <c r="B1202">
        <v>1051.8889999999999</v>
      </c>
      <c r="C1202">
        <v>616078.96900000004</v>
      </c>
      <c r="D1202">
        <v>3096952.0950000002</v>
      </c>
      <c r="E1202">
        <v>632.03599999999994</v>
      </c>
      <c r="F1202">
        <v>5.2</v>
      </c>
      <c r="G1202">
        <v>0</v>
      </c>
      <c r="H1202" t="s">
        <v>186</v>
      </c>
      <c r="I1202">
        <v>5.7000000000000002E-2</v>
      </c>
      <c r="J1202">
        <f t="shared" si="527"/>
        <v>0.99899999999979627</v>
      </c>
      <c r="K1202">
        <f t="shared" si="528"/>
        <v>51</v>
      </c>
      <c r="L1202">
        <f t="shared" ca="1" si="529"/>
        <v>51797.843837663619</v>
      </c>
      <c r="M1202">
        <f t="shared" ca="1" si="506"/>
        <v>269348.78795585083</v>
      </c>
      <c r="N1202">
        <f t="shared" ca="1" si="507"/>
        <v>2.5998694991876676</v>
      </c>
      <c r="O1202">
        <f t="shared" ca="1" si="508"/>
        <v>1.8934557080078435E-4</v>
      </c>
      <c r="P1202">
        <f t="shared" ca="1" si="509"/>
        <v>52429.879837663619</v>
      </c>
      <c r="Q1202">
        <f t="shared" ca="1" si="510"/>
        <v>52429.879837665445</v>
      </c>
      <c r="R1202">
        <f t="shared" ca="1" si="511"/>
        <v>2.2564415439646509E-12</v>
      </c>
      <c r="S1202">
        <f t="shared" ca="1" si="530"/>
        <v>5.0000000192085281E-4</v>
      </c>
      <c r="T1202">
        <f t="shared" ca="1" si="531"/>
        <v>1</v>
      </c>
      <c r="U1202">
        <f t="shared" ca="1" si="512"/>
        <v>51800.26683766341</v>
      </c>
      <c r="V1202">
        <f t="shared" ca="1" si="513"/>
        <v>269361.38755584974</v>
      </c>
      <c r="W1202">
        <f t="shared" ca="1" si="514"/>
        <v>2.5998695052916441</v>
      </c>
      <c r="X1202">
        <f t="shared" ca="1" si="515"/>
        <v>1.8933671400629237E-4</v>
      </c>
      <c r="Y1202">
        <f t="shared" ca="1" si="516"/>
        <v>52432.30283766341</v>
      </c>
      <c r="Z1202">
        <f t="shared" ca="1" si="517"/>
        <v>52432.302837665236</v>
      </c>
      <c r="AA1202">
        <f t="shared" ca="1" si="518"/>
        <v>2.2562304480281055E-12</v>
      </c>
      <c r="AB1202">
        <f t="shared" ca="1" si="519"/>
        <v>-5.0000000192085281E-4</v>
      </c>
      <c r="AC1202">
        <f t="shared" ca="1" si="520"/>
        <v>1</v>
      </c>
      <c r="AD1202">
        <f ca="1">IF(V32="Supercritical",L1202,IF(V32="Subcritical",U1202,IF(AND(T1202=1,AC1202=1),IF((((F1202)*(L1202)^2)/2+(G1202)*(L1202)^3/3+(ABS(K1202)^2)/($I$5*MAX(((F1202)+(G1202)*(L1202))*(L1202),0.000001)))&gt;=(((F1202)*(U1202)^2)/2+(G1202)*(U1202)^3/3+(ABS(K1202)^2)/($I$5*MAX(((F1202)+(G1202)*(U1202))*(U1202),0.000001))),L1202,U1202),IF(T1202=1,L1202,IF(AC1202=1,U1202,MAX($D$16,POWER((ABS(K1202)^2)/($I$5*MAX(F1202,0.1)^2),1/3)))))))</f>
        <v>51800.26683766341</v>
      </c>
      <c r="AE1202">
        <f t="shared" ca="1" si="521"/>
        <v>52432.30283766341</v>
      </c>
      <c r="AF1202">
        <f t="shared" ca="1" si="522"/>
        <v>52432.302837665236</v>
      </c>
      <c r="AI1202">
        <v>0</v>
      </c>
      <c r="AJ1202">
        <v>0</v>
      </c>
      <c r="AK1202">
        <f t="shared" si="523"/>
        <v>0</v>
      </c>
      <c r="AL1202">
        <f t="shared" si="532"/>
        <v>0</v>
      </c>
      <c r="AM1202">
        <f t="shared" ca="1" si="524"/>
        <v>2.6560383008097266E-7</v>
      </c>
      <c r="AN1202" t="str">
        <f t="shared" ca="1" si="525"/>
        <v>Subcritical</v>
      </c>
      <c r="AO1202">
        <f t="shared" ca="1" si="526"/>
        <v>2.2562304480281055E-12</v>
      </c>
    </row>
    <row r="1203" spans="1:41" x14ac:dyDescent="0.35">
      <c r="A1203">
        <v>1054</v>
      </c>
      <c r="B1203">
        <v>1052.8889999999999</v>
      </c>
      <c r="C1203">
        <v>616078.92599999998</v>
      </c>
      <c r="D1203">
        <v>3096951.0959999999</v>
      </c>
      <c r="E1203">
        <v>632.03549999999996</v>
      </c>
      <c r="F1203">
        <v>5.2</v>
      </c>
      <c r="G1203">
        <v>0</v>
      </c>
      <c r="H1203" t="s">
        <v>186</v>
      </c>
      <c r="I1203">
        <v>5.7000000000000002E-2</v>
      </c>
      <c r="J1203">
        <f t="shared" si="527"/>
        <v>1</v>
      </c>
      <c r="K1203">
        <f t="shared" si="528"/>
        <v>51</v>
      </c>
      <c r="L1203">
        <f t="shared" ca="1" si="529"/>
        <v>51797.843837663619</v>
      </c>
      <c r="M1203">
        <f t="shared" ca="1" si="506"/>
        <v>269348.78795585083</v>
      </c>
      <c r="N1203">
        <f t="shared" ca="1" si="507"/>
        <v>2.5998694991876676</v>
      </c>
      <c r="O1203">
        <f t="shared" ca="1" si="508"/>
        <v>1.8934557080078435E-4</v>
      </c>
      <c r="P1203">
        <f t="shared" ca="1" si="509"/>
        <v>52429.879337663617</v>
      </c>
      <c r="Q1203">
        <f t="shared" ca="1" si="510"/>
        <v>52429.879337665443</v>
      </c>
      <c r="R1203">
        <f t="shared" ca="1" si="511"/>
        <v>2.2564415439646509E-12</v>
      </c>
      <c r="S1203">
        <f t="shared" ca="1" si="530"/>
        <v>5.0000000192085281E-4</v>
      </c>
      <c r="T1203">
        <f t="shared" ca="1" si="531"/>
        <v>1</v>
      </c>
      <c r="U1203">
        <f t="shared" ca="1" si="512"/>
        <v>51800.26683766341</v>
      </c>
      <c r="V1203">
        <f t="shared" ca="1" si="513"/>
        <v>269361.38755584974</v>
      </c>
      <c r="W1203">
        <f t="shared" ca="1" si="514"/>
        <v>2.5998695052916441</v>
      </c>
      <c r="X1203">
        <f t="shared" ca="1" si="515"/>
        <v>1.8933671400629237E-4</v>
      </c>
      <c r="Y1203">
        <f t="shared" ca="1" si="516"/>
        <v>52432.302337663408</v>
      </c>
      <c r="Z1203">
        <f t="shared" ca="1" si="517"/>
        <v>52432.302337665235</v>
      </c>
      <c r="AA1203">
        <f t="shared" ca="1" si="518"/>
        <v>2.2562304480281055E-12</v>
      </c>
      <c r="AB1203">
        <f t="shared" ca="1" si="519"/>
        <v>-4.999999946448952E-4</v>
      </c>
      <c r="AC1203">
        <f t="shared" ca="1" si="520"/>
        <v>1</v>
      </c>
      <c r="AD1203">
        <f ca="1">IF(V32="Supercritical",L1203,IF(V32="Subcritical",U1203,IF(AND(T1203=1,AC1203=1),IF((((F1203)*(L1203)^2)/2+(G1203)*(L1203)^3/3+(ABS(K1203)^2)/($I$5*MAX(((F1203)+(G1203)*(L1203))*(L1203),0.000001)))&gt;=(((F1203)*(U1203)^2)/2+(G1203)*(U1203)^3/3+(ABS(K1203)^2)/($I$5*MAX(((F1203)+(G1203)*(U1203))*(U1203),0.000001))),L1203,U1203),IF(T1203=1,L1203,IF(AC1203=1,U1203,MAX($D$16,POWER((ABS(K1203)^2)/($I$5*MAX(F1203,0.1)^2),1/3)))))))</f>
        <v>51800.26683766341</v>
      </c>
      <c r="AE1203">
        <f t="shared" ca="1" si="521"/>
        <v>52432.302337663408</v>
      </c>
      <c r="AF1203">
        <f t="shared" ca="1" si="522"/>
        <v>52432.302337665235</v>
      </c>
      <c r="AI1203">
        <v>0</v>
      </c>
      <c r="AJ1203">
        <v>0</v>
      </c>
      <c r="AK1203">
        <f t="shared" si="523"/>
        <v>0</v>
      </c>
      <c r="AL1203">
        <f t="shared" si="532"/>
        <v>0</v>
      </c>
      <c r="AM1203">
        <f t="shared" ca="1" si="524"/>
        <v>2.6560383008097266E-7</v>
      </c>
      <c r="AN1203" t="str">
        <f t="shared" ca="1" si="525"/>
        <v>Subcritical</v>
      </c>
      <c r="AO1203">
        <f t="shared" ca="1" si="526"/>
        <v>2.2562304480281055E-12</v>
      </c>
    </row>
    <row r="1204" spans="1:41" x14ac:dyDescent="0.35">
      <c r="A1204">
        <v>1055</v>
      </c>
      <c r="B1204">
        <v>1053.8889999999999</v>
      </c>
      <c r="C1204">
        <v>616078.88399999996</v>
      </c>
      <c r="D1204">
        <v>3096950.0970000001</v>
      </c>
      <c r="E1204">
        <v>632.03499999999997</v>
      </c>
      <c r="F1204">
        <v>5.2</v>
      </c>
      <c r="G1204">
        <v>0</v>
      </c>
      <c r="H1204" t="s">
        <v>186</v>
      </c>
      <c r="I1204">
        <v>0</v>
      </c>
      <c r="J1204">
        <f t="shared" si="527"/>
        <v>1</v>
      </c>
      <c r="K1204">
        <f t="shared" si="528"/>
        <v>51</v>
      </c>
      <c r="L1204">
        <f t="shared" ca="1" si="529"/>
        <v>51797.843837663619</v>
      </c>
      <c r="M1204">
        <f t="shared" ca="1" si="506"/>
        <v>269348.78795585083</v>
      </c>
      <c r="N1204">
        <f t="shared" ca="1" si="507"/>
        <v>2.5998694991876676</v>
      </c>
      <c r="O1204">
        <f t="shared" ca="1" si="508"/>
        <v>1.8934557080078435E-4</v>
      </c>
      <c r="P1204">
        <f t="shared" ca="1" si="509"/>
        <v>52429.878837663622</v>
      </c>
      <c r="Q1204">
        <f t="shared" ca="1" si="510"/>
        <v>52429.878837665448</v>
      </c>
      <c r="R1204">
        <f t="shared" ca="1" si="511"/>
        <v>2.2564415439646509E-12</v>
      </c>
      <c r="S1204">
        <f t="shared" ca="1" si="530"/>
        <v>4.999999946448952E-4</v>
      </c>
      <c r="T1204">
        <f t="shared" ca="1" si="531"/>
        <v>1</v>
      </c>
      <c r="U1204">
        <f t="shared" ca="1" si="512"/>
        <v>51800.26683766341</v>
      </c>
      <c r="V1204">
        <f t="shared" ca="1" si="513"/>
        <v>269361.38755584974</v>
      </c>
      <c r="W1204">
        <f t="shared" ca="1" si="514"/>
        <v>2.5998695052916441</v>
      </c>
      <c r="X1204">
        <f t="shared" ca="1" si="515"/>
        <v>1.8933671400629237E-4</v>
      </c>
      <c r="Y1204">
        <f t="shared" ca="1" si="516"/>
        <v>52432.301837663414</v>
      </c>
      <c r="Z1204">
        <f t="shared" ca="1" si="517"/>
        <v>52432.30183766524</v>
      </c>
      <c r="AA1204">
        <f t="shared" ca="1" si="518"/>
        <v>2.2562304480281055E-12</v>
      </c>
      <c r="AB1204">
        <f t="shared" ca="1" si="519"/>
        <v>-5.0000000192085281E-4</v>
      </c>
      <c r="AC1204">
        <f t="shared" ca="1" si="520"/>
        <v>1</v>
      </c>
      <c r="AD1204">
        <f ca="1">IF(V32="Supercritical",L1204,IF(V32="Subcritical",U1204,IF(AND(T1204=1,AC1204=1),IF((((F1204)*(L1204)^2)/2+(G1204)*(L1204)^3/3+(ABS(K1204)^2)/($I$5*MAX(((F1204)+(G1204)*(L1204))*(L1204),0.000001)))&gt;=(((F1204)*(U1204)^2)/2+(G1204)*(U1204)^3/3+(ABS(K1204)^2)/($I$5*MAX(((F1204)+(G1204)*(U1204))*(U1204),0.000001))),L1204,U1204),IF(T1204=1,L1204,IF(AC1204=1,U1204,MAX($D$16,POWER((ABS(K1204)^2)/($I$5*MAX(F1204,0.1)^2),1/3)))))))</f>
        <v>51800.26683766341</v>
      </c>
      <c r="AE1204">
        <f t="shared" ca="1" si="521"/>
        <v>52432.301837663414</v>
      </c>
      <c r="AF1204">
        <f t="shared" ca="1" si="522"/>
        <v>52432.30183766524</v>
      </c>
      <c r="AI1204">
        <v>0</v>
      </c>
      <c r="AJ1204">
        <v>0</v>
      </c>
      <c r="AK1204">
        <f t="shared" si="523"/>
        <v>0</v>
      </c>
      <c r="AL1204">
        <f t="shared" si="532"/>
        <v>0</v>
      </c>
      <c r="AM1204">
        <f t="shared" ca="1" si="524"/>
        <v>2.6560383008097266E-7</v>
      </c>
      <c r="AN1204" t="str">
        <f t="shared" ca="1" si="525"/>
        <v>Subcritical</v>
      </c>
      <c r="AO1204">
        <f t="shared" ca="1" si="526"/>
        <v>2.2562304480281055E-12</v>
      </c>
    </row>
    <row r="1205" spans="1:41" x14ac:dyDescent="0.35">
      <c r="A1205">
        <v>1056</v>
      </c>
      <c r="B1205">
        <v>1054.8889999999999</v>
      </c>
      <c r="C1205">
        <v>616078.84199999995</v>
      </c>
      <c r="D1205">
        <v>3096949.0980000002</v>
      </c>
      <c r="E1205">
        <v>632.03449999999998</v>
      </c>
      <c r="F1205">
        <v>5.2</v>
      </c>
      <c r="G1205">
        <v>0</v>
      </c>
      <c r="H1205" t="s">
        <v>186</v>
      </c>
      <c r="I1205">
        <v>0</v>
      </c>
      <c r="J1205">
        <f t="shared" si="527"/>
        <v>1</v>
      </c>
      <c r="K1205">
        <f t="shared" si="528"/>
        <v>51</v>
      </c>
      <c r="L1205">
        <f t="shared" ca="1" si="529"/>
        <v>51797.843837663619</v>
      </c>
      <c r="M1205">
        <f t="shared" ca="1" si="506"/>
        <v>269348.78795585083</v>
      </c>
      <c r="N1205">
        <f t="shared" ca="1" si="507"/>
        <v>2.5998694991876676</v>
      </c>
      <c r="O1205">
        <f t="shared" ca="1" si="508"/>
        <v>1.8934557080078435E-4</v>
      </c>
      <c r="P1205">
        <f t="shared" ca="1" si="509"/>
        <v>52429.87833766362</v>
      </c>
      <c r="Q1205">
        <f t="shared" ca="1" si="510"/>
        <v>52429.878337665446</v>
      </c>
      <c r="R1205">
        <f t="shared" ca="1" si="511"/>
        <v>2.2564415439646509E-12</v>
      </c>
      <c r="S1205">
        <f t="shared" ca="1" si="530"/>
        <v>5.0000000192085281E-4</v>
      </c>
      <c r="T1205">
        <f t="shared" ca="1" si="531"/>
        <v>1</v>
      </c>
      <c r="U1205">
        <f t="shared" ca="1" si="512"/>
        <v>51800.26683766341</v>
      </c>
      <c r="V1205">
        <f t="shared" ca="1" si="513"/>
        <v>269361.38755584974</v>
      </c>
      <c r="W1205">
        <f t="shared" ca="1" si="514"/>
        <v>2.5998695052916441</v>
      </c>
      <c r="X1205">
        <f t="shared" ca="1" si="515"/>
        <v>1.8933671400629237E-4</v>
      </c>
      <c r="Y1205">
        <f t="shared" ca="1" si="516"/>
        <v>52432.301337663412</v>
      </c>
      <c r="Z1205">
        <f t="shared" ca="1" si="517"/>
        <v>52432.301337665238</v>
      </c>
      <c r="AA1205">
        <f t="shared" ca="1" si="518"/>
        <v>2.2562304480281055E-12</v>
      </c>
      <c r="AB1205">
        <f t="shared" ca="1" si="519"/>
        <v>-5.0000000192085281E-4</v>
      </c>
      <c r="AC1205">
        <f t="shared" ca="1" si="520"/>
        <v>1</v>
      </c>
      <c r="AD1205">
        <f ca="1">IF(V32="Supercritical",L1205,IF(V32="Subcritical",U1205,IF(AND(T1205=1,AC1205=1),IF((((F1205)*(L1205)^2)/2+(G1205)*(L1205)^3/3+(ABS(K1205)^2)/($I$5*MAX(((F1205)+(G1205)*(L1205))*(L1205),0.000001)))&gt;=(((F1205)*(U1205)^2)/2+(G1205)*(U1205)^3/3+(ABS(K1205)^2)/($I$5*MAX(((F1205)+(G1205)*(U1205))*(U1205),0.000001))),L1205,U1205),IF(T1205=1,L1205,IF(AC1205=1,U1205,MAX($D$16,POWER((ABS(K1205)^2)/($I$5*MAX(F1205,0.1)^2),1/3)))))))</f>
        <v>51800.26683766341</v>
      </c>
      <c r="AE1205">
        <f t="shared" ca="1" si="521"/>
        <v>52432.301337663412</v>
      </c>
      <c r="AF1205">
        <f t="shared" ca="1" si="522"/>
        <v>52432.301337665238</v>
      </c>
      <c r="AI1205">
        <v>0</v>
      </c>
      <c r="AJ1205">
        <v>0</v>
      </c>
      <c r="AK1205">
        <f t="shared" si="523"/>
        <v>0</v>
      </c>
      <c r="AL1205">
        <f t="shared" si="532"/>
        <v>0</v>
      </c>
      <c r="AM1205">
        <f t="shared" ca="1" si="524"/>
        <v>2.6560383008097266E-7</v>
      </c>
      <c r="AN1205" t="str">
        <f t="shared" ca="1" si="525"/>
        <v>Subcritical</v>
      </c>
      <c r="AO1205">
        <f t="shared" ca="1" si="526"/>
        <v>2.2562304480281055E-12</v>
      </c>
    </row>
    <row r="1206" spans="1:41" x14ac:dyDescent="0.35">
      <c r="A1206">
        <v>1057</v>
      </c>
      <c r="B1206">
        <v>1055.8889999999999</v>
      </c>
      <c r="C1206">
        <v>616078.80000000005</v>
      </c>
      <c r="D1206">
        <v>3096948.0989999999</v>
      </c>
      <c r="E1206">
        <v>632.03399999999999</v>
      </c>
      <c r="F1206">
        <v>5.2</v>
      </c>
      <c r="G1206">
        <v>0</v>
      </c>
      <c r="H1206" t="s">
        <v>186</v>
      </c>
      <c r="I1206">
        <v>5.7000000000000002E-2</v>
      </c>
      <c r="J1206">
        <f t="shared" si="527"/>
        <v>1</v>
      </c>
      <c r="K1206">
        <f t="shared" si="528"/>
        <v>51</v>
      </c>
      <c r="L1206">
        <f t="shared" ca="1" si="529"/>
        <v>51797.843837663619</v>
      </c>
      <c r="M1206">
        <f t="shared" ca="1" si="506"/>
        <v>269348.78795585083</v>
      </c>
      <c r="N1206">
        <f t="shared" ca="1" si="507"/>
        <v>2.5998694991876676</v>
      </c>
      <c r="O1206">
        <f t="shared" ca="1" si="508"/>
        <v>1.8934557080078435E-4</v>
      </c>
      <c r="P1206">
        <f t="shared" ca="1" si="509"/>
        <v>52429.877837663618</v>
      </c>
      <c r="Q1206">
        <f t="shared" ca="1" si="510"/>
        <v>52429.877837665445</v>
      </c>
      <c r="R1206">
        <f t="shared" ca="1" si="511"/>
        <v>2.2564415439646509E-12</v>
      </c>
      <c r="S1206">
        <f t="shared" ca="1" si="530"/>
        <v>5.0000000192085281E-4</v>
      </c>
      <c r="T1206">
        <f t="shared" ca="1" si="531"/>
        <v>1</v>
      </c>
      <c r="U1206">
        <f t="shared" ca="1" si="512"/>
        <v>51800.26683766341</v>
      </c>
      <c r="V1206">
        <f t="shared" ca="1" si="513"/>
        <v>269361.38755584974</v>
      </c>
      <c r="W1206">
        <f t="shared" ca="1" si="514"/>
        <v>2.5998695052916441</v>
      </c>
      <c r="X1206">
        <f t="shared" ca="1" si="515"/>
        <v>1.8933671400629237E-4</v>
      </c>
      <c r="Y1206">
        <f t="shared" ca="1" si="516"/>
        <v>52432.30083766341</v>
      </c>
      <c r="Z1206">
        <f t="shared" ca="1" si="517"/>
        <v>52432.300837665236</v>
      </c>
      <c r="AA1206">
        <f t="shared" ca="1" si="518"/>
        <v>2.2562304480281055E-12</v>
      </c>
      <c r="AB1206">
        <f t="shared" ca="1" si="519"/>
        <v>-5.0000000192085281E-4</v>
      </c>
      <c r="AC1206">
        <f t="shared" ca="1" si="520"/>
        <v>1</v>
      </c>
      <c r="AD1206">
        <f ca="1">IF(V32="Supercritical",L1206,IF(V32="Subcritical",U1206,IF(AND(T1206=1,AC1206=1),IF((((F1206)*(L1206)^2)/2+(G1206)*(L1206)^3/3+(ABS(K1206)^2)/($I$5*MAX(((F1206)+(G1206)*(L1206))*(L1206),0.000001)))&gt;=(((F1206)*(U1206)^2)/2+(G1206)*(U1206)^3/3+(ABS(K1206)^2)/($I$5*MAX(((F1206)+(G1206)*(U1206))*(U1206),0.000001))),L1206,U1206),IF(T1206=1,L1206,IF(AC1206=1,U1206,MAX($D$16,POWER((ABS(K1206)^2)/($I$5*MAX(F1206,0.1)^2),1/3)))))))</f>
        <v>51800.26683766341</v>
      </c>
      <c r="AE1206">
        <f t="shared" ca="1" si="521"/>
        <v>52432.30083766341</v>
      </c>
      <c r="AF1206">
        <f t="shared" ca="1" si="522"/>
        <v>52432.300837665236</v>
      </c>
      <c r="AI1206">
        <v>0</v>
      </c>
      <c r="AJ1206">
        <v>0</v>
      </c>
      <c r="AK1206">
        <f t="shared" si="523"/>
        <v>0</v>
      </c>
      <c r="AL1206">
        <f t="shared" si="532"/>
        <v>0</v>
      </c>
      <c r="AM1206">
        <f t="shared" ca="1" si="524"/>
        <v>2.6560383008097266E-7</v>
      </c>
      <c r="AN1206" t="str">
        <f t="shared" ca="1" si="525"/>
        <v>Subcritical</v>
      </c>
      <c r="AO1206">
        <f t="shared" ca="1" si="526"/>
        <v>2.2562304480281055E-12</v>
      </c>
    </row>
    <row r="1207" spans="1:41" x14ac:dyDescent="0.35">
      <c r="A1207">
        <v>1058</v>
      </c>
      <c r="B1207">
        <v>1056.8889999999999</v>
      </c>
      <c r="C1207">
        <v>616078.75699999998</v>
      </c>
      <c r="D1207">
        <v>3096947.1</v>
      </c>
      <c r="E1207">
        <v>632.0335</v>
      </c>
      <c r="F1207">
        <v>5.2</v>
      </c>
      <c r="G1207">
        <v>0</v>
      </c>
      <c r="H1207" t="s">
        <v>186</v>
      </c>
      <c r="I1207">
        <v>5.7000000000000002E-2</v>
      </c>
      <c r="J1207">
        <f t="shared" si="527"/>
        <v>1</v>
      </c>
      <c r="K1207">
        <f t="shared" si="528"/>
        <v>51</v>
      </c>
      <c r="L1207">
        <f t="shared" ca="1" si="529"/>
        <v>51797.843837663619</v>
      </c>
      <c r="M1207">
        <f t="shared" ca="1" si="506"/>
        <v>269348.78795585083</v>
      </c>
      <c r="N1207">
        <f t="shared" ca="1" si="507"/>
        <v>2.5998694991876676</v>
      </c>
      <c r="O1207">
        <f t="shared" ca="1" si="508"/>
        <v>1.8934557080078435E-4</v>
      </c>
      <c r="P1207">
        <f t="shared" ca="1" si="509"/>
        <v>52429.877337663616</v>
      </c>
      <c r="Q1207">
        <f t="shared" ca="1" si="510"/>
        <v>52429.877337665443</v>
      </c>
      <c r="R1207">
        <f t="shared" ca="1" si="511"/>
        <v>2.2564415439646509E-12</v>
      </c>
      <c r="S1207">
        <f t="shared" ca="1" si="530"/>
        <v>5.0000000192085281E-4</v>
      </c>
      <c r="T1207">
        <f t="shared" ca="1" si="531"/>
        <v>1</v>
      </c>
      <c r="U1207">
        <f t="shared" ca="1" si="512"/>
        <v>51800.26683766341</v>
      </c>
      <c r="V1207">
        <f t="shared" ca="1" si="513"/>
        <v>269361.38755584974</v>
      </c>
      <c r="W1207">
        <f t="shared" ca="1" si="514"/>
        <v>2.5998695052916441</v>
      </c>
      <c r="X1207">
        <f t="shared" ca="1" si="515"/>
        <v>1.8933671400629237E-4</v>
      </c>
      <c r="Y1207">
        <f t="shared" ca="1" si="516"/>
        <v>52432.300337663408</v>
      </c>
      <c r="Z1207">
        <f t="shared" ca="1" si="517"/>
        <v>52432.300337665234</v>
      </c>
      <c r="AA1207">
        <f t="shared" ca="1" si="518"/>
        <v>2.2562304480281055E-12</v>
      </c>
      <c r="AB1207">
        <f t="shared" ca="1" si="519"/>
        <v>-4.999999946448952E-4</v>
      </c>
      <c r="AC1207">
        <f t="shared" ca="1" si="520"/>
        <v>1</v>
      </c>
      <c r="AD1207">
        <f ca="1">IF(V32="Supercritical",L1207,IF(V32="Subcritical",U1207,IF(AND(T1207=1,AC1207=1),IF((((F1207)*(L1207)^2)/2+(G1207)*(L1207)^3/3+(ABS(K1207)^2)/($I$5*MAX(((F1207)+(G1207)*(L1207))*(L1207),0.000001)))&gt;=(((F1207)*(U1207)^2)/2+(G1207)*(U1207)^3/3+(ABS(K1207)^2)/($I$5*MAX(((F1207)+(G1207)*(U1207))*(U1207),0.000001))),L1207,U1207),IF(T1207=1,L1207,IF(AC1207=1,U1207,MAX($D$16,POWER((ABS(K1207)^2)/($I$5*MAX(F1207,0.1)^2),1/3)))))))</f>
        <v>51800.26683766341</v>
      </c>
      <c r="AE1207">
        <f t="shared" ca="1" si="521"/>
        <v>52432.300337663408</v>
      </c>
      <c r="AF1207">
        <f t="shared" ca="1" si="522"/>
        <v>52432.300337665234</v>
      </c>
      <c r="AI1207">
        <v>0</v>
      </c>
      <c r="AJ1207">
        <v>0</v>
      </c>
      <c r="AK1207">
        <f t="shared" si="523"/>
        <v>0</v>
      </c>
      <c r="AL1207">
        <f t="shared" si="532"/>
        <v>0</v>
      </c>
      <c r="AM1207">
        <f t="shared" ca="1" si="524"/>
        <v>2.6560383008097266E-7</v>
      </c>
      <c r="AN1207" t="str">
        <f t="shared" ca="1" si="525"/>
        <v>Subcritical</v>
      </c>
      <c r="AO1207">
        <f t="shared" ca="1" si="526"/>
        <v>2.2562304480281055E-12</v>
      </c>
    </row>
    <row r="1208" spans="1:41" x14ac:dyDescent="0.35">
      <c r="A1208">
        <v>1059</v>
      </c>
      <c r="B1208">
        <v>1057.8889999999999</v>
      </c>
      <c r="C1208">
        <v>616078.71499999997</v>
      </c>
      <c r="D1208">
        <v>3096946.1009999998</v>
      </c>
      <c r="E1208">
        <v>632.03300000000002</v>
      </c>
      <c r="F1208">
        <v>5.2</v>
      </c>
      <c r="G1208">
        <v>0</v>
      </c>
      <c r="H1208" t="s">
        <v>186</v>
      </c>
      <c r="I1208">
        <v>2E-3</v>
      </c>
      <c r="J1208">
        <f t="shared" si="527"/>
        <v>1</v>
      </c>
      <c r="K1208">
        <f t="shared" si="528"/>
        <v>51</v>
      </c>
      <c r="L1208">
        <f t="shared" ca="1" si="529"/>
        <v>51797.843837663619</v>
      </c>
      <c r="M1208">
        <f t="shared" ca="1" si="506"/>
        <v>269348.78795585083</v>
      </c>
      <c r="N1208">
        <f t="shared" ca="1" si="507"/>
        <v>2.5998694991876676</v>
      </c>
      <c r="O1208">
        <f t="shared" ca="1" si="508"/>
        <v>1.8934557080078435E-4</v>
      </c>
      <c r="P1208">
        <f t="shared" ca="1" si="509"/>
        <v>52429.876837663622</v>
      </c>
      <c r="Q1208">
        <f t="shared" ca="1" si="510"/>
        <v>52429.876837665448</v>
      </c>
      <c r="R1208">
        <f t="shared" ca="1" si="511"/>
        <v>2.2564415439646509E-12</v>
      </c>
      <c r="S1208">
        <f t="shared" ca="1" si="530"/>
        <v>4.999999946448952E-4</v>
      </c>
      <c r="T1208">
        <f t="shared" ca="1" si="531"/>
        <v>1</v>
      </c>
      <c r="U1208">
        <f t="shared" ca="1" si="512"/>
        <v>51800.26683766341</v>
      </c>
      <c r="V1208">
        <f t="shared" ca="1" si="513"/>
        <v>269361.38755584974</v>
      </c>
      <c r="W1208">
        <f t="shared" ca="1" si="514"/>
        <v>2.5998695052916441</v>
      </c>
      <c r="X1208">
        <f t="shared" ca="1" si="515"/>
        <v>1.8933671400629237E-4</v>
      </c>
      <c r="Y1208">
        <f t="shared" ca="1" si="516"/>
        <v>52432.299837663413</v>
      </c>
      <c r="Z1208">
        <f t="shared" ca="1" si="517"/>
        <v>52432.299837665239</v>
      </c>
      <c r="AA1208">
        <f t="shared" ca="1" si="518"/>
        <v>2.2562304480281055E-12</v>
      </c>
      <c r="AB1208">
        <f t="shared" ca="1" si="519"/>
        <v>-5.0000000192085281E-4</v>
      </c>
      <c r="AC1208">
        <f t="shared" ca="1" si="520"/>
        <v>1</v>
      </c>
      <c r="AD1208">
        <f ca="1">IF(V32="Supercritical",L1208,IF(V32="Subcritical",U1208,IF(AND(T1208=1,AC1208=1),IF((((F1208)*(L1208)^2)/2+(G1208)*(L1208)^3/3+(ABS(K1208)^2)/($I$5*MAX(((F1208)+(G1208)*(L1208))*(L1208),0.000001)))&gt;=(((F1208)*(U1208)^2)/2+(G1208)*(U1208)^3/3+(ABS(K1208)^2)/($I$5*MAX(((F1208)+(G1208)*(U1208))*(U1208),0.000001))),L1208,U1208),IF(T1208=1,L1208,IF(AC1208=1,U1208,MAX($D$16,POWER((ABS(K1208)^2)/($I$5*MAX(F1208,0.1)^2),1/3)))))))</f>
        <v>51800.26683766341</v>
      </c>
      <c r="AE1208">
        <f t="shared" ca="1" si="521"/>
        <v>52432.299837663413</v>
      </c>
      <c r="AF1208">
        <f t="shared" ca="1" si="522"/>
        <v>52432.299837665239</v>
      </c>
      <c r="AI1208">
        <v>0</v>
      </c>
      <c r="AJ1208">
        <v>0</v>
      </c>
      <c r="AK1208">
        <f t="shared" si="523"/>
        <v>0</v>
      </c>
      <c r="AL1208">
        <f t="shared" si="532"/>
        <v>0</v>
      </c>
      <c r="AM1208">
        <f t="shared" ca="1" si="524"/>
        <v>2.6560383008097266E-7</v>
      </c>
      <c r="AN1208" t="str">
        <f t="shared" ca="1" si="525"/>
        <v>Subcritical</v>
      </c>
      <c r="AO1208">
        <f t="shared" ca="1" si="526"/>
        <v>2.2562304480281055E-12</v>
      </c>
    </row>
    <row r="1209" spans="1:41" x14ac:dyDescent="0.35">
      <c r="A1209">
        <v>1060</v>
      </c>
      <c r="B1209">
        <v>1058.8900000000001</v>
      </c>
      <c r="C1209">
        <v>616078.67299999995</v>
      </c>
      <c r="D1209">
        <v>3096945.1009999998</v>
      </c>
      <c r="E1209">
        <v>632.03250000000003</v>
      </c>
      <c r="F1209">
        <v>5.2</v>
      </c>
      <c r="G1209">
        <v>0</v>
      </c>
      <c r="H1209" t="s">
        <v>186</v>
      </c>
      <c r="I1209">
        <v>0.06</v>
      </c>
      <c r="J1209">
        <f t="shared" si="527"/>
        <v>1.0010000000002037</v>
      </c>
      <c r="K1209">
        <f t="shared" si="528"/>
        <v>51</v>
      </c>
      <c r="L1209">
        <f t="shared" ca="1" si="529"/>
        <v>51797.843837663619</v>
      </c>
      <c r="M1209">
        <f t="shared" ca="1" si="506"/>
        <v>269348.78795585083</v>
      </c>
      <c r="N1209">
        <f t="shared" ca="1" si="507"/>
        <v>2.5998694991876676</v>
      </c>
      <c r="O1209">
        <f t="shared" ca="1" si="508"/>
        <v>1.8934557080078435E-4</v>
      </c>
      <c r="P1209">
        <f t="shared" ca="1" si="509"/>
        <v>52429.87633766362</v>
      </c>
      <c r="Q1209">
        <f t="shared" ca="1" si="510"/>
        <v>52429.876337665446</v>
      </c>
      <c r="R1209">
        <f t="shared" ca="1" si="511"/>
        <v>2.2564415439646509E-12</v>
      </c>
      <c r="S1209">
        <f t="shared" ca="1" si="530"/>
        <v>5.0000000192085281E-4</v>
      </c>
      <c r="T1209">
        <f t="shared" ca="1" si="531"/>
        <v>1</v>
      </c>
      <c r="U1209">
        <f t="shared" ca="1" si="512"/>
        <v>51800.26683766341</v>
      </c>
      <c r="V1209">
        <f t="shared" ca="1" si="513"/>
        <v>269361.38755584974</v>
      </c>
      <c r="W1209">
        <f t="shared" ca="1" si="514"/>
        <v>2.5998695052916441</v>
      </c>
      <c r="X1209">
        <f t="shared" ca="1" si="515"/>
        <v>1.8933671400629237E-4</v>
      </c>
      <c r="Y1209">
        <f t="shared" ca="1" si="516"/>
        <v>52432.299337663411</v>
      </c>
      <c r="Z1209">
        <f t="shared" ca="1" si="517"/>
        <v>52432.299337665238</v>
      </c>
      <c r="AA1209">
        <f t="shared" ca="1" si="518"/>
        <v>2.2562304480281055E-12</v>
      </c>
      <c r="AB1209">
        <f t="shared" ca="1" si="519"/>
        <v>-5.0000000192085281E-4</v>
      </c>
      <c r="AC1209">
        <f t="shared" ca="1" si="520"/>
        <v>1</v>
      </c>
      <c r="AD1209">
        <f ca="1">IF(V32="Supercritical",L1209,IF(V32="Subcritical",U1209,IF(AND(T1209=1,AC1209=1),IF((((F1209)*(L1209)^2)/2+(G1209)*(L1209)^3/3+(ABS(K1209)^2)/($I$5*MAX(((F1209)+(G1209)*(L1209))*(L1209),0.000001)))&gt;=(((F1209)*(U1209)^2)/2+(G1209)*(U1209)^3/3+(ABS(K1209)^2)/($I$5*MAX(((F1209)+(G1209)*(U1209))*(U1209),0.000001))),L1209,U1209),IF(T1209=1,L1209,IF(AC1209=1,U1209,MAX($D$16,POWER((ABS(K1209)^2)/($I$5*MAX(F1209,0.1)^2),1/3)))))))</f>
        <v>51800.26683766341</v>
      </c>
      <c r="AE1209">
        <f t="shared" ca="1" si="521"/>
        <v>52432.299337663411</v>
      </c>
      <c r="AF1209">
        <f t="shared" ca="1" si="522"/>
        <v>52432.299337665238</v>
      </c>
      <c r="AI1209">
        <v>0</v>
      </c>
      <c r="AJ1209">
        <v>0</v>
      </c>
      <c r="AK1209">
        <f t="shared" si="523"/>
        <v>0</v>
      </c>
      <c r="AL1209">
        <f t="shared" si="532"/>
        <v>0</v>
      </c>
      <c r="AM1209">
        <f t="shared" ca="1" si="524"/>
        <v>2.6560383008097266E-7</v>
      </c>
      <c r="AN1209" t="str">
        <f t="shared" ca="1" si="525"/>
        <v>Subcritical</v>
      </c>
      <c r="AO1209">
        <f t="shared" ca="1" si="526"/>
        <v>2.2562304480281055E-12</v>
      </c>
    </row>
    <row r="1210" spans="1:41" x14ac:dyDescent="0.35">
      <c r="A1210">
        <v>1061</v>
      </c>
      <c r="B1210">
        <v>1059.8900000000001</v>
      </c>
      <c r="C1210">
        <v>616078.63</v>
      </c>
      <c r="D1210">
        <v>3096944.102</v>
      </c>
      <c r="E1210">
        <v>632.03200000000004</v>
      </c>
      <c r="F1210">
        <v>5.2</v>
      </c>
      <c r="G1210">
        <v>0</v>
      </c>
      <c r="H1210" t="s">
        <v>186</v>
      </c>
      <c r="I1210">
        <v>5.7000000000000002E-2</v>
      </c>
      <c r="J1210">
        <f t="shared" si="527"/>
        <v>1</v>
      </c>
      <c r="K1210">
        <f t="shared" si="528"/>
        <v>51</v>
      </c>
      <c r="L1210">
        <f t="shared" ca="1" si="529"/>
        <v>51797.843837663619</v>
      </c>
      <c r="M1210">
        <f t="shared" ca="1" si="506"/>
        <v>269348.78795585083</v>
      </c>
      <c r="N1210">
        <f t="shared" ca="1" si="507"/>
        <v>2.5998694991876676</v>
      </c>
      <c r="O1210">
        <f t="shared" ca="1" si="508"/>
        <v>1.8934557080078435E-4</v>
      </c>
      <c r="P1210">
        <f t="shared" ca="1" si="509"/>
        <v>52429.875837663618</v>
      </c>
      <c r="Q1210">
        <f t="shared" ca="1" si="510"/>
        <v>52429.875837665444</v>
      </c>
      <c r="R1210">
        <f t="shared" ca="1" si="511"/>
        <v>2.2564415439646509E-12</v>
      </c>
      <c r="S1210">
        <f t="shared" ca="1" si="530"/>
        <v>5.0000000192085281E-4</v>
      </c>
      <c r="T1210">
        <f t="shared" ca="1" si="531"/>
        <v>1</v>
      </c>
      <c r="U1210">
        <f t="shared" ca="1" si="512"/>
        <v>51800.26683766341</v>
      </c>
      <c r="V1210">
        <f t="shared" ca="1" si="513"/>
        <v>269361.38755584974</v>
      </c>
      <c r="W1210">
        <f t="shared" ca="1" si="514"/>
        <v>2.5998695052916441</v>
      </c>
      <c r="X1210">
        <f t="shared" ca="1" si="515"/>
        <v>1.8933671400629237E-4</v>
      </c>
      <c r="Y1210">
        <f t="shared" ca="1" si="516"/>
        <v>52432.298837663409</v>
      </c>
      <c r="Z1210">
        <f t="shared" ca="1" si="517"/>
        <v>52432.298837665236</v>
      </c>
      <c r="AA1210">
        <f t="shared" ca="1" si="518"/>
        <v>2.2562304480281055E-12</v>
      </c>
      <c r="AB1210">
        <f t="shared" ca="1" si="519"/>
        <v>-5.0000000192085281E-4</v>
      </c>
      <c r="AC1210">
        <f t="shared" ca="1" si="520"/>
        <v>1</v>
      </c>
      <c r="AD1210">
        <f ca="1">IF(V32="Supercritical",L1210,IF(V32="Subcritical",U1210,IF(AND(T1210=1,AC1210=1),IF((((F1210)*(L1210)^2)/2+(G1210)*(L1210)^3/3+(ABS(K1210)^2)/($I$5*MAX(((F1210)+(G1210)*(L1210))*(L1210),0.000001)))&gt;=(((F1210)*(U1210)^2)/2+(G1210)*(U1210)^3/3+(ABS(K1210)^2)/($I$5*MAX(((F1210)+(G1210)*(U1210))*(U1210),0.000001))),L1210,U1210),IF(T1210=1,L1210,IF(AC1210=1,U1210,MAX($D$16,POWER((ABS(K1210)^2)/($I$5*MAX(F1210,0.1)^2),1/3)))))))</f>
        <v>51800.26683766341</v>
      </c>
      <c r="AE1210">
        <f t="shared" ca="1" si="521"/>
        <v>52432.298837663409</v>
      </c>
      <c r="AF1210">
        <f t="shared" ca="1" si="522"/>
        <v>52432.298837665236</v>
      </c>
      <c r="AI1210">
        <v>0</v>
      </c>
      <c r="AJ1210">
        <v>0</v>
      </c>
      <c r="AK1210">
        <f t="shared" si="523"/>
        <v>0</v>
      </c>
      <c r="AL1210">
        <f t="shared" si="532"/>
        <v>0</v>
      </c>
      <c r="AM1210">
        <f t="shared" ca="1" si="524"/>
        <v>2.6560383008097266E-7</v>
      </c>
      <c r="AN1210" t="str">
        <f t="shared" ca="1" si="525"/>
        <v>Subcritical</v>
      </c>
      <c r="AO1210">
        <f t="shared" ca="1" si="526"/>
        <v>2.2562304480281055E-12</v>
      </c>
    </row>
    <row r="1211" spans="1:41" x14ac:dyDescent="0.35">
      <c r="A1211">
        <v>1062</v>
      </c>
      <c r="B1211">
        <v>1060.8900000000001</v>
      </c>
      <c r="C1211">
        <v>616078.58799999999</v>
      </c>
      <c r="D1211">
        <v>3096943.1030000001</v>
      </c>
      <c r="E1211">
        <v>632.03150000000005</v>
      </c>
      <c r="F1211">
        <v>5.2</v>
      </c>
      <c r="G1211">
        <v>0</v>
      </c>
      <c r="H1211" t="s">
        <v>186</v>
      </c>
      <c r="I1211">
        <v>0</v>
      </c>
      <c r="J1211">
        <f t="shared" si="527"/>
        <v>1</v>
      </c>
      <c r="K1211">
        <f t="shared" si="528"/>
        <v>51</v>
      </c>
      <c r="L1211">
        <f t="shared" ca="1" si="529"/>
        <v>51797.843837663619</v>
      </c>
      <c r="M1211">
        <f t="shared" ca="1" si="506"/>
        <v>269348.78795585083</v>
      </c>
      <c r="N1211">
        <f t="shared" ca="1" si="507"/>
        <v>2.5998694991876676</v>
      </c>
      <c r="O1211">
        <f t="shared" ca="1" si="508"/>
        <v>1.8934557080078435E-4</v>
      </c>
      <c r="P1211">
        <f t="shared" ca="1" si="509"/>
        <v>52429.875337663616</v>
      </c>
      <c r="Q1211">
        <f t="shared" ca="1" si="510"/>
        <v>52429.875337665442</v>
      </c>
      <c r="R1211">
        <f t="shared" ca="1" si="511"/>
        <v>2.2564415439646509E-12</v>
      </c>
      <c r="S1211">
        <f t="shared" ca="1" si="530"/>
        <v>5.0000000192085281E-4</v>
      </c>
      <c r="T1211">
        <f t="shared" ca="1" si="531"/>
        <v>1</v>
      </c>
      <c r="U1211">
        <f t="shared" ca="1" si="512"/>
        <v>51800.26683766341</v>
      </c>
      <c r="V1211">
        <f t="shared" ca="1" si="513"/>
        <v>269361.38755584974</v>
      </c>
      <c r="W1211">
        <f t="shared" ca="1" si="514"/>
        <v>2.5998695052916441</v>
      </c>
      <c r="X1211">
        <f t="shared" ca="1" si="515"/>
        <v>1.8933671400629237E-4</v>
      </c>
      <c r="Y1211">
        <f t="shared" ca="1" si="516"/>
        <v>52432.298337663407</v>
      </c>
      <c r="Z1211">
        <f t="shared" ca="1" si="517"/>
        <v>52432.298337665234</v>
      </c>
      <c r="AA1211">
        <f t="shared" ca="1" si="518"/>
        <v>2.2562304480281055E-12</v>
      </c>
      <c r="AB1211">
        <f t="shared" ca="1" si="519"/>
        <v>-4.999999946448952E-4</v>
      </c>
      <c r="AC1211">
        <f t="shared" ca="1" si="520"/>
        <v>1</v>
      </c>
      <c r="AD1211">
        <f ca="1">IF(V32="Supercritical",L1211,IF(V32="Subcritical",U1211,IF(AND(T1211=1,AC1211=1),IF((((F1211)*(L1211)^2)/2+(G1211)*(L1211)^3/3+(ABS(K1211)^2)/($I$5*MAX(((F1211)+(G1211)*(L1211))*(L1211),0.000001)))&gt;=(((F1211)*(U1211)^2)/2+(G1211)*(U1211)^3/3+(ABS(K1211)^2)/($I$5*MAX(((F1211)+(G1211)*(U1211))*(U1211),0.000001))),L1211,U1211),IF(T1211=1,L1211,IF(AC1211=1,U1211,MAX($D$16,POWER((ABS(K1211)^2)/($I$5*MAX(F1211,0.1)^2),1/3)))))))</f>
        <v>51800.26683766341</v>
      </c>
      <c r="AE1211">
        <f t="shared" ca="1" si="521"/>
        <v>52432.298337663407</v>
      </c>
      <c r="AF1211">
        <f t="shared" ca="1" si="522"/>
        <v>52432.298337665234</v>
      </c>
      <c r="AI1211">
        <v>0</v>
      </c>
      <c r="AJ1211">
        <v>0</v>
      </c>
      <c r="AK1211">
        <f t="shared" si="523"/>
        <v>0</v>
      </c>
      <c r="AL1211">
        <f t="shared" si="532"/>
        <v>0</v>
      </c>
      <c r="AM1211">
        <f t="shared" ca="1" si="524"/>
        <v>2.6560383008097266E-7</v>
      </c>
      <c r="AN1211" t="str">
        <f t="shared" ca="1" si="525"/>
        <v>Subcritical</v>
      </c>
      <c r="AO1211">
        <f t="shared" ca="1" si="526"/>
        <v>2.2562304480281055E-12</v>
      </c>
    </row>
    <row r="1212" spans="1:41" x14ac:dyDescent="0.35">
      <c r="A1212">
        <v>1063</v>
      </c>
      <c r="B1212">
        <v>1061.8889999999999</v>
      </c>
      <c r="C1212">
        <v>616078.54599999997</v>
      </c>
      <c r="D1212">
        <v>3096942.1039999998</v>
      </c>
      <c r="E1212">
        <v>632.03099999999995</v>
      </c>
      <c r="F1212">
        <v>5.2</v>
      </c>
      <c r="G1212">
        <v>0</v>
      </c>
      <c r="H1212" t="s">
        <v>186</v>
      </c>
      <c r="I1212">
        <v>0</v>
      </c>
      <c r="J1212">
        <f t="shared" si="527"/>
        <v>0.99899999999979627</v>
      </c>
      <c r="K1212">
        <f t="shared" si="528"/>
        <v>51</v>
      </c>
      <c r="L1212">
        <f t="shared" ca="1" si="529"/>
        <v>51797.843837663619</v>
      </c>
      <c r="M1212">
        <f t="shared" ca="1" si="506"/>
        <v>269348.78795585083</v>
      </c>
      <c r="N1212">
        <f t="shared" ca="1" si="507"/>
        <v>2.5998694991876676</v>
      </c>
      <c r="O1212">
        <f t="shared" ca="1" si="508"/>
        <v>1.8934557080078435E-4</v>
      </c>
      <c r="P1212">
        <f t="shared" ca="1" si="509"/>
        <v>52429.874837663621</v>
      </c>
      <c r="Q1212">
        <f t="shared" ca="1" si="510"/>
        <v>52429.874837665448</v>
      </c>
      <c r="R1212">
        <f t="shared" ca="1" si="511"/>
        <v>2.2564415439646509E-12</v>
      </c>
      <c r="S1212">
        <f t="shared" ca="1" si="530"/>
        <v>4.999999946448952E-4</v>
      </c>
      <c r="T1212">
        <f t="shared" ca="1" si="531"/>
        <v>1</v>
      </c>
      <c r="U1212">
        <f t="shared" ca="1" si="512"/>
        <v>51800.26683766341</v>
      </c>
      <c r="V1212">
        <f t="shared" ca="1" si="513"/>
        <v>269361.38755584974</v>
      </c>
      <c r="W1212">
        <f t="shared" ca="1" si="514"/>
        <v>2.5998695052916441</v>
      </c>
      <c r="X1212">
        <f t="shared" ca="1" si="515"/>
        <v>1.8933671400629237E-4</v>
      </c>
      <c r="Y1212">
        <f t="shared" ca="1" si="516"/>
        <v>52432.297837663413</v>
      </c>
      <c r="Z1212">
        <f t="shared" ca="1" si="517"/>
        <v>52432.297837665239</v>
      </c>
      <c r="AA1212">
        <f t="shared" ca="1" si="518"/>
        <v>2.2562304480281055E-12</v>
      </c>
      <c r="AB1212">
        <f t="shared" ca="1" si="519"/>
        <v>-5.0000000192085281E-4</v>
      </c>
      <c r="AC1212">
        <f t="shared" ca="1" si="520"/>
        <v>1</v>
      </c>
      <c r="AD1212">
        <f ca="1">IF(V32="Supercritical",L1212,IF(V32="Subcritical",U1212,IF(AND(T1212=1,AC1212=1),IF((((F1212)*(L1212)^2)/2+(G1212)*(L1212)^3/3+(ABS(K1212)^2)/($I$5*MAX(((F1212)+(G1212)*(L1212))*(L1212),0.000001)))&gt;=(((F1212)*(U1212)^2)/2+(G1212)*(U1212)^3/3+(ABS(K1212)^2)/($I$5*MAX(((F1212)+(G1212)*(U1212))*(U1212),0.000001))),L1212,U1212),IF(T1212=1,L1212,IF(AC1212=1,U1212,MAX($D$16,POWER((ABS(K1212)^2)/($I$5*MAX(F1212,0.1)^2),1/3)))))))</f>
        <v>51800.26683766341</v>
      </c>
      <c r="AE1212">
        <f t="shared" ca="1" si="521"/>
        <v>52432.297837663413</v>
      </c>
      <c r="AF1212">
        <f t="shared" ca="1" si="522"/>
        <v>52432.297837665239</v>
      </c>
      <c r="AI1212">
        <v>0</v>
      </c>
      <c r="AJ1212">
        <v>0</v>
      </c>
      <c r="AK1212">
        <f t="shared" si="523"/>
        <v>0</v>
      </c>
      <c r="AL1212">
        <f t="shared" si="532"/>
        <v>0</v>
      </c>
      <c r="AM1212">
        <f t="shared" ca="1" si="524"/>
        <v>2.6560383008097266E-7</v>
      </c>
      <c r="AN1212" t="str">
        <f t="shared" ca="1" si="525"/>
        <v>Subcritical</v>
      </c>
      <c r="AO1212">
        <f t="shared" ca="1" si="526"/>
        <v>2.2562304480281055E-12</v>
      </c>
    </row>
    <row r="1213" spans="1:41" x14ac:dyDescent="0.35">
      <c r="A1213">
        <v>1064</v>
      </c>
      <c r="B1213">
        <v>1062.8889999999999</v>
      </c>
      <c r="C1213">
        <v>616078.50399999996</v>
      </c>
      <c r="D1213">
        <v>3096941.105</v>
      </c>
      <c r="E1213">
        <v>632.03049999999996</v>
      </c>
      <c r="F1213">
        <v>5.2</v>
      </c>
      <c r="G1213">
        <v>0</v>
      </c>
      <c r="H1213" t="s">
        <v>186</v>
      </c>
      <c r="I1213">
        <v>5.7000000000000002E-2</v>
      </c>
      <c r="J1213">
        <f t="shared" si="527"/>
        <v>1</v>
      </c>
      <c r="K1213">
        <f t="shared" si="528"/>
        <v>51</v>
      </c>
      <c r="L1213">
        <f t="shared" ca="1" si="529"/>
        <v>51797.843837663619</v>
      </c>
      <c r="M1213">
        <f t="shared" ca="1" si="506"/>
        <v>269348.78795585083</v>
      </c>
      <c r="N1213">
        <f t="shared" ca="1" si="507"/>
        <v>2.5998694991876676</v>
      </c>
      <c r="O1213">
        <f t="shared" ca="1" si="508"/>
        <v>1.8934557080078435E-4</v>
      </c>
      <c r="P1213">
        <f t="shared" ca="1" si="509"/>
        <v>52429.874337663619</v>
      </c>
      <c r="Q1213">
        <f t="shared" ca="1" si="510"/>
        <v>52429.874337665446</v>
      </c>
      <c r="R1213">
        <f t="shared" ca="1" si="511"/>
        <v>2.2564415439646509E-12</v>
      </c>
      <c r="S1213">
        <f t="shared" ca="1" si="530"/>
        <v>5.0000000192085281E-4</v>
      </c>
      <c r="T1213">
        <f t="shared" ca="1" si="531"/>
        <v>1</v>
      </c>
      <c r="U1213">
        <f t="shared" ca="1" si="512"/>
        <v>51800.26683766341</v>
      </c>
      <c r="V1213">
        <f t="shared" ca="1" si="513"/>
        <v>269361.38755584974</v>
      </c>
      <c r="W1213">
        <f t="shared" ca="1" si="514"/>
        <v>2.5998695052916441</v>
      </c>
      <c r="X1213">
        <f t="shared" ca="1" si="515"/>
        <v>1.8933671400629237E-4</v>
      </c>
      <c r="Y1213">
        <f t="shared" ca="1" si="516"/>
        <v>52432.297337663411</v>
      </c>
      <c r="Z1213">
        <f t="shared" ca="1" si="517"/>
        <v>52432.297337665237</v>
      </c>
      <c r="AA1213">
        <f t="shared" ca="1" si="518"/>
        <v>2.2562304480281055E-12</v>
      </c>
      <c r="AB1213">
        <f t="shared" ca="1" si="519"/>
        <v>-5.0000000192085281E-4</v>
      </c>
      <c r="AC1213">
        <f t="shared" ca="1" si="520"/>
        <v>1</v>
      </c>
      <c r="AD1213">
        <f ca="1">IF(V32="Supercritical",L1213,IF(V32="Subcritical",U1213,IF(AND(T1213=1,AC1213=1),IF((((F1213)*(L1213)^2)/2+(G1213)*(L1213)^3/3+(ABS(K1213)^2)/($I$5*MAX(((F1213)+(G1213)*(L1213))*(L1213),0.000001)))&gt;=(((F1213)*(U1213)^2)/2+(G1213)*(U1213)^3/3+(ABS(K1213)^2)/($I$5*MAX(((F1213)+(G1213)*(U1213))*(U1213),0.000001))),L1213,U1213),IF(T1213=1,L1213,IF(AC1213=1,U1213,MAX($D$16,POWER((ABS(K1213)^2)/($I$5*MAX(F1213,0.1)^2),1/3)))))))</f>
        <v>51800.26683766341</v>
      </c>
      <c r="AE1213">
        <f t="shared" ca="1" si="521"/>
        <v>52432.297337663411</v>
      </c>
      <c r="AF1213">
        <f t="shared" ca="1" si="522"/>
        <v>52432.297337665237</v>
      </c>
      <c r="AI1213">
        <v>0</v>
      </c>
      <c r="AJ1213">
        <v>0</v>
      </c>
      <c r="AK1213">
        <f t="shared" si="523"/>
        <v>0</v>
      </c>
      <c r="AL1213">
        <f t="shared" si="532"/>
        <v>0</v>
      </c>
      <c r="AM1213">
        <f t="shared" ca="1" si="524"/>
        <v>2.6560383008097266E-7</v>
      </c>
      <c r="AN1213" t="str">
        <f t="shared" ca="1" si="525"/>
        <v>Subcritical</v>
      </c>
      <c r="AO1213">
        <f t="shared" ca="1" si="526"/>
        <v>2.2562304480281055E-12</v>
      </c>
    </row>
    <row r="1214" spans="1:41" x14ac:dyDescent="0.35">
      <c r="A1214">
        <v>1065</v>
      </c>
      <c r="B1214">
        <v>1063.8889999999999</v>
      </c>
      <c r="C1214">
        <v>616078.46100000001</v>
      </c>
      <c r="D1214">
        <v>3096940.1060000001</v>
      </c>
      <c r="E1214">
        <v>632.03</v>
      </c>
      <c r="F1214">
        <v>5.2</v>
      </c>
      <c r="G1214">
        <v>0</v>
      </c>
      <c r="H1214" t="s">
        <v>186</v>
      </c>
      <c r="I1214">
        <v>5.7000000000000002E-2</v>
      </c>
      <c r="J1214">
        <f t="shared" si="527"/>
        <v>1</v>
      </c>
      <c r="K1214">
        <f t="shared" si="528"/>
        <v>51</v>
      </c>
      <c r="L1214">
        <f t="shared" ca="1" si="529"/>
        <v>51797.843837663619</v>
      </c>
      <c r="M1214">
        <f t="shared" ca="1" si="506"/>
        <v>269348.78795585083</v>
      </c>
      <c r="N1214">
        <f t="shared" ca="1" si="507"/>
        <v>2.5998694991876676</v>
      </c>
      <c r="O1214">
        <f t="shared" ca="1" si="508"/>
        <v>1.8934557080078435E-4</v>
      </c>
      <c r="P1214">
        <f t="shared" ca="1" si="509"/>
        <v>52429.873837663617</v>
      </c>
      <c r="Q1214">
        <f t="shared" ca="1" si="510"/>
        <v>52429.873837665444</v>
      </c>
      <c r="R1214">
        <f t="shared" ca="1" si="511"/>
        <v>2.2564415439646509E-12</v>
      </c>
      <c r="S1214">
        <f t="shared" ca="1" si="530"/>
        <v>5.0000000192085281E-4</v>
      </c>
      <c r="T1214">
        <f t="shared" ca="1" si="531"/>
        <v>1</v>
      </c>
      <c r="U1214">
        <f t="shared" ca="1" si="512"/>
        <v>51800.26683766341</v>
      </c>
      <c r="V1214">
        <f t="shared" ca="1" si="513"/>
        <v>269361.38755584974</v>
      </c>
      <c r="W1214">
        <f t="shared" ca="1" si="514"/>
        <v>2.5998695052916441</v>
      </c>
      <c r="X1214">
        <f t="shared" ca="1" si="515"/>
        <v>1.8933671400629237E-4</v>
      </c>
      <c r="Y1214">
        <f t="shared" ca="1" si="516"/>
        <v>52432.296837663409</v>
      </c>
      <c r="Z1214">
        <f t="shared" ca="1" si="517"/>
        <v>52432.296837665235</v>
      </c>
      <c r="AA1214">
        <f t="shared" ca="1" si="518"/>
        <v>2.2562304480281055E-12</v>
      </c>
      <c r="AB1214">
        <f t="shared" ca="1" si="519"/>
        <v>-5.0000000192085281E-4</v>
      </c>
      <c r="AC1214">
        <f t="shared" ca="1" si="520"/>
        <v>1</v>
      </c>
      <c r="AD1214">
        <f ca="1">IF(V32="Supercritical",L1214,IF(V32="Subcritical",U1214,IF(AND(T1214=1,AC1214=1),IF((((F1214)*(L1214)^2)/2+(G1214)*(L1214)^3/3+(ABS(K1214)^2)/($I$5*MAX(((F1214)+(G1214)*(L1214))*(L1214),0.000001)))&gt;=(((F1214)*(U1214)^2)/2+(G1214)*(U1214)^3/3+(ABS(K1214)^2)/($I$5*MAX(((F1214)+(G1214)*(U1214))*(U1214),0.000001))),L1214,U1214),IF(T1214=1,L1214,IF(AC1214=1,U1214,MAX($D$16,POWER((ABS(K1214)^2)/($I$5*MAX(F1214,0.1)^2),1/3)))))))</f>
        <v>51800.26683766341</v>
      </c>
      <c r="AE1214">
        <f t="shared" ca="1" si="521"/>
        <v>52432.296837663409</v>
      </c>
      <c r="AF1214">
        <f t="shared" ca="1" si="522"/>
        <v>52432.296837665235</v>
      </c>
      <c r="AI1214">
        <v>0</v>
      </c>
      <c r="AJ1214">
        <v>0</v>
      </c>
      <c r="AK1214">
        <f t="shared" si="523"/>
        <v>0</v>
      </c>
      <c r="AL1214">
        <f t="shared" si="532"/>
        <v>0</v>
      </c>
      <c r="AM1214">
        <f t="shared" ca="1" si="524"/>
        <v>2.6560383008097266E-7</v>
      </c>
      <c r="AN1214" t="str">
        <f t="shared" ca="1" si="525"/>
        <v>Subcritical</v>
      </c>
      <c r="AO1214">
        <f t="shared" ca="1" si="526"/>
        <v>2.2562304480281055E-12</v>
      </c>
    </row>
    <row r="1215" spans="1:41" x14ac:dyDescent="0.35">
      <c r="A1215">
        <v>1066</v>
      </c>
      <c r="B1215">
        <v>1064.8889999999999</v>
      </c>
      <c r="C1215">
        <v>616078.41899999999</v>
      </c>
      <c r="D1215">
        <v>3096939.1069999998</v>
      </c>
      <c r="E1215">
        <v>632.02949999999998</v>
      </c>
      <c r="F1215">
        <v>5.2</v>
      </c>
      <c r="G1215">
        <v>0</v>
      </c>
      <c r="H1215" t="s">
        <v>186</v>
      </c>
      <c r="I1215">
        <v>0</v>
      </c>
      <c r="J1215">
        <f t="shared" si="527"/>
        <v>1</v>
      </c>
      <c r="K1215">
        <f t="shared" si="528"/>
        <v>51</v>
      </c>
      <c r="L1215">
        <f t="shared" ca="1" si="529"/>
        <v>51797.843837663619</v>
      </c>
      <c r="M1215">
        <f t="shared" ca="1" si="506"/>
        <v>269348.78795585083</v>
      </c>
      <c r="N1215">
        <f t="shared" ca="1" si="507"/>
        <v>2.5998694991876676</v>
      </c>
      <c r="O1215">
        <f t="shared" ca="1" si="508"/>
        <v>1.8934557080078435E-4</v>
      </c>
      <c r="P1215">
        <f t="shared" ca="1" si="509"/>
        <v>52429.873337663616</v>
      </c>
      <c r="Q1215">
        <f t="shared" ca="1" si="510"/>
        <v>52429.873337665442</v>
      </c>
      <c r="R1215">
        <f t="shared" ca="1" si="511"/>
        <v>2.2564415439646509E-12</v>
      </c>
      <c r="S1215">
        <f t="shared" ca="1" si="530"/>
        <v>5.0000000192085281E-4</v>
      </c>
      <c r="T1215">
        <f t="shared" ca="1" si="531"/>
        <v>1</v>
      </c>
      <c r="U1215">
        <f t="shared" ca="1" si="512"/>
        <v>51800.26683766341</v>
      </c>
      <c r="V1215">
        <f t="shared" ca="1" si="513"/>
        <v>269361.38755584974</v>
      </c>
      <c r="W1215">
        <f t="shared" ca="1" si="514"/>
        <v>2.5998695052916441</v>
      </c>
      <c r="X1215">
        <f t="shared" ca="1" si="515"/>
        <v>1.8933671400629237E-4</v>
      </c>
      <c r="Y1215">
        <f t="shared" ca="1" si="516"/>
        <v>52432.296337663407</v>
      </c>
      <c r="Z1215">
        <f t="shared" ca="1" si="517"/>
        <v>52432.296337665233</v>
      </c>
      <c r="AA1215">
        <f t="shared" ca="1" si="518"/>
        <v>2.2562304480281055E-12</v>
      </c>
      <c r="AB1215">
        <f t="shared" ca="1" si="519"/>
        <v>-4.999999946448952E-4</v>
      </c>
      <c r="AC1215">
        <f t="shared" ca="1" si="520"/>
        <v>1</v>
      </c>
      <c r="AD1215">
        <f ca="1">IF(V32="Supercritical",L1215,IF(V32="Subcritical",U1215,IF(AND(T1215=1,AC1215=1),IF((((F1215)*(L1215)^2)/2+(G1215)*(L1215)^3/3+(ABS(K1215)^2)/($I$5*MAX(((F1215)+(G1215)*(L1215))*(L1215),0.000001)))&gt;=(((F1215)*(U1215)^2)/2+(G1215)*(U1215)^3/3+(ABS(K1215)^2)/($I$5*MAX(((F1215)+(G1215)*(U1215))*(U1215),0.000001))),L1215,U1215),IF(T1215=1,L1215,IF(AC1215=1,U1215,MAX($D$16,POWER((ABS(K1215)^2)/($I$5*MAX(F1215,0.1)^2),1/3)))))))</f>
        <v>51800.26683766341</v>
      </c>
      <c r="AE1215">
        <f t="shared" ca="1" si="521"/>
        <v>52432.296337663407</v>
      </c>
      <c r="AF1215">
        <f t="shared" ca="1" si="522"/>
        <v>52432.296337665233</v>
      </c>
      <c r="AI1215">
        <v>0</v>
      </c>
      <c r="AJ1215">
        <v>0</v>
      </c>
      <c r="AK1215">
        <f t="shared" si="523"/>
        <v>0</v>
      </c>
      <c r="AL1215">
        <f t="shared" si="532"/>
        <v>0</v>
      </c>
      <c r="AM1215">
        <f t="shared" ca="1" si="524"/>
        <v>2.6560383008097266E-7</v>
      </c>
      <c r="AN1215" t="str">
        <f t="shared" ca="1" si="525"/>
        <v>Subcritical</v>
      </c>
      <c r="AO1215">
        <f t="shared" ca="1" si="526"/>
        <v>2.2562304480281055E-12</v>
      </c>
    </row>
    <row r="1216" spans="1:41" x14ac:dyDescent="0.35">
      <c r="A1216">
        <v>1067</v>
      </c>
      <c r="B1216">
        <v>1065.8889999999999</v>
      </c>
      <c r="C1216">
        <v>616078.37699999998</v>
      </c>
      <c r="D1216">
        <v>3096938.108</v>
      </c>
      <c r="E1216">
        <v>632.029</v>
      </c>
      <c r="F1216">
        <v>5.2</v>
      </c>
      <c r="G1216">
        <v>0</v>
      </c>
      <c r="H1216" t="s">
        <v>186</v>
      </c>
      <c r="I1216">
        <v>0</v>
      </c>
      <c r="J1216">
        <f t="shared" si="527"/>
        <v>1</v>
      </c>
      <c r="K1216">
        <f t="shared" si="528"/>
        <v>51</v>
      </c>
      <c r="L1216">
        <f t="shared" ca="1" si="529"/>
        <v>51797.843837663619</v>
      </c>
      <c r="M1216">
        <f t="shared" ca="1" si="506"/>
        <v>269348.78795585083</v>
      </c>
      <c r="N1216">
        <f t="shared" ca="1" si="507"/>
        <v>2.5998694991876676</v>
      </c>
      <c r="O1216">
        <f t="shared" ca="1" si="508"/>
        <v>1.8934557080078435E-4</v>
      </c>
      <c r="P1216">
        <f t="shared" ca="1" si="509"/>
        <v>52429.872837663621</v>
      </c>
      <c r="Q1216">
        <f t="shared" ca="1" si="510"/>
        <v>52429.872837665447</v>
      </c>
      <c r="R1216">
        <f t="shared" ca="1" si="511"/>
        <v>2.2564415439646509E-12</v>
      </c>
      <c r="S1216">
        <f t="shared" ca="1" si="530"/>
        <v>4.999999946448952E-4</v>
      </c>
      <c r="T1216">
        <f t="shared" ca="1" si="531"/>
        <v>1</v>
      </c>
      <c r="U1216">
        <f t="shared" ca="1" si="512"/>
        <v>51800.26683766341</v>
      </c>
      <c r="V1216">
        <f t="shared" ca="1" si="513"/>
        <v>269361.38755584974</v>
      </c>
      <c r="W1216">
        <f t="shared" ca="1" si="514"/>
        <v>2.5998695052916441</v>
      </c>
      <c r="X1216">
        <f t="shared" ca="1" si="515"/>
        <v>1.8933671400629237E-4</v>
      </c>
      <c r="Y1216">
        <f t="shared" ca="1" si="516"/>
        <v>52432.295837663412</v>
      </c>
      <c r="Z1216">
        <f t="shared" ca="1" si="517"/>
        <v>52432.295837665239</v>
      </c>
      <c r="AA1216">
        <f t="shared" ca="1" si="518"/>
        <v>2.2562304480281055E-12</v>
      </c>
      <c r="AB1216">
        <f t="shared" ca="1" si="519"/>
        <v>-5.0000000192085281E-4</v>
      </c>
      <c r="AC1216">
        <f t="shared" ca="1" si="520"/>
        <v>1</v>
      </c>
      <c r="AD1216">
        <f ca="1">IF(V32="Supercritical",L1216,IF(V32="Subcritical",U1216,IF(AND(T1216=1,AC1216=1),IF((((F1216)*(L1216)^2)/2+(G1216)*(L1216)^3/3+(ABS(K1216)^2)/($I$5*MAX(((F1216)+(G1216)*(L1216))*(L1216),0.000001)))&gt;=(((F1216)*(U1216)^2)/2+(G1216)*(U1216)^3/3+(ABS(K1216)^2)/($I$5*MAX(((F1216)+(G1216)*(U1216))*(U1216),0.000001))),L1216,U1216),IF(T1216=1,L1216,IF(AC1216=1,U1216,MAX($D$16,POWER((ABS(K1216)^2)/($I$5*MAX(F1216,0.1)^2),1/3)))))))</f>
        <v>51800.26683766341</v>
      </c>
      <c r="AE1216">
        <f t="shared" ca="1" si="521"/>
        <v>52432.295837663412</v>
      </c>
      <c r="AF1216">
        <f t="shared" ca="1" si="522"/>
        <v>52432.295837665239</v>
      </c>
      <c r="AI1216">
        <v>0</v>
      </c>
      <c r="AJ1216">
        <v>0</v>
      </c>
      <c r="AK1216">
        <f t="shared" si="523"/>
        <v>0</v>
      </c>
      <c r="AL1216">
        <f t="shared" si="532"/>
        <v>0</v>
      </c>
      <c r="AM1216">
        <f t="shared" ca="1" si="524"/>
        <v>2.6560383008097266E-7</v>
      </c>
      <c r="AN1216" t="str">
        <f t="shared" ca="1" si="525"/>
        <v>Subcritical</v>
      </c>
      <c r="AO1216">
        <f t="shared" ca="1" si="526"/>
        <v>2.2562304480281055E-12</v>
      </c>
    </row>
    <row r="1217" spans="1:41" x14ac:dyDescent="0.35">
      <c r="A1217">
        <v>1068</v>
      </c>
      <c r="B1217">
        <v>1066.8889999999999</v>
      </c>
      <c r="C1217">
        <v>616078.33499999996</v>
      </c>
      <c r="D1217">
        <v>3096937.1090000002</v>
      </c>
      <c r="E1217">
        <v>632.02850000000001</v>
      </c>
      <c r="F1217">
        <v>5.2</v>
      </c>
      <c r="G1217">
        <v>0</v>
      </c>
      <c r="H1217" t="s">
        <v>186</v>
      </c>
      <c r="I1217">
        <v>5.5E-2</v>
      </c>
      <c r="J1217">
        <f t="shared" si="527"/>
        <v>1</v>
      </c>
      <c r="K1217">
        <f t="shared" si="528"/>
        <v>51</v>
      </c>
      <c r="L1217">
        <f t="shared" ca="1" si="529"/>
        <v>51797.843837663619</v>
      </c>
      <c r="M1217">
        <f t="shared" ca="1" si="506"/>
        <v>269348.78795585083</v>
      </c>
      <c r="N1217">
        <f t="shared" ca="1" si="507"/>
        <v>2.5998694991876676</v>
      </c>
      <c r="O1217">
        <f t="shared" ca="1" si="508"/>
        <v>1.8934557080078435E-4</v>
      </c>
      <c r="P1217">
        <f t="shared" ca="1" si="509"/>
        <v>52429.872337663619</v>
      </c>
      <c r="Q1217">
        <f t="shared" ca="1" si="510"/>
        <v>52429.872337665445</v>
      </c>
      <c r="R1217">
        <f t="shared" ca="1" si="511"/>
        <v>2.2564415439646509E-12</v>
      </c>
      <c r="S1217">
        <f t="shared" ca="1" si="530"/>
        <v>5.0000000192085281E-4</v>
      </c>
      <c r="T1217">
        <f t="shared" ca="1" si="531"/>
        <v>1</v>
      </c>
      <c r="U1217">
        <f t="shared" ca="1" si="512"/>
        <v>51800.26683766341</v>
      </c>
      <c r="V1217">
        <f t="shared" ca="1" si="513"/>
        <v>269361.38755584974</v>
      </c>
      <c r="W1217">
        <f t="shared" ca="1" si="514"/>
        <v>2.5998695052916441</v>
      </c>
      <c r="X1217">
        <f t="shared" ca="1" si="515"/>
        <v>1.8933671400629237E-4</v>
      </c>
      <c r="Y1217">
        <f t="shared" ca="1" si="516"/>
        <v>52432.29533766341</v>
      </c>
      <c r="Z1217">
        <f t="shared" ca="1" si="517"/>
        <v>52432.295337665237</v>
      </c>
      <c r="AA1217">
        <f t="shared" ca="1" si="518"/>
        <v>2.2562304480281055E-12</v>
      </c>
      <c r="AB1217">
        <f t="shared" ca="1" si="519"/>
        <v>-5.0000000192085281E-4</v>
      </c>
      <c r="AC1217">
        <f t="shared" ca="1" si="520"/>
        <v>1</v>
      </c>
      <c r="AD1217">
        <f ca="1">IF(V32="Supercritical",L1217,IF(V32="Subcritical",U1217,IF(AND(T1217=1,AC1217=1),IF((((F1217)*(L1217)^2)/2+(G1217)*(L1217)^3/3+(ABS(K1217)^2)/($I$5*MAX(((F1217)+(G1217)*(L1217))*(L1217),0.000001)))&gt;=(((F1217)*(U1217)^2)/2+(G1217)*(U1217)^3/3+(ABS(K1217)^2)/($I$5*MAX(((F1217)+(G1217)*(U1217))*(U1217),0.000001))),L1217,U1217),IF(T1217=1,L1217,IF(AC1217=1,U1217,MAX($D$16,POWER((ABS(K1217)^2)/($I$5*MAX(F1217,0.1)^2),1/3)))))))</f>
        <v>51800.26683766341</v>
      </c>
      <c r="AE1217">
        <f t="shared" ca="1" si="521"/>
        <v>52432.29533766341</v>
      </c>
      <c r="AF1217">
        <f t="shared" ca="1" si="522"/>
        <v>52432.295337665237</v>
      </c>
      <c r="AI1217">
        <v>0</v>
      </c>
      <c r="AJ1217">
        <v>0</v>
      </c>
      <c r="AK1217">
        <f t="shared" si="523"/>
        <v>0</v>
      </c>
      <c r="AL1217">
        <f t="shared" si="532"/>
        <v>0</v>
      </c>
      <c r="AM1217">
        <f t="shared" ca="1" si="524"/>
        <v>2.6560383008097266E-7</v>
      </c>
      <c r="AN1217" t="str">
        <f t="shared" ca="1" si="525"/>
        <v>Subcritical</v>
      </c>
      <c r="AO1217">
        <f t="shared" ca="1" si="526"/>
        <v>2.2562304480281055E-12</v>
      </c>
    </row>
    <row r="1218" spans="1:41" x14ac:dyDescent="0.35">
      <c r="A1218">
        <v>1069</v>
      </c>
      <c r="B1218">
        <v>1067.8900000000001</v>
      </c>
      <c r="C1218">
        <v>616078.29200000002</v>
      </c>
      <c r="D1218">
        <v>3096936.1090000002</v>
      </c>
      <c r="E1218">
        <v>632.02800000000002</v>
      </c>
      <c r="F1218">
        <v>5.2</v>
      </c>
      <c r="G1218">
        <v>0</v>
      </c>
      <c r="H1218" t="s">
        <v>186</v>
      </c>
      <c r="I1218">
        <v>5.5E-2</v>
      </c>
      <c r="J1218">
        <f t="shared" si="527"/>
        <v>1.0010000000002037</v>
      </c>
      <c r="K1218">
        <f t="shared" si="528"/>
        <v>51</v>
      </c>
      <c r="L1218">
        <f t="shared" ca="1" si="529"/>
        <v>51797.843837663619</v>
      </c>
      <c r="M1218">
        <f t="shared" ca="1" si="506"/>
        <v>269348.78795585083</v>
      </c>
      <c r="N1218">
        <f t="shared" ca="1" si="507"/>
        <v>2.5998694991876676</v>
      </c>
      <c r="O1218">
        <f t="shared" ca="1" si="508"/>
        <v>1.8934557080078435E-4</v>
      </c>
      <c r="P1218">
        <f t="shared" ca="1" si="509"/>
        <v>52429.871837663617</v>
      </c>
      <c r="Q1218">
        <f t="shared" ca="1" si="510"/>
        <v>52429.871837665443</v>
      </c>
      <c r="R1218">
        <f t="shared" ca="1" si="511"/>
        <v>2.2564415439646509E-12</v>
      </c>
      <c r="S1218">
        <f t="shared" ca="1" si="530"/>
        <v>5.0000000192085281E-4</v>
      </c>
      <c r="T1218">
        <f t="shared" ca="1" si="531"/>
        <v>1</v>
      </c>
      <c r="U1218">
        <f t="shared" ca="1" si="512"/>
        <v>51800.26683766341</v>
      </c>
      <c r="V1218">
        <f t="shared" ca="1" si="513"/>
        <v>269361.38755584974</v>
      </c>
      <c r="W1218">
        <f t="shared" ca="1" si="514"/>
        <v>2.5998695052916441</v>
      </c>
      <c r="X1218">
        <f t="shared" ca="1" si="515"/>
        <v>1.8933671400629237E-4</v>
      </c>
      <c r="Y1218">
        <f t="shared" ca="1" si="516"/>
        <v>52432.294837663409</v>
      </c>
      <c r="Z1218">
        <f t="shared" ca="1" si="517"/>
        <v>52432.294837665235</v>
      </c>
      <c r="AA1218">
        <f t="shared" ca="1" si="518"/>
        <v>2.2562304480281055E-12</v>
      </c>
      <c r="AB1218">
        <f t="shared" ca="1" si="519"/>
        <v>-5.0000000192085281E-4</v>
      </c>
      <c r="AC1218">
        <f t="shared" ca="1" si="520"/>
        <v>1</v>
      </c>
      <c r="AD1218">
        <f ca="1">IF(V32="Supercritical",L1218,IF(V32="Subcritical",U1218,IF(AND(T1218=1,AC1218=1),IF((((F1218)*(L1218)^2)/2+(G1218)*(L1218)^3/3+(ABS(K1218)^2)/($I$5*MAX(((F1218)+(G1218)*(L1218))*(L1218),0.000001)))&gt;=(((F1218)*(U1218)^2)/2+(G1218)*(U1218)^3/3+(ABS(K1218)^2)/($I$5*MAX(((F1218)+(G1218)*(U1218))*(U1218),0.000001))),L1218,U1218),IF(T1218=1,L1218,IF(AC1218=1,U1218,MAX($D$16,POWER((ABS(K1218)^2)/($I$5*MAX(F1218,0.1)^2),1/3)))))))</f>
        <v>51800.26683766341</v>
      </c>
      <c r="AE1218">
        <f t="shared" ca="1" si="521"/>
        <v>52432.294837663409</v>
      </c>
      <c r="AF1218">
        <f t="shared" ca="1" si="522"/>
        <v>52432.294837665235</v>
      </c>
      <c r="AI1218">
        <v>0</v>
      </c>
      <c r="AJ1218">
        <v>0</v>
      </c>
      <c r="AK1218">
        <f t="shared" si="523"/>
        <v>0</v>
      </c>
      <c r="AL1218">
        <f t="shared" si="532"/>
        <v>0</v>
      </c>
      <c r="AM1218">
        <f t="shared" ca="1" si="524"/>
        <v>2.6560383008097266E-7</v>
      </c>
      <c r="AN1218" t="str">
        <f t="shared" ca="1" si="525"/>
        <v>Subcritical</v>
      </c>
      <c r="AO1218">
        <f t="shared" ca="1" si="526"/>
        <v>2.2562304480281055E-12</v>
      </c>
    </row>
    <row r="1219" spans="1:41" x14ac:dyDescent="0.35">
      <c r="A1219">
        <v>1070</v>
      </c>
      <c r="B1219">
        <v>1068.8900000000001</v>
      </c>
      <c r="C1219">
        <v>616078.25</v>
      </c>
      <c r="D1219">
        <v>3096935.11</v>
      </c>
      <c r="E1219">
        <v>632.02750000000003</v>
      </c>
      <c r="F1219">
        <v>5.2</v>
      </c>
      <c r="G1219">
        <v>0</v>
      </c>
      <c r="H1219" t="s">
        <v>186</v>
      </c>
      <c r="I1219">
        <v>0</v>
      </c>
      <c r="J1219">
        <f t="shared" si="527"/>
        <v>1</v>
      </c>
      <c r="K1219">
        <f t="shared" si="528"/>
        <v>51</v>
      </c>
      <c r="L1219">
        <f t="shared" ca="1" si="529"/>
        <v>51797.843837663619</v>
      </c>
      <c r="M1219">
        <f t="shared" ca="1" si="506"/>
        <v>269348.78795585083</v>
      </c>
      <c r="N1219">
        <f t="shared" ca="1" si="507"/>
        <v>2.5998694991876676</v>
      </c>
      <c r="O1219">
        <f t="shared" ca="1" si="508"/>
        <v>1.8934557080078435E-4</v>
      </c>
      <c r="P1219">
        <f t="shared" ca="1" si="509"/>
        <v>52429.871337663615</v>
      </c>
      <c r="Q1219">
        <f t="shared" ca="1" si="510"/>
        <v>52429.871337665441</v>
      </c>
      <c r="R1219">
        <f t="shared" ca="1" si="511"/>
        <v>2.2564415439646509E-12</v>
      </c>
      <c r="S1219">
        <f t="shared" ca="1" si="530"/>
        <v>5.0000000192085281E-4</v>
      </c>
      <c r="T1219">
        <f t="shared" ca="1" si="531"/>
        <v>1</v>
      </c>
      <c r="U1219">
        <f t="shared" ca="1" si="512"/>
        <v>51800.26683766341</v>
      </c>
      <c r="V1219">
        <f t="shared" ca="1" si="513"/>
        <v>269361.38755584974</v>
      </c>
      <c r="W1219">
        <f t="shared" ca="1" si="514"/>
        <v>2.5998695052916441</v>
      </c>
      <c r="X1219">
        <f t="shared" ca="1" si="515"/>
        <v>1.8933671400629237E-4</v>
      </c>
      <c r="Y1219">
        <f t="shared" ca="1" si="516"/>
        <v>52432.294337663407</v>
      </c>
      <c r="Z1219">
        <f t="shared" ca="1" si="517"/>
        <v>52432.294337665233</v>
      </c>
      <c r="AA1219">
        <f t="shared" ca="1" si="518"/>
        <v>2.2562304480281055E-12</v>
      </c>
      <c r="AB1219">
        <f t="shared" ca="1" si="519"/>
        <v>-4.999999946448952E-4</v>
      </c>
      <c r="AC1219">
        <f t="shared" ca="1" si="520"/>
        <v>1</v>
      </c>
      <c r="AD1219">
        <f ca="1">IF(V32="Supercritical",L1219,IF(V32="Subcritical",U1219,IF(AND(T1219=1,AC1219=1),IF((((F1219)*(L1219)^2)/2+(G1219)*(L1219)^3/3+(ABS(K1219)^2)/($I$5*MAX(((F1219)+(G1219)*(L1219))*(L1219),0.000001)))&gt;=(((F1219)*(U1219)^2)/2+(G1219)*(U1219)^3/3+(ABS(K1219)^2)/($I$5*MAX(((F1219)+(G1219)*(U1219))*(U1219),0.000001))),L1219,U1219),IF(T1219=1,L1219,IF(AC1219=1,U1219,MAX($D$16,POWER((ABS(K1219)^2)/($I$5*MAX(F1219,0.1)^2),1/3)))))))</f>
        <v>51800.26683766341</v>
      </c>
      <c r="AE1219">
        <f t="shared" ca="1" si="521"/>
        <v>52432.294337663407</v>
      </c>
      <c r="AF1219">
        <f t="shared" ca="1" si="522"/>
        <v>52432.294337665233</v>
      </c>
      <c r="AI1219">
        <v>0</v>
      </c>
      <c r="AJ1219">
        <v>0</v>
      </c>
      <c r="AK1219">
        <f t="shared" si="523"/>
        <v>0</v>
      </c>
      <c r="AL1219">
        <f t="shared" si="532"/>
        <v>0</v>
      </c>
      <c r="AM1219">
        <f t="shared" ca="1" si="524"/>
        <v>2.6560383008097266E-7</v>
      </c>
      <c r="AN1219" t="str">
        <f t="shared" ca="1" si="525"/>
        <v>Subcritical</v>
      </c>
      <c r="AO1219">
        <f t="shared" ca="1" si="526"/>
        <v>2.2562304480281055E-12</v>
      </c>
    </row>
    <row r="1220" spans="1:41" x14ac:dyDescent="0.35">
      <c r="A1220">
        <v>1071</v>
      </c>
      <c r="B1220">
        <v>1069.8900000000001</v>
      </c>
      <c r="C1220">
        <v>616078.20799999998</v>
      </c>
      <c r="D1220">
        <v>3096934.111</v>
      </c>
      <c r="E1220">
        <v>632.02700000000004</v>
      </c>
      <c r="F1220">
        <v>5.2</v>
      </c>
      <c r="G1220">
        <v>0</v>
      </c>
      <c r="H1220" t="s">
        <v>186</v>
      </c>
      <c r="I1220">
        <v>0</v>
      </c>
      <c r="J1220">
        <f t="shared" si="527"/>
        <v>1</v>
      </c>
      <c r="K1220">
        <f t="shared" si="528"/>
        <v>51</v>
      </c>
      <c r="L1220">
        <f t="shared" ca="1" si="529"/>
        <v>51797.843837663619</v>
      </c>
      <c r="M1220">
        <f t="shared" ca="1" si="506"/>
        <v>269348.78795585083</v>
      </c>
      <c r="N1220">
        <f t="shared" ca="1" si="507"/>
        <v>2.5998694991876676</v>
      </c>
      <c r="O1220">
        <f t="shared" ca="1" si="508"/>
        <v>1.8934557080078435E-4</v>
      </c>
      <c r="P1220">
        <f t="shared" ca="1" si="509"/>
        <v>52429.87083766362</v>
      </c>
      <c r="Q1220">
        <f t="shared" ca="1" si="510"/>
        <v>52429.870837665447</v>
      </c>
      <c r="R1220">
        <f t="shared" ca="1" si="511"/>
        <v>2.2564415439646509E-12</v>
      </c>
      <c r="S1220">
        <f t="shared" ca="1" si="530"/>
        <v>4.999999946448952E-4</v>
      </c>
      <c r="T1220">
        <f t="shared" ca="1" si="531"/>
        <v>1</v>
      </c>
      <c r="U1220">
        <f t="shared" ca="1" si="512"/>
        <v>51800.26683766341</v>
      </c>
      <c r="V1220">
        <f t="shared" ca="1" si="513"/>
        <v>269361.38755584974</v>
      </c>
      <c r="W1220">
        <f t="shared" ca="1" si="514"/>
        <v>2.5998695052916441</v>
      </c>
      <c r="X1220">
        <f t="shared" ca="1" si="515"/>
        <v>1.8933671400629237E-4</v>
      </c>
      <c r="Y1220">
        <f t="shared" ca="1" si="516"/>
        <v>52432.293837663412</v>
      </c>
      <c r="Z1220">
        <f t="shared" ca="1" si="517"/>
        <v>52432.293837665238</v>
      </c>
      <c r="AA1220">
        <f t="shared" ca="1" si="518"/>
        <v>2.2562304480281055E-12</v>
      </c>
      <c r="AB1220">
        <f t="shared" ca="1" si="519"/>
        <v>-5.0000000192085281E-4</v>
      </c>
      <c r="AC1220">
        <f t="shared" ca="1" si="520"/>
        <v>1</v>
      </c>
      <c r="AD1220">
        <f ca="1">IF(V32="Supercritical",L1220,IF(V32="Subcritical",U1220,IF(AND(T1220=1,AC1220=1),IF((((F1220)*(L1220)^2)/2+(G1220)*(L1220)^3/3+(ABS(K1220)^2)/($I$5*MAX(((F1220)+(G1220)*(L1220))*(L1220),0.000001)))&gt;=(((F1220)*(U1220)^2)/2+(G1220)*(U1220)^3/3+(ABS(K1220)^2)/($I$5*MAX(((F1220)+(G1220)*(U1220))*(U1220),0.000001))),L1220,U1220),IF(T1220=1,L1220,IF(AC1220=1,U1220,MAX($D$16,POWER((ABS(K1220)^2)/($I$5*MAX(F1220,0.1)^2),1/3)))))))</f>
        <v>51800.26683766341</v>
      </c>
      <c r="AE1220">
        <f t="shared" ca="1" si="521"/>
        <v>52432.293837663412</v>
      </c>
      <c r="AF1220">
        <f t="shared" ca="1" si="522"/>
        <v>52432.293837665238</v>
      </c>
      <c r="AI1220">
        <v>0</v>
      </c>
      <c r="AJ1220">
        <v>0</v>
      </c>
      <c r="AK1220">
        <f t="shared" si="523"/>
        <v>0</v>
      </c>
      <c r="AL1220">
        <f t="shared" si="532"/>
        <v>0</v>
      </c>
      <c r="AM1220">
        <f t="shared" ca="1" si="524"/>
        <v>2.6560383008097266E-7</v>
      </c>
      <c r="AN1220" t="str">
        <f t="shared" ca="1" si="525"/>
        <v>Subcritical</v>
      </c>
      <c r="AO1220">
        <f t="shared" ca="1" si="526"/>
        <v>2.2562304480281055E-12</v>
      </c>
    </row>
    <row r="1221" spans="1:41" x14ac:dyDescent="0.35">
      <c r="A1221">
        <v>1072</v>
      </c>
      <c r="B1221">
        <v>1070.8889999999999</v>
      </c>
      <c r="C1221">
        <v>616078.16599999997</v>
      </c>
      <c r="D1221">
        <v>3096933.1120000002</v>
      </c>
      <c r="E1221">
        <v>632.02650000000006</v>
      </c>
      <c r="F1221">
        <v>5.2</v>
      </c>
      <c r="G1221">
        <v>0</v>
      </c>
      <c r="H1221" t="s">
        <v>186</v>
      </c>
      <c r="I1221">
        <v>5.7000000000000002E-2</v>
      </c>
      <c r="J1221">
        <f t="shared" si="527"/>
        <v>0.99899999999979627</v>
      </c>
      <c r="K1221">
        <f t="shared" si="528"/>
        <v>51</v>
      </c>
      <c r="L1221">
        <f t="shared" ca="1" si="529"/>
        <v>51797.843837663619</v>
      </c>
      <c r="M1221">
        <f t="shared" ca="1" si="506"/>
        <v>269348.78795585083</v>
      </c>
      <c r="N1221">
        <f t="shared" ca="1" si="507"/>
        <v>2.5998694991876676</v>
      </c>
      <c r="O1221">
        <f t="shared" ca="1" si="508"/>
        <v>1.8934557080078435E-4</v>
      </c>
      <c r="P1221">
        <f t="shared" ca="1" si="509"/>
        <v>52429.870337663619</v>
      </c>
      <c r="Q1221">
        <f t="shared" ca="1" si="510"/>
        <v>52429.870337665445</v>
      </c>
      <c r="R1221">
        <f t="shared" ca="1" si="511"/>
        <v>2.2564415439646509E-12</v>
      </c>
      <c r="S1221">
        <f t="shared" ca="1" si="530"/>
        <v>5.0000000192085281E-4</v>
      </c>
      <c r="T1221">
        <f t="shared" ca="1" si="531"/>
        <v>1</v>
      </c>
      <c r="U1221">
        <f t="shared" ca="1" si="512"/>
        <v>51800.26683766341</v>
      </c>
      <c r="V1221">
        <f t="shared" ca="1" si="513"/>
        <v>269361.38755584974</v>
      </c>
      <c r="W1221">
        <f t="shared" ca="1" si="514"/>
        <v>2.5998695052916441</v>
      </c>
      <c r="X1221">
        <f t="shared" ca="1" si="515"/>
        <v>1.8933671400629237E-4</v>
      </c>
      <c r="Y1221">
        <f t="shared" ca="1" si="516"/>
        <v>52432.29333766341</v>
      </c>
      <c r="Z1221">
        <f t="shared" ca="1" si="517"/>
        <v>52432.293337665236</v>
      </c>
      <c r="AA1221">
        <f t="shared" ca="1" si="518"/>
        <v>2.2562304480281055E-12</v>
      </c>
      <c r="AB1221">
        <f t="shared" ca="1" si="519"/>
        <v>-5.0000000192085281E-4</v>
      </c>
      <c r="AC1221">
        <f t="shared" ca="1" si="520"/>
        <v>1</v>
      </c>
      <c r="AD1221">
        <f ca="1">IF(V32="Supercritical",L1221,IF(V32="Subcritical",U1221,IF(AND(T1221=1,AC1221=1),IF((((F1221)*(L1221)^2)/2+(G1221)*(L1221)^3/3+(ABS(K1221)^2)/($I$5*MAX(((F1221)+(G1221)*(L1221))*(L1221),0.000001)))&gt;=(((F1221)*(U1221)^2)/2+(G1221)*(U1221)^3/3+(ABS(K1221)^2)/($I$5*MAX(((F1221)+(G1221)*(U1221))*(U1221),0.000001))),L1221,U1221),IF(T1221=1,L1221,IF(AC1221=1,U1221,MAX($D$16,POWER((ABS(K1221)^2)/($I$5*MAX(F1221,0.1)^2),1/3)))))))</f>
        <v>51800.26683766341</v>
      </c>
      <c r="AE1221">
        <f t="shared" ca="1" si="521"/>
        <v>52432.29333766341</v>
      </c>
      <c r="AF1221">
        <f t="shared" ca="1" si="522"/>
        <v>52432.293337665236</v>
      </c>
      <c r="AI1221">
        <v>0</v>
      </c>
      <c r="AJ1221">
        <v>0</v>
      </c>
      <c r="AK1221">
        <f t="shared" si="523"/>
        <v>0</v>
      </c>
      <c r="AL1221">
        <f t="shared" si="532"/>
        <v>0</v>
      </c>
      <c r="AM1221">
        <f t="shared" ca="1" si="524"/>
        <v>2.6560383008097266E-7</v>
      </c>
      <c r="AN1221" t="str">
        <f t="shared" ca="1" si="525"/>
        <v>Subcritical</v>
      </c>
      <c r="AO1221">
        <f t="shared" ca="1" si="526"/>
        <v>2.2562304480281055E-12</v>
      </c>
    </row>
    <row r="1222" spans="1:41" x14ac:dyDescent="0.35">
      <c r="A1222">
        <v>1073</v>
      </c>
      <c r="B1222">
        <v>1071.8889999999999</v>
      </c>
      <c r="C1222">
        <v>616078.12300000002</v>
      </c>
      <c r="D1222">
        <v>3096932.1129999999</v>
      </c>
      <c r="E1222">
        <v>632.02599999999995</v>
      </c>
      <c r="F1222">
        <v>5.2</v>
      </c>
      <c r="G1222">
        <v>0</v>
      </c>
      <c r="H1222" t="s">
        <v>186</v>
      </c>
      <c r="I1222">
        <v>5.7000000000000002E-2</v>
      </c>
      <c r="J1222">
        <f t="shared" si="527"/>
        <v>1</v>
      </c>
      <c r="K1222">
        <f t="shared" si="528"/>
        <v>51</v>
      </c>
      <c r="L1222">
        <f t="shared" ca="1" si="529"/>
        <v>51797.843837663619</v>
      </c>
      <c r="M1222">
        <f t="shared" ca="1" si="506"/>
        <v>269348.78795585083</v>
      </c>
      <c r="N1222">
        <f t="shared" ca="1" si="507"/>
        <v>2.5998694991876676</v>
      </c>
      <c r="O1222">
        <f t="shared" ca="1" si="508"/>
        <v>1.8934557080078435E-4</v>
      </c>
      <c r="P1222">
        <f t="shared" ca="1" si="509"/>
        <v>52429.869837663617</v>
      </c>
      <c r="Q1222">
        <f t="shared" ca="1" si="510"/>
        <v>52429.869837665443</v>
      </c>
      <c r="R1222">
        <f t="shared" ca="1" si="511"/>
        <v>2.2564415439646509E-12</v>
      </c>
      <c r="S1222">
        <f t="shared" ca="1" si="530"/>
        <v>5.0000000192085281E-4</v>
      </c>
      <c r="T1222">
        <f t="shared" ca="1" si="531"/>
        <v>1</v>
      </c>
      <c r="U1222">
        <f t="shared" ca="1" si="512"/>
        <v>51800.26683766341</v>
      </c>
      <c r="V1222">
        <f t="shared" ca="1" si="513"/>
        <v>269361.38755584974</v>
      </c>
      <c r="W1222">
        <f t="shared" ca="1" si="514"/>
        <v>2.5998695052916441</v>
      </c>
      <c r="X1222">
        <f t="shared" ca="1" si="515"/>
        <v>1.8933671400629237E-4</v>
      </c>
      <c r="Y1222">
        <f t="shared" ca="1" si="516"/>
        <v>52432.292837663408</v>
      </c>
      <c r="Z1222">
        <f t="shared" ca="1" si="517"/>
        <v>52432.292837665234</v>
      </c>
      <c r="AA1222">
        <f t="shared" ca="1" si="518"/>
        <v>2.2562304480281055E-12</v>
      </c>
      <c r="AB1222">
        <f t="shared" ca="1" si="519"/>
        <v>-4.999999946448952E-4</v>
      </c>
      <c r="AC1222">
        <f t="shared" ca="1" si="520"/>
        <v>1</v>
      </c>
      <c r="AD1222">
        <f ca="1">IF(V32="Supercritical",L1222,IF(V32="Subcritical",U1222,IF(AND(T1222=1,AC1222=1),IF((((F1222)*(L1222)^2)/2+(G1222)*(L1222)^3/3+(ABS(K1222)^2)/($I$5*MAX(((F1222)+(G1222)*(L1222))*(L1222),0.000001)))&gt;=(((F1222)*(U1222)^2)/2+(G1222)*(U1222)^3/3+(ABS(K1222)^2)/($I$5*MAX(((F1222)+(G1222)*(U1222))*(U1222),0.000001))),L1222,U1222),IF(T1222=1,L1222,IF(AC1222=1,U1222,MAX($D$16,POWER((ABS(K1222)^2)/($I$5*MAX(F1222,0.1)^2),1/3)))))))</f>
        <v>51800.26683766341</v>
      </c>
      <c r="AE1222">
        <f t="shared" ca="1" si="521"/>
        <v>52432.292837663408</v>
      </c>
      <c r="AF1222">
        <f t="shared" ca="1" si="522"/>
        <v>52432.292837665234</v>
      </c>
      <c r="AI1222">
        <v>0</v>
      </c>
      <c r="AJ1222">
        <v>0</v>
      </c>
      <c r="AK1222">
        <f t="shared" si="523"/>
        <v>0</v>
      </c>
      <c r="AL1222">
        <f t="shared" si="532"/>
        <v>0</v>
      </c>
      <c r="AM1222">
        <f t="shared" ca="1" si="524"/>
        <v>2.6560383008097266E-7</v>
      </c>
      <c r="AN1222" t="str">
        <f t="shared" ca="1" si="525"/>
        <v>Subcritical</v>
      </c>
      <c r="AO1222">
        <f t="shared" ca="1" si="526"/>
        <v>2.2562304480281055E-12</v>
      </c>
    </row>
    <row r="1223" spans="1:41" x14ac:dyDescent="0.35">
      <c r="A1223">
        <v>1074</v>
      </c>
      <c r="B1223">
        <v>1072.8889999999999</v>
      </c>
      <c r="C1223">
        <v>616078.08100000001</v>
      </c>
      <c r="D1223">
        <v>3096931.1140000001</v>
      </c>
      <c r="E1223">
        <v>632.02549999999997</v>
      </c>
      <c r="F1223">
        <v>5.2</v>
      </c>
      <c r="G1223">
        <v>0</v>
      </c>
      <c r="H1223" t="s">
        <v>186</v>
      </c>
      <c r="I1223">
        <v>0</v>
      </c>
      <c r="J1223">
        <f t="shared" si="527"/>
        <v>1</v>
      </c>
      <c r="K1223">
        <f t="shared" si="528"/>
        <v>51</v>
      </c>
      <c r="L1223">
        <f t="shared" ca="1" si="529"/>
        <v>51797.843837663619</v>
      </c>
      <c r="M1223">
        <f t="shared" ca="1" si="506"/>
        <v>269348.78795585083</v>
      </c>
      <c r="N1223">
        <f t="shared" ca="1" si="507"/>
        <v>2.5998694991876676</v>
      </c>
      <c r="O1223">
        <f t="shared" ca="1" si="508"/>
        <v>1.8934557080078435E-4</v>
      </c>
      <c r="P1223">
        <f t="shared" ca="1" si="509"/>
        <v>52429.869337663622</v>
      </c>
      <c r="Q1223">
        <f t="shared" ca="1" si="510"/>
        <v>52429.869337665448</v>
      </c>
      <c r="R1223">
        <f t="shared" ca="1" si="511"/>
        <v>2.2564415439646509E-12</v>
      </c>
      <c r="S1223">
        <f t="shared" ca="1" si="530"/>
        <v>4.999999946448952E-4</v>
      </c>
      <c r="T1223">
        <f t="shared" ca="1" si="531"/>
        <v>1</v>
      </c>
      <c r="U1223">
        <f t="shared" ca="1" si="512"/>
        <v>51800.26683766341</v>
      </c>
      <c r="V1223">
        <f t="shared" ca="1" si="513"/>
        <v>269361.38755584974</v>
      </c>
      <c r="W1223">
        <f t="shared" ca="1" si="514"/>
        <v>2.5998695052916441</v>
      </c>
      <c r="X1223">
        <f t="shared" ca="1" si="515"/>
        <v>1.8933671400629237E-4</v>
      </c>
      <c r="Y1223">
        <f t="shared" ca="1" si="516"/>
        <v>52432.292337663413</v>
      </c>
      <c r="Z1223">
        <f t="shared" ca="1" si="517"/>
        <v>52432.29233766524</v>
      </c>
      <c r="AA1223">
        <f t="shared" ca="1" si="518"/>
        <v>2.2562304480281055E-12</v>
      </c>
      <c r="AB1223">
        <f t="shared" ca="1" si="519"/>
        <v>-5.0000000192085281E-4</v>
      </c>
      <c r="AC1223">
        <f t="shared" ca="1" si="520"/>
        <v>1</v>
      </c>
      <c r="AD1223">
        <f ca="1">IF(V32="Supercritical",L1223,IF(V32="Subcritical",U1223,IF(AND(T1223=1,AC1223=1),IF((((F1223)*(L1223)^2)/2+(G1223)*(L1223)^3/3+(ABS(K1223)^2)/($I$5*MAX(((F1223)+(G1223)*(L1223))*(L1223),0.000001)))&gt;=(((F1223)*(U1223)^2)/2+(G1223)*(U1223)^3/3+(ABS(K1223)^2)/($I$5*MAX(((F1223)+(G1223)*(U1223))*(U1223),0.000001))),L1223,U1223),IF(T1223=1,L1223,IF(AC1223=1,U1223,MAX($D$16,POWER((ABS(K1223)^2)/($I$5*MAX(F1223,0.1)^2),1/3)))))))</f>
        <v>51800.26683766341</v>
      </c>
      <c r="AE1223">
        <f t="shared" ca="1" si="521"/>
        <v>52432.292337663413</v>
      </c>
      <c r="AF1223">
        <f t="shared" ca="1" si="522"/>
        <v>52432.29233766524</v>
      </c>
      <c r="AI1223">
        <v>0</v>
      </c>
      <c r="AJ1223">
        <v>0</v>
      </c>
      <c r="AK1223">
        <f t="shared" si="523"/>
        <v>0</v>
      </c>
      <c r="AL1223">
        <f t="shared" si="532"/>
        <v>0</v>
      </c>
      <c r="AM1223">
        <f t="shared" ca="1" si="524"/>
        <v>2.6560383008097266E-7</v>
      </c>
      <c r="AN1223" t="str">
        <f t="shared" ca="1" si="525"/>
        <v>Subcritical</v>
      </c>
      <c r="AO1223">
        <f t="shared" ca="1" si="526"/>
        <v>2.2562304480281055E-12</v>
      </c>
    </row>
    <row r="1224" spans="1:41" x14ac:dyDescent="0.35">
      <c r="A1224">
        <v>1075</v>
      </c>
      <c r="B1224">
        <v>1073.8889999999999</v>
      </c>
      <c r="C1224">
        <v>616078.03899999999</v>
      </c>
      <c r="D1224">
        <v>3096930.1150000002</v>
      </c>
      <c r="E1224">
        <v>632.02499999999998</v>
      </c>
      <c r="F1224">
        <v>5.2</v>
      </c>
      <c r="G1224">
        <v>0</v>
      </c>
      <c r="H1224" t="s">
        <v>186</v>
      </c>
      <c r="I1224">
        <v>0</v>
      </c>
      <c r="J1224">
        <f t="shared" si="527"/>
        <v>1</v>
      </c>
      <c r="K1224">
        <f t="shared" si="528"/>
        <v>51</v>
      </c>
      <c r="L1224">
        <f t="shared" ca="1" si="529"/>
        <v>51797.843837663619</v>
      </c>
      <c r="M1224">
        <f t="shared" ca="1" si="506"/>
        <v>269348.78795585083</v>
      </c>
      <c r="N1224">
        <f t="shared" ca="1" si="507"/>
        <v>2.5998694991876676</v>
      </c>
      <c r="O1224">
        <f t="shared" ca="1" si="508"/>
        <v>1.8934557080078435E-4</v>
      </c>
      <c r="P1224">
        <f t="shared" ca="1" si="509"/>
        <v>52429.86883766362</v>
      </c>
      <c r="Q1224">
        <f t="shared" ca="1" si="510"/>
        <v>52429.868837665446</v>
      </c>
      <c r="R1224">
        <f t="shared" ca="1" si="511"/>
        <v>2.2564415439646509E-12</v>
      </c>
      <c r="S1224">
        <f t="shared" ca="1" si="530"/>
        <v>5.0000000192085281E-4</v>
      </c>
      <c r="T1224">
        <f t="shared" ca="1" si="531"/>
        <v>1</v>
      </c>
      <c r="U1224">
        <f t="shared" ca="1" si="512"/>
        <v>51800.26683766341</v>
      </c>
      <c r="V1224">
        <f t="shared" ca="1" si="513"/>
        <v>269361.38755584974</v>
      </c>
      <c r="W1224">
        <f t="shared" ca="1" si="514"/>
        <v>2.5998695052916441</v>
      </c>
      <c r="X1224">
        <f t="shared" ca="1" si="515"/>
        <v>1.8933671400629237E-4</v>
      </c>
      <c r="Y1224">
        <f t="shared" ca="1" si="516"/>
        <v>52432.291837663412</v>
      </c>
      <c r="Z1224">
        <f t="shared" ca="1" si="517"/>
        <v>52432.291837665238</v>
      </c>
      <c r="AA1224">
        <f t="shared" ca="1" si="518"/>
        <v>2.2562304480281055E-12</v>
      </c>
      <c r="AB1224">
        <f t="shared" ca="1" si="519"/>
        <v>-5.0000000192085281E-4</v>
      </c>
      <c r="AC1224">
        <f t="shared" ca="1" si="520"/>
        <v>1</v>
      </c>
      <c r="AD1224">
        <f ca="1">IF(V32="Supercritical",L1224,IF(V32="Subcritical",U1224,IF(AND(T1224=1,AC1224=1),IF((((F1224)*(L1224)^2)/2+(G1224)*(L1224)^3/3+(ABS(K1224)^2)/($I$5*MAX(((F1224)+(G1224)*(L1224))*(L1224),0.000001)))&gt;=(((F1224)*(U1224)^2)/2+(G1224)*(U1224)^3/3+(ABS(K1224)^2)/($I$5*MAX(((F1224)+(G1224)*(U1224))*(U1224),0.000001))),L1224,U1224),IF(T1224=1,L1224,IF(AC1224=1,U1224,MAX($D$16,POWER((ABS(K1224)^2)/($I$5*MAX(F1224,0.1)^2),1/3)))))))</f>
        <v>51800.26683766341</v>
      </c>
      <c r="AE1224">
        <f t="shared" ca="1" si="521"/>
        <v>52432.291837663412</v>
      </c>
      <c r="AF1224">
        <f t="shared" ca="1" si="522"/>
        <v>52432.291837665238</v>
      </c>
      <c r="AI1224">
        <v>0</v>
      </c>
      <c r="AJ1224">
        <v>0</v>
      </c>
      <c r="AK1224">
        <f t="shared" si="523"/>
        <v>0</v>
      </c>
      <c r="AL1224">
        <f t="shared" si="532"/>
        <v>0</v>
      </c>
      <c r="AM1224">
        <f t="shared" ca="1" si="524"/>
        <v>2.6560383008097266E-7</v>
      </c>
      <c r="AN1224" t="str">
        <f t="shared" ca="1" si="525"/>
        <v>Subcritical</v>
      </c>
      <c r="AO1224">
        <f t="shared" ca="1" si="526"/>
        <v>2.2562304480281055E-12</v>
      </c>
    </row>
    <row r="1225" spans="1:41" x14ac:dyDescent="0.35">
      <c r="A1225">
        <v>1076</v>
      </c>
      <c r="B1225">
        <v>1074.8889999999999</v>
      </c>
      <c r="C1225">
        <v>616077.99699999997</v>
      </c>
      <c r="D1225">
        <v>3096929.1159999999</v>
      </c>
      <c r="E1225">
        <v>632.02449999999999</v>
      </c>
      <c r="F1225">
        <v>5.2</v>
      </c>
      <c r="G1225">
        <v>0</v>
      </c>
      <c r="H1225" t="s">
        <v>186</v>
      </c>
      <c r="I1225">
        <v>5.7000000000000002E-2</v>
      </c>
      <c r="J1225">
        <f t="shared" si="527"/>
        <v>1</v>
      </c>
      <c r="K1225">
        <f t="shared" si="528"/>
        <v>51</v>
      </c>
      <c r="L1225">
        <f t="shared" ca="1" si="529"/>
        <v>51797.843837663619</v>
      </c>
      <c r="M1225">
        <f t="shared" ca="1" si="506"/>
        <v>269348.78795585083</v>
      </c>
      <c r="N1225">
        <f t="shared" ca="1" si="507"/>
        <v>2.5998694991876676</v>
      </c>
      <c r="O1225">
        <f t="shared" ca="1" si="508"/>
        <v>1.8934557080078435E-4</v>
      </c>
      <c r="P1225">
        <f t="shared" ca="1" si="509"/>
        <v>52429.868337663618</v>
      </c>
      <c r="Q1225">
        <f t="shared" ca="1" si="510"/>
        <v>52429.868337665444</v>
      </c>
      <c r="R1225">
        <f t="shared" ca="1" si="511"/>
        <v>2.2564415439646509E-12</v>
      </c>
      <c r="S1225">
        <f t="shared" ca="1" si="530"/>
        <v>5.0000000192085281E-4</v>
      </c>
      <c r="T1225">
        <f t="shared" ca="1" si="531"/>
        <v>1</v>
      </c>
      <c r="U1225">
        <f t="shared" ca="1" si="512"/>
        <v>51800.26683766341</v>
      </c>
      <c r="V1225">
        <f t="shared" ca="1" si="513"/>
        <v>269361.38755584974</v>
      </c>
      <c r="W1225">
        <f t="shared" ca="1" si="514"/>
        <v>2.5998695052916441</v>
      </c>
      <c r="X1225">
        <f t="shared" ca="1" si="515"/>
        <v>1.8933671400629237E-4</v>
      </c>
      <c r="Y1225">
        <f t="shared" ca="1" si="516"/>
        <v>52432.29133766341</v>
      </c>
      <c r="Z1225">
        <f t="shared" ca="1" si="517"/>
        <v>52432.291337665236</v>
      </c>
      <c r="AA1225">
        <f t="shared" ca="1" si="518"/>
        <v>2.2562304480281055E-12</v>
      </c>
      <c r="AB1225">
        <f t="shared" ca="1" si="519"/>
        <v>-5.0000000192085281E-4</v>
      </c>
      <c r="AC1225">
        <f t="shared" ca="1" si="520"/>
        <v>1</v>
      </c>
      <c r="AD1225">
        <f ca="1">IF(V32="Supercritical",L1225,IF(V32="Subcritical",U1225,IF(AND(T1225=1,AC1225=1),IF((((F1225)*(L1225)^2)/2+(G1225)*(L1225)^3/3+(ABS(K1225)^2)/($I$5*MAX(((F1225)+(G1225)*(L1225))*(L1225),0.000001)))&gt;=(((F1225)*(U1225)^2)/2+(G1225)*(U1225)^3/3+(ABS(K1225)^2)/($I$5*MAX(((F1225)+(G1225)*(U1225))*(U1225),0.000001))),L1225,U1225),IF(T1225=1,L1225,IF(AC1225=1,U1225,MAX($D$16,POWER((ABS(K1225)^2)/($I$5*MAX(F1225,0.1)^2),1/3)))))))</f>
        <v>51800.26683766341</v>
      </c>
      <c r="AE1225">
        <f t="shared" ca="1" si="521"/>
        <v>52432.29133766341</v>
      </c>
      <c r="AF1225">
        <f t="shared" ca="1" si="522"/>
        <v>52432.291337665236</v>
      </c>
      <c r="AI1225">
        <v>0</v>
      </c>
      <c r="AJ1225">
        <v>0</v>
      </c>
      <c r="AK1225">
        <f t="shared" si="523"/>
        <v>0</v>
      </c>
      <c r="AL1225">
        <f t="shared" si="532"/>
        <v>0</v>
      </c>
      <c r="AM1225">
        <f t="shared" ca="1" si="524"/>
        <v>2.6560383008097266E-7</v>
      </c>
      <c r="AN1225" t="str">
        <f t="shared" ca="1" si="525"/>
        <v>Subcritical</v>
      </c>
      <c r="AO1225">
        <f t="shared" ca="1" si="526"/>
        <v>2.2562304480281055E-12</v>
      </c>
    </row>
    <row r="1226" spans="1:41" x14ac:dyDescent="0.35">
      <c r="A1226">
        <v>1077</v>
      </c>
      <c r="B1226">
        <v>1075.8889999999999</v>
      </c>
      <c r="C1226">
        <v>616077.95400000003</v>
      </c>
      <c r="D1226">
        <v>3096928.1170000001</v>
      </c>
      <c r="E1226">
        <v>632.024</v>
      </c>
      <c r="F1226">
        <v>5.2</v>
      </c>
      <c r="G1226">
        <v>0</v>
      </c>
      <c r="H1226" t="s">
        <v>186</v>
      </c>
      <c r="I1226">
        <v>5.7000000000000002E-2</v>
      </c>
      <c r="J1226">
        <f t="shared" si="527"/>
        <v>1</v>
      </c>
      <c r="K1226">
        <f t="shared" si="528"/>
        <v>51</v>
      </c>
      <c r="L1226">
        <f t="shared" ca="1" si="529"/>
        <v>51797.843837663619</v>
      </c>
      <c r="M1226">
        <f t="shared" ca="1" si="506"/>
        <v>269348.78795585083</v>
      </c>
      <c r="N1226">
        <f t="shared" ca="1" si="507"/>
        <v>2.5998694991876676</v>
      </c>
      <c r="O1226">
        <f t="shared" ca="1" si="508"/>
        <v>1.8934557080078435E-4</v>
      </c>
      <c r="P1226">
        <f t="shared" ca="1" si="509"/>
        <v>52429.867837663616</v>
      </c>
      <c r="Q1226">
        <f t="shared" ca="1" si="510"/>
        <v>52429.867837665442</v>
      </c>
      <c r="R1226">
        <f t="shared" ca="1" si="511"/>
        <v>2.2564415439646509E-12</v>
      </c>
      <c r="S1226">
        <f t="shared" ca="1" si="530"/>
        <v>5.0000000192085281E-4</v>
      </c>
      <c r="T1226">
        <f t="shared" ca="1" si="531"/>
        <v>1</v>
      </c>
      <c r="U1226">
        <f t="shared" ca="1" si="512"/>
        <v>51800.26683766341</v>
      </c>
      <c r="V1226">
        <f t="shared" ca="1" si="513"/>
        <v>269361.38755584974</v>
      </c>
      <c r="W1226">
        <f t="shared" ca="1" si="514"/>
        <v>2.5998695052916441</v>
      </c>
      <c r="X1226">
        <f t="shared" ca="1" si="515"/>
        <v>1.8933671400629237E-4</v>
      </c>
      <c r="Y1226">
        <f t="shared" ca="1" si="516"/>
        <v>52432.290837663408</v>
      </c>
      <c r="Z1226">
        <f t="shared" ca="1" si="517"/>
        <v>52432.290837665234</v>
      </c>
      <c r="AA1226">
        <f t="shared" ca="1" si="518"/>
        <v>2.2562304480281055E-12</v>
      </c>
      <c r="AB1226">
        <f t="shared" ca="1" si="519"/>
        <v>-4.999999946448952E-4</v>
      </c>
      <c r="AC1226">
        <f t="shared" ca="1" si="520"/>
        <v>1</v>
      </c>
      <c r="AD1226">
        <f ca="1">IF(V32="Supercritical",L1226,IF(V32="Subcritical",U1226,IF(AND(T1226=1,AC1226=1),IF((((F1226)*(L1226)^2)/2+(G1226)*(L1226)^3/3+(ABS(K1226)^2)/($I$5*MAX(((F1226)+(G1226)*(L1226))*(L1226),0.000001)))&gt;=(((F1226)*(U1226)^2)/2+(G1226)*(U1226)^3/3+(ABS(K1226)^2)/($I$5*MAX(((F1226)+(G1226)*(U1226))*(U1226),0.000001))),L1226,U1226),IF(T1226=1,L1226,IF(AC1226=1,U1226,MAX($D$16,POWER((ABS(K1226)^2)/($I$5*MAX(F1226,0.1)^2),1/3)))))))</f>
        <v>51800.26683766341</v>
      </c>
      <c r="AE1226">
        <f t="shared" ca="1" si="521"/>
        <v>52432.290837663408</v>
      </c>
      <c r="AF1226">
        <f t="shared" ca="1" si="522"/>
        <v>52432.290837665234</v>
      </c>
      <c r="AI1226">
        <v>0</v>
      </c>
      <c r="AJ1226">
        <v>0</v>
      </c>
      <c r="AK1226">
        <f t="shared" si="523"/>
        <v>0</v>
      </c>
      <c r="AL1226">
        <f t="shared" si="532"/>
        <v>0</v>
      </c>
      <c r="AM1226">
        <f t="shared" ca="1" si="524"/>
        <v>2.6560383008097266E-7</v>
      </c>
      <c r="AN1226" t="str">
        <f t="shared" ca="1" si="525"/>
        <v>Subcritical</v>
      </c>
      <c r="AO1226">
        <f t="shared" ca="1" si="526"/>
        <v>2.2562304480281055E-12</v>
      </c>
    </row>
    <row r="1227" spans="1:41" x14ac:dyDescent="0.35">
      <c r="A1227">
        <v>1078</v>
      </c>
      <c r="B1227">
        <v>1076.8889999999999</v>
      </c>
      <c r="C1227">
        <v>616077.91200000001</v>
      </c>
      <c r="D1227">
        <v>3096927.1179999998</v>
      </c>
      <c r="E1227">
        <v>632.02350000000001</v>
      </c>
      <c r="F1227">
        <v>5.2</v>
      </c>
      <c r="G1227">
        <v>0</v>
      </c>
      <c r="H1227" t="s">
        <v>186</v>
      </c>
      <c r="I1227">
        <v>2E-3</v>
      </c>
      <c r="J1227">
        <f t="shared" si="527"/>
        <v>1</v>
      </c>
      <c r="K1227">
        <f t="shared" si="528"/>
        <v>51</v>
      </c>
      <c r="L1227">
        <f t="shared" ca="1" si="529"/>
        <v>51797.843837663619</v>
      </c>
      <c r="M1227">
        <f t="shared" ca="1" si="506"/>
        <v>269348.78795585083</v>
      </c>
      <c r="N1227">
        <f t="shared" ca="1" si="507"/>
        <v>2.5998694991876676</v>
      </c>
      <c r="O1227">
        <f t="shared" ca="1" si="508"/>
        <v>1.8934557080078435E-4</v>
      </c>
      <c r="P1227">
        <f t="shared" ca="1" si="509"/>
        <v>52429.867337663622</v>
      </c>
      <c r="Q1227">
        <f t="shared" ca="1" si="510"/>
        <v>52429.867337665448</v>
      </c>
      <c r="R1227">
        <f t="shared" ca="1" si="511"/>
        <v>2.2564415439646509E-12</v>
      </c>
      <c r="S1227">
        <f t="shared" ca="1" si="530"/>
        <v>4.999999946448952E-4</v>
      </c>
      <c r="T1227">
        <f t="shared" ca="1" si="531"/>
        <v>1</v>
      </c>
      <c r="U1227">
        <f t="shared" ca="1" si="512"/>
        <v>51800.26683766341</v>
      </c>
      <c r="V1227">
        <f t="shared" ca="1" si="513"/>
        <v>269361.38755584974</v>
      </c>
      <c r="W1227">
        <f t="shared" ca="1" si="514"/>
        <v>2.5998695052916441</v>
      </c>
      <c r="X1227">
        <f t="shared" ca="1" si="515"/>
        <v>1.8933671400629237E-4</v>
      </c>
      <c r="Y1227">
        <f t="shared" ca="1" si="516"/>
        <v>52432.290337663413</v>
      </c>
      <c r="Z1227">
        <f t="shared" ca="1" si="517"/>
        <v>52432.290337665239</v>
      </c>
      <c r="AA1227">
        <f t="shared" ca="1" si="518"/>
        <v>2.2562304480281055E-12</v>
      </c>
      <c r="AB1227">
        <f t="shared" ca="1" si="519"/>
        <v>-5.0000000192085281E-4</v>
      </c>
      <c r="AC1227">
        <f t="shared" ca="1" si="520"/>
        <v>1</v>
      </c>
      <c r="AD1227">
        <f ca="1">IF(V32="Supercritical",L1227,IF(V32="Subcritical",U1227,IF(AND(T1227=1,AC1227=1),IF((((F1227)*(L1227)^2)/2+(G1227)*(L1227)^3/3+(ABS(K1227)^2)/($I$5*MAX(((F1227)+(G1227)*(L1227))*(L1227),0.000001)))&gt;=(((F1227)*(U1227)^2)/2+(G1227)*(U1227)^3/3+(ABS(K1227)^2)/($I$5*MAX(((F1227)+(G1227)*(U1227))*(U1227),0.000001))),L1227,U1227),IF(T1227=1,L1227,IF(AC1227=1,U1227,MAX($D$16,POWER((ABS(K1227)^2)/($I$5*MAX(F1227,0.1)^2),1/3)))))))</f>
        <v>51800.26683766341</v>
      </c>
      <c r="AE1227">
        <f t="shared" ca="1" si="521"/>
        <v>52432.290337663413</v>
      </c>
      <c r="AF1227">
        <f t="shared" ca="1" si="522"/>
        <v>52432.290337665239</v>
      </c>
      <c r="AI1227">
        <v>0</v>
      </c>
      <c r="AJ1227">
        <v>0</v>
      </c>
      <c r="AK1227">
        <f t="shared" si="523"/>
        <v>0</v>
      </c>
      <c r="AL1227">
        <f t="shared" si="532"/>
        <v>0</v>
      </c>
      <c r="AM1227">
        <f t="shared" ca="1" si="524"/>
        <v>2.6560383008097266E-7</v>
      </c>
      <c r="AN1227" t="str">
        <f t="shared" ca="1" si="525"/>
        <v>Subcritical</v>
      </c>
      <c r="AO1227">
        <f t="shared" ca="1" si="526"/>
        <v>2.2562304480281055E-12</v>
      </c>
    </row>
    <row r="1228" spans="1:41" x14ac:dyDescent="0.35">
      <c r="A1228">
        <v>1079</v>
      </c>
      <c r="B1228">
        <v>1077.8900000000001</v>
      </c>
      <c r="C1228">
        <v>616077.87</v>
      </c>
      <c r="D1228">
        <v>3096926.1179999998</v>
      </c>
      <c r="E1228">
        <v>632.02300000000002</v>
      </c>
      <c r="F1228">
        <v>5.2</v>
      </c>
      <c r="G1228">
        <v>0</v>
      </c>
      <c r="H1228" t="s">
        <v>186</v>
      </c>
      <c r="I1228">
        <v>2E-3</v>
      </c>
      <c r="J1228">
        <f t="shared" si="527"/>
        <v>1.0010000000002037</v>
      </c>
      <c r="K1228">
        <f t="shared" si="528"/>
        <v>51</v>
      </c>
      <c r="L1228">
        <f t="shared" ca="1" si="529"/>
        <v>51797.843837663619</v>
      </c>
      <c r="M1228">
        <f t="shared" ca="1" si="506"/>
        <v>269348.78795585083</v>
      </c>
      <c r="N1228">
        <f t="shared" ca="1" si="507"/>
        <v>2.5998694991876676</v>
      </c>
      <c r="O1228">
        <f t="shared" ca="1" si="508"/>
        <v>1.8934557080078435E-4</v>
      </c>
      <c r="P1228">
        <f t="shared" ca="1" si="509"/>
        <v>52429.86683766362</v>
      </c>
      <c r="Q1228">
        <f t="shared" ca="1" si="510"/>
        <v>52429.866837665446</v>
      </c>
      <c r="R1228">
        <f t="shared" ca="1" si="511"/>
        <v>2.2564415439646509E-12</v>
      </c>
      <c r="S1228">
        <f t="shared" ca="1" si="530"/>
        <v>5.0000000192085281E-4</v>
      </c>
      <c r="T1228">
        <f t="shared" ca="1" si="531"/>
        <v>1</v>
      </c>
      <c r="U1228">
        <f t="shared" ca="1" si="512"/>
        <v>51800.26683766341</v>
      </c>
      <c r="V1228">
        <f t="shared" ca="1" si="513"/>
        <v>269361.38755584974</v>
      </c>
      <c r="W1228">
        <f t="shared" ca="1" si="514"/>
        <v>2.5998695052916441</v>
      </c>
      <c r="X1228">
        <f t="shared" ca="1" si="515"/>
        <v>1.8933671400629237E-4</v>
      </c>
      <c r="Y1228">
        <f t="shared" ca="1" si="516"/>
        <v>52432.289837663411</v>
      </c>
      <c r="Z1228">
        <f t="shared" ca="1" si="517"/>
        <v>52432.289837665237</v>
      </c>
      <c r="AA1228">
        <f t="shared" ca="1" si="518"/>
        <v>2.2562304480281055E-12</v>
      </c>
      <c r="AB1228">
        <f t="shared" ca="1" si="519"/>
        <v>-5.0000000192085281E-4</v>
      </c>
      <c r="AC1228">
        <f t="shared" ca="1" si="520"/>
        <v>1</v>
      </c>
      <c r="AD1228">
        <f ca="1">IF(V32="Supercritical",L1228,IF(V32="Subcritical",U1228,IF(AND(T1228=1,AC1228=1),IF((((F1228)*(L1228)^2)/2+(G1228)*(L1228)^3/3+(ABS(K1228)^2)/($I$5*MAX(((F1228)+(G1228)*(L1228))*(L1228),0.000001)))&gt;=(((F1228)*(U1228)^2)/2+(G1228)*(U1228)^3/3+(ABS(K1228)^2)/($I$5*MAX(((F1228)+(G1228)*(U1228))*(U1228),0.000001))),L1228,U1228),IF(T1228=1,L1228,IF(AC1228=1,U1228,MAX($D$16,POWER((ABS(K1228)^2)/($I$5*MAX(F1228,0.1)^2),1/3)))))))</f>
        <v>51800.26683766341</v>
      </c>
      <c r="AE1228">
        <f t="shared" ca="1" si="521"/>
        <v>52432.289837663411</v>
      </c>
      <c r="AF1228">
        <f t="shared" ca="1" si="522"/>
        <v>52432.289837665237</v>
      </c>
      <c r="AI1228">
        <v>0</v>
      </c>
      <c r="AJ1228">
        <v>0</v>
      </c>
      <c r="AK1228">
        <f t="shared" si="523"/>
        <v>0</v>
      </c>
      <c r="AL1228">
        <f t="shared" si="532"/>
        <v>0</v>
      </c>
      <c r="AM1228">
        <f t="shared" ca="1" si="524"/>
        <v>2.6560383008097266E-7</v>
      </c>
      <c r="AN1228" t="str">
        <f t="shared" ca="1" si="525"/>
        <v>Subcritical</v>
      </c>
      <c r="AO1228">
        <f t="shared" ca="1" si="526"/>
        <v>2.2562304480281055E-12</v>
      </c>
    </row>
    <row r="1229" spans="1:41" x14ac:dyDescent="0.35">
      <c r="A1229">
        <v>1080</v>
      </c>
      <c r="B1229">
        <v>1078.8900000000001</v>
      </c>
      <c r="C1229">
        <v>616077.82799999998</v>
      </c>
      <c r="D1229">
        <v>3096925.1189999999</v>
      </c>
      <c r="E1229">
        <v>632.02250000000004</v>
      </c>
      <c r="F1229">
        <v>5.2</v>
      </c>
      <c r="G1229">
        <v>0</v>
      </c>
      <c r="H1229" t="s">
        <v>186</v>
      </c>
      <c r="I1229">
        <v>5.7000000000000002E-2</v>
      </c>
      <c r="J1229">
        <f t="shared" si="527"/>
        <v>1</v>
      </c>
      <c r="K1229">
        <f t="shared" si="528"/>
        <v>51</v>
      </c>
      <c r="L1229">
        <f t="shared" ca="1" si="529"/>
        <v>51797.843837663619</v>
      </c>
      <c r="M1229">
        <f t="shared" ca="1" si="506"/>
        <v>269348.78795585083</v>
      </c>
      <c r="N1229">
        <f t="shared" ca="1" si="507"/>
        <v>2.5998694991876676</v>
      </c>
      <c r="O1229">
        <f t="shared" ca="1" si="508"/>
        <v>1.8934557080078435E-4</v>
      </c>
      <c r="P1229">
        <f t="shared" ca="1" si="509"/>
        <v>52429.866337663618</v>
      </c>
      <c r="Q1229">
        <f t="shared" ca="1" si="510"/>
        <v>52429.866337665444</v>
      </c>
      <c r="R1229">
        <f t="shared" ca="1" si="511"/>
        <v>2.2564415439646509E-12</v>
      </c>
      <c r="S1229">
        <f t="shared" ca="1" si="530"/>
        <v>5.0000000192085281E-4</v>
      </c>
      <c r="T1229">
        <f t="shared" ca="1" si="531"/>
        <v>1</v>
      </c>
      <c r="U1229">
        <f t="shared" ca="1" si="512"/>
        <v>51800.26683766341</v>
      </c>
      <c r="V1229">
        <f t="shared" ca="1" si="513"/>
        <v>269361.38755584974</v>
      </c>
      <c r="W1229">
        <f t="shared" ca="1" si="514"/>
        <v>2.5998695052916441</v>
      </c>
      <c r="X1229">
        <f t="shared" ca="1" si="515"/>
        <v>1.8933671400629237E-4</v>
      </c>
      <c r="Y1229">
        <f t="shared" ca="1" si="516"/>
        <v>52432.289337663409</v>
      </c>
      <c r="Z1229">
        <f t="shared" ca="1" si="517"/>
        <v>52432.289337665236</v>
      </c>
      <c r="AA1229">
        <f t="shared" ca="1" si="518"/>
        <v>2.2562304480281055E-12</v>
      </c>
      <c r="AB1229">
        <f t="shared" ca="1" si="519"/>
        <v>-5.0000000192085281E-4</v>
      </c>
      <c r="AC1229">
        <f t="shared" ca="1" si="520"/>
        <v>1</v>
      </c>
      <c r="AD1229">
        <f ca="1">IF(V32="Supercritical",L1229,IF(V32="Subcritical",U1229,IF(AND(T1229=1,AC1229=1),IF((((F1229)*(L1229)^2)/2+(G1229)*(L1229)^3/3+(ABS(K1229)^2)/($I$5*MAX(((F1229)+(G1229)*(L1229))*(L1229),0.000001)))&gt;=(((F1229)*(U1229)^2)/2+(G1229)*(U1229)^3/3+(ABS(K1229)^2)/($I$5*MAX(((F1229)+(G1229)*(U1229))*(U1229),0.000001))),L1229,U1229),IF(T1229=1,L1229,IF(AC1229=1,U1229,MAX($D$16,POWER((ABS(K1229)^2)/($I$5*MAX(F1229,0.1)^2),1/3)))))))</f>
        <v>51800.26683766341</v>
      </c>
      <c r="AE1229">
        <f t="shared" ca="1" si="521"/>
        <v>52432.289337663409</v>
      </c>
      <c r="AF1229">
        <f t="shared" ca="1" si="522"/>
        <v>52432.289337665236</v>
      </c>
      <c r="AI1229">
        <v>0</v>
      </c>
      <c r="AJ1229">
        <v>0</v>
      </c>
      <c r="AK1229">
        <f t="shared" si="523"/>
        <v>0</v>
      </c>
      <c r="AL1229">
        <f t="shared" si="532"/>
        <v>0</v>
      </c>
      <c r="AM1229">
        <f t="shared" ca="1" si="524"/>
        <v>2.6560383008097266E-7</v>
      </c>
      <c r="AN1229" t="str">
        <f t="shared" ca="1" si="525"/>
        <v>Subcritical</v>
      </c>
      <c r="AO1229">
        <f t="shared" ca="1" si="526"/>
        <v>2.2562304480281055E-12</v>
      </c>
    </row>
    <row r="1230" spans="1:41" x14ac:dyDescent="0.35">
      <c r="A1230">
        <v>1081</v>
      </c>
      <c r="B1230">
        <v>1079.8889999999999</v>
      </c>
      <c r="C1230">
        <v>616077.78500000003</v>
      </c>
      <c r="D1230">
        <v>3096924.12</v>
      </c>
      <c r="E1230">
        <v>632.02200000000005</v>
      </c>
      <c r="F1230">
        <v>5.2</v>
      </c>
      <c r="G1230">
        <v>0</v>
      </c>
      <c r="H1230" t="s">
        <v>186</v>
      </c>
      <c r="I1230">
        <v>5.7000000000000002E-2</v>
      </c>
      <c r="J1230">
        <f t="shared" si="527"/>
        <v>0.99899999999979627</v>
      </c>
      <c r="K1230">
        <f t="shared" si="528"/>
        <v>51</v>
      </c>
      <c r="L1230">
        <f t="shared" ca="1" si="529"/>
        <v>51797.843837663619</v>
      </c>
      <c r="M1230">
        <f t="shared" ca="1" si="506"/>
        <v>269348.78795585083</v>
      </c>
      <c r="N1230">
        <f t="shared" ca="1" si="507"/>
        <v>2.5998694991876676</v>
      </c>
      <c r="O1230">
        <f t="shared" ca="1" si="508"/>
        <v>1.8934557080078435E-4</v>
      </c>
      <c r="P1230">
        <f t="shared" ca="1" si="509"/>
        <v>52429.865837663616</v>
      </c>
      <c r="Q1230">
        <f t="shared" ca="1" si="510"/>
        <v>52429.865837665442</v>
      </c>
      <c r="R1230">
        <f t="shared" ca="1" si="511"/>
        <v>2.2564415439646509E-12</v>
      </c>
      <c r="S1230">
        <f t="shared" ca="1" si="530"/>
        <v>5.0000000192085281E-4</v>
      </c>
      <c r="T1230">
        <f t="shared" ca="1" si="531"/>
        <v>1</v>
      </c>
      <c r="U1230">
        <f t="shared" ca="1" si="512"/>
        <v>51800.26683766341</v>
      </c>
      <c r="V1230">
        <f t="shared" ca="1" si="513"/>
        <v>269361.38755584974</v>
      </c>
      <c r="W1230">
        <f t="shared" ca="1" si="514"/>
        <v>2.5998695052916441</v>
      </c>
      <c r="X1230">
        <f t="shared" ca="1" si="515"/>
        <v>1.8933671400629237E-4</v>
      </c>
      <c r="Y1230">
        <f t="shared" ca="1" si="516"/>
        <v>52432.288837663407</v>
      </c>
      <c r="Z1230">
        <f t="shared" ca="1" si="517"/>
        <v>52432.288837665234</v>
      </c>
      <c r="AA1230">
        <f t="shared" ca="1" si="518"/>
        <v>2.2562304480281055E-12</v>
      </c>
      <c r="AB1230">
        <f t="shared" ca="1" si="519"/>
        <v>-4.999999946448952E-4</v>
      </c>
      <c r="AC1230">
        <f t="shared" ca="1" si="520"/>
        <v>1</v>
      </c>
      <c r="AD1230">
        <f ca="1">IF(V32="Supercritical",L1230,IF(V32="Subcritical",U1230,IF(AND(T1230=1,AC1230=1),IF((((F1230)*(L1230)^2)/2+(G1230)*(L1230)^3/3+(ABS(K1230)^2)/($I$5*MAX(((F1230)+(G1230)*(L1230))*(L1230),0.000001)))&gt;=(((F1230)*(U1230)^2)/2+(G1230)*(U1230)^3/3+(ABS(K1230)^2)/($I$5*MAX(((F1230)+(G1230)*(U1230))*(U1230),0.000001))),L1230,U1230),IF(T1230=1,L1230,IF(AC1230=1,U1230,MAX($D$16,POWER((ABS(K1230)^2)/($I$5*MAX(F1230,0.1)^2),1/3)))))))</f>
        <v>51800.26683766341</v>
      </c>
      <c r="AE1230">
        <f t="shared" ca="1" si="521"/>
        <v>52432.288837663407</v>
      </c>
      <c r="AF1230">
        <f t="shared" ca="1" si="522"/>
        <v>52432.288837665234</v>
      </c>
      <c r="AI1230">
        <v>0</v>
      </c>
      <c r="AJ1230">
        <v>0</v>
      </c>
      <c r="AK1230">
        <f t="shared" si="523"/>
        <v>0</v>
      </c>
      <c r="AL1230">
        <f t="shared" si="532"/>
        <v>0</v>
      </c>
      <c r="AM1230">
        <f t="shared" ca="1" si="524"/>
        <v>2.6560383008097266E-7</v>
      </c>
      <c r="AN1230" t="str">
        <f t="shared" ca="1" si="525"/>
        <v>Subcritical</v>
      </c>
      <c r="AO1230">
        <f t="shared" ca="1" si="526"/>
        <v>2.2562304480281055E-12</v>
      </c>
    </row>
    <row r="1231" spans="1:41" x14ac:dyDescent="0.35">
      <c r="A1231">
        <v>1082</v>
      </c>
      <c r="B1231">
        <v>1080.8889999999999</v>
      </c>
      <c r="C1231">
        <v>616077.74300000002</v>
      </c>
      <c r="D1231">
        <v>3096923.1209999998</v>
      </c>
      <c r="E1231">
        <v>632.02149999999995</v>
      </c>
      <c r="F1231">
        <v>5.2</v>
      </c>
      <c r="G1231">
        <v>0</v>
      </c>
      <c r="H1231" t="s">
        <v>186</v>
      </c>
      <c r="I1231">
        <v>0</v>
      </c>
      <c r="J1231">
        <f t="shared" si="527"/>
        <v>1</v>
      </c>
      <c r="K1231">
        <f t="shared" si="528"/>
        <v>51</v>
      </c>
      <c r="L1231">
        <f t="shared" ca="1" si="529"/>
        <v>51797.843837663619</v>
      </c>
      <c r="M1231">
        <f t="shared" ca="1" si="506"/>
        <v>269348.78795585083</v>
      </c>
      <c r="N1231">
        <f t="shared" ca="1" si="507"/>
        <v>2.5998694991876676</v>
      </c>
      <c r="O1231">
        <f t="shared" ca="1" si="508"/>
        <v>1.8934557080078435E-4</v>
      </c>
      <c r="P1231">
        <f t="shared" ca="1" si="509"/>
        <v>52429.865337663621</v>
      </c>
      <c r="Q1231">
        <f t="shared" ca="1" si="510"/>
        <v>52429.865337665447</v>
      </c>
      <c r="R1231">
        <f t="shared" ca="1" si="511"/>
        <v>2.2564415439646509E-12</v>
      </c>
      <c r="S1231">
        <f t="shared" ca="1" si="530"/>
        <v>4.999999946448952E-4</v>
      </c>
      <c r="T1231">
        <f t="shared" ca="1" si="531"/>
        <v>1</v>
      </c>
      <c r="U1231">
        <f t="shared" ca="1" si="512"/>
        <v>51800.26683766341</v>
      </c>
      <c r="V1231">
        <f t="shared" ca="1" si="513"/>
        <v>269361.38755584974</v>
      </c>
      <c r="W1231">
        <f t="shared" ca="1" si="514"/>
        <v>2.5998695052916441</v>
      </c>
      <c r="X1231">
        <f t="shared" ca="1" si="515"/>
        <v>1.8933671400629237E-4</v>
      </c>
      <c r="Y1231">
        <f t="shared" ca="1" si="516"/>
        <v>52432.288337663413</v>
      </c>
      <c r="Z1231">
        <f t="shared" ca="1" si="517"/>
        <v>52432.288337665239</v>
      </c>
      <c r="AA1231">
        <f t="shared" ca="1" si="518"/>
        <v>2.2562304480281055E-12</v>
      </c>
      <c r="AB1231">
        <f t="shared" ca="1" si="519"/>
        <v>-5.0000000192085281E-4</v>
      </c>
      <c r="AC1231">
        <f t="shared" ca="1" si="520"/>
        <v>1</v>
      </c>
      <c r="AD1231">
        <f ca="1">IF(V32="Supercritical",L1231,IF(V32="Subcritical",U1231,IF(AND(T1231=1,AC1231=1),IF((((F1231)*(L1231)^2)/2+(G1231)*(L1231)^3/3+(ABS(K1231)^2)/($I$5*MAX(((F1231)+(G1231)*(L1231))*(L1231),0.000001)))&gt;=(((F1231)*(U1231)^2)/2+(G1231)*(U1231)^3/3+(ABS(K1231)^2)/($I$5*MAX(((F1231)+(G1231)*(U1231))*(U1231),0.000001))),L1231,U1231),IF(T1231=1,L1231,IF(AC1231=1,U1231,MAX($D$16,POWER((ABS(K1231)^2)/($I$5*MAX(F1231,0.1)^2),1/3)))))))</f>
        <v>51800.26683766341</v>
      </c>
      <c r="AE1231">
        <f t="shared" ca="1" si="521"/>
        <v>52432.288337663413</v>
      </c>
      <c r="AF1231">
        <f t="shared" ca="1" si="522"/>
        <v>52432.288337665239</v>
      </c>
      <c r="AI1231">
        <v>0</v>
      </c>
      <c r="AJ1231">
        <v>0</v>
      </c>
      <c r="AK1231">
        <f t="shared" si="523"/>
        <v>0</v>
      </c>
      <c r="AL1231">
        <f t="shared" si="532"/>
        <v>0</v>
      </c>
      <c r="AM1231">
        <f t="shared" ca="1" si="524"/>
        <v>2.6560383008097266E-7</v>
      </c>
      <c r="AN1231" t="str">
        <f t="shared" ca="1" si="525"/>
        <v>Subcritical</v>
      </c>
      <c r="AO1231">
        <f t="shared" ca="1" si="526"/>
        <v>2.2562304480281055E-12</v>
      </c>
    </row>
    <row r="1232" spans="1:41" x14ac:dyDescent="0.35">
      <c r="A1232">
        <v>1083</v>
      </c>
      <c r="B1232">
        <v>1081.8889999999999</v>
      </c>
      <c r="C1232">
        <v>616077.701</v>
      </c>
      <c r="D1232">
        <v>3096922.122</v>
      </c>
      <c r="E1232">
        <v>632.02099999999996</v>
      </c>
      <c r="F1232">
        <v>5.2</v>
      </c>
      <c r="G1232">
        <v>0</v>
      </c>
      <c r="H1232" t="s">
        <v>186</v>
      </c>
      <c r="I1232">
        <v>0</v>
      </c>
      <c r="J1232">
        <f t="shared" si="527"/>
        <v>1</v>
      </c>
      <c r="K1232">
        <f t="shared" si="528"/>
        <v>51</v>
      </c>
      <c r="L1232">
        <f t="shared" ca="1" si="529"/>
        <v>51797.843837663619</v>
      </c>
      <c r="M1232">
        <f t="shared" ca="1" si="506"/>
        <v>269348.78795585083</v>
      </c>
      <c r="N1232">
        <f t="shared" ca="1" si="507"/>
        <v>2.5998694991876676</v>
      </c>
      <c r="O1232">
        <f t="shared" ca="1" si="508"/>
        <v>1.8934557080078435E-4</v>
      </c>
      <c r="P1232">
        <f t="shared" ca="1" si="509"/>
        <v>52429.864837663619</v>
      </c>
      <c r="Q1232">
        <f t="shared" ca="1" si="510"/>
        <v>52429.864837665446</v>
      </c>
      <c r="R1232">
        <f t="shared" ca="1" si="511"/>
        <v>2.2564415439646509E-12</v>
      </c>
      <c r="S1232">
        <f t="shared" ca="1" si="530"/>
        <v>5.0000000192085281E-4</v>
      </c>
      <c r="T1232">
        <f t="shared" ca="1" si="531"/>
        <v>1</v>
      </c>
      <c r="U1232">
        <f t="shared" ca="1" si="512"/>
        <v>51800.26683766341</v>
      </c>
      <c r="V1232">
        <f t="shared" ca="1" si="513"/>
        <v>269361.38755584974</v>
      </c>
      <c r="W1232">
        <f t="shared" ca="1" si="514"/>
        <v>2.5998695052916441</v>
      </c>
      <c r="X1232">
        <f t="shared" ca="1" si="515"/>
        <v>1.8933671400629237E-4</v>
      </c>
      <c r="Y1232">
        <f t="shared" ca="1" si="516"/>
        <v>52432.287837663411</v>
      </c>
      <c r="Z1232">
        <f t="shared" ca="1" si="517"/>
        <v>52432.287837665237</v>
      </c>
      <c r="AA1232">
        <f t="shared" ca="1" si="518"/>
        <v>2.2562304480281055E-12</v>
      </c>
      <c r="AB1232">
        <f t="shared" ca="1" si="519"/>
        <v>-5.0000000192085281E-4</v>
      </c>
      <c r="AC1232">
        <f t="shared" ca="1" si="520"/>
        <v>1</v>
      </c>
      <c r="AD1232">
        <f ca="1">IF(V32="Supercritical",L1232,IF(V32="Subcritical",U1232,IF(AND(T1232=1,AC1232=1),IF((((F1232)*(L1232)^2)/2+(G1232)*(L1232)^3/3+(ABS(K1232)^2)/($I$5*MAX(((F1232)+(G1232)*(L1232))*(L1232),0.000001)))&gt;=(((F1232)*(U1232)^2)/2+(G1232)*(U1232)^3/3+(ABS(K1232)^2)/($I$5*MAX(((F1232)+(G1232)*(U1232))*(U1232),0.000001))),L1232,U1232),IF(T1232=1,L1232,IF(AC1232=1,U1232,MAX($D$16,POWER((ABS(K1232)^2)/($I$5*MAX(F1232,0.1)^2),1/3)))))))</f>
        <v>51800.26683766341</v>
      </c>
      <c r="AE1232">
        <f t="shared" ca="1" si="521"/>
        <v>52432.287837663411</v>
      </c>
      <c r="AF1232">
        <f t="shared" ca="1" si="522"/>
        <v>52432.287837665237</v>
      </c>
      <c r="AI1232">
        <v>0</v>
      </c>
      <c r="AJ1232">
        <v>0</v>
      </c>
      <c r="AK1232">
        <f t="shared" si="523"/>
        <v>0</v>
      </c>
      <c r="AL1232">
        <f t="shared" si="532"/>
        <v>0</v>
      </c>
      <c r="AM1232">
        <f t="shared" ca="1" si="524"/>
        <v>2.6560383008097266E-7</v>
      </c>
      <c r="AN1232" t="str">
        <f t="shared" ca="1" si="525"/>
        <v>Subcritical</v>
      </c>
      <c r="AO1232">
        <f t="shared" ca="1" si="526"/>
        <v>2.2562304480281055E-12</v>
      </c>
    </row>
    <row r="1233" spans="1:41" x14ac:dyDescent="0.35">
      <c r="A1233">
        <v>1084</v>
      </c>
      <c r="B1233">
        <v>1082.8889999999999</v>
      </c>
      <c r="C1233">
        <v>616077.65899999999</v>
      </c>
      <c r="D1233">
        <v>3096921.1230000001</v>
      </c>
      <c r="E1233">
        <v>632.02049999999997</v>
      </c>
      <c r="F1233">
        <v>5.2</v>
      </c>
      <c r="G1233">
        <v>0</v>
      </c>
      <c r="H1233" t="s">
        <v>186</v>
      </c>
      <c r="I1233">
        <v>5.7000000000000002E-2</v>
      </c>
      <c r="J1233">
        <f t="shared" si="527"/>
        <v>1</v>
      </c>
      <c r="K1233">
        <f t="shared" si="528"/>
        <v>51</v>
      </c>
      <c r="L1233">
        <f t="shared" ca="1" si="529"/>
        <v>51797.843837663619</v>
      </c>
      <c r="M1233">
        <f t="shared" ca="1" si="506"/>
        <v>269348.78795585083</v>
      </c>
      <c r="N1233">
        <f t="shared" ca="1" si="507"/>
        <v>2.5998694991876676</v>
      </c>
      <c r="O1233">
        <f t="shared" ca="1" si="508"/>
        <v>1.8934557080078435E-4</v>
      </c>
      <c r="P1233">
        <f t="shared" ca="1" si="509"/>
        <v>52429.864337663617</v>
      </c>
      <c r="Q1233">
        <f t="shared" ca="1" si="510"/>
        <v>52429.864337665444</v>
      </c>
      <c r="R1233">
        <f t="shared" ca="1" si="511"/>
        <v>2.2564415439646509E-12</v>
      </c>
      <c r="S1233">
        <f t="shared" ca="1" si="530"/>
        <v>5.0000000192085281E-4</v>
      </c>
      <c r="T1233">
        <f t="shared" ca="1" si="531"/>
        <v>1</v>
      </c>
      <c r="U1233">
        <f t="shared" ca="1" si="512"/>
        <v>51800.26683766341</v>
      </c>
      <c r="V1233">
        <f t="shared" ca="1" si="513"/>
        <v>269361.38755584974</v>
      </c>
      <c r="W1233">
        <f t="shared" ca="1" si="514"/>
        <v>2.5998695052916441</v>
      </c>
      <c r="X1233">
        <f t="shared" ca="1" si="515"/>
        <v>1.8933671400629237E-4</v>
      </c>
      <c r="Y1233">
        <f t="shared" ca="1" si="516"/>
        <v>52432.287337663409</v>
      </c>
      <c r="Z1233">
        <f t="shared" ca="1" si="517"/>
        <v>52432.287337665235</v>
      </c>
      <c r="AA1233">
        <f t="shared" ca="1" si="518"/>
        <v>2.2562304480281055E-12</v>
      </c>
      <c r="AB1233">
        <f t="shared" ca="1" si="519"/>
        <v>-5.0000000192085281E-4</v>
      </c>
      <c r="AC1233">
        <f t="shared" ca="1" si="520"/>
        <v>1</v>
      </c>
      <c r="AD1233">
        <f ca="1">IF(V32="Supercritical",L1233,IF(V32="Subcritical",U1233,IF(AND(T1233=1,AC1233=1),IF((((F1233)*(L1233)^2)/2+(G1233)*(L1233)^3/3+(ABS(K1233)^2)/($I$5*MAX(((F1233)+(G1233)*(L1233))*(L1233),0.000001)))&gt;=(((F1233)*(U1233)^2)/2+(G1233)*(U1233)^3/3+(ABS(K1233)^2)/($I$5*MAX(((F1233)+(G1233)*(U1233))*(U1233),0.000001))),L1233,U1233),IF(T1233=1,L1233,IF(AC1233=1,U1233,MAX($D$16,POWER((ABS(K1233)^2)/($I$5*MAX(F1233,0.1)^2),1/3)))))))</f>
        <v>51800.26683766341</v>
      </c>
      <c r="AE1233">
        <f t="shared" ca="1" si="521"/>
        <v>52432.287337663409</v>
      </c>
      <c r="AF1233">
        <f t="shared" ca="1" si="522"/>
        <v>52432.287337665235</v>
      </c>
      <c r="AI1233">
        <v>0</v>
      </c>
      <c r="AJ1233">
        <v>0</v>
      </c>
      <c r="AK1233">
        <f t="shared" si="523"/>
        <v>0</v>
      </c>
      <c r="AL1233">
        <f t="shared" si="532"/>
        <v>0</v>
      </c>
      <c r="AM1233">
        <f t="shared" ca="1" si="524"/>
        <v>2.6560383008097266E-7</v>
      </c>
      <c r="AN1233" t="str">
        <f t="shared" ca="1" si="525"/>
        <v>Subcritical</v>
      </c>
      <c r="AO1233">
        <f t="shared" ca="1" si="526"/>
        <v>2.2562304480281055E-12</v>
      </c>
    </row>
    <row r="1234" spans="1:41" x14ac:dyDescent="0.35">
      <c r="A1234">
        <v>1085</v>
      </c>
      <c r="B1234">
        <v>1083.8889999999999</v>
      </c>
      <c r="C1234">
        <v>616077.61600000004</v>
      </c>
      <c r="D1234">
        <v>3096920.1239999998</v>
      </c>
      <c r="E1234">
        <v>632.02</v>
      </c>
      <c r="F1234">
        <v>5.2</v>
      </c>
      <c r="G1234">
        <v>0</v>
      </c>
      <c r="H1234" t="s">
        <v>186</v>
      </c>
      <c r="I1234">
        <v>5.7000000000000002E-2</v>
      </c>
      <c r="J1234">
        <f t="shared" si="527"/>
        <v>1</v>
      </c>
      <c r="K1234">
        <f t="shared" si="528"/>
        <v>51</v>
      </c>
      <c r="L1234">
        <f t="shared" ca="1" si="529"/>
        <v>51797.843837663619</v>
      </c>
      <c r="M1234">
        <f t="shared" ca="1" si="506"/>
        <v>269348.78795585083</v>
      </c>
      <c r="N1234">
        <f t="shared" ca="1" si="507"/>
        <v>2.5998694991876676</v>
      </c>
      <c r="O1234">
        <f t="shared" ca="1" si="508"/>
        <v>1.8934557080078435E-4</v>
      </c>
      <c r="P1234">
        <f t="shared" ca="1" si="509"/>
        <v>52429.863837663615</v>
      </c>
      <c r="Q1234">
        <f t="shared" ca="1" si="510"/>
        <v>52429.863837665442</v>
      </c>
      <c r="R1234">
        <f t="shared" ca="1" si="511"/>
        <v>2.2564415439646509E-12</v>
      </c>
      <c r="S1234">
        <f t="shared" ca="1" si="530"/>
        <v>5.0000000192085281E-4</v>
      </c>
      <c r="T1234">
        <f t="shared" ca="1" si="531"/>
        <v>1</v>
      </c>
      <c r="U1234">
        <f t="shared" ca="1" si="512"/>
        <v>51800.26683766341</v>
      </c>
      <c r="V1234">
        <f t="shared" ca="1" si="513"/>
        <v>269361.38755584974</v>
      </c>
      <c r="W1234">
        <f t="shared" ca="1" si="514"/>
        <v>2.5998695052916441</v>
      </c>
      <c r="X1234">
        <f t="shared" ca="1" si="515"/>
        <v>1.8933671400629237E-4</v>
      </c>
      <c r="Y1234">
        <f t="shared" ca="1" si="516"/>
        <v>52432.286837663407</v>
      </c>
      <c r="Z1234">
        <f t="shared" ca="1" si="517"/>
        <v>52432.286837665233</v>
      </c>
      <c r="AA1234">
        <f t="shared" ca="1" si="518"/>
        <v>2.2562304480281055E-12</v>
      </c>
      <c r="AB1234">
        <f t="shared" ca="1" si="519"/>
        <v>-4.999999946448952E-4</v>
      </c>
      <c r="AC1234">
        <f t="shared" ca="1" si="520"/>
        <v>1</v>
      </c>
      <c r="AD1234">
        <f ca="1">IF(V32="Supercritical",L1234,IF(V32="Subcritical",U1234,IF(AND(T1234=1,AC1234=1),IF((((F1234)*(L1234)^2)/2+(G1234)*(L1234)^3/3+(ABS(K1234)^2)/($I$5*MAX(((F1234)+(G1234)*(L1234))*(L1234),0.000001)))&gt;=(((F1234)*(U1234)^2)/2+(G1234)*(U1234)^3/3+(ABS(K1234)^2)/($I$5*MAX(((F1234)+(G1234)*(U1234))*(U1234),0.000001))),L1234,U1234),IF(T1234=1,L1234,IF(AC1234=1,U1234,MAX($D$16,POWER((ABS(K1234)^2)/($I$5*MAX(F1234,0.1)^2),1/3)))))))</f>
        <v>51800.26683766341</v>
      </c>
      <c r="AE1234">
        <f t="shared" ca="1" si="521"/>
        <v>52432.286837663407</v>
      </c>
      <c r="AF1234">
        <f t="shared" ca="1" si="522"/>
        <v>52432.286837665233</v>
      </c>
      <c r="AI1234">
        <v>0</v>
      </c>
      <c r="AJ1234">
        <v>0</v>
      </c>
      <c r="AK1234">
        <f t="shared" si="523"/>
        <v>0</v>
      </c>
      <c r="AL1234">
        <f t="shared" si="532"/>
        <v>0</v>
      </c>
      <c r="AM1234">
        <f t="shared" ca="1" si="524"/>
        <v>2.6560383008097266E-7</v>
      </c>
      <c r="AN1234" t="str">
        <f t="shared" ca="1" si="525"/>
        <v>Subcritical</v>
      </c>
      <c r="AO1234">
        <f t="shared" ca="1" si="526"/>
        <v>2.2562304480281055E-12</v>
      </c>
    </row>
    <row r="1235" spans="1:41" x14ac:dyDescent="0.35">
      <c r="A1235">
        <v>1086</v>
      </c>
      <c r="B1235">
        <v>1084.8889999999999</v>
      </c>
      <c r="C1235">
        <v>616077.57400000002</v>
      </c>
      <c r="D1235">
        <v>3096919.125</v>
      </c>
      <c r="E1235">
        <v>632.01949999999999</v>
      </c>
      <c r="F1235">
        <v>5.2</v>
      </c>
      <c r="G1235">
        <v>0</v>
      </c>
      <c r="H1235" t="s">
        <v>186</v>
      </c>
      <c r="I1235">
        <v>0</v>
      </c>
      <c r="J1235">
        <f t="shared" si="527"/>
        <v>1</v>
      </c>
      <c r="K1235">
        <f t="shared" si="528"/>
        <v>51</v>
      </c>
      <c r="L1235">
        <f t="shared" ca="1" si="529"/>
        <v>51797.843837663619</v>
      </c>
      <c r="M1235">
        <f t="shared" ca="1" si="506"/>
        <v>269348.78795585083</v>
      </c>
      <c r="N1235">
        <f t="shared" ca="1" si="507"/>
        <v>2.5998694991876676</v>
      </c>
      <c r="O1235">
        <f t="shared" ca="1" si="508"/>
        <v>1.8934557080078435E-4</v>
      </c>
      <c r="P1235">
        <f t="shared" ca="1" si="509"/>
        <v>52429.863337663621</v>
      </c>
      <c r="Q1235">
        <f t="shared" ca="1" si="510"/>
        <v>52429.863337665447</v>
      </c>
      <c r="R1235">
        <f t="shared" ca="1" si="511"/>
        <v>2.2564415439646509E-12</v>
      </c>
      <c r="S1235">
        <f t="shared" ca="1" si="530"/>
        <v>4.999999946448952E-4</v>
      </c>
      <c r="T1235">
        <f t="shared" ca="1" si="531"/>
        <v>1</v>
      </c>
      <c r="U1235">
        <f t="shared" ca="1" si="512"/>
        <v>51800.26683766341</v>
      </c>
      <c r="V1235">
        <f t="shared" ca="1" si="513"/>
        <v>269361.38755584974</v>
      </c>
      <c r="W1235">
        <f t="shared" ca="1" si="514"/>
        <v>2.5998695052916441</v>
      </c>
      <c r="X1235">
        <f t="shared" ca="1" si="515"/>
        <v>1.8933671400629237E-4</v>
      </c>
      <c r="Y1235">
        <f t="shared" ca="1" si="516"/>
        <v>52432.286337663412</v>
      </c>
      <c r="Z1235">
        <f t="shared" ca="1" si="517"/>
        <v>52432.286337665239</v>
      </c>
      <c r="AA1235">
        <f t="shared" ca="1" si="518"/>
        <v>2.2562304480281055E-12</v>
      </c>
      <c r="AB1235">
        <f t="shared" ca="1" si="519"/>
        <v>-5.0000000192085281E-4</v>
      </c>
      <c r="AC1235">
        <f t="shared" ca="1" si="520"/>
        <v>1</v>
      </c>
      <c r="AD1235">
        <f ca="1">IF(V32="Supercritical",L1235,IF(V32="Subcritical",U1235,IF(AND(T1235=1,AC1235=1),IF((((F1235)*(L1235)^2)/2+(G1235)*(L1235)^3/3+(ABS(K1235)^2)/($I$5*MAX(((F1235)+(G1235)*(L1235))*(L1235),0.000001)))&gt;=(((F1235)*(U1235)^2)/2+(G1235)*(U1235)^3/3+(ABS(K1235)^2)/($I$5*MAX(((F1235)+(G1235)*(U1235))*(U1235),0.000001))),L1235,U1235),IF(T1235=1,L1235,IF(AC1235=1,U1235,MAX($D$16,POWER((ABS(K1235)^2)/($I$5*MAX(F1235,0.1)^2),1/3)))))))</f>
        <v>51800.26683766341</v>
      </c>
      <c r="AE1235">
        <f t="shared" ca="1" si="521"/>
        <v>52432.286337663412</v>
      </c>
      <c r="AF1235">
        <f t="shared" ca="1" si="522"/>
        <v>52432.286337665239</v>
      </c>
      <c r="AI1235">
        <v>0</v>
      </c>
      <c r="AJ1235">
        <v>0</v>
      </c>
      <c r="AK1235">
        <f t="shared" si="523"/>
        <v>0</v>
      </c>
      <c r="AL1235">
        <f t="shared" si="532"/>
        <v>0</v>
      </c>
      <c r="AM1235">
        <f t="shared" ca="1" si="524"/>
        <v>2.6560383008097266E-7</v>
      </c>
      <c r="AN1235" t="str">
        <f t="shared" ca="1" si="525"/>
        <v>Subcritical</v>
      </c>
      <c r="AO1235">
        <f t="shared" ca="1" si="526"/>
        <v>2.2562304480281055E-12</v>
      </c>
    </row>
    <row r="1236" spans="1:41" x14ac:dyDescent="0.35">
      <c r="A1236">
        <v>1087</v>
      </c>
      <c r="B1236">
        <v>1085.8889999999999</v>
      </c>
      <c r="C1236">
        <v>616077.53200000001</v>
      </c>
      <c r="D1236">
        <v>3096918.1260000002</v>
      </c>
      <c r="E1236">
        <v>632.01900000000001</v>
      </c>
      <c r="F1236">
        <v>5.2</v>
      </c>
      <c r="G1236">
        <v>0</v>
      </c>
      <c r="H1236" t="s">
        <v>186</v>
      </c>
      <c r="I1236">
        <v>5.5E-2</v>
      </c>
      <c r="J1236">
        <f t="shared" si="527"/>
        <v>1</v>
      </c>
      <c r="K1236">
        <f t="shared" si="528"/>
        <v>51</v>
      </c>
      <c r="L1236">
        <f t="shared" ca="1" si="529"/>
        <v>51797.843837663619</v>
      </c>
      <c r="M1236">
        <f t="shared" ca="1" si="506"/>
        <v>269348.78795585083</v>
      </c>
      <c r="N1236">
        <f t="shared" ca="1" si="507"/>
        <v>2.5998694991876676</v>
      </c>
      <c r="O1236">
        <f t="shared" ca="1" si="508"/>
        <v>1.8934557080078435E-4</v>
      </c>
      <c r="P1236">
        <f t="shared" ca="1" si="509"/>
        <v>52429.862837663619</v>
      </c>
      <c r="Q1236">
        <f t="shared" ca="1" si="510"/>
        <v>52429.862837665445</v>
      </c>
      <c r="R1236">
        <f t="shared" ca="1" si="511"/>
        <v>2.2564415439646509E-12</v>
      </c>
      <c r="S1236">
        <f t="shared" ca="1" si="530"/>
        <v>5.0000000192085281E-4</v>
      </c>
      <c r="T1236">
        <f t="shared" ca="1" si="531"/>
        <v>1</v>
      </c>
      <c r="U1236">
        <f t="shared" ca="1" si="512"/>
        <v>51800.26683766341</v>
      </c>
      <c r="V1236">
        <f t="shared" ca="1" si="513"/>
        <v>269361.38755584974</v>
      </c>
      <c r="W1236">
        <f t="shared" ca="1" si="514"/>
        <v>2.5998695052916441</v>
      </c>
      <c r="X1236">
        <f t="shared" ca="1" si="515"/>
        <v>1.8933671400629237E-4</v>
      </c>
      <c r="Y1236">
        <f t="shared" ca="1" si="516"/>
        <v>52432.28583766341</v>
      </c>
      <c r="Z1236">
        <f t="shared" ca="1" si="517"/>
        <v>52432.285837665237</v>
      </c>
      <c r="AA1236">
        <f t="shared" ca="1" si="518"/>
        <v>2.2562304480281055E-12</v>
      </c>
      <c r="AB1236">
        <f t="shared" ca="1" si="519"/>
        <v>-5.0000000192085281E-4</v>
      </c>
      <c r="AC1236">
        <f t="shared" ca="1" si="520"/>
        <v>1</v>
      </c>
      <c r="AD1236">
        <f ca="1">IF(V32="Supercritical",L1236,IF(V32="Subcritical",U1236,IF(AND(T1236=1,AC1236=1),IF((((F1236)*(L1236)^2)/2+(G1236)*(L1236)^3/3+(ABS(K1236)^2)/($I$5*MAX(((F1236)+(G1236)*(L1236))*(L1236),0.000001)))&gt;=(((F1236)*(U1236)^2)/2+(G1236)*(U1236)^3/3+(ABS(K1236)^2)/($I$5*MAX(((F1236)+(G1236)*(U1236))*(U1236),0.000001))),L1236,U1236),IF(T1236=1,L1236,IF(AC1236=1,U1236,MAX($D$16,POWER((ABS(K1236)^2)/($I$5*MAX(F1236,0.1)^2),1/3)))))))</f>
        <v>51800.26683766341</v>
      </c>
      <c r="AE1236">
        <f t="shared" ca="1" si="521"/>
        <v>52432.28583766341</v>
      </c>
      <c r="AF1236">
        <f t="shared" ca="1" si="522"/>
        <v>52432.285837665237</v>
      </c>
      <c r="AI1236">
        <v>0</v>
      </c>
      <c r="AJ1236">
        <v>0</v>
      </c>
      <c r="AK1236">
        <f t="shared" si="523"/>
        <v>0</v>
      </c>
      <c r="AL1236">
        <f t="shared" si="532"/>
        <v>0</v>
      </c>
      <c r="AM1236">
        <f t="shared" ca="1" si="524"/>
        <v>2.6560383008097266E-7</v>
      </c>
      <c r="AN1236" t="str">
        <f t="shared" ca="1" si="525"/>
        <v>Subcritical</v>
      </c>
      <c r="AO1236">
        <f t="shared" ca="1" si="526"/>
        <v>2.2562304480281055E-12</v>
      </c>
    </row>
    <row r="1237" spans="1:41" x14ac:dyDescent="0.35">
      <c r="A1237">
        <v>1088</v>
      </c>
      <c r="B1237">
        <v>1086.8900000000001</v>
      </c>
      <c r="C1237">
        <v>616077.48899999994</v>
      </c>
      <c r="D1237">
        <v>3096917.1260000002</v>
      </c>
      <c r="E1237">
        <v>632.01850000000002</v>
      </c>
      <c r="F1237">
        <v>5.2</v>
      </c>
      <c r="G1237">
        <v>0</v>
      </c>
      <c r="H1237" t="s">
        <v>186</v>
      </c>
      <c r="I1237">
        <v>5.5E-2</v>
      </c>
      <c r="J1237">
        <f t="shared" si="527"/>
        <v>1.0010000000002037</v>
      </c>
      <c r="K1237">
        <f t="shared" si="528"/>
        <v>51</v>
      </c>
      <c r="L1237">
        <f t="shared" ca="1" si="529"/>
        <v>51797.843837663619</v>
      </c>
      <c r="M1237">
        <f t="shared" ca="1" si="506"/>
        <v>269348.78795585083</v>
      </c>
      <c r="N1237">
        <f t="shared" ca="1" si="507"/>
        <v>2.5998694991876676</v>
      </c>
      <c r="O1237">
        <f t="shared" ca="1" si="508"/>
        <v>1.8934557080078435E-4</v>
      </c>
      <c r="P1237">
        <f t="shared" ca="1" si="509"/>
        <v>52429.862337663617</v>
      </c>
      <c r="Q1237">
        <f t="shared" ca="1" si="510"/>
        <v>52429.862337665443</v>
      </c>
      <c r="R1237">
        <f t="shared" ca="1" si="511"/>
        <v>2.2564415439646509E-12</v>
      </c>
      <c r="S1237">
        <f t="shared" ca="1" si="530"/>
        <v>5.0000000192085281E-4</v>
      </c>
      <c r="T1237">
        <f t="shared" ca="1" si="531"/>
        <v>1</v>
      </c>
      <c r="U1237">
        <f t="shared" ca="1" si="512"/>
        <v>51800.26683766341</v>
      </c>
      <c r="V1237">
        <f t="shared" ca="1" si="513"/>
        <v>269361.38755584974</v>
      </c>
      <c r="W1237">
        <f t="shared" ca="1" si="514"/>
        <v>2.5998695052916441</v>
      </c>
      <c r="X1237">
        <f t="shared" ca="1" si="515"/>
        <v>1.8933671400629237E-4</v>
      </c>
      <c r="Y1237">
        <f t="shared" ca="1" si="516"/>
        <v>52432.285337663408</v>
      </c>
      <c r="Z1237">
        <f t="shared" ca="1" si="517"/>
        <v>52432.285337665235</v>
      </c>
      <c r="AA1237">
        <f t="shared" ca="1" si="518"/>
        <v>2.2562304480281055E-12</v>
      </c>
      <c r="AB1237">
        <f t="shared" ca="1" si="519"/>
        <v>-5.0000000192085281E-4</v>
      </c>
      <c r="AC1237">
        <f t="shared" ca="1" si="520"/>
        <v>1</v>
      </c>
      <c r="AD1237">
        <f ca="1">IF(V32="Supercritical",L1237,IF(V32="Subcritical",U1237,IF(AND(T1237=1,AC1237=1),IF((((F1237)*(L1237)^2)/2+(G1237)*(L1237)^3/3+(ABS(K1237)^2)/($I$5*MAX(((F1237)+(G1237)*(L1237))*(L1237),0.000001)))&gt;=(((F1237)*(U1237)^2)/2+(G1237)*(U1237)^3/3+(ABS(K1237)^2)/($I$5*MAX(((F1237)+(G1237)*(U1237))*(U1237),0.000001))),L1237,U1237),IF(T1237=1,L1237,IF(AC1237=1,U1237,MAX($D$16,POWER((ABS(K1237)^2)/($I$5*MAX(F1237,0.1)^2),1/3)))))))</f>
        <v>51800.26683766341</v>
      </c>
      <c r="AE1237">
        <f t="shared" ca="1" si="521"/>
        <v>52432.285337663408</v>
      </c>
      <c r="AF1237">
        <f t="shared" ca="1" si="522"/>
        <v>52432.285337665235</v>
      </c>
      <c r="AI1237">
        <v>0</v>
      </c>
      <c r="AJ1237">
        <v>0</v>
      </c>
      <c r="AK1237">
        <f t="shared" si="523"/>
        <v>0</v>
      </c>
      <c r="AL1237">
        <f t="shared" si="532"/>
        <v>0</v>
      </c>
      <c r="AM1237">
        <f t="shared" ca="1" si="524"/>
        <v>2.6560383008097266E-7</v>
      </c>
      <c r="AN1237" t="str">
        <f t="shared" ca="1" si="525"/>
        <v>Subcritical</v>
      </c>
      <c r="AO1237">
        <f t="shared" ca="1" si="526"/>
        <v>2.2562304480281055E-12</v>
      </c>
    </row>
    <row r="1238" spans="1:41" x14ac:dyDescent="0.35">
      <c r="A1238">
        <v>1089</v>
      </c>
      <c r="B1238">
        <v>1087.8900000000001</v>
      </c>
      <c r="C1238">
        <v>616077.44700000004</v>
      </c>
      <c r="D1238">
        <v>3096916.1269999999</v>
      </c>
      <c r="E1238">
        <v>632.01800000000003</v>
      </c>
      <c r="F1238">
        <v>5.2</v>
      </c>
      <c r="G1238">
        <v>0</v>
      </c>
      <c r="H1238" t="s">
        <v>186</v>
      </c>
      <c r="I1238">
        <v>0</v>
      </c>
      <c r="J1238">
        <f t="shared" si="527"/>
        <v>1</v>
      </c>
      <c r="K1238">
        <f t="shared" si="528"/>
        <v>51</v>
      </c>
      <c r="L1238">
        <f t="shared" ca="1" si="529"/>
        <v>51797.843837663619</v>
      </c>
      <c r="M1238">
        <f t="shared" ref="M1238:M1301" ca="1" si="533">((F1238)+(G1238)*(L1238))*(L1238)</f>
        <v>269348.78795585083</v>
      </c>
      <c r="N1238">
        <f t="shared" ref="N1238:N1301" ca="1" si="534">(((F1238)+(G1238)*(L1238))*(L1238))/MAX((F1238)+2*(L1238)*SQRT(1+(G1238)^2),0.000001)</f>
        <v>2.5998694991876676</v>
      </c>
      <c r="O1238">
        <f t="shared" ref="O1238:O1301" ca="1" si="535">ABS(K1238)/MAX(((F1238)+(G1238)*(L1238))*(L1238),0.000001)</f>
        <v>1.8934557080078435E-4</v>
      </c>
      <c r="P1238">
        <f t="shared" ref="P1238:P1301" ca="1" si="536">E1238+L1238</f>
        <v>52429.861837663615</v>
      </c>
      <c r="Q1238">
        <f t="shared" ref="Q1238:Q1301" ca="1" si="537">P1238+((ABS(K1238)/MAX(((F1238)+(G1238)*(L1238))*(L1238),0.000001))^2)/(2*$I$5)</f>
        <v>52429.861837665441</v>
      </c>
      <c r="R1238">
        <f t="shared" ref="R1238:R1301" ca="1" si="538">((ABS(K1238)*$D$6)/(MAX(((F1238)+(G1238)*(L1238))*(L1238),0.000001)*MAX(((((F1238)+(G1238)*(L1238))*(L1238))/MAX((F1238)+2*(L1238)*SQRT(1+(G1238)^2),0.000001))^(2/3),0.000001)))^2</f>
        <v>2.2564415439646509E-12</v>
      </c>
      <c r="S1238">
        <f t="shared" ca="1" si="530"/>
        <v>5.0000000192085281E-4</v>
      </c>
      <c r="T1238">
        <f t="shared" ca="1" si="531"/>
        <v>1</v>
      </c>
      <c r="U1238">
        <f t="shared" ref="U1238:U1301" ca="1" si="539">IF($D$20=0,U1239,IF(AC1239=0,U1239,IF(U1238=0,U1239,IF(ABS(AB1238)&gt;$D$19,MAX($D$16,U1238+((AB1238)*$D$18*IF((ABS(ABS(K1238)/MAX(((F1238)+(G1238)*(U1238))*(U1238),0.000001))/SQRT($I$5*MAX((((F1238)+(G1238)*(U1238))*(U1238))/MAX((F1238)+2*(G1238)*(U1238),0.000001),0.000001)))&lt;1,1,-1))),U1238))))</f>
        <v>51800.26683766341</v>
      </c>
      <c r="V1238">
        <f t="shared" ref="V1238:V1301" ca="1" si="540">((F1238)+(G1238)*(U1238))*(U1238)</f>
        <v>269361.38755584974</v>
      </c>
      <c r="W1238">
        <f t="shared" ref="W1238:W1301" ca="1" si="541">(((F1238)+(G1238)*(U1238))*(U1238))/MAX((F1238)+2*(U1238)*SQRT(1+(G1238)^2),0.000001)</f>
        <v>2.5998695052916441</v>
      </c>
      <c r="X1238">
        <f t="shared" ref="X1238:X1301" ca="1" si="542">ABS(K1238)/MAX(((F1238)+(G1238)*(U1238))*(U1238),0.000001)</f>
        <v>1.8933671400629237E-4</v>
      </c>
      <c r="Y1238">
        <f t="shared" ref="Y1238:Y1301" ca="1" si="543">E1238+U1238</f>
        <v>52432.284837663407</v>
      </c>
      <c r="Z1238">
        <f t="shared" ref="Z1238:Z1301" ca="1" si="544">Y1238+((ABS(K1238)/MAX(((F1238)+(G1238)*(U1238))*(U1238),0.000001))^2)/(2*$I$5)</f>
        <v>52432.284837665233</v>
      </c>
      <c r="AA1238">
        <f t="shared" ref="AA1238:AA1301" ca="1" si="545">((ABS(K1238)*$D$6)/(MAX(((F1238)+(G1238)*(U1238))*(U1238),0.000001)*MAX(((((F1238)+(G1238)*(U1238))*(U1238))/MAX((F1238)+2*(U1238)*SQRT(1+(G1238)^2),0.000001))^(2/3),0.000001)))^2</f>
        <v>2.2562304480281055E-12</v>
      </c>
      <c r="AB1238">
        <f t="shared" ref="AB1238:AB1301" ca="1" si="546">Z1239+(((AA1238+AA1239)/2)*J1239)+(IF(X1238&gt;X1239,$D$8*((X1238^2-X1239^2)/(2*$I$5)),$D$9*((X1239^2-X1238^2)/(2*$I$5)))+($D$10*(ABS(I1239)/90)*(MAX(X1238^2,X1239^2)/(2*$I$5))))-Z1238</f>
        <v>-4.999999946448952E-4</v>
      </c>
      <c r="AC1238">
        <f t="shared" ref="AC1238:AC1301" ca="1" si="547">IF(ABS(AB1238)&lt;$D$19,1,0)</f>
        <v>1</v>
      </c>
      <c r="AD1238">
        <f ca="1">IF(V32="Supercritical",L1238,IF(V32="Subcritical",U1238,IF(AND(T1238=1,AC1238=1),IF((((F1238)*(L1238)^2)/2+(G1238)*(L1238)^3/3+(ABS(K1238)^2)/($I$5*MAX(((F1238)+(G1238)*(L1238))*(L1238),0.000001)))&gt;=(((F1238)*(U1238)^2)/2+(G1238)*(U1238)^3/3+(ABS(K1238)^2)/($I$5*MAX(((F1238)+(G1238)*(U1238))*(U1238),0.000001))),L1238,U1238),IF(T1238=1,L1238,IF(AC1238=1,U1238,MAX($D$16,POWER((ABS(K1238)^2)/($I$5*MAX(F1238,0.1)^2),1/3)))))))</f>
        <v>51800.26683766341</v>
      </c>
      <c r="AE1238">
        <f t="shared" ref="AE1238:AE1301" ca="1" si="548">E1238+AD1238</f>
        <v>52432.284837663407</v>
      </c>
      <c r="AF1238">
        <f t="shared" ref="AF1238:AF1301" ca="1" si="549">AE1238+((ABS(K1238)/MAX(((F1238)+(G1238)*(AD1238))*(AD1238),0.000001))^2)/(2*$I$5)</f>
        <v>52432.284837665233</v>
      </c>
      <c r="AI1238">
        <v>0</v>
      </c>
      <c r="AJ1238">
        <v>0</v>
      </c>
      <c r="AK1238">
        <f t="shared" ref="AK1238:AK1301" si="550">AI1238+AJ1238</f>
        <v>0</v>
      </c>
      <c r="AL1238">
        <f t="shared" si="532"/>
        <v>0</v>
      </c>
      <c r="AM1238">
        <f t="shared" ref="AM1238:AM1301" ca="1" si="551">ABS(ABS(K1238)/MAX(((F1238)+(G1238)*(AD1238))*(AD1238),0.000001))/SQRT($I$5*MAX((((F1238)+(G1238)*(AD1238))*(AD1238))/MAX((F1238)+2*(G1238)*(AD1238),0.000001),0.000001))</f>
        <v>2.6560383008097266E-7</v>
      </c>
      <c r="AN1238" t="str">
        <f t="shared" ref="AN1238:AN1301" ca="1" si="552">IF(AM1238&lt;1,"Subcritical","Supercritical")</f>
        <v>Subcritical</v>
      </c>
      <c r="AO1238">
        <f t="shared" ref="AO1238:AO1301" ca="1" si="553">((ABS(K1238)*$D$6)/(MAX(((F1238)+(G1238)*(AD1238))*(AD1238),0.000001)*MAX(((((F1238)+(G1238)*(AD1238))*(AD1238))/MAX((F1238)+2*(AD1238)*SQRT(1+(G1238)^2),0.000001))^(2/3),0.000001)))^2</f>
        <v>2.2562304480281055E-12</v>
      </c>
    </row>
    <row r="1239" spans="1:41" x14ac:dyDescent="0.35">
      <c r="A1239">
        <v>1090</v>
      </c>
      <c r="B1239">
        <v>1088.8900000000001</v>
      </c>
      <c r="C1239">
        <v>616077.40500000003</v>
      </c>
      <c r="D1239">
        <v>3096915.128</v>
      </c>
      <c r="E1239">
        <v>632.01750000000004</v>
      </c>
      <c r="F1239">
        <v>5.2</v>
      </c>
      <c r="G1239">
        <v>0</v>
      </c>
      <c r="H1239" t="s">
        <v>186</v>
      </c>
      <c r="I1239">
        <v>0</v>
      </c>
      <c r="J1239">
        <f t="shared" ref="J1239:J1302" si="554">B1239-B1238</f>
        <v>1</v>
      </c>
      <c r="K1239">
        <f t="shared" ref="K1239:K1302" si="555">MAX(0,K1238-AK1238)</f>
        <v>51</v>
      </c>
      <c r="L1239">
        <f t="shared" ref="L1239:L1302" ca="1" si="556">IF($D$20=0,L1238,IF(T1238=0,L1238,IF(L1239=0,L1238,IF(ABS(S1239)&gt;$D$19,MAX($D$16,L1239+((S1239)*$D$18*IF((ABS(ABS(K1239)/MAX(((F1239)+(G1239)*(L1239))*(L1239),0.000001))/SQRT($I$5*MAX((((F1239)+(G1239)*(L1239))*(L1239))/MAX((F1239)+2*(G1239)*(L1239),0.000001),0.000001)))&lt;1,1,-1))),L1239))))</f>
        <v>51797.843837663619</v>
      </c>
      <c r="M1239">
        <f t="shared" ca="1" si="533"/>
        <v>269348.78795585083</v>
      </c>
      <c r="N1239">
        <f t="shared" ca="1" si="534"/>
        <v>2.5998694991876676</v>
      </c>
      <c r="O1239">
        <f t="shared" ca="1" si="535"/>
        <v>1.8934557080078435E-4</v>
      </c>
      <c r="P1239">
        <f t="shared" ca="1" si="536"/>
        <v>52429.86133766362</v>
      </c>
      <c r="Q1239">
        <f t="shared" ca="1" si="537"/>
        <v>52429.861337665447</v>
      </c>
      <c r="R1239">
        <f t="shared" ca="1" si="538"/>
        <v>2.2564415439646509E-12</v>
      </c>
      <c r="S1239">
        <f t="shared" ref="S1239:S1302" ca="1" si="557">Q1238-(((R1238+R1239)/2)*J1239)-(IF(O1238&gt;O1239,$D$8*((O1238^2-O1239^2)/(2*$I$5)),$D$9*((O1239^2-O1238^2)/(2*$I$5)))+($D$10*(ABS(I1239)/90)*(MAX(O1238^2,O1239^2)/(2*$I$5))))-Q1239</f>
        <v>4.999999946448952E-4</v>
      </c>
      <c r="T1239">
        <f t="shared" ref="T1239:T1302" ca="1" si="558">IF(ABS(S1239)&lt;$D$19,1,0)</f>
        <v>1</v>
      </c>
      <c r="U1239">
        <f t="shared" ca="1" si="539"/>
        <v>51800.26683766341</v>
      </c>
      <c r="V1239">
        <f t="shared" ca="1" si="540"/>
        <v>269361.38755584974</v>
      </c>
      <c r="W1239">
        <f t="shared" ca="1" si="541"/>
        <v>2.5998695052916441</v>
      </c>
      <c r="X1239">
        <f t="shared" ca="1" si="542"/>
        <v>1.8933671400629237E-4</v>
      </c>
      <c r="Y1239">
        <f t="shared" ca="1" si="543"/>
        <v>52432.284337663412</v>
      </c>
      <c r="Z1239">
        <f t="shared" ca="1" si="544"/>
        <v>52432.284337665238</v>
      </c>
      <c r="AA1239">
        <f t="shared" ca="1" si="545"/>
        <v>2.2562304480281055E-12</v>
      </c>
      <c r="AB1239">
        <f t="shared" ca="1" si="546"/>
        <v>-5.0000000192085281E-4</v>
      </c>
      <c r="AC1239">
        <f t="shared" ca="1" si="547"/>
        <v>1</v>
      </c>
      <c r="AD1239">
        <f ca="1">IF(V32="Supercritical",L1239,IF(V32="Subcritical",U1239,IF(AND(T1239=1,AC1239=1),IF((((F1239)*(L1239)^2)/2+(G1239)*(L1239)^3/3+(ABS(K1239)^2)/($I$5*MAX(((F1239)+(G1239)*(L1239))*(L1239),0.000001)))&gt;=(((F1239)*(U1239)^2)/2+(G1239)*(U1239)^3/3+(ABS(K1239)^2)/($I$5*MAX(((F1239)+(G1239)*(U1239))*(U1239),0.000001))),L1239,U1239),IF(T1239=1,L1239,IF(AC1239=1,U1239,MAX($D$16,POWER((ABS(K1239)^2)/($I$5*MAX(F1239,0.1)^2),1/3)))))))</f>
        <v>51800.26683766341</v>
      </c>
      <c r="AE1239">
        <f t="shared" ca="1" si="548"/>
        <v>52432.284337663412</v>
      </c>
      <c r="AF1239">
        <f t="shared" ca="1" si="549"/>
        <v>52432.284337665238</v>
      </c>
      <c r="AI1239">
        <v>0</v>
      </c>
      <c r="AJ1239">
        <v>0</v>
      </c>
      <c r="AK1239">
        <f t="shared" si="550"/>
        <v>0</v>
      </c>
      <c r="AL1239">
        <f t="shared" ref="AL1239:AL1302" si="559">AL1238+AK1239</f>
        <v>0</v>
      </c>
      <c r="AM1239">
        <f t="shared" ca="1" si="551"/>
        <v>2.6560383008097266E-7</v>
      </c>
      <c r="AN1239" t="str">
        <f t="shared" ca="1" si="552"/>
        <v>Subcritical</v>
      </c>
      <c r="AO1239">
        <f t="shared" ca="1" si="553"/>
        <v>2.2562304480281055E-12</v>
      </c>
    </row>
    <row r="1240" spans="1:41" x14ac:dyDescent="0.35">
      <c r="A1240">
        <v>1091</v>
      </c>
      <c r="B1240">
        <v>1089.8889999999999</v>
      </c>
      <c r="C1240">
        <v>616077.36300000001</v>
      </c>
      <c r="D1240">
        <v>3096914.1290000002</v>
      </c>
      <c r="E1240">
        <v>632.01700000000005</v>
      </c>
      <c r="F1240">
        <v>5.2</v>
      </c>
      <c r="G1240">
        <v>0</v>
      </c>
      <c r="H1240" t="s">
        <v>186</v>
      </c>
      <c r="I1240">
        <v>5.7000000000000002E-2</v>
      </c>
      <c r="J1240">
        <f t="shared" si="554"/>
        <v>0.99899999999979627</v>
      </c>
      <c r="K1240">
        <f t="shared" si="555"/>
        <v>51</v>
      </c>
      <c r="L1240">
        <f t="shared" ca="1" si="556"/>
        <v>51797.843837663619</v>
      </c>
      <c r="M1240">
        <f t="shared" ca="1" si="533"/>
        <v>269348.78795585083</v>
      </c>
      <c r="N1240">
        <f t="shared" ca="1" si="534"/>
        <v>2.5998694991876676</v>
      </c>
      <c r="O1240">
        <f t="shared" ca="1" si="535"/>
        <v>1.8934557080078435E-4</v>
      </c>
      <c r="P1240">
        <f t="shared" ca="1" si="536"/>
        <v>52429.860837663618</v>
      </c>
      <c r="Q1240">
        <f t="shared" ca="1" si="537"/>
        <v>52429.860837665445</v>
      </c>
      <c r="R1240">
        <f t="shared" ca="1" si="538"/>
        <v>2.2564415439646509E-12</v>
      </c>
      <c r="S1240">
        <f t="shared" ca="1" si="557"/>
        <v>5.0000000192085281E-4</v>
      </c>
      <c r="T1240">
        <f t="shared" ca="1" si="558"/>
        <v>1</v>
      </c>
      <c r="U1240">
        <f t="shared" ca="1" si="539"/>
        <v>51800.26683766341</v>
      </c>
      <c r="V1240">
        <f t="shared" ca="1" si="540"/>
        <v>269361.38755584974</v>
      </c>
      <c r="W1240">
        <f t="shared" ca="1" si="541"/>
        <v>2.5998695052916441</v>
      </c>
      <c r="X1240">
        <f t="shared" ca="1" si="542"/>
        <v>1.8933671400629237E-4</v>
      </c>
      <c r="Y1240">
        <f t="shared" ca="1" si="543"/>
        <v>52432.28383766341</v>
      </c>
      <c r="Z1240">
        <f t="shared" ca="1" si="544"/>
        <v>52432.283837665236</v>
      </c>
      <c r="AA1240">
        <f t="shared" ca="1" si="545"/>
        <v>2.2562304480281055E-12</v>
      </c>
      <c r="AB1240">
        <f t="shared" ca="1" si="546"/>
        <v>-5.0000000192085281E-4</v>
      </c>
      <c r="AC1240">
        <f t="shared" ca="1" si="547"/>
        <v>1</v>
      </c>
      <c r="AD1240">
        <f ca="1">IF(V32="Supercritical",L1240,IF(V32="Subcritical",U1240,IF(AND(T1240=1,AC1240=1),IF((((F1240)*(L1240)^2)/2+(G1240)*(L1240)^3/3+(ABS(K1240)^2)/($I$5*MAX(((F1240)+(G1240)*(L1240))*(L1240),0.000001)))&gt;=(((F1240)*(U1240)^2)/2+(G1240)*(U1240)^3/3+(ABS(K1240)^2)/($I$5*MAX(((F1240)+(G1240)*(U1240))*(U1240),0.000001))),L1240,U1240),IF(T1240=1,L1240,IF(AC1240=1,U1240,MAX($D$16,POWER((ABS(K1240)^2)/($I$5*MAX(F1240,0.1)^2),1/3)))))))</f>
        <v>51800.26683766341</v>
      </c>
      <c r="AE1240">
        <f t="shared" ca="1" si="548"/>
        <v>52432.28383766341</v>
      </c>
      <c r="AF1240">
        <f t="shared" ca="1" si="549"/>
        <v>52432.283837665236</v>
      </c>
      <c r="AI1240">
        <v>0</v>
      </c>
      <c r="AJ1240">
        <v>0</v>
      </c>
      <c r="AK1240">
        <f t="shared" si="550"/>
        <v>0</v>
      </c>
      <c r="AL1240">
        <f t="shared" si="559"/>
        <v>0</v>
      </c>
      <c r="AM1240">
        <f t="shared" ca="1" si="551"/>
        <v>2.6560383008097266E-7</v>
      </c>
      <c r="AN1240" t="str">
        <f t="shared" ca="1" si="552"/>
        <v>Subcritical</v>
      </c>
      <c r="AO1240">
        <f t="shared" ca="1" si="553"/>
        <v>2.2562304480281055E-12</v>
      </c>
    </row>
    <row r="1241" spans="1:41" x14ac:dyDescent="0.35">
      <c r="A1241">
        <v>1092</v>
      </c>
      <c r="B1241">
        <v>1090.8889999999999</v>
      </c>
      <c r="C1241">
        <v>616077.31999999995</v>
      </c>
      <c r="D1241">
        <v>3096913.13</v>
      </c>
      <c r="E1241">
        <v>632.01649999999995</v>
      </c>
      <c r="F1241">
        <v>5.2</v>
      </c>
      <c r="G1241">
        <v>0</v>
      </c>
      <c r="H1241" t="s">
        <v>186</v>
      </c>
      <c r="I1241">
        <v>5.7000000000000002E-2</v>
      </c>
      <c r="J1241">
        <f t="shared" si="554"/>
        <v>1</v>
      </c>
      <c r="K1241">
        <f t="shared" si="555"/>
        <v>51</v>
      </c>
      <c r="L1241">
        <f t="shared" ca="1" si="556"/>
        <v>51797.843837663619</v>
      </c>
      <c r="M1241">
        <f t="shared" ca="1" si="533"/>
        <v>269348.78795585083</v>
      </c>
      <c r="N1241">
        <f t="shared" ca="1" si="534"/>
        <v>2.5998694991876676</v>
      </c>
      <c r="O1241">
        <f t="shared" ca="1" si="535"/>
        <v>1.8934557080078435E-4</v>
      </c>
      <c r="P1241">
        <f t="shared" ca="1" si="536"/>
        <v>52429.860337663617</v>
      </c>
      <c r="Q1241">
        <f t="shared" ca="1" si="537"/>
        <v>52429.860337665443</v>
      </c>
      <c r="R1241">
        <f t="shared" ca="1" si="538"/>
        <v>2.2564415439646509E-12</v>
      </c>
      <c r="S1241">
        <f t="shared" ca="1" si="557"/>
        <v>5.0000000192085281E-4</v>
      </c>
      <c r="T1241">
        <f t="shared" ca="1" si="558"/>
        <v>1</v>
      </c>
      <c r="U1241">
        <f t="shared" ca="1" si="539"/>
        <v>51800.26683766341</v>
      </c>
      <c r="V1241">
        <f t="shared" ca="1" si="540"/>
        <v>269361.38755584974</v>
      </c>
      <c r="W1241">
        <f t="shared" ca="1" si="541"/>
        <v>2.5998695052916441</v>
      </c>
      <c r="X1241">
        <f t="shared" ca="1" si="542"/>
        <v>1.8933671400629237E-4</v>
      </c>
      <c r="Y1241">
        <f t="shared" ca="1" si="543"/>
        <v>52432.283337663408</v>
      </c>
      <c r="Z1241">
        <f t="shared" ca="1" si="544"/>
        <v>52432.283337665234</v>
      </c>
      <c r="AA1241">
        <f t="shared" ca="1" si="545"/>
        <v>2.2562304480281055E-12</v>
      </c>
      <c r="AB1241">
        <f t="shared" ca="1" si="546"/>
        <v>-4.999999946448952E-4</v>
      </c>
      <c r="AC1241">
        <f t="shared" ca="1" si="547"/>
        <v>1</v>
      </c>
      <c r="AD1241">
        <f ca="1">IF(V32="Supercritical",L1241,IF(V32="Subcritical",U1241,IF(AND(T1241=1,AC1241=1),IF((((F1241)*(L1241)^2)/2+(G1241)*(L1241)^3/3+(ABS(K1241)^2)/($I$5*MAX(((F1241)+(G1241)*(L1241))*(L1241),0.000001)))&gt;=(((F1241)*(U1241)^2)/2+(G1241)*(U1241)^3/3+(ABS(K1241)^2)/($I$5*MAX(((F1241)+(G1241)*(U1241))*(U1241),0.000001))),L1241,U1241),IF(T1241=1,L1241,IF(AC1241=1,U1241,MAX($D$16,POWER((ABS(K1241)^2)/($I$5*MAX(F1241,0.1)^2),1/3)))))))</f>
        <v>51800.26683766341</v>
      </c>
      <c r="AE1241">
        <f t="shared" ca="1" si="548"/>
        <v>52432.283337663408</v>
      </c>
      <c r="AF1241">
        <f t="shared" ca="1" si="549"/>
        <v>52432.283337665234</v>
      </c>
      <c r="AI1241">
        <v>0</v>
      </c>
      <c r="AJ1241">
        <v>0</v>
      </c>
      <c r="AK1241">
        <f t="shared" si="550"/>
        <v>0</v>
      </c>
      <c r="AL1241">
        <f t="shared" si="559"/>
        <v>0</v>
      </c>
      <c r="AM1241">
        <f t="shared" ca="1" si="551"/>
        <v>2.6560383008097266E-7</v>
      </c>
      <c r="AN1241" t="str">
        <f t="shared" ca="1" si="552"/>
        <v>Subcritical</v>
      </c>
      <c r="AO1241">
        <f t="shared" ca="1" si="553"/>
        <v>2.2562304480281055E-12</v>
      </c>
    </row>
    <row r="1242" spans="1:41" x14ac:dyDescent="0.35">
      <c r="A1242">
        <v>1093</v>
      </c>
      <c r="B1242">
        <v>1091.8889999999999</v>
      </c>
      <c r="C1242">
        <v>616077.27800000005</v>
      </c>
      <c r="D1242">
        <v>3096912.1310000001</v>
      </c>
      <c r="E1242">
        <v>632.01599999999996</v>
      </c>
      <c r="F1242">
        <v>5.2</v>
      </c>
      <c r="G1242">
        <v>0</v>
      </c>
      <c r="H1242" t="s">
        <v>186</v>
      </c>
      <c r="I1242">
        <v>0</v>
      </c>
      <c r="J1242">
        <f t="shared" si="554"/>
        <v>1</v>
      </c>
      <c r="K1242">
        <f t="shared" si="555"/>
        <v>51</v>
      </c>
      <c r="L1242">
        <f t="shared" ca="1" si="556"/>
        <v>51797.843837663619</v>
      </c>
      <c r="M1242">
        <f t="shared" ca="1" si="533"/>
        <v>269348.78795585083</v>
      </c>
      <c r="N1242">
        <f t="shared" ca="1" si="534"/>
        <v>2.5998694991876676</v>
      </c>
      <c r="O1242">
        <f t="shared" ca="1" si="535"/>
        <v>1.8934557080078435E-4</v>
      </c>
      <c r="P1242">
        <f t="shared" ca="1" si="536"/>
        <v>52429.859837663622</v>
      </c>
      <c r="Q1242">
        <f t="shared" ca="1" si="537"/>
        <v>52429.859837665448</v>
      </c>
      <c r="R1242">
        <f t="shared" ca="1" si="538"/>
        <v>2.2564415439646509E-12</v>
      </c>
      <c r="S1242">
        <f t="shared" ca="1" si="557"/>
        <v>4.999999946448952E-4</v>
      </c>
      <c r="T1242">
        <f t="shared" ca="1" si="558"/>
        <v>1</v>
      </c>
      <c r="U1242">
        <f t="shared" ca="1" si="539"/>
        <v>51800.26683766341</v>
      </c>
      <c r="V1242">
        <f t="shared" ca="1" si="540"/>
        <v>269361.38755584974</v>
      </c>
      <c r="W1242">
        <f t="shared" ca="1" si="541"/>
        <v>2.5998695052916441</v>
      </c>
      <c r="X1242">
        <f t="shared" ca="1" si="542"/>
        <v>1.8933671400629237E-4</v>
      </c>
      <c r="Y1242">
        <f t="shared" ca="1" si="543"/>
        <v>52432.282837663413</v>
      </c>
      <c r="Z1242">
        <f t="shared" ca="1" si="544"/>
        <v>52432.28283766524</v>
      </c>
      <c r="AA1242">
        <f t="shared" ca="1" si="545"/>
        <v>2.2562304480281055E-12</v>
      </c>
      <c r="AB1242">
        <f t="shared" ca="1" si="546"/>
        <v>-5.0000000192085281E-4</v>
      </c>
      <c r="AC1242">
        <f t="shared" ca="1" si="547"/>
        <v>1</v>
      </c>
      <c r="AD1242">
        <f ca="1">IF(V32="Supercritical",L1242,IF(V32="Subcritical",U1242,IF(AND(T1242=1,AC1242=1),IF((((F1242)*(L1242)^2)/2+(G1242)*(L1242)^3/3+(ABS(K1242)^2)/($I$5*MAX(((F1242)+(G1242)*(L1242))*(L1242),0.000001)))&gt;=(((F1242)*(U1242)^2)/2+(G1242)*(U1242)^3/3+(ABS(K1242)^2)/($I$5*MAX(((F1242)+(G1242)*(U1242))*(U1242),0.000001))),L1242,U1242),IF(T1242=1,L1242,IF(AC1242=1,U1242,MAX($D$16,POWER((ABS(K1242)^2)/($I$5*MAX(F1242,0.1)^2),1/3)))))))</f>
        <v>51800.26683766341</v>
      </c>
      <c r="AE1242">
        <f t="shared" ca="1" si="548"/>
        <v>52432.282837663413</v>
      </c>
      <c r="AF1242">
        <f t="shared" ca="1" si="549"/>
        <v>52432.28283766524</v>
      </c>
      <c r="AI1242">
        <v>0</v>
      </c>
      <c r="AJ1242">
        <v>0</v>
      </c>
      <c r="AK1242">
        <f t="shared" si="550"/>
        <v>0</v>
      </c>
      <c r="AL1242">
        <f t="shared" si="559"/>
        <v>0</v>
      </c>
      <c r="AM1242">
        <f t="shared" ca="1" si="551"/>
        <v>2.6560383008097266E-7</v>
      </c>
      <c r="AN1242" t="str">
        <f t="shared" ca="1" si="552"/>
        <v>Subcritical</v>
      </c>
      <c r="AO1242">
        <f t="shared" ca="1" si="553"/>
        <v>2.2562304480281055E-12</v>
      </c>
    </row>
    <row r="1243" spans="1:41" x14ac:dyDescent="0.35">
      <c r="A1243">
        <v>1094</v>
      </c>
      <c r="B1243">
        <v>1092.8889999999999</v>
      </c>
      <c r="C1243">
        <v>616077.23600000003</v>
      </c>
      <c r="D1243">
        <v>3096911.1320000002</v>
      </c>
      <c r="E1243">
        <v>632.01549999999997</v>
      </c>
      <c r="F1243">
        <v>5.2</v>
      </c>
      <c r="G1243">
        <v>0</v>
      </c>
      <c r="H1243" t="s">
        <v>186</v>
      </c>
      <c r="I1243">
        <v>0</v>
      </c>
      <c r="J1243">
        <f t="shared" si="554"/>
        <v>1</v>
      </c>
      <c r="K1243">
        <f t="shared" si="555"/>
        <v>51</v>
      </c>
      <c r="L1243">
        <f t="shared" ca="1" si="556"/>
        <v>51797.843837663619</v>
      </c>
      <c r="M1243">
        <f t="shared" ca="1" si="533"/>
        <v>269348.78795585083</v>
      </c>
      <c r="N1243">
        <f t="shared" ca="1" si="534"/>
        <v>2.5998694991876676</v>
      </c>
      <c r="O1243">
        <f t="shared" ca="1" si="535"/>
        <v>1.8934557080078435E-4</v>
      </c>
      <c r="P1243">
        <f t="shared" ca="1" si="536"/>
        <v>52429.85933766362</v>
      </c>
      <c r="Q1243">
        <f t="shared" ca="1" si="537"/>
        <v>52429.859337665446</v>
      </c>
      <c r="R1243">
        <f t="shared" ca="1" si="538"/>
        <v>2.2564415439646509E-12</v>
      </c>
      <c r="S1243">
        <f t="shared" ca="1" si="557"/>
        <v>5.0000000192085281E-4</v>
      </c>
      <c r="T1243">
        <f t="shared" ca="1" si="558"/>
        <v>1</v>
      </c>
      <c r="U1243">
        <f t="shared" ca="1" si="539"/>
        <v>51800.26683766341</v>
      </c>
      <c r="V1243">
        <f t="shared" ca="1" si="540"/>
        <v>269361.38755584974</v>
      </c>
      <c r="W1243">
        <f t="shared" ca="1" si="541"/>
        <v>2.5998695052916441</v>
      </c>
      <c r="X1243">
        <f t="shared" ca="1" si="542"/>
        <v>1.8933671400629237E-4</v>
      </c>
      <c r="Y1243">
        <f t="shared" ca="1" si="543"/>
        <v>52432.282337663411</v>
      </c>
      <c r="Z1243">
        <f t="shared" ca="1" si="544"/>
        <v>52432.282337665238</v>
      </c>
      <c r="AA1243">
        <f t="shared" ca="1" si="545"/>
        <v>2.2562304480281055E-12</v>
      </c>
      <c r="AB1243">
        <f t="shared" ca="1" si="546"/>
        <v>-5.0000000192085281E-4</v>
      </c>
      <c r="AC1243">
        <f t="shared" ca="1" si="547"/>
        <v>1</v>
      </c>
      <c r="AD1243">
        <f ca="1">IF(V32="Supercritical",L1243,IF(V32="Subcritical",U1243,IF(AND(T1243=1,AC1243=1),IF((((F1243)*(L1243)^2)/2+(G1243)*(L1243)^3/3+(ABS(K1243)^2)/($I$5*MAX(((F1243)+(G1243)*(L1243))*(L1243),0.000001)))&gt;=(((F1243)*(U1243)^2)/2+(G1243)*(U1243)^3/3+(ABS(K1243)^2)/($I$5*MAX(((F1243)+(G1243)*(U1243))*(U1243),0.000001))),L1243,U1243),IF(T1243=1,L1243,IF(AC1243=1,U1243,MAX($D$16,POWER((ABS(K1243)^2)/($I$5*MAX(F1243,0.1)^2),1/3)))))))</f>
        <v>51800.26683766341</v>
      </c>
      <c r="AE1243">
        <f t="shared" ca="1" si="548"/>
        <v>52432.282337663411</v>
      </c>
      <c r="AF1243">
        <f t="shared" ca="1" si="549"/>
        <v>52432.282337665238</v>
      </c>
      <c r="AI1243">
        <v>0</v>
      </c>
      <c r="AJ1243">
        <v>0</v>
      </c>
      <c r="AK1243">
        <f t="shared" si="550"/>
        <v>0</v>
      </c>
      <c r="AL1243">
        <f t="shared" si="559"/>
        <v>0</v>
      </c>
      <c r="AM1243">
        <f t="shared" ca="1" si="551"/>
        <v>2.6560383008097266E-7</v>
      </c>
      <c r="AN1243" t="str">
        <f t="shared" ca="1" si="552"/>
        <v>Subcritical</v>
      </c>
      <c r="AO1243">
        <f t="shared" ca="1" si="553"/>
        <v>2.2562304480281055E-12</v>
      </c>
    </row>
    <row r="1244" spans="1:41" x14ac:dyDescent="0.35">
      <c r="A1244">
        <v>1095</v>
      </c>
      <c r="B1244">
        <v>1093.8889999999999</v>
      </c>
      <c r="C1244">
        <v>616077.19400000002</v>
      </c>
      <c r="D1244">
        <v>3096910.1329999999</v>
      </c>
      <c r="E1244">
        <v>632.01499999999999</v>
      </c>
      <c r="F1244">
        <v>5.2</v>
      </c>
      <c r="G1244">
        <v>0</v>
      </c>
      <c r="H1244" t="s">
        <v>186</v>
      </c>
      <c r="I1244">
        <v>5.7000000000000002E-2</v>
      </c>
      <c r="J1244">
        <f t="shared" si="554"/>
        <v>1</v>
      </c>
      <c r="K1244">
        <f t="shared" si="555"/>
        <v>51</v>
      </c>
      <c r="L1244">
        <f t="shared" ca="1" si="556"/>
        <v>51797.843837663619</v>
      </c>
      <c r="M1244">
        <f t="shared" ca="1" si="533"/>
        <v>269348.78795585083</v>
      </c>
      <c r="N1244">
        <f t="shared" ca="1" si="534"/>
        <v>2.5998694991876676</v>
      </c>
      <c r="O1244">
        <f t="shared" ca="1" si="535"/>
        <v>1.8934557080078435E-4</v>
      </c>
      <c r="P1244">
        <f t="shared" ca="1" si="536"/>
        <v>52429.858837663618</v>
      </c>
      <c r="Q1244">
        <f t="shared" ca="1" si="537"/>
        <v>52429.858837665444</v>
      </c>
      <c r="R1244">
        <f t="shared" ca="1" si="538"/>
        <v>2.2564415439646509E-12</v>
      </c>
      <c r="S1244">
        <f t="shared" ca="1" si="557"/>
        <v>5.0000000192085281E-4</v>
      </c>
      <c r="T1244">
        <f t="shared" ca="1" si="558"/>
        <v>1</v>
      </c>
      <c r="U1244">
        <f t="shared" ca="1" si="539"/>
        <v>51800.26683766341</v>
      </c>
      <c r="V1244">
        <f t="shared" ca="1" si="540"/>
        <v>269361.38755584974</v>
      </c>
      <c r="W1244">
        <f t="shared" ca="1" si="541"/>
        <v>2.5998695052916441</v>
      </c>
      <c r="X1244">
        <f t="shared" ca="1" si="542"/>
        <v>1.8933671400629237E-4</v>
      </c>
      <c r="Y1244">
        <f t="shared" ca="1" si="543"/>
        <v>52432.28183766341</v>
      </c>
      <c r="Z1244">
        <f t="shared" ca="1" si="544"/>
        <v>52432.281837665236</v>
      </c>
      <c r="AA1244">
        <f t="shared" ca="1" si="545"/>
        <v>2.2562304480281055E-12</v>
      </c>
      <c r="AB1244">
        <f t="shared" ca="1" si="546"/>
        <v>-5.0000000192085281E-4</v>
      </c>
      <c r="AC1244">
        <f t="shared" ca="1" si="547"/>
        <v>1</v>
      </c>
      <c r="AD1244">
        <f ca="1">IF(V32="Supercritical",L1244,IF(V32="Subcritical",U1244,IF(AND(T1244=1,AC1244=1),IF((((F1244)*(L1244)^2)/2+(G1244)*(L1244)^3/3+(ABS(K1244)^2)/($I$5*MAX(((F1244)+(G1244)*(L1244))*(L1244),0.000001)))&gt;=(((F1244)*(U1244)^2)/2+(G1244)*(U1244)^3/3+(ABS(K1244)^2)/($I$5*MAX(((F1244)+(G1244)*(U1244))*(U1244),0.000001))),L1244,U1244),IF(T1244=1,L1244,IF(AC1244=1,U1244,MAX($D$16,POWER((ABS(K1244)^2)/($I$5*MAX(F1244,0.1)^2),1/3)))))))</f>
        <v>51800.26683766341</v>
      </c>
      <c r="AE1244">
        <f t="shared" ca="1" si="548"/>
        <v>52432.28183766341</v>
      </c>
      <c r="AF1244">
        <f t="shared" ca="1" si="549"/>
        <v>52432.281837665236</v>
      </c>
      <c r="AI1244">
        <v>0</v>
      </c>
      <c r="AJ1244">
        <v>0</v>
      </c>
      <c r="AK1244">
        <f t="shared" si="550"/>
        <v>0</v>
      </c>
      <c r="AL1244">
        <f t="shared" si="559"/>
        <v>0</v>
      </c>
      <c r="AM1244">
        <f t="shared" ca="1" si="551"/>
        <v>2.6560383008097266E-7</v>
      </c>
      <c r="AN1244" t="str">
        <f t="shared" ca="1" si="552"/>
        <v>Subcritical</v>
      </c>
      <c r="AO1244">
        <f t="shared" ca="1" si="553"/>
        <v>2.2562304480281055E-12</v>
      </c>
    </row>
    <row r="1245" spans="1:41" x14ac:dyDescent="0.35">
      <c r="A1245">
        <v>1096</v>
      </c>
      <c r="B1245">
        <v>1094.8889999999999</v>
      </c>
      <c r="C1245">
        <v>616077.15099999995</v>
      </c>
      <c r="D1245">
        <v>3096909.1340000001</v>
      </c>
      <c r="E1245">
        <v>632.0145</v>
      </c>
      <c r="F1245">
        <v>5.2</v>
      </c>
      <c r="G1245">
        <v>0</v>
      </c>
      <c r="H1245" t="s">
        <v>186</v>
      </c>
      <c r="I1245">
        <v>5.7000000000000002E-2</v>
      </c>
      <c r="J1245">
        <f t="shared" si="554"/>
        <v>1</v>
      </c>
      <c r="K1245">
        <f t="shared" si="555"/>
        <v>51</v>
      </c>
      <c r="L1245">
        <f t="shared" ca="1" si="556"/>
        <v>51797.843837663619</v>
      </c>
      <c r="M1245">
        <f t="shared" ca="1" si="533"/>
        <v>269348.78795585083</v>
      </c>
      <c r="N1245">
        <f t="shared" ca="1" si="534"/>
        <v>2.5998694991876676</v>
      </c>
      <c r="O1245">
        <f t="shared" ca="1" si="535"/>
        <v>1.8934557080078435E-4</v>
      </c>
      <c r="P1245">
        <f t="shared" ca="1" si="536"/>
        <v>52429.858337663616</v>
      </c>
      <c r="Q1245">
        <f t="shared" ca="1" si="537"/>
        <v>52429.858337665442</v>
      </c>
      <c r="R1245">
        <f t="shared" ca="1" si="538"/>
        <v>2.2564415439646509E-12</v>
      </c>
      <c r="S1245">
        <f t="shared" ca="1" si="557"/>
        <v>5.0000000192085281E-4</v>
      </c>
      <c r="T1245">
        <f t="shared" ca="1" si="558"/>
        <v>1</v>
      </c>
      <c r="U1245">
        <f t="shared" ca="1" si="539"/>
        <v>51800.26683766341</v>
      </c>
      <c r="V1245">
        <f t="shared" ca="1" si="540"/>
        <v>269361.38755584974</v>
      </c>
      <c r="W1245">
        <f t="shared" ca="1" si="541"/>
        <v>2.5998695052916441</v>
      </c>
      <c r="X1245">
        <f t="shared" ca="1" si="542"/>
        <v>1.8933671400629237E-4</v>
      </c>
      <c r="Y1245">
        <f t="shared" ca="1" si="543"/>
        <v>52432.281337663408</v>
      </c>
      <c r="Z1245">
        <f t="shared" ca="1" si="544"/>
        <v>52432.281337665234</v>
      </c>
      <c r="AA1245">
        <f t="shared" ca="1" si="545"/>
        <v>2.2562304480281055E-12</v>
      </c>
      <c r="AB1245">
        <f t="shared" ca="1" si="546"/>
        <v>-4.999999946448952E-4</v>
      </c>
      <c r="AC1245">
        <f t="shared" ca="1" si="547"/>
        <v>1</v>
      </c>
      <c r="AD1245">
        <f ca="1">IF(V32="Supercritical",L1245,IF(V32="Subcritical",U1245,IF(AND(T1245=1,AC1245=1),IF((((F1245)*(L1245)^2)/2+(G1245)*(L1245)^3/3+(ABS(K1245)^2)/($I$5*MAX(((F1245)+(G1245)*(L1245))*(L1245),0.000001)))&gt;=(((F1245)*(U1245)^2)/2+(G1245)*(U1245)^3/3+(ABS(K1245)^2)/($I$5*MAX(((F1245)+(G1245)*(U1245))*(U1245),0.000001))),L1245,U1245),IF(T1245=1,L1245,IF(AC1245=1,U1245,MAX($D$16,POWER((ABS(K1245)^2)/($I$5*MAX(F1245,0.1)^2),1/3)))))))</f>
        <v>51800.26683766341</v>
      </c>
      <c r="AE1245">
        <f t="shared" ca="1" si="548"/>
        <v>52432.281337663408</v>
      </c>
      <c r="AF1245">
        <f t="shared" ca="1" si="549"/>
        <v>52432.281337665234</v>
      </c>
      <c r="AI1245">
        <v>0</v>
      </c>
      <c r="AJ1245">
        <v>0</v>
      </c>
      <c r="AK1245">
        <f t="shared" si="550"/>
        <v>0</v>
      </c>
      <c r="AL1245">
        <f t="shared" si="559"/>
        <v>0</v>
      </c>
      <c r="AM1245">
        <f t="shared" ca="1" si="551"/>
        <v>2.6560383008097266E-7</v>
      </c>
      <c r="AN1245" t="str">
        <f t="shared" ca="1" si="552"/>
        <v>Subcritical</v>
      </c>
      <c r="AO1245">
        <f t="shared" ca="1" si="553"/>
        <v>2.2562304480281055E-12</v>
      </c>
    </row>
    <row r="1246" spans="1:41" x14ac:dyDescent="0.35">
      <c r="A1246">
        <v>1097</v>
      </c>
      <c r="B1246">
        <v>1095.8889999999999</v>
      </c>
      <c r="C1246">
        <v>616077.10900000005</v>
      </c>
      <c r="D1246">
        <v>3096908.1349999998</v>
      </c>
      <c r="E1246">
        <v>632.01400000000001</v>
      </c>
      <c r="F1246">
        <v>5.2</v>
      </c>
      <c r="G1246">
        <v>0</v>
      </c>
      <c r="H1246" t="s">
        <v>186</v>
      </c>
      <c r="I1246">
        <v>2E-3</v>
      </c>
      <c r="J1246">
        <f t="shared" si="554"/>
        <v>1</v>
      </c>
      <c r="K1246">
        <f t="shared" si="555"/>
        <v>51</v>
      </c>
      <c r="L1246">
        <f t="shared" ca="1" si="556"/>
        <v>51797.843837663619</v>
      </c>
      <c r="M1246">
        <f t="shared" ca="1" si="533"/>
        <v>269348.78795585083</v>
      </c>
      <c r="N1246">
        <f t="shared" ca="1" si="534"/>
        <v>2.5998694991876676</v>
      </c>
      <c r="O1246">
        <f t="shared" ca="1" si="535"/>
        <v>1.8934557080078435E-4</v>
      </c>
      <c r="P1246">
        <f t="shared" ca="1" si="536"/>
        <v>52429.857837663621</v>
      </c>
      <c r="Q1246">
        <f t="shared" ca="1" si="537"/>
        <v>52429.857837665448</v>
      </c>
      <c r="R1246">
        <f t="shared" ca="1" si="538"/>
        <v>2.2564415439646509E-12</v>
      </c>
      <c r="S1246">
        <f t="shared" ca="1" si="557"/>
        <v>4.999999946448952E-4</v>
      </c>
      <c r="T1246">
        <f t="shared" ca="1" si="558"/>
        <v>1</v>
      </c>
      <c r="U1246">
        <f t="shared" ca="1" si="539"/>
        <v>51800.26683766341</v>
      </c>
      <c r="V1246">
        <f t="shared" ca="1" si="540"/>
        <v>269361.38755584974</v>
      </c>
      <c r="W1246">
        <f t="shared" ca="1" si="541"/>
        <v>2.5998695052916441</v>
      </c>
      <c r="X1246">
        <f t="shared" ca="1" si="542"/>
        <v>1.8933671400629237E-4</v>
      </c>
      <c r="Y1246">
        <f t="shared" ca="1" si="543"/>
        <v>52432.280837663413</v>
      </c>
      <c r="Z1246">
        <f t="shared" ca="1" si="544"/>
        <v>52432.280837665239</v>
      </c>
      <c r="AA1246">
        <f t="shared" ca="1" si="545"/>
        <v>2.2562304480281055E-12</v>
      </c>
      <c r="AB1246">
        <f t="shared" ca="1" si="546"/>
        <v>-5.0000000192085281E-4</v>
      </c>
      <c r="AC1246">
        <f t="shared" ca="1" si="547"/>
        <v>1</v>
      </c>
      <c r="AD1246">
        <f ca="1">IF(V32="Supercritical",L1246,IF(V32="Subcritical",U1246,IF(AND(T1246=1,AC1246=1),IF((((F1246)*(L1246)^2)/2+(G1246)*(L1246)^3/3+(ABS(K1246)^2)/($I$5*MAX(((F1246)+(G1246)*(L1246))*(L1246),0.000001)))&gt;=(((F1246)*(U1246)^2)/2+(G1246)*(U1246)^3/3+(ABS(K1246)^2)/($I$5*MAX(((F1246)+(G1246)*(U1246))*(U1246),0.000001))),L1246,U1246),IF(T1246=1,L1246,IF(AC1246=1,U1246,MAX($D$16,POWER((ABS(K1246)^2)/($I$5*MAX(F1246,0.1)^2),1/3)))))))</f>
        <v>51800.26683766341</v>
      </c>
      <c r="AE1246">
        <f t="shared" ca="1" si="548"/>
        <v>52432.280837663413</v>
      </c>
      <c r="AF1246">
        <f t="shared" ca="1" si="549"/>
        <v>52432.280837665239</v>
      </c>
      <c r="AI1246">
        <v>0</v>
      </c>
      <c r="AJ1246">
        <v>0</v>
      </c>
      <c r="AK1246">
        <f t="shared" si="550"/>
        <v>0</v>
      </c>
      <c r="AL1246">
        <f t="shared" si="559"/>
        <v>0</v>
      </c>
      <c r="AM1246">
        <f t="shared" ca="1" si="551"/>
        <v>2.6560383008097266E-7</v>
      </c>
      <c r="AN1246" t="str">
        <f t="shared" ca="1" si="552"/>
        <v>Subcritical</v>
      </c>
      <c r="AO1246">
        <f t="shared" ca="1" si="553"/>
        <v>2.2562304480281055E-12</v>
      </c>
    </row>
    <row r="1247" spans="1:41" x14ac:dyDescent="0.35">
      <c r="A1247">
        <v>1098</v>
      </c>
      <c r="B1247">
        <v>1096.8900000000001</v>
      </c>
      <c r="C1247">
        <v>616077.06700000004</v>
      </c>
      <c r="D1247">
        <v>3096907.1349999998</v>
      </c>
      <c r="E1247">
        <v>632.01350000000002</v>
      </c>
      <c r="F1247">
        <v>5.2</v>
      </c>
      <c r="G1247">
        <v>0</v>
      </c>
      <c r="H1247" t="s">
        <v>186</v>
      </c>
      <c r="I1247">
        <v>2E-3</v>
      </c>
      <c r="J1247">
        <f t="shared" si="554"/>
        <v>1.0010000000002037</v>
      </c>
      <c r="K1247">
        <f t="shared" si="555"/>
        <v>51</v>
      </c>
      <c r="L1247">
        <f t="shared" ca="1" si="556"/>
        <v>51797.843837663619</v>
      </c>
      <c r="M1247">
        <f t="shared" ca="1" si="533"/>
        <v>269348.78795585083</v>
      </c>
      <c r="N1247">
        <f t="shared" ca="1" si="534"/>
        <v>2.5998694991876676</v>
      </c>
      <c r="O1247">
        <f t="shared" ca="1" si="535"/>
        <v>1.8934557080078435E-4</v>
      </c>
      <c r="P1247">
        <f t="shared" ca="1" si="536"/>
        <v>52429.85733766362</v>
      </c>
      <c r="Q1247">
        <f t="shared" ca="1" si="537"/>
        <v>52429.857337665446</v>
      </c>
      <c r="R1247">
        <f t="shared" ca="1" si="538"/>
        <v>2.2564415439646509E-12</v>
      </c>
      <c r="S1247">
        <f t="shared" ca="1" si="557"/>
        <v>5.0000000192085281E-4</v>
      </c>
      <c r="T1247">
        <f t="shared" ca="1" si="558"/>
        <v>1</v>
      </c>
      <c r="U1247">
        <f t="shared" ca="1" si="539"/>
        <v>51800.26683766341</v>
      </c>
      <c r="V1247">
        <f t="shared" ca="1" si="540"/>
        <v>269361.38755584974</v>
      </c>
      <c r="W1247">
        <f t="shared" ca="1" si="541"/>
        <v>2.5998695052916441</v>
      </c>
      <c r="X1247">
        <f t="shared" ca="1" si="542"/>
        <v>1.8933671400629237E-4</v>
      </c>
      <c r="Y1247">
        <f t="shared" ca="1" si="543"/>
        <v>52432.280337663411</v>
      </c>
      <c r="Z1247">
        <f t="shared" ca="1" si="544"/>
        <v>52432.280337665237</v>
      </c>
      <c r="AA1247">
        <f t="shared" ca="1" si="545"/>
        <v>2.2562304480281055E-12</v>
      </c>
      <c r="AB1247">
        <f t="shared" ca="1" si="546"/>
        <v>-5.0000000192085281E-4</v>
      </c>
      <c r="AC1247">
        <f t="shared" ca="1" si="547"/>
        <v>1</v>
      </c>
      <c r="AD1247">
        <f ca="1">IF(V32="Supercritical",L1247,IF(V32="Subcritical",U1247,IF(AND(T1247=1,AC1247=1),IF((((F1247)*(L1247)^2)/2+(G1247)*(L1247)^3/3+(ABS(K1247)^2)/($I$5*MAX(((F1247)+(G1247)*(L1247))*(L1247),0.000001)))&gt;=(((F1247)*(U1247)^2)/2+(G1247)*(U1247)^3/3+(ABS(K1247)^2)/($I$5*MAX(((F1247)+(G1247)*(U1247))*(U1247),0.000001))),L1247,U1247),IF(T1247=1,L1247,IF(AC1247=1,U1247,MAX($D$16,POWER((ABS(K1247)^2)/($I$5*MAX(F1247,0.1)^2),1/3)))))))</f>
        <v>51800.26683766341</v>
      </c>
      <c r="AE1247">
        <f t="shared" ca="1" si="548"/>
        <v>52432.280337663411</v>
      </c>
      <c r="AF1247">
        <f t="shared" ca="1" si="549"/>
        <v>52432.280337665237</v>
      </c>
      <c r="AI1247">
        <v>0</v>
      </c>
      <c r="AJ1247">
        <v>0</v>
      </c>
      <c r="AK1247">
        <f t="shared" si="550"/>
        <v>0</v>
      </c>
      <c r="AL1247">
        <f t="shared" si="559"/>
        <v>0</v>
      </c>
      <c r="AM1247">
        <f t="shared" ca="1" si="551"/>
        <v>2.6560383008097266E-7</v>
      </c>
      <c r="AN1247" t="str">
        <f t="shared" ca="1" si="552"/>
        <v>Subcritical</v>
      </c>
      <c r="AO1247">
        <f t="shared" ca="1" si="553"/>
        <v>2.2562304480281055E-12</v>
      </c>
    </row>
    <row r="1248" spans="1:41" x14ac:dyDescent="0.35">
      <c r="A1248">
        <v>1099</v>
      </c>
      <c r="B1248">
        <v>1097.8900000000001</v>
      </c>
      <c r="C1248">
        <v>616077.02500000002</v>
      </c>
      <c r="D1248">
        <v>3096906.1359999999</v>
      </c>
      <c r="E1248">
        <v>632.01300000000003</v>
      </c>
      <c r="F1248">
        <v>5.2</v>
      </c>
      <c r="G1248">
        <v>0</v>
      </c>
      <c r="H1248" t="s">
        <v>186</v>
      </c>
      <c r="I1248">
        <v>5.7000000000000002E-2</v>
      </c>
      <c r="J1248">
        <f t="shared" si="554"/>
        <v>1</v>
      </c>
      <c r="K1248">
        <f t="shared" si="555"/>
        <v>51</v>
      </c>
      <c r="L1248">
        <f t="shared" ca="1" si="556"/>
        <v>51797.843837663619</v>
      </c>
      <c r="M1248">
        <f t="shared" ca="1" si="533"/>
        <v>269348.78795585083</v>
      </c>
      <c r="N1248">
        <f t="shared" ca="1" si="534"/>
        <v>2.5998694991876676</v>
      </c>
      <c r="O1248">
        <f t="shared" ca="1" si="535"/>
        <v>1.8934557080078435E-4</v>
      </c>
      <c r="P1248">
        <f t="shared" ca="1" si="536"/>
        <v>52429.856837663618</v>
      </c>
      <c r="Q1248">
        <f t="shared" ca="1" si="537"/>
        <v>52429.856837665444</v>
      </c>
      <c r="R1248">
        <f t="shared" ca="1" si="538"/>
        <v>2.2564415439646509E-12</v>
      </c>
      <c r="S1248">
        <f t="shared" ca="1" si="557"/>
        <v>5.0000000192085281E-4</v>
      </c>
      <c r="T1248">
        <f t="shared" ca="1" si="558"/>
        <v>1</v>
      </c>
      <c r="U1248">
        <f t="shared" ca="1" si="539"/>
        <v>51800.26683766341</v>
      </c>
      <c r="V1248">
        <f t="shared" ca="1" si="540"/>
        <v>269361.38755584974</v>
      </c>
      <c r="W1248">
        <f t="shared" ca="1" si="541"/>
        <v>2.5998695052916441</v>
      </c>
      <c r="X1248">
        <f t="shared" ca="1" si="542"/>
        <v>1.8933671400629237E-4</v>
      </c>
      <c r="Y1248">
        <f t="shared" ca="1" si="543"/>
        <v>52432.279837663409</v>
      </c>
      <c r="Z1248">
        <f t="shared" ca="1" si="544"/>
        <v>52432.279837665235</v>
      </c>
      <c r="AA1248">
        <f t="shared" ca="1" si="545"/>
        <v>2.2562304480281055E-12</v>
      </c>
      <c r="AB1248">
        <f t="shared" ca="1" si="546"/>
        <v>-5.0000000192085281E-4</v>
      </c>
      <c r="AC1248">
        <f t="shared" ca="1" si="547"/>
        <v>1</v>
      </c>
      <c r="AD1248">
        <f ca="1">IF(V32="Supercritical",L1248,IF(V32="Subcritical",U1248,IF(AND(T1248=1,AC1248=1),IF((((F1248)*(L1248)^2)/2+(G1248)*(L1248)^3/3+(ABS(K1248)^2)/($I$5*MAX(((F1248)+(G1248)*(L1248))*(L1248),0.000001)))&gt;=(((F1248)*(U1248)^2)/2+(G1248)*(U1248)^3/3+(ABS(K1248)^2)/($I$5*MAX(((F1248)+(G1248)*(U1248))*(U1248),0.000001))),L1248,U1248),IF(T1248=1,L1248,IF(AC1248=1,U1248,MAX($D$16,POWER((ABS(K1248)^2)/($I$5*MAX(F1248,0.1)^2),1/3)))))))</f>
        <v>51800.26683766341</v>
      </c>
      <c r="AE1248">
        <f t="shared" ca="1" si="548"/>
        <v>52432.279837663409</v>
      </c>
      <c r="AF1248">
        <f t="shared" ca="1" si="549"/>
        <v>52432.279837665235</v>
      </c>
      <c r="AI1248">
        <v>0</v>
      </c>
      <c r="AJ1248">
        <v>0</v>
      </c>
      <c r="AK1248">
        <f t="shared" si="550"/>
        <v>0</v>
      </c>
      <c r="AL1248">
        <f t="shared" si="559"/>
        <v>0</v>
      </c>
      <c r="AM1248">
        <f t="shared" ca="1" si="551"/>
        <v>2.6560383008097266E-7</v>
      </c>
      <c r="AN1248" t="str">
        <f t="shared" ca="1" si="552"/>
        <v>Subcritical</v>
      </c>
      <c r="AO1248">
        <f t="shared" ca="1" si="553"/>
        <v>2.2562304480281055E-12</v>
      </c>
    </row>
    <row r="1249" spans="1:41" x14ac:dyDescent="0.35">
      <c r="A1249">
        <v>1100</v>
      </c>
      <c r="B1249">
        <v>1098.8889999999999</v>
      </c>
      <c r="C1249">
        <v>616076.98199999996</v>
      </c>
      <c r="D1249">
        <v>3096905.1370000001</v>
      </c>
      <c r="E1249">
        <v>632.01250000000005</v>
      </c>
      <c r="F1249">
        <v>5.2</v>
      </c>
      <c r="G1249">
        <v>0</v>
      </c>
      <c r="H1249" t="s">
        <v>186</v>
      </c>
      <c r="I1249">
        <v>5.7000000000000002E-2</v>
      </c>
      <c r="J1249">
        <f t="shared" si="554"/>
        <v>0.99899999999979627</v>
      </c>
      <c r="K1249">
        <f t="shared" si="555"/>
        <v>51</v>
      </c>
      <c r="L1249">
        <f t="shared" ca="1" si="556"/>
        <v>51797.843837663619</v>
      </c>
      <c r="M1249">
        <f t="shared" ca="1" si="533"/>
        <v>269348.78795585083</v>
      </c>
      <c r="N1249">
        <f t="shared" ca="1" si="534"/>
        <v>2.5998694991876676</v>
      </c>
      <c r="O1249">
        <f t="shared" ca="1" si="535"/>
        <v>1.8934557080078435E-4</v>
      </c>
      <c r="P1249">
        <f t="shared" ca="1" si="536"/>
        <v>52429.856337663616</v>
      </c>
      <c r="Q1249">
        <f t="shared" ca="1" si="537"/>
        <v>52429.856337665442</v>
      </c>
      <c r="R1249">
        <f t="shared" ca="1" si="538"/>
        <v>2.2564415439646509E-12</v>
      </c>
      <c r="S1249">
        <f t="shared" ca="1" si="557"/>
        <v>5.0000000192085281E-4</v>
      </c>
      <c r="T1249">
        <f t="shared" ca="1" si="558"/>
        <v>1</v>
      </c>
      <c r="U1249">
        <f t="shared" ca="1" si="539"/>
        <v>51800.26683766341</v>
      </c>
      <c r="V1249">
        <f t="shared" ca="1" si="540"/>
        <v>269361.38755584974</v>
      </c>
      <c r="W1249">
        <f t="shared" ca="1" si="541"/>
        <v>2.5998695052916441</v>
      </c>
      <c r="X1249">
        <f t="shared" ca="1" si="542"/>
        <v>1.8933671400629237E-4</v>
      </c>
      <c r="Y1249">
        <f t="shared" ca="1" si="543"/>
        <v>52432.279337663407</v>
      </c>
      <c r="Z1249">
        <f t="shared" ca="1" si="544"/>
        <v>52432.279337665233</v>
      </c>
      <c r="AA1249">
        <f t="shared" ca="1" si="545"/>
        <v>2.2562304480281055E-12</v>
      </c>
      <c r="AB1249">
        <f t="shared" ca="1" si="546"/>
        <v>-4.999999946448952E-4</v>
      </c>
      <c r="AC1249">
        <f t="shared" ca="1" si="547"/>
        <v>1</v>
      </c>
      <c r="AD1249">
        <f ca="1">IF(V32="Supercritical",L1249,IF(V32="Subcritical",U1249,IF(AND(T1249=1,AC1249=1),IF((((F1249)*(L1249)^2)/2+(G1249)*(L1249)^3/3+(ABS(K1249)^2)/($I$5*MAX(((F1249)+(G1249)*(L1249))*(L1249),0.000001)))&gt;=(((F1249)*(U1249)^2)/2+(G1249)*(U1249)^3/3+(ABS(K1249)^2)/($I$5*MAX(((F1249)+(G1249)*(U1249))*(U1249),0.000001))),L1249,U1249),IF(T1249=1,L1249,IF(AC1249=1,U1249,MAX($D$16,POWER((ABS(K1249)^2)/($I$5*MAX(F1249,0.1)^2),1/3)))))))</f>
        <v>51800.26683766341</v>
      </c>
      <c r="AE1249">
        <f t="shared" ca="1" si="548"/>
        <v>52432.279337663407</v>
      </c>
      <c r="AF1249">
        <f t="shared" ca="1" si="549"/>
        <v>52432.279337665233</v>
      </c>
      <c r="AI1249">
        <v>0</v>
      </c>
      <c r="AJ1249">
        <v>0</v>
      </c>
      <c r="AK1249">
        <f t="shared" si="550"/>
        <v>0</v>
      </c>
      <c r="AL1249">
        <f t="shared" si="559"/>
        <v>0</v>
      </c>
      <c r="AM1249">
        <f t="shared" ca="1" si="551"/>
        <v>2.6560383008097266E-7</v>
      </c>
      <c r="AN1249" t="str">
        <f t="shared" ca="1" si="552"/>
        <v>Subcritical</v>
      </c>
      <c r="AO1249">
        <f t="shared" ca="1" si="553"/>
        <v>2.2562304480281055E-12</v>
      </c>
    </row>
    <row r="1250" spans="1:41" x14ac:dyDescent="0.35">
      <c r="A1250">
        <v>1101</v>
      </c>
      <c r="B1250">
        <v>1099.8889999999999</v>
      </c>
      <c r="C1250">
        <v>616076.93999999994</v>
      </c>
      <c r="D1250">
        <v>3096904.1379999998</v>
      </c>
      <c r="E1250">
        <v>632.01199999999994</v>
      </c>
      <c r="F1250">
        <v>5.2</v>
      </c>
      <c r="G1250">
        <v>0</v>
      </c>
      <c r="H1250" t="s">
        <v>186</v>
      </c>
      <c r="I1250">
        <v>0</v>
      </c>
      <c r="J1250">
        <f t="shared" si="554"/>
        <v>1</v>
      </c>
      <c r="K1250">
        <f t="shared" si="555"/>
        <v>51</v>
      </c>
      <c r="L1250">
        <f t="shared" ca="1" si="556"/>
        <v>51797.843837663619</v>
      </c>
      <c r="M1250">
        <f t="shared" ca="1" si="533"/>
        <v>269348.78795585083</v>
      </c>
      <c r="N1250">
        <f t="shared" ca="1" si="534"/>
        <v>2.5998694991876676</v>
      </c>
      <c r="O1250">
        <f t="shared" ca="1" si="535"/>
        <v>1.8934557080078435E-4</v>
      </c>
      <c r="P1250">
        <f t="shared" ca="1" si="536"/>
        <v>52429.855837663621</v>
      </c>
      <c r="Q1250">
        <f t="shared" ca="1" si="537"/>
        <v>52429.855837665447</v>
      </c>
      <c r="R1250">
        <f t="shared" ca="1" si="538"/>
        <v>2.2564415439646509E-12</v>
      </c>
      <c r="S1250">
        <f t="shared" ca="1" si="557"/>
        <v>4.999999946448952E-4</v>
      </c>
      <c r="T1250">
        <f t="shared" ca="1" si="558"/>
        <v>1</v>
      </c>
      <c r="U1250">
        <f t="shared" ca="1" si="539"/>
        <v>51800.26683766341</v>
      </c>
      <c r="V1250">
        <f t="shared" ca="1" si="540"/>
        <v>269361.38755584974</v>
      </c>
      <c r="W1250">
        <f t="shared" ca="1" si="541"/>
        <v>2.5998695052916441</v>
      </c>
      <c r="X1250">
        <f t="shared" ca="1" si="542"/>
        <v>1.8933671400629237E-4</v>
      </c>
      <c r="Y1250">
        <f t="shared" ca="1" si="543"/>
        <v>52432.278837663413</v>
      </c>
      <c r="Z1250">
        <f t="shared" ca="1" si="544"/>
        <v>52432.278837665239</v>
      </c>
      <c r="AA1250">
        <f t="shared" ca="1" si="545"/>
        <v>2.2562304480281055E-12</v>
      </c>
      <c r="AB1250">
        <f t="shared" ca="1" si="546"/>
        <v>-5.0000000192085281E-4</v>
      </c>
      <c r="AC1250">
        <f t="shared" ca="1" si="547"/>
        <v>1</v>
      </c>
      <c r="AD1250">
        <f ca="1">IF(V32="Supercritical",L1250,IF(V32="Subcritical",U1250,IF(AND(T1250=1,AC1250=1),IF((((F1250)*(L1250)^2)/2+(G1250)*(L1250)^3/3+(ABS(K1250)^2)/($I$5*MAX(((F1250)+(G1250)*(L1250))*(L1250),0.000001)))&gt;=(((F1250)*(U1250)^2)/2+(G1250)*(U1250)^3/3+(ABS(K1250)^2)/($I$5*MAX(((F1250)+(G1250)*(U1250))*(U1250),0.000001))),L1250,U1250),IF(T1250=1,L1250,IF(AC1250=1,U1250,MAX($D$16,POWER((ABS(K1250)^2)/($I$5*MAX(F1250,0.1)^2),1/3)))))))</f>
        <v>51800.26683766341</v>
      </c>
      <c r="AE1250">
        <f t="shared" ca="1" si="548"/>
        <v>52432.278837663413</v>
      </c>
      <c r="AF1250">
        <f t="shared" ca="1" si="549"/>
        <v>52432.278837665239</v>
      </c>
      <c r="AI1250">
        <v>0</v>
      </c>
      <c r="AJ1250">
        <v>0</v>
      </c>
      <c r="AK1250">
        <f t="shared" si="550"/>
        <v>0</v>
      </c>
      <c r="AL1250">
        <f t="shared" si="559"/>
        <v>0</v>
      </c>
      <c r="AM1250">
        <f t="shared" ca="1" si="551"/>
        <v>2.6560383008097266E-7</v>
      </c>
      <c r="AN1250" t="str">
        <f t="shared" ca="1" si="552"/>
        <v>Subcritical</v>
      </c>
      <c r="AO1250">
        <f t="shared" ca="1" si="553"/>
        <v>2.2562304480281055E-12</v>
      </c>
    </row>
    <row r="1251" spans="1:41" x14ac:dyDescent="0.35">
      <c r="A1251">
        <v>1102</v>
      </c>
      <c r="B1251">
        <v>1100.8889999999999</v>
      </c>
      <c r="C1251">
        <v>616076.89800000004</v>
      </c>
      <c r="D1251">
        <v>3096903.139</v>
      </c>
      <c r="E1251">
        <v>632.01149999999996</v>
      </c>
      <c r="F1251">
        <v>5.2</v>
      </c>
      <c r="G1251">
        <v>0</v>
      </c>
      <c r="H1251" t="s">
        <v>186</v>
      </c>
      <c r="I1251">
        <v>0</v>
      </c>
      <c r="J1251">
        <f t="shared" si="554"/>
        <v>1</v>
      </c>
      <c r="K1251">
        <f t="shared" si="555"/>
        <v>51</v>
      </c>
      <c r="L1251">
        <f t="shared" ca="1" si="556"/>
        <v>51797.843837663619</v>
      </c>
      <c r="M1251">
        <f t="shared" ca="1" si="533"/>
        <v>269348.78795585083</v>
      </c>
      <c r="N1251">
        <f t="shared" ca="1" si="534"/>
        <v>2.5998694991876676</v>
      </c>
      <c r="O1251">
        <f t="shared" ca="1" si="535"/>
        <v>1.8934557080078435E-4</v>
      </c>
      <c r="P1251">
        <f t="shared" ca="1" si="536"/>
        <v>52429.855337663619</v>
      </c>
      <c r="Q1251">
        <f t="shared" ca="1" si="537"/>
        <v>52429.855337665445</v>
      </c>
      <c r="R1251">
        <f t="shared" ca="1" si="538"/>
        <v>2.2564415439646509E-12</v>
      </c>
      <c r="S1251">
        <f t="shared" ca="1" si="557"/>
        <v>5.0000000192085281E-4</v>
      </c>
      <c r="T1251">
        <f t="shared" ca="1" si="558"/>
        <v>1</v>
      </c>
      <c r="U1251">
        <f t="shared" ca="1" si="539"/>
        <v>51800.26683766341</v>
      </c>
      <c r="V1251">
        <f t="shared" ca="1" si="540"/>
        <v>269361.38755584974</v>
      </c>
      <c r="W1251">
        <f t="shared" ca="1" si="541"/>
        <v>2.5998695052916441</v>
      </c>
      <c r="X1251">
        <f t="shared" ca="1" si="542"/>
        <v>1.8933671400629237E-4</v>
      </c>
      <c r="Y1251">
        <f t="shared" ca="1" si="543"/>
        <v>52432.278337663411</v>
      </c>
      <c r="Z1251">
        <f t="shared" ca="1" si="544"/>
        <v>52432.278337665237</v>
      </c>
      <c r="AA1251">
        <f t="shared" ca="1" si="545"/>
        <v>2.2562304480281055E-12</v>
      </c>
      <c r="AB1251">
        <f t="shared" ca="1" si="546"/>
        <v>-5.0000000192085281E-4</v>
      </c>
      <c r="AC1251">
        <f t="shared" ca="1" si="547"/>
        <v>1</v>
      </c>
      <c r="AD1251">
        <f ca="1">IF(V32="Supercritical",L1251,IF(V32="Subcritical",U1251,IF(AND(T1251=1,AC1251=1),IF((((F1251)*(L1251)^2)/2+(G1251)*(L1251)^3/3+(ABS(K1251)^2)/($I$5*MAX(((F1251)+(G1251)*(L1251))*(L1251),0.000001)))&gt;=(((F1251)*(U1251)^2)/2+(G1251)*(U1251)^3/3+(ABS(K1251)^2)/($I$5*MAX(((F1251)+(G1251)*(U1251))*(U1251),0.000001))),L1251,U1251),IF(T1251=1,L1251,IF(AC1251=1,U1251,MAX($D$16,POWER((ABS(K1251)^2)/($I$5*MAX(F1251,0.1)^2),1/3)))))))</f>
        <v>51800.26683766341</v>
      </c>
      <c r="AE1251">
        <f t="shared" ca="1" si="548"/>
        <v>52432.278337663411</v>
      </c>
      <c r="AF1251">
        <f t="shared" ca="1" si="549"/>
        <v>52432.278337665237</v>
      </c>
      <c r="AI1251">
        <v>0</v>
      </c>
      <c r="AJ1251">
        <v>0</v>
      </c>
      <c r="AK1251">
        <f t="shared" si="550"/>
        <v>0</v>
      </c>
      <c r="AL1251">
        <f t="shared" si="559"/>
        <v>0</v>
      </c>
      <c r="AM1251">
        <f t="shared" ca="1" si="551"/>
        <v>2.6560383008097266E-7</v>
      </c>
      <c r="AN1251" t="str">
        <f t="shared" ca="1" si="552"/>
        <v>Subcritical</v>
      </c>
      <c r="AO1251">
        <f t="shared" ca="1" si="553"/>
        <v>2.2562304480281055E-12</v>
      </c>
    </row>
    <row r="1252" spans="1:41" x14ac:dyDescent="0.35">
      <c r="A1252">
        <v>1103</v>
      </c>
      <c r="B1252">
        <v>1101.8889999999999</v>
      </c>
      <c r="C1252">
        <v>616076.85600000003</v>
      </c>
      <c r="D1252">
        <v>3096902.14</v>
      </c>
      <c r="E1252">
        <v>632.01099999999997</v>
      </c>
      <c r="F1252">
        <v>5.2</v>
      </c>
      <c r="G1252">
        <v>0</v>
      </c>
      <c r="H1252" t="s">
        <v>186</v>
      </c>
      <c r="I1252">
        <v>5.7000000000000002E-2</v>
      </c>
      <c r="J1252">
        <f t="shared" si="554"/>
        <v>1</v>
      </c>
      <c r="K1252">
        <f t="shared" si="555"/>
        <v>51</v>
      </c>
      <c r="L1252">
        <f t="shared" ca="1" si="556"/>
        <v>51797.843837663619</v>
      </c>
      <c r="M1252">
        <f t="shared" ca="1" si="533"/>
        <v>269348.78795585083</v>
      </c>
      <c r="N1252">
        <f t="shared" ca="1" si="534"/>
        <v>2.5998694991876676</v>
      </c>
      <c r="O1252">
        <f t="shared" ca="1" si="535"/>
        <v>1.8934557080078435E-4</v>
      </c>
      <c r="P1252">
        <f t="shared" ca="1" si="536"/>
        <v>52429.854837663617</v>
      </c>
      <c r="Q1252">
        <f t="shared" ca="1" si="537"/>
        <v>52429.854837665443</v>
      </c>
      <c r="R1252">
        <f t="shared" ca="1" si="538"/>
        <v>2.2564415439646509E-12</v>
      </c>
      <c r="S1252">
        <f t="shared" ca="1" si="557"/>
        <v>5.0000000192085281E-4</v>
      </c>
      <c r="T1252">
        <f t="shared" ca="1" si="558"/>
        <v>1</v>
      </c>
      <c r="U1252">
        <f t="shared" ca="1" si="539"/>
        <v>51800.26683766341</v>
      </c>
      <c r="V1252">
        <f t="shared" ca="1" si="540"/>
        <v>269361.38755584974</v>
      </c>
      <c r="W1252">
        <f t="shared" ca="1" si="541"/>
        <v>2.5998695052916441</v>
      </c>
      <c r="X1252">
        <f t="shared" ca="1" si="542"/>
        <v>1.8933671400629237E-4</v>
      </c>
      <c r="Y1252">
        <f t="shared" ca="1" si="543"/>
        <v>52432.277837663409</v>
      </c>
      <c r="Z1252">
        <f t="shared" ca="1" si="544"/>
        <v>52432.277837665235</v>
      </c>
      <c r="AA1252">
        <f t="shared" ca="1" si="545"/>
        <v>2.2562304480281055E-12</v>
      </c>
      <c r="AB1252">
        <f t="shared" ca="1" si="546"/>
        <v>-5.0000000192085281E-4</v>
      </c>
      <c r="AC1252">
        <f t="shared" ca="1" si="547"/>
        <v>1</v>
      </c>
      <c r="AD1252">
        <f ca="1">IF(V32="Supercritical",L1252,IF(V32="Subcritical",U1252,IF(AND(T1252=1,AC1252=1),IF((((F1252)*(L1252)^2)/2+(G1252)*(L1252)^3/3+(ABS(K1252)^2)/($I$5*MAX(((F1252)+(G1252)*(L1252))*(L1252),0.000001)))&gt;=(((F1252)*(U1252)^2)/2+(G1252)*(U1252)^3/3+(ABS(K1252)^2)/($I$5*MAX(((F1252)+(G1252)*(U1252))*(U1252),0.000001))),L1252,U1252),IF(T1252=1,L1252,IF(AC1252=1,U1252,MAX($D$16,POWER((ABS(K1252)^2)/($I$5*MAX(F1252,0.1)^2),1/3)))))))</f>
        <v>51800.26683766341</v>
      </c>
      <c r="AE1252">
        <f t="shared" ca="1" si="548"/>
        <v>52432.277837663409</v>
      </c>
      <c r="AF1252">
        <f t="shared" ca="1" si="549"/>
        <v>52432.277837665235</v>
      </c>
      <c r="AI1252">
        <v>0</v>
      </c>
      <c r="AJ1252">
        <v>0</v>
      </c>
      <c r="AK1252">
        <f t="shared" si="550"/>
        <v>0</v>
      </c>
      <c r="AL1252">
        <f t="shared" si="559"/>
        <v>0</v>
      </c>
      <c r="AM1252">
        <f t="shared" ca="1" si="551"/>
        <v>2.6560383008097266E-7</v>
      </c>
      <c r="AN1252" t="str">
        <f t="shared" ca="1" si="552"/>
        <v>Subcritical</v>
      </c>
      <c r="AO1252">
        <f t="shared" ca="1" si="553"/>
        <v>2.2562304480281055E-12</v>
      </c>
    </row>
    <row r="1253" spans="1:41" x14ac:dyDescent="0.35">
      <c r="A1253">
        <v>1104</v>
      </c>
      <c r="B1253">
        <v>1102.8889999999999</v>
      </c>
      <c r="C1253">
        <v>616076.81299999997</v>
      </c>
      <c r="D1253">
        <v>3096901.1409999998</v>
      </c>
      <c r="E1253">
        <v>632.01049999999998</v>
      </c>
      <c r="F1253">
        <v>5.2</v>
      </c>
      <c r="G1253">
        <v>0</v>
      </c>
      <c r="H1253" t="s">
        <v>186</v>
      </c>
      <c r="I1253">
        <v>5.7000000000000002E-2</v>
      </c>
      <c r="J1253">
        <f t="shared" si="554"/>
        <v>1</v>
      </c>
      <c r="K1253">
        <f t="shared" si="555"/>
        <v>51</v>
      </c>
      <c r="L1253">
        <f t="shared" ca="1" si="556"/>
        <v>51797.843837663619</v>
      </c>
      <c r="M1253">
        <f t="shared" ca="1" si="533"/>
        <v>269348.78795585083</v>
      </c>
      <c r="N1253">
        <f t="shared" ca="1" si="534"/>
        <v>2.5998694991876676</v>
      </c>
      <c r="O1253">
        <f t="shared" ca="1" si="535"/>
        <v>1.8934557080078435E-4</v>
      </c>
      <c r="P1253">
        <f t="shared" ca="1" si="536"/>
        <v>52429.854337663615</v>
      </c>
      <c r="Q1253">
        <f t="shared" ca="1" si="537"/>
        <v>52429.854337665442</v>
      </c>
      <c r="R1253">
        <f t="shared" ca="1" si="538"/>
        <v>2.2564415439646509E-12</v>
      </c>
      <c r="S1253">
        <f t="shared" ca="1" si="557"/>
        <v>5.0000000192085281E-4</v>
      </c>
      <c r="T1253">
        <f t="shared" ca="1" si="558"/>
        <v>1</v>
      </c>
      <c r="U1253">
        <f t="shared" ca="1" si="539"/>
        <v>51800.26683766341</v>
      </c>
      <c r="V1253">
        <f t="shared" ca="1" si="540"/>
        <v>269361.38755584974</v>
      </c>
      <c r="W1253">
        <f t="shared" ca="1" si="541"/>
        <v>2.5998695052916441</v>
      </c>
      <c r="X1253">
        <f t="shared" ca="1" si="542"/>
        <v>1.8933671400629237E-4</v>
      </c>
      <c r="Y1253">
        <f t="shared" ca="1" si="543"/>
        <v>52432.277337663407</v>
      </c>
      <c r="Z1253">
        <f t="shared" ca="1" si="544"/>
        <v>52432.277337665233</v>
      </c>
      <c r="AA1253">
        <f t="shared" ca="1" si="545"/>
        <v>2.2562304480281055E-12</v>
      </c>
      <c r="AB1253">
        <f t="shared" ca="1" si="546"/>
        <v>-4.999999946448952E-4</v>
      </c>
      <c r="AC1253">
        <f t="shared" ca="1" si="547"/>
        <v>1</v>
      </c>
      <c r="AD1253">
        <f ca="1">IF(V32="Supercritical",L1253,IF(V32="Subcritical",U1253,IF(AND(T1253=1,AC1253=1),IF((((F1253)*(L1253)^2)/2+(G1253)*(L1253)^3/3+(ABS(K1253)^2)/($I$5*MAX(((F1253)+(G1253)*(L1253))*(L1253),0.000001)))&gt;=(((F1253)*(U1253)^2)/2+(G1253)*(U1253)^3/3+(ABS(K1253)^2)/($I$5*MAX(((F1253)+(G1253)*(U1253))*(U1253),0.000001))),L1253,U1253),IF(T1253=1,L1253,IF(AC1253=1,U1253,MAX($D$16,POWER((ABS(K1253)^2)/($I$5*MAX(F1253,0.1)^2),1/3)))))))</f>
        <v>51800.26683766341</v>
      </c>
      <c r="AE1253">
        <f t="shared" ca="1" si="548"/>
        <v>52432.277337663407</v>
      </c>
      <c r="AF1253">
        <f t="shared" ca="1" si="549"/>
        <v>52432.277337665233</v>
      </c>
      <c r="AI1253">
        <v>0</v>
      </c>
      <c r="AJ1253">
        <v>0</v>
      </c>
      <c r="AK1253">
        <f t="shared" si="550"/>
        <v>0</v>
      </c>
      <c r="AL1253">
        <f t="shared" si="559"/>
        <v>0</v>
      </c>
      <c r="AM1253">
        <f t="shared" ca="1" si="551"/>
        <v>2.6560383008097266E-7</v>
      </c>
      <c r="AN1253" t="str">
        <f t="shared" ca="1" si="552"/>
        <v>Subcritical</v>
      </c>
      <c r="AO1253">
        <f t="shared" ca="1" si="553"/>
        <v>2.2562304480281055E-12</v>
      </c>
    </row>
    <row r="1254" spans="1:41" x14ac:dyDescent="0.35">
      <c r="A1254">
        <v>1105</v>
      </c>
      <c r="B1254">
        <v>1103.8889999999999</v>
      </c>
      <c r="C1254">
        <v>616076.77099999995</v>
      </c>
      <c r="D1254">
        <v>3096900.142</v>
      </c>
      <c r="E1254">
        <v>632.01</v>
      </c>
      <c r="F1254">
        <v>5.2</v>
      </c>
      <c r="G1254">
        <v>0</v>
      </c>
      <c r="H1254" t="s">
        <v>186</v>
      </c>
      <c r="I1254">
        <v>0</v>
      </c>
      <c r="J1254">
        <f t="shared" si="554"/>
        <v>1</v>
      </c>
      <c r="K1254">
        <f t="shared" si="555"/>
        <v>51</v>
      </c>
      <c r="L1254">
        <f t="shared" ca="1" si="556"/>
        <v>51797.843837663619</v>
      </c>
      <c r="M1254">
        <f t="shared" ca="1" si="533"/>
        <v>269348.78795585083</v>
      </c>
      <c r="N1254">
        <f t="shared" ca="1" si="534"/>
        <v>2.5998694991876676</v>
      </c>
      <c r="O1254">
        <f t="shared" ca="1" si="535"/>
        <v>1.8934557080078435E-4</v>
      </c>
      <c r="P1254">
        <f t="shared" ca="1" si="536"/>
        <v>52429.853837663621</v>
      </c>
      <c r="Q1254">
        <f t="shared" ca="1" si="537"/>
        <v>52429.853837665447</v>
      </c>
      <c r="R1254">
        <f t="shared" ca="1" si="538"/>
        <v>2.2564415439646509E-12</v>
      </c>
      <c r="S1254">
        <f t="shared" ca="1" si="557"/>
        <v>4.999999946448952E-4</v>
      </c>
      <c r="T1254">
        <f t="shared" ca="1" si="558"/>
        <v>1</v>
      </c>
      <c r="U1254">
        <f t="shared" ca="1" si="539"/>
        <v>51800.26683766341</v>
      </c>
      <c r="V1254">
        <f t="shared" ca="1" si="540"/>
        <v>269361.38755584974</v>
      </c>
      <c r="W1254">
        <f t="shared" ca="1" si="541"/>
        <v>2.5998695052916441</v>
      </c>
      <c r="X1254">
        <f t="shared" ca="1" si="542"/>
        <v>1.8933671400629237E-4</v>
      </c>
      <c r="Y1254">
        <f t="shared" ca="1" si="543"/>
        <v>52432.276837663412</v>
      </c>
      <c r="Z1254">
        <f t="shared" ca="1" si="544"/>
        <v>52432.276837665238</v>
      </c>
      <c r="AA1254">
        <f t="shared" ca="1" si="545"/>
        <v>2.2562304480281055E-12</v>
      </c>
      <c r="AB1254">
        <f t="shared" ca="1" si="546"/>
        <v>-5.0000000192085281E-4</v>
      </c>
      <c r="AC1254">
        <f t="shared" ca="1" si="547"/>
        <v>1</v>
      </c>
      <c r="AD1254">
        <f ca="1">IF(V32="Supercritical",L1254,IF(V32="Subcritical",U1254,IF(AND(T1254=1,AC1254=1),IF((((F1254)*(L1254)^2)/2+(G1254)*(L1254)^3/3+(ABS(K1254)^2)/($I$5*MAX(((F1254)+(G1254)*(L1254))*(L1254),0.000001)))&gt;=(((F1254)*(U1254)^2)/2+(G1254)*(U1254)^3/3+(ABS(K1254)^2)/($I$5*MAX(((F1254)+(G1254)*(U1254))*(U1254),0.000001))),L1254,U1254),IF(T1254=1,L1254,IF(AC1254=1,U1254,MAX($D$16,POWER((ABS(K1254)^2)/($I$5*MAX(F1254,0.1)^2),1/3)))))))</f>
        <v>51800.26683766341</v>
      </c>
      <c r="AE1254">
        <f t="shared" ca="1" si="548"/>
        <v>52432.276837663412</v>
      </c>
      <c r="AF1254">
        <f t="shared" ca="1" si="549"/>
        <v>52432.276837665238</v>
      </c>
      <c r="AI1254">
        <v>0</v>
      </c>
      <c r="AJ1254">
        <v>0</v>
      </c>
      <c r="AK1254">
        <f t="shared" si="550"/>
        <v>0</v>
      </c>
      <c r="AL1254">
        <f t="shared" si="559"/>
        <v>0</v>
      </c>
      <c r="AM1254">
        <f t="shared" ca="1" si="551"/>
        <v>2.6560383008097266E-7</v>
      </c>
      <c r="AN1254" t="str">
        <f t="shared" ca="1" si="552"/>
        <v>Subcritical</v>
      </c>
      <c r="AO1254">
        <f t="shared" ca="1" si="553"/>
        <v>2.2562304480281055E-12</v>
      </c>
    </row>
    <row r="1255" spans="1:41" x14ac:dyDescent="0.35">
      <c r="A1255">
        <v>1106</v>
      </c>
      <c r="B1255">
        <v>1104.8889999999999</v>
      </c>
      <c r="C1255">
        <v>616076.72900000005</v>
      </c>
      <c r="D1255">
        <v>3096899.1430000002</v>
      </c>
      <c r="E1255">
        <v>632.0095</v>
      </c>
      <c r="F1255">
        <v>5.2</v>
      </c>
      <c r="G1255">
        <v>0</v>
      </c>
      <c r="H1255" t="s">
        <v>186</v>
      </c>
      <c r="I1255">
        <v>2E-3</v>
      </c>
      <c r="J1255">
        <f t="shared" si="554"/>
        <v>1</v>
      </c>
      <c r="K1255">
        <f t="shared" si="555"/>
        <v>51</v>
      </c>
      <c r="L1255">
        <f t="shared" ca="1" si="556"/>
        <v>51797.843837663619</v>
      </c>
      <c r="M1255">
        <f t="shared" ca="1" si="533"/>
        <v>269348.78795585083</v>
      </c>
      <c r="N1255">
        <f t="shared" ca="1" si="534"/>
        <v>2.5998694991876676</v>
      </c>
      <c r="O1255">
        <f t="shared" ca="1" si="535"/>
        <v>1.8934557080078435E-4</v>
      </c>
      <c r="P1255">
        <f t="shared" ca="1" si="536"/>
        <v>52429.853337663619</v>
      </c>
      <c r="Q1255">
        <f t="shared" ca="1" si="537"/>
        <v>52429.853337665445</v>
      </c>
      <c r="R1255">
        <f t="shared" ca="1" si="538"/>
        <v>2.2564415439646509E-12</v>
      </c>
      <c r="S1255">
        <f t="shared" ca="1" si="557"/>
        <v>5.0000000192085281E-4</v>
      </c>
      <c r="T1255">
        <f t="shared" ca="1" si="558"/>
        <v>1</v>
      </c>
      <c r="U1255">
        <f t="shared" ca="1" si="539"/>
        <v>51800.26683766341</v>
      </c>
      <c r="V1255">
        <f t="shared" ca="1" si="540"/>
        <v>269361.38755584974</v>
      </c>
      <c r="W1255">
        <f t="shared" ca="1" si="541"/>
        <v>2.5998695052916441</v>
      </c>
      <c r="X1255">
        <f t="shared" ca="1" si="542"/>
        <v>1.8933671400629237E-4</v>
      </c>
      <c r="Y1255">
        <f t="shared" ca="1" si="543"/>
        <v>52432.27633766341</v>
      </c>
      <c r="Z1255">
        <f t="shared" ca="1" si="544"/>
        <v>52432.276337665236</v>
      </c>
      <c r="AA1255">
        <f t="shared" ca="1" si="545"/>
        <v>2.2562304480281055E-12</v>
      </c>
      <c r="AB1255">
        <f t="shared" ca="1" si="546"/>
        <v>-5.0000000192085281E-4</v>
      </c>
      <c r="AC1255">
        <f t="shared" ca="1" si="547"/>
        <v>1</v>
      </c>
      <c r="AD1255">
        <f ca="1">IF(V32="Supercritical",L1255,IF(V32="Subcritical",U1255,IF(AND(T1255=1,AC1255=1),IF((((F1255)*(L1255)^2)/2+(G1255)*(L1255)^3/3+(ABS(K1255)^2)/($I$5*MAX(((F1255)+(G1255)*(L1255))*(L1255),0.000001)))&gt;=(((F1255)*(U1255)^2)/2+(G1255)*(U1255)^3/3+(ABS(K1255)^2)/($I$5*MAX(((F1255)+(G1255)*(U1255))*(U1255),0.000001))),L1255,U1255),IF(T1255=1,L1255,IF(AC1255=1,U1255,MAX($D$16,POWER((ABS(K1255)^2)/($I$5*MAX(F1255,0.1)^2),1/3)))))))</f>
        <v>51800.26683766341</v>
      </c>
      <c r="AE1255">
        <f t="shared" ca="1" si="548"/>
        <v>52432.27633766341</v>
      </c>
      <c r="AF1255">
        <f t="shared" ca="1" si="549"/>
        <v>52432.276337665236</v>
      </c>
      <c r="AI1255">
        <v>0</v>
      </c>
      <c r="AJ1255">
        <v>0</v>
      </c>
      <c r="AK1255">
        <f t="shared" si="550"/>
        <v>0</v>
      </c>
      <c r="AL1255">
        <f t="shared" si="559"/>
        <v>0</v>
      </c>
      <c r="AM1255">
        <f t="shared" ca="1" si="551"/>
        <v>2.6560383008097266E-7</v>
      </c>
      <c r="AN1255" t="str">
        <f t="shared" ca="1" si="552"/>
        <v>Subcritical</v>
      </c>
      <c r="AO1255">
        <f t="shared" ca="1" si="553"/>
        <v>2.2562304480281055E-12</v>
      </c>
    </row>
    <row r="1256" spans="1:41" x14ac:dyDescent="0.35">
      <c r="A1256">
        <v>1107</v>
      </c>
      <c r="B1256">
        <v>1105.8900000000001</v>
      </c>
      <c r="C1256">
        <v>616076.68700000003</v>
      </c>
      <c r="D1256">
        <v>3096898.1430000002</v>
      </c>
      <c r="E1256">
        <v>632.00900000000001</v>
      </c>
      <c r="F1256">
        <v>5.2</v>
      </c>
      <c r="G1256">
        <v>0</v>
      </c>
      <c r="H1256" t="s">
        <v>186</v>
      </c>
      <c r="I1256">
        <v>0.06</v>
      </c>
      <c r="J1256">
        <f t="shared" si="554"/>
        <v>1.0010000000002037</v>
      </c>
      <c r="K1256">
        <f t="shared" si="555"/>
        <v>51</v>
      </c>
      <c r="L1256">
        <f t="shared" ca="1" si="556"/>
        <v>51797.843837663619</v>
      </c>
      <c r="M1256">
        <f t="shared" ca="1" si="533"/>
        <v>269348.78795585083</v>
      </c>
      <c r="N1256">
        <f t="shared" ca="1" si="534"/>
        <v>2.5998694991876676</v>
      </c>
      <c r="O1256">
        <f t="shared" ca="1" si="535"/>
        <v>1.8934557080078435E-4</v>
      </c>
      <c r="P1256">
        <f t="shared" ca="1" si="536"/>
        <v>52429.852837663617</v>
      </c>
      <c r="Q1256">
        <f t="shared" ca="1" si="537"/>
        <v>52429.852837665443</v>
      </c>
      <c r="R1256">
        <f t="shared" ca="1" si="538"/>
        <v>2.2564415439646509E-12</v>
      </c>
      <c r="S1256">
        <f t="shared" ca="1" si="557"/>
        <v>5.0000000192085281E-4</v>
      </c>
      <c r="T1256">
        <f t="shared" ca="1" si="558"/>
        <v>1</v>
      </c>
      <c r="U1256">
        <f t="shared" ca="1" si="539"/>
        <v>51800.26683766341</v>
      </c>
      <c r="V1256">
        <f t="shared" ca="1" si="540"/>
        <v>269361.38755584974</v>
      </c>
      <c r="W1256">
        <f t="shared" ca="1" si="541"/>
        <v>2.5998695052916441</v>
      </c>
      <c r="X1256">
        <f t="shared" ca="1" si="542"/>
        <v>1.8933671400629237E-4</v>
      </c>
      <c r="Y1256">
        <f t="shared" ca="1" si="543"/>
        <v>52432.275837663408</v>
      </c>
      <c r="Z1256">
        <f t="shared" ca="1" si="544"/>
        <v>52432.275837665235</v>
      </c>
      <c r="AA1256">
        <f t="shared" ca="1" si="545"/>
        <v>2.2562304480281055E-12</v>
      </c>
      <c r="AB1256">
        <f t="shared" ca="1" si="546"/>
        <v>-4.999999946448952E-4</v>
      </c>
      <c r="AC1256">
        <f t="shared" ca="1" si="547"/>
        <v>1</v>
      </c>
      <c r="AD1256">
        <f ca="1">IF(V32="Supercritical",L1256,IF(V32="Subcritical",U1256,IF(AND(T1256=1,AC1256=1),IF((((F1256)*(L1256)^2)/2+(G1256)*(L1256)^3/3+(ABS(K1256)^2)/($I$5*MAX(((F1256)+(G1256)*(L1256))*(L1256),0.000001)))&gt;=(((F1256)*(U1256)^2)/2+(G1256)*(U1256)^3/3+(ABS(K1256)^2)/($I$5*MAX(((F1256)+(G1256)*(U1256))*(U1256),0.000001))),L1256,U1256),IF(T1256=1,L1256,IF(AC1256=1,U1256,MAX($D$16,POWER((ABS(K1256)^2)/($I$5*MAX(F1256,0.1)^2),1/3)))))))</f>
        <v>51800.26683766341</v>
      </c>
      <c r="AE1256">
        <f t="shared" ca="1" si="548"/>
        <v>52432.275837663408</v>
      </c>
      <c r="AF1256">
        <f t="shared" ca="1" si="549"/>
        <v>52432.275837665235</v>
      </c>
      <c r="AI1256">
        <v>0</v>
      </c>
      <c r="AJ1256">
        <v>0</v>
      </c>
      <c r="AK1256">
        <f t="shared" si="550"/>
        <v>0</v>
      </c>
      <c r="AL1256">
        <f t="shared" si="559"/>
        <v>0</v>
      </c>
      <c r="AM1256">
        <f t="shared" ca="1" si="551"/>
        <v>2.6560383008097266E-7</v>
      </c>
      <c r="AN1256" t="str">
        <f t="shared" ca="1" si="552"/>
        <v>Subcritical</v>
      </c>
      <c r="AO1256">
        <f t="shared" ca="1" si="553"/>
        <v>2.2562304480281055E-12</v>
      </c>
    </row>
    <row r="1257" spans="1:41" x14ac:dyDescent="0.35">
      <c r="A1257">
        <v>1108</v>
      </c>
      <c r="B1257">
        <v>1106.8900000000001</v>
      </c>
      <c r="C1257">
        <v>616076.64399999997</v>
      </c>
      <c r="D1257">
        <v>3096897.1439999999</v>
      </c>
      <c r="E1257">
        <v>632.00850000000003</v>
      </c>
      <c r="F1257">
        <v>5.2</v>
      </c>
      <c r="G1257">
        <v>0</v>
      </c>
      <c r="H1257" t="s">
        <v>186</v>
      </c>
      <c r="I1257">
        <v>5.7000000000000002E-2</v>
      </c>
      <c r="J1257">
        <f t="shared" si="554"/>
        <v>1</v>
      </c>
      <c r="K1257">
        <f t="shared" si="555"/>
        <v>51</v>
      </c>
      <c r="L1257">
        <f t="shared" ca="1" si="556"/>
        <v>51797.843837663619</v>
      </c>
      <c r="M1257">
        <f t="shared" ca="1" si="533"/>
        <v>269348.78795585083</v>
      </c>
      <c r="N1257">
        <f t="shared" ca="1" si="534"/>
        <v>2.5998694991876676</v>
      </c>
      <c r="O1257">
        <f t="shared" ca="1" si="535"/>
        <v>1.8934557080078435E-4</v>
      </c>
      <c r="P1257">
        <f t="shared" ca="1" si="536"/>
        <v>52429.852337663622</v>
      </c>
      <c r="Q1257">
        <f t="shared" ca="1" si="537"/>
        <v>52429.852337665448</v>
      </c>
      <c r="R1257">
        <f t="shared" ca="1" si="538"/>
        <v>2.2564415439646509E-12</v>
      </c>
      <c r="S1257">
        <f t="shared" ca="1" si="557"/>
        <v>4.999999946448952E-4</v>
      </c>
      <c r="T1257">
        <f t="shared" ca="1" si="558"/>
        <v>1</v>
      </c>
      <c r="U1257">
        <f t="shared" ca="1" si="539"/>
        <v>51800.26683766341</v>
      </c>
      <c r="V1257">
        <f t="shared" ca="1" si="540"/>
        <v>269361.38755584974</v>
      </c>
      <c r="W1257">
        <f t="shared" ca="1" si="541"/>
        <v>2.5998695052916441</v>
      </c>
      <c r="X1257">
        <f t="shared" ca="1" si="542"/>
        <v>1.8933671400629237E-4</v>
      </c>
      <c r="Y1257">
        <f t="shared" ca="1" si="543"/>
        <v>52432.275337663414</v>
      </c>
      <c r="Z1257">
        <f t="shared" ca="1" si="544"/>
        <v>52432.27533766524</v>
      </c>
      <c r="AA1257">
        <f t="shared" ca="1" si="545"/>
        <v>2.2562304480281055E-12</v>
      </c>
      <c r="AB1257">
        <f t="shared" ca="1" si="546"/>
        <v>-5.0000000192085281E-4</v>
      </c>
      <c r="AC1257">
        <f t="shared" ca="1" si="547"/>
        <v>1</v>
      </c>
      <c r="AD1257">
        <f ca="1">IF(V32="Supercritical",L1257,IF(V32="Subcritical",U1257,IF(AND(T1257=1,AC1257=1),IF((((F1257)*(L1257)^2)/2+(G1257)*(L1257)^3/3+(ABS(K1257)^2)/($I$5*MAX(((F1257)+(G1257)*(L1257))*(L1257),0.000001)))&gt;=(((F1257)*(U1257)^2)/2+(G1257)*(U1257)^3/3+(ABS(K1257)^2)/($I$5*MAX(((F1257)+(G1257)*(U1257))*(U1257),0.000001))),L1257,U1257),IF(T1257=1,L1257,IF(AC1257=1,U1257,MAX($D$16,POWER((ABS(K1257)^2)/($I$5*MAX(F1257,0.1)^2),1/3)))))))</f>
        <v>51800.26683766341</v>
      </c>
      <c r="AE1257">
        <f t="shared" ca="1" si="548"/>
        <v>52432.275337663414</v>
      </c>
      <c r="AF1257">
        <f t="shared" ca="1" si="549"/>
        <v>52432.27533766524</v>
      </c>
      <c r="AI1257">
        <v>0</v>
      </c>
      <c r="AJ1257">
        <v>0</v>
      </c>
      <c r="AK1257">
        <f t="shared" si="550"/>
        <v>0</v>
      </c>
      <c r="AL1257">
        <f t="shared" si="559"/>
        <v>0</v>
      </c>
      <c r="AM1257">
        <f t="shared" ca="1" si="551"/>
        <v>2.6560383008097266E-7</v>
      </c>
      <c r="AN1257" t="str">
        <f t="shared" ca="1" si="552"/>
        <v>Subcritical</v>
      </c>
      <c r="AO1257">
        <f t="shared" ca="1" si="553"/>
        <v>2.2562304480281055E-12</v>
      </c>
    </row>
    <row r="1258" spans="1:41" x14ac:dyDescent="0.35">
      <c r="A1258">
        <v>1109</v>
      </c>
      <c r="B1258">
        <v>1107.8900000000001</v>
      </c>
      <c r="C1258">
        <v>616076.60199999996</v>
      </c>
      <c r="D1258">
        <v>3096896.145</v>
      </c>
      <c r="E1258">
        <v>632.00800000000004</v>
      </c>
      <c r="F1258">
        <v>5.2</v>
      </c>
      <c r="G1258">
        <v>0</v>
      </c>
      <c r="H1258" t="s">
        <v>186</v>
      </c>
      <c r="I1258">
        <v>0</v>
      </c>
      <c r="J1258">
        <f t="shared" si="554"/>
        <v>1</v>
      </c>
      <c r="K1258">
        <f t="shared" si="555"/>
        <v>51</v>
      </c>
      <c r="L1258">
        <f t="shared" ca="1" si="556"/>
        <v>51797.843837663619</v>
      </c>
      <c r="M1258">
        <f t="shared" ca="1" si="533"/>
        <v>269348.78795585083</v>
      </c>
      <c r="N1258">
        <f t="shared" ca="1" si="534"/>
        <v>2.5998694991876676</v>
      </c>
      <c r="O1258">
        <f t="shared" ca="1" si="535"/>
        <v>1.8934557080078435E-4</v>
      </c>
      <c r="P1258">
        <f t="shared" ca="1" si="536"/>
        <v>52429.85183766362</v>
      </c>
      <c r="Q1258">
        <f t="shared" ca="1" si="537"/>
        <v>52429.851837665447</v>
      </c>
      <c r="R1258">
        <f t="shared" ca="1" si="538"/>
        <v>2.2564415439646509E-12</v>
      </c>
      <c r="S1258">
        <f t="shared" ca="1" si="557"/>
        <v>5.0000000192085281E-4</v>
      </c>
      <c r="T1258">
        <f t="shared" ca="1" si="558"/>
        <v>1</v>
      </c>
      <c r="U1258">
        <f t="shared" ca="1" si="539"/>
        <v>51800.26683766341</v>
      </c>
      <c r="V1258">
        <f t="shared" ca="1" si="540"/>
        <v>269361.38755584974</v>
      </c>
      <c r="W1258">
        <f t="shared" ca="1" si="541"/>
        <v>2.5998695052916441</v>
      </c>
      <c r="X1258">
        <f t="shared" ca="1" si="542"/>
        <v>1.8933671400629237E-4</v>
      </c>
      <c r="Y1258">
        <f t="shared" ca="1" si="543"/>
        <v>52432.274837663412</v>
      </c>
      <c r="Z1258">
        <f t="shared" ca="1" si="544"/>
        <v>52432.274837665238</v>
      </c>
      <c r="AA1258">
        <f t="shared" ca="1" si="545"/>
        <v>2.2562304480281055E-12</v>
      </c>
      <c r="AB1258">
        <f t="shared" ca="1" si="546"/>
        <v>-5.0000000192085281E-4</v>
      </c>
      <c r="AC1258">
        <f t="shared" ca="1" si="547"/>
        <v>1</v>
      </c>
      <c r="AD1258">
        <f ca="1">IF(V32="Supercritical",L1258,IF(V32="Subcritical",U1258,IF(AND(T1258=1,AC1258=1),IF((((F1258)*(L1258)^2)/2+(G1258)*(L1258)^3/3+(ABS(K1258)^2)/($I$5*MAX(((F1258)+(G1258)*(L1258))*(L1258),0.000001)))&gt;=(((F1258)*(U1258)^2)/2+(G1258)*(U1258)^3/3+(ABS(K1258)^2)/($I$5*MAX(((F1258)+(G1258)*(U1258))*(U1258),0.000001))),L1258,U1258),IF(T1258=1,L1258,IF(AC1258=1,U1258,MAX($D$16,POWER((ABS(K1258)^2)/($I$5*MAX(F1258,0.1)^2),1/3)))))))</f>
        <v>51800.26683766341</v>
      </c>
      <c r="AE1258">
        <f t="shared" ca="1" si="548"/>
        <v>52432.274837663412</v>
      </c>
      <c r="AF1258">
        <f t="shared" ca="1" si="549"/>
        <v>52432.274837665238</v>
      </c>
      <c r="AI1258">
        <v>0</v>
      </c>
      <c r="AJ1258">
        <v>0</v>
      </c>
      <c r="AK1258">
        <f t="shared" si="550"/>
        <v>0</v>
      </c>
      <c r="AL1258">
        <f t="shared" si="559"/>
        <v>0</v>
      </c>
      <c r="AM1258">
        <f t="shared" ca="1" si="551"/>
        <v>2.6560383008097266E-7</v>
      </c>
      <c r="AN1258" t="str">
        <f t="shared" ca="1" si="552"/>
        <v>Subcritical</v>
      </c>
      <c r="AO1258">
        <f t="shared" ca="1" si="553"/>
        <v>2.2562304480281055E-12</v>
      </c>
    </row>
    <row r="1259" spans="1:41" x14ac:dyDescent="0.35">
      <c r="A1259">
        <v>1110</v>
      </c>
      <c r="B1259">
        <v>1108.8889999999999</v>
      </c>
      <c r="C1259">
        <v>616076.56000000006</v>
      </c>
      <c r="D1259">
        <v>3096895.1460000002</v>
      </c>
      <c r="E1259">
        <v>632.00750000000005</v>
      </c>
      <c r="F1259">
        <v>5.2</v>
      </c>
      <c r="G1259">
        <v>0</v>
      </c>
      <c r="H1259" t="s">
        <v>186</v>
      </c>
      <c r="I1259">
        <v>0</v>
      </c>
      <c r="J1259">
        <f t="shared" si="554"/>
        <v>0.99899999999979627</v>
      </c>
      <c r="K1259">
        <f t="shared" si="555"/>
        <v>51</v>
      </c>
      <c r="L1259">
        <f t="shared" ca="1" si="556"/>
        <v>51797.843837663619</v>
      </c>
      <c r="M1259">
        <f t="shared" ca="1" si="533"/>
        <v>269348.78795585083</v>
      </c>
      <c r="N1259">
        <f t="shared" ca="1" si="534"/>
        <v>2.5998694991876676</v>
      </c>
      <c r="O1259">
        <f t="shared" ca="1" si="535"/>
        <v>1.8934557080078435E-4</v>
      </c>
      <c r="P1259">
        <f t="shared" ca="1" si="536"/>
        <v>52429.851337663618</v>
      </c>
      <c r="Q1259">
        <f t="shared" ca="1" si="537"/>
        <v>52429.851337665445</v>
      </c>
      <c r="R1259">
        <f t="shared" ca="1" si="538"/>
        <v>2.2564415439646509E-12</v>
      </c>
      <c r="S1259">
        <f t="shared" ca="1" si="557"/>
        <v>5.0000000192085281E-4</v>
      </c>
      <c r="T1259">
        <f t="shared" ca="1" si="558"/>
        <v>1</v>
      </c>
      <c r="U1259">
        <f t="shared" ca="1" si="539"/>
        <v>51800.26683766341</v>
      </c>
      <c r="V1259">
        <f t="shared" ca="1" si="540"/>
        <v>269361.38755584974</v>
      </c>
      <c r="W1259">
        <f t="shared" ca="1" si="541"/>
        <v>2.5998695052916441</v>
      </c>
      <c r="X1259">
        <f t="shared" ca="1" si="542"/>
        <v>1.8933671400629237E-4</v>
      </c>
      <c r="Y1259">
        <f t="shared" ca="1" si="543"/>
        <v>52432.27433766341</v>
      </c>
      <c r="Z1259">
        <f t="shared" ca="1" si="544"/>
        <v>52432.274337665236</v>
      </c>
      <c r="AA1259">
        <f t="shared" ca="1" si="545"/>
        <v>2.2562304480281055E-12</v>
      </c>
      <c r="AB1259">
        <f t="shared" ca="1" si="546"/>
        <v>-5.0000000192085281E-4</v>
      </c>
      <c r="AC1259">
        <f t="shared" ca="1" si="547"/>
        <v>1</v>
      </c>
      <c r="AD1259">
        <f ca="1">IF(V32="Supercritical",L1259,IF(V32="Subcritical",U1259,IF(AND(T1259=1,AC1259=1),IF((((F1259)*(L1259)^2)/2+(G1259)*(L1259)^3/3+(ABS(K1259)^2)/($I$5*MAX(((F1259)+(G1259)*(L1259))*(L1259),0.000001)))&gt;=(((F1259)*(U1259)^2)/2+(G1259)*(U1259)^3/3+(ABS(K1259)^2)/($I$5*MAX(((F1259)+(G1259)*(U1259))*(U1259),0.000001))),L1259,U1259),IF(T1259=1,L1259,IF(AC1259=1,U1259,MAX($D$16,POWER((ABS(K1259)^2)/($I$5*MAX(F1259,0.1)^2),1/3)))))))</f>
        <v>51800.26683766341</v>
      </c>
      <c r="AE1259">
        <f t="shared" ca="1" si="548"/>
        <v>52432.27433766341</v>
      </c>
      <c r="AF1259">
        <f t="shared" ca="1" si="549"/>
        <v>52432.274337665236</v>
      </c>
      <c r="AI1259">
        <v>0</v>
      </c>
      <c r="AJ1259">
        <v>0</v>
      </c>
      <c r="AK1259">
        <f t="shared" si="550"/>
        <v>0</v>
      </c>
      <c r="AL1259">
        <f t="shared" si="559"/>
        <v>0</v>
      </c>
      <c r="AM1259">
        <f t="shared" ca="1" si="551"/>
        <v>2.6560383008097266E-7</v>
      </c>
      <c r="AN1259" t="str">
        <f t="shared" ca="1" si="552"/>
        <v>Subcritical</v>
      </c>
      <c r="AO1259">
        <f t="shared" ca="1" si="553"/>
        <v>2.2562304480281055E-12</v>
      </c>
    </row>
    <row r="1260" spans="1:41" x14ac:dyDescent="0.35">
      <c r="A1260">
        <v>1111</v>
      </c>
      <c r="B1260">
        <v>1109.8889999999999</v>
      </c>
      <c r="C1260">
        <v>616076.51800000004</v>
      </c>
      <c r="D1260">
        <v>3096894.1469999999</v>
      </c>
      <c r="E1260">
        <v>632.00699999999995</v>
      </c>
      <c r="F1260">
        <v>5.2</v>
      </c>
      <c r="G1260">
        <v>0</v>
      </c>
      <c r="H1260" t="s">
        <v>186</v>
      </c>
      <c r="I1260">
        <v>5.7000000000000002E-2</v>
      </c>
      <c r="J1260">
        <f t="shared" si="554"/>
        <v>1</v>
      </c>
      <c r="K1260">
        <f t="shared" si="555"/>
        <v>51</v>
      </c>
      <c r="L1260">
        <f t="shared" ca="1" si="556"/>
        <v>51797.843837663619</v>
      </c>
      <c r="M1260">
        <f t="shared" ca="1" si="533"/>
        <v>269348.78795585083</v>
      </c>
      <c r="N1260">
        <f t="shared" ca="1" si="534"/>
        <v>2.5998694991876676</v>
      </c>
      <c r="O1260">
        <f t="shared" ca="1" si="535"/>
        <v>1.8934557080078435E-4</v>
      </c>
      <c r="P1260">
        <f t="shared" ca="1" si="536"/>
        <v>52429.850837663616</v>
      </c>
      <c r="Q1260">
        <f t="shared" ca="1" si="537"/>
        <v>52429.850837665443</v>
      </c>
      <c r="R1260">
        <f t="shared" ca="1" si="538"/>
        <v>2.2564415439646509E-12</v>
      </c>
      <c r="S1260">
        <f t="shared" ca="1" si="557"/>
        <v>5.0000000192085281E-4</v>
      </c>
      <c r="T1260">
        <f t="shared" ca="1" si="558"/>
        <v>1</v>
      </c>
      <c r="U1260">
        <f t="shared" ca="1" si="539"/>
        <v>51800.26683766341</v>
      </c>
      <c r="V1260">
        <f t="shared" ca="1" si="540"/>
        <v>269361.38755584974</v>
      </c>
      <c r="W1260">
        <f t="shared" ca="1" si="541"/>
        <v>2.5998695052916441</v>
      </c>
      <c r="X1260">
        <f t="shared" ca="1" si="542"/>
        <v>1.8933671400629237E-4</v>
      </c>
      <c r="Y1260">
        <f t="shared" ca="1" si="543"/>
        <v>52432.273837663408</v>
      </c>
      <c r="Z1260">
        <f t="shared" ca="1" si="544"/>
        <v>52432.273837665234</v>
      </c>
      <c r="AA1260">
        <f t="shared" ca="1" si="545"/>
        <v>2.2562304480281055E-12</v>
      </c>
      <c r="AB1260">
        <f t="shared" ca="1" si="546"/>
        <v>-4.999999946448952E-4</v>
      </c>
      <c r="AC1260">
        <f t="shared" ca="1" si="547"/>
        <v>1</v>
      </c>
      <c r="AD1260">
        <f ca="1">IF(V32="Supercritical",L1260,IF(V32="Subcritical",U1260,IF(AND(T1260=1,AC1260=1),IF((((F1260)*(L1260)^2)/2+(G1260)*(L1260)^3/3+(ABS(K1260)^2)/($I$5*MAX(((F1260)+(G1260)*(L1260))*(L1260),0.000001)))&gt;=(((F1260)*(U1260)^2)/2+(G1260)*(U1260)^3/3+(ABS(K1260)^2)/($I$5*MAX(((F1260)+(G1260)*(U1260))*(U1260),0.000001))),L1260,U1260),IF(T1260=1,L1260,IF(AC1260=1,U1260,MAX($D$16,POWER((ABS(K1260)^2)/($I$5*MAX(F1260,0.1)^2),1/3)))))))</f>
        <v>51800.26683766341</v>
      </c>
      <c r="AE1260">
        <f t="shared" ca="1" si="548"/>
        <v>52432.273837663408</v>
      </c>
      <c r="AF1260">
        <f t="shared" ca="1" si="549"/>
        <v>52432.273837665234</v>
      </c>
      <c r="AI1260">
        <v>0</v>
      </c>
      <c r="AJ1260">
        <v>0</v>
      </c>
      <c r="AK1260">
        <f t="shared" si="550"/>
        <v>0</v>
      </c>
      <c r="AL1260">
        <f t="shared" si="559"/>
        <v>0</v>
      </c>
      <c r="AM1260">
        <f t="shared" ca="1" si="551"/>
        <v>2.6560383008097266E-7</v>
      </c>
      <c r="AN1260" t="str">
        <f t="shared" ca="1" si="552"/>
        <v>Subcritical</v>
      </c>
      <c r="AO1260">
        <f t="shared" ca="1" si="553"/>
        <v>2.2562304480281055E-12</v>
      </c>
    </row>
    <row r="1261" spans="1:41" x14ac:dyDescent="0.35">
      <c r="A1261">
        <v>1112</v>
      </c>
      <c r="B1261">
        <v>1110.8889999999999</v>
      </c>
      <c r="C1261">
        <v>616076.47499999998</v>
      </c>
      <c r="D1261">
        <v>3096893.148</v>
      </c>
      <c r="E1261">
        <v>632.00649999999996</v>
      </c>
      <c r="F1261">
        <v>5.2</v>
      </c>
      <c r="G1261">
        <v>0</v>
      </c>
      <c r="H1261" t="s">
        <v>186</v>
      </c>
      <c r="I1261">
        <v>5.7000000000000002E-2</v>
      </c>
      <c r="J1261">
        <f t="shared" si="554"/>
        <v>1</v>
      </c>
      <c r="K1261">
        <f t="shared" si="555"/>
        <v>51</v>
      </c>
      <c r="L1261">
        <f t="shared" ca="1" si="556"/>
        <v>51797.843837663619</v>
      </c>
      <c r="M1261">
        <f t="shared" ca="1" si="533"/>
        <v>269348.78795585083</v>
      </c>
      <c r="N1261">
        <f t="shared" ca="1" si="534"/>
        <v>2.5998694991876676</v>
      </c>
      <c r="O1261">
        <f t="shared" ca="1" si="535"/>
        <v>1.8934557080078435E-4</v>
      </c>
      <c r="P1261">
        <f t="shared" ca="1" si="536"/>
        <v>52429.850337663622</v>
      </c>
      <c r="Q1261">
        <f t="shared" ca="1" si="537"/>
        <v>52429.850337665448</v>
      </c>
      <c r="R1261">
        <f t="shared" ca="1" si="538"/>
        <v>2.2564415439646509E-12</v>
      </c>
      <c r="S1261">
        <f t="shared" ca="1" si="557"/>
        <v>4.999999946448952E-4</v>
      </c>
      <c r="T1261">
        <f t="shared" ca="1" si="558"/>
        <v>1</v>
      </c>
      <c r="U1261">
        <f t="shared" ca="1" si="539"/>
        <v>51800.26683766341</v>
      </c>
      <c r="V1261">
        <f t="shared" ca="1" si="540"/>
        <v>269361.38755584974</v>
      </c>
      <c r="W1261">
        <f t="shared" ca="1" si="541"/>
        <v>2.5998695052916441</v>
      </c>
      <c r="X1261">
        <f t="shared" ca="1" si="542"/>
        <v>1.8933671400629237E-4</v>
      </c>
      <c r="Y1261">
        <f t="shared" ca="1" si="543"/>
        <v>52432.273337663413</v>
      </c>
      <c r="Z1261">
        <f t="shared" ca="1" si="544"/>
        <v>52432.27333766524</v>
      </c>
      <c r="AA1261">
        <f t="shared" ca="1" si="545"/>
        <v>2.2562304480281055E-12</v>
      </c>
      <c r="AB1261">
        <f t="shared" ca="1" si="546"/>
        <v>-5.0000000192085281E-4</v>
      </c>
      <c r="AC1261">
        <f t="shared" ca="1" si="547"/>
        <v>1</v>
      </c>
      <c r="AD1261">
        <f ca="1">IF(V32="Supercritical",L1261,IF(V32="Subcritical",U1261,IF(AND(T1261=1,AC1261=1),IF((((F1261)*(L1261)^2)/2+(G1261)*(L1261)^3/3+(ABS(K1261)^2)/($I$5*MAX(((F1261)+(G1261)*(L1261))*(L1261),0.000001)))&gt;=(((F1261)*(U1261)^2)/2+(G1261)*(U1261)^3/3+(ABS(K1261)^2)/($I$5*MAX(((F1261)+(G1261)*(U1261))*(U1261),0.000001))),L1261,U1261),IF(T1261=1,L1261,IF(AC1261=1,U1261,MAX($D$16,POWER((ABS(K1261)^2)/($I$5*MAX(F1261,0.1)^2),1/3)))))))</f>
        <v>51800.26683766341</v>
      </c>
      <c r="AE1261">
        <f t="shared" ca="1" si="548"/>
        <v>52432.273337663413</v>
      </c>
      <c r="AF1261">
        <f t="shared" ca="1" si="549"/>
        <v>52432.27333766524</v>
      </c>
      <c r="AI1261">
        <v>0</v>
      </c>
      <c r="AJ1261">
        <v>0</v>
      </c>
      <c r="AK1261">
        <f t="shared" si="550"/>
        <v>0</v>
      </c>
      <c r="AL1261">
        <f t="shared" si="559"/>
        <v>0</v>
      </c>
      <c r="AM1261">
        <f t="shared" ca="1" si="551"/>
        <v>2.6560383008097266E-7</v>
      </c>
      <c r="AN1261" t="str">
        <f t="shared" ca="1" si="552"/>
        <v>Subcritical</v>
      </c>
      <c r="AO1261">
        <f t="shared" ca="1" si="553"/>
        <v>2.2562304480281055E-12</v>
      </c>
    </row>
    <row r="1262" spans="1:41" x14ac:dyDescent="0.35">
      <c r="A1262">
        <v>1113</v>
      </c>
      <c r="B1262">
        <v>1111.8889999999999</v>
      </c>
      <c r="C1262">
        <v>616076.43299999996</v>
      </c>
      <c r="D1262">
        <v>3096892.1490000002</v>
      </c>
      <c r="E1262">
        <v>632.00599999999997</v>
      </c>
      <c r="F1262">
        <v>5.2</v>
      </c>
      <c r="G1262">
        <v>0</v>
      </c>
      <c r="H1262" t="s">
        <v>186</v>
      </c>
      <c r="I1262">
        <v>0</v>
      </c>
      <c r="J1262">
        <f t="shared" si="554"/>
        <v>1</v>
      </c>
      <c r="K1262">
        <f t="shared" si="555"/>
        <v>51</v>
      </c>
      <c r="L1262">
        <f t="shared" ca="1" si="556"/>
        <v>51797.843837663619</v>
      </c>
      <c r="M1262">
        <f t="shared" ca="1" si="533"/>
        <v>269348.78795585083</v>
      </c>
      <c r="N1262">
        <f t="shared" ca="1" si="534"/>
        <v>2.5998694991876676</v>
      </c>
      <c r="O1262">
        <f t="shared" ca="1" si="535"/>
        <v>1.8934557080078435E-4</v>
      </c>
      <c r="P1262">
        <f t="shared" ca="1" si="536"/>
        <v>52429.84983766362</v>
      </c>
      <c r="Q1262">
        <f t="shared" ca="1" si="537"/>
        <v>52429.849837665446</v>
      </c>
      <c r="R1262">
        <f t="shared" ca="1" si="538"/>
        <v>2.2564415439646509E-12</v>
      </c>
      <c r="S1262">
        <f t="shared" ca="1" si="557"/>
        <v>5.0000000192085281E-4</v>
      </c>
      <c r="T1262">
        <f t="shared" ca="1" si="558"/>
        <v>1</v>
      </c>
      <c r="U1262">
        <f t="shared" ca="1" si="539"/>
        <v>51800.26683766341</v>
      </c>
      <c r="V1262">
        <f t="shared" ca="1" si="540"/>
        <v>269361.38755584974</v>
      </c>
      <c r="W1262">
        <f t="shared" ca="1" si="541"/>
        <v>2.5998695052916441</v>
      </c>
      <c r="X1262">
        <f t="shared" ca="1" si="542"/>
        <v>1.8933671400629237E-4</v>
      </c>
      <c r="Y1262">
        <f t="shared" ca="1" si="543"/>
        <v>52432.272837663411</v>
      </c>
      <c r="Z1262">
        <f t="shared" ca="1" si="544"/>
        <v>52432.272837665238</v>
      </c>
      <c r="AA1262">
        <f t="shared" ca="1" si="545"/>
        <v>2.2562304480281055E-12</v>
      </c>
      <c r="AB1262">
        <f t="shared" ca="1" si="546"/>
        <v>-5.0000000192085281E-4</v>
      </c>
      <c r="AC1262">
        <f t="shared" ca="1" si="547"/>
        <v>1</v>
      </c>
      <c r="AD1262">
        <f ca="1">IF(V32="Supercritical",L1262,IF(V32="Subcritical",U1262,IF(AND(T1262=1,AC1262=1),IF((((F1262)*(L1262)^2)/2+(G1262)*(L1262)^3/3+(ABS(K1262)^2)/($I$5*MAX(((F1262)+(G1262)*(L1262))*(L1262),0.000001)))&gt;=(((F1262)*(U1262)^2)/2+(G1262)*(U1262)^3/3+(ABS(K1262)^2)/($I$5*MAX(((F1262)+(G1262)*(U1262))*(U1262),0.000001))),L1262,U1262),IF(T1262=1,L1262,IF(AC1262=1,U1262,MAX($D$16,POWER((ABS(K1262)^2)/($I$5*MAX(F1262,0.1)^2),1/3)))))))</f>
        <v>51800.26683766341</v>
      </c>
      <c r="AE1262">
        <f t="shared" ca="1" si="548"/>
        <v>52432.272837663411</v>
      </c>
      <c r="AF1262">
        <f t="shared" ca="1" si="549"/>
        <v>52432.272837665238</v>
      </c>
      <c r="AI1262">
        <v>0</v>
      </c>
      <c r="AJ1262">
        <v>0</v>
      </c>
      <c r="AK1262">
        <f t="shared" si="550"/>
        <v>0</v>
      </c>
      <c r="AL1262">
        <f t="shared" si="559"/>
        <v>0</v>
      </c>
      <c r="AM1262">
        <f t="shared" ca="1" si="551"/>
        <v>2.6560383008097266E-7</v>
      </c>
      <c r="AN1262" t="str">
        <f t="shared" ca="1" si="552"/>
        <v>Subcritical</v>
      </c>
      <c r="AO1262">
        <f t="shared" ca="1" si="553"/>
        <v>2.2562304480281055E-12</v>
      </c>
    </row>
    <row r="1263" spans="1:41" x14ac:dyDescent="0.35">
      <c r="A1263">
        <v>1114</v>
      </c>
      <c r="B1263">
        <v>1112.8889999999999</v>
      </c>
      <c r="C1263">
        <v>616076.39099999995</v>
      </c>
      <c r="D1263">
        <v>3096891.15</v>
      </c>
      <c r="E1263">
        <v>632.00549999999998</v>
      </c>
      <c r="F1263">
        <v>5.2</v>
      </c>
      <c r="G1263">
        <v>0</v>
      </c>
      <c r="H1263" t="s">
        <v>186</v>
      </c>
      <c r="I1263">
        <v>5.7000000000000002E-2</v>
      </c>
      <c r="J1263">
        <f t="shared" si="554"/>
        <v>1</v>
      </c>
      <c r="K1263">
        <f t="shared" si="555"/>
        <v>51</v>
      </c>
      <c r="L1263">
        <f t="shared" ca="1" si="556"/>
        <v>51797.843837663619</v>
      </c>
      <c r="M1263">
        <f t="shared" ca="1" si="533"/>
        <v>269348.78795585083</v>
      </c>
      <c r="N1263">
        <f t="shared" ca="1" si="534"/>
        <v>2.5998694991876676</v>
      </c>
      <c r="O1263">
        <f t="shared" ca="1" si="535"/>
        <v>1.8934557080078435E-4</v>
      </c>
      <c r="P1263">
        <f t="shared" ca="1" si="536"/>
        <v>52429.849337663618</v>
      </c>
      <c r="Q1263">
        <f t="shared" ca="1" si="537"/>
        <v>52429.849337665444</v>
      </c>
      <c r="R1263">
        <f t="shared" ca="1" si="538"/>
        <v>2.2564415439646509E-12</v>
      </c>
      <c r="S1263">
        <f t="shared" ca="1" si="557"/>
        <v>5.0000000192085281E-4</v>
      </c>
      <c r="T1263">
        <f t="shared" ca="1" si="558"/>
        <v>1</v>
      </c>
      <c r="U1263">
        <f t="shared" ca="1" si="539"/>
        <v>51800.26683766341</v>
      </c>
      <c r="V1263">
        <f t="shared" ca="1" si="540"/>
        <v>269361.38755584974</v>
      </c>
      <c r="W1263">
        <f t="shared" ca="1" si="541"/>
        <v>2.5998695052916441</v>
      </c>
      <c r="X1263">
        <f t="shared" ca="1" si="542"/>
        <v>1.8933671400629237E-4</v>
      </c>
      <c r="Y1263">
        <f t="shared" ca="1" si="543"/>
        <v>52432.272337663409</v>
      </c>
      <c r="Z1263">
        <f t="shared" ca="1" si="544"/>
        <v>52432.272337665236</v>
      </c>
      <c r="AA1263">
        <f t="shared" ca="1" si="545"/>
        <v>2.2562304480281055E-12</v>
      </c>
      <c r="AB1263">
        <f t="shared" ca="1" si="546"/>
        <v>-5.0000000192085281E-4</v>
      </c>
      <c r="AC1263">
        <f t="shared" ca="1" si="547"/>
        <v>1</v>
      </c>
      <c r="AD1263">
        <f ca="1">IF(V32="Supercritical",L1263,IF(V32="Subcritical",U1263,IF(AND(T1263=1,AC1263=1),IF((((F1263)*(L1263)^2)/2+(G1263)*(L1263)^3/3+(ABS(K1263)^2)/($I$5*MAX(((F1263)+(G1263)*(L1263))*(L1263),0.000001)))&gt;=(((F1263)*(U1263)^2)/2+(G1263)*(U1263)^3/3+(ABS(K1263)^2)/($I$5*MAX(((F1263)+(G1263)*(U1263))*(U1263),0.000001))),L1263,U1263),IF(T1263=1,L1263,IF(AC1263=1,U1263,MAX($D$16,POWER((ABS(K1263)^2)/($I$5*MAX(F1263,0.1)^2),1/3)))))))</f>
        <v>51800.26683766341</v>
      </c>
      <c r="AE1263">
        <f t="shared" ca="1" si="548"/>
        <v>52432.272337663409</v>
      </c>
      <c r="AF1263">
        <f t="shared" ca="1" si="549"/>
        <v>52432.272337665236</v>
      </c>
      <c r="AI1263">
        <v>0</v>
      </c>
      <c r="AJ1263">
        <v>0</v>
      </c>
      <c r="AK1263">
        <f t="shared" si="550"/>
        <v>0</v>
      </c>
      <c r="AL1263">
        <f t="shared" si="559"/>
        <v>0</v>
      </c>
      <c r="AM1263">
        <f t="shared" ca="1" si="551"/>
        <v>2.6560383008097266E-7</v>
      </c>
      <c r="AN1263" t="str">
        <f t="shared" ca="1" si="552"/>
        <v>Subcritical</v>
      </c>
      <c r="AO1263">
        <f t="shared" ca="1" si="553"/>
        <v>2.2562304480281055E-12</v>
      </c>
    </row>
    <row r="1264" spans="1:41" x14ac:dyDescent="0.35">
      <c r="A1264">
        <v>1115</v>
      </c>
      <c r="B1264">
        <v>1113.8889999999999</v>
      </c>
      <c r="C1264">
        <v>616076.348</v>
      </c>
      <c r="D1264">
        <v>3096890.1510000001</v>
      </c>
      <c r="E1264">
        <v>632.005</v>
      </c>
      <c r="F1264">
        <v>5.2</v>
      </c>
      <c r="G1264">
        <v>0</v>
      </c>
      <c r="H1264" t="s">
        <v>186</v>
      </c>
      <c r="I1264">
        <v>0.06</v>
      </c>
      <c r="J1264">
        <f t="shared" si="554"/>
        <v>1</v>
      </c>
      <c r="K1264">
        <f t="shared" si="555"/>
        <v>51</v>
      </c>
      <c r="L1264">
        <f t="shared" ca="1" si="556"/>
        <v>51797.843837663619</v>
      </c>
      <c r="M1264">
        <f t="shared" ca="1" si="533"/>
        <v>269348.78795585083</v>
      </c>
      <c r="N1264">
        <f t="shared" ca="1" si="534"/>
        <v>2.5998694991876676</v>
      </c>
      <c r="O1264">
        <f t="shared" ca="1" si="535"/>
        <v>1.8934557080078435E-4</v>
      </c>
      <c r="P1264">
        <f t="shared" ca="1" si="536"/>
        <v>52429.848837663616</v>
      </c>
      <c r="Q1264">
        <f t="shared" ca="1" si="537"/>
        <v>52429.848837665442</v>
      </c>
      <c r="R1264">
        <f t="shared" ca="1" si="538"/>
        <v>2.2564415439646509E-12</v>
      </c>
      <c r="S1264">
        <f t="shared" ca="1" si="557"/>
        <v>5.0000000192085281E-4</v>
      </c>
      <c r="T1264">
        <f t="shared" ca="1" si="558"/>
        <v>1</v>
      </c>
      <c r="U1264">
        <f t="shared" ca="1" si="539"/>
        <v>51800.26683766341</v>
      </c>
      <c r="V1264">
        <f t="shared" ca="1" si="540"/>
        <v>269361.38755584974</v>
      </c>
      <c r="W1264">
        <f t="shared" ca="1" si="541"/>
        <v>2.5998695052916441</v>
      </c>
      <c r="X1264">
        <f t="shared" ca="1" si="542"/>
        <v>1.8933671400629237E-4</v>
      </c>
      <c r="Y1264">
        <f t="shared" ca="1" si="543"/>
        <v>52432.271837663407</v>
      </c>
      <c r="Z1264">
        <f t="shared" ca="1" si="544"/>
        <v>52432.271837665234</v>
      </c>
      <c r="AA1264">
        <f t="shared" ca="1" si="545"/>
        <v>2.2562304480281055E-12</v>
      </c>
      <c r="AB1264">
        <f t="shared" ca="1" si="546"/>
        <v>-4.999999946448952E-4</v>
      </c>
      <c r="AC1264">
        <f t="shared" ca="1" si="547"/>
        <v>1</v>
      </c>
      <c r="AD1264">
        <f ca="1">IF(V32="Supercritical",L1264,IF(V32="Subcritical",U1264,IF(AND(T1264=1,AC1264=1),IF((((F1264)*(L1264)^2)/2+(G1264)*(L1264)^3/3+(ABS(K1264)^2)/($I$5*MAX(((F1264)+(G1264)*(L1264))*(L1264),0.000001)))&gt;=(((F1264)*(U1264)^2)/2+(G1264)*(U1264)^3/3+(ABS(K1264)^2)/($I$5*MAX(((F1264)+(G1264)*(U1264))*(U1264),0.000001))),L1264,U1264),IF(T1264=1,L1264,IF(AC1264=1,U1264,MAX($D$16,POWER((ABS(K1264)^2)/($I$5*MAX(F1264,0.1)^2),1/3)))))))</f>
        <v>51800.26683766341</v>
      </c>
      <c r="AE1264">
        <f t="shared" ca="1" si="548"/>
        <v>52432.271837663407</v>
      </c>
      <c r="AF1264">
        <f t="shared" ca="1" si="549"/>
        <v>52432.271837665234</v>
      </c>
      <c r="AI1264">
        <v>0</v>
      </c>
      <c r="AJ1264">
        <v>0</v>
      </c>
      <c r="AK1264">
        <f t="shared" si="550"/>
        <v>0</v>
      </c>
      <c r="AL1264">
        <f t="shared" si="559"/>
        <v>0</v>
      </c>
      <c r="AM1264">
        <f t="shared" ca="1" si="551"/>
        <v>2.6560383008097266E-7</v>
      </c>
      <c r="AN1264" t="str">
        <f t="shared" ca="1" si="552"/>
        <v>Subcritical</v>
      </c>
      <c r="AO1264">
        <f t="shared" ca="1" si="553"/>
        <v>2.2562304480281055E-12</v>
      </c>
    </row>
    <row r="1265" spans="1:41" x14ac:dyDescent="0.35">
      <c r="A1265">
        <v>1116</v>
      </c>
      <c r="B1265">
        <v>1114.8900000000001</v>
      </c>
      <c r="C1265">
        <v>616076.30599999998</v>
      </c>
      <c r="D1265">
        <v>3096889.1510000001</v>
      </c>
      <c r="E1265">
        <v>632.00450000000001</v>
      </c>
      <c r="F1265">
        <v>5.2</v>
      </c>
      <c r="G1265">
        <v>0</v>
      </c>
      <c r="H1265" t="s">
        <v>186</v>
      </c>
      <c r="I1265">
        <v>2E-3</v>
      </c>
      <c r="J1265">
        <f t="shared" si="554"/>
        <v>1.0010000000002037</v>
      </c>
      <c r="K1265">
        <f t="shared" si="555"/>
        <v>51</v>
      </c>
      <c r="L1265">
        <f t="shared" ca="1" si="556"/>
        <v>51797.843837663619</v>
      </c>
      <c r="M1265">
        <f t="shared" ca="1" si="533"/>
        <v>269348.78795585083</v>
      </c>
      <c r="N1265">
        <f t="shared" ca="1" si="534"/>
        <v>2.5998694991876676</v>
      </c>
      <c r="O1265">
        <f t="shared" ca="1" si="535"/>
        <v>1.8934557080078435E-4</v>
      </c>
      <c r="P1265">
        <f t="shared" ca="1" si="536"/>
        <v>52429.848337663621</v>
      </c>
      <c r="Q1265">
        <f t="shared" ca="1" si="537"/>
        <v>52429.848337665448</v>
      </c>
      <c r="R1265">
        <f t="shared" ca="1" si="538"/>
        <v>2.2564415439646509E-12</v>
      </c>
      <c r="S1265">
        <f t="shared" ca="1" si="557"/>
        <v>4.999999946448952E-4</v>
      </c>
      <c r="T1265">
        <f t="shared" ca="1" si="558"/>
        <v>1</v>
      </c>
      <c r="U1265">
        <f t="shared" ca="1" si="539"/>
        <v>51800.26683766341</v>
      </c>
      <c r="V1265">
        <f t="shared" ca="1" si="540"/>
        <v>269361.38755584974</v>
      </c>
      <c r="W1265">
        <f t="shared" ca="1" si="541"/>
        <v>2.5998695052916441</v>
      </c>
      <c r="X1265">
        <f t="shared" ca="1" si="542"/>
        <v>1.8933671400629237E-4</v>
      </c>
      <c r="Y1265">
        <f t="shared" ca="1" si="543"/>
        <v>52432.271337663413</v>
      </c>
      <c r="Z1265">
        <f t="shared" ca="1" si="544"/>
        <v>52432.271337665239</v>
      </c>
      <c r="AA1265">
        <f t="shared" ca="1" si="545"/>
        <v>2.2562304480281055E-12</v>
      </c>
      <c r="AB1265">
        <f t="shared" ca="1" si="546"/>
        <v>-5.0000000192085281E-4</v>
      </c>
      <c r="AC1265">
        <f t="shared" ca="1" si="547"/>
        <v>1</v>
      </c>
      <c r="AD1265">
        <f ca="1">IF(V32="Supercritical",L1265,IF(V32="Subcritical",U1265,IF(AND(T1265=1,AC1265=1),IF((((F1265)*(L1265)^2)/2+(G1265)*(L1265)^3/3+(ABS(K1265)^2)/($I$5*MAX(((F1265)+(G1265)*(L1265))*(L1265),0.000001)))&gt;=(((F1265)*(U1265)^2)/2+(G1265)*(U1265)^3/3+(ABS(K1265)^2)/($I$5*MAX(((F1265)+(G1265)*(U1265))*(U1265),0.000001))),L1265,U1265),IF(T1265=1,L1265,IF(AC1265=1,U1265,MAX($D$16,POWER((ABS(K1265)^2)/($I$5*MAX(F1265,0.1)^2),1/3)))))))</f>
        <v>51800.26683766341</v>
      </c>
      <c r="AE1265">
        <f t="shared" ca="1" si="548"/>
        <v>52432.271337663413</v>
      </c>
      <c r="AF1265">
        <f t="shared" ca="1" si="549"/>
        <v>52432.271337665239</v>
      </c>
      <c r="AI1265">
        <v>0</v>
      </c>
      <c r="AJ1265">
        <v>0</v>
      </c>
      <c r="AK1265">
        <f t="shared" si="550"/>
        <v>0</v>
      </c>
      <c r="AL1265">
        <f t="shared" si="559"/>
        <v>0</v>
      </c>
      <c r="AM1265">
        <f t="shared" ca="1" si="551"/>
        <v>2.6560383008097266E-7</v>
      </c>
      <c r="AN1265" t="str">
        <f t="shared" ca="1" si="552"/>
        <v>Subcritical</v>
      </c>
      <c r="AO1265">
        <f t="shared" ca="1" si="553"/>
        <v>2.2562304480281055E-12</v>
      </c>
    </row>
    <row r="1266" spans="1:41" x14ac:dyDescent="0.35">
      <c r="A1266">
        <v>1117</v>
      </c>
      <c r="B1266">
        <v>1115.8900000000001</v>
      </c>
      <c r="C1266">
        <v>616076.26399999997</v>
      </c>
      <c r="D1266">
        <v>3096888.1519999998</v>
      </c>
      <c r="E1266">
        <v>632.00400000000002</v>
      </c>
      <c r="F1266">
        <v>5.2</v>
      </c>
      <c r="G1266">
        <v>0</v>
      </c>
      <c r="H1266" t="s">
        <v>186</v>
      </c>
      <c r="I1266">
        <v>0</v>
      </c>
      <c r="J1266">
        <f t="shared" si="554"/>
        <v>1</v>
      </c>
      <c r="K1266">
        <f t="shared" si="555"/>
        <v>51</v>
      </c>
      <c r="L1266">
        <f t="shared" ca="1" si="556"/>
        <v>51797.843837663619</v>
      </c>
      <c r="M1266">
        <f t="shared" ca="1" si="533"/>
        <v>269348.78795585083</v>
      </c>
      <c r="N1266">
        <f t="shared" ca="1" si="534"/>
        <v>2.5998694991876676</v>
      </c>
      <c r="O1266">
        <f t="shared" ca="1" si="535"/>
        <v>1.8934557080078435E-4</v>
      </c>
      <c r="P1266">
        <f t="shared" ca="1" si="536"/>
        <v>52429.847837663619</v>
      </c>
      <c r="Q1266">
        <f t="shared" ca="1" si="537"/>
        <v>52429.847837665446</v>
      </c>
      <c r="R1266">
        <f t="shared" ca="1" si="538"/>
        <v>2.2564415439646509E-12</v>
      </c>
      <c r="S1266">
        <f t="shared" ca="1" si="557"/>
        <v>5.0000000192085281E-4</v>
      </c>
      <c r="T1266">
        <f t="shared" ca="1" si="558"/>
        <v>1</v>
      </c>
      <c r="U1266">
        <f t="shared" ca="1" si="539"/>
        <v>51800.26683766341</v>
      </c>
      <c r="V1266">
        <f t="shared" ca="1" si="540"/>
        <v>269361.38755584974</v>
      </c>
      <c r="W1266">
        <f t="shared" ca="1" si="541"/>
        <v>2.5998695052916441</v>
      </c>
      <c r="X1266">
        <f t="shared" ca="1" si="542"/>
        <v>1.8933671400629237E-4</v>
      </c>
      <c r="Y1266">
        <f t="shared" ca="1" si="543"/>
        <v>52432.270837663411</v>
      </c>
      <c r="Z1266">
        <f t="shared" ca="1" si="544"/>
        <v>52432.270837665237</v>
      </c>
      <c r="AA1266">
        <f t="shared" ca="1" si="545"/>
        <v>2.2562304480281055E-12</v>
      </c>
      <c r="AB1266">
        <f t="shared" ca="1" si="546"/>
        <v>-5.0000000192085281E-4</v>
      </c>
      <c r="AC1266">
        <f t="shared" ca="1" si="547"/>
        <v>1</v>
      </c>
      <c r="AD1266">
        <f ca="1">IF(V32="Supercritical",L1266,IF(V32="Subcritical",U1266,IF(AND(T1266=1,AC1266=1),IF((((F1266)*(L1266)^2)/2+(G1266)*(L1266)^3/3+(ABS(K1266)^2)/($I$5*MAX(((F1266)+(G1266)*(L1266))*(L1266),0.000001)))&gt;=(((F1266)*(U1266)^2)/2+(G1266)*(U1266)^3/3+(ABS(K1266)^2)/($I$5*MAX(((F1266)+(G1266)*(U1266))*(U1266),0.000001))),L1266,U1266),IF(T1266=1,L1266,IF(AC1266=1,U1266,MAX($D$16,POWER((ABS(K1266)^2)/($I$5*MAX(F1266,0.1)^2),1/3)))))))</f>
        <v>51800.26683766341</v>
      </c>
      <c r="AE1266">
        <f t="shared" ca="1" si="548"/>
        <v>52432.270837663411</v>
      </c>
      <c r="AF1266">
        <f t="shared" ca="1" si="549"/>
        <v>52432.270837665237</v>
      </c>
      <c r="AI1266">
        <v>0</v>
      </c>
      <c r="AJ1266">
        <v>0</v>
      </c>
      <c r="AK1266">
        <f t="shared" si="550"/>
        <v>0</v>
      </c>
      <c r="AL1266">
        <f t="shared" si="559"/>
        <v>0</v>
      </c>
      <c r="AM1266">
        <f t="shared" ca="1" si="551"/>
        <v>2.6560383008097266E-7</v>
      </c>
      <c r="AN1266" t="str">
        <f t="shared" ca="1" si="552"/>
        <v>Subcritical</v>
      </c>
      <c r="AO1266">
        <f t="shared" ca="1" si="553"/>
        <v>2.2562304480281055E-12</v>
      </c>
    </row>
    <row r="1267" spans="1:41" x14ac:dyDescent="0.35">
      <c r="A1267">
        <v>1118</v>
      </c>
      <c r="B1267">
        <v>1116.8900000000001</v>
      </c>
      <c r="C1267">
        <v>616076.22199999995</v>
      </c>
      <c r="D1267">
        <v>3096887.1529999999</v>
      </c>
      <c r="E1267">
        <v>632.00350000000003</v>
      </c>
      <c r="F1267">
        <v>5.2</v>
      </c>
      <c r="G1267">
        <v>0</v>
      </c>
      <c r="H1267" t="s">
        <v>186</v>
      </c>
      <c r="I1267">
        <v>5.7000000000000002E-2</v>
      </c>
      <c r="J1267">
        <f t="shared" si="554"/>
        <v>1</v>
      </c>
      <c r="K1267">
        <f t="shared" si="555"/>
        <v>51</v>
      </c>
      <c r="L1267">
        <f t="shared" ca="1" si="556"/>
        <v>51797.843837663619</v>
      </c>
      <c r="M1267">
        <f t="shared" ca="1" si="533"/>
        <v>269348.78795585083</v>
      </c>
      <c r="N1267">
        <f t="shared" ca="1" si="534"/>
        <v>2.5998694991876676</v>
      </c>
      <c r="O1267">
        <f t="shared" ca="1" si="535"/>
        <v>1.8934557080078435E-4</v>
      </c>
      <c r="P1267">
        <f t="shared" ca="1" si="536"/>
        <v>52429.847337663618</v>
      </c>
      <c r="Q1267">
        <f t="shared" ca="1" si="537"/>
        <v>52429.847337665444</v>
      </c>
      <c r="R1267">
        <f t="shared" ca="1" si="538"/>
        <v>2.2564415439646509E-12</v>
      </c>
      <c r="S1267">
        <f t="shared" ca="1" si="557"/>
        <v>5.0000000192085281E-4</v>
      </c>
      <c r="T1267">
        <f t="shared" ca="1" si="558"/>
        <v>1</v>
      </c>
      <c r="U1267">
        <f t="shared" ca="1" si="539"/>
        <v>51800.26683766341</v>
      </c>
      <c r="V1267">
        <f t="shared" ca="1" si="540"/>
        <v>269361.38755584974</v>
      </c>
      <c r="W1267">
        <f t="shared" ca="1" si="541"/>
        <v>2.5998695052916441</v>
      </c>
      <c r="X1267">
        <f t="shared" ca="1" si="542"/>
        <v>1.8933671400629237E-4</v>
      </c>
      <c r="Y1267">
        <f t="shared" ca="1" si="543"/>
        <v>52432.270337663409</v>
      </c>
      <c r="Z1267">
        <f t="shared" ca="1" si="544"/>
        <v>52432.270337665235</v>
      </c>
      <c r="AA1267">
        <f t="shared" ca="1" si="545"/>
        <v>2.2562304480281055E-12</v>
      </c>
      <c r="AB1267">
        <f t="shared" ca="1" si="546"/>
        <v>-5.0000000192085281E-4</v>
      </c>
      <c r="AC1267">
        <f t="shared" ca="1" si="547"/>
        <v>1</v>
      </c>
      <c r="AD1267">
        <f ca="1">IF(V32="Supercritical",L1267,IF(V32="Subcritical",U1267,IF(AND(T1267=1,AC1267=1),IF((((F1267)*(L1267)^2)/2+(G1267)*(L1267)^3/3+(ABS(K1267)^2)/($I$5*MAX(((F1267)+(G1267)*(L1267))*(L1267),0.000001)))&gt;=(((F1267)*(U1267)^2)/2+(G1267)*(U1267)^3/3+(ABS(K1267)^2)/($I$5*MAX(((F1267)+(G1267)*(U1267))*(U1267),0.000001))),L1267,U1267),IF(T1267=1,L1267,IF(AC1267=1,U1267,MAX($D$16,POWER((ABS(K1267)^2)/($I$5*MAX(F1267,0.1)^2),1/3)))))))</f>
        <v>51800.26683766341</v>
      </c>
      <c r="AE1267">
        <f t="shared" ca="1" si="548"/>
        <v>52432.270337663409</v>
      </c>
      <c r="AF1267">
        <f t="shared" ca="1" si="549"/>
        <v>52432.270337665235</v>
      </c>
      <c r="AI1267">
        <v>0</v>
      </c>
      <c r="AJ1267">
        <v>0</v>
      </c>
      <c r="AK1267">
        <f t="shared" si="550"/>
        <v>0</v>
      </c>
      <c r="AL1267">
        <f t="shared" si="559"/>
        <v>0</v>
      </c>
      <c r="AM1267">
        <f t="shared" ca="1" si="551"/>
        <v>2.6560383008097266E-7</v>
      </c>
      <c r="AN1267" t="str">
        <f t="shared" ca="1" si="552"/>
        <v>Subcritical</v>
      </c>
      <c r="AO1267">
        <f t="shared" ca="1" si="553"/>
        <v>2.2562304480281055E-12</v>
      </c>
    </row>
    <row r="1268" spans="1:41" x14ac:dyDescent="0.35">
      <c r="A1268">
        <v>1119</v>
      </c>
      <c r="B1268">
        <v>1117.8889999999999</v>
      </c>
      <c r="C1268">
        <v>616076.179</v>
      </c>
      <c r="D1268">
        <v>3096886.1540000001</v>
      </c>
      <c r="E1268">
        <v>632.00300000000004</v>
      </c>
      <c r="F1268">
        <v>5.2</v>
      </c>
      <c r="G1268">
        <v>0</v>
      </c>
      <c r="H1268" t="s">
        <v>186</v>
      </c>
      <c r="I1268">
        <v>5.7000000000000002E-2</v>
      </c>
      <c r="J1268">
        <f t="shared" si="554"/>
        <v>0.99899999999979627</v>
      </c>
      <c r="K1268">
        <f t="shared" si="555"/>
        <v>51</v>
      </c>
      <c r="L1268">
        <f t="shared" ca="1" si="556"/>
        <v>51797.843837663619</v>
      </c>
      <c r="M1268">
        <f t="shared" ca="1" si="533"/>
        <v>269348.78795585083</v>
      </c>
      <c r="N1268">
        <f t="shared" ca="1" si="534"/>
        <v>2.5998694991876676</v>
      </c>
      <c r="O1268">
        <f t="shared" ca="1" si="535"/>
        <v>1.8934557080078435E-4</v>
      </c>
      <c r="P1268">
        <f t="shared" ca="1" si="536"/>
        <v>52429.846837663616</v>
      </c>
      <c r="Q1268">
        <f t="shared" ca="1" si="537"/>
        <v>52429.846837665442</v>
      </c>
      <c r="R1268">
        <f t="shared" ca="1" si="538"/>
        <v>2.2564415439646509E-12</v>
      </c>
      <c r="S1268">
        <f t="shared" ca="1" si="557"/>
        <v>5.0000000192085281E-4</v>
      </c>
      <c r="T1268">
        <f t="shared" ca="1" si="558"/>
        <v>1</v>
      </c>
      <c r="U1268">
        <f t="shared" ca="1" si="539"/>
        <v>51800.26683766341</v>
      </c>
      <c r="V1268">
        <f t="shared" ca="1" si="540"/>
        <v>269361.38755584974</v>
      </c>
      <c r="W1268">
        <f t="shared" ca="1" si="541"/>
        <v>2.5998695052916441</v>
      </c>
      <c r="X1268">
        <f t="shared" ca="1" si="542"/>
        <v>1.8933671400629237E-4</v>
      </c>
      <c r="Y1268">
        <f t="shared" ca="1" si="543"/>
        <v>52432.269837663407</v>
      </c>
      <c r="Z1268">
        <f t="shared" ca="1" si="544"/>
        <v>52432.269837665233</v>
      </c>
      <c r="AA1268">
        <f t="shared" ca="1" si="545"/>
        <v>2.2562304480281055E-12</v>
      </c>
      <c r="AB1268">
        <f t="shared" ca="1" si="546"/>
        <v>-4.999999946448952E-4</v>
      </c>
      <c r="AC1268">
        <f t="shared" ca="1" si="547"/>
        <v>1</v>
      </c>
      <c r="AD1268">
        <f ca="1">IF(V32="Supercritical",L1268,IF(V32="Subcritical",U1268,IF(AND(T1268=1,AC1268=1),IF((((F1268)*(L1268)^2)/2+(G1268)*(L1268)^3/3+(ABS(K1268)^2)/($I$5*MAX(((F1268)+(G1268)*(L1268))*(L1268),0.000001)))&gt;=(((F1268)*(U1268)^2)/2+(G1268)*(U1268)^3/3+(ABS(K1268)^2)/($I$5*MAX(((F1268)+(G1268)*(U1268))*(U1268),0.000001))),L1268,U1268),IF(T1268=1,L1268,IF(AC1268=1,U1268,MAX($D$16,POWER((ABS(K1268)^2)/($I$5*MAX(F1268,0.1)^2),1/3)))))))</f>
        <v>51800.26683766341</v>
      </c>
      <c r="AE1268">
        <f t="shared" ca="1" si="548"/>
        <v>52432.269837663407</v>
      </c>
      <c r="AF1268">
        <f t="shared" ca="1" si="549"/>
        <v>52432.269837665233</v>
      </c>
      <c r="AI1268">
        <v>0</v>
      </c>
      <c r="AJ1268">
        <v>0</v>
      </c>
      <c r="AK1268">
        <f t="shared" si="550"/>
        <v>0</v>
      </c>
      <c r="AL1268">
        <f t="shared" si="559"/>
        <v>0</v>
      </c>
      <c r="AM1268">
        <f t="shared" ca="1" si="551"/>
        <v>2.6560383008097266E-7</v>
      </c>
      <c r="AN1268" t="str">
        <f t="shared" ca="1" si="552"/>
        <v>Subcritical</v>
      </c>
      <c r="AO1268">
        <f t="shared" ca="1" si="553"/>
        <v>2.2562304480281055E-12</v>
      </c>
    </row>
    <row r="1269" spans="1:41" x14ac:dyDescent="0.35">
      <c r="A1269">
        <v>1120</v>
      </c>
      <c r="B1269">
        <v>1118.8889999999999</v>
      </c>
      <c r="C1269">
        <v>616076.13699999999</v>
      </c>
      <c r="D1269">
        <v>3096885.1549999998</v>
      </c>
      <c r="E1269">
        <v>632.00250000000005</v>
      </c>
      <c r="F1269">
        <v>5.2</v>
      </c>
      <c r="G1269">
        <v>0</v>
      </c>
      <c r="H1269" t="s">
        <v>186</v>
      </c>
      <c r="I1269">
        <v>0</v>
      </c>
      <c r="J1269">
        <f t="shared" si="554"/>
        <v>1</v>
      </c>
      <c r="K1269">
        <f t="shared" si="555"/>
        <v>51</v>
      </c>
      <c r="L1269">
        <f t="shared" ca="1" si="556"/>
        <v>51797.843837663619</v>
      </c>
      <c r="M1269">
        <f t="shared" ca="1" si="533"/>
        <v>269348.78795585083</v>
      </c>
      <c r="N1269">
        <f t="shared" ca="1" si="534"/>
        <v>2.5998694991876676</v>
      </c>
      <c r="O1269">
        <f t="shared" ca="1" si="535"/>
        <v>1.8934557080078435E-4</v>
      </c>
      <c r="P1269">
        <f t="shared" ca="1" si="536"/>
        <v>52429.846337663621</v>
      </c>
      <c r="Q1269">
        <f t="shared" ca="1" si="537"/>
        <v>52429.846337665447</v>
      </c>
      <c r="R1269">
        <f t="shared" ca="1" si="538"/>
        <v>2.2564415439646509E-12</v>
      </c>
      <c r="S1269">
        <f t="shared" ca="1" si="557"/>
        <v>4.999999946448952E-4</v>
      </c>
      <c r="T1269">
        <f t="shared" ca="1" si="558"/>
        <v>1</v>
      </c>
      <c r="U1269">
        <f t="shared" ca="1" si="539"/>
        <v>51800.26683766341</v>
      </c>
      <c r="V1269">
        <f t="shared" ca="1" si="540"/>
        <v>269361.38755584974</v>
      </c>
      <c r="W1269">
        <f t="shared" ca="1" si="541"/>
        <v>2.5998695052916441</v>
      </c>
      <c r="X1269">
        <f t="shared" ca="1" si="542"/>
        <v>1.8933671400629237E-4</v>
      </c>
      <c r="Y1269">
        <f t="shared" ca="1" si="543"/>
        <v>52432.269337663412</v>
      </c>
      <c r="Z1269">
        <f t="shared" ca="1" si="544"/>
        <v>52432.269337665239</v>
      </c>
      <c r="AA1269">
        <f t="shared" ca="1" si="545"/>
        <v>2.2562304480281055E-12</v>
      </c>
      <c r="AB1269">
        <f t="shared" ca="1" si="546"/>
        <v>-5.0000000192085281E-4</v>
      </c>
      <c r="AC1269">
        <f t="shared" ca="1" si="547"/>
        <v>1</v>
      </c>
      <c r="AD1269">
        <f ca="1">IF(V32="Supercritical",L1269,IF(V32="Subcritical",U1269,IF(AND(T1269=1,AC1269=1),IF((((F1269)*(L1269)^2)/2+(G1269)*(L1269)^3/3+(ABS(K1269)^2)/($I$5*MAX(((F1269)+(G1269)*(L1269))*(L1269),0.000001)))&gt;=(((F1269)*(U1269)^2)/2+(G1269)*(U1269)^3/3+(ABS(K1269)^2)/($I$5*MAX(((F1269)+(G1269)*(U1269))*(U1269),0.000001))),L1269,U1269),IF(T1269=1,L1269,IF(AC1269=1,U1269,MAX($D$16,POWER((ABS(K1269)^2)/($I$5*MAX(F1269,0.1)^2),1/3)))))))</f>
        <v>51800.26683766341</v>
      </c>
      <c r="AE1269">
        <f t="shared" ca="1" si="548"/>
        <v>52432.269337663412</v>
      </c>
      <c r="AF1269">
        <f t="shared" ca="1" si="549"/>
        <v>52432.269337665239</v>
      </c>
      <c r="AI1269">
        <v>0</v>
      </c>
      <c r="AJ1269">
        <v>0</v>
      </c>
      <c r="AK1269">
        <f t="shared" si="550"/>
        <v>0</v>
      </c>
      <c r="AL1269">
        <f t="shared" si="559"/>
        <v>0</v>
      </c>
      <c r="AM1269">
        <f t="shared" ca="1" si="551"/>
        <v>2.6560383008097266E-7</v>
      </c>
      <c r="AN1269" t="str">
        <f t="shared" ca="1" si="552"/>
        <v>Subcritical</v>
      </c>
      <c r="AO1269">
        <f t="shared" ca="1" si="553"/>
        <v>2.2562304480281055E-12</v>
      </c>
    </row>
    <row r="1270" spans="1:41" x14ac:dyDescent="0.35">
      <c r="A1270">
        <v>1121</v>
      </c>
      <c r="B1270">
        <v>1119.8889999999999</v>
      </c>
      <c r="C1270">
        <v>616076.09499999997</v>
      </c>
      <c r="D1270">
        <v>3096884.156</v>
      </c>
      <c r="E1270">
        <v>632.00199999999995</v>
      </c>
      <c r="F1270">
        <v>5.2</v>
      </c>
      <c r="G1270">
        <v>0</v>
      </c>
      <c r="H1270" t="s">
        <v>186</v>
      </c>
      <c r="I1270">
        <v>0</v>
      </c>
      <c r="J1270">
        <f t="shared" si="554"/>
        <v>1</v>
      </c>
      <c r="K1270">
        <f t="shared" si="555"/>
        <v>51</v>
      </c>
      <c r="L1270">
        <f t="shared" ca="1" si="556"/>
        <v>51797.843837663619</v>
      </c>
      <c r="M1270">
        <f t="shared" ca="1" si="533"/>
        <v>269348.78795585083</v>
      </c>
      <c r="N1270">
        <f t="shared" ca="1" si="534"/>
        <v>2.5998694991876676</v>
      </c>
      <c r="O1270">
        <f t="shared" ca="1" si="535"/>
        <v>1.8934557080078435E-4</v>
      </c>
      <c r="P1270">
        <f t="shared" ca="1" si="536"/>
        <v>52429.845837663619</v>
      </c>
      <c r="Q1270">
        <f t="shared" ca="1" si="537"/>
        <v>52429.845837665445</v>
      </c>
      <c r="R1270">
        <f t="shared" ca="1" si="538"/>
        <v>2.2564415439646509E-12</v>
      </c>
      <c r="S1270">
        <f t="shared" ca="1" si="557"/>
        <v>5.0000000192085281E-4</v>
      </c>
      <c r="T1270">
        <f t="shared" ca="1" si="558"/>
        <v>1</v>
      </c>
      <c r="U1270">
        <f t="shared" ca="1" si="539"/>
        <v>51800.26683766341</v>
      </c>
      <c r="V1270">
        <f t="shared" ca="1" si="540"/>
        <v>269361.38755584974</v>
      </c>
      <c r="W1270">
        <f t="shared" ca="1" si="541"/>
        <v>2.5998695052916441</v>
      </c>
      <c r="X1270">
        <f t="shared" ca="1" si="542"/>
        <v>1.8933671400629237E-4</v>
      </c>
      <c r="Y1270">
        <f t="shared" ca="1" si="543"/>
        <v>52432.268837663411</v>
      </c>
      <c r="Z1270">
        <f t="shared" ca="1" si="544"/>
        <v>52432.268837665237</v>
      </c>
      <c r="AA1270">
        <f t="shared" ca="1" si="545"/>
        <v>2.2562304480281055E-12</v>
      </c>
      <c r="AB1270">
        <f t="shared" ca="1" si="546"/>
        <v>-5.0000000192085281E-4</v>
      </c>
      <c r="AC1270">
        <f t="shared" ca="1" si="547"/>
        <v>1</v>
      </c>
      <c r="AD1270">
        <f ca="1">IF(V32="Supercritical",L1270,IF(V32="Subcritical",U1270,IF(AND(T1270=1,AC1270=1),IF((((F1270)*(L1270)^2)/2+(G1270)*(L1270)^3/3+(ABS(K1270)^2)/($I$5*MAX(((F1270)+(G1270)*(L1270))*(L1270),0.000001)))&gt;=(((F1270)*(U1270)^2)/2+(G1270)*(U1270)^3/3+(ABS(K1270)^2)/($I$5*MAX(((F1270)+(G1270)*(U1270))*(U1270),0.000001))),L1270,U1270),IF(T1270=1,L1270,IF(AC1270=1,U1270,MAX($D$16,POWER((ABS(K1270)^2)/($I$5*MAX(F1270,0.1)^2),1/3)))))))</f>
        <v>51800.26683766341</v>
      </c>
      <c r="AE1270">
        <f t="shared" ca="1" si="548"/>
        <v>52432.268837663411</v>
      </c>
      <c r="AF1270">
        <f t="shared" ca="1" si="549"/>
        <v>52432.268837665237</v>
      </c>
      <c r="AI1270">
        <v>0</v>
      </c>
      <c r="AJ1270">
        <v>0</v>
      </c>
      <c r="AK1270">
        <f t="shared" si="550"/>
        <v>0</v>
      </c>
      <c r="AL1270">
        <f t="shared" si="559"/>
        <v>0</v>
      </c>
      <c r="AM1270">
        <f t="shared" ca="1" si="551"/>
        <v>2.6560383008097266E-7</v>
      </c>
      <c r="AN1270" t="str">
        <f t="shared" ca="1" si="552"/>
        <v>Subcritical</v>
      </c>
      <c r="AO1270">
        <f t="shared" ca="1" si="553"/>
        <v>2.2562304480281055E-12</v>
      </c>
    </row>
    <row r="1271" spans="1:41" x14ac:dyDescent="0.35">
      <c r="A1271">
        <v>1122</v>
      </c>
      <c r="B1271">
        <v>1120.8889999999999</v>
      </c>
      <c r="C1271">
        <v>616076.05299999996</v>
      </c>
      <c r="D1271">
        <v>3096883.1570000001</v>
      </c>
      <c r="E1271">
        <v>632.00149999999996</v>
      </c>
      <c r="F1271">
        <v>5.2</v>
      </c>
      <c r="G1271">
        <v>0</v>
      </c>
      <c r="H1271" t="s">
        <v>186</v>
      </c>
      <c r="I1271">
        <v>5.7000000000000002E-2</v>
      </c>
      <c r="J1271">
        <f t="shared" si="554"/>
        <v>1</v>
      </c>
      <c r="K1271">
        <f t="shared" si="555"/>
        <v>51</v>
      </c>
      <c r="L1271">
        <f t="shared" ca="1" si="556"/>
        <v>51797.843837663619</v>
      </c>
      <c r="M1271">
        <f t="shared" ca="1" si="533"/>
        <v>269348.78795585083</v>
      </c>
      <c r="N1271">
        <f t="shared" ca="1" si="534"/>
        <v>2.5998694991876676</v>
      </c>
      <c r="O1271">
        <f t="shared" ca="1" si="535"/>
        <v>1.8934557080078435E-4</v>
      </c>
      <c r="P1271">
        <f t="shared" ca="1" si="536"/>
        <v>52429.845337663617</v>
      </c>
      <c r="Q1271">
        <f t="shared" ca="1" si="537"/>
        <v>52429.845337665443</v>
      </c>
      <c r="R1271">
        <f t="shared" ca="1" si="538"/>
        <v>2.2564415439646509E-12</v>
      </c>
      <c r="S1271">
        <f t="shared" ca="1" si="557"/>
        <v>5.0000000192085281E-4</v>
      </c>
      <c r="T1271">
        <f t="shared" ca="1" si="558"/>
        <v>1</v>
      </c>
      <c r="U1271">
        <f t="shared" ca="1" si="539"/>
        <v>51800.26683766341</v>
      </c>
      <c r="V1271">
        <f t="shared" ca="1" si="540"/>
        <v>269361.38755584974</v>
      </c>
      <c r="W1271">
        <f t="shared" ca="1" si="541"/>
        <v>2.5998695052916441</v>
      </c>
      <c r="X1271">
        <f t="shared" ca="1" si="542"/>
        <v>1.8933671400629237E-4</v>
      </c>
      <c r="Y1271">
        <f t="shared" ca="1" si="543"/>
        <v>52432.268337663409</v>
      </c>
      <c r="Z1271">
        <f t="shared" ca="1" si="544"/>
        <v>52432.268337665235</v>
      </c>
      <c r="AA1271">
        <f t="shared" ca="1" si="545"/>
        <v>2.2562304480281055E-12</v>
      </c>
      <c r="AB1271">
        <f t="shared" ca="1" si="546"/>
        <v>-5.0000000192085281E-4</v>
      </c>
      <c r="AC1271">
        <f t="shared" ca="1" si="547"/>
        <v>1</v>
      </c>
      <c r="AD1271">
        <f ca="1">IF(V32="Supercritical",L1271,IF(V32="Subcritical",U1271,IF(AND(T1271=1,AC1271=1),IF((((F1271)*(L1271)^2)/2+(G1271)*(L1271)^3/3+(ABS(K1271)^2)/($I$5*MAX(((F1271)+(G1271)*(L1271))*(L1271),0.000001)))&gt;=(((F1271)*(U1271)^2)/2+(G1271)*(U1271)^3/3+(ABS(K1271)^2)/($I$5*MAX(((F1271)+(G1271)*(U1271))*(U1271),0.000001))),L1271,U1271),IF(T1271=1,L1271,IF(AC1271=1,U1271,MAX($D$16,POWER((ABS(K1271)^2)/($I$5*MAX(F1271,0.1)^2),1/3)))))))</f>
        <v>51800.26683766341</v>
      </c>
      <c r="AE1271">
        <f t="shared" ca="1" si="548"/>
        <v>52432.268337663409</v>
      </c>
      <c r="AF1271">
        <f t="shared" ca="1" si="549"/>
        <v>52432.268337665235</v>
      </c>
      <c r="AI1271">
        <v>0</v>
      </c>
      <c r="AJ1271">
        <v>0</v>
      </c>
      <c r="AK1271">
        <f t="shared" si="550"/>
        <v>0</v>
      </c>
      <c r="AL1271">
        <f t="shared" si="559"/>
        <v>0</v>
      </c>
      <c r="AM1271">
        <f t="shared" ca="1" si="551"/>
        <v>2.6560383008097266E-7</v>
      </c>
      <c r="AN1271" t="str">
        <f t="shared" ca="1" si="552"/>
        <v>Subcritical</v>
      </c>
      <c r="AO1271">
        <f t="shared" ca="1" si="553"/>
        <v>2.2562304480281055E-12</v>
      </c>
    </row>
    <row r="1272" spans="1:41" x14ac:dyDescent="0.35">
      <c r="A1272">
        <v>1123</v>
      </c>
      <c r="B1272">
        <v>1121.8889999999999</v>
      </c>
      <c r="C1272">
        <v>616076.01</v>
      </c>
      <c r="D1272">
        <v>3096882.1579999998</v>
      </c>
      <c r="E1272">
        <v>632.00099999999998</v>
      </c>
      <c r="F1272">
        <v>5.2</v>
      </c>
      <c r="G1272">
        <v>0</v>
      </c>
      <c r="H1272" t="s">
        <v>186</v>
      </c>
      <c r="I1272">
        <v>5.7000000000000002E-2</v>
      </c>
      <c r="J1272">
        <f t="shared" si="554"/>
        <v>1</v>
      </c>
      <c r="K1272">
        <f t="shared" si="555"/>
        <v>51</v>
      </c>
      <c r="L1272">
        <f t="shared" ca="1" si="556"/>
        <v>51797.843837663619</v>
      </c>
      <c r="M1272">
        <f t="shared" ca="1" si="533"/>
        <v>269348.78795585083</v>
      </c>
      <c r="N1272">
        <f t="shared" ca="1" si="534"/>
        <v>2.5998694991876676</v>
      </c>
      <c r="O1272">
        <f t="shared" ca="1" si="535"/>
        <v>1.8934557080078435E-4</v>
      </c>
      <c r="P1272">
        <f t="shared" ca="1" si="536"/>
        <v>52429.844837663615</v>
      </c>
      <c r="Q1272">
        <f t="shared" ca="1" si="537"/>
        <v>52429.844837665441</v>
      </c>
      <c r="R1272">
        <f t="shared" ca="1" si="538"/>
        <v>2.2564415439646509E-12</v>
      </c>
      <c r="S1272">
        <f t="shared" ca="1" si="557"/>
        <v>5.0000000192085281E-4</v>
      </c>
      <c r="T1272">
        <f t="shared" ca="1" si="558"/>
        <v>1</v>
      </c>
      <c r="U1272">
        <f t="shared" ca="1" si="539"/>
        <v>51800.26683766341</v>
      </c>
      <c r="V1272">
        <f t="shared" ca="1" si="540"/>
        <v>269361.38755584974</v>
      </c>
      <c r="W1272">
        <f t="shared" ca="1" si="541"/>
        <v>2.5998695052916441</v>
      </c>
      <c r="X1272">
        <f t="shared" ca="1" si="542"/>
        <v>1.8933671400629237E-4</v>
      </c>
      <c r="Y1272">
        <f t="shared" ca="1" si="543"/>
        <v>52432.267837663407</v>
      </c>
      <c r="Z1272">
        <f t="shared" ca="1" si="544"/>
        <v>52432.267837665233</v>
      </c>
      <c r="AA1272">
        <f t="shared" ca="1" si="545"/>
        <v>2.2562304480281055E-12</v>
      </c>
      <c r="AB1272">
        <f t="shared" ca="1" si="546"/>
        <v>-4.999999946448952E-4</v>
      </c>
      <c r="AC1272">
        <f t="shared" ca="1" si="547"/>
        <v>1</v>
      </c>
      <c r="AD1272">
        <f ca="1">IF(V32="Supercritical",L1272,IF(V32="Subcritical",U1272,IF(AND(T1272=1,AC1272=1),IF((((F1272)*(L1272)^2)/2+(G1272)*(L1272)^3/3+(ABS(K1272)^2)/($I$5*MAX(((F1272)+(G1272)*(L1272))*(L1272),0.000001)))&gt;=(((F1272)*(U1272)^2)/2+(G1272)*(U1272)^3/3+(ABS(K1272)^2)/($I$5*MAX(((F1272)+(G1272)*(U1272))*(U1272),0.000001))),L1272,U1272),IF(T1272=1,L1272,IF(AC1272=1,U1272,MAX($D$16,POWER((ABS(K1272)^2)/($I$5*MAX(F1272,0.1)^2),1/3)))))))</f>
        <v>51800.26683766341</v>
      </c>
      <c r="AE1272">
        <f t="shared" ca="1" si="548"/>
        <v>52432.267837663407</v>
      </c>
      <c r="AF1272">
        <f t="shared" ca="1" si="549"/>
        <v>52432.267837665233</v>
      </c>
      <c r="AI1272">
        <v>0</v>
      </c>
      <c r="AJ1272">
        <v>0</v>
      </c>
      <c r="AK1272">
        <f t="shared" si="550"/>
        <v>0</v>
      </c>
      <c r="AL1272">
        <f t="shared" si="559"/>
        <v>0</v>
      </c>
      <c r="AM1272">
        <f t="shared" ca="1" si="551"/>
        <v>2.6560383008097266E-7</v>
      </c>
      <c r="AN1272" t="str">
        <f t="shared" ca="1" si="552"/>
        <v>Subcritical</v>
      </c>
      <c r="AO1272">
        <f t="shared" ca="1" si="553"/>
        <v>2.2562304480281055E-12</v>
      </c>
    </row>
    <row r="1273" spans="1:41" x14ac:dyDescent="0.35">
      <c r="A1273">
        <v>1124</v>
      </c>
      <c r="B1273">
        <v>1122.8889999999999</v>
      </c>
      <c r="C1273">
        <v>616075.96799999999</v>
      </c>
      <c r="D1273">
        <v>3096881.159</v>
      </c>
      <c r="E1273">
        <v>632.00049999999999</v>
      </c>
      <c r="F1273">
        <v>5.2</v>
      </c>
      <c r="G1273">
        <v>0</v>
      </c>
      <c r="H1273" t="s">
        <v>186</v>
      </c>
      <c r="I1273">
        <v>0</v>
      </c>
      <c r="J1273">
        <f t="shared" si="554"/>
        <v>1</v>
      </c>
      <c r="K1273">
        <f t="shared" si="555"/>
        <v>51</v>
      </c>
      <c r="L1273">
        <f t="shared" ca="1" si="556"/>
        <v>51797.843837663619</v>
      </c>
      <c r="M1273">
        <f t="shared" ca="1" si="533"/>
        <v>269348.78795585083</v>
      </c>
      <c r="N1273">
        <f t="shared" ca="1" si="534"/>
        <v>2.5998694991876676</v>
      </c>
      <c r="O1273">
        <f t="shared" ca="1" si="535"/>
        <v>1.8934557080078435E-4</v>
      </c>
      <c r="P1273">
        <f t="shared" ca="1" si="536"/>
        <v>52429.844337663621</v>
      </c>
      <c r="Q1273">
        <f t="shared" ca="1" si="537"/>
        <v>52429.844337665447</v>
      </c>
      <c r="R1273">
        <f t="shared" ca="1" si="538"/>
        <v>2.2564415439646509E-12</v>
      </c>
      <c r="S1273">
        <f t="shared" ca="1" si="557"/>
        <v>4.999999946448952E-4</v>
      </c>
      <c r="T1273">
        <f t="shared" ca="1" si="558"/>
        <v>1</v>
      </c>
      <c r="U1273">
        <f t="shared" ca="1" si="539"/>
        <v>51800.26683766341</v>
      </c>
      <c r="V1273">
        <f t="shared" ca="1" si="540"/>
        <v>269361.38755584974</v>
      </c>
      <c r="W1273">
        <f t="shared" ca="1" si="541"/>
        <v>2.5998695052916441</v>
      </c>
      <c r="X1273">
        <f t="shared" ca="1" si="542"/>
        <v>1.8933671400629237E-4</v>
      </c>
      <c r="Y1273">
        <f t="shared" ca="1" si="543"/>
        <v>52432.267337663412</v>
      </c>
      <c r="Z1273">
        <f t="shared" ca="1" si="544"/>
        <v>52432.267337665238</v>
      </c>
      <c r="AA1273">
        <f t="shared" ca="1" si="545"/>
        <v>2.2562304480281055E-12</v>
      </c>
      <c r="AB1273">
        <f t="shared" ca="1" si="546"/>
        <v>-5.0000000192085281E-4</v>
      </c>
      <c r="AC1273">
        <f t="shared" ca="1" si="547"/>
        <v>1</v>
      </c>
      <c r="AD1273">
        <f ca="1">IF(V32="Supercritical",L1273,IF(V32="Subcritical",U1273,IF(AND(T1273=1,AC1273=1),IF((((F1273)*(L1273)^2)/2+(G1273)*(L1273)^3/3+(ABS(K1273)^2)/($I$5*MAX(((F1273)+(G1273)*(L1273))*(L1273),0.000001)))&gt;=(((F1273)*(U1273)^2)/2+(G1273)*(U1273)^3/3+(ABS(K1273)^2)/($I$5*MAX(((F1273)+(G1273)*(U1273))*(U1273),0.000001))),L1273,U1273),IF(T1273=1,L1273,IF(AC1273=1,U1273,MAX($D$16,POWER((ABS(K1273)^2)/($I$5*MAX(F1273,0.1)^2),1/3)))))))</f>
        <v>51800.26683766341</v>
      </c>
      <c r="AE1273">
        <f t="shared" ca="1" si="548"/>
        <v>52432.267337663412</v>
      </c>
      <c r="AF1273">
        <f t="shared" ca="1" si="549"/>
        <v>52432.267337665238</v>
      </c>
      <c r="AI1273">
        <v>0</v>
      </c>
      <c r="AJ1273">
        <v>0</v>
      </c>
      <c r="AK1273">
        <f t="shared" si="550"/>
        <v>0</v>
      </c>
      <c r="AL1273">
        <f t="shared" si="559"/>
        <v>0</v>
      </c>
      <c r="AM1273">
        <f t="shared" ca="1" si="551"/>
        <v>2.6560383008097266E-7</v>
      </c>
      <c r="AN1273" t="str">
        <f t="shared" ca="1" si="552"/>
        <v>Subcritical</v>
      </c>
      <c r="AO1273">
        <f t="shared" ca="1" si="553"/>
        <v>2.2562304480281055E-12</v>
      </c>
    </row>
    <row r="1274" spans="1:41" x14ac:dyDescent="0.35">
      <c r="A1274">
        <v>1125</v>
      </c>
      <c r="B1274">
        <v>1123.8889999999999</v>
      </c>
      <c r="C1274">
        <v>616075.92599999998</v>
      </c>
      <c r="D1274">
        <v>3096880.16</v>
      </c>
      <c r="E1274">
        <v>632</v>
      </c>
      <c r="F1274">
        <v>5.2</v>
      </c>
      <c r="G1274">
        <v>0</v>
      </c>
      <c r="H1274" t="s">
        <v>186</v>
      </c>
      <c r="I1274">
        <v>2E-3</v>
      </c>
      <c r="J1274">
        <f t="shared" si="554"/>
        <v>1</v>
      </c>
      <c r="K1274">
        <f t="shared" si="555"/>
        <v>51</v>
      </c>
      <c r="L1274">
        <f t="shared" ca="1" si="556"/>
        <v>51797.843837663619</v>
      </c>
      <c r="M1274">
        <f t="shared" ca="1" si="533"/>
        <v>269348.78795585083</v>
      </c>
      <c r="N1274">
        <f t="shared" ca="1" si="534"/>
        <v>2.5998694991876676</v>
      </c>
      <c r="O1274">
        <f t="shared" ca="1" si="535"/>
        <v>1.8934557080078435E-4</v>
      </c>
      <c r="P1274">
        <f t="shared" ca="1" si="536"/>
        <v>52429.843837663619</v>
      </c>
      <c r="Q1274">
        <f t="shared" ca="1" si="537"/>
        <v>52429.843837665445</v>
      </c>
      <c r="R1274">
        <f t="shared" ca="1" si="538"/>
        <v>2.2564415439646509E-12</v>
      </c>
      <c r="S1274">
        <f t="shared" ca="1" si="557"/>
        <v>5.0000000192085281E-4</v>
      </c>
      <c r="T1274">
        <f t="shared" ca="1" si="558"/>
        <v>1</v>
      </c>
      <c r="U1274">
        <f t="shared" ca="1" si="539"/>
        <v>51800.26683766341</v>
      </c>
      <c r="V1274">
        <f t="shared" ca="1" si="540"/>
        <v>269361.38755584974</v>
      </c>
      <c r="W1274">
        <f t="shared" ca="1" si="541"/>
        <v>2.5998695052916441</v>
      </c>
      <c r="X1274">
        <f t="shared" ca="1" si="542"/>
        <v>1.8933671400629237E-4</v>
      </c>
      <c r="Y1274">
        <f t="shared" ca="1" si="543"/>
        <v>52432.26683766341</v>
      </c>
      <c r="Z1274">
        <f t="shared" ca="1" si="544"/>
        <v>52432.266837665236</v>
      </c>
      <c r="AA1274">
        <f t="shared" ca="1" si="545"/>
        <v>2.2562304480281055E-12</v>
      </c>
      <c r="AB1274">
        <f t="shared" ca="1" si="546"/>
        <v>-5.0000000192085281E-4</v>
      </c>
      <c r="AC1274">
        <f t="shared" ca="1" si="547"/>
        <v>1</v>
      </c>
      <c r="AD1274">
        <f ca="1">IF(V32="Supercritical",L1274,IF(V32="Subcritical",U1274,IF(AND(T1274=1,AC1274=1),IF((((F1274)*(L1274)^2)/2+(G1274)*(L1274)^3/3+(ABS(K1274)^2)/($I$5*MAX(((F1274)+(G1274)*(L1274))*(L1274),0.000001)))&gt;=(((F1274)*(U1274)^2)/2+(G1274)*(U1274)^3/3+(ABS(K1274)^2)/($I$5*MAX(((F1274)+(G1274)*(U1274))*(U1274),0.000001))),L1274,U1274),IF(T1274=1,L1274,IF(AC1274=1,U1274,MAX($D$16,POWER((ABS(K1274)^2)/($I$5*MAX(F1274,0.1)^2),1/3)))))))</f>
        <v>51800.26683766341</v>
      </c>
      <c r="AE1274">
        <f t="shared" ca="1" si="548"/>
        <v>52432.26683766341</v>
      </c>
      <c r="AF1274">
        <f t="shared" ca="1" si="549"/>
        <v>52432.266837665236</v>
      </c>
      <c r="AI1274">
        <v>0</v>
      </c>
      <c r="AJ1274">
        <v>0</v>
      </c>
      <c r="AK1274">
        <f t="shared" si="550"/>
        <v>0</v>
      </c>
      <c r="AL1274">
        <f t="shared" si="559"/>
        <v>0</v>
      </c>
      <c r="AM1274">
        <f t="shared" ca="1" si="551"/>
        <v>2.6560383008097266E-7</v>
      </c>
      <c r="AN1274" t="str">
        <f t="shared" ca="1" si="552"/>
        <v>Subcritical</v>
      </c>
      <c r="AO1274">
        <f t="shared" ca="1" si="553"/>
        <v>2.2562304480281055E-12</v>
      </c>
    </row>
    <row r="1275" spans="1:41" x14ac:dyDescent="0.35">
      <c r="A1275">
        <v>1126</v>
      </c>
      <c r="B1275">
        <v>1124.8900000000001</v>
      </c>
      <c r="C1275">
        <v>616075.88399999996</v>
      </c>
      <c r="D1275">
        <v>3096879.16</v>
      </c>
      <c r="E1275">
        <v>631.99950000000001</v>
      </c>
      <c r="F1275">
        <v>5.2</v>
      </c>
      <c r="G1275">
        <v>0</v>
      </c>
      <c r="H1275" t="s">
        <v>186</v>
      </c>
      <c r="I1275">
        <v>0.06</v>
      </c>
      <c r="J1275">
        <f t="shared" si="554"/>
        <v>1.0010000000002037</v>
      </c>
      <c r="K1275">
        <f t="shared" si="555"/>
        <v>51</v>
      </c>
      <c r="L1275">
        <f t="shared" ca="1" si="556"/>
        <v>51797.843837663619</v>
      </c>
      <c r="M1275">
        <f t="shared" ca="1" si="533"/>
        <v>269348.78795585083</v>
      </c>
      <c r="N1275">
        <f t="shared" ca="1" si="534"/>
        <v>2.5998694991876676</v>
      </c>
      <c r="O1275">
        <f t="shared" ca="1" si="535"/>
        <v>1.8934557080078435E-4</v>
      </c>
      <c r="P1275">
        <f t="shared" ca="1" si="536"/>
        <v>52429.843337663617</v>
      </c>
      <c r="Q1275">
        <f t="shared" ca="1" si="537"/>
        <v>52429.843337665443</v>
      </c>
      <c r="R1275">
        <f t="shared" ca="1" si="538"/>
        <v>2.2564415439646509E-12</v>
      </c>
      <c r="S1275">
        <f t="shared" ca="1" si="557"/>
        <v>5.0000000192085281E-4</v>
      </c>
      <c r="T1275">
        <f t="shared" ca="1" si="558"/>
        <v>1</v>
      </c>
      <c r="U1275">
        <f t="shared" ca="1" si="539"/>
        <v>51800.26683766341</v>
      </c>
      <c r="V1275">
        <f t="shared" ca="1" si="540"/>
        <v>269361.38755584974</v>
      </c>
      <c r="W1275">
        <f t="shared" ca="1" si="541"/>
        <v>2.5998695052916441</v>
      </c>
      <c r="X1275">
        <f t="shared" ca="1" si="542"/>
        <v>1.8933671400629237E-4</v>
      </c>
      <c r="Y1275">
        <f t="shared" ca="1" si="543"/>
        <v>52432.266337663408</v>
      </c>
      <c r="Z1275">
        <f t="shared" ca="1" si="544"/>
        <v>52432.266337665234</v>
      </c>
      <c r="AA1275">
        <f t="shared" ca="1" si="545"/>
        <v>2.2562304480281055E-12</v>
      </c>
      <c r="AB1275">
        <f t="shared" ca="1" si="546"/>
        <v>-4.999999946448952E-4</v>
      </c>
      <c r="AC1275">
        <f t="shared" ca="1" si="547"/>
        <v>1</v>
      </c>
      <c r="AD1275">
        <f ca="1">IF(V32="Supercritical",L1275,IF(V32="Subcritical",U1275,IF(AND(T1275=1,AC1275=1),IF((((F1275)*(L1275)^2)/2+(G1275)*(L1275)^3/3+(ABS(K1275)^2)/($I$5*MAX(((F1275)+(G1275)*(L1275))*(L1275),0.000001)))&gt;=(((F1275)*(U1275)^2)/2+(G1275)*(U1275)^3/3+(ABS(K1275)^2)/($I$5*MAX(((F1275)+(G1275)*(U1275))*(U1275),0.000001))),L1275,U1275),IF(T1275=1,L1275,IF(AC1275=1,U1275,MAX($D$16,POWER((ABS(K1275)^2)/($I$5*MAX(F1275,0.1)^2),1/3)))))))</f>
        <v>51800.26683766341</v>
      </c>
      <c r="AE1275">
        <f t="shared" ca="1" si="548"/>
        <v>52432.266337663408</v>
      </c>
      <c r="AF1275">
        <f t="shared" ca="1" si="549"/>
        <v>52432.266337665234</v>
      </c>
      <c r="AI1275">
        <v>0</v>
      </c>
      <c r="AJ1275">
        <v>0</v>
      </c>
      <c r="AK1275">
        <f t="shared" si="550"/>
        <v>0</v>
      </c>
      <c r="AL1275">
        <f t="shared" si="559"/>
        <v>0</v>
      </c>
      <c r="AM1275">
        <f t="shared" ca="1" si="551"/>
        <v>2.6560383008097266E-7</v>
      </c>
      <c r="AN1275" t="str">
        <f t="shared" ca="1" si="552"/>
        <v>Subcritical</v>
      </c>
      <c r="AO1275">
        <f t="shared" ca="1" si="553"/>
        <v>2.2562304480281055E-12</v>
      </c>
    </row>
    <row r="1276" spans="1:41" x14ac:dyDescent="0.35">
      <c r="A1276">
        <v>1127</v>
      </c>
      <c r="B1276">
        <v>1125.8900000000001</v>
      </c>
      <c r="C1276">
        <v>616075.84100000001</v>
      </c>
      <c r="D1276">
        <v>3096878.1609999998</v>
      </c>
      <c r="E1276">
        <v>631.99900000000002</v>
      </c>
      <c r="F1276">
        <v>5.2</v>
      </c>
      <c r="G1276">
        <v>0</v>
      </c>
      <c r="H1276" t="s">
        <v>186</v>
      </c>
      <c r="I1276">
        <v>5.7000000000000002E-2</v>
      </c>
      <c r="J1276">
        <f t="shared" si="554"/>
        <v>1</v>
      </c>
      <c r="K1276">
        <f t="shared" si="555"/>
        <v>51</v>
      </c>
      <c r="L1276">
        <f t="shared" ca="1" si="556"/>
        <v>51797.843837663619</v>
      </c>
      <c r="M1276">
        <f t="shared" ca="1" si="533"/>
        <v>269348.78795585083</v>
      </c>
      <c r="N1276">
        <f t="shared" ca="1" si="534"/>
        <v>2.5998694991876676</v>
      </c>
      <c r="O1276">
        <f t="shared" ca="1" si="535"/>
        <v>1.8934557080078435E-4</v>
      </c>
      <c r="P1276">
        <f t="shared" ca="1" si="536"/>
        <v>52429.842837663622</v>
      </c>
      <c r="Q1276">
        <f t="shared" ca="1" si="537"/>
        <v>52429.842837665448</v>
      </c>
      <c r="R1276">
        <f t="shared" ca="1" si="538"/>
        <v>2.2564415439646509E-12</v>
      </c>
      <c r="S1276">
        <f t="shared" ca="1" si="557"/>
        <v>4.999999946448952E-4</v>
      </c>
      <c r="T1276">
        <f t="shared" ca="1" si="558"/>
        <v>1</v>
      </c>
      <c r="U1276">
        <f t="shared" ca="1" si="539"/>
        <v>51800.26683766341</v>
      </c>
      <c r="V1276">
        <f t="shared" ca="1" si="540"/>
        <v>269361.38755584974</v>
      </c>
      <c r="W1276">
        <f t="shared" ca="1" si="541"/>
        <v>2.5998695052916441</v>
      </c>
      <c r="X1276">
        <f t="shared" ca="1" si="542"/>
        <v>1.8933671400629237E-4</v>
      </c>
      <c r="Y1276">
        <f t="shared" ca="1" si="543"/>
        <v>52432.265837663414</v>
      </c>
      <c r="Z1276">
        <f t="shared" ca="1" si="544"/>
        <v>52432.26583766524</v>
      </c>
      <c r="AA1276">
        <f t="shared" ca="1" si="545"/>
        <v>2.2562304480281055E-12</v>
      </c>
      <c r="AB1276">
        <f t="shared" ca="1" si="546"/>
        <v>-5.0000000192085281E-4</v>
      </c>
      <c r="AC1276">
        <f t="shared" ca="1" si="547"/>
        <v>1</v>
      </c>
      <c r="AD1276">
        <f ca="1">IF(V32="Supercritical",L1276,IF(V32="Subcritical",U1276,IF(AND(T1276=1,AC1276=1),IF((((F1276)*(L1276)^2)/2+(G1276)*(L1276)^3/3+(ABS(K1276)^2)/($I$5*MAX(((F1276)+(G1276)*(L1276))*(L1276),0.000001)))&gt;=(((F1276)*(U1276)^2)/2+(G1276)*(U1276)^3/3+(ABS(K1276)^2)/($I$5*MAX(((F1276)+(G1276)*(U1276))*(U1276),0.000001))),L1276,U1276),IF(T1276=1,L1276,IF(AC1276=1,U1276,MAX($D$16,POWER((ABS(K1276)^2)/($I$5*MAX(F1276,0.1)^2),1/3)))))))</f>
        <v>51800.26683766341</v>
      </c>
      <c r="AE1276">
        <f t="shared" ca="1" si="548"/>
        <v>52432.265837663414</v>
      </c>
      <c r="AF1276">
        <f t="shared" ca="1" si="549"/>
        <v>52432.26583766524</v>
      </c>
      <c r="AI1276">
        <v>0</v>
      </c>
      <c r="AJ1276">
        <v>0</v>
      </c>
      <c r="AK1276">
        <f t="shared" si="550"/>
        <v>0</v>
      </c>
      <c r="AL1276">
        <f t="shared" si="559"/>
        <v>0</v>
      </c>
      <c r="AM1276">
        <f t="shared" ca="1" si="551"/>
        <v>2.6560383008097266E-7</v>
      </c>
      <c r="AN1276" t="str">
        <f t="shared" ca="1" si="552"/>
        <v>Subcritical</v>
      </c>
      <c r="AO1276">
        <f t="shared" ca="1" si="553"/>
        <v>2.2562304480281055E-12</v>
      </c>
    </row>
    <row r="1277" spans="1:41" x14ac:dyDescent="0.35">
      <c r="A1277">
        <v>1128</v>
      </c>
      <c r="B1277">
        <v>1126.8889999999999</v>
      </c>
      <c r="C1277">
        <v>616075.799</v>
      </c>
      <c r="D1277">
        <v>3096877.162</v>
      </c>
      <c r="E1277">
        <v>631.99850000000004</v>
      </c>
      <c r="F1277">
        <v>5.2</v>
      </c>
      <c r="G1277">
        <v>0</v>
      </c>
      <c r="H1277" t="s">
        <v>186</v>
      </c>
      <c r="I1277">
        <v>0</v>
      </c>
      <c r="J1277">
        <f t="shared" si="554"/>
        <v>0.99899999999979627</v>
      </c>
      <c r="K1277">
        <f t="shared" si="555"/>
        <v>51</v>
      </c>
      <c r="L1277">
        <f t="shared" ca="1" si="556"/>
        <v>51797.843837663619</v>
      </c>
      <c r="M1277">
        <f t="shared" ca="1" si="533"/>
        <v>269348.78795585083</v>
      </c>
      <c r="N1277">
        <f t="shared" ca="1" si="534"/>
        <v>2.5998694991876676</v>
      </c>
      <c r="O1277">
        <f t="shared" ca="1" si="535"/>
        <v>1.8934557080078435E-4</v>
      </c>
      <c r="P1277">
        <f t="shared" ca="1" si="536"/>
        <v>52429.84233766362</v>
      </c>
      <c r="Q1277">
        <f t="shared" ca="1" si="537"/>
        <v>52429.842337665446</v>
      </c>
      <c r="R1277">
        <f t="shared" ca="1" si="538"/>
        <v>2.2564415439646509E-12</v>
      </c>
      <c r="S1277">
        <f t="shared" ca="1" si="557"/>
        <v>5.0000000192085281E-4</v>
      </c>
      <c r="T1277">
        <f t="shared" ca="1" si="558"/>
        <v>1</v>
      </c>
      <c r="U1277">
        <f t="shared" ca="1" si="539"/>
        <v>51800.26683766341</v>
      </c>
      <c r="V1277">
        <f t="shared" ca="1" si="540"/>
        <v>269361.38755584974</v>
      </c>
      <c r="W1277">
        <f t="shared" ca="1" si="541"/>
        <v>2.5998695052916441</v>
      </c>
      <c r="X1277">
        <f t="shared" ca="1" si="542"/>
        <v>1.8933671400629237E-4</v>
      </c>
      <c r="Y1277">
        <f t="shared" ca="1" si="543"/>
        <v>52432.265337663412</v>
      </c>
      <c r="Z1277">
        <f t="shared" ca="1" si="544"/>
        <v>52432.265337665238</v>
      </c>
      <c r="AA1277">
        <f t="shared" ca="1" si="545"/>
        <v>2.2562304480281055E-12</v>
      </c>
      <c r="AB1277">
        <f t="shared" ca="1" si="546"/>
        <v>-5.0000000192085281E-4</v>
      </c>
      <c r="AC1277">
        <f t="shared" ca="1" si="547"/>
        <v>1</v>
      </c>
      <c r="AD1277">
        <f ca="1">IF(V32="Supercritical",L1277,IF(V32="Subcritical",U1277,IF(AND(T1277=1,AC1277=1),IF((((F1277)*(L1277)^2)/2+(G1277)*(L1277)^3/3+(ABS(K1277)^2)/($I$5*MAX(((F1277)+(G1277)*(L1277))*(L1277),0.000001)))&gt;=(((F1277)*(U1277)^2)/2+(G1277)*(U1277)^3/3+(ABS(K1277)^2)/($I$5*MAX(((F1277)+(G1277)*(U1277))*(U1277),0.000001))),L1277,U1277),IF(T1277=1,L1277,IF(AC1277=1,U1277,MAX($D$16,POWER((ABS(K1277)^2)/($I$5*MAX(F1277,0.1)^2),1/3)))))))</f>
        <v>51800.26683766341</v>
      </c>
      <c r="AE1277">
        <f t="shared" ca="1" si="548"/>
        <v>52432.265337663412</v>
      </c>
      <c r="AF1277">
        <f t="shared" ca="1" si="549"/>
        <v>52432.265337665238</v>
      </c>
      <c r="AI1277">
        <v>0</v>
      </c>
      <c r="AJ1277">
        <v>0</v>
      </c>
      <c r="AK1277">
        <f t="shared" si="550"/>
        <v>0</v>
      </c>
      <c r="AL1277">
        <f t="shared" si="559"/>
        <v>0</v>
      </c>
      <c r="AM1277">
        <f t="shared" ca="1" si="551"/>
        <v>2.6560383008097266E-7</v>
      </c>
      <c r="AN1277" t="str">
        <f t="shared" ca="1" si="552"/>
        <v>Subcritical</v>
      </c>
      <c r="AO1277">
        <f t="shared" ca="1" si="553"/>
        <v>2.2562304480281055E-12</v>
      </c>
    </row>
    <row r="1278" spans="1:41" x14ac:dyDescent="0.35">
      <c r="A1278">
        <v>1129</v>
      </c>
      <c r="B1278">
        <v>1127.8889999999999</v>
      </c>
      <c r="C1278">
        <v>616075.75699999998</v>
      </c>
      <c r="D1278">
        <v>3096876.1630000002</v>
      </c>
      <c r="E1278">
        <v>631.99800000000005</v>
      </c>
      <c r="F1278">
        <v>5.2</v>
      </c>
      <c r="G1278">
        <v>0</v>
      </c>
      <c r="H1278" t="s">
        <v>186</v>
      </c>
      <c r="I1278">
        <v>0</v>
      </c>
      <c r="J1278">
        <f t="shared" si="554"/>
        <v>1</v>
      </c>
      <c r="K1278">
        <f t="shared" si="555"/>
        <v>51</v>
      </c>
      <c r="L1278">
        <f t="shared" ca="1" si="556"/>
        <v>51797.843837663619</v>
      </c>
      <c r="M1278">
        <f t="shared" ca="1" si="533"/>
        <v>269348.78795585083</v>
      </c>
      <c r="N1278">
        <f t="shared" ca="1" si="534"/>
        <v>2.5998694991876676</v>
      </c>
      <c r="O1278">
        <f t="shared" ca="1" si="535"/>
        <v>1.8934557080078435E-4</v>
      </c>
      <c r="P1278">
        <f t="shared" ca="1" si="536"/>
        <v>52429.841837663618</v>
      </c>
      <c r="Q1278">
        <f t="shared" ca="1" si="537"/>
        <v>52429.841837665444</v>
      </c>
      <c r="R1278">
        <f t="shared" ca="1" si="538"/>
        <v>2.2564415439646509E-12</v>
      </c>
      <c r="S1278">
        <f t="shared" ca="1" si="557"/>
        <v>5.0000000192085281E-4</v>
      </c>
      <c r="T1278">
        <f t="shared" ca="1" si="558"/>
        <v>1</v>
      </c>
      <c r="U1278">
        <f t="shared" ca="1" si="539"/>
        <v>51800.26683766341</v>
      </c>
      <c r="V1278">
        <f t="shared" ca="1" si="540"/>
        <v>269361.38755584974</v>
      </c>
      <c r="W1278">
        <f t="shared" ca="1" si="541"/>
        <v>2.5998695052916441</v>
      </c>
      <c r="X1278">
        <f t="shared" ca="1" si="542"/>
        <v>1.8933671400629237E-4</v>
      </c>
      <c r="Y1278">
        <f t="shared" ca="1" si="543"/>
        <v>52432.26483766341</v>
      </c>
      <c r="Z1278">
        <f t="shared" ca="1" si="544"/>
        <v>52432.264837665236</v>
      </c>
      <c r="AA1278">
        <f t="shared" ca="1" si="545"/>
        <v>2.2562304480281055E-12</v>
      </c>
      <c r="AB1278">
        <f t="shared" ca="1" si="546"/>
        <v>-5.0000000192085281E-4</v>
      </c>
      <c r="AC1278">
        <f t="shared" ca="1" si="547"/>
        <v>1</v>
      </c>
      <c r="AD1278">
        <f ca="1">IF(V32="Supercritical",L1278,IF(V32="Subcritical",U1278,IF(AND(T1278=1,AC1278=1),IF((((F1278)*(L1278)^2)/2+(G1278)*(L1278)^3/3+(ABS(K1278)^2)/($I$5*MAX(((F1278)+(G1278)*(L1278))*(L1278),0.000001)))&gt;=(((F1278)*(U1278)^2)/2+(G1278)*(U1278)^3/3+(ABS(K1278)^2)/($I$5*MAX(((F1278)+(G1278)*(U1278))*(U1278),0.000001))),L1278,U1278),IF(T1278=1,L1278,IF(AC1278=1,U1278,MAX($D$16,POWER((ABS(K1278)^2)/($I$5*MAX(F1278,0.1)^2),1/3)))))))</f>
        <v>51800.26683766341</v>
      </c>
      <c r="AE1278">
        <f t="shared" ca="1" si="548"/>
        <v>52432.26483766341</v>
      </c>
      <c r="AF1278">
        <f t="shared" ca="1" si="549"/>
        <v>52432.264837665236</v>
      </c>
      <c r="AI1278">
        <v>0</v>
      </c>
      <c r="AJ1278">
        <v>0</v>
      </c>
      <c r="AK1278">
        <f t="shared" si="550"/>
        <v>0</v>
      </c>
      <c r="AL1278">
        <f t="shared" si="559"/>
        <v>0</v>
      </c>
      <c r="AM1278">
        <f t="shared" ca="1" si="551"/>
        <v>2.6560383008097266E-7</v>
      </c>
      <c r="AN1278" t="str">
        <f t="shared" ca="1" si="552"/>
        <v>Subcritical</v>
      </c>
      <c r="AO1278">
        <f t="shared" ca="1" si="553"/>
        <v>2.2562304480281055E-12</v>
      </c>
    </row>
    <row r="1279" spans="1:41" x14ac:dyDescent="0.35">
      <c r="A1279">
        <v>1130</v>
      </c>
      <c r="B1279">
        <v>1128.8889999999999</v>
      </c>
      <c r="C1279">
        <v>616075.71499999997</v>
      </c>
      <c r="D1279">
        <v>3096875.1639999999</v>
      </c>
      <c r="E1279">
        <v>631.99749999999995</v>
      </c>
      <c r="F1279">
        <v>5.2</v>
      </c>
      <c r="G1279">
        <v>0</v>
      </c>
      <c r="H1279" t="s">
        <v>186</v>
      </c>
      <c r="I1279">
        <v>5.7000000000000002E-2</v>
      </c>
      <c r="J1279">
        <f t="shared" si="554"/>
        <v>1</v>
      </c>
      <c r="K1279">
        <f t="shared" si="555"/>
        <v>51</v>
      </c>
      <c r="L1279">
        <f t="shared" ca="1" si="556"/>
        <v>51797.843837663619</v>
      </c>
      <c r="M1279">
        <f t="shared" ca="1" si="533"/>
        <v>269348.78795585083</v>
      </c>
      <c r="N1279">
        <f t="shared" ca="1" si="534"/>
        <v>2.5998694991876676</v>
      </c>
      <c r="O1279">
        <f t="shared" ca="1" si="535"/>
        <v>1.8934557080078435E-4</v>
      </c>
      <c r="P1279">
        <f t="shared" ca="1" si="536"/>
        <v>52429.841337663616</v>
      </c>
      <c r="Q1279">
        <f t="shared" ca="1" si="537"/>
        <v>52429.841337665443</v>
      </c>
      <c r="R1279">
        <f t="shared" ca="1" si="538"/>
        <v>2.2564415439646509E-12</v>
      </c>
      <c r="S1279">
        <f t="shared" ca="1" si="557"/>
        <v>5.0000000192085281E-4</v>
      </c>
      <c r="T1279">
        <f t="shared" ca="1" si="558"/>
        <v>1</v>
      </c>
      <c r="U1279">
        <f t="shared" ca="1" si="539"/>
        <v>51800.26683766341</v>
      </c>
      <c r="V1279">
        <f t="shared" ca="1" si="540"/>
        <v>269361.38755584974</v>
      </c>
      <c r="W1279">
        <f t="shared" ca="1" si="541"/>
        <v>2.5998695052916441</v>
      </c>
      <c r="X1279">
        <f t="shared" ca="1" si="542"/>
        <v>1.8933671400629237E-4</v>
      </c>
      <c r="Y1279">
        <f t="shared" ca="1" si="543"/>
        <v>52432.264337663408</v>
      </c>
      <c r="Z1279">
        <f t="shared" ca="1" si="544"/>
        <v>52432.264337665234</v>
      </c>
      <c r="AA1279">
        <f t="shared" ca="1" si="545"/>
        <v>2.2562304480281055E-12</v>
      </c>
      <c r="AB1279">
        <f t="shared" ca="1" si="546"/>
        <v>-4.999999946448952E-4</v>
      </c>
      <c r="AC1279">
        <f t="shared" ca="1" si="547"/>
        <v>1</v>
      </c>
      <c r="AD1279">
        <f ca="1">IF(V32="Supercritical",L1279,IF(V32="Subcritical",U1279,IF(AND(T1279=1,AC1279=1),IF((((F1279)*(L1279)^2)/2+(G1279)*(L1279)^3/3+(ABS(K1279)^2)/($I$5*MAX(((F1279)+(G1279)*(L1279))*(L1279),0.000001)))&gt;=(((F1279)*(U1279)^2)/2+(G1279)*(U1279)^3/3+(ABS(K1279)^2)/($I$5*MAX(((F1279)+(G1279)*(U1279))*(U1279),0.000001))),L1279,U1279),IF(T1279=1,L1279,IF(AC1279=1,U1279,MAX($D$16,POWER((ABS(K1279)^2)/($I$5*MAX(F1279,0.1)^2),1/3)))))))</f>
        <v>51800.26683766341</v>
      </c>
      <c r="AE1279">
        <f t="shared" ca="1" si="548"/>
        <v>52432.264337663408</v>
      </c>
      <c r="AF1279">
        <f t="shared" ca="1" si="549"/>
        <v>52432.264337665234</v>
      </c>
      <c r="AI1279">
        <v>0</v>
      </c>
      <c r="AJ1279">
        <v>0</v>
      </c>
      <c r="AK1279">
        <f t="shared" si="550"/>
        <v>0</v>
      </c>
      <c r="AL1279">
        <f t="shared" si="559"/>
        <v>0</v>
      </c>
      <c r="AM1279">
        <f t="shared" ca="1" si="551"/>
        <v>2.6560383008097266E-7</v>
      </c>
      <c r="AN1279" t="str">
        <f t="shared" ca="1" si="552"/>
        <v>Subcritical</v>
      </c>
      <c r="AO1279">
        <f t="shared" ca="1" si="553"/>
        <v>2.2562304480281055E-12</v>
      </c>
    </row>
    <row r="1280" spans="1:41" x14ac:dyDescent="0.35">
      <c r="A1280">
        <v>1131</v>
      </c>
      <c r="B1280">
        <v>1129.8889999999999</v>
      </c>
      <c r="C1280">
        <v>616075.67200000002</v>
      </c>
      <c r="D1280">
        <v>3096874.165</v>
      </c>
      <c r="E1280">
        <v>631.99699999999996</v>
      </c>
      <c r="F1280">
        <v>5.2</v>
      </c>
      <c r="G1280">
        <v>0</v>
      </c>
      <c r="H1280" t="s">
        <v>186</v>
      </c>
      <c r="I1280">
        <v>5.7000000000000002E-2</v>
      </c>
      <c r="J1280">
        <f t="shared" si="554"/>
        <v>1</v>
      </c>
      <c r="K1280">
        <f t="shared" si="555"/>
        <v>51</v>
      </c>
      <c r="L1280">
        <f t="shared" ca="1" si="556"/>
        <v>51797.843837663619</v>
      </c>
      <c r="M1280">
        <f t="shared" ca="1" si="533"/>
        <v>269348.78795585083</v>
      </c>
      <c r="N1280">
        <f t="shared" ca="1" si="534"/>
        <v>2.5998694991876676</v>
      </c>
      <c r="O1280">
        <f t="shared" ca="1" si="535"/>
        <v>1.8934557080078435E-4</v>
      </c>
      <c r="P1280">
        <f t="shared" ca="1" si="536"/>
        <v>52429.840837663622</v>
      </c>
      <c r="Q1280">
        <f t="shared" ca="1" si="537"/>
        <v>52429.840837665448</v>
      </c>
      <c r="R1280">
        <f t="shared" ca="1" si="538"/>
        <v>2.2564415439646509E-12</v>
      </c>
      <c r="S1280">
        <f t="shared" ca="1" si="557"/>
        <v>4.999999946448952E-4</v>
      </c>
      <c r="T1280">
        <f t="shared" ca="1" si="558"/>
        <v>1</v>
      </c>
      <c r="U1280">
        <f t="shared" ca="1" si="539"/>
        <v>51800.26683766341</v>
      </c>
      <c r="V1280">
        <f t="shared" ca="1" si="540"/>
        <v>269361.38755584974</v>
      </c>
      <c r="W1280">
        <f t="shared" ca="1" si="541"/>
        <v>2.5998695052916441</v>
      </c>
      <c r="X1280">
        <f t="shared" ca="1" si="542"/>
        <v>1.8933671400629237E-4</v>
      </c>
      <c r="Y1280">
        <f t="shared" ca="1" si="543"/>
        <v>52432.263837663413</v>
      </c>
      <c r="Z1280">
        <f t="shared" ca="1" si="544"/>
        <v>52432.263837665239</v>
      </c>
      <c r="AA1280">
        <f t="shared" ca="1" si="545"/>
        <v>2.2562304480281055E-12</v>
      </c>
      <c r="AB1280">
        <f t="shared" ca="1" si="546"/>
        <v>-5.0000000192085281E-4</v>
      </c>
      <c r="AC1280">
        <f t="shared" ca="1" si="547"/>
        <v>1</v>
      </c>
      <c r="AD1280">
        <f ca="1">IF(V32="Supercritical",L1280,IF(V32="Subcritical",U1280,IF(AND(T1280=1,AC1280=1),IF((((F1280)*(L1280)^2)/2+(G1280)*(L1280)^3/3+(ABS(K1280)^2)/($I$5*MAX(((F1280)+(G1280)*(L1280))*(L1280),0.000001)))&gt;=(((F1280)*(U1280)^2)/2+(G1280)*(U1280)^3/3+(ABS(K1280)^2)/($I$5*MAX(((F1280)+(G1280)*(U1280))*(U1280),0.000001))),L1280,U1280),IF(T1280=1,L1280,IF(AC1280=1,U1280,MAX($D$16,POWER((ABS(K1280)^2)/($I$5*MAX(F1280,0.1)^2),1/3)))))))</f>
        <v>51800.26683766341</v>
      </c>
      <c r="AE1280">
        <f t="shared" ca="1" si="548"/>
        <v>52432.263837663413</v>
      </c>
      <c r="AF1280">
        <f t="shared" ca="1" si="549"/>
        <v>52432.263837665239</v>
      </c>
      <c r="AI1280">
        <v>0</v>
      </c>
      <c r="AJ1280">
        <v>0</v>
      </c>
      <c r="AK1280">
        <f t="shared" si="550"/>
        <v>0</v>
      </c>
      <c r="AL1280">
        <f t="shared" si="559"/>
        <v>0</v>
      </c>
      <c r="AM1280">
        <f t="shared" ca="1" si="551"/>
        <v>2.6560383008097266E-7</v>
      </c>
      <c r="AN1280" t="str">
        <f t="shared" ca="1" si="552"/>
        <v>Subcritical</v>
      </c>
      <c r="AO1280">
        <f t="shared" ca="1" si="553"/>
        <v>2.2562304480281055E-12</v>
      </c>
    </row>
    <row r="1281" spans="1:41" x14ac:dyDescent="0.35">
      <c r="A1281">
        <v>1132</v>
      </c>
      <c r="B1281">
        <v>1130.8889999999999</v>
      </c>
      <c r="C1281">
        <v>616075.63</v>
      </c>
      <c r="D1281">
        <v>3096873.1660000002</v>
      </c>
      <c r="E1281">
        <v>631.99649999999997</v>
      </c>
      <c r="F1281">
        <v>5.2</v>
      </c>
      <c r="G1281">
        <v>0</v>
      </c>
      <c r="H1281" t="s">
        <v>186</v>
      </c>
      <c r="I1281">
        <v>0</v>
      </c>
      <c r="J1281">
        <f t="shared" si="554"/>
        <v>1</v>
      </c>
      <c r="K1281">
        <f t="shared" si="555"/>
        <v>51</v>
      </c>
      <c r="L1281">
        <f t="shared" ca="1" si="556"/>
        <v>51797.843837663619</v>
      </c>
      <c r="M1281">
        <f t="shared" ca="1" si="533"/>
        <v>269348.78795585083</v>
      </c>
      <c r="N1281">
        <f t="shared" ca="1" si="534"/>
        <v>2.5998694991876676</v>
      </c>
      <c r="O1281">
        <f t="shared" ca="1" si="535"/>
        <v>1.8934557080078435E-4</v>
      </c>
      <c r="P1281">
        <f t="shared" ca="1" si="536"/>
        <v>52429.84033766362</v>
      </c>
      <c r="Q1281">
        <f t="shared" ca="1" si="537"/>
        <v>52429.840337665446</v>
      </c>
      <c r="R1281">
        <f t="shared" ca="1" si="538"/>
        <v>2.2564415439646509E-12</v>
      </c>
      <c r="S1281">
        <f t="shared" ca="1" si="557"/>
        <v>5.0000000192085281E-4</v>
      </c>
      <c r="T1281">
        <f t="shared" ca="1" si="558"/>
        <v>1</v>
      </c>
      <c r="U1281">
        <f t="shared" ca="1" si="539"/>
        <v>51800.26683766341</v>
      </c>
      <c r="V1281">
        <f t="shared" ca="1" si="540"/>
        <v>269361.38755584974</v>
      </c>
      <c r="W1281">
        <f t="shared" ca="1" si="541"/>
        <v>2.5998695052916441</v>
      </c>
      <c r="X1281">
        <f t="shared" ca="1" si="542"/>
        <v>1.8933671400629237E-4</v>
      </c>
      <c r="Y1281">
        <f t="shared" ca="1" si="543"/>
        <v>52432.263337663411</v>
      </c>
      <c r="Z1281">
        <f t="shared" ca="1" si="544"/>
        <v>52432.263337665237</v>
      </c>
      <c r="AA1281">
        <f t="shared" ca="1" si="545"/>
        <v>2.2562304480281055E-12</v>
      </c>
      <c r="AB1281">
        <f t="shared" ca="1" si="546"/>
        <v>-5.0000000192085281E-4</v>
      </c>
      <c r="AC1281">
        <f t="shared" ca="1" si="547"/>
        <v>1</v>
      </c>
      <c r="AD1281">
        <f ca="1">IF(V32="Supercritical",L1281,IF(V32="Subcritical",U1281,IF(AND(T1281=1,AC1281=1),IF((((F1281)*(L1281)^2)/2+(G1281)*(L1281)^3/3+(ABS(K1281)^2)/($I$5*MAX(((F1281)+(G1281)*(L1281))*(L1281),0.000001)))&gt;=(((F1281)*(U1281)^2)/2+(G1281)*(U1281)^3/3+(ABS(K1281)^2)/($I$5*MAX(((F1281)+(G1281)*(U1281))*(U1281),0.000001))),L1281,U1281),IF(T1281=1,L1281,IF(AC1281=1,U1281,MAX($D$16,POWER((ABS(K1281)^2)/($I$5*MAX(F1281,0.1)^2),1/3)))))))</f>
        <v>51800.26683766341</v>
      </c>
      <c r="AE1281">
        <f t="shared" ca="1" si="548"/>
        <v>52432.263337663411</v>
      </c>
      <c r="AF1281">
        <f t="shared" ca="1" si="549"/>
        <v>52432.263337665237</v>
      </c>
      <c r="AI1281">
        <v>0</v>
      </c>
      <c r="AJ1281">
        <v>0</v>
      </c>
      <c r="AK1281">
        <f t="shared" si="550"/>
        <v>0</v>
      </c>
      <c r="AL1281">
        <f t="shared" si="559"/>
        <v>0</v>
      </c>
      <c r="AM1281">
        <f t="shared" ca="1" si="551"/>
        <v>2.6560383008097266E-7</v>
      </c>
      <c r="AN1281" t="str">
        <f t="shared" ca="1" si="552"/>
        <v>Subcritical</v>
      </c>
      <c r="AO1281">
        <f t="shared" ca="1" si="553"/>
        <v>2.2562304480281055E-12</v>
      </c>
    </row>
    <row r="1282" spans="1:41" x14ac:dyDescent="0.35">
      <c r="A1282">
        <v>1133</v>
      </c>
      <c r="B1282">
        <v>1131.8889999999999</v>
      </c>
      <c r="C1282">
        <v>616075.58799999999</v>
      </c>
      <c r="D1282">
        <v>3096872.1669999999</v>
      </c>
      <c r="E1282">
        <v>631.99599999999998</v>
      </c>
      <c r="F1282">
        <v>5.2</v>
      </c>
      <c r="G1282">
        <v>0</v>
      </c>
      <c r="H1282" t="s">
        <v>186</v>
      </c>
      <c r="I1282">
        <v>0</v>
      </c>
      <c r="J1282">
        <f t="shared" si="554"/>
        <v>1</v>
      </c>
      <c r="K1282">
        <f t="shared" si="555"/>
        <v>51</v>
      </c>
      <c r="L1282">
        <f t="shared" ca="1" si="556"/>
        <v>51797.843837663619</v>
      </c>
      <c r="M1282">
        <f t="shared" ca="1" si="533"/>
        <v>269348.78795585083</v>
      </c>
      <c r="N1282">
        <f t="shared" ca="1" si="534"/>
        <v>2.5998694991876676</v>
      </c>
      <c r="O1282">
        <f t="shared" ca="1" si="535"/>
        <v>1.8934557080078435E-4</v>
      </c>
      <c r="P1282">
        <f t="shared" ca="1" si="536"/>
        <v>52429.839837663618</v>
      </c>
      <c r="Q1282">
        <f t="shared" ca="1" si="537"/>
        <v>52429.839837665444</v>
      </c>
      <c r="R1282">
        <f t="shared" ca="1" si="538"/>
        <v>2.2564415439646509E-12</v>
      </c>
      <c r="S1282">
        <f t="shared" ca="1" si="557"/>
        <v>5.0000000192085281E-4</v>
      </c>
      <c r="T1282">
        <f t="shared" ca="1" si="558"/>
        <v>1</v>
      </c>
      <c r="U1282">
        <f t="shared" ca="1" si="539"/>
        <v>51800.26683766341</v>
      </c>
      <c r="V1282">
        <f t="shared" ca="1" si="540"/>
        <v>269361.38755584974</v>
      </c>
      <c r="W1282">
        <f t="shared" ca="1" si="541"/>
        <v>2.5998695052916441</v>
      </c>
      <c r="X1282">
        <f t="shared" ca="1" si="542"/>
        <v>1.8933671400629237E-4</v>
      </c>
      <c r="Y1282">
        <f t="shared" ca="1" si="543"/>
        <v>52432.262837663409</v>
      </c>
      <c r="Z1282">
        <f t="shared" ca="1" si="544"/>
        <v>52432.262837665236</v>
      </c>
      <c r="AA1282">
        <f t="shared" ca="1" si="545"/>
        <v>2.2562304480281055E-12</v>
      </c>
      <c r="AB1282">
        <f t="shared" ca="1" si="546"/>
        <v>-5.0000000192085281E-4</v>
      </c>
      <c r="AC1282">
        <f t="shared" ca="1" si="547"/>
        <v>1</v>
      </c>
      <c r="AD1282">
        <f ca="1">IF(V32="Supercritical",L1282,IF(V32="Subcritical",U1282,IF(AND(T1282=1,AC1282=1),IF((((F1282)*(L1282)^2)/2+(G1282)*(L1282)^3/3+(ABS(K1282)^2)/($I$5*MAX(((F1282)+(G1282)*(L1282))*(L1282),0.000001)))&gt;=(((F1282)*(U1282)^2)/2+(G1282)*(U1282)^3/3+(ABS(K1282)^2)/($I$5*MAX(((F1282)+(G1282)*(U1282))*(U1282),0.000001))),L1282,U1282),IF(T1282=1,L1282,IF(AC1282=1,U1282,MAX($D$16,POWER((ABS(K1282)^2)/($I$5*MAX(F1282,0.1)^2),1/3)))))))</f>
        <v>51800.26683766341</v>
      </c>
      <c r="AE1282">
        <f t="shared" ca="1" si="548"/>
        <v>52432.262837663409</v>
      </c>
      <c r="AF1282">
        <f t="shared" ca="1" si="549"/>
        <v>52432.262837665236</v>
      </c>
      <c r="AI1282">
        <v>0</v>
      </c>
      <c r="AJ1282">
        <v>0</v>
      </c>
      <c r="AK1282">
        <f t="shared" si="550"/>
        <v>0</v>
      </c>
      <c r="AL1282">
        <f t="shared" si="559"/>
        <v>0</v>
      </c>
      <c r="AM1282">
        <f t="shared" ca="1" si="551"/>
        <v>2.6560383008097266E-7</v>
      </c>
      <c r="AN1282" t="str">
        <f t="shared" ca="1" si="552"/>
        <v>Subcritical</v>
      </c>
      <c r="AO1282">
        <f t="shared" ca="1" si="553"/>
        <v>2.2562304480281055E-12</v>
      </c>
    </row>
    <row r="1283" spans="1:41" x14ac:dyDescent="0.35">
      <c r="A1283">
        <v>1134</v>
      </c>
      <c r="B1283">
        <v>1132.8889999999999</v>
      </c>
      <c r="C1283">
        <v>616075.54599999997</v>
      </c>
      <c r="D1283">
        <v>3096871.1680000001</v>
      </c>
      <c r="E1283">
        <v>631.99549999999999</v>
      </c>
      <c r="F1283">
        <v>5.2</v>
      </c>
      <c r="G1283">
        <v>0</v>
      </c>
      <c r="H1283" t="s">
        <v>186</v>
      </c>
      <c r="I1283">
        <v>5.5E-2</v>
      </c>
      <c r="J1283">
        <f t="shared" si="554"/>
        <v>1</v>
      </c>
      <c r="K1283">
        <f t="shared" si="555"/>
        <v>51</v>
      </c>
      <c r="L1283">
        <f t="shared" ca="1" si="556"/>
        <v>51797.843837663619</v>
      </c>
      <c r="M1283">
        <f t="shared" ca="1" si="533"/>
        <v>269348.78795585083</v>
      </c>
      <c r="N1283">
        <f t="shared" ca="1" si="534"/>
        <v>2.5998694991876676</v>
      </c>
      <c r="O1283">
        <f t="shared" ca="1" si="535"/>
        <v>1.8934557080078435E-4</v>
      </c>
      <c r="P1283">
        <f t="shared" ca="1" si="536"/>
        <v>52429.839337663616</v>
      </c>
      <c r="Q1283">
        <f t="shared" ca="1" si="537"/>
        <v>52429.839337665442</v>
      </c>
      <c r="R1283">
        <f t="shared" ca="1" si="538"/>
        <v>2.2564415439646509E-12</v>
      </c>
      <c r="S1283">
        <f t="shared" ca="1" si="557"/>
        <v>5.0000000192085281E-4</v>
      </c>
      <c r="T1283">
        <f t="shared" ca="1" si="558"/>
        <v>1</v>
      </c>
      <c r="U1283">
        <f t="shared" ca="1" si="539"/>
        <v>51800.26683766341</v>
      </c>
      <c r="V1283">
        <f t="shared" ca="1" si="540"/>
        <v>269361.38755584974</v>
      </c>
      <c r="W1283">
        <f t="shared" ca="1" si="541"/>
        <v>2.5998695052916441</v>
      </c>
      <c r="X1283">
        <f t="shared" ca="1" si="542"/>
        <v>1.8933671400629237E-4</v>
      </c>
      <c r="Y1283">
        <f t="shared" ca="1" si="543"/>
        <v>52432.262337663407</v>
      </c>
      <c r="Z1283">
        <f t="shared" ca="1" si="544"/>
        <v>52432.262337665234</v>
      </c>
      <c r="AA1283">
        <f t="shared" ca="1" si="545"/>
        <v>2.2562304480281055E-12</v>
      </c>
      <c r="AB1283">
        <f t="shared" ca="1" si="546"/>
        <v>-4.999999946448952E-4</v>
      </c>
      <c r="AC1283">
        <f t="shared" ca="1" si="547"/>
        <v>1</v>
      </c>
      <c r="AD1283">
        <f ca="1">IF(V32="Supercritical",L1283,IF(V32="Subcritical",U1283,IF(AND(T1283=1,AC1283=1),IF((((F1283)*(L1283)^2)/2+(G1283)*(L1283)^3/3+(ABS(K1283)^2)/($I$5*MAX(((F1283)+(G1283)*(L1283))*(L1283),0.000001)))&gt;=(((F1283)*(U1283)^2)/2+(G1283)*(U1283)^3/3+(ABS(K1283)^2)/($I$5*MAX(((F1283)+(G1283)*(U1283))*(U1283),0.000001))),L1283,U1283),IF(T1283=1,L1283,IF(AC1283=1,U1283,MAX($D$16,POWER((ABS(K1283)^2)/($I$5*MAX(F1283,0.1)^2),1/3)))))))</f>
        <v>51800.26683766341</v>
      </c>
      <c r="AE1283">
        <f t="shared" ca="1" si="548"/>
        <v>52432.262337663407</v>
      </c>
      <c r="AF1283">
        <f t="shared" ca="1" si="549"/>
        <v>52432.262337665234</v>
      </c>
      <c r="AI1283">
        <v>0</v>
      </c>
      <c r="AJ1283">
        <v>0</v>
      </c>
      <c r="AK1283">
        <f t="shared" si="550"/>
        <v>0</v>
      </c>
      <c r="AL1283">
        <f t="shared" si="559"/>
        <v>0</v>
      </c>
      <c r="AM1283">
        <f t="shared" ca="1" si="551"/>
        <v>2.6560383008097266E-7</v>
      </c>
      <c r="AN1283" t="str">
        <f t="shared" ca="1" si="552"/>
        <v>Subcritical</v>
      </c>
      <c r="AO1283">
        <f t="shared" ca="1" si="553"/>
        <v>2.2562304480281055E-12</v>
      </c>
    </row>
    <row r="1284" spans="1:41" x14ac:dyDescent="0.35">
      <c r="A1284">
        <v>1135</v>
      </c>
      <c r="B1284">
        <v>1133.8900000000001</v>
      </c>
      <c r="C1284">
        <v>616075.50300000003</v>
      </c>
      <c r="D1284">
        <v>3096870.1680000001</v>
      </c>
      <c r="E1284">
        <v>631.995</v>
      </c>
      <c r="F1284">
        <v>5.2</v>
      </c>
      <c r="G1284">
        <v>0</v>
      </c>
      <c r="H1284" t="s">
        <v>186</v>
      </c>
      <c r="I1284">
        <v>5.5E-2</v>
      </c>
      <c r="J1284">
        <f t="shared" si="554"/>
        <v>1.0010000000002037</v>
      </c>
      <c r="K1284">
        <f t="shared" si="555"/>
        <v>51</v>
      </c>
      <c r="L1284">
        <f t="shared" ca="1" si="556"/>
        <v>51797.843837663619</v>
      </c>
      <c r="M1284">
        <f t="shared" ca="1" si="533"/>
        <v>269348.78795585083</v>
      </c>
      <c r="N1284">
        <f t="shared" ca="1" si="534"/>
        <v>2.5998694991876676</v>
      </c>
      <c r="O1284">
        <f t="shared" ca="1" si="535"/>
        <v>1.8934557080078435E-4</v>
      </c>
      <c r="P1284">
        <f t="shared" ca="1" si="536"/>
        <v>52429.838837663621</v>
      </c>
      <c r="Q1284">
        <f t="shared" ca="1" si="537"/>
        <v>52429.838837665447</v>
      </c>
      <c r="R1284">
        <f t="shared" ca="1" si="538"/>
        <v>2.2564415439646509E-12</v>
      </c>
      <c r="S1284">
        <f t="shared" ca="1" si="557"/>
        <v>4.999999946448952E-4</v>
      </c>
      <c r="T1284">
        <f t="shared" ca="1" si="558"/>
        <v>1</v>
      </c>
      <c r="U1284">
        <f t="shared" ca="1" si="539"/>
        <v>51800.26683766341</v>
      </c>
      <c r="V1284">
        <f t="shared" ca="1" si="540"/>
        <v>269361.38755584974</v>
      </c>
      <c r="W1284">
        <f t="shared" ca="1" si="541"/>
        <v>2.5998695052916441</v>
      </c>
      <c r="X1284">
        <f t="shared" ca="1" si="542"/>
        <v>1.8933671400629237E-4</v>
      </c>
      <c r="Y1284">
        <f t="shared" ca="1" si="543"/>
        <v>52432.261837663413</v>
      </c>
      <c r="Z1284">
        <f t="shared" ca="1" si="544"/>
        <v>52432.261837665239</v>
      </c>
      <c r="AA1284">
        <f t="shared" ca="1" si="545"/>
        <v>2.2562304480281055E-12</v>
      </c>
      <c r="AB1284">
        <f t="shared" ca="1" si="546"/>
        <v>-5.0000000192085281E-4</v>
      </c>
      <c r="AC1284">
        <f t="shared" ca="1" si="547"/>
        <v>1</v>
      </c>
      <c r="AD1284">
        <f ca="1">IF(V32="Supercritical",L1284,IF(V32="Subcritical",U1284,IF(AND(T1284=1,AC1284=1),IF((((F1284)*(L1284)^2)/2+(G1284)*(L1284)^3/3+(ABS(K1284)^2)/($I$5*MAX(((F1284)+(G1284)*(L1284))*(L1284),0.000001)))&gt;=(((F1284)*(U1284)^2)/2+(G1284)*(U1284)^3/3+(ABS(K1284)^2)/($I$5*MAX(((F1284)+(G1284)*(U1284))*(U1284),0.000001))),L1284,U1284),IF(T1284=1,L1284,IF(AC1284=1,U1284,MAX($D$16,POWER((ABS(K1284)^2)/($I$5*MAX(F1284,0.1)^2),1/3)))))))</f>
        <v>51800.26683766341</v>
      </c>
      <c r="AE1284">
        <f t="shared" ca="1" si="548"/>
        <v>52432.261837663413</v>
      </c>
      <c r="AF1284">
        <f t="shared" ca="1" si="549"/>
        <v>52432.261837665239</v>
      </c>
      <c r="AI1284">
        <v>0</v>
      </c>
      <c r="AJ1284">
        <v>0</v>
      </c>
      <c r="AK1284">
        <f t="shared" si="550"/>
        <v>0</v>
      </c>
      <c r="AL1284">
        <f t="shared" si="559"/>
        <v>0</v>
      </c>
      <c r="AM1284">
        <f t="shared" ca="1" si="551"/>
        <v>2.6560383008097266E-7</v>
      </c>
      <c r="AN1284" t="str">
        <f t="shared" ca="1" si="552"/>
        <v>Subcritical</v>
      </c>
      <c r="AO1284">
        <f t="shared" ca="1" si="553"/>
        <v>2.2562304480281055E-12</v>
      </c>
    </row>
    <row r="1285" spans="1:41" x14ac:dyDescent="0.35">
      <c r="A1285">
        <v>1136</v>
      </c>
      <c r="B1285">
        <v>1134.8900000000001</v>
      </c>
      <c r="C1285">
        <v>616075.46100000001</v>
      </c>
      <c r="D1285">
        <v>3096869.1690000002</v>
      </c>
      <c r="E1285">
        <v>631.99450000000002</v>
      </c>
      <c r="F1285">
        <v>5.2</v>
      </c>
      <c r="G1285">
        <v>0</v>
      </c>
      <c r="H1285" t="s">
        <v>186</v>
      </c>
      <c r="I1285">
        <v>0</v>
      </c>
      <c r="J1285">
        <f t="shared" si="554"/>
        <v>1</v>
      </c>
      <c r="K1285">
        <f t="shared" si="555"/>
        <v>51</v>
      </c>
      <c r="L1285">
        <f t="shared" ca="1" si="556"/>
        <v>51797.843837663619</v>
      </c>
      <c r="M1285">
        <f t="shared" ca="1" si="533"/>
        <v>269348.78795585083</v>
      </c>
      <c r="N1285">
        <f t="shared" ca="1" si="534"/>
        <v>2.5998694991876676</v>
      </c>
      <c r="O1285">
        <f t="shared" ca="1" si="535"/>
        <v>1.8934557080078435E-4</v>
      </c>
      <c r="P1285">
        <f t="shared" ca="1" si="536"/>
        <v>52429.838337663619</v>
      </c>
      <c r="Q1285">
        <f t="shared" ca="1" si="537"/>
        <v>52429.838337665446</v>
      </c>
      <c r="R1285">
        <f t="shared" ca="1" si="538"/>
        <v>2.2564415439646509E-12</v>
      </c>
      <c r="S1285">
        <f t="shared" ca="1" si="557"/>
        <v>5.0000000192085281E-4</v>
      </c>
      <c r="T1285">
        <f t="shared" ca="1" si="558"/>
        <v>1</v>
      </c>
      <c r="U1285">
        <f t="shared" ca="1" si="539"/>
        <v>51800.26683766341</v>
      </c>
      <c r="V1285">
        <f t="shared" ca="1" si="540"/>
        <v>269361.38755584974</v>
      </c>
      <c r="W1285">
        <f t="shared" ca="1" si="541"/>
        <v>2.5998695052916441</v>
      </c>
      <c r="X1285">
        <f t="shared" ca="1" si="542"/>
        <v>1.8933671400629237E-4</v>
      </c>
      <c r="Y1285">
        <f t="shared" ca="1" si="543"/>
        <v>52432.261337663411</v>
      </c>
      <c r="Z1285">
        <f t="shared" ca="1" si="544"/>
        <v>52432.261337665237</v>
      </c>
      <c r="AA1285">
        <f t="shared" ca="1" si="545"/>
        <v>2.2562304480281055E-12</v>
      </c>
      <c r="AB1285">
        <f t="shared" ca="1" si="546"/>
        <v>-5.0000000192085281E-4</v>
      </c>
      <c r="AC1285">
        <f t="shared" ca="1" si="547"/>
        <v>1</v>
      </c>
      <c r="AD1285">
        <f ca="1">IF(V32="Supercritical",L1285,IF(V32="Subcritical",U1285,IF(AND(T1285=1,AC1285=1),IF((((F1285)*(L1285)^2)/2+(G1285)*(L1285)^3/3+(ABS(K1285)^2)/($I$5*MAX(((F1285)+(G1285)*(L1285))*(L1285),0.000001)))&gt;=(((F1285)*(U1285)^2)/2+(G1285)*(U1285)^3/3+(ABS(K1285)^2)/($I$5*MAX(((F1285)+(G1285)*(U1285))*(U1285),0.000001))),L1285,U1285),IF(T1285=1,L1285,IF(AC1285=1,U1285,MAX($D$16,POWER((ABS(K1285)^2)/($I$5*MAX(F1285,0.1)^2),1/3)))))))</f>
        <v>51800.26683766341</v>
      </c>
      <c r="AE1285">
        <f t="shared" ca="1" si="548"/>
        <v>52432.261337663411</v>
      </c>
      <c r="AF1285">
        <f t="shared" ca="1" si="549"/>
        <v>52432.261337665237</v>
      </c>
      <c r="AI1285">
        <v>0</v>
      </c>
      <c r="AJ1285">
        <v>0</v>
      </c>
      <c r="AK1285">
        <f t="shared" si="550"/>
        <v>0</v>
      </c>
      <c r="AL1285">
        <f t="shared" si="559"/>
        <v>0</v>
      </c>
      <c r="AM1285">
        <f t="shared" ca="1" si="551"/>
        <v>2.6560383008097266E-7</v>
      </c>
      <c r="AN1285" t="str">
        <f t="shared" ca="1" si="552"/>
        <v>Subcritical</v>
      </c>
      <c r="AO1285">
        <f t="shared" ca="1" si="553"/>
        <v>2.2562304480281055E-12</v>
      </c>
    </row>
    <row r="1286" spans="1:41" x14ac:dyDescent="0.35">
      <c r="A1286">
        <v>1137</v>
      </c>
      <c r="B1286">
        <v>1135.8900000000001</v>
      </c>
      <c r="C1286">
        <v>616075.41899999999</v>
      </c>
      <c r="D1286">
        <v>3096868.17</v>
      </c>
      <c r="E1286">
        <v>631.99400000000003</v>
      </c>
      <c r="F1286">
        <v>5.2</v>
      </c>
      <c r="G1286">
        <v>0</v>
      </c>
      <c r="H1286" t="s">
        <v>186</v>
      </c>
      <c r="I1286">
        <v>0</v>
      </c>
      <c r="J1286">
        <f t="shared" si="554"/>
        <v>1</v>
      </c>
      <c r="K1286">
        <f t="shared" si="555"/>
        <v>51</v>
      </c>
      <c r="L1286">
        <f t="shared" ca="1" si="556"/>
        <v>51797.843837663619</v>
      </c>
      <c r="M1286">
        <f t="shared" ca="1" si="533"/>
        <v>269348.78795585083</v>
      </c>
      <c r="N1286">
        <f t="shared" ca="1" si="534"/>
        <v>2.5998694991876676</v>
      </c>
      <c r="O1286">
        <f t="shared" ca="1" si="535"/>
        <v>1.8934557080078435E-4</v>
      </c>
      <c r="P1286">
        <f t="shared" ca="1" si="536"/>
        <v>52429.837837663617</v>
      </c>
      <c r="Q1286">
        <f t="shared" ca="1" si="537"/>
        <v>52429.837837665444</v>
      </c>
      <c r="R1286">
        <f t="shared" ca="1" si="538"/>
        <v>2.2564415439646509E-12</v>
      </c>
      <c r="S1286">
        <f t="shared" ca="1" si="557"/>
        <v>5.0000000192085281E-4</v>
      </c>
      <c r="T1286">
        <f t="shared" ca="1" si="558"/>
        <v>1</v>
      </c>
      <c r="U1286">
        <f t="shared" ca="1" si="539"/>
        <v>51800.26683766341</v>
      </c>
      <c r="V1286">
        <f t="shared" ca="1" si="540"/>
        <v>269361.38755584974</v>
      </c>
      <c r="W1286">
        <f t="shared" ca="1" si="541"/>
        <v>2.5998695052916441</v>
      </c>
      <c r="X1286">
        <f t="shared" ca="1" si="542"/>
        <v>1.8933671400629237E-4</v>
      </c>
      <c r="Y1286">
        <f t="shared" ca="1" si="543"/>
        <v>52432.260837663409</v>
      </c>
      <c r="Z1286">
        <f t="shared" ca="1" si="544"/>
        <v>52432.260837665235</v>
      </c>
      <c r="AA1286">
        <f t="shared" ca="1" si="545"/>
        <v>2.2562304480281055E-12</v>
      </c>
      <c r="AB1286">
        <f t="shared" ca="1" si="546"/>
        <v>-5.0000000192085281E-4</v>
      </c>
      <c r="AC1286">
        <f t="shared" ca="1" si="547"/>
        <v>1</v>
      </c>
      <c r="AD1286">
        <f ca="1">IF(V32="Supercritical",L1286,IF(V32="Subcritical",U1286,IF(AND(T1286=1,AC1286=1),IF((((F1286)*(L1286)^2)/2+(G1286)*(L1286)^3/3+(ABS(K1286)^2)/($I$5*MAX(((F1286)+(G1286)*(L1286))*(L1286),0.000001)))&gt;=(((F1286)*(U1286)^2)/2+(G1286)*(U1286)^3/3+(ABS(K1286)^2)/($I$5*MAX(((F1286)+(G1286)*(U1286))*(U1286),0.000001))),L1286,U1286),IF(T1286=1,L1286,IF(AC1286=1,U1286,MAX($D$16,POWER((ABS(K1286)^2)/($I$5*MAX(F1286,0.1)^2),1/3)))))))</f>
        <v>51800.26683766341</v>
      </c>
      <c r="AE1286">
        <f t="shared" ca="1" si="548"/>
        <v>52432.260837663409</v>
      </c>
      <c r="AF1286">
        <f t="shared" ca="1" si="549"/>
        <v>52432.260837665235</v>
      </c>
      <c r="AI1286">
        <v>0</v>
      </c>
      <c r="AJ1286">
        <v>0</v>
      </c>
      <c r="AK1286">
        <f t="shared" si="550"/>
        <v>0</v>
      </c>
      <c r="AL1286">
        <f t="shared" si="559"/>
        <v>0</v>
      </c>
      <c r="AM1286">
        <f t="shared" ca="1" si="551"/>
        <v>2.6560383008097266E-7</v>
      </c>
      <c r="AN1286" t="str">
        <f t="shared" ca="1" si="552"/>
        <v>Subcritical</v>
      </c>
      <c r="AO1286">
        <f t="shared" ca="1" si="553"/>
        <v>2.2562304480281055E-12</v>
      </c>
    </row>
    <row r="1287" spans="1:41" x14ac:dyDescent="0.35">
      <c r="A1287">
        <v>1138</v>
      </c>
      <c r="B1287">
        <v>1136.8889999999999</v>
      </c>
      <c r="C1287">
        <v>616075.37699999998</v>
      </c>
      <c r="D1287">
        <v>3096867.1710000001</v>
      </c>
      <c r="E1287">
        <v>631.99350000000004</v>
      </c>
      <c r="F1287">
        <v>5.2</v>
      </c>
      <c r="G1287">
        <v>0</v>
      </c>
      <c r="H1287" t="s">
        <v>186</v>
      </c>
      <c r="I1287">
        <v>5.7000000000000002E-2</v>
      </c>
      <c r="J1287">
        <f t="shared" si="554"/>
        <v>0.99899999999979627</v>
      </c>
      <c r="K1287">
        <f t="shared" si="555"/>
        <v>51</v>
      </c>
      <c r="L1287">
        <f t="shared" ca="1" si="556"/>
        <v>51797.843837663619</v>
      </c>
      <c r="M1287">
        <f t="shared" ca="1" si="533"/>
        <v>269348.78795585083</v>
      </c>
      <c r="N1287">
        <f t="shared" ca="1" si="534"/>
        <v>2.5998694991876676</v>
      </c>
      <c r="O1287">
        <f t="shared" ca="1" si="535"/>
        <v>1.8934557080078435E-4</v>
      </c>
      <c r="P1287">
        <f t="shared" ca="1" si="536"/>
        <v>52429.837337663615</v>
      </c>
      <c r="Q1287">
        <f t="shared" ca="1" si="537"/>
        <v>52429.837337665442</v>
      </c>
      <c r="R1287">
        <f t="shared" ca="1" si="538"/>
        <v>2.2564415439646509E-12</v>
      </c>
      <c r="S1287">
        <f t="shared" ca="1" si="557"/>
        <v>5.0000000192085281E-4</v>
      </c>
      <c r="T1287">
        <f t="shared" ca="1" si="558"/>
        <v>1</v>
      </c>
      <c r="U1287">
        <f t="shared" ca="1" si="539"/>
        <v>51800.26683766341</v>
      </c>
      <c r="V1287">
        <f t="shared" ca="1" si="540"/>
        <v>269361.38755584974</v>
      </c>
      <c r="W1287">
        <f t="shared" ca="1" si="541"/>
        <v>2.5998695052916441</v>
      </c>
      <c r="X1287">
        <f t="shared" ca="1" si="542"/>
        <v>1.8933671400629237E-4</v>
      </c>
      <c r="Y1287">
        <f t="shared" ca="1" si="543"/>
        <v>52432.260337663407</v>
      </c>
      <c r="Z1287">
        <f t="shared" ca="1" si="544"/>
        <v>52432.260337665233</v>
      </c>
      <c r="AA1287">
        <f t="shared" ca="1" si="545"/>
        <v>2.2562304480281055E-12</v>
      </c>
      <c r="AB1287">
        <f t="shared" ca="1" si="546"/>
        <v>-4.999999946448952E-4</v>
      </c>
      <c r="AC1287">
        <f t="shared" ca="1" si="547"/>
        <v>1</v>
      </c>
      <c r="AD1287">
        <f ca="1">IF(V32="Supercritical",L1287,IF(V32="Subcritical",U1287,IF(AND(T1287=1,AC1287=1),IF((((F1287)*(L1287)^2)/2+(G1287)*(L1287)^3/3+(ABS(K1287)^2)/($I$5*MAX(((F1287)+(G1287)*(L1287))*(L1287),0.000001)))&gt;=(((F1287)*(U1287)^2)/2+(G1287)*(U1287)^3/3+(ABS(K1287)^2)/($I$5*MAX(((F1287)+(G1287)*(U1287))*(U1287),0.000001))),L1287,U1287),IF(T1287=1,L1287,IF(AC1287=1,U1287,MAX($D$16,POWER((ABS(K1287)^2)/($I$5*MAX(F1287,0.1)^2),1/3)))))))</f>
        <v>51800.26683766341</v>
      </c>
      <c r="AE1287">
        <f t="shared" ca="1" si="548"/>
        <v>52432.260337663407</v>
      </c>
      <c r="AF1287">
        <f t="shared" ca="1" si="549"/>
        <v>52432.260337665233</v>
      </c>
      <c r="AI1287">
        <v>0</v>
      </c>
      <c r="AJ1287">
        <v>0</v>
      </c>
      <c r="AK1287">
        <f t="shared" si="550"/>
        <v>0</v>
      </c>
      <c r="AL1287">
        <f t="shared" si="559"/>
        <v>0</v>
      </c>
      <c r="AM1287">
        <f t="shared" ca="1" si="551"/>
        <v>2.6560383008097266E-7</v>
      </c>
      <c r="AN1287" t="str">
        <f t="shared" ca="1" si="552"/>
        <v>Subcritical</v>
      </c>
      <c r="AO1287">
        <f t="shared" ca="1" si="553"/>
        <v>2.2562304480281055E-12</v>
      </c>
    </row>
    <row r="1288" spans="1:41" x14ac:dyDescent="0.35">
      <c r="A1288">
        <v>1139</v>
      </c>
      <c r="B1288">
        <v>1137.8889999999999</v>
      </c>
      <c r="C1288">
        <v>616075.33400000003</v>
      </c>
      <c r="D1288">
        <v>3096866.1719999998</v>
      </c>
      <c r="E1288">
        <v>631.99300000000005</v>
      </c>
      <c r="F1288">
        <v>5.2</v>
      </c>
      <c r="G1288">
        <v>0</v>
      </c>
      <c r="H1288" t="s">
        <v>186</v>
      </c>
      <c r="I1288">
        <v>5.7000000000000002E-2</v>
      </c>
      <c r="J1288">
        <f t="shared" si="554"/>
        <v>1</v>
      </c>
      <c r="K1288">
        <f t="shared" si="555"/>
        <v>51</v>
      </c>
      <c r="L1288">
        <f t="shared" ca="1" si="556"/>
        <v>51797.843837663619</v>
      </c>
      <c r="M1288">
        <f t="shared" ca="1" si="533"/>
        <v>269348.78795585083</v>
      </c>
      <c r="N1288">
        <f t="shared" ca="1" si="534"/>
        <v>2.5998694991876676</v>
      </c>
      <c r="O1288">
        <f t="shared" ca="1" si="535"/>
        <v>1.8934557080078435E-4</v>
      </c>
      <c r="P1288">
        <f t="shared" ca="1" si="536"/>
        <v>52429.836837663621</v>
      </c>
      <c r="Q1288">
        <f t="shared" ca="1" si="537"/>
        <v>52429.836837665447</v>
      </c>
      <c r="R1288">
        <f t="shared" ca="1" si="538"/>
        <v>2.2564415439646509E-12</v>
      </c>
      <c r="S1288">
        <f t="shared" ca="1" si="557"/>
        <v>4.999999946448952E-4</v>
      </c>
      <c r="T1288">
        <f t="shared" ca="1" si="558"/>
        <v>1</v>
      </c>
      <c r="U1288">
        <f t="shared" ca="1" si="539"/>
        <v>51800.26683766341</v>
      </c>
      <c r="V1288">
        <f t="shared" ca="1" si="540"/>
        <v>269361.38755584974</v>
      </c>
      <c r="W1288">
        <f t="shared" ca="1" si="541"/>
        <v>2.5998695052916441</v>
      </c>
      <c r="X1288">
        <f t="shared" ca="1" si="542"/>
        <v>1.8933671400629237E-4</v>
      </c>
      <c r="Y1288">
        <f t="shared" ca="1" si="543"/>
        <v>52432.259837663412</v>
      </c>
      <c r="Z1288">
        <f t="shared" ca="1" si="544"/>
        <v>52432.259837665239</v>
      </c>
      <c r="AA1288">
        <f t="shared" ca="1" si="545"/>
        <v>2.2562304480281055E-12</v>
      </c>
      <c r="AB1288">
        <f t="shared" ca="1" si="546"/>
        <v>-5.0000000192085281E-4</v>
      </c>
      <c r="AC1288">
        <f t="shared" ca="1" si="547"/>
        <v>1</v>
      </c>
      <c r="AD1288">
        <f ca="1">IF(V32="Supercritical",L1288,IF(V32="Subcritical",U1288,IF(AND(T1288=1,AC1288=1),IF((((F1288)*(L1288)^2)/2+(G1288)*(L1288)^3/3+(ABS(K1288)^2)/($I$5*MAX(((F1288)+(G1288)*(L1288))*(L1288),0.000001)))&gt;=(((F1288)*(U1288)^2)/2+(G1288)*(U1288)^3/3+(ABS(K1288)^2)/($I$5*MAX(((F1288)+(G1288)*(U1288))*(U1288),0.000001))),L1288,U1288),IF(T1288=1,L1288,IF(AC1288=1,U1288,MAX($D$16,POWER((ABS(K1288)^2)/($I$5*MAX(F1288,0.1)^2),1/3)))))))</f>
        <v>51800.26683766341</v>
      </c>
      <c r="AE1288">
        <f t="shared" ca="1" si="548"/>
        <v>52432.259837663412</v>
      </c>
      <c r="AF1288">
        <f t="shared" ca="1" si="549"/>
        <v>52432.259837665239</v>
      </c>
      <c r="AI1288">
        <v>0</v>
      </c>
      <c r="AJ1288">
        <v>0</v>
      </c>
      <c r="AK1288">
        <f t="shared" si="550"/>
        <v>0</v>
      </c>
      <c r="AL1288">
        <f t="shared" si="559"/>
        <v>0</v>
      </c>
      <c r="AM1288">
        <f t="shared" ca="1" si="551"/>
        <v>2.6560383008097266E-7</v>
      </c>
      <c r="AN1288" t="str">
        <f t="shared" ca="1" si="552"/>
        <v>Subcritical</v>
      </c>
      <c r="AO1288">
        <f t="shared" ca="1" si="553"/>
        <v>2.2562304480281055E-12</v>
      </c>
    </row>
    <row r="1289" spans="1:41" x14ac:dyDescent="0.35">
      <c r="A1289">
        <v>1140</v>
      </c>
      <c r="B1289">
        <v>1138.8889999999999</v>
      </c>
      <c r="C1289">
        <v>616075.29200000002</v>
      </c>
      <c r="D1289">
        <v>3096865.173</v>
      </c>
      <c r="E1289">
        <v>631.99249999999995</v>
      </c>
      <c r="F1289">
        <v>5.2</v>
      </c>
      <c r="G1289">
        <v>0</v>
      </c>
      <c r="H1289" t="s">
        <v>186</v>
      </c>
      <c r="I1289">
        <v>0</v>
      </c>
      <c r="J1289">
        <f t="shared" si="554"/>
        <v>1</v>
      </c>
      <c r="K1289">
        <f t="shared" si="555"/>
        <v>51</v>
      </c>
      <c r="L1289">
        <f t="shared" ca="1" si="556"/>
        <v>51797.843837663619</v>
      </c>
      <c r="M1289">
        <f t="shared" ca="1" si="533"/>
        <v>269348.78795585083</v>
      </c>
      <c r="N1289">
        <f t="shared" ca="1" si="534"/>
        <v>2.5998694991876676</v>
      </c>
      <c r="O1289">
        <f t="shared" ca="1" si="535"/>
        <v>1.8934557080078435E-4</v>
      </c>
      <c r="P1289">
        <f t="shared" ca="1" si="536"/>
        <v>52429.836337663619</v>
      </c>
      <c r="Q1289">
        <f t="shared" ca="1" si="537"/>
        <v>52429.836337665445</v>
      </c>
      <c r="R1289">
        <f t="shared" ca="1" si="538"/>
        <v>2.2564415439646509E-12</v>
      </c>
      <c r="S1289">
        <f t="shared" ca="1" si="557"/>
        <v>5.0000000192085281E-4</v>
      </c>
      <c r="T1289">
        <f t="shared" ca="1" si="558"/>
        <v>1</v>
      </c>
      <c r="U1289">
        <f t="shared" ca="1" si="539"/>
        <v>51800.26683766341</v>
      </c>
      <c r="V1289">
        <f t="shared" ca="1" si="540"/>
        <v>269361.38755584974</v>
      </c>
      <c r="W1289">
        <f t="shared" ca="1" si="541"/>
        <v>2.5998695052916441</v>
      </c>
      <c r="X1289">
        <f t="shared" ca="1" si="542"/>
        <v>1.8933671400629237E-4</v>
      </c>
      <c r="Y1289">
        <f t="shared" ca="1" si="543"/>
        <v>52432.25933766341</v>
      </c>
      <c r="Z1289">
        <f t="shared" ca="1" si="544"/>
        <v>52432.259337665237</v>
      </c>
      <c r="AA1289">
        <f t="shared" ca="1" si="545"/>
        <v>2.2562304480281055E-12</v>
      </c>
      <c r="AB1289">
        <f t="shared" ca="1" si="546"/>
        <v>-5.0000000192085281E-4</v>
      </c>
      <c r="AC1289">
        <f t="shared" ca="1" si="547"/>
        <v>1</v>
      </c>
      <c r="AD1289">
        <f ca="1">IF(V32="Supercritical",L1289,IF(V32="Subcritical",U1289,IF(AND(T1289=1,AC1289=1),IF((((F1289)*(L1289)^2)/2+(G1289)*(L1289)^3/3+(ABS(K1289)^2)/($I$5*MAX(((F1289)+(G1289)*(L1289))*(L1289),0.000001)))&gt;=(((F1289)*(U1289)^2)/2+(G1289)*(U1289)^3/3+(ABS(K1289)^2)/($I$5*MAX(((F1289)+(G1289)*(U1289))*(U1289),0.000001))),L1289,U1289),IF(T1289=1,L1289,IF(AC1289=1,U1289,MAX($D$16,POWER((ABS(K1289)^2)/($I$5*MAX(F1289,0.1)^2),1/3)))))))</f>
        <v>51800.26683766341</v>
      </c>
      <c r="AE1289">
        <f t="shared" ca="1" si="548"/>
        <v>52432.25933766341</v>
      </c>
      <c r="AF1289">
        <f t="shared" ca="1" si="549"/>
        <v>52432.259337665237</v>
      </c>
      <c r="AI1289">
        <v>0</v>
      </c>
      <c r="AJ1289">
        <v>0</v>
      </c>
      <c r="AK1289">
        <f t="shared" si="550"/>
        <v>0</v>
      </c>
      <c r="AL1289">
        <f t="shared" si="559"/>
        <v>0</v>
      </c>
      <c r="AM1289">
        <f t="shared" ca="1" si="551"/>
        <v>2.6560383008097266E-7</v>
      </c>
      <c r="AN1289" t="str">
        <f t="shared" ca="1" si="552"/>
        <v>Subcritical</v>
      </c>
      <c r="AO1289">
        <f t="shared" ca="1" si="553"/>
        <v>2.2562304480281055E-12</v>
      </c>
    </row>
    <row r="1290" spans="1:41" x14ac:dyDescent="0.35">
      <c r="A1290">
        <v>1141</v>
      </c>
      <c r="B1290">
        <v>1139.8889999999999</v>
      </c>
      <c r="C1290">
        <v>616075.25</v>
      </c>
      <c r="D1290">
        <v>3096864.1740000001</v>
      </c>
      <c r="E1290">
        <v>631.99199999999996</v>
      </c>
      <c r="F1290">
        <v>5.2</v>
      </c>
      <c r="G1290">
        <v>0</v>
      </c>
      <c r="H1290" t="s">
        <v>186</v>
      </c>
      <c r="I1290">
        <v>5.7000000000000002E-2</v>
      </c>
      <c r="J1290">
        <f t="shared" si="554"/>
        <v>1</v>
      </c>
      <c r="K1290">
        <f t="shared" si="555"/>
        <v>51</v>
      </c>
      <c r="L1290">
        <f t="shared" ca="1" si="556"/>
        <v>51797.843837663619</v>
      </c>
      <c r="M1290">
        <f t="shared" ca="1" si="533"/>
        <v>269348.78795585083</v>
      </c>
      <c r="N1290">
        <f t="shared" ca="1" si="534"/>
        <v>2.5998694991876676</v>
      </c>
      <c r="O1290">
        <f t="shared" ca="1" si="535"/>
        <v>1.8934557080078435E-4</v>
      </c>
      <c r="P1290">
        <f t="shared" ca="1" si="536"/>
        <v>52429.835837663617</v>
      </c>
      <c r="Q1290">
        <f t="shared" ca="1" si="537"/>
        <v>52429.835837665443</v>
      </c>
      <c r="R1290">
        <f t="shared" ca="1" si="538"/>
        <v>2.2564415439646509E-12</v>
      </c>
      <c r="S1290">
        <f t="shared" ca="1" si="557"/>
        <v>5.0000000192085281E-4</v>
      </c>
      <c r="T1290">
        <f t="shared" ca="1" si="558"/>
        <v>1</v>
      </c>
      <c r="U1290">
        <f t="shared" ca="1" si="539"/>
        <v>51800.26683766341</v>
      </c>
      <c r="V1290">
        <f t="shared" ca="1" si="540"/>
        <v>269361.38755584974</v>
      </c>
      <c r="W1290">
        <f t="shared" ca="1" si="541"/>
        <v>2.5998695052916441</v>
      </c>
      <c r="X1290">
        <f t="shared" ca="1" si="542"/>
        <v>1.8933671400629237E-4</v>
      </c>
      <c r="Y1290">
        <f t="shared" ca="1" si="543"/>
        <v>52432.258837663408</v>
      </c>
      <c r="Z1290">
        <f t="shared" ca="1" si="544"/>
        <v>52432.258837665235</v>
      </c>
      <c r="AA1290">
        <f t="shared" ca="1" si="545"/>
        <v>2.2562304480281055E-12</v>
      </c>
      <c r="AB1290">
        <f t="shared" ca="1" si="546"/>
        <v>-5.0000000192085281E-4</v>
      </c>
      <c r="AC1290">
        <f t="shared" ca="1" si="547"/>
        <v>1</v>
      </c>
      <c r="AD1290">
        <f ca="1">IF(V32="Supercritical",L1290,IF(V32="Subcritical",U1290,IF(AND(T1290=1,AC1290=1),IF((((F1290)*(L1290)^2)/2+(G1290)*(L1290)^3/3+(ABS(K1290)^2)/($I$5*MAX(((F1290)+(G1290)*(L1290))*(L1290),0.000001)))&gt;=(((F1290)*(U1290)^2)/2+(G1290)*(U1290)^3/3+(ABS(K1290)^2)/($I$5*MAX(((F1290)+(G1290)*(U1290))*(U1290),0.000001))),L1290,U1290),IF(T1290=1,L1290,IF(AC1290=1,U1290,MAX($D$16,POWER((ABS(K1290)^2)/($I$5*MAX(F1290,0.1)^2),1/3)))))))</f>
        <v>51800.26683766341</v>
      </c>
      <c r="AE1290">
        <f t="shared" ca="1" si="548"/>
        <v>52432.258837663408</v>
      </c>
      <c r="AF1290">
        <f t="shared" ca="1" si="549"/>
        <v>52432.258837665235</v>
      </c>
      <c r="AI1290">
        <v>0</v>
      </c>
      <c r="AJ1290">
        <v>0</v>
      </c>
      <c r="AK1290">
        <f t="shared" si="550"/>
        <v>0</v>
      </c>
      <c r="AL1290">
        <f t="shared" si="559"/>
        <v>0</v>
      </c>
      <c r="AM1290">
        <f t="shared" ca="1" si="551"/>
        <v>2.6560383008097266E-7</v>
      </c>
      <c r="AN1290" t="str">
        <f t="shared" ca="1" si="552"/>
        <v>Subcritical</v>
      </c>
      <c r="AO1290">
        <f t="shared" ca="1" si="553"/>
        <v>2.2562304480281055E-12</v>
      </c>
    </row>
    <row r="1291" spans="1:41" x14ac:dyDescent="0.35">
      <c r="A1291">
        <v>1142</v>
      </c>
      <c r="B1291">
        <v>1140.8889999999999</v>
      </c>
      <c r="C1291">
        <v>616075.20700000005</v>
      </c>
      <c r="D1291">
        <v>3096863.1749999998</v>
      </c>
      <c r="E1291">
        <v>631.99149999999997</v>
      </c>
      <c r="F1291">
        <v>5.2</v>
      </c>
      <c r="G1291">
        <v>0</v>
      </c>
      <c r="H1291" t="s">
        <v>186</v>
      </c>
      <c r="I1291">
        <v>5.7000000000000002E-2</v>
      </c>
      <c r="J1291">
        <f t="shared" si="554"/>
        <v>1</v>
      </c>
      <c r="K1291">
        <f t="shared" si="555"/>
        <v>51</v>
      </c>
      <c r="L1291">
        <f t="shared" ca="1" si="556"/>
        <v>51797.843837663619</v>
      </c>
      <c r="M1291">
        <f t="shared" ca="1" si="533"/>
        <v>269348.78795585083</v>
      </c>
      <c r="N1291">
        <f t="shared" ca="1" si="534"/>
        <v>2.5998694991876676</v>
      </c>
      <c r="O1291">
        <f t="shared" ca="1" si="535"/>
        <v>1.8934557080078435E-4</v>
      </c>
      <c r="P1291">
        <f t="shared" ca="1" si="536"/>
        <v>52429.835337663615</v>
      </c>
      <c r="Q1291">
        <f t="shared" ca="1" si="537"/>
        <v>52429.835337665441</v>
      </c>
      <c r="R1291">
        <f t="shared" ca="1" si="538"/>
        <v>2.2564415439646509E-12</v>
      </c>
      <c r="S1291">
        <f t="shared" ca="1" si="557"/>
        <v>5.0000000192085281E-4</v>
      </c>
      <c r="T1291">
        <f t="shared" ca="1" si="558"/>
        <v>1</v>
      </c>
      <c r="U1291">
        <f t="shared" ca="1" si="539"/>
        <v>51800.26683766341</v>
      </c>
      <c r="V1291">
        <f t="shared" ca="1" si="540"/>
        <v>269361.38755584974</v>
      </c>
      <c r="W1291">
        <f t="shared" ca="1" si="541"/>
        <v>2.5998695052916441</v>
      </c>
      <c r="X1291">
        <f t="shared" ca="1" si="542"/>
        <v>1.8933671400629237E-4</v>
      </c>
      <c r="Y1291">
        <f t="shared" ca="1" si="543"/>
        <v>52432.258337663407</v>
      </c>
      <c r="Z1291">
        <f t="shared" ca="1" si="544"/>
        <v>52432.258337665233</v>
      </c>
      <c r="AA1291">
        <f t="shared" ca="1" si="545"/>
        <v>2.2562304480281055E-12</v>
      </c>
      <c r="AB1291">
        <f t="shared" ca="1" si="546"/>
        <v>-4.999999946448952E-4</v>
      </c>
      <c r="AC1291">
        <f t="shared" ca="1" si="547"/>
        <v>1</v>
      </c>
      <c r="AD1291">
        <f ca="1">IF(V32="Supercritical",L1291,IF(V32="Subcritical",U1291,IF(AND(T1291=1,AC1291=1),IF((((F1291)*(L1291)^2)/2+(G1291)*(L1291)^3/3+(ABS(K1291)^2)/($I$5*MAX(((F1291)+(G1291)*(L1291))*(L1291),0.000001)))&gt;=(((F1291)*(U1291)^2)/2+(G1291)*(U1291)^3/3+(ABS(K1291)^2)/($I$5*MAX(((F1291)+(G1291)*(U1291))*(U1291),0.000001))),L1291,U1291),IF(T1291=1,L1291,IF(AC1291=1,U1291,MAX($D$16,POWER((ABS(K1291)^2)/($I$5*MAX(F1291,0.1)^2),1/3)))))))</f>
        <v>51800.26683766341</v>
      </c>
      <c r="AE1291">
        <f t="shared" ca="1" si="548"/>
        <v>52432.258337663407</v>
      </c>
      <c r="AF1291">
        <f t="shared" ca="1" si="549"/>
        <v>52432.258337665233</v>
      </c>
      <c r="AI1291">
        <v>0</v>
      </c>
      <c r="AJ1291">
        <v>0</v>
      </c>
      <c r="AK1291">
        <f t="shared" si="550"/>
        <v>0</v>
      </c>
      <c r="AL1291">
        <f t="shared" si="559"/>
        <v>0</v>
      </c>
      <c r="AM1291">
        <f t="shared" ca="1" si="551"/>
        <v>2.6560383008097266E-7</v>
      </c>
      <c r="AN1291" t="str">
        <f t="shared" ca="1" si="552"/>
        <v>Subcritical</v>
      </c>
      <c r="AO1291">
        <f t="shared" ca="1" si="553"/>
        <v>2.2562304480281055E-12</v>
      </c>
    </row>
    <row r="1292" spans="1:41" x14ac:dyDescent="0.35">
      <c r="A1292">
        <v>1143</v>
      </c>
      <c r="B1292">
        <v>1141.8889999999999</v>
      </c>
      <c r="C1292">
        <v>616075.16500000004</v>
      </c>
      <c r="D1292">
        <v>3096862.176</v>
      </c>
      <c r="E1292">
        <v>631.99099999999999</v>
      </c>
      <c r="F1292">
        <v>5.2</v>
      </c>
      <c r="G1292">
        <v>0</v>
      </c>
      <c r="H1292" t="s">
        <v>186</v>
      </c>
      <c r="I1292">
        <v>2E-3</v>
      </c>
      <c r="J1292">
        <f t="shared" si="554"/>
        <v>1</v>
      </c>
      <c r="K1292">
        <f t="shared" si="555"/>
        <v>51</v>
      </c>
      <c r="L1292">
        <f t="shared" ca="1" si="556"/>
        <v>51797.843837663619</v>
      </c>
      <c r="M1292">
        <f t="shared" ca="1" si="533"/>
        <v>269348.78795585083</v>
      </c>
      <c r="N1292">
        <f t="shared" ca="1" si="534"/>
        <v>2.5998694991876676</v>
      </c>
      <c r="O1292">
        <f t="shared" ca="1" si="535"/>
        <v>1.8934557080078435E-4</v>
      </c>
      <c r="P1292">
        <f t="shared" ca="1" si="536"/>
        <v>52429.83483766362</v>
      </c>
      <c r="Q1292">
        <f t="shared" ca="1" si="537"/>
        <v>52429.834837665447</v>
      </c>
      <c r="R1292">
        <f t="shared" ca="1" si="538"/>
        <v>2.2564415439646509E-12</v>
      </c>
      <c r="S1292">
        <f t="shared" ca="1" si="557"/>
        <v>4.999999946448952E-4</v>
      </c>
      <c r="T1292">
        <f t="shared" ca="1" si="558"/>
        <v>1</v>
      </c>
      <c r="U1292">
        <f t="shared" ca="1" si="539"/>
        <v>51800.26683766341</v>
      </c>
      <c r="V1292">
        <f t="shared" ca="1" si="540"/>
        <v>269361.38755584974</v>
      </c>
      <c r="W1292">
        <f t="shared" ca="1" si="541"/>
        <v>2.5998695052916441</v>
      </c>
      <c r="X1292">
        <f t="shared" ca="1" si="542"/>
        <v>1.8933671400629237E-4</v>
      </c>
      <c r="Y1292">
        <f t="shared" ca="1" si="543"/>
        <v>52432.257837663412</v>
      </c>
      <c r="Z1292">
        <f t="shared" ca="1" si="544"/>
        <v>52432.257837665238</v>
      </c>
      <c r="AA1292">
        <f t="shared" ca="1" si="545"/>
        <v>2.2562304480281055E-12</v>
      </c>
      <c r="AB1292">
        <f t="shared" ca="1" si="546"/>
        <v>-5.0000000192085281E-4</v>
      </c>
      <c r="AC1292">
        <f t="shared" ca="1" si="547"/>
        <v>1</v>
      </c>
      <c r="AD1292">
        <f ca="1">IF(V32="Supercritical",L1292,IF(V32="Subcritical",U1292,IF(AND(T1292=1,AC1292=1),IF((((F1292)*(L1292)^2)/2+(G1292)*(L1292)^3/3+(ABS(K1292)^2)/($I$5*MAX(((F1292)+(G1292)*(L1292))*(L1292),0.000001)))&gt;=(((F1292)*(U1292)^2)/2+(G1292)*(U1292)^3/3+(ABS(K1292)^2)/($I$5*MAX(((F1292)+(G1292)*(U1292))*(U1292),0.000001))),L1292,U1292),IF(T1292=1,L1292,IF(AC1292=1,U1292,MAX($D$16,POWER((ABS(K1292)^2)/($I$5*MAX(F1292,0.1)^2),1/3)))))))</f>
        <v>51800.26683766341</v>
      </c>
      <c r="AE1292">
        <f t="shared" ca="1" si="548"/>
        <v>52432.257837663412</v>
      </c>
      <c r="AF1292">
        <f t="shared" ca="1" si="549"/>
        <v>52432.257837665238</v>
      </c>
      <c r="AI1292">
        <v>0</v>
      </c>
      <c r="AJ1292">
        <v>0</v>
      </c>
      <c r="AK1292">
        <f t="shared" si="550"/>
        <v>0</v>
      </c>
      <c r="AL1292">
        <f t="shared" si="559"/>
        <v>0</v>
      </c>
      <c r="AM1292">
        <f t="shared" ca="1" si="551"/>
        <v>2.6560383008097266E-7</v>
      </c>
      <c r="AN1292" t="str">
        <f t="shared" ca="1" si="552"/>
        <v>Subcritical</v>
      </c>
      <c r="AO1292">
        <f t="shared" ca="1" si="553"/>
        <v>2.2562304480281055E-12</v>
      </c>
    </row>
    <row r="1293" spans="1:41" x14ac:dyDescent="0.35">
      <c r="A1293">
        <v>1144</v>
      </c>
      <c r="B1293">
        <v>1142.8900000000001</v>
      </c>
      <c r="C1293">
        <v>616075.12300000002</v>
      </c>
      <c r="D1293">
        <v>3096861.176</v>
      </c>
      <c r="E1293">
        <v>631.9905</v>
      </c>
      <c r="F1293">
        <v>5.2</v>
      </c>
      <c r="G1293">
        <v>0</v>
      </c>
      <c r="H1293" t="s">
        <v>186</v>
      </c>
      <c r="I1293">
        <v>2E-3</v>
      </c>
      <c r="J1293">
        <f t="shared" si="554"/>
        <v>1.0010000000002037</v>
      </c>
      <c r="K1293">
        <f t="shared" si="555"/>
        <v>51</v>
      </c>
      <c r="L1293">
        <f t="shared" ca="1" si="556"/>
        <v>51797.843837663619</v>
      </c>
      <c r="M1293">
        <f t="shared" ca="1" si="533"/>
        <v>269348.78795585083</v>
      </c>
      <c r="N1293">
        <f t="shared" ca="1" si="534"/>
        <v>2.5998694991876676</v>
      </c>
      <c r="O1293">
        <f t="shared" ca="1" si="535"/>
        <v>1.8934557080078435E-4</v>
      </c>
      <c r="P1293">
        <f t="shared" ca="1" si="536"/>
        <v>52429.834337663618</v>
      </c>
      <c r="Q1293">
        <f t="shared" ca="1" si="537"/>
        <v>52429.834337665445</v>
      </c>
      <c r="R1293">
        <f t="shared" ca="1" si="538"/>
        <v>2.2564415439646509E-12</v>
      </c>
      <c r="S1293">
        <f t="shared" ca="1" si="557"/>
        <v>5.0000000192085281E-4</v>
      </c>
      <c r="T1293">
        <f t="shared" ca="1" si="558"/>
        <v>1</v>
      </c>
      <c r="U1293">
        <f t="shared" ca="1" si="539"/>
        <v>51800.26683766341</v>
      </c>
      <c r="V1293">
        <f t="shared" ca="1" si="540"/>
        <v>269361.38755584974</v>
      </c>
      <c r="W1293">
        <f t="shared" ca="1" si="541"/>
        <v>2.5998695052916441</v>
      </c>
      <c r="X1293">
        <f t="shared" ca="1" si="542"/>
        <v>1.8933671400629237E-4</v>
      </c>
      <c r="Y1293">
        <f t="shared" ca="1" si="543"/>
        <v>52432.25733766341</v>
      </c>
      <c r="Z1293">
        <f t="shared" ca="1" si="544"/>
        <v>52432.257337665236</v>
      </c>
      <c r="AA1293">
        <f t="shared" ca="1" si="545"/>
        <v>2.2562304480281055E-12</v>
      </c>
      <c r="AB1293">
        <f t="shared" ca="1" si="546"/>
        <v>-5.0000000192085281E-4</v>
      </c>
      <c r="AC1293">
        <f t="shared" ca="1" si="547"/>
        <v>1</v>
      </c>
      <c r="AD1293">
        <f ca="1">IF(V32="Supercritical",L1293,IF(V32="Subcritical",U1293,IF(AND(T1293=1,AC1293=1),IF((((F1293)*(L1293)^2)/2+(G1293)*(L1293)^3/3+(ABS(K1293)^2)/($I$5*MAX(((F1293)+(G1293)*(L1293))*(L1293),0.000001)))&gt;=(((F1293)*(U1293)^2)/2+(G1293)*(U1293)^3/3+(ABS(K1293)^2)/($I$5*MAX(((F1293)+(G1293)*(U1293))*(U1293),0.000001))),L1293,U1293),IF(T1293=1,L1293,IF(AC1293=1,U1293,MAX($D$16,POWER((ABS(K1293)^2)/($I$5*MAX(F1293,0.1)^2),1/3)))))))</f>
        <v>51800.26683766341</v>
      </c>
      <c r="AE1293">
        <f t="shared" ca="1" si="548"/>
        <v>52432.25733766341</v>
      </c>
      <c r="AF1293">
        <f t="shared" ca="1" si="549"/>
        <v>52432.257337665236</v>
      </c>
      <c r="AI1293">
        <v>0</v>
      </c>
      <c r="AJ1293">
        <v>0</v>
      </c>
      <c r="AK1293">
        <f t="shared" si="550"/>
        <v>0</v>
      </c>
      <c r="AL1293">
        <f t="shared" si="559"/>
        <v>0</v>
      </c>
      <c r="AM1293">
        <f t="shared" ca="1" si="551"/>
        <v>2.6560383008097266E-7</v>
      </c>
      <c r="AN1293" t="str">
        <f t="shared" ca="1" si="552"/>
        <v>Subcritical</v>
      </c>
      <c r="AO1293">
        <f t="shared" ca="1" si="553"/>
        <v>2.2562304480281055E-12</v>
      </c>
    </row>
    <row r="1294" spans="1:41" x14ac:dyDescent="0.35">
      <c r="A1294">
        <v>1145</v>
      </c>
      <c r="B1294">
        <v>1143.8900000000001</v>
      </c>
      <c r="C1294">
        <v>616075.08100000001</v>
      </c>
      <c r="D1294">
        <v>3096860.1770000001</v>
      </c>
      <c r="E1294">
        <v>631.99</v>
      </c>
      <c r="F1294">
        <v>5.2</v>
      </c>
      <c r="G1294">
        <v>0</v>
      </c>
      <c r="H1294" t="s">
        <v>186</v>
      </c>
      <c r="I1294">
        <v>5.7000000000000002E-2</v>
      </c>
      <c r="J1294">
        <f t="shared" si="554"/>
        <v>1</v>
      </c>
      <c r="K1294">
        <f t="shared" si="555"/>
        <v>51</v>
      </c>
      <c r="L1294">
        <f t="shared" ca="1" si="556"/>
        <v>51797.843837663619</v>
      </c>
      <c r="M1294">
        <f t="shared" ca="1" si="533"/>
        <v>269348.78795585083</v>
      </c>
      <c r="N1294">
        <f t="shared" ca="1" si="534"/>
        <v>2.5998694991876676</v>
      </c>
      <c r="O1294">
        <f t="shared" ca="1" si="535"/>
        <v>1.8934557080078435E-4</v>
      </c>
      <c r="P1294">
        <f t="shared" ca="1" si="536"/>
        <v>52429.833837663617</v>
      </c>
      <c r="Q1294">
        <f t="shared" ca="1" si="537"/>
        <v>52429.833837665443</v>
      </c>
      <c r="R1294">
        <f t="shared" ca="1" si="538"/>
        <v>2.2564415439646509E-12</v>
      </c>
      <c r="S1294">
        <f t="shared" ca="1" si="557"/>
        <v>5.0000000192085281E-4</v>
      </c>
      <c r="T1294">
        <f t="shared" ca="1" si="558"/>
        <v>1</v>
      </c>
      <c r="U1294">
        <f t="shared" ca="1" si="539"/>
        <v>51800.26683766341</v>
      </c>
      <c r="V1294">
        <f t="shared" ca="1" si="540"/>
        <v>269361.38755584974</v>
      </c>
      <c r="W1294">
        <f t="shared" ca="1" si="541"/>
        <v>2.5998695052916441</v>
      </c>
      <c r="X1294">
        <f t="shared" ca="1" si="542"/>
        <v>1.8933671400629237E-4</v>
      </c>
      <c r="Y1294">
        <f t="shared" ca="1" si="543"/>
        <v>52432.256837663408</v>
      </c>
      <c r="Z1294">
        <f t="shared" ca="1" si="544"/>
        <v>52432.256837665234</v>
      </c>
      <c r="AA1294">
        <f t="shared" ca="1" si="545"/>
        <v>2.2562304480281055E-12</v>
      </c>
      <c r="AB1294">
        <f t="shared" ca="1" si="546"/>
        <v>-4.999999946448952E-4</v>
      </c>
      <c r="AC1294">
        <f t="shared" ca="1" si="547"/>
        <v>1</v>
      </c>
      <c r="AD1294">
        <f ca="1">IF(V32="Supercritical",L1294,IF(V32="Subcritical",U1294,IF(AND(T1294=1,AC1294=1),IF((((F1294)*(L1294)^2)/2+(G1294)*(L1294)^3/3+(ABS(K1294)^2)/($I$5*MAX(((F1294)+(G1294)*(L1294))*(L1294),0.000001)))&gt;=(((F1294)*(U1294)^2)/2+(G1294)*(U1294)^3/3+(ABS(K1294)^2)/($I$5*MAX(((F1294)+(G1294)*(U1294))*(U1294),0.000001))),L1294,U1294),IF(T1294=1,L1294,IF(AC1294=1,U1294,MAX($D$16,POWER((ABS(K1294)^2)/($I$5*MAX(F1294,0.1)^2),1/3)))))))</f>
        <v>51800.26683766341</v>
      </c>
      <c r="AE1294">
        <f t="shared" ca="1" si="548"/>
        <v>52432.256837663408</v>
      </c>
      <c r="AF1294">
        <f t="shared" ca="1" si="549"/>
        <v>52432.256837665234</v>
      </c>
      <c r="AI1294">
        <v>0</v>
      </c>
      <c r="AJ1294">
        <v>0</v>
      </c>
      <c r="AK1294">
        <f t="shared" si="550"/>
        <v>0</v>
      </c>
      <c r="AL1294">
        <f t="shared" si="559"/>
        <v>0</v>
      </c>
      <c r="AM1294">
        <f t="shared" ca="1" si="551"/>
        <v>2.6560383008097266E-7</v>
      </c>
      <c r="AN1294" t="str">
        <f t="shared" ca="1" si="552"/>
        <v>Subcritical</v>
      </c>
      <c r="AO1294">
        <f t="shared" ca="1" si="553"/>
        <v>2.2562304480281055E-12</v>
      </c>
    </row>
    <row r="1295" spans="1:41" x14ac:dyDescent="0.35">
      <c r="A1295">
        <v>1146</v>
      </c>
      <c r="B1295">
        <v>1144.8900000000001</v>
      </c>
      <c r="C1295">
        <v>616075.03799999994</v>
      </c>
      <c r="D1295">
        <v>3096859.1779999998</v>
      </c>
      <c r="E1295">
        <v>631.98950000000002</v>
      </c>
      <c r="F1295">
        <v>5.2</v>
      </c>
      <c r="G1295">
        <v>0</v>
      </c>
      <c r="H1295" t="s">
        <v>186</v>
      </c>
      <c r="I1295">
        <v>5.7000000000000002E-2</v>
      </c>
      <c r="J1295">
        <f t="shared" si="554"/>
        <v>1</v>
      </c>
      <c r="K1295">
        <f t="shared" si="555"/>
        <v>51</v>
      </c>
      <c r="L1295">
        <f t="shared" ca="1" si="556"/>
        <v>51797.843837663619</v>
      </c>
      <c r="M1295">
        <f t="shared" ca="1" si="533"/>
        <v>269348.78795585083</v>
      </c>
      <c r="N1295">
        <f t="shared" ca="1" si="534"/>
        <v>2.5998694991876676</v>
      </c>
      <c r="O1295">
        <f t="shared" ca="1" si="535"/>
        <v>1.8934557080078435E-4</v>
      </c>
      <c r="P1295">
        <f t="shared" ca="1" si="536"/>
        <v>52429.833337663622</v>
      </c>
      <c r="Q1295">
        <f t="shared" ca="1" si="537"/>
        <v>52429.833337665448</v>
      </c>
      <c r="R1295">
        <f t="shared" ca="1" si="538"/>
        <v>2.2564415439646509E-12</v>
      </c>
      <c r="S1295">
        <f t="shared" ca="1" si="557"/>
        <v>4.999999946448952E-4</v>
      </c>
      <c r="T1295">
        <f t="shared" ca="1" si="558"/>
        <v>1</v>
      </c>
      <c r="U1295">
        <f t="shared" ca="1" si="539"/>
        <v>51800.26683766341</v>
      </c>
      <c r="V1295">
        <f t="shared" ca="1" si="540"/>
        <v>269361.38755584974</v>
      </c>
      <c r="W1295">
        <f t="shared" ca="1" si="541"/>
        <v>2.5998695052916441</v>
      </c>
      <c r="X1295">
        <f t="shared" ca="1" si="542"/>
        <v>1.8933671400629237E-4</v>
      </c>
      <c r="Y1295">
        <f t="shared" ca="1" si="543"/>
        <v>52432.256337663413</v>
      </c>
      <c r="Z1295">
        <f t="shared" ca="1" si="544"/>
        <v>52432.25633766524</v>
      </c>
      <c r="AA1295">
        <f t="shared" ca="1" si="545"/>
        <v>2.2562304480281055E-12</v>
      </c>
      <c r="AB1295">
        <f t="shared" ca="1" si="546"/>
        <v>-5.0000000192085281E-4</v>
      </c>
      <c r="AC1295">
        <f t="shared" ca="1" si="547"/>
        <v>1</v>
      </c>
      <c r="AD1295">
        <f ca="1">IF(V32="Supercritical",L1295,IF(V32="Subcritical",U1295,IF(AND(T1295=1,AC1295=1),IF((((F1295)*(L1295)^2)/2+(G1295)*(L1295)^3/3+(ABS(K1295)^2)/($I$5*MAX(((F1295)+(G1295)*(L1295))*(L1295),0.000001)))&gt;=(((F1295)*(U1295)^2)/2+(G1295)*(U1295)^3/3+(ABS(K1295)^2)/($I$5*MAX(((F1295)+(G1295)*(U1295))*(U1295),0.000001))),L1295,U1295),IF(T1295=1,L1295,IF(AC1295=1,U1295,MAX($D$16,POWER((ABS(K1295)^2)/($I$5*MAX(F1295,0.1)^2),1/3)))))))</f>
        <v>51800.26683766341</v>
      </c>
      <c r="AE1295">
        <f t="shared" ca="1" si="548"/>
        <v>52432.256337663413</v>
      </c>
      <c r="AF1295">
        <f t="shared" ca="1" si="549"/>
        <v>52432.25633766524</v>
      </c>
      <c r="AI1295">
        <v>0</v>
      </c>
      <c r="AJ1295">
        <v>0</v>
      </c>
      <c r="AK1295">
        <f t="shared" si="550"/>
        <v>0</v>
      </c>
      <c r="AL1295">
        <f t="shared" si="559"/>
        <v>0</v>
      </c>
      <c r="AM1295">
        <f t="shared" ca="1" si="551"/>
        <v>2.6560383008097266E-7</v>
      </c>
      <c r="AN1295" t="str">
        <f t="shared" ca="1" si="552"/>
        <v>Subcritical</v>
      </c>
      <c r="AO1295">
        <f t="shared" ca="1" si="553"/>
        <v>2.2562304480281055E-12</v>
      </c>
    </row>
    <row r="1296" spans="1:41" x14ac:dyDescent="0.35">
      <c r="A1296">
        <v>1147</v>
      </c>
      <c r="B1296">
        <v>1145.8889999999999</v>
      </c>
      <c r="C1296">
        <v>616074.99600000004</v>
      </c>
      <c r="D1296">
        <v>3096858.179</v>
      </c>
      <c r="E1296">
        <v>631.98900000000003</v>
      </c>
      <c r="F1296">
        <v>5.2</v>
      </c>
      <c r="G1296">
        <v>0</v>
      </c>
      <c r="H1296" t="s">
        <v>186</v>
      </c>
      <c r="I1296">
        <v>0</v>
      </c>
      <c r="J1296">
        <f t="shared" si="554"/>
        <v>0.99899999999979627</v>
      </c>
      <c r="K1296">
        <f t="shared" si="555"/>
        <v>51</v>
      </c>
      <c r="L1296">
        <f t="shared" ca="1" si="556"/>
        <v>51797.843837663619</v>
      </c>
      <c r="M1296">
        <f t="shared" ca="1" si="533"/>
        <v>269348.78795585083</v>
      </c>
      <c r="N1296">
        <f t="shared" ca="1" si="534"/>
        <v>2.5998694991876676</v>
      </c>
      <c r="O1296">
        <f t="shared" ca="1" si="535"/>
        <v>1.8934557080078435E-4</v>
      </c>
      <c r="P1296">
        <f t="shared" ca="1" si="536"/>
        <v>52429.83283766362</v>
      </c>
      <c r="Q1296">
        <f t="shared" ca="1" si="537"/>
        <v>52429.832837665446</v>
      </c>
      <c r="R1296">
        <f t="shared" ca="1" si="538"/>
        <v>2.2564415439646509E-12</v>
      </c>
      <c r="S1296">
        <f t="shared" ca="1" si="557"/>
        <v>5.0000000192085281E-4</v>
      </c>
      <c r="T1296">
        <f t="shared" ca="1" si="558"/>
        <v>1</v>
      </c>
      <c r="U1296">
        <f t="shared" ca="1" si="539"/>
        <v>51800.26683766341</v>
      </c>
      <c r="V1296">
        <f t="shared" ca="1" si="540"/>
        <v>269361.38755584974</v>
      </c>
      <c r="W1296">
        <f t="shared" ca="1" si="541"/>
        <v>2.5998695052916441</v>
      </c>
      <c r="X1296">
        <f t="shared" ca="1" si="542"/>
        <v>1.8933671400629237E-4</v>
      </c>
      <c r="Y1296">
        <f t="shared" ca="1" si="543"/>
        <v>52432.255837663412</v>
      </c>
      <c r="Z1296">
        <f t="shared" ca="1" si="544"/>
        <v>52432.255837665238</v>
      </c>
      <c r="AA1296">
        <f t="shared" ca="1" si="545"/>
        <v>2.2562304480281055E-12</v>
      </c>
      <c r="AB1296">
        <f t="shared" ca="1" si="546"/>
        <v>-5.0000000192085281E-4</v>
      </c>
      <c r="AC1296">
        <f t="shared" ca="1" si="547"/>
        <v>1</v>
      </c>
      <c r="AD1296">
        <f ca="1">IF(V32="Supercritical",L1296,IF(V32="Subcritical",U1296,IF(AND(T1296=1,AC1296=1),IF((((F1296)*(L1296)^2)/2+(G1296)*(L1296)^3/3+(ABS(K1296)^2)/($I$5*MAX(((F1296)+(G1296)*(L1296))*(L1296),0.000001)))&gt;=(((F1296)*(U1296)^2)/2+(G1296)*(U1296)^3/3+(ABS(K1296)^2)/($I$5*MAX(((F1296)+(G1296)*(U1296))*(U1296),0.000001))),L1296,U1296),IF(T1296=1,L1296,IF(AC1296=1,U1296,MAX($D$16,POWER((ABS(K1296)^2)/($I$5*MAX(F1296,0.1)^2),1/3)))))))</f>
        <v>51800.26683766341</v>
      </c>
      <c r="AE1296">
        <f t="shared" ca="1" si="548"/>
        <v>52432.255837663412</v>
      </c>
      <c r="AF1296">
        <f t="shared" ca="1" si="549"/>
        <v>52432.255837665238</v>
      </c>
      <c r="AI1296">
        <v>0</v>
      </c>
      <c r="AJ1296">
        <v>0</v>
      </c>
      <c r="AK1296">
        <f t="shared" si="550"/>
        <v>0</v>
      </c>
      <c r="AL1296">
        <f t="shared" si="559"/>
        <v>0</v>
      </c>
      <c r="AM1296">
        <f t="shared" ca="1" si="551"/>
        <v>2.6560383008097266E-7</v>
      </c>
      <c r="AN1296" t="str">
        <f t="shared" ca="1" si="552"/>
        <v>Subcritical</v>
      </c>
      <c r="AO1296">
        <f t="shared" ca="1" si="553"/>
        <v>2.2562304480281055E-12</v>
      </c>
    </row>
    <row r="1297" spans="1:41" x14ac:dyDescent="0.35">
      <c r="A1297">
        <v>1148</v>
      </c>
      <c r="B1297">
        <v>1146.8889999999999</v>
      </c>
      <c r="C1297">
        <v>616074.95400000003</v>
      </c>
      <c r="D1297">
        <v>3096857.18</v>
      </c>
      <c r="E1297">
        <v>631.98850000000004</v>
      </c>
      <c r="F1297">
        <v>5.2</v>
      </c>
      <c r="G1297">
        <v>0</v>
      </c>
      <c r="H1297" t="s">
        <v>186</v>
      </c>
      <c r="I1297">
        <v>0</v>
      </c>
      <c r="J1297">
        <f t="shared" si="554"/>
        <v>1</v>
      </c>
      <c r="K1297">
        <f t="shared" si="555"/>
        <v>51</v>
      </c>
      <c r="L1297">
        <f t="shared" ca="1" si="556"/>
        <v>51797.843837663619</v>
      </c>
      <c r="M1297">
        <f t="shared" ca="1" si="533"/>
        <v>269348.78795585083</v>
      </c>
      <c r="N1297">
        <f t="shared" ca="1" si="534"/>
        <v>2.5998694991876676</v>
      </c>
      <c r="O1297">
        <f t="shared" ca="1" si="535"/>
        <v>1.8934557080078435E-4</v>
      </c>
      <c r="P1297">
        <f t="shared" ca="1" si="536"/>
        <v>52429.832337663618</v>
      </c>
      <c r="Q1297">
        <f t="shared" ca="1" si="537"/>
        <v>52429.832337665444</v>
      </c>
      <c r="R1297">
        <f t="shared" ca="1" si="538"/>
        <v>2.2564415439646509E-12</v>
      </c>
      <c r="S1297">
        <f t="shared" ca="1" si="557"/>
        <v>5.0000000192085281E-4</v>
      </c>
      <c r="T1297">
        <f t="shared" ca="1" si="558"/>
        <v>1</v>
      </c>
      <c r="U1297">
        <f t="shared" ca="1" si="539"/>
        <v>51800.26683766341</v>
      </c>
      <c r="V1297">
        <f t="shared" ca="1" si="540"/>
        <v>269361.38755584974</v>
      </c>
      <c r="W1297">
        <f t="shared" ca="1" si="541"/>
        <v>2.5998695052916441</v>
      </c>
      <c r="X1297">
        <f t="shared" ca="1" si="542"/>
        <v>1.8933671400629237E-4</v>
      </c>
      <c r="Y1297">
        <f t="shared" ca="1" si="543"/>
        <v>52432.25533766341</v>
      </c>
      <c r="Z1297">
        <f t="shared" ca="1" si="544"/>
        <v>52432.255337665236</v>
      </c>
      <c r="AA1297">
        <f t="shared" ca="1" si="545"/>
        <v>2.2562304480281055E-12</v>
      </c>
      <c r="AB1297">
        <f t="shared" ca="1" si="546"/>
        <v>-5.0000000192085281E-4</v>
      </c>
      <c r="AC1297">
        <f t="shared" ca="1" si="547"/>
        <v>1</v>
      </c>
      <c r="AD1297">
        <f ca="1">IF(V32="Supercritical",L1297,IF(V32="Subcritical",U1297,IF(AND(T1297=1,AC1297=1),IF((((F1297)*(L1297)^2)/2+(G1297)*(L1297)^3/3+(ABS(K1297)^2)/($I$5*MAX(((F1297)+(G1297)*(L1297))*(L1297),0.000001)))&gt;=(((F1297)*(U1297)^2)/2+(G1297)*(U1297)^3/3+(ABS(K1297)^2)/($I$5*MAX(((F1297)+(G1297)*(U1297))*(U1297),0.000001))),L1297,U1297),IF(T1297=1,L1297,IF(AC1297=1,U1297,MAX($D$16,POWER((ABS(K1297)^2)/($I$5*MAX(F1297,0.1)^2),1/3)))))))</f>
        <v>51800.26683766341</v>
      </c>
      <c r="AE1297">
        <f t="shared" ca="1" si="548"/>
        <v>52432.25533766341</v>
      </c>
      <c r="AF1297">
        <f t="shared" ca="1" si="549"/>
        <v>52432.255337665236</v>
      </c>
      <c r="AI1297">
        <v>0</v>
      </c>
      <c r="AJ1297">
        <v>0</v>
      </c>
      <c r="AK1297">
        <f t="shared" si="550"/>
        <v>0</v>
      </c>
      <c r="AL1297">
        <f t="shared" si="559"/>
        <v>0</v>
      </c>
      <c r="AM1297">
        <f t="shared" ca="1" si="551"/>
        <v>2.6560383008097266E-7</v>
      </c>
      <c r="AN1297" t="str">
        <f t="shared" ca="1" si="552"/>
        <v>Subcritical</v>
      </c>
      <c r="AO1297">
        <f t="shared" ca="1" si="553"/>
        <v>2.2562304480281055E-12</v>
      </c>
    </row>
    <row r="1298" spans="1:41" x14ac:dyDescent="0.35">
      <c r="A1298">
        <v>1149</v>
      </c>
      <c r="B1298">
        <v>1147.8889999999999</v>
      </c>
      <c r="C1298">
        <v>616074.91200000001</v>
      </c>
      <c r="D1298">
        <v>3096856.1809999999</v>
      </c>
      <c r="E1298">
        <v>631.98800000000006</v>
      </c>
      <c r="F1298">
        <v>5.2</v>
      </c>
      <c r="G1298">
        <v>0</v>
      </c>
      <c r="H1298" t="s">
        <v>186</v>
      </c>
      <c r="I1298">
        <v>5.7000000000000002E-2</v>
      </c>
      <c r="J1298">
        <f t="shared" si="554"/>
        <v>1</v>
      </c>
      <c r="K1298">
        <f t="shared" si="555"/>
        <v>51</v>
      </c>
      <c r="L1298">
        <f t="shared" ca="1" si="556"/>
        <v>51797.843837663619</v>
      </c>
      <c r="M1298">
        <f t="shared" ca="1" si="533"/>
        <v>269348.78795585083</v>
      </c>
      <c r="N1298">
        <f t="shared" ca="1" si="534"/>
        <v>2.5998694991876676</v>
      </c>
      <c r="O1298">
        <f t="shared" ca="1" si="535"/>
        <v>1.8934557080078435E-4</v>
      </c>
      <c r="P1298">
        <f t="shared" ca="1" si="536"/>
        <v>52429.831837663616</v>
      </c>
      <c r="Q1298">
        <f t="shared" ca="1" si="537"/>
        <v>52429.831837665442</v>
      </c>
      <c r="R1298">
        <f t="shared" ca="1" si="538"/>
        <v>2.2564415439646509E-12</v>
      </c>
      <c r="S1298">
        <f t="shared" ca="1" si="557"/>
        <v>5.0000000192085281E-4</v>
      </c>
      <c r="T1298">
        <f t="shared" ca="1" si="558"/>
        <v>1</v>
      </c>
      <c r="U1298">
        <f t="shared" ca="1" si="539"/>
        <v>51800.26683766341</v>
      </c>
      <c r="V1298">
        <f t="shared" ca="1" si="540"/>
        <v>269361.38755584974</v>
      </c>
      <c r="W1298">
        <f t="shared" ca="1" si="541"/>
        <v>2.5998695052916441</v>
      </c>
      <c r="X1298">
        <f t="shared" ca="1" si="542"/>
        <v>1.8933671400629237E-4</v>
      </c>
      <c r="Y1298">
        <f t="shared" ca="1" si="543"/>
        <v>52432.254837663408</v>
      </c>
      <c r="Z1298">
        <f t="shared" ca="1" si="544"/>
        <v>52432.254837665234</v>
      </c>
      <c r="AA1298">
        <f t="shared" ca="1" si="545"/>
        <v>2.2562304480281055E-12</v>
      </c>
      <c r="AB1298">
        <f t="shared" ca="1" si="546"/>
        <v>-4.999999946448952E-4</v>
      </c>
      <c r="AC1298">
        <f t="shared" ca="1" si="547"/>
        <v>1</v>
      </c>
      <c r="AD1298">
        <f ca="1">IF(V32="Supercritical",L1298,IF(V32="Subcritical",U1298,IF(AND(T1298=1,AC1298=1),IF((((F1298)*(L1298)^2)/2+(G1298)*(L1298)^3/3+(ABS(K1298)^2)/($I$5*MAX(((F1298)+(G1298)*(L1298))*(L1298),0.000001)))&gt;=(((F1298)*(U1298)^2)/2+(G1298)*(U1298)^3/3+(ABS(K1298)^2)/($I$5*MAX(((F1298)+(G1298)*(U1298))*(U1298),0.000001))),L1298,U1298),IF(T1298=1,L1298,IF(AC1298=1,U1298,MAX($D$16,POWER((ABS(K1298)^2)/($I$5*MAX(F1298,0.1)^2),1/3)))))))</f>
        <v>51800.26683766341</v>
      </c>
      <c r="AE1298">
        <f t="shared" ca="1" si="548"/>
        <v>52432.254837663408</v>
      </c>
      <c r="AF1298">
        <f t="shared" ca="1" si="549"/>
        <v>52432.254837665234</v>
      </c>
      <c r="AI1298">
        <v>0</v>
      </c>
      <c r="AJ1298">
        <v>0</v>
      </c>
      <c r="AK1298">
        <f t="shared" si="550"/>
        <v>0</v>
      </c>
      <c r="AL1298">
        <f t="shared" si="559"/>
        <v>0</v>
      </c>
      <c r="AM1298">
        <f t="shared" ca="1" si="551"/>
        <v>2.6560383008097266E-7</v>
      </c>
      <c r="AN1298" t="str">
        <f t="shared" ca="1" si="552"/>
        <v>Subcritical</v>
      </c>
      <c r="AO1298">
        <f t="shared" ca="1" si="553"/>
        <v>2.2562304480281055E-12</v>
      </c>
    </row>
    <row r="1299" spans="1:41" x14ac:dyDescent="0.35">
      <c r="A1299">
        <v>1150</v>
      </c>
      <c r="B1299">
        <v>1148.8889999999999</v>
      </c>
      <c r="C1299">
        <v>616074.86899999995</v>
      </c>
      <c r="D1299">
        <v>3096855.182</v>
      </c>
      <c r="E1299">
        <v>631.98749999999995</v>
      </c>
      <c r="F1299">
        <v>5.2</v>
      </c>
      <c r="G1299">
        <v>0</v>
      </c>
      <c r="H1299" t="s">
        <v>186</v>
      </c>
      <c r="I1299">
        <v>5.7000000000000002E-2</v>
      </c>
      <c r="J1299">
        <f t="shared" si="554"/>
        <v>1</v>
      </c>
      <c r="K1299">
        <f t="shared" si="555"/>
        <v>51</v>
      </c>
      <c r="L1299">
        <f t="shared" ca="1" si="556"/>
        <v>51797.843837663619</v>
      </c>
      <c r="M1299">
        <f t="shared" ca="1" si="533"/>
        <v>269348.78795585083</v>
      </c>
      <c r="N1299">
        <f t="shared" ca="1" si="534"/>
        <v>2.5998694991876676</v>
      </c>
      <c r="O1299">
        <f t="shared" ca="1" si="535"/>
        <v>1.8934557080078435E-4</v>
      </c>
      <c r="P1299">
        <f t="shared" ca="1" si="536"/>
        <v>52429.831337663622</v>
      </c>
      <c r="Q1299">
        <f t="shared" ca="1" si="537"/>
        <v>52429.831337665448</v>
      </c>
      <c r="R1299">
        <f t="shared" ca="1" si="538"/>
        <v>2.2564415439646509E-12</v>
      </c>
      <c r="S1299">
        <f t="shared" ca="1" si="557"/>
        <v>4.999999946448952E-4</v>
      </c>
      <c r="T1299">
        <f t="shared" ca="1" si="558"/>
        <v>1</v>
      </c>
      <c r="U1299">
        <f t="shared" ca="1" si="539"/>
        <v>51800.26683766341</v>
      </c>
      <c r="V1299">
        <f t="shared" ca="1" si="540"/>
        <v>269361.38755584974</v>
      </c>
      <c r="W1299">
        <f t="shared" ca="1" si="541"/>
        <v>2.5998695052916441</v>
      </c>
      <c r="X1299">
        <f t="shared" ca="1" si="542"/>
        <v>1.8933671400629237E-4</v>
      </c>
      <c r="Y1299">
        <f t="shared" ca="1" si="543"/>
        <v>52432.254337663413</v>
      </c>
      <c r="Z1299">
        <f t="shared" ca="1" si="544"/>
        <v>52432.254337665239</v>
      </c>
      <c r="AA1299">
        <f t="shared" ca="1" si="545"/>
        <v>2.2562304480281055E-12</v>
      </c>
      <c r="AB1299">
        <f t="shared" ca="1" si="546"/>
        <v>-5.0000000192085281E-4</v>
      </c>
      <c r="AC1299">
        <f t="shared" ca="1" si="547"/>
        <v>1</v>
      </c>
      <c r="AD1299">
        <f ca="1">IF(V32="Supercritical",L1299,IF(V32="Subcritical",U1299,IF(AND(T1299=1,AC1299=1),IF((((F1299)*(L1299)^2)/2+(G1299)*(L1299)^3/3+(ABS(K1299)^2)/($I$5*MAX(((F1299)+(G1299)*(L1299))*(L1299),0.000001)))&gt;=(((F1299)*(U1299)^2)/2+(G1299)*(U1299)^3/3+(ABS(K1299)^2)/($I$5*MAX(((F1299)+(G1299)*(U1299))*(U1299),0.000001))),L1299,U1299),IF(T1299=1,L1299,IF(AC1299=1,U1299,MAX($D$16,POWER((ABS(K1299)^2)/($I$5*MAX(F1299,0.1)^2),1/3)))))))</f>
        <v>51800.26683766341</v>
      </c>
      <c r="AE1299">
        <f t="shared" ca="1" si="548"/>
        <v>52432.254337663413</v>
      </c>
      <c r="AF1299">
        <f t="shared" ca="1" si="549"/>
        <v>52432.254337665239</v>
      </c>
      <c r="AI1299">
        <v>0</v>
      </c>
      <c r="AJ1299">
        <v>0</v>
      </c>
      <c r="AK1299">
        <f t="shared" si="550"/>
        <v>0</v>
      </c>
      <c r="AL1299">
        <f t="shared" si="559"/>
        <v>0</v>
      </c>
      <c r="AM1299">
        <f t="shared" ca="1" si="551"/>
        <v>2.6560383008097266E-7</v>
      </c>
      <c r="AN1299" t="str">
        <f t="shared" ca="1" si="552"/>
        <v>Subcritical</v>
      </c>
      <c r="AO1299">
        <f t="shared" ca="1" si="553"/>
        <v>2.2562304480281055E-12</v>
      </c>
    </row>
    <row r="1300" spans="1:41" x14ac:dyDescent="0.35">
      <c r="A1300">
        <v>1151</v>
      </c>
      <c r="B1300">
        <v>1149.8889999999999</v>
      </c>
      <c r="C1300">
        <v>616074.82700000005</v>
      </c>
      <c r="D1300">
        <v>3096854.1830000002</v>
      </c>
      <c r="E1300">
        <v>631.98699999999997</v>
      </c>
      <c r="F1300">
        <v>5.2</v>
      </c>
      <c r="G1300">
        <v>0</v>
      </c>
      <c r="H1300" t="s">
        <v>186</v>
      </c>
      <c r="I1300">
        <v>0</v>
      </c>
      <c r="J1300">
        <f t="shared" si="554"/>
        <v>1</v>
      </c>
      <c r="K1300">
        <f t="shared" si="555"/>
        <v>51</v>
      </c>
      <c r="L1300">
        <f t="shared" ca="1" si="556"/>
        <v>51797.843837663619</v>
      </c>
      <c r="M1300">
        <f t="shared" ca="1" si="533"/>
        <v>269348.78795585083</v>
      </c>
      <c r="N1300">
        <f t="shared" ca="1" si="534"/>
        <v>2.5998694991876676</v>
      </c>
      <c r="O1300">
        <f t="shared" ca="1" si="535"/>
        <v>1.8934557080078435E-4</v>
      </c>
      <c r="P1300">
        <f t="shared" ca="1" si="536"/>
        <v>52429.83083766362</v>
      </c>
      <c r="Q1300">
        <f t="shared" ca="1" si="537"/>
        <v>52429.830837665446</v>
      </c>
      <c r="R1300">
        <f t="shared" ca="1" si="538"/>
        <v>2.2564415439646509E-12</v>
      </c>
      <c r="S1300">
        <f t="shared" ca="1" si="557"/>
        <v>5.0000000192085281E-4</v>
      </c>
      <c r="T1300">
        <f t="shared" ca="1" si="558"/>
        <v>1</v>
      </c>
      <c r="U1300">
        <f t="shared" ca="1" si="539"/>
        <v>51800.26683766341</v>
      </c>
      <c r="V1300">
        <f t="shared" ca="1" si="540"/>
        <v>269361.38755584974</v>
      </c>
      <c r="W1300">
        <f t="shared" ca="1" si="541"/>
        <v>2.5998695052916441</v>
      </c>
      <c r="X1300">
        <f t="shared" ca="1" si="542"/>
        <v>1.8933671400629237E-4</v>
      </c>
      <c r="Y1300">
        <f t="shared" ca="1" si="543"/>
        <v>52432.253837663411</v>
      </c>
      <c r="Z1300">
        <f t="shared" ca="1" si="544"/>
        <v>52432.253837665237</v>
      </c>
      <c r="AA1300">
        <f t="shared" ca="1" si="545"/>
        <v>2.2562304480281055E-12</v>
      </c>
      <c r="AB1300">
        <f t="shared" ca="1" si="546"/>
        <v>-5.0000000192085281E-4</v>
      </c>
      <c r="AC1300">
        <f t="shared" ca="1" si="547"/>
        <v>1</v>
      </c>
      <c r="AD1300">
        <f ca="1">IF(V32="Supercritical",L1300,IF(V32="Subcritical",U1300,IF(AND(T1300=1,AC1300=1),IF((((F1300)*(L1300)^2)/2+(G1300)*(L1300)^3/3+(ABS(K1300)^2)/($I$5*MAX(((F1300)+(G1300)*(L1300))*(L1300),0.000001)))&gt;=(((F1300)*(U1300)^2)/2+(G1300)*(U1300)^3/3+(ABS(K1300)^2)/($I$5*MAX(((F1300)+(G1300)*(U1300))*(U1300),0.000001))),L1300,U1300),IF(T1300=1,L1300,IF(AC1300=1,U1300,MAX($D$16,POWER((ABS(K1300)^2)/($I$5*MAX(F1300,0.1)^2),1/3)))))))</f>
        <v>51800.26683766341</v>
      </c>
      <c r="AE1300">
        <f t="shared" ca="1" si="548"/>
        <v>52432.253837663411</v>
      </c>
      <c r="AF1300">
        <f t="shared" ca="1" si="549"/>
        <v>52432.253837665237</v>
      </c>
      <c r="AI1300">
        <v>0</v>
      </c>
      <c r="AJ1300">
        <v>0</v>
      </c>
      <c r="AK1300">
        <f t="shared" si="550"/>
        <v>0</v>
      </c>
      <c r="AL1300">
        <f t="shared" si="559"/>
        <v>0</v>
      </c>
      <c r="AM1300">
        <f t="shared" ca="1" si="551"/>
        <v>2.6560383008097266E-7</v>
      </c>
      <c r="AN1300" t="str">
        <f t="shared" ca="1" si="552"/>
        <v>Subcritical</v>
      </c>
      <c r="AO1300">
        <f t="shared" ca="1" si="553"/>
        <v>2.2562304480281055E-12</v>
      </c>
    </row>
    <row r="1301" spans="1:41" x14ac:dyDescent="0.35">
      <c r="A1301">
        <v>1152</v>
      </c>
      <c r="B1301">
        <v>1150.8889999999999</v>
      </c>
      <c r="C1301">
        <v>616074.78500000003</v>
      </c>
      <c r="D1301">
        <v>3096853.1839999999</v>
      </c>
      <c r="E1301">
        <v>631.98649999999998</v>
      </c>
      <c r="F1301">
        <v>5.2</v>
      </c>
      <c r="G1301">
        <v>0</v>
      </c>
      <c r="H1301" t="s">
        <v>186</v>
      </c>
      <c r="I1301">
        <v>0</v>
      </c>
      <c r="J1301">
        <f t="shared" si="554"/>
        <v>1</v>
      </c>
      <c r="K1301">
        <f t="shared" si="555"/>
        <v>51</v>
      </c>
      <c r="L1301">
        <f t="shared" ca="1" si="556"/>
        <v>51797.843837663619</v>
      </c>
      <c r="M1301">
        <f t="shared" ca="1" si="533"/>
        <v>269348.78795585083</v>
      </c>
      <c r="N1301">
        <f t="shared" ca="1" si="534"/>
        <v>2.5998694991876676</v>
      </c>
      <c r="O1301">
        <f t="shared" ca="1" si="535"/>
        <v>1.8934557080078435E-4</v>
      </c>
      <c r="P1301">
        <f t="shared" ca="1" si="536"/>
        <v>52429.830337663618</v>
      </c>
      <c r="Q1301">
        <f t="shared" ca="1" si="537"/>
        <v>52429.830337665444</v>
      </c>
      <c r="R1301">
        <f t="shared" ca="1" si="538"/>
        <v>2.2564415439646509E-12</v>
      </c>
      <c r="S1301">
        <f t="shared" ca="1" si="557"/>
        <v>5.0000000192085281E-4</v>
      </c>
      <c r="T1301">
        <f t="shared" ca="1" si="558"/>
        <v>1</v>
      </c>
      <c r="U1301">
        <f t="shared" ca="1" si="539"/>
        <v>51800.26683766341</v>
      </c>
      <c r="V1301">
        <f t="shared" ca="1" si="540"/>
        <v>269361.38755584974</v>
      </c>
      <c r="W1301">
        <f t="shared" ca="1" si="541"/>
        <v>2.5998695052916441</v>
      </c>
      <c r="X1301">
        <f t="shared" ca="1" si="542"/>
        <v>1.8933671400629237E-4</v>
      </c>
      <c r="Y1301">
        <f t="shared" ca="1" si="543"/>
        <v>52432.253337663409</v>
      </c>
      <c r="Z1301">
        <f t="shared" ca="1" si="544"/>
        <v>52432.253337665235</v>
      </c>
      <c r="AA1301">
        <f t="shared" ca="1" si="545"/>
        <v>2.2562304480281055E-12</v>
      </c>
      <c r="AB1301">
        <f t="shared" ca="1" si="546"/>
        <v>-5.0000000192085281E-4</v>
      </c>
      <c r="AC1301">
        <f t="shared" ca="1" si="547"/>
        <v>1</v>
      </c>
      <c r="AD1301">
        <f ca="1">IF(V32="Supercritical",L1301,IF(V32="Subcritical",U1301,IF(AND(T1301=1,AC1301=1),IF((((F1301)*(L1301)^2)/2+(G1301)*(L1301)^3/3+(ABS(K1301)^2)/($I$5*MAX(((F1301)+(G1301)*(L1301))*(L1301),0.000001)))&gt;=(((F1301)*(U1301)^2)/2+(G1301)*(U1301)^3/3+(ABS(K1301)^2)/($I$5*MAX(((F1301)+(G1301)*(U1301))*(U1301),0.000001))),L1301,U1301),IF(T1301=1,L1301,IF(AC1301=1,U1301,MAX($D$16,POWER((ABS(K1301)^2)/($I$5*MAX(F1301,0.1)^2),1/3)))))))</f>
        <v>51800.26683766341</v>
      </c>
      <c r="AE1301">
        <f t="shared" ca="1" si="548"/>
        <v>52432.253337663409</v>
      </c>
      <c r="AF1301">
        <f t="shared" ca="1" si="549"/>
        <v>52432.253337665235</v>
      </c>
      <c r="AI1301">
        <v>0</v>
      </c>
      <c r="AJ1301">
        <v>0</v>
      </c>
      <c r="AK1301">
        <f t="shared" si="550"/>
        <v>0</v>
      </c>
      <c r="AL1301">
        <f t="shared" si="559"/>
        <v>0</v>
      </c>
      <c r="AM1301">
        <f t="shared" ca="1" si="551"/>
        <v>2.6560383008097266E-7</v>
      </c>
      <c r="AN1301" t="str">
        <f t="shared" ca="1" si="552"/>
        <v>Subcritical</v>
      </c>
      <c r="AO1301">
        <f t="shared" ca="1" si="553"/>
        <v>2.2562304480281055E-12</v>
      </c>
    </row>
    <row r="1302" spans="1:41" x14ac:dyDescent="0.35">
      <c r="A1302">
        <v>1153</v>
      </c>
      <c r="B1302">
        <v>1151.8889999999999</v>
      </c>
      <c r="C1302">
        <v>616074.74300000002</v>
      </c>
      <c r="D1302">
        <v>3096852.1850000001</v>
      </c>
      <c r="E1302">
        <v>631.98599999999999</v>
      </c>
      <c r="F1302">
        <v>5.2</v>
      </c>
      <c r="G1302">
        <v>0</v>
      </c>
      <c r="H1302" t="s">
        <v>186</v>
      </c>
      <c r="I1302">
        <v>5.5E-2</v>
      </c>
      <c r="J1302">
        <f t="shared" si="554"/>
        <v>1</v>
      </c>
      <c r="K1302">
        <f t="shared" si="555"/>
        <v>51</v>
      </c>
      <c r="L1302">
        <f t="shared" ca="1" si="556"/>
        <v>51797.843837663619</v>
      </c>
      <c r="M1302">
        <f t="shared" ref="M1302:M1365" ca="1" si="560">((F1302)+(G1302)*(L1302))*(L1302)</f>
        <v>269348.78795585083</v>
      </c>
      <c r="N1302">
        <f t="shared" ref="N1302:N1365" ca="1" si="561">(((F1302)+(G1302)*(L1302))*(L1302))/MAX((F1302)+2*(L1302)*SQRT(1+(G1302)^2),0.000001)</f>
        <v>2.5998694991876676</v>
      </c>
      <c r="O1302">
        <f t="shared" ref="O1302:O1365" ca="1" si="562">ABS(K1302)/MAX(((F1302)+(G1302)*(L1302))*(L1302),0.000001)</f>
        <v>1.8934557080078435E-4</v>
      </c>
      <c r="P1302">
        <f t="shared" ref="P1302:P1365" ca="1" si="563">E1302+L1302</f>
        <v>52429.829837663616</v>
      </c>
      <c r="Q1302">
        <f t="shared" ref="Q1302:Q1365" ca="1" si="564">P1302+((ABS(K1302)/MAX(((F1302)+(G1302)*(L1302))*(L1302),0.000001))^2)/(2*$I$5)</f>
        <v>52429.829837665442</v>
      </c>
      <c r="R1302">
        <f t="shared" ref="R1302:R1365" ca="1" si="565">((ABS(K1302)*$D$6)/(MAX(((F1302)+(G1302)*(L1302))*(L1302),0.000001)*MAX(((((F1302)+(G1302)*(L1302))*(L1302))/MAX((F1302)+2*(L1302)*SQRT(1+(G1302)^2),0.000001))^(2/3),0.000001)))^2</f>
        <v>2.2564415439646509E-12</v>
      </c>
      <c r="S1302">
        <f t="shared" ca="1" si="557"/>
        <v>5.0000000192085281E-4</v>
      </c>
      <c r="T1302">
        <f t="shared" ca="1" si="558"/>
        <v>1</v>
      </c>
      <c r="U1302">
        <f t="shared" ref="U1302:U1365" ca="1" si="566">IF($D$20=0,U1303,IF(AC1303=0,U1303,IF(U1302=0,U1303,IF(ABS(AB1302)&gt;$D$19,MAX($D$16,U1302+((AB1302)*$D$18*IF((ABS(ABS(K1302)/MAX(((F1302)+(G1302)*(U1302))*(U1302),0.000001))/SQRT($I$5*MAX((((F1302)+(G1302)*(U1302))*(U1302))/MAX((F1302)+2*(G1302)*(U1302),0.000001),0.000001)))&lt;1,1,-1))),U1302))))</f>
        <v>51800.26683766341</v>
      </c>
      <c r="V1302">
        <f t="shared" ref="V1302:V1365" ca="1" si="567">((F1302)+(G1302)*(U1302))*(U1302)</f>
        <v>269361.38755584974</v>
      </c>
      <c r="W1302">
        <f t="shared" ref="W1302:W1365" ca="1" si="568">(((F1302)+(G1302)*(U1302))*(U1302))/MAX((F1302)+2*(U1302)*SQRT(1+(G1302)^2),0.000001)</f>
        <v>2.5998695052916441</v>
      </c>
      <c r="X1302">
        <f t="shared" ref="X1302:X1365" ca="1" si="569">ABS(K1302)/MAX(((F1302)+(G1302)*(U1302))*(U1302),0.000001)</f>
        <v>1.8933671400629237E-4</v>
      </c>
      <c r="Y1302">
        <f t="shared" ref="Y1302:Y1365" ca="1" si="570">E1302+U1302</f>
        <v>52432.252837663407</v>
      </c>
      <c r="Z1302">
        <f t="shared" ref="Z1302:Z1365" ca="1" si="571">Y1302+((ABS(K1302)/MAX(((F1302)+(G1302)*(U1302))*(U1302),0.000001))^2)/(2*$I$5)</f>
        <v>52432.252837665234</v>
      </c>
      <c r="AA1302">
        <f t="shared" ref="AA1302:AA1365" ca="1" si="572">((ABS(K1302)*$D$6)/(MAX(((F1302)+(G1302)*(U1302))*(U1302),0.000001)*MAX(((((F1302)+(G1302)*(U1302))*(U1302))/MAX((F1302)+2*(U1302)*SQRT(1+(G1302)^2),0.000001))^(2/3),0.000001)))^2</f>
        <v>2.2562304480281055E-12</v>
      </c>
      <c r="AB1302">
        <f t="shared" ref="AB1302:AB1365" ca="1" si="573">Z1303+(((AA1302+AA1303)/2)*J1303)+(IF(X1302&gt;X1303,$D$8*((X1302^2-X1303^2)/(2*$I$5)),$D$9*((X1303^2-X1302^2)/(2*$I$5)))+($D$10*(ABS(I1303)/90)*(MAX(X1302^2,X1303^2)/(2*$I$5))))-Z1302</f>
        <v>-4.999999946448952E-4</v>
      </c>
      <c r="AC1302">
        <f t="shared" ref="AC1302:AC1365" ca="1" si="574">IF(ABS(AB1302)&lt;$D$19,1,0)</f>
        <v>1</v>
      </c>
      <c r="AD1302">
        <f ca="1">IF(V32="Supercritical",L1302,IF(V32="Subcritical",U1302,IF(AND(T1302=1,AC1302=1),IF((((F1302)*(L1302)^2)/2+(G1302)*(L1302)^3/3+(ABS(K1302)^2)/($I$5*MAX(((F1302)+(G1302)*(L1302))*(L1302),0.000001)))&gt;=(((F1302)*(U1302)^2)/2+(G1302)*(U1302)^3/3+(ABS(K1302)^2)/($I$5*MAX(((F1302)+(G1302)*(U1302))*(U1302),0.000001))),L1302,U1302),IF(T1302=1,L1302,IF(AC1302=1,U1302,MAX($D$16,POWER((ABS(K1302)^2)/($I$5*MAX(F1302,0.1)^2),1/3)))))))</f>
        <v>51800.26683766341</v>
      </c>
      <c r="AE1302">
        <f t="shared" ref="AE1302:AE1365" ca="1" si="575">E1302+AD1302</f>
        <v>52432.252837663407</v>
      </c>
      <c r="AF1302">
        <f t="shared" ref="AF1302:AF1365" ca="1" si="576">AE1302+((ABS(K1302)/MAX(((F1302)+(G1302)*(AD1302))*(AD1302),0.000001))^2)/(2*$I$5)</f>
        <v>52432.252837665234</v>
      </c>
      <c r="AI1302">
        <v>0</v>
      </c>
      <c r="AJ1302">
        <v>0</v>
      </c>
      <c r="AK1302">
        <f t="shared" ref="AK1302:AK1365" si="577">AI1302+AJ1302</f>
        <v>0</v>
      </c>
      <c r="AL1302">
        <f t="shared" si="559"/>
        <v>0</v>
      </c>
      <c r="AM1302">
        <f t="shared" ref="AM1302:AM1365" ca="1" si="578">ABS(ABS(K1302)/MAX(((F1302)+(G1302)*(AD1302))*(AD1302),0.000001))/SQRT($I$5*MAX((((F1302)+(G1302)*(AD1302))*(AD1302))/MAX((F1302)+2*(G1302)*(AD1302),0.000001),0.000001))</f>
        <v>2.6560383008097266E-7</v>
      </c>
      <c r="AN1302" t="str">
        <f t="shared" ref="AN1302:AN1365" ca="1" si="579">IF(AM1302&lt;1,"Subcritical","Supercritical")</f>
        <v>Subcritical</v>
      </c>
      <c r="AO1302">
        <f t="shared" ref="AO1302:AO1365" ca="1" si="580">((ABS(K1302)*$D$6)/(MAX(((F1302)+(G1302)*(AD1302))*(AD1302),0.000001)*MAX(((((F1302)+(G1302)*(AD1302))*(AD1302))/MAX((F1302)+2*(AD1302)*SQRT(1+(G1302)^2),0.000001))^(2/3),0.000001)))^2</f>
        <v>2.2562304480281055E-12</v>
      </c>
    </row>
    <row r="1303" spans="1:41" x14ac:dyDescent="0.35">
      <c r="A1303">
        <v>1154</v>
      </c>
      <c r="B1303">
        <v>1152.8900000000001</v>
      </c>
      <c r="C1303">
        <v>616074.69999999995</v>
      </c>
      <c r="D1303">
        <v>3096851.1850000001</v>
      </c>
      <c r="E1303">
        <v>631.9855</v>
      </c>
      <c r="F1303">
        <v>5.2</v>
      </c>
      <c r="G1303">
        <v>0</v>
      </c>
      <c r="H1303" t="s">
        <v>186</v>
      </c>
      <c r="I1303">
        <v>5.5E-2</v>
      </c>
      <c r="J1303">
        <f t="shared" ref="J1303:J1366" si="581">B1303-B1302</f>
        <v>1.0010000000002037</v>
      </c>
      <c r="K1303">
        <f t="shared" ref="K1303:K1366" si="582">MAX(0,K1302-AK1302)</f>
        <v>51</v>
      </c>
      <c r="L1303">
        <f t="shared" ref="L1303:L1366" ca="1" si="583">IF($D$20=0,L1302,IF(T1302=0,L1302,IF(L1303=0,L1302,IF(ABS(S1303)&gt;$D$19,MAX($D$16,L1303+((S1303)*$D$18*IF((ABS(ABS(K1303)/MAX(((F1303)+(G1303)*(L1303))*(L1303),0.000001))/SQRT($I$5*MAX((((F1303)+(G1303)*(L1303))*(L1303))/MAX((F1303)+2*(G1303)*(L1303),0.000001),0.000001)))&lt;1,1,-1))),L1303))))</f>
        <v>51797.843837663619</v>
      </c>
      <c r="M1303">
        <f t="shared" ca="1" si="560"/>
        <v>269348.78795585083</v>
      </c>
      <c r="N1303">
        <f t="shared" ca="1" si="561"/>
        <v>2.5998694991876676</v>
      </c>
      <c r="O1303">
        <f t="shared" ca="1" si="562"/>
        <v>1.8934557080078435E-4</v>
      </c>
      <c r="P1303">
        <f t="shared" ca="1" si="563"/>
        <v>52429.829337663621</v>
      </c>
      <c r="Q1303">
        <f t="shared" ca="1" si="564"/>
        <v>52429.829337665447</v>
      </c>
      <c r="R1303">
        <f t="shared" ca="1" si="565"/>
        <v>2.2564415439646509E-12</v>
      </c>
      <c r="S1303">
        <f t="shared" ref="S1303:S1366" ca="1" si="584">Q1302-(((R1302+R1303)/2)*J1303)-(IF(O1302&gt;O1303,$D$8*((O1302^2-O1303^2)/(2*$I$5)),$D$9*((O1303^2-O1302^2)/(2*$I$5)))+($D$10*(ABS(I1303)/90)*(MAX(O1302^2,O1303^2)/(2*$I$5))))-Q1303</f>
        <v>4.999999946448952E-4</v>
      </c>
      <c r="T1303">
        <f t="shared" ref="T1303:T1366" ca="1" si="585">IF(ABS(S1303)&lt;$D$19,1,0)</f>
        <v>1</v>
      </c>
      <c r="U1303">
        <f t="shared" ca="1" si="566"/>
        <v>51800.26683766341</v>
      </c>
      <c r="V1303">
        <f t="shared" ca="1" si="567"/>
        <v>269361.38755584974</v>
      </c>
      <c r="W1303">
        <f t="shared" ca="1" si="568"/>
        <v>2.5998695052916441</v>
      </c>
      <c r="X1303">
        <f t="shared" ca="1" si="569"/>
        <v>1.8933671400629237E-4</v>
      </c>
      <c r="Y1303">
        <f t="shared" ca="1" si="570"/>
        <v>52432.252337663413</v>
      </c>
      <c r="Z1303">
        <f t="shared" ca="1" si="571"/>
        <v>52432.252337665239</v>
      </c>
      <c r="AA1303">
        <f t="shared" ca="1" si="572"/>
        <v>2.2562304480281055E-12</v>
      </c>
      <c r="AB1303">
        <f t="shared" ca="1" si="573"/>
        <v>-5.0000000192085281E-4</v>
      </c>
      <c r="AC1303">
        <f t="shared" ca="1" si="574"/>
        <v>1</v>
      </c>
      <c r="AD1303">
        <f ca="1">IF(V32="Supercritical",L1303,IF(V32="Subcritical",U1303,IF(AND(T1303=1,AC1303=1),IF((((F1303)*(L1303)^2)/2+(G1303)*(L1303)^3/3+(ABS(K1303)^2)/($I$5*MAX(((F1303)+(G1303)*(L1303))*(L1303),0.000001)))&gt;=(((F1303)*(U1303)^2)/2+(G1303)*(U1303)^3/3+(ABS(K1303)^2)/($I$5*MAX(((F1303)+(G1303)*(U1303))*(U1303),0.000001))),L1303,U1303),IF(T1303=1,L1303,IF(AC1303=1,U1303,MAX($D$16,POWER((ABS(K1303)^2)/($I$5*MAX(F1303,0.1)^2),1/3)))))))</f>
        <v>51800.26683766341</v>
      </c>
      <c r="AE1303">
        <f t="shared" ca="1" si="575"/>
        <v>52432.252337663413</v>
      </c>
      <c r="AF1303">
        <f t="shared" ca="1" si="576"/>
        <v>52432.252337665239</v>
      </c>
      <c r="AI1303">
        <v>0</v>
      </c>
      <c r="AJ1303">
        <v>0</v>
      </c>
      <c r="AK1303">
        <f t="shared" si="577"/>
        <v>0</v>
      </c>
      <c r="AL1303">
        <f t="shared" ref="AL1303:AL1366" si="586">AL1302+AK1303</f>
        <v>0</v>
      </c>
      <c r="AM1303">
        <f t="shared" ca="1" si="578"/>
        <v>2.6560383008097266E-7</v>
      </c>
      <c r="AN1303" t="str">
        <f t="shared" ca="1" si="579"/>
        <v>Subcritical</v>
      </c>
      <c r="AO1303">
        <f t="shared" ca="1" si="580"/>
        <v>2.2562304480281055E-12</v>
      </c>
    </row>
    <row r="1304" spans="1:41" x14ac:dyDescent="0.35">
      <c r="A1304">
        <v>1155</v>
      </c>
      <c r="B1304">
        <v>1153.8900000000001</v>
      </c>
      <c r="C1304">
        <v>616074.65800000005</v>
      </c>
      <c r="D1304">
        <v>3096850.1860000002</v>
      </c>
      <c r="E1304">
        <v>631.98500000000001</v>
      </c>
      <c r="F1304">
        <v>5.2</v>
      </c>
      <c r="G1304">
        <v>0</v>
      </c>
      <c r="H1304" t="s">
        <v>186</v>
      </c>
      <c r="I1304">
        <v>0</v>
      </c>
      <c r="J1304">
        <f t="shared" si="581"/>
        <v>1</v>
      </c>
      <c r="K1304">
        <f t="shared" si="582"/>
        <v>51</v>
      </c>
      <c r="L1304">
        <f t="shared" ca="1" si="583"/>
        <v>51797.843837663619</v>
      </c>
      <c r="M1304">
        <f t="shared" ca="1" si="560"/>
        <v>269348.78795585083</v>
      </c>
      <c r="N1304">
        <f t="shared" ca="1" si="561"/>
        <v>2.5998694991876676</v>
      </c>
      <c r="O1304">
        <f t="shared" ca="1" si="562"/>
        <v>1.8934557080078435E-4</v>
      </c>
      <c r="P1304">
        <f t="shared" ca="1" si="563"/>
        <v>52429.828837663619</v>
      </c>
      <c r="Q1304">
        <f t="shared" ca="1" si="564"/>
        <v>52429.828837665445</v>
      </c>
      <c r="R1304">
        <f t="shared" ca="1" si="565"/>
        <v>2.2564415439646509E-12</v>
      </c>
      <c r="S1304">
        <f t="shared" ca="1" si="584"/>
        <v>5.0000000192085281E-4</v>
      </c>
      <c r="T1304">
        <f t="shared" ca="1" si="585"/>
        <v>1</v>
      </c>
      <c r="U1304">
        <f t="shared" ca="1" si="566"/>
        <v>51800.26683766341</v>
      </c>
      <c r="V1304">
        <f t="shared" ca="1" si="567"/>
        <v>269361.38755584974</v>
      </c>
      <c r="W1304">
        <f t="shared" ca="1" si="568"/>
        <v>2.5998695052916441</v>
      </c>
      <c r="X1304">
        <f t="shared" ca="1" si="569"/>
        <v>1.8933671400629237E-4</v>
      </c>
      <c r="Y1304">
        <f t="shared" ca="1" si="570"/>
        <v>52432.251837663411</v>
      </c>
      <c r="Z1304">
        <f t="shared" ca="1" si="571"/>
        <v>52432.251837665237</v>
      </c>
      <c r="AA1304">
        <f t="shared" ca="1" si="572"/>
        <v>2.2562304480281055E-12</v>
      </c>
      <c r="AB1304">
        <f t="shared" ca="1" si="573"/>
        <v>-5.0000000192085281E-4</v>
      </c>
      <c r="AC1304">
        <f t="shared" ca="1" si="574"/>
        <v>1</v>
      </c>
      <c r="AD1304">
        <f ca="1">IF(V32="Supercritical",L1304,IF(V32="Subcritical",U1304,IF(AND(T1304=1,AC1304=1),IF((((F1304)*(L1304)^2)/2+(G1304)*(L1304)^3/3+(ABS(K1304)^2)/($I$5*MAX(((F1304)+(G1304)*(L1304))*(L1304),0.000001)))&gt;=(((F1304)*(U1304)^2)/2+(G1304)*(U1304)^3/3+(ABS(K1304)^2)/($I$5*MAX(((F1304)+(G1304)*(U1304))*(U1304),0.000001))),L1304,U1304),IF(T1304=1,L1304,IF(AC1304=1,U1304,MAX($D$16,POWER((ABS(K1304)^2)/($I$5*MAX(F1304,0.1)^2),1/3)))))))</f>
        <v>51800.26683766341</v>
      </c>
      <c r="AE1304">
        <f t="shared" ca="1" si="575"/>
        <v>52432.251837663411</v>
      </c>
      <c r="AF1304">
        <f t="shared" ca="1" si="576"/>
        <v>52432.251837665237</v>
      </c>
      <c r="AI1304">
        <v>0</v>
      </c>
      <c r="AJ1304">
        <v>0</v>
      </c>
      <c r="AK1304">
        <f t="shared" si="577"/>
        <v>0</v>
      </c>
      <c r="AL1304">
        <f t="shared" si="586"/>
        <v>0</v>
      </c>
      <c r="AM1304">
        <f t="shared" ca="1" si="578"/>
        <v>2.6560383008097266E-7</v>
      </c>
      <c r="AN1304" t="str">
        <f t="shared" ca="1" si="579"/>
        <v>Subcritical</v>
      </c>
      <c r="AO1304">
        <f t="shared" ca="1" si="580"/>
        <v>2.2562304480281055E-12</v>
      </c>
    </row>
    <row r="1305" spans="1:41" x14ac:dyDescent="0.35">
      <c r="A1305">
        <v>1156</v>
      </c>
      <c r="B1305">
        <v>1154.8889999999999</v>
      </c>
      <c r="C1305">
        <v>616074.61600000004</v>
      </c>
      <c r="D1305">
        <v>3096849.1869999999</v>
      </c>
      <c r="E1305">
        <v>631.98450000000003</v>
      </c>
      <c r="F1305">
        <v>5.2</v>
      </c>
      <c r="G1305">
        <v>0</v>
      </c>
      <c r="H1305" t="s">
        <v>186</v>
      </c>
      <c r="I1305">
        <v>0</v>
      </c>
      <c r="J1305">
        <f t="shared" si="581"/>
        <v>0.99899999999979627</v>
      </c>
      <c r="K1305">
        <f t="shared" si="582"/>
        <v>51</v>
      </c>
      <c r="L1305">
        <f t="shared" ca="1" si="583"/>
        <v>51797.843837663619</v>
      </c>
      <c r="M1305">
        <f t="shared" ca="1" si="560"/>
        <v>269348.78795585083</v>
      </c>
      <c r="N1305">
        <f t="shared" ca="1" si="561"/>
        <v>2.5998694991876676</v>
      </c>
      <c r="O1305">
        <f t="shared" ca="1" si="562"/>
        <v>1.8934557080078435E-4</v>
      </c>
      <c r="P1305">
        <f t="shared" ca="1" si="563"/>
        <v>52429.828337663617</v>
      </c>
      <c r="Q1305">
        <f t="shared" ca="1" si="564"/>
        <v>52429.828337665444</v>
      </c>
      <c r="R1305">
        <f t="shared" ca="1" si="565"/>
        <v>2.2564415439646509E-12</v>
      </c>
      <c r="S1305">
        <f t="shared" ca="1" si="584"/>
        <v>5.0000000192085281E-4</v>
      </c>
      <c r="T1305">
        <f t="shared" ca="1" si="585"/>
        <v>1</v>
      </c>
      <c r="U1305">
        <f t="shared" ca="1" si="566"/>
        <v>51800.26683766341</v>
      </c>
      <c r="V1305">
        <f t="shared" ca="1" si="567"/>
        <v>269361.38755584974</v>
      </c>
      <c r="W1305">
        <f t="shared" ca="1" si="568"/>
        <v>2.5998695052916441</v>
      </c>
      <c r="X1305">
        <f t="shared" ca="1" si="569"/>
        <v>1.8933671400629237E-4</v>
      </c>
      <c r="Y1305">
        <f t="shared" ca="1" si="570"/>
        <v>52432.251337663409</v>
      </c>
      <c r="Z1305">
        <f t="shared" ca="1" si="571"/>
        <v>52432.251337665235</v>
      </c>
      <c r="AA1305">
        <f t="shared" ca="1" si="572"/>
        <v>2.2562304480281055E-12</v>
      </c>
      <c r="AB1305">
        <f t="shared" ca="1" si="573"/>
        <v>-5.0000000192085281E-4</v>
      </c>
      <c r="AC1305">
        <f t="shared" ca="1" si="574"/>
        <v>1</v>
      </c>
      <c r="AD1305">
        <f ca="1">IF(V32="Supercritical",L1305,IF(V32="Subcritical",U1305,IF(AND(T1305=1,AC1305=1),IF((((F1305)*(L1305)^2)/2+(G1305)*(L1305)^3/3+(ABS(K1305)^2)/($I$5*MAX(((F1305)+(G1305)*(L1305))*(L1305),0.000001)))&gt;=(((F1305)*(U1305)^2)/2+(G1305)*(U1305)^3/3+(ABS(K1305)^2)/($I$5*MAX(((F1305)+(G1305)*(U1305))*(U1305),0.000001))),L1305,U1305),IF(T1305=1,L1305,IF(AC1305=1,U1305,MAX($D$16,POWER((ABS(K1305)^2)/($I$5*MAX(F1305,0.1)^2),1/3)))))))</f>
        <v>51800.26683766341</v>
      </c>
      <c r="AE1305">
        <f t="shared" ca="1" si="575"/>
        <v>52432.251337663409</v>
      </c>
      <c r="AF1305">
        <f t="shared" ca="1" si="576"/>
        <v>52432.251337665235</v>
      </c>
      <c r="AI1305">
        <v>0</v>
      </c>
      <c r="AJ1305">
        <v>0</v>
      </c>
      <c r="AK1305">
        <f t="shared" si="577"/>
        <v>0</v>
      </c>
      <c r="AL1305">
        <f t="shared" si="586"/>
        <v>0</v>
      </c>
      <c r="AM1305">
        <f t="shared" ca="1" si="578"/>
        <v>2.6560383008097266E-7</v>
      </c>
      <c r="AN1305" t="str">
        <f t="shared" ca="1" si="579"/>
        <v>Subcritical</v>
      </c>
      <c r="AO1305">
        <f t="shared" ca="1" si="580"/>
        <v>2.2562304480281055E-12</v>
      </c>
    </row>
    <row r="1306" spans="1:41" x14ac:dyDescent="0.35">
      <c r="A1306">
        <v>1157</v>
      </c>
      <c r="B1306">
        <v>1155.8889999999999</v>
      </c>
      <c r="C1306">
        <v>616074.57400000002</v>
      </c>
      <c r="D1306">
        <v>3096848.1880000001</v>
      </c>
      <c r="E1306">
        <v>631.98400000000004</v>
      </c>
      <c r="F1306">
        <v>5.2</v>
      </c>
      <c r="G1306">
        <v>0</v>
      </c>
      <c r="H1306" t="s">
        <v>186</v>
      </c>
      <c r="I1306">
        <v>5.7000000000000002E-2</v>
      </c>
      <c r="J1306">
        <f t="shared" si="581"/>
        <v>1</v>
      </c>
      <c r="K1306">
        <f t="shared" si="582"/>
        <v>51</v>
      </c>
      <c r="L1306">
        <f t="shared" ca="1" si="583"/>
        <v>51797.843837663619</v>
      </c>
      <c r="M1306">
        <f t="shared" ca="1" si="560"/>
        <v>269348.78795585083</v>
      </c>
      <c r="N1306">
        <f t="shared" ca="1" si="561"/>
        <v>2.5998694991876676</v>
      </c>
      <c r="O1306">
        <f t="shared" ca="1" si="562"/>
        <v>1.8934557080078435E-4</v>
      </c>
      <c r="P1306">
        <f t="shared" ca="1" si="563"/>
        <v>52429.827837663615</v>
      </c>
      <c r="Q1306">
        <f t="shared" ca="1" si="564"/>
        <v>52429.827837665442</v>
      </c>
      <c r="R1306">
        <f t="shared" ca="1" si="565"/>
        <v>2.2564415439646509E-12</v>
      </c>
      <c r="S1306">
        <f t="shared" ca="1" si="584"/>
        <v>5.0000000192085281E-4</v>
      </c>
      <c r="T1306">
        <f t="shared" ca="1" si="585"/>
        <v>1</v>
      </c>
      <c r="U1306">
        <f t="shared" ca="1" si="566"/>
        <v>51800.26683766341</v>
      </c>
      <c r="V1306">
        <f t="shared" ca="1" si="567"/>
        <v>269361.38755584974</v>
      </c>
      <c r="W1306">
        <f t="shared" ca="1" si="568"/>
        <v>2.5998695052916441</v>
      </c>
      <c r="X1306">
        <f t="shared" ca="1" si="569"/>
        <v>1.8933671400629237E-4</v>
      </c>
      <c r="Y1306">
        <f t="shared" ca="1" si="570"/>
        <v>52432.250837663407</v>
      </c>
      <c r="Z1306">
        <f t="shared" ca="1" si="571"/>
        <v>52432.250837665233</v>
      </c>
      <c r="AA1306">
        <f t="shared" ca="1" si="572"/>
        <v>2.2562304480281055E-12</v>
      </c>
      <c r="AB1306">
        <f t="shared" ca="1" si="573"/>
        <v>-4.999999946448952E-4</v>
      </c>
      <c r="AC1306">
        <f t="shared" ca="1" si="574"/>
        <v>1</v>
      </c>
      <c r="AD1306">
        <f ca="1">IF(V32="Supercritical",L1306,IF(V32="Subcritical",U1306,IF(AND(T1306=1,AC1306=1),IF((((F1306)*(L1306)^2)/2+(G1306)*(L1306)^3/3+(ABS(K1306)^2)/($I$5*MAX(((F1306)+(G1306)*(L1306))*(L1306),0.000001)))&gt;=(((F1306)*(U1306)^2)/2+(G1306)*(U1306)^3/3+(ABS(K1306)^2)/($I$5*MAX(((F1306)+(G1306)*(U1306))*(U1306),0.000001))),L1306,U1306),IF(T1306=1,L1306,IF(AC1306=1,U1306,MAX($D$16,POWER((ABS(K1306)^2)/($I$5*MAX(F1306,0.1)^2),1/3)))))))</f>
        <v>51800.26683766341</v>
      </c>
      <c r="AE1306">
        <f t="shared" ca="1" si="575"/>
        <v>52432.250837663407</v>
      </c>
      <c r="AF1306">
        <f t="shared" ca="1" si="576"/>
        <v>52432.250837665233</v>
      </c>
      <c r="AI1306">
        <v>0</v>
      </c>
      <c r="AJ1306">
        <v>0</v>
      </c>
      <c r="AK1306">
        <f t="shared" si="577"/>
        <v>0</v>
      </c>
      <c r="AL1306">
        <f t="shared" si="586"/>
        <v>0</v>
      </c>
      <c r="AM1306">
        <f t="shared" ca="1" si="578"/>
        <v>2.6560383008097266E-7</v>
      </c>
      <c r="AN1306" t="str">
        <f t="shared" ca="1" si="579"/>
        <v>Subcritical</v>
      </c>
      <c r="AO1306">
        <f t="shared" ca="1" si="580"/>
        <v>2.2562304480281055E-12</v>
      </c>
    </row>
    <row r="1307" spans="1:41" x14ac:dyDescent="0.35">
      <c r="A1307">
        <v>1158</v>
      </c>
      <c r="B1307">
        <v>1156.8889999999999</v>
      </c>
      <c r="C1307">
        <v>616074.53099999996</v>
      </c>
      <c r="D1307">
        <v>3096847.1889999998</v>
      </c>
      <c r="E1307">
        <v>631.98350000000005</v>
      </c>
      <c r="F1307">
        <v>5.2</v>
      </c>
      <c r="G1307">
        <v>0</v>
      </c>
      <c r="H1307" t="s">
        <v>186</v>
      </c>
      <c r="I1307">
        <v>5.7000000000000002E-2</v>
      </c>
      <c r="J1307">
        <f t="shared" si="581"/>
        <v>1</v>
      </c>
      <c r="K1307">
        <f t="shared" si="582"/>
        <v>51</v>
      </c>
      <c r="L1307">
        <f t="shared" ca="1" si="583"/>
        <v>51797.843837663619</v>
      </c>
      <c r="M1307">
        <f t="shared" ca="1" si="560"/>
        <v>269348.78795585083</v>
      </c>
      <c r="N1307">
        <f t="shared" ca="1" si="561"/>
        <v>2.5998694991876676</v>
      </c>
      <c r="O1307">
        <f t="shared" ca="1" si="562"/>
        <v>1.8934557080078435E-4</v>
      </c>
      <c r="P1307">
        <f t="shared" ca="1" si="563"/>
        <v>52429.827337663621</v>
      </c>
      <c r="Q1307">
        <f t="shared" ca="1" si="564"/>
        <v>52429.827337665447</v>
      </c>
      <c r="R1307">
        <f t="shared" ca="1" si="565"/>
        <v>2.2564415439646509E-12</v>
      </c>
      <c r="S1307">
        <f t="shared" ca="1" si="584"/>
        <v>4.999999946448952E-4</v>
      </c>
      <c r="T1307">
        <f t="shared" ca="1" si="585"/>
        <v>1</v>
      </c>
      <c r="U1307">
        <f t="shared" ca="1" si="566"/>
        <v>51800.26683766341</v>
      </c>
      <c r="V1307">
        <f t="shared" ca="1" si="567"/>
        <v>269361.38755584974</v>
      </c>
      <c r="W1307">
        <f t="shared" ca="1" si="568"/>
        <v>2.5998695052916441</v>
      </c>
      <c r="X1307">
        <f t="shared" ca="1" si="569"/>
        <v>1.8933671400629237E-4</v>
      </c>
      <c r="Y1307">
        <f t="shared" ca="1" si="570"/>
        <v>52432.250337663412</v>
      </c>
      <c r="Z1307">
        <f t="shared" ca="1" si="571"/>
        <v>52432.250337665238</v>
      </c>
      <c r="AA1307">
        <f t="shared" ca="1" si="572"/>
        <v>2.2562304480281055E-12</v>
      </c>
      <c r="AB1307">
        <f t="shared" ca="1" si="573"/>
        <v>-5.0000000192085281E-4</v>
      </c>
      <c r="AC1307">
        <f t="shared" ca="1" si="574"/>
        <v>1</v>
      </c>
      <c r="AD1307">
        <f ca="1">IF(V32="Supercritical",L1307,IF(V32="Subcritical",U1307,IF(AND(T1307=1,AC1307=1),IF((((F1307)*(L1307)^2)/2+(G1307)*(L1307)^3/3+(ABS(K1307)^2)/($I$5*MAX(((F1307)+(G1307)*(L1307))*(L1307),0.000001)))&gt;=(((F1307)*(U1307)^2)/2+(G1307)*(U1307)^3/3+(ABS(K1307)^2)/($I$5*MAX(((F1307)+(G1307)*(U1307))*(U1307),0.000001))),L1307,U1307),IF(T1307=1,L1307,IF(AC1307=1,U1307,MAX($D$16,POWER((ABS(K1307)^2)/($I$5*MAX(F1307,0.1)^2),1/3)))))))</f>
        <v>51800.26683766341</v>
      </c>
      <c r="AE1307">
        <f t="shared" ca="1" si="575"/>
        <v>52432.250337663412</v>
      </c>
      <c r="AF1307">
        <f t="shared" ca="1" si="576"/>
        <v>52432.250337665238</v>
      </c>
      <c r="AI1307">
        <v>0</v>
      </c>
      <c r="AJ1307">
        <v>0</v>
      </c>
      <c r="AK1307">
        <f t="shared" si="577"/>
        <v>0</v>
      </c>
      <c r="AL1307">
        <f t="shared" si="586"/>
        <v>0</v>
      </c>
      <c r="AM1307">
        <f t="shared" ca="1" si="578"/>
        <v>2.6560383008097266E-7</v>
      </c>
      <c r="AN1307" t="str">
        <f t="shared" ca="1" si="579"/>
        <v>Subcritical</v>
      </c>
      <c r="AO1307">
        <f t="shared" ca="1" si="580"/>
        <v>2.2562304480281055E-12</v>
      </c>
    </row>
    <row r="1308" spans="1:41" x14ac:dyDescent="0.35">
      <c r="A1308">
        <v>1159</v>
      </c>
      <c r="B1308">
        <v>1157.8889999999999</v>
      </c>
      <c r="C1308">
        <v>616074.48899999994</v>
      </c>
      <c r="D1308">
        <v>3096846.19</v>
      </c>
      <c r="E1308">
        <v>631.98299999999995</v>
      </c>
      <c r="F1308">
        <v>5.2</v>
      </c>
      <c r="G1308">
        <v>0</v>
      </c>
      <c r="H1308" t="s">
        <v>186</v>
      </c>
      <c r="I1308">
        <v>0</v>
      </c>
      <c r="J1308">
        <f t="shared" si="581"/>
        <v>1</v>
      </c>
      <c r="K1308">
        <f t="shared" si="582"/>
        <v>51</v>
      </c>
      <c r="L1308">
        <f t="shared" ca="1" si="583"/>
        <v>51797.843837663619</v>
      </c>
      <c r="M1308">
        <f t="shared" ca="1" si="560"/>
        <v>269348.78795585083</v>
      </c>
      <c r="N1308">
        <f t="shared" ca="1" si="561"/>
        <v>2.5998694991876676</v>
      </c>
      <c r="O1308">
        <f t="shared" ca="1" si="562"/>
        <v>1.8934557080078435E-4</v>
      </c>
      <c r="P1308">
        <f t="shared" ca="1" si="563"/>
        <v>52429.826837663619</v>
      </c>
      <c r="Q1308">
        <f t="shared" ca="1" si="564"/>
        <v>52429.826837665445</v>
      </c>
      <c r="R1308">
        <f t="shared" ca="1" si="565"/>
        <v>2.2564415439646509E-12</v>
      </c>
      <c r="S1308">
        <f t="shared" ca="1" si="584"/>
        <v>5.0000000192085281E-4</v>
      </c>
      <c r="T1308">
        <f t="shared" ca="1" si="585"/>
        <v>1</v>
      </c>
      <c r="U1308">
        <f t="shared" ca="1" si="566"/>
        <v>51800.26683766341</v>
      </c>
      <c r="V1308">
        <f t="shared" ca="1" si="567"/>
        <v>269361.38755584974</v>
      </c>
      <c r="W1308">
        <f t="shared" ca="1" si="568"/>
        <v>2.5998695052916441</v>
      </c>
      <c r="X1308">
        <f t="shared" ca="1" si="569"/>
        <v>1.8933671400629237E-4</v>
      </c>
      <c r="Y1308">
        <f t="shared" ca="1" si="570"/>
        <v>52432.24983766341</v>
      </c>
      <c r="Z1308">
        <f t="shared" ca="1" si="571"/>
        <v>52432.249837665237</v>
      </c>
      <c r="AA1308">
        <f t="shared" ca="1" si="572"/>
        <v>2.2562304480281055E-12</v>
      </c>
      <c r="AB1308">
        <f t="shared" ca="1" si="573"/>
        <v>-5.0000000192085281E-4</v>
      </c>
      <c r="AC1308">
        <f t="shared" ca="1" si="574"/>
        <v>1</v>
      </c>
      <c r="AD1308">
        <f ca="1">IF(V32="Supercritical",L1308,IF(V32="Subcritical",U1308,IF(AND(T1308=1,AC1308=1),IF((((F1308)*(L1308)^2)/2+(G1308)*(L1308)^3/3+(ABS(K1308)^2)/($I$5*MAX(((F1308)+(G1308)*(L1308))*(L1308),0.000001)))&gt;=(((F1308)*(U1308)^2)/2+(G1308)*(U1308)^3/3+(ABS(K1308)^2)/($I$5*MAX(((F1308)+(G1308)*(U1308))*(U1308),0.000001))),L1308,U1308),IF(T1308=1,L1308,IF(AC1308=1,U1308,MAX($D$16,POWER((ABS(K1308)^2)/($I$5*MAX(F1308,0.1)^2),1/3)))))))</f>
        <v>51800.26683766341</v>
      </c>
      <c r="AE1308">
        <f t="shared" ca="1" si="575"/>
        <v>52432.24983766341</v>
      </c>
      <c r="AF1308">
        <f t="shared" ca="1" si="576"/>
        <v>52432.249837665237</v>
      </c>
      <c r="AI1308">
        <v>0</v>
      </c>
      <c r="AJ1308">
        <v>0</v>
      </c>
      <c r="AK1308">
        <f t="shared" si="577"/>
        <v>0</v>
      </c>
      <c r="AL1308">
        <f t="shared" si="586"/>
        <v>0</v>
      </c>
      <c r="AM1308">
        <f t="shared" ca="1" si="578"/>
        <v>2.6560383008097266E-7</v>
      </c>
      <c r="AN1308" t="str">
        <f t="shared" ca="1" si="579"/>
        <v>Subcritical</v>
      </c>
      <c r="AO1308">
        <f t="shared" ca="1" si="580"/>
        <v>2.2562304480281055E-12</v>
      </c>
    </row>
    <row r="1309" spans="1:41" x14ac:dyDescent="0.35">
      <c r="A1309">
        <v>1160</v>
      </c>
      <c r="B1309">
        <v>1158.8889999999999</v>
      </c>
      <c r="C1309">
        <v>616074.44700000004</v>
      </c>
      <c r="D1309">
        <v>3096845.1910000001</v>
      </c>
      <c r="E1309">
        <v>631.98249999999996</v>
      </c>
      <c r="F1309">
        <v>5.2</v>
      </c>
      <c r="G1309">
        <v>0</v>
      </c>
      <c r="H1309" t="s">
        <v>186</v>
      </c>
      <c r="I1309">
        <v>0</v>
      </c>
      <c r="J1309">
        <f t="shared" si="581"/>
        <v>1</v>
      </c>
      <c r="K1309">
        <f t="shared" si="582"/>
        <v>51</v>
      </c>
      <c r="L1309">
        <f t="shared" ca="1" si="583"/>
        <v>51797.843837663619</v>
      </c>
      <c r="M1309">
        <f t="shared" ca="1" si="560"/>
        <v>269348.78795585083</v>
      </c>
      <c r="N1309">
        <f t="shared" ca="1" si="561"/>
        <v>2.5998694991876676</v>
      </c>
      <c r="O1309">
        <f t="shared" ca="1" si="562"/>
        <v>1.8934557080078435E-4</v>
      </c>
      <c r="P1309">
        <f t="shared" ca="1" si="563"/>
        <v>52429.826337663617</v>
      </c>
      <c r="Q1309">
        <f t="shared" ca="1" si="564"/>
        <v>52429.826337665443</v>
      </c>
      <c r="R1309">
        <f t="shared" ca="1" si="565"/>
        <v>2.2564415439646509E-12</v>
      </c>
      <c r="S1309">
        <f t="shared" ca="1" si="584"/>
        <v>5.0000000192085281E-4</v>
      </c>
      <c r="T1309">
        <f t="shared" ca="1" si="585"/>
        <v>1</v>
      </c>
      <c r="U1309">
        <f t="shared" ca="1" si="566"/>
        <v>51800.26683766341</v>
      </c>
      <c r="V1309">
        <f t="shared" ca="1" si="567"/>
        <v>269361.38755584974</v>
      </c>
      <c r="W1309">
        <f t="shared" ca="1" si="568"/>
        <v>2.5998695052916441</v>
      </c>
      <c r="X1309">
        <f t="shared" ca="1" si="569"/>
        <v>1.8933671400629237E-4</v>
      </c>
      <c r="Y1309">
        <f t="shared" ca="1" si="570"/>
        <v>52432.249337663408</v>
      </c>
      <c r="Z1309">
        <f t="shared" ca="1" si="571"/>
        <v>52432.249337665235</v>
      </c>
      <c r="AA1309">
        <f t="shared" ca="1" si="572"/>
        <v>2.2562304480281055E-12</v>
      </c>
      <c r="AB1309">
        <f t="shared" ca="1" si="573"/>
        <v>-4.999999946448952E-4</v>
      </c>
      <c r="AC1309">
        <f t="shared" ca="1" si="574"/>
        <v>1</v>
      </c>
      <c r="AD1309">
        <f ca="1">IF(V32="Supercritical",L1309,IF(V32="Subcritical",U1309,IF(AND(T1309=1,AC1309=1),IF((((F1309)*(L1309)^2)/2+(G1309)*(L1309)^3/3+(ABS(K1309)^2)/($I$5*MAX(((F1309)+(G1309)*(L1309))*(L1309),0.000001)))&gt;=(((F1309)*(U1309)^2)/2+(G1309)*(U1309)^3/3+(ABS(K1309)^2)/($I$5*MAX(((F1309)+(G1309)*(U1309))*(U1309),0.000001))),L1309,U1309),IF(T1309=1,L1309,IF(AC1309=1,U1309,MAX($D$16,POWER((ABS(K1309)^2)/($I$5*MAX(F1309,0.1)^2),1/3)))))))</f>
        <v>51800.26683766341</v>
      </c>
      <c r="AE1309">
        <f t="shared" ca="1" si="575"/>
        <v>52432.249337663408</v>
      </c>
      <c r="AF1309">
        <f t="shared" ca="1" si="576"/>
        <v>52432.249337665235</v>
      </c>
      <c r="AI1309">
        <v>0</v>
      </c>
      <c r="AJ1309">
        <v>0</v>
      </c>
      <c r="AK1309">
        <f t="shared" si="577"/>
        <v>0</v>
      </c>
      <c r="AL1309">
        <f t="shared" si="586"/>
        <v>0</v>
      </c>
      <c r="AM1309">
        <f t="shared" ca="1" si="578"/>
        <v>2.6560383008097266E-7</v>
      </c>
      <c r="AN1309" t="str">
        <f t="shared" ca="1" si="579"/>
        <v>Subcritical</v>
      </c>
      <c r="AO1309">
        <f t="shared" ca="1" si="580"/>
        <v>2.2562304480281055E-12</v>
      </c>
    </row>
    <row r="1310" spans="1:41" x14ac:dyDescent="0.35">
      <c r="A1310">
        <v>1161</v>
      </c>
      <c r="B1310">
        <v>1159.8889999999999</v>
      </c>
      <c r="C1310">
        <v>616074.40500000003</v>
      </c>
      <c r="D1310">
        <v>3096844.1919999998</v>
      </c>
      <c r="E1310">
        <v>631.98199999999997</v>
      </c>
      <c r="F1310">
        <v>5.2</v>
      </c>
      <c r="G1310">
        <v>0</v>
      </c>
      <c r="H1310" t="s">
        <v>186</v>
      </c>
      <c r="I1310">
        <v>5.7000000000000002E-2</v>
      </c>
      <c r="J1310">
        <f t="shared" si="581"/>
        <v>1</v>
      </c>
      <c r="K1310">
        <f t="shared" si="582"/>
        <v>51</v>
      </c>
      <c r="L1310">
        <f t="shared" ca="1" si="583"/>
        <v>51797.843837663619</v>
      </c>
      <c r="M1310">
        <f t="shared" ca="1" si="560"/>
        <v>269348.78795585083</v>
      </c>
      <c r="N1310">
        <f t="shared" ca="1" si="561"/>
        <v>2.5998694991876676</v>
      </c>
      <c r="O1310">
        <f t="shared" ca="1" si="562"/>
        <v>1.8934557080078435E-4</v>
      </c>
      <c r="P1310">
        <f t="shared" ca="1" si="563"/>
        <v>52429.825837663622</v>
      </c>
      <c r="Q1310">
        <f t="shared" ca="1" si="564"/>
        <v>52429.825837665448</v>
      </c>
      <c r="R1310">
        <f t="shared" ca="1" si="565"/>
        <v>2.2564415439646509E-12</v>
      </c>
      <c r="S1310">
        <f t="shared" ca="1" si="584"/>
        <v>4.999999946448952E-4</v>
      </c>
      <c r="T1310">
        <f t="shared" ca="1" si="585"/>
        <v>1</v>
      </c>
      <c r="U1310">
        <f t="shared" ca="1" si="566"/>
        <v>51800.26683766341</v>
      </c>
      <c r="V1310">
        <f t="shared" ca="1" si="567"/>
        <v>269361.38755584974</v>
      </c>
      <c r="W1310">
        <f t="shared" ca="1" si="568"/>
        <v>2.5998695052916441</v>
      </c>
      <c r="X1310">
        <f t="shared" ca="1" si="569"/>
        <v>1.8933671400629237E-4</v>
      </c>
      <c r="Y1310">
        <f t="shared" ca="1" si="570"/>
        <v>52432.248837663414</v>
      </c>
      <c r="Z1310">
        <f t="shared" ca="1" si="571"/>
        <v>52432.24883766524</v>
      </c>
      <c r="AA1310">
        <f t="shared" ca="1" si="572"/>
        <v>2.2562304480281055E-12</v>
      </c>
      <c r="AB1310">
        <f t="shared" ca="1" si="573"/>
        <v>-5.0000000192085281E-4</v>
      </c>
      <c r="AC1310">
        <f t="shared" ca="1" si="574"/>
        <v>1</v>
      </c>
      <c r="AD1310">
        <f ca="1">IF(V32="Supercritical",L1310,IF(V32="Subcritical",U1310,IF(AND(T1310=1,AC1310=1),IF((((F1310)*(L1310)^2)/2+(G1310)*(L1310)^3/3+(ABS(K1310)^2)/($I$5*MAX(((F1310)+(G1310)*(L1310))*(L1310),0.000001)))&gt;=(((F1310)*(U1310)^2)/2+(G1310)*(U1310)^3/3+(ABS(K1310)^2)/($I$5*MAX(((F1310)+(G1310)*(U1310))*(U1310),0.000001))),L1310,U1310),IF(T1310=1,L1310,IF(AC1310=1,U1310,MAX($D$16,POWER((ABS(K1310)^2)/($I$5*MAX(F1310,0.1)^2),1/3)))))))</f>
        <v>51800.26683766341</v>
      </c>
      <c r="AE1310">
        <f t="shared" ca="1" si="575"/>
        <v>52432.248837663414</v>
      </c>
      <c r="AF1310">
        <f t="shared" ca="1" si="576"/>
        <v>52432.24883766524</v>
      </c>
      <c r="AI1310">
        <v>0</v>
      </c>
      <c r="AJ1310">
        <v>0</v>
      </c>
      <c r="AK1310">
        <f t="shared" si="577"/>
        <v>0</v>
      </c>
      <c r="AL1310">
        <f t="shared" si="586"/>
        <v>0</v>
      </c>
      <c r="AM1310">
        <f t="shared" ca="1" si="578"/>
        <v>2.6560383008097266E-7</v>
      </c>
      <c r="AN1310" t="str">
        <f t="shared" ca="1" si="579"/>
        <v>Subcritical</v>
      </c>
      <c r="AO1310">
        <f t="shared" ca="1" si="580"/>
        <v>2.2562304480281055E-12</v>
      </c>
    </row>
    <row r="1311" spans="1:41" x14ac:dyDescent="0.35">
      <c r="A1311">
        <v>1162</v>
      </c>
      <c r="B1311">
        <v>1160.8889999999999</v>
      </c>
      <c r="C1311">
        <v>616074.36199999996</v>
      </c>
      <c r="D1311">
        <v>3096843.193</v>
      </c>
      <c r="E1311">
        <v>631.98149999999998</v>
      </c>
      <c r="F1311">
        <v>5.2</v>
      </c>
      <c r="G1311">
        <v>0</v>
      </c>
      <c r="H1311" t="s">
        <v>186</v>
      </c>
      <c r="I1311">
        <v>0.06</v>
      </c>
      <c r="J1311">
        <f t="shared" si="581"/>
        <v>1</v>
      </c>
      <c r="K1311">
        <f t="shared" si="582"/>
        <v>51</v>
      </c>
      <c r="L1311">
        <f t="shared" ca="1" si="583"/>
        <v>51797.843837663619</v>
      </c>
      <c r="M1311">
        <f t="shared" ca="1" si="560"/>
        <v>269348.78795585083</v>
      </c>
      <c r="N1311">
        <f t="shared" ca="1" si="561"/>
        <v>2.5998694991876676</v>
      </c>
      <c r="O1311">
        <f t="shared" ca="1" si="562"/>
        <v>1.8934557080078435E-4</v>
      </c>
      <c r="P1311">
        <f t="shared" ca="1" si="563"/>
        <v>52429.82533766362</v>
      </c>
      <c r="Q1311">
        <f t="shared" ca="1" si="564"/>
        <v>52429.825337665447</v>
      </c>
      <c r="R1311">
        <f t="shared" ca="1" si="565"/>
        <v>2.2564415439646509E-12</v>
      </c>
      <c r="S1311">
        <f t="shared" ca="1" si="584"/>
        <v>5.0000000192085281E-4</v>
      </c>
      <c r="T1311">
        <f t="shared" ca="1" si="585"/>
        <v>1</v>
      </c>
      <c r="U1311">
        <f t="shared" ca="1" si="566"/>
        <v>51800.26683766341</v>
      </c>
      <c r="V1311">
        <f t="shared" ca="1" si="567"/>
        <v>269361.38755584974</v>
      </c>
      <c r="W1311">
        <f t="shared" ca="1" si="568"/>
        <v>2.5998695052916441</v>
      </c>
      <c r="X1311">
        <f t="shared" ca="1" si="569"/>
        <v>1.8933671400629237E-4</v>
      </c>
      <c r="Y1311">
        <f t="shared" ca="1" si="570"/>
        <v>52432.248337663412</v>
      </c>
      <c r="Z1311">
        <f t="shared" ca="1" si="571"/>
        <v>52432.248337665238</v>
      </c>
      <c r="AA1311">
        <f t="shared" ca="1" si="572"/>
        <v>2.2562304480281055E-12</v>
      </c>
      <c r="AB1311">
        <f t="shared" ca="1" si="573"/>
        <v>-5.0000000192085281E-4</v>
      </c>
      <c r="AC1311">
        <f t="shared" ca="1" si="574"/>
        <v>1</v>
      </c>
      <c r="AD1311">
        <f ca="1">IF(V32="Supercritical",L1311,IF(V32="Subcritical",U1311,IF(AND(T1311=1,AC1311=1),IF((((F1311)*(L1311)^2)/2+(G1311)*(L1311)^3/3+(ABS(K1311)^2)/($I$5*MAX(((F1311)+(G1311)*(L1311))*(L1311),0.000001)))&gt;=(((F1311)*(U1311)^2)/2+(G1311)*(U1311)^3/3+(ABS(K1311)^2)/($I$5*MAX(((F1311)+(G1311)*(U1311))*(U1311),0.000001))),L1311,U1311),IF(T1311=1,L1311,IF(AC1311=1,U1311,MAX($D$16,POWER((ABS(K1311)^2)/($I$5*MAX(F1311,0.1)^2),1/3)))))))</f>
        <v>51800.26683766341</v>
      </c>
      <c r="AE1311">
        <f t="shared" ca="1" si="575"/>
        <v>52432.248337663412</v>
      </c>
      <c r="AF1311">
        <f t="shared" ca="1" si="576"/>
        <v>52432.248337665238</v>
      </c>
      <c r="AI1311">
        <v>0</v>
      </c>
      <c r="AJ1311">
        <v>0</v>
      </c>
      <c r="AK1311">
        <f t="shared" si="577"/>
        <v>0</v>
      </c>
      <c r="AL1311">
        <f t="shared" si="586"/>
        <v>0</v>
      </c>
      <c r="AM1311">
        <f t="shared" ca="1" si="578"/>
        <v>2.6560383008097266E-7</v>
      </c>
      <c r="AN1311" t="str">
        <f t="shared" ca="1" si="579"/>
        <v>Subcritical</v>
      </c>
      <c r="AO1311">
        <f t="shared" ca="1" si="580"/>
        <v>2.2562304480281055E-12</v>
      </c>
    </row>
    <row r="1312" spans="1:41" x14ac:dyDescent="0.35">
      <c r="A1312">
        <v>1163</v>
      </c>
      <c r="B1312">
        <v>1161.8900000000001</v>
      </c>
      <c r="C1312">
        <v>616074.31999999995</v>
      </c>
      <c r="D1312">
        <v>3096842.193</v>
      </c>
      <c r="E1312">
        <v>631.98099999999999</v>
      </c>
      <c r="F1312">
        <v>5.2</v>
      </c>
      <c r="G1312">
        <v>0</v>
      </c>
      <c r="H1312" t="s">
        <v>186</v>
      </c>
      <c r="I1312">
        <v>2E-3</v>
      </c>
      <c r="J1312">
        <f t="shared" si="581"/>
        <v>1.0010000000002037</v>
      </c>
      <c r="K1312">
        <f t="shared" si="582"/>
        <v>51</v>
      </c>
      <c r="L1312">
        <f t="shared" ca="1" si="583"/>
        <v>51797.843837663619</v>
      </c>
      <c r="M1312">
        <f t="shared" ca="1" si="560"/>
        <v>269348.78795585083</v>
      </c>
      <c r="N1312">
        <f t="shared" ca="1" si="561"/>
        <v>2.5998694991876676</v>
      </c>
      <c r="O1312">
        <f t="shared" ca="1" si="562"/>
        <v>1.8934557080078435E-4</v>
      </c>
      <c r="P1312">
        <f t="shared" ca="1" si="563"/>
        <v>52429.824837663618</v>
      </c>
      <c r="Q1312">
        <f t="shared" ca="1" si="564"/>
        <v>52429.824837665445</v>
      </c>
      <c r="R1312">
        <f t="shared" ca="1" si="565"/>
        <v>2.2564415439646509E-12</v>
      </c>
      <c r="S1312">
        <f t="shared" ca="1" si="584"/>
        <v>5.0000000192085281E-4</v>
      </c>
      <c r="T1312">
        <f t="shared" ca="1" si="585"/>
        <v>1</v>
      </c>
      <c r="U1312">
        <f t="shared" ca="1" si="566"/>
        <v>51800.26683766341</v>
      </c>
      <c r="V1312">
        <f t="shared" ca="1" si="567"/>
        <v>269361.38755584974</v>
      </c>
      <c r="W1312">
        <f t="shared" ca="1" si="568"/>
        <v>2.5998695052916441</v>
      </c>
      <c r="X1312">
        <f t="shared" ca="1" si="569"/>
        <v>1.8933671400629237E-4</v>
      </c>
      <c r="Y1312">
        <f t="shared" ca="1" si="570"/>
        <v>52432.24783766341</v>
      </c>
      <c r="Z1312">
        <f t="shared" ca="1" si="571"/>
        <v>52432.247837665236</v>
      </c>
      <c r="AA1312">
        <f t="shared" ca="1" si="572"/>
        <v>2.2562304480281055E-12</v>
      </c>
      <c r="AB1312">
        <f t="shared" ca="1" si="573"/>
        <v>-5.0000000192085281E-4</v>
      </c>
      <c r="AC1312">
        <f t="shared" ca="1" si="574"/>
        <v>1</v>
      </c>
      <c r="AD1312">
        <f ca="1">IF(V32="Supercritical",L1312,IF(V32="Subcritical",U1312,IF(AND(T1312=1,AC1312=1),IF((((F1312)*(L1312)^2)/2+(G1312)*(L1312)^3/3+(ABS(K1312)^2)/($I$5*MAX(((F1312)+(G1312)*(L1312))*(L1312),0.000001)))&gt;=(((F1312)*(U1312)^2)/2+(G1312)*(U1312)^3/3+(ABS(K1312)^2)/($I$5*MAX(((F1312)+(G1312)*(U1312))*(U1312),0.000001))),L1312,U1312),IF(T1312=1,L1312,IF(AC1312=1,U1312,MAX($D$16,POWER((ABS(K1312)^2)/($I$5*MAX(F1312,0.1)^2),1/3)))))))</f>
        <v>51800.26683766341</v>
      </c>
      <c r="AE1312">
        <f t="shared" ca="1" si="575"/>
        <v>52432.24783766341</v>
      </c>
      <c r="AF1312">
        <f t="shared" ca="1" si="576"/>
        <v>52432.247837665236</v>
      </c>
      <c r="AI1312">
        <v>0</v>
      </c>
      <c r="AJ1312">
        <v>0</v>
      </c>
      <c r="AK1312">
        <f t="shared" si="577"/>
        <v>0</v>
      </c>
      <c r="AL1312">
        <f t="shared" si="586"/>
        <v>0</v>
      </c>
      <c r="AM1312">
        <f t="shared" ca="1" si="578"/>
        <v>2.6560383008097266E-7</v>
      </c>
      <c r="AN1312" t="str">
        <f t="shared" ca="1" si="579"/>
        <v>Subcritical</v>
      </c>
      <c r="AO1312">
        <f t="shared" ca="1" si="580"/>
        <v>2.2562304480281055E-12</v>
      </c>
    </row>
    <row r="1313" spans="1:41" x14ac:dyDescent="0.35">
      <c r="A1313">
        <v>1164</v>
      </c>
      <c r="B1313">
        <v>1162.8900000000001</v>
      </c>
      <c r="C1313">
        <v>616074.27800000005</v>
      </c>
      <c r="D1313">
        <v>3096841.1940000001</v>
      </c>
      <c r="E1313">
        <v>631.98050000000001</v>
      </c>
      <c r="F1313">
        <v>5.2</v>
      </c>
      <c r="G1313">
        <v>0</v>
      </c>
      <c r="H1313" t="s">
        <v>186</v>
      </c>
      <c r="I1313">
        <v>0</v>
      </c>
      <c r="J1313">
        <f t="shared" si="581"/>
        <v>1</v>
      </c>
      <c r="K1313">
        <f t="shared" si="582"/>
        <v>51</v>
      </c>
      <c r="L1313">
        <f t="shared" ca="1" si="583"/>
        <v>51797.843837663619</v>
      </c>
      <c r="M1313">
        <f t="shared" ca="1" si="560"/>
        <v>269348.78795585083</v>
      </c>
      <c r="N1313">
        <f t="shared" ca="1" si="561"/>
        <v>2.5998694991876676</v>
      </c>
      <c r="O1313">
        <f t="shared" ca="1" si="562"/>
        <v>1.8934557080078435E-4</v>
      </c>
      <c r="P1313">
        <f t="shared" ca="1" si="563"/>
        <v>52429.824337663616</v>
      </c>
      <c r="Q1313">
        <f t="shared" ca="1" si="564"/>
        <v>52429.824337665443</v>
      </c>
      <c r="R1313">
        <f t="shared" ca="1" si="565"/>
        <v>2.2564415439646509E-12</v>
      </c>
      <c r="S1313">
        <f t="shared" ca="1" si="584"/>
        <v>5.0000000192085281E-4</v>
      </c>
      <c r="T1313">
        <f t="shared" ca="1" si="585"/>
        <v>1</v>
      </c>
      <c r="U1313">
        <f t="shared" ca="1" si="566"/>
        <v>51800.26683766341</v>
      </c>
      <c r="V1313">
        <f t="shared" ca="1" si="567"/>
        <v>269361.38755584974</v>
      </c>
      <c r="W1313">
        <f t="shared" ca="1" si="568"/>
        <v>2.5998695052916441</v>
      </c>
      <c r="X1313">
        <f t="shared" ca="1" si="569"/>
        <v>1.8933671400629237E-4</v>
      </c>
      <c r="Y1313">
        <f t="shared" ca="1" si="570"/>
        <v>52432.247337663408</v>
      </c>
      <c r="Z1313">
        <f t="shared" ca="1" si="571"/>
        <v>52432.247337665234</v>
      </c>
      <c r="AA1313">
        <f t="shared" ca="1" si="572"/>
        <v>2.2562304480281055E-12</v>
      </c>
      <c r="AB1313">
        <f t="shared" ca="1" si="573"/>
        <v>-4.999999946448952E-4</v>
      </c>
      <c r="AC1313">
        <f t="shared" ca="1" si="574"/>
        <v>1</v>
      </c>
      <c r="AD1313">
        <f ca="1">IF(V32="Supercritical",L1313,IF(V32="Subcritical",U1313,IF(AND(T1313=1,AC1313=1),IF((((F1313)*(L1313)^2)/2+(G1313)*(L1313)^3/3+(ABS(K1313)^2)/($I$5*MAX(((F1313)+(G1313)*(L1313))*(L1313),0.000001)))&gt;=(((F1313)*(U1313)^2)/2+(G1313)*(U1313)^3/3+(ABS(K1313)^2)/($I$5*MAX(((F1313)+(G1313)*(U1313))*(U1313),0.000001))),L1313,U1313),IF(T1313=1,L1313,IF(AC1313=1,U1313,MAX($D$16,POWER((ABS(K1313)^2)/($I$5*MAX(F1313,0.1)^2),1/3)))))))</f>
        <v>51800.26683766341</v>
      </c>
      <c r="AE1313">
        <f t="shared" ca="1" si="575"/>
        <v>52432.247337663408</v>
      </c>
      <c r="AF1313">
        <f t="shared" ca="1" si="576"/>
        <v>52432.247337665234</v>
      </c>
      <c r="AI1313">
        <v>0</v>
      </c>
      <c r="AJ1313">
        <v>0</v>
      </c>
      <c r="AK1313">
        <f t="shared" si="577"/>
        <v>0</v>
      </c>
      <c r="AL1313">
        <f t="shared" si="586"/>
        <v>0</v>
      </c>
      <c r="AM1313">
        <f t="shared" ca="1" si="578"/>
        <v>2.6560383008097266E-7</v>
      </c>
      <c r="AN1313" t="str">
        <f t="shared" ca="1" si="579"/>
        <v>Subcritical</v>
      </c>
      <c r="AO1313">
        <f t="shared" ca="1" si="580"/>
        <v>2.2562304480281055E-12</v>
      </c>
    </row>
    <row r="1314" spans="1:41" x14ac:dyDescent="0.35">
      <c r="A1314">
        <v>1165</v>
      </c>
      <c r="B1314">
        <v>1163.8900000000001</v>
      </c>
      <c r="C1314">
        <v>616074.23600000003</v>
      </c>
      <c r="D1314">
        <v>3096840.1949999998</v>
      </c>
      <c r="E1314">
        <v>631.98</v>
      </c>
      <c r="F1314">
        <v>5.2</v>
      </c>
      <c r="G1314">
        <v>0</v>
      </c>
      <c r="H1314" t="s">
        <v>186</v>
      </c>
      <c r="I1314">
        <v>5.7000000000000002E-2</v>
      </c>
      <c r="J1314">
        <f t="shared" si="581"/>
        <v>1</v>
      </c>
      <c r="K1314">
        <f t="shared" si="582"/>
        <v>51</v>
      </c>
      <c r="L1314">
        <f t="shared" ca="1" si="583"/>
        <v>51797.843837663619</v>
      </c>
      <c r="M1314">
        <f t="shared" ca="1" si="560"/>
        <v>269348.78795585083</v>
      </c>
      <c r="N1314">
        <f t="shared" ca="1" si="561"/>
        <v>2.5998694991876676</v>
      </c>
      <c r="O1314">
        <f t="shared" ca="1" si="562"/>
        <v>1.8934557080078435E-4</v>
      </c>
      <c r="P1314">
        <f t="shared" ca="1" si="563"/>
        <v>52429.823837663622</v>
      </c>
      <c r="Q1314">
        <f t="shared" ca="1" si="564"/>
        <v>52429.823837665448</v>
      </c>
      <c r="R1314">
        <f t="shared" ca="1" si="565"/>
        <v>2.2564415439646509E-12</v>
      </c>
      <c r="S1314">
        <f t="shared" ca="1" si="584"/>
        <v>4.999999946448952E-4</v>
      </c>
      <c r="T1314">
        <f t="shared" ca="1" si="585"/>
        <v>1</v>
      </c>
      <c r="U1314">
        <f t="shared" ca="1" si="566"/>
        <v>51800.26683766341</v>
      </c>
      <c r="V1314">
        <f t="shared" ca="1" si="567"/>
        <v>269361.38755584974</v>
      </c>
      <c r="W1314">
        <f t="shared" ca="1" si="568"/>
        <v>2.5998695052916441</v>
      </c>
      <c r="X1314">
        <f t="shared" ca="1" si="569"/>
        <v>1.8933671400629237E-4</v>
      </c>
      <c r="Y1314">
        <f t="shared" ca="1" si="570"/>
        <v>52432.246837663413</v>
      </c>
      <c r="Z1314">
        <f t="shared" ca="1" si="571"/>
        <v>52432.24683766524</v>
      </c>
      <c r="AA1314">
        <f t="shared" ca="1" si="572"/>
        <v>2.2562304480281055E-12</v>
      </c>
      <c r="AB1314">
        <f t="shared" ca="1" si="573"/>
        <v>-5.0000000192085281E-4</v>
      </c>
      <c r="AC1314">
        <f t="shared" ca="1" si="574"/>
        <v>1</v>
      </c>
      <c r="AD1314">
        <f ca="1">IF(V32="Supercritical",L1314,IF(V32="Subcritical",U1314,IF(AND(T1314=1,AC1314=1),IF((((F1314)*(L1314)^2)/2+(G1314)*(L1314)^3/3+(ABS(K1314)^2)/($I$5*MAX(((F1314)+(G1314)*(L1314))*(L1314),0.000001)))&gt;=(((F1314)*(U1314)^2)/2+(G1314)*(U1314)^3/3+(ABS(K1314)^2)/($I$5*MAX(((F1314)+(G1314)*(U1314))*(U1314),0.000001))),L1314,U1314),IF(T1314=1,L1314,IF(AC1314=1,U1314,MAX($D$16,POWER((ABS(K1314)^2)/($I$5*MAX(F1314,0.1)^2),1/3)))))))</f>
        <v>51800.26683766341</v>
      </c>
      <c r="AE1314">
        <f t="shared" ca="1" si="575"/>
        <v>52432.246837663413</v>
      </c>
      <c r="AF1314">
        <f t="shared" ca="1" si="576"/>
        <v>52432.24683766524</v>
      </c>
      <c r="AI1314">
        <v>0</v>
      </c>
      <c r="AJ1314">
        <v>0</v>
      </c>
      <c r="AK1314">
        <f t="shared" si="577"/>
        <v>0</v>
      </c>
      <c r="AL1314">
        <f t="shared" si="586"/>
        <v>0</v>
      </c>
      <c r="AM1314">
        <f t="shared" ca="1" si="578"/>
        <v>2.6560383008097266E-7</v>
      </c>
      <c r="AN1314" t="str">
        <f t="shared" ca="1" si="579"/>
        <v>Subcritical</v>
      </c>
      <c r="AO1314">
        <f t="shared" ca="1" si="580"/>
        <v>2.2562304480281055E-12</v>
      </c>
    </row>
    <row r="1315" spans="1:41" x14ac:dyDescent="0.35">
      <c r="A1315">
        <v>1166</v>
      </c>
      <c r="B1315">
        <v>1164.8889999999999</v>
      </c>
      <c r="C1315">
        <v>616074.19299999997</v>
      </c>
      <c r="D1315">
        <v>3096839.196</v>
      </c>
      <c r="E1315">
        <v>631.97950000000003</v>
      </c>
      <c r="F1315">
        <v>5.2</v>
      </c>
      <c r="G1315">
        <v>0</v>
      </c>
      <c r="H1315" t="s">
        <v>186</v>
      </c>
      <c r="I1315">
        <v>5.7000000000000002E-2</v>
      </c>
      <c r="J1315">
        <f t="shared" si="581"/>
        <v>0.99899999999979627</v>
      </c>
      <c r="K1315">
        <f t="shared" si="582"/>
        <v>51</v>
      </c>
      <c r="L1315">
        <f t="shared" ca="1" si="583"/>
        <v>51797.843837663619</v>
      </c>
      <c r="M1315">
        <f t="shared" ca="1" si="560"/>
        <v>269348.78795585083</v>
      </c>
      <c r="N1315">
        <f t="shared" ca="1" si="561"/>
        <v>2.5998694991876676</v>
      </c>
      <c r="O1315">
        <f t="shared" ca="1" si="562"/>
        <v>1.8934557080078435E-4</v>
      </c>
      <c r="P1315">
        <f t="shared" ca="1" si="563"/>
        <v>52429.82333766362</v>
      </c>
      <c r="Q1315">
        <f t="shared" ca="1" si="564"/>
        <v>52429.823337665446</v>
      </c>
      <c r="R1315">
        <f t="shared" ca="1" si="565"/>
        <v>2.2564415439646509E-12</v>
      </c>
      <c r="S1315">
        <f t="shared" ca="1" si="584"/>
        <v>5.0000000192085281E-4</v>
      </c>
      <c r="T1315">
        <f t="shared" ca="1" si="585"/>
        <v>1</v>
      </c>
      <c r="U1315">
        <f t="shared" ca="1" si="566"/>
        <v>51800.26683766341</v>
      </c>
      <c r="V1315">
        <f t="shared" ca="1" si="567"/>
        <v>269361.38755584974</v>
      </c>
      <c r="W1315">
        <f t="shared" ca="1" si="568"/>
        <v>2.5998695052916441</v>
      </c>
      <c r="X1315">
        <f t="shared" ca="1" si="569"/>
        <v>1.8933671400629237E-4</v>
      </c>
      <c r="Y1315">
        <f t="shared" ca="1" si="570"/>
        <v>52432.246337663411</v>
      </c>
      <c r="Z1315">
        <f t="shared" ca="1" si="571"/>
        <v>52432.246337665238</v>
      </c>
      <c r="AA1315">
        <f t="shared" ca="1" si="572"/>
        <v>2.2562304480281055E-12</v>
      </c>
      <c r="AB1315">
        <f t="shared" ca="1" si="573"/>
        <v>-5.0000000192085281E-4</v>
      </c>
      <c r="AC1315">
        <f t="shared" ca="1" si="574"/>
        <v>1</v>
      </c>
      <c r="AD1315">
        <f ca="1">IF(V32="Supercritical",L1315,IF(V32="Subcritical",U1315,IF(AND(T1315=1,AC1315=1),IF((((F1315)*(L1315)^2)/2+(G1315)*(L1315)^3/3+(ABS(K1315)^2)/($I$5*MAX(((F1315)+(G1315)*(L1315))*(L1315),0.000001)))&gt;=(((F1315)*(U1315)^2)/2+(G1315)*(U1315)^3/3+(ABS(K1315)^2)/($I$5*MAX(((F1315)+(G1315)*(U1315))*(U1315),0.000001))),L1315,U1315),IF(T1315=1,L1315,IF(AC1315=1,U1315,MAX($D$16,POWER((ABS(K1315)^2)/($I$5*MAX(F1315,0.1)^2),1/3)))))))</f>
        <v>51800.26683766341</v>
      </c>
      <c r="AE1315">
        <f t="shared" ca="1" si="575"/>
        <v>52432.246337663411</v>
      </c>
      <c r="AF1315">
        <f t="shared" ca="1" si="576"/>
        <v>52432.246337665238</v>
      </c>
      <c r="AI1315">
        <v>0</v>
      </c>
      <c r="AJ1315">
        <v>0</v>
      </c>
      <c r="AK1315">
        <f t="shared" si="577"/>
        <v>0</v>
      </c>
      <c r="AL1315">
        <f t="shared" si="586"/>
        <v>0</v>
      </c>
      <c r="AM1315">
        <f t="shared" ca="1" si="578"/>
        <v>2.6560383008097266E-7</v>
      </c>
      <c r="AN1315" t="str">
        <f t="shared" ca="1" si="579"/>
        <v>Subcritical</v>
      </c>
      <c r="AO1315">
        <f t="shared" ca="1" si="580"/>
        <v>2.2562304480281055E-12</v>
      </c>
    </row>
    <row r="1316" spans="1:41" x14ac:dyDescent="0.35">
      <c r="A1316">
        <v>1167</v>
      </c>
      <c r="B1316">
        <v>1165.8889999999999</v>
      </c>
      <c r="C1316">
        <v>616074.15099999995</v>
      </c>
      <c r="D1316">
        <v>3096838.1970000002</v>
      </c>
      <c r="E1316">
        <v>631.97900000000004</v>
      </c>
      <c r="F1316">
        <v>5.2</v>
      </c>
      <c r="G1316">
        <v>0</v>
      </c>
      <c r="H1316" t="s">
        <v>186</v>
      </c>
      <c r="I1316">
        <v>0</v>
      </c>
      <c r="J1316">
        <f t="shared" si="581"/>
        <v>1</v>
      </c>
      <c r="K1316">
        <f t="shared" si="582"/>
        <v>51</v>
      </c>
      <c r="L1316">
        <f t="shared" ca="1" si="583"/>
        <v>51797.843837663619</v>
      </c>
      <c r="M1316">
        <f t="shared" ca="1" si="560"/>
        <v>269348.78795585083</v>
      </c>
      <c r="N1316">
        <f t="shared" ca="1" si="561"/>
        <v>2.5998694991876676</v>
      </c>
      <c r="O1316">
        <f t="shared" ca="1" si="562"/>
        <v>1.8934557080078435E-4</v>
      </c>
      <c r="P1316">
        <f t="shared" ca="1" si="563"/>
        <v>52429.822837663618</v>
      </c>
      <c r="Q1316">
        <f t="shared" ca="1" si="564"/>
        <v>52429.822837665444</v>
      </c>
      <c r="R1316">
        <f t="shared" ca="1" si="565"/>
        <v>2.2564415439646509E-12</v>
      </c>
      <c r="S1316">
        <f t="shared" ca="1" si="584"/>
        <v>5.0000000192085281E-4</v>
      </c>
      <c r="T1316">
        <f t="shared" ca="1" si="585"/>
        <v>1</v>
      </c>
      <c r="U1316">
        <f t="shared" ca="1" si="566"/>
        <v>51800.26683766341</v>
      </c>
      <c r="V1316">
        <f t="shared" ca="1" si="567"/>
        <v>269361.38755584974</v>
      </c>
      <c r="W1316">
        <f t="shared" ca="1" si="568"/>
        <v>2.5998695052916441</v>
      </c>
      <c r="X1316">
        <f t="shared" ca="1" si="569"/>
        <v>1.8933671400629237E-4</v>
      </c>
      <c r="Y1316">
        <f t="shared" ca="1" si="570"/>
        <v>52432.245837663409</v>
      </c>
      <c r="Z1316">
        <f t="shared" ca="1" si="571"/>
        <v>52432.245837665236</v>
      </c>
      <c r="AA1316">
        <f t="shared" ca="1" si="572"/>
        <v>2.2562304480281055E-12</v>
      </c>
      <c r="AB1316">
        <f t="shared" ca="1" si="573"/>
        <v>-5.0000000192085281E-4</v>
      </c>
      <c r="AC1316">
        <f t="shared" ca="1" si="574"/>
        <v>1</v>
      </c>
      <c r="AD1316">
        <f ca="1">IF(V32="Supercritical",L1316,IF(V32="Subcritical",U1316,IF(AND(T1316=1,AC1316=1),IF((((F1316)*(L1316)^2)/2+(G1316)*(L1316)^3/3+(ABS(K1316)^2)/($I$5*MAX(((F1316)+(G1316)*(L1316))*(L1316),0.000001)))&gt;=(((F1316)*(U1316)^2)/2+(G1316)*(U1316)^3/3+(ABS(K1316)^2)/($I$5*MAX(((F1316)+(G1316)*(U1316))*(U1316),0.000001))),L1316,U1316),IF(T1316=1,L1316,IF(AC1316=1,U1316,MAX($D$16,POWER((ABS(K1316)^2)/($I$5*MAX(F1316,0.1)^2),1/3)))))))</f>
        <v>51800.26683766341</v>
      </c>
      <c r="AE1316">
        <f t="shared" ca="1" si="575"/>
        <v>52432.245837663409</v>
      </c>
      <c r="AF1316">
        <f t="shared" ca="1" si="576"/>
        <v>52432.245837665236</v>
      </c>
      <c r="AI1316">
        <v>0</v>
      </c>
      <c r="AJ1316">
        <v>0</v>
      </c>
      <c r="AK1316">
        <f t="shared" si="577"/>
        <v>0</v>
      </c>
      <c r="AL1316">
        <f t="shared" si="586"/>
        <v>0</v>
      </c>
      <c r="AM1316">
        <f t="shared" ca="1" si="578"/>
        <v>2.6560383008097266E-7</v>
      </c>
      <c r="AN1316" t="str">
        <f t="shared" ca="1" si="579"/>
        <v>Subcritical</v>
      </c>
      <c r="AO1316">
        <f t="shared" ca="1" si="580"/>
        <v>2.2562304480281055E-12</v>
      </c>
    </row>
    <row r="1317" spans="1:41" x14ac:dyDescent="0.35">
      <c r="A1317">
        <v>1168</v>
      </c>
      <c r="B1317">
        <v>1166.8889999999999</v>
      </c>
      <c r="C1317">
        <v>616074.10900000005</v>
      </c>
      <c r="D1317">
        <v>3096837.1979999999</v>
      </c>
      <c r="E1317">
        <v>631.97850000000005</v>
      </c>
      <c r="F1317">
        <v>5.2</v>
      </c>
      <c r="G1317">
        <v>0</v>
      </c>
      <c r="H1317" t="s">
        <v>186</v>
      </c>
      <c r="I1317">
        <v>0</v>
      </c>
      <c r="J1317">
        <f t="shared" si="581"/>
        <v>1</v>
      </c>
      <c r="K1317">
        <f t="shared" si="582"/>
        <v>51</v>
      </c>
      <c r="L1317">
        <f t="shared" ca="1" si="583"/>
        <v>51797.843837663619</v>
      </c>
      <c r="M1317">
        <f t="shared" ca="1" si="560"/>
        <v>269348.78795585083</v>
      </c>
      <c r="N1317">
        <f t="shared" ca="1" si="561"/>
        <v>2.5998694991876676</v>
      </c>
      <c r="O1317">
        <f t="shared" ca="1" si="562"/>
        <v>1.8934557080078435E-4</v>
      </c>
      <c r="P1317">
        <f t="shared" ca="1" si="563"/>
        <v>52429.822337663616</v>
      </c>
      <c r="Q1317">
        <f t="shared" ca="1" si="564"/>
        <v>52429.822337665442</v>
      </c>
      <c r="R1317">
        <f t="shared" ca="1" si="565"/>
        <v>2.2564415439646509E-12</v>
      </c>
      <c r="S1317">
        <f t="shared" ca="1" si="584"/>
        <v>5.0000000192085281E-4</v>
      </c>
      <c r="T1317">
        <f t="shared" ca="1" si="585"/>
        <v>1</v>
      </c>
      <c r="U1317">
        <f t="shared" ca="1" si="566"/>
        <v>51800.26683766341</v>
      </c>
      <c r="V1317">
        <f t="shared" ca="1" si="567"/>
        <v>269361.38755584974</v>
      </c>
      <c r="W1317">
        <f t="shared" ca="1" si="568"/>
        <v>2.5998695052916441</v>
      </c>
      <c r="X1317">
        <f t="shared" ca="1" si="569"/>
        <v>1.8933671400629237E-4</v>
      </c>
      <c r="Y1317">
        <f t="shared" ca="1" si="570"/>
        <v>52432.245337663408</v>
      </c>
      <c r="Z1317">
        <f t="shared" ca="1" si="571"/>
        <v>52432.245337665234</v>
      </c>
      <c r="AA1317">
        <f t="shared" ca="1" si="572"/>
        <v>2.2562304480281055E-12</v>
      </c>
      <c r="AB1317">
        <f t="shared" ca="1" si="573"/>
        <v>-4.999999946448952E-4</v>
      </c>
      <c r="AC1317">
        <f t="shared" ca="1" si="574"/>
        <v>1</v>
      </c>
      <c r="AD1317">
        <f ca="1">IF(V32="Supercritical",L1317,IF(V32="Subcritical",U1317,IF(AND(T1317=1,AC1317=1),IF((((F1317)*(L1317)^2)/2+(G1317)*(L1317)^3/3+(ABS(K1317)^2)/($I$5*MAX(((F1317)+(G1317)*(L1317))*(L1317),0.000001)))&gt;=(((F1317)*(U1317)^2)/2+(G1317)*(U1317)^3/3+(ABS(K1317)^2)/($I$5*MAX(((F1317)+(G1317)*(U1317))*(U1317),0.000001))),L1317,U1317),IF(T1317=1,L1317,IF(AC1317=1,U1317,MAX($D$16,POWER((ABS(K1317)^2)/($I$5*MAX(F1317,0.1)^2),1/3)))))))</f>
        <v>51800.26683766341</v>
      </c>
      <c r="AE1317">
        <f t="shared" ca="1" si="575"/>
        <v>52432.245337663408</v>
      </c>
      <c r="AF1317">
        <f t="shared" ca="1" si="576"/>
        <v>52432.245337665234</v>
      </c>
      <c r="AI1317">
        <v>0</v>
      </c>
      <c r="AJ1317">
        <v>0</v>
      </c>
      <c r="AK1317">
        <f t="shared" si="577"/>
        <v>0</v>
      </c>
      <c r="AL1317">
        <f t="shared" si="586"/>
        <v>0</v>
      </c>
      <c r="AM1317">
        <f t="shared" ca="1" si="578"/>
        <v>2.6560383008097266E-7</v>
      </c>
      <c r="AN1317" t="str">
        <f t="shared" ca="1" si="579"/>
        <v>Subcritical</v>
      </c>
      <c r="AO1317">
        <f t="shared" ca="1" si="580"/>
        <v>2.2562304480281055E-12</v>
      </c>
    </row>
    <row r="1318" spans="1:41" x14ac:dyDescent="0.35">
      <c r="A1318">
        <v>1169</v>
      </c>
      <c r="B1318">
        <v>1167.8889999999999</v>
      </c>
      <c r="C1318">
        <v>616074.06700000004</v>
      </c>
      <c r="D1318">
        <v>3096836.199</v>
      </c>
      <c r="E1318">
        <v>631.97799999999995</v>
      </c>
      <c r="F1318">
        <v>5.2</v>
      </c>
      <c r="G1318">
        <v>0</v>
      </c>
      <c r="H1318" t="s">
        <v>186</v>
      </c>
      <c r="I1318">
        <v>5.7000000000000002E-2</v>
      </c>
      <c r="J1318">
        <f t="shared" si="581"/>
        <v>1</v>
      </c>
      <c r="K1318">
        <f t="shared" si="582"/>
        <v>51</v>
      </c>
      <c r="L1318">
        <f t="shared" ca="1" si="583"/>
        <v>51797.843837663619</v>
      </c>
      <c r="M1318">
        <f t="shared" ca="1" si="560"/>
        <v>269348.78795585083</v>
      </c>
      <c r="N1318">
        <f t="shared" ca="1" si="561"/>
        <v>2.5998694991876676</v>
      </c>
      <c r="O1318">
        <f t="shared" ca="1" si="562"/>
        <v>1.8934557080078435E-4</v>
      </c>
      <c r="P1318">
        <f t="shared" ca="1" si="563"/>
        <v>52429.821837663621</v>
      </c>
      <c r="Q1318">
        <f t="shared" ca="1" si="564"/>
        <v>52429.821837665448</v>
      </c>
      <c r="R1318">
        <f t="shared" ca="1" si="565"/>
        <v>2.2564415439646509E-12</v>
      </c>
      <c r="S1318">
        <f t="shared" ca="1" si="584"/>
        <v>4.999999946448952E-4</v>
      </c>
      <c r="T1318">
        <f t="shared" ca="1" si="585"/>
        <v>1</v>
      </c>
      <c r="U1318">
        <f t="shared" ca="1" si="566"/>
        <v>51800.26683766341</v>
      </c>
      <c r="V1318">
        <f t="shared" ca="1" si="567"/>
        <v>269361.38755584974</v>
      </c>
      <c r="W1318">
        <f t="shared" ca="1" si="568"/>
        <v>2.5998695052916441</v>
      </c>
      <c r="X1318">
        <f t="shared" ca="1" si="569"/>
        <v>1.8933671400629237E-4</v>
      </c>
      <c r="Y1318">
        <f t="shared" ca="1" si="570"/>
        <v>52432.244837663413</v>
      </c>
      <c r="Z1318">
        <f t="shared" ca="1" si="571"/>
        <v>52432.244837665239</v>
      </c>
      <c r="AA1318">
        <f t="shared" ca="1" si="572"/>
        <v>2.2562304480281055E-12</v>
      </c>
      <c r="AB1318">
        <f t="shared" ca="1" si="573"/>
        <v>-5.0000000192085281E-4</v>
      </c>
      <c r="AC1318">
        <f t="shared" ca="1" si="574"/>
        <v>1</v>
      </c>
      <c r="AD1318">
        <f ca="1">IF(V32="Supercritical",L1318,IF(V32="Subcritical",U1318,IF(AND(T1318=1,AC1318=1),IF((((F1318)*(L1318)^2)/2+(G1318)*(L1318)^3/3+(ABS(K1318)^2)/($I$5*MAX(((F1318)+(G1318)*(L1318))*(L1318),0.000001)))&gt;=(((F1318)*(U1318)^2)/2+(G1318)*(U1318)^3/3+(ABS(K1318)^2)/($I$5*MAX(((F1318)+(G1318)*(U1318))*(U1318),0.000001))),L1318,U1318),IF(T1318=1,L1318,IF(AC1318=1,U1318,MAX($D$16,POWER((ABS(K1318)^2)/($I$5*MAX(F1318,0.1)^2),1/3)))))))</f>
        <v>51800.26683766341</v>
      </c>
      <c r="AE1318">
        <f t="shared" ca="1" si="575"/>
        <v>52432.244837663413</v>
      </c>
      <c r="AF1318">
        <f t="shared" ca="1" si="576"/>
        <v>52432.244837665239</v>
      </c>
      <c r="AI1318">
        <v>0</v>
      </c>
      <c r="AJ1318">
        <v>0</v>
      </c>
      <c r="AK1318">
        <f t="shared" si="577"/>
        <v>0</v>
      </c>
      <c r="AL1318">
        <f t="shared" si="586"/>
        <v>0</v>
      </c>
      <c r="AM1318">
        <f t="shared" ca="1" si="578"/>
        <v>2.6560383008097266E-7</v>
      </c>
      <c r="AN1318" t="str">
        <f t="shared" ca="1" si="579"/>
        <v>Subcritical</v>
      </c>
      <c r="AO1318">
        <f t="shared" ca="1" si="580"/>
        <v>2.2562304480281055E-12</v>
      </c>
    </row>
    <row r="1319" spans="1:41" x14ac:dyDescent="0.35">
      <c r="A1319">
        <v>1170</v>
      </c>
      <c r="B1319">
        <v>1168.8889999999999</v>
      </c>
      <c r="C1319">
        <v>616074.02399999998</v>
      </c>
      <c r="D1319">
        <v>3096835.2</v>
      </c>
      <c r="E1319">
        <v>631.97749999999996</v>
      </c>
      <c r="F1319">
        <v>5.2</v>
      </c>
      <c r="G1319">
        <v>0</v>
      </c>
      <c r="H1319" t="s">
        <v>186</v>
      </c>
      <c r="I1319">
        <v>5.7000000000000002E-2</v>
      </c>
      <c r="J1319">
        <f t="shared" si="581"/>
        <v>1</v>
      </c>
      <c r="K1319">
        <f t="shared" si="582"/>
        <v>51</v>
      </c>
      <c r="L1319">
        <f t="shared" ca="1" si="583"/>
        <v>51797.843837663619</v>
      </c>
      <c r="M1319">
        <f t="shared" ca="1" si="560"/>
        <v>269348.78795585083</v>
      </c>
      <c r="N1319">
        <f t="shared" ca="1" si="561"/>
        <v>2.5998694991876676</v>
      </c>
      <c r="O1319">
        <f t="shared" ca="1" si="562"/>
        <v>1.8934557080078435E-4</v>
      </c>
      <c r="P1319">
        <f t="shared" ca="1" si="563"/>
        <v>52429.821337663619</v>
      </c>
      <c r="Q1319">
        <f t="shared" ca="1" si="564"/>
        <v>52429.821337665446</v>
      </c>
      <c r="R1319">
        <f t="shared" ca="1" si="565"/>
        <v>2.2564415439646509E-12</v>
      </c>
      <c r="S1319">
        <f t="shared" ca="1" si="584"/>
        <v>5.0000000192085281E-4</v>
      </c>
      <c r="T1319">
        <f t="shared" ca="1" si="585"/>
        <v>1</v>
      </c>
      <c r="U1319">
        <f t="shared" ca="1" si="566"/>
        <v>51800.26683766341</v>
      </c>
      <c r="V1319">
        <f t="shared" ca="1" si="567"/>
        <v>269361.38755584974</v>
      </c>
      <c r="W1319">
        <f t="shared" ca="1" si="568"/>
        <v>2.5998695052916441</v>
      </c>
      <c r="X1319">
        <f t="shared" ca="1" si="569"/>
        <v>1.8933671400629237E-4</v>
      </c>
      <c r="Y1319">
        <f t="shared" ca="1" si="570"/>
        <v>52432.244337663411</v>
      </c>
      <c r="Z1319">
        <f t="shared" ca="1" si="571"/>
        <v>52432.244337665237</v>
      </c>
      <c r="AA1319">
        <f t="shared" ca="1" si="572"/>
        <v>2.2562304480281055E-12</v>
      </c>
      <c r="AB1319">
        <f t="shared" ca="1" si="573"/>
        <v>-5.0000000192085281E-4</v>
      </c>
      <c r="AC1319">
        <f t="shared" ca="1" si="574"/>
        <v>1</v>
      </c>
      <c r="AD1319">
        <f ca="1">IF(V32="Supercritical",L1319,IF(V32="Subcritical",U1319,IF(AND(T1319=1,AC1319=1),IF((((F1319)*(L1319)^2)/2+(G1319)*(L1319)^3/3+(ABS(K1319)^2)/($I$5*MAX(((F1319)+(G1319)*(L1319))*(L1319),0.000001)))&gt;=(((F1319)*(U1319)^2)/2+(G1319)*(U1319)^3/3+(ABS(K1319)^2)/($I$5*MAX(((F1319)+(G1319)*(U1319))*(U1319),0.000001))),L1319,U1319),IF(T1319=1,L1319,IF(AC1319=1,U1319,MAX($D$16,POWER((ABS(K1319)^2)/($I$5*MAX(F1319,0.1)^2),1/3)))))))</f>
        <v>51800.26683766341</v>
      </c>
      <c r="AE1319">
        <f t="shared" ca="1" si="575"/>
        <v>52432.244337663411</v>
      </c>
      <c r="AF1319">
        <f t="shared" ca="1" si="576"/>
        <v>52432.244337665237</v>
      </c>
      <c r="AI1319">
        <v>0</v>
      </c>
      <c r="AJ1319">
        <v>0</v>
      </c>
      <c r="AK1319">
        <f t="shared" si="577"/>
        <v>0</v>
      </c>
      <c r="AL1319">
        <f t="shared" si="586"/>
        <v>0</v>
      </c>
      <c r="AM1319">
        <f t="shared" ca="1" si="578"/>
        <v>2.6560383008097266E-7</v>
      </c>
      <c r="AN1319" t="str">
        <f t="shared" ca="1" si="579"/>
        <v>Subcritical</v>
      </c>
      <c r="AO1319">
        <f t="shared" ca="1" si="580"/>
        <v>2.2562304480281055E-12</v>
      </c>
    </row>
    <row r="1320" spans="1:41" x14ac:dyDescent="0.35">
      <c r="A1320">
        <v>1171</v>
      </c>
      <c r="B1320">
        <v>1169.8889999999999</v>
      </c>
      <c r="C1320">
        <v>616073.98199999996</v>
      </c>
      <c r="D1320">
        <v>3096834.2009999999</v>
      </c>
      <c r="E1320">
        <v>631.97699999999998</v>
      </c>
      <c r="F1320">
        <v>5.2</v>
      </c>
      <c r="G1320">
        <v>0</v>
      </c>
      <c r="H1320" t="s">
        <v>186</v>
      </c>
      <c r="I1320">
        <v>0</v>
      </c>
      <c r="J1320">
        <f t="shared" si="581"/>
        <v>1</v>
      </c>
      <c r="K1320">
        <f t="shared" si="582"/>
        <v>51</v>
      </c>
      <c r="L1320">
        <f t="shared" ca="1" si="583"/>
        <v>51797.843837663619</v>
      </c>
      <c r="M1320">
        <f t="shared" ca="1" si="560"/>
        <v>269348.78795585083</v>
      </c>
      <c r="N1320">
        <f t="shared" ca="1" si="561"/>
        <v>2.5998694991876676</v>
      </c>
      <c r="O1320">
        <f t="shared" ca="1" si="562"/>
        <v>1.8934557080078435E-4</v>
      </c>
      <c r="P1320">
        <f t="shared" ca="1" si="563"/>
        <v>52429.820837663618</v>
      </c>
      <c r="Q1320">
        <f t="shared" ca="1" si="564"/>
        <v>52429.820837665444</v>
      </c>
      <c r="R1320">
        <f t="shared" ca="1" si="565"/>
        <v>2.2564415439646509E-12</v>
      </c>
      <c r="S1320">
        <f t="shared" ca="1" si="584"/>
        <v>5.0000000192085281E-4</v>
      </c>
      <c r="T1320">
        <f t="shared" ca="1" si="585"/>
        <v>1</v>
      </c>
      <c r="U1320">
        <f t="shared" ca="1" si="566"/>
        <v>51800.26683766341</v>
      </c>
      <c r="V1320">
        <f t="shared" ca="1" si="567"/>
        <v>269361.38755584974</v>
      </c>
      <c r="W1320">
        <f t="shared" ca="1" si="568"/>
        <v>2.5998695052916441</v>
      </c>
      <c r="X1320">
        <f t="shared" ca="1" si="569"/>
        <v>1.8933671400629237E-4</v>
      </c>
      <c r="Y1320">
        <f t="shared" ca="1" si="570"/>
        <v>52432.243837663409</v>
      </c>
      <c r="Z1320">
        <f t="shared" ca="1" si="571"/>
        <v>52432.243837665235</v>
      </c>
      <c r="AA1320">
        <f t="shared" ca="1" si="572"/>
        <v>2.2562304480281055E-12</v>
      </c>
      <c r="AB1320">
        <f t="shared" ca="1" si="573"/>
        <v>-5.0000000192085281E-4</v>
      </c>
      <c r="AC1320">
        <f t="shared" ca="1" si="574"/>
        <v>1</v>
      </c>
      <c r="AD1320">
        <f ca="1">IF(V32="Supercritical",L1320,IF(V32="Subcritical",U1320,IF(AND(T1320=1,AC1320=1),IF((((F1320)*(L1320)^2)/2+(G1320)*(L1320)^3/3+(ABS(K1320)^2)/($I$5*MAX(((F1320)+(G1320)*(L1320))*(L1320),0.000001)))&gt;=(((F1320)*(U1320)^2)/2+(G1320)*(U1320)^3/3+(ABS(K1320)^2)/($I$5*MAX(((F1320)+(G1320)*(U1320))*(U1320),0.000001))),L1320,U1320),IF(T1320=1,L1320,IF(AC1320=1,U1320,MAX($D$16,POWER((ABS(K1320)^2)/($I$5*MAX(F1320,0.1)^2),1/3)))))))</f>
        <v>51800.26683766341</v>
      </c>
      <c r="AE1320">
        <f t="shared" ca="1" si="575"/>
        <v>52432.243837663409</v>
      </c>
      <c r="AF1320">
        <f t="shared" ca="1" si="576"/>
        <v>52432.243837665235</v>
      </c>
      <c r="AI1320">
        <v>0</v>
      </c>
      <c r="AJ1320">
        <v>0</v>
      </c>
      <c r="AK1320">
        <f t="shared" si="577"/>
        <v>0</v>
      </c>
      <c r="AL1320">
        <f t="shared" si="586"/>
        <v>0</v>
      </c>
      <c r="AM1320">
        <f t="shared" ca="1" si="578"/>
        <v>2.6560383008097266E-7</v>
      </c>
      <c r="AN1320" t="str">
        <f t="shared" ca="1" si="579"/>
        <v>Subcritical</v>
      </c>
      <c r="AO1320">
        <f t="shared" ca="1" si="580"/>
        <v>2.2562304480281055E-12</v>
      </c>
    </row>
    <row r="1321" spans="1:41" x14ac:dyDescent="0.35">
      <c r="A1321">
        <v>1172</v>
      </c>
      <c r="B1321">
        <v>1170.8889999999999</v>
      </c>
      <c r="C1321">
        <v>616073.93999999994</v>
      </c>
      <c r="D1321">
        <v>3096833.202</v>
      </c>
      <c r="E1321">
        <v>631.97649999999999</v>
      </c>
      <c r="F1321">
        <v>5.2</v>
      </c>
      <c r="G1321">
        <v>0</v>
      </c>
      <c r="H1321" t="s">
        <v>186</v>
      </c>
      <c r="I1321">
        <v>5.5E-2</v>
      </c>
      <c r="J1321">
        <f t="shared" si="581"/>
        <v>1</v>
      </c>
      <c r="K1321">
        <f t="shared" si="582"/>
        <v>51</v>
      </c>
      <c r="L1321">
        <f t="shared" ca="1" si="583"/>
        <v>51797.843837663619</v>
      </c>
      <c r="M1321">
        <f t="shared" ca="1" si="560"/>
        <v>269348.78795585083</v>
      </c>
      <c r="N1321">
        <f t="shared" ca="1" si="561"/>
        <v>2.5998694991876676</v>
      </c>
      <c r="O1321">
        <f t="shared" ca="1" si="562"/>
        <v>1.8934557080078435E-4</v>
      </c>
      <c r="P1321">
        <f t="shared" ca="1" si="563"/>
        <v>52429.820337663616</v>
      </c>
      <c r="Q1321">
        <f t="shared" ca="1" si="564"/>
        <v>52429.820337665442</v>
      </c>
      <c r="R1321">
        <f t="shared" ca="1" si="565"/>
        <v>2.2564415439646509E-12</v>
      </c>
      <c r="S1321">
        <f t="shared" ca="1" si="584"/>
        <v>5.0000000192085281E-4</v>
      </c>
      <c r="T1321">
        <f t="shared" ca="1" si="585"/>
        <v>1</v>
      </c>
      <c r="U1321">
        <f t="shared" ca="1" si="566"/>
        <v>51800.26683766341</v>
      </c>
      <c r="V1321">
        <f t="shared" ca="1" si="567"/>
        <v>269361.38755584974</v>
      </c>
      <c r="W1321">
        <f t="shared" ca="1" si="568"/>
        <v>2.5998695052916441</v>
      </c>
      <c r="X1321">
        <f t="shared" ca="1" si="569"/>
        <v>1.8933671400629237E-4</v>
      </c>
      <c r="Y1321">
        <f t="shared" ca="1" si="570"/>
        <v>52432.243337663407</v>
      </c>
      <c r="Z1321">
        <f t="shared" ca="1" si="571"/>
        <v>52432.243337665233</v>
      </c>
      <c r="AA1321">
        <f t="shared" ca="1" si="572"/>
        <v>2.2562304480281055E-12</v>
      </c>
      <c r="AB1321">
        <f t="shared" ca="1" si="573"/>
        <v>-4.999999946448952E-4</v>
      </c>
      <c r="AC1321">
        <f t="shared" ca="1" si="574"/>
        <v>1</v>
      </c>
      <c r="AD1321">
        <f ca="1">IF(V32="Supercritical",L1321,IF(V32="Subcritical",U1321,IF(AND(T1321=1,AC1321=1),IF((((F1321)*(L1321)^2)/2+(G1321)*(L1321)^3/3+(ABS(K1321)^2)/($I$5*MAX(((F1321)+(G1321)*(L1321))*(L1321),0.000001)))&gt;=(((F1321)*(U1321)^2)/2+(G1321)*(U1321)^3/3+(ABS(K1321)^2)/($I$5*MAX(((F1321)+(G1321)*(U1321))*(U1321),0.000001))),L1321,U1321),IF(T1321=1,L1321,IF(AC1321=1,U1321,MAX($D$16,POWER((ABS(K1321)^2)/($I$5*MAX(F1321,0.1)^2),1/3)))))))</f>
        <v>51800.26683766341</v>
      </c>
      <c r="AE1321">
        <f t="shared" ca="1" si="575"/>
        <v>52432.243337663407</v>
      </c>
      <c r="AF1321">
        <f t="shared" ca="1" si="576"/>
        <v>52432.243337665233</v>
      </c>
      <c r="AI1321">
        <v>0</v>
      </c>
      <c r="AJ1321">
        <v>0</v>
      </c>
      <c r="AK1321">
        <f t="shared" si="577"/>
        <v>0</v>
      </c>
      <c r="AL1321">
        <f t="shared" si="586"/>
        <v>0</v>
      </c>
      <c r="AM1321">
        <f t="shared" ca="1" si="578"/>
        <v>2.6560383008097266E-7</v>
      </c>
      <c r="AN1321" t="str">
        <f t="shared" ca="1" si="579"/>
        <v>Subcritical</v>
      </c>
      <c r="AO1321">
        <f t="shared" ca="1" si="580"/>
        <v>2.2562304480281055E-12</v>
      </c>
    </row>
    <row r="1322" spans="1:41" x14ac:dyDescent="0.35">
      <c r="A1322">
        <v>1173</v>
      </c>
      <c r="B1322">
        <v>1171.8900000000001</v>
      </c>
      <c r="C1322">
        <v>616073.897</v>
      </c>
      <c r="D1322">
        <v>3096832.202</v>
      </c>
      <c r="E1322">
        <v>631.976</v>
      </c>
      <c r="F1322">
        <v>5.2</v>
      </c>
      <c r="G1322">
        <v>0</v>
      </c>
      <c r="H1322" t="s">
        <v>186</v>
      </c>
      <c r="I1322">
        <v>5.5E-2</v>
      </c>
      <c r="J1322">
        <f t="shared" si="581"/>
        <v>1.0010000000002037</v>
      </c>
      <c r="K1322">
        <f t="shared" si="582"/>
        <v>51</v>
      </c>
      <c r="L1322">
        <f t="shared" ca="1" si="583"/>
        <v>51797.843837663619</v>
      </c>
      <c r="M1322">
        <f t="shared" ca="1" si="560"/>
        <v>269348.78795585083</v>
      </c>
      <c r="N1322">
        <f t="shared" ca="1" si="561"/>
        <v>2.5998694991876676</v>
      </c>
      <c r="O1322">
        <f t="shared" ca="1" si="562"/>
        <v>1.8934557080078435E-4</v>
      </c>
      <c r="P1322">
        <f t="shared" ca="1" si="563"/>
        <v>52429.819837663621</v>
      </c>
      <c r="Q1322">
        <f t="shared" ca="1" si="564"/>
        <v>52429.819837665447</v>
      </c>
      <c r="R1322">
        <f t="shared" ca="1" si="565"/>
        <v>2.2564415439646509E-12</v>
      </c>
      <c r="S1322">
        <f t="shared" ca="1" si="584"/>
        <v>4.999999946448952E-4</v>
      </c>
      <c r="T1322">
        <f t="shared" ca="1" si="585"/>
        <v>1</v>
      </c>
      <c r="U1322">
        <f t="shared" ca="1" si="566"/>
        <v>51800.26683766341</v>
      </c>
      <c r="V1322">
        <f t="shared" ca="1" si="567"/>
        <v>269361.38755584974</v>
      </c>
      <c r="W1322">
        <f t="shared" ca="1" si="568"/>
        <v>2.5998695052916441</v>
      </c>
      <c r="X1322">
        <f t="shared" ca="1" si="569"/>
        <v>1.8933671400629237E-4</v>
      </c>
      <c r="Y1322">
        <f t="shared" ca="1" si="570"/>
        <v>52432.242837663413</v>
      </c>
      <c r="Z1322">
        <f t="shared" ca="1" si="571"/>
        <v>52432.242837665239</v>
      </c>
      <c r="AA1322">
        <f t="shared" ca="1" si="572"/>
        <v>2.2562304480281055E-12</v>
      </c>
      <c r="AB1322">
        <f t="shared" ca="1" si="573"/>
        <v>-5.0000000192085281E-4</v>
      </c>
      <c r="AC1322">
        <f t="shared" ca="1" si="574"/>
        <v>1</v>
      </c>
      <c r="AD1322">
        <f ca="1">IF(V32="Supercritical",L1322,IF(V32="Subcritical",U1322,IF(AND(T1322=1,AC1322=1),IF((((F1322)*(L1322)^2)/2+(G1322)*(L1322)^3/3+(ABS(K1322)^2)/($I$5*MAX(((F1322)+(G1322)*(L1322))*(L1322),0.000001)))&gt;=(((F1322)*(U1322)^2)/2+(G1322)*(U1322)^3/3+(ABS(K1322)^2)/($I$5*MAX(((F1322)+(G1322)*(U1322))*(U1322),0.000001))),L1322,U1322),IF(T1322=1,L1322,IF(AC1322=1,U1322,MAX($D$16,POWER((ABS(K1322)^2)/($I$5*MAX(F1322,0.1)^2),1/3)))))))</f>
        <v>51800.26683766341</v>
      </c>
      <c r="AE1322">
        <f t="shared" ca="1" si="575"/>
        <v>52432.242837663413</v>
      </c>
      <c r="AF1322">
        <f t="shared" ca="1" si="576"/>
        <v>52432.242837665239</v>
      </c>
      <c r="AI1322">
        <v>0</v>
      </c>
      <c r="AJ1322">
        <v>0</v>
      </c>
      <c r="AK1322">
        <f t="shared" si="577"/>
        <v>0</v>
      </c>
      <c r="AL1322">
        <f t="shared" si="586"/>
        <v>0</v>
      </c>
      <c r="AM1322">
        <f t="shared" ca="1" si="578"/>
        <v>2.6560383008097266E-7</v>
      </c>
      <c r="AN1322" t="str">
        <f t="shared" ca="1" si="579"/>
        <v>Subcritical</v>
      </c>
      <c r="AO1322">
        <f t="shared" ca="1" si="580"/>
        <v>2.2562304480281055E-12</v>
      </c>
    </row>
    <row r="1323" spans="1:41" x14ac:dyDescent="0.35">
      <c r="A1323">
        <v>1174</v>
      </c>
      <c r="B1323">
        <v>1172.8900000000001</v>
      </c>
      <c r="C1323">
        <v>616073.85499999998</v>
      </c>
      <c r="D1323">
        <v>3096831.2030000002</v>
      </c>
      <c r="E1323">
        <v>631.97550000000001</v>
      </c>
      <c r="F1323">
        <v>5.2</v>
      </c>
      <c r="G1323">
        <v>0</v>
      </c>
      <c r="H1323" t="s">
        <v>186</v>
      </c>
      <c r="I1323">
        <v>0</v>
      </c>
      <c r="J1323">
        <f t="shared" si="581"/>
        <v>1</v>
      </c>
      <c r="K1323">
        <f t="shared" si="582"/>
        <v>51</v>
      </c>
      <c r="L1323">
        <f t="shared" ca="1" si="583"/>
        <v>51797.843837663619</v>
      </c>
      <c r="M1323">
        <f t="shared" ca="1" si="560"/>
        <v>269348.78795585083</v>
      </c>
      <c r="N1323">
        <f t="shared" ca="1" si="561"/>
        <v>2.5998694991876676</v>
      </c>
      <c r="O1323">
        <f t="shared" ca="1" si="562"/>
        <v>1.8934557080078435E-4</v>
      </c>
      <c r="P1323">
        <f t="shared" ca="1" si="563"/>
        <v>52429.819337663619</v>
      </c>
      <c r="Q1323">
        <f t="shared" ca="1" si="564"/>
        <v>52429.819337665445</v>
      </c>
      <c r="R1323">
        <f t="shared" ca="1" si="565"/>
        <v>2.2564415439646509E-12</v>
      </c>
      <c r="S1323">
        <f t="shared" ca="1" si="584"/>
        <v>5.0000000192085281E-4</v>
      </c>
      <c r="T1323">
        <f t="shared" ca="1" si="585"/>
        <v>1</v>
      </c>
      <c r="U1323">
        <f t="shared" ca="1" si="566"/>
        <v>51800.26683766341</v>
      </c>
      <c r="V1323">
        <f t="shared" ca="1" si="567"/>
        <v>269361.38755584974</v>
      </c>
      <c r="W1323">
        <f t="shared" ca="1" si="568"/>
        <v>2.5998695052916441</v>
      </c>
      <c r="X1323">
        <f t="shared" ca="1" si="569"/>
        <v>1.8933671400629237E-4</v>
      </c>
      <c r="Y1323">
        <f t="shared" ca="1" si="570"/>
        <v>52432.242337663411</v>
      </c>
      <c r="Z1323">
        <f t="shared" ca="1" si="571"/>
        <v>52432.242337665237</v>
      </c>
      <c r="AA1323">
        <f t="shared" ca="1" si="572"/>
        <v>2.2562304480281055E-12</v>
      </c>
      <c r="AB1323">
        <f t="shared" ca="1" si="573"/>
        <v>-5.0000000192085281E-4</v>
      </c>
      <c r="AC1323">
        <f t="shared" ca="1" si="574"/>
        <v>1</v>
      </c>
      <c r="AD1323">
        <f ca="1">IF(V32="Supercritical",L1323,IF(V32="Subcritical",U1323,IF(AND(T1323=1,AC1323=1),IF((((F1323)*(L1323)^2)/2+(G1323)*(L1323)^3/3+(ABS(K1323)^2)/($I$5*MAX(((F1323)+(G1323)*(L1323))*(L1323),0.000001)))&gt;=(((F1323)*(U1323)^2)/2+(G1323)*(U1323)^3/3+(ABS(K1323)^2)/($I$5*MAX(((F1323)+(G1323)*(U1323))*(U1323),0.000001))),L1323,U1323),IF(T1323=1,L1323,IF(AC1323=1,U1323,MAX($D$16,POWER((ABS(K1323)^2)/($I$5*MAX(F1323,0.1)^2),1/3)))))))</f>
        <v>51800.26683766341</v>
      </c>
      <c r="AE1323">
        <f t="shared" ca="1" si="575"/>
        <v>52432.242337663411</v>
      </c>
      <c r="AF1323">
        <f t="shared" ca="1" si="576"/>
        <v>52432.242337665237</v>
      </c>
      <c r="AI1323">
        <v>0</v>
      </c>
      <c r="AJ1323">
        <v>0</v>
      </c>
      <c r="AK1323">
        <f t="shared" si="577"/>
        <v>0</v>
      </c>
      <c r="AL1323">
        <f t="shared" si="586"/>
        <v>0</v>
      </c>
      <c r="AM1323">
        <f t="shared" ca="1" si="578"/>
        <v>2.6560383008097266E-7</v>
      </c>
      <c r="AN1323" t="str">
        <f t="shared" ca="1" si="579"/>
        <v>Subcritical</v>
      </c>
      <c r="AO1323">
        <f t="shared" ca="1" si="580"/>
        <v>2.2562304480281055E-12</v>
      </c>
    </row>
    <row r="1324" spans="1:41" x14ac:dyDescent="0.35">
      <c r="A1324">
        <v>1175</v>
      </c>
      <c r="B1324">
        <v>1173.8889999999999</v>
      </c>
      <c r="C1324">
        <v>616073.81299999997</v>
      </c>
      <c r="D1324">
        <v>3096830.2039999999</v>
      </c>
      <c r="E1324">
        <v>631.97500000000002</v>
      </c>
      <c r="F1324">
        <v>5.2</v>
      </c>
      <c r="G1324">
        <v>0</v>
      </c>
      <c r="H1324" t="s">
        <v>186</v>
      </c>
      <c r="I1324">
        <v>0</v>
      </c>
      <c r="J1324">
        <f t="shared" si="581"/>
        <v>0.99899999999979627</v>
      </c>
      <c r="K1324">
        <f t="shared" si="582"/>
        <v>51</v>
      </c>
      <c r="L1324">
        <f t="shared" ca="1" si="583"/>
        <v>51797.843837663619</v>
      </c>
      <c r="M1324">
        <f t="shared" ca="1" si="560"/>
        <v>269348.78795585083</v>
      </c>
      <c r="N1324">
        <f t="shared" ca="1" si="561"/>
        <v>2.5998694991876676</v>
      </c>
      <c r="O1324">
        <f t="shared" ca="1" si="562"/>
        <v>1.8934557080078435E-4</v>
      </c>
      <c r="P1324">
        <f t="shared" ca="1" si="563"/>
        <v>52429.818837663617</v>
      </c>
      <c r="Q1324">
        <f t="shared" ca="1" si="564"/>
        <v>52429.818837665443</v>
      </c>
      <c r="R1324">
        <f t="shared" ca="1" si="565"/>
        <v>2.2564415439646509E-12</v>
      </c>
      <c r="S1324">
        <f t="shared" ca="1" si="584"/>
        <v>5.0000000192085281E-4</v>
      </c>
      <c r="T1324">
        <f t="shared" ca="1" si="585"/>
        <v>1</v>
      </c>
      <c r="U1324">
        <f t="shared" ca="1" si="566"/>
        <v>51800.26683766341</v>
      </c>
      <c r="V1324">
        <f t="shared" ca="1" si="567"/>
        <v>269361.38755584974</v>
      </c>
      <c r="W1324">
        <f t="shared" ca="1" si="568"/>
        <v>2.5998695052916441</v>
      </c>
      <c r="X1324">
        <f t="shared" ca="1" si="569"/>
        <v>1.8933671400629237E-4</v>
      </c>
      <c r="Y1324">
        <f t="shared" ca="1" si="570"/>
        <v>52432.241837663409</v>
      </c>
      <c r="Z1324">
        <f t="shared" ca="1" si="571"/>
        <v>52432.241837665235</v>
      </c>
      <c r="AA1324">
        <f t="shared" ca="1" si="572"/>
        <v>2.2562304480281055E-12</v>
      </c>
      <c r="AB1324">
        <f t="shared" ca="1" si="573"/>
        <v>-5.0000000192085281E-4</v>
      </c>
      <c r="AC1324">
        <f t="shared" ca="1" si="574"/>
        <v>1</v>
      </c>
      <c r="AD1324">
        <f ca="1">IF(V32="Supercritical",L1324,IF(V32="Subcritical",U1324,IF(AND(T1324=1,AC1324=1),IF((((F1324)*(L1324)^2)/2+(G1324)*(L1324)^3/3+(ABS(K1324)^2)/($I$5*MAX(((F1324)+(G1324)*(L1324))*(L1324),0.000001)))&gt;=(((F1324)*(U1324)^2)/2+(G1324)*(U1324)^3/3+(ABS(K1324)^2)/($I$5*MAX(((F1324)+(G1324)*(U1324))*(U1324),0.000001))),L1324,U1324),IF(T1324=1,L1324,IF(AC1324=1,U1324,MAX($D$16,POWER((ABS(K1324)^2)/($I$5*MAX(F1324,0.1)^2),1/3)))))))</f>
        <v>51800.26683766341</v>
      </c>
      <c r="AE1324">
        <f t="shared" ca="1" si="575"/>
        <v>52432.241837663409</v>
      </c>
      <c r="AF1324">
        <f t="shared" ca="1" si="576"/>
        <v>52432.241837665235</v>
      </c>
      <c r="AI1324">
        <v>0</v>
      </c>
      <c r="AJ1324">
        <v>0</v>
      </c>
      <c r="AK1324">
        <f t="shared" si="577"/>
        <v>0</v>
      </c>
      <c r="AL1324">
        <f t="shared" si="586"/>
        <v>0</v>
      </c>
      <c r="AM1324">
        <f t="shared" ca="1" si="578"/>
        <v>2.6560383008097266E-7</v>
      </c>
      <c r="AN1324" t="str">
        <f t="shared" ca="1" si="579"/>
        <v>Subcritical</v>
      </c>
      <c r="AO1324">
        <f t="shared" ca="1" si="580"/>
        <v>2.2562304480281055E-12</v>
      </c>
    </row>
    <row r="1325" spans="1:41" x14ac:dyDescent="0.35">
      <c r="A1325">
        <v>1176</v>
      </c>
      <c r="B1325">
        <v>1174.8889999999999</v>
      </c>
      <c r="C1325">
        <v>616073.77099999995</v>
      </c>
      <c r="D1325">
        <v>3096829.2050000001</v>
      </c>
      <c r="E1325">
        <v>631.97450000000003</v>
      </c>
      <c r="F1325">
        <v>5.2</v>
      </c>
      <c r="G1325">
        <v>0</v>
      </c>
      <c r="H1325" t="s">
        <v>186</v>
      </c>
      <c r="I1325">
        <v>5.7000000000000002E-2</v>
      </c>
      <c r="J1325">
        <f t="shared" si="581"/>
        <v>1</v>
      </c>
      <c r="K1325">
        <f t="shared" si="582"/>
        <v>51</v>
      </c>
      <c r="L1325">
        <f t="shared" ca="1" si="583"/>
        <v>51797.843837663619</v>
      </c>
      <c r="M1325">
        <f t="shared" ca="1" si="560"/>
        <v>269348.78795585083</v>
      </c>
      <c r="N1325">
        <f t="shared" ca="1" si="561"/>
        <v>2.5998694991876676</v>
      </c>
      <c r="O1325">
        <f t="shared" ca="1" si="562"/>
        <v>1.8934557080078435E-4</v>
      </c>
      <c r="P1325">
        <f t="shared" ca="1" si="563"/>
        <v>52429.818337663615</v>
      </c>
      <c r="Q1325">
        <f t="shared" ca="1" si="564"/>
        <v>52429.818337665442</v>
      </c>
      <c r="R1325">
        <f t="shared" ca="1" si="565"/>
        <v>2.2564415439646509E-12</v>
      </c>
      <c r="S1325">
        <f t="shared" ca="1" si="584"/>
        <v>5.0000000192085281E-4</v>
      </c>
      <c r="T1325">
        <f t="shared" ca="1" si="585"/>
        <v>1</v>
      </c>
      <c r="U1325">
        <f t="shared" ca="1" si="566"/>
        <v>51800.26683766341</v>
      </c>
      <c r="V1325">
        <f t="shared" ca="1" si="567"/>
        <v>269361.38755584974</v>
      </c>
      <c r="W1325">
        <f t="shared" ca="1" si="568"/>
        <v>2.5998695052916441</v>
      </c>
      <c r="X1325">
        <f t="shared" ca="1" si="569"/>
        <v>1.8933671400629237E-4</v>
      </c>
      <c r="Y1325">
        <f t="shared" ca="1" si="570"/>
        <v>52432.241337663407</v>
      </c>
      <c r="Z1325">
        <f t="shared" ca="1" si="571"/>
        <v>52432.241337665233</v>
      </c>
      <c r="AA1325">
        <f t="shared" ca="1" si="572"/>
        <v>2.2562304480281055E-12</v>
      </c>
      <c r="AB1325">
        <f t="shared" ca="1" si="573"/>
        <v>-4.999999946448952E-4</v>
      </c>
      <c r="AC1325">
        <f t="shared" ca="1" si="574"/>
        <v>1</v>
      </c>
      <c r="AD1325">
        <f ca="1">IF(V32="Supercritical",L1325,IF(V32="Subcritical",U1325,IF(AND(T1325=1,AC1325=1),IF((((F1325)*(L1325)^2)/2+(G1325)*(L1325)^3/3+(ABS(K1325)^2)/($I$5*MAX(((F1325)+(G1325)*(L1325))*(L1325),0.000001)))&gt;=(((F1325)*(U1325)^2)/2+(G1325)*(U1325)^3/3+(ABS(K1325)^2)/($I$5*MAX(((F1325)+(G1325)*(U1325))*(U1325),0.000001))),L1325,U1325),IF(T1325=1,L1325,IF(AC1325=1,U1325,MAX($D$16,POWER((ABS(K1325)^2)/($I$5*MAX(F1325,0.1)^2),1/3)))))))</f>
        <v>51800.26683766341</v>
      </c>
      <c r="AE1325">
        <f t="shared" ca="1" si="575"/>
        <v>52432.241337663407</v>
      </c>
      <c r="AF1325">
        <f t="shared" ca="1" si="576"/>
        <v>52432.241337665233</v>
      </c>
      <c r="AI1325">
        <v>0</v>
      </c>
      <c r="AJ1325">
        <v>0</v>
      </c>
      <c r="AK1325">
        <f t="shared" si="577"/>
        <v>0</v>
      </c>
      <c r="AL1325">
        <f t="shared" si="586"/>
        <v>0</v>
      </c>
      <c r="AM1325">
        <f t="shared" ca="1" si="578"/>
        <v>2.6560383008097266E-7</v>
      </c>
      <c r="AN1325" t="str">
        <f t="shared" ca="1" si="579"/>
        <v>Subcritical</v>
      </c>
      <c r="AO1325">
        <f t="shared" ca="1" si="580"/>
        <v>2.2562304480281055E-12</v>
      </c>
    </row>
    <row r="1326" spans="1:41" x14ac:dyDescent="0.35">
      <c r="A1326">
        <v>1177</v>
      </c>
      <c r="B1326">
        <v>1175.8889999999999</v>
      </c>
      <c r="C1326">
        <v>616073.728</v>
      </c>
      <c r="D1326">
        <v>3096828.2059999998</v>
      </c>
      <c r="E1326">
        <v>631.97400000000005</v>
      </c>
      <c r="F1326">
        <v>5.2</v>
      </c>
      <c r="G1326">
        <v>0</v>
      </c>
      <c r="H1326" t="s">
        <v>186</v>
      </c>
      <c r="I1326">
        <v>5.7000000000000002E-2</v>
      </c>
      <c r="J1326">
        <f t="shared" si="581"/>
        <v>1</v>
      </c>
      <c r="K1326">
        <f t="shared" si="582"/>
        <v>51</v>
      </c>
      <c r="L1326">
        <f t="shared" ca="1" si="583"/>
        <v>51797.843837663619</v>
      </c>
      <c r="M1326">
        <f t="shared" ca="1" si="560"/>
        <v>269348.78795585083</v>
      </c>
      <c r="N1326">
        <f t="shared" ca="1" si="561"/>
        <v>2.5998694991876676</v>
      </c>
      <c r="O1326">
        <f t="shared" ca="1" si="562"/>
        <v>1.8934557080078435E-4</v>
      </c>
      <c r="P1326">
        <f t="shared" ca="1" si="563"/>
        <v>52429.817837663621</v>
      </c>
      <c r="Q1326">
        <f t="shared" ca="1" si="564"/>
        <v>52429.817837665447</v>
      </c>
      <c r="R1326">
        <f t="shared" ca="1" si="565"/>
        <v>2.2564415439646509E-12</v>
      </c>
      <c r="S1326">
        <f t="shared" ca="1" si="584"/>
        <v>4.999999946448952E-4</v>
      </c>
      <c r="T1326">
        <f t="shared" ca="1" si="585"/>
        <v>1</v>
      </c>
      <c r="U1326">
        <f t="shared" ca="1" si="566"/>
        <v>51800.26683766341</v>
      </c>
      <c r="V1326">
        <f t="shared" ca="1" si="567"/>
        <v>269361.38755584974</v>
      </c>
      <c r="W1326">
        <f t="shared" ca="1" si="568"/>
        <v>2.5998695052916441</v>
      </c>
      <c r="X1326">
        <f t="shared" ca="1" si="569"/>
        <v>1.8933671400629237E-4</v>
      </c>
      <c r="Y1326">
        <f t="shared" ca="1" si="570"/>
        <v>52432.240837663412</v>
      </c>
      <c r="Z1326">
        <f t="shared" ca="1" si="571"/>
        <v>52432.240837665238</v>
      </c>
      <c r="AA1326">
        <f t="shared" ca="1" si="572"/>
        <v>2.2562304480281055E-12</v>
      </c>
      <c r="AB1326">
        <f t="shared" ca="1" si="573"/>
        <v>-5.0000000192085281E-4</v>
      </c>
      <c r="AC1326">
        <f t="shared" ca="1" si="574"/>
        <v>1</v>
      </c>
      <c r="AD1326">
        <f ca="1">IF(V32="Supercritical",L1326,IF(V32="Subcritical",U1326,IF(AND(T1326=1,AC1326=1),IF((((F1326)*(L1326)^2)/2+(G1326)*(L1326)^3/3+(ABS(K1326)^2)/($I$5*MAX(((F1326)+(G1326)*(L1326))*(L1326),0.000001)))&gt;=(((F1326)*(U1326)^2)/2+(G1326)*(U1326)^3/3+(ABS(K1326)^2)/($I$5*MAX(((F1326)+(G1326)*(U1326))*(U1326),0.000001))),L1326,U1326),IF(T1326=1,L1326,IF(AC1326=1,U1326,MAX($D$16,POWER((ABS(K1326)^2)/($I$5*MAX(F1326,0.1)^2),1/3)))))))</f>
        <v>51800.26683766341</v>
      </c>
      <c r="AE1326">
        <f t="shared" ca="1" si="575"/>
        <v>52432.240837663412</v>
      </c>
      <c r="AF1326">
        <f t="shared" ca="1" si="576"/>
        <v>52432.240837665238</v>
      </c>
      <c r="AI1326">
        <v>0</v>
      </c>
      <c r="AJ1326">
        <v>0</v>
      </c>
      <c r="AK1326">
        <f t="shared" si="577"/>
        <v>0</v>
      </c>
      <c r="AL1326">
        <f t="shared" si="586"/>
        <v>0</v>
      </c>
      <c r="AM1326">
        <f t="shared" ca="1" si="578"/>
        <v>2.6560383008097266E-7</v>
      </c>
      <c r="AN1326" t="str">
        <f t="shared" ca="1" si="579"/>
        <v>Subcritical</v>
      </c>
      <c r="AO1326">
        <f t="shared" ca="1" si="580"/>
        <v>2.2562304480281055E-12</v>
      </c>
    </row>
    <row r="1327" spans="1:41" x14ac:dyDescent="0.35">
      <c r="A1327">
        <v>1178</v>
      </c>
      <c r="B1327">
        <v>1176.8889999999999</v>
      </c>
      <c r="C1327">
        <v>616073.68599999999</v>
      </c>
      <c r="D1327">
        <v>3096827.2069999999</v>
      </c>
      <c r="E1327">
        <v>631.97349999999994</v>
      </c>
      <c r="F1327">
        <v>5.2</v>
      </c>
      <c r="G1327">
        <v>0</v>
      </c>
      <c r="H1327" t="s">
        <v>186</v>
      </c>
      <c r="I1327">
        <v>0</v>
      </c>
      <c r="J1327">
        <f t="shared" si="581"/>
        <v>1</v>
      </c>
      <c r="K1327">
        <f t="shared" si="582"/>
        <v>51</v>
      </c>
      <c r="L1327">
        <f t="shared" ca="1" si="583"/>
        <v>51797.843837663619</v>
      </c>
      <c r="M1327">
        <f t="shared" ca="1" si="560"/>
        <v>269348.78795585083</v>
      </c>
      <c r="N1327">
        <f t="shared" ca="1" si="561"/>
        <v>2.5998694991876676</v>
      </c>
      <c r="O1327">
        <f t="shared" ca="1" si="562"/>
        <v>1.8934557080078435E-4</v>
      </c>
      <c r="P1327">
        <f t="shared" ca="1" si="563"/>
        <v>52429.817337663619</v>
      </c>
      <c r="Q1327">
        <f t="shared" ca="1" si="564"/>
        <v>52429.817337665445</v>
      </c>
      <c r="R1327">
        <f t="shared" ca="1" si="565"/>
        <v>2.2564415439646509E-12</v>
      </c>
      <c r="S1327">
        <f t="shared" ca="1" si="584"/>
        <v>5.0000000192085281E-4</v>
      </c>
      <c r="T1327">
        <f t="shared" ca="1" si="585"/>
        <v>1</v>
      </c>
      <c r="U1327">
        <f t="shared" ca="1" si="566"/>
        <v>51800.26683766341</v>
      </c>
      <c r="V1327">
        <f t="shared" ca="1" si="567"/>
        <v>269361.38755584974</v>
      </c>
      <c r="W1327">
        <f t="shared" ca="1" si="568"/>
        <v>2.5998695052916441</v>
      </c>
      <c r="X1327">
        <f t="shared" ca="1" si="569"/>
        <v>1.8933671400629237E-4</v>
      </c>
      <c r="Y1327">
        <f t="shared" ca="1" si="570"/>
        <v>52432.24033766341</v>
      </c>
      <c r="Z1327">
        <f t="shared" ca="1" si="571"/>
        <v>52432.240337665236</v>
      </c>
      <c r="AA1327">
        <f t="shared" ca="1" si="572"/>
        <v>2.2562304480281055E-12</v>
      </c>
      <c r="AB1327">
        <f t="shared" ca="1" si="573"/>
        <v>-5.0000000192085281E-4</v>
      </c>
      <c r="AC1327">
        <f t="shared" ca="1" si="574"/>
        <v>1</v>
      </c>
      <c r="AD1327">
        <f ca="1">IF(V32="Supercritical",L1327,IF(V32="Subcritical",U1327,IF(AND(T1327=1,AC1327=1),IF((((F1327)*(L1327)^2)/2+(G1327)*(L1327)^3/3+(ABS(K1327)^2)/($I$5*MAX(((F1327)+(G1327)*(L1327))*(L1327),0.000001)))&gt;=(((F1327)*(U1327)^2)/2+(G1327)*(U1327)^3/3+(ABS(K1327)^2)/($I$5*MAX(((F1327)+(G1327)*(U1327))*(U1327),0.000001))),L1327,U1327),IF(T1327=1,L1327,IF(AC1327=1,U1327,MAX($D$16,POWER((ABS(K1327)^2)/($I$5*MAX(F1327,0.1)^2),1/3)))))))</f>
        <v>51800.26683766341</v>
      </c>
      <c r="AE1327">
        <f t="shared" ca="1" si="575"/>
        <v>52432.24033766341</v>
      </c>
      <c r="AF1327">
        <f t="shared" ca="1" si="576"/>
        <v>52432.240337665236</v>
      </c>
      <c r="AI1327">
        <v>0</v>
      </c>
      <c r="AJ1327">
        <v>0</v>
      </c>
      <c r="AK1327">
        <f t="shared" si="577"/>
        <v>0</v>
      </c>
      <c r="AL1327">
        <f t="shared" si="586"/>
        <v>0</v>
      </c>
      <c r="AM1327">
        <f t="shared" ca="1" si="578"/>
        <v>2.6560383008097266E-7</v>
      </c>
      <c r="AN1327" t="str">
        <f t="shared" ca="1" si="579"/>
        <v>Subcritical</v>
      </c>
      <c r="AO1327">
        <f t="shared" ca="1" si="580"/>
        <v>2.2562304480281055E-12</v>
      </c>
    </row>
    <row r="1328" spans="1:41" x14ac:dyDescent="0.35">
      <c r="A1328">
        <v>1179</v>
      </c>
      <c r="B1328">
        <v>1177.8889999999999</v>
      </c>
      <c r="C1328">
        <v>616073.64399999997</v>
      </c>
      <c r="D1328">
        <v>3096826.2080000001</v>
      </c>
      <c r="E1328">
        <v>631.97299999999996</v>
      </c>
      <c r="F1328">
        <v>5.2</v>
      </c>
      <c r="G1328">
        <v>0</v>
      </c>
      <c r="H1328" t="s">
        <v>186</v>
      </c>
      <c r="I1328">
        <v>0</v>
      </c>
      <c r="J1328">
        <f t="shared" si="581"/>
        <v>1</v>
      </c>
      <c r="K1328">
        <f t="shared" si="582"/>
        <v>51</v>
      </c>
      <c r="L1328">
        <f t="shared" ca="1" si="583"/>
        <v>51797.843837663619</v>
      </c>
      <c r="M1328">
        <f t="shared" ca="1" si="560"/>
        <v>269348.78795585083</v>
      </c>
      <c r="N1328">
        <f t="shared" ca="1" si="561"/>
        <v>2.5998694991876676</v>
      </c>
      <c r="O1328">
        <f t="shared" ca="1" si="562"/>
        <v>1.8934557080078435E-4</v>
      </c>
      <c r="P1328">
        <f t="shared" ca="1" si="563"/>
        <v>52429.816837663617</v>
      </c>
      <c r="Q1328">
        <f t="shared" ca="1" si="564"/>
        <v>52429.816837665443</v>
      </c>
      <c r="R1328">
        <f t="shared" ca="1" si="565"/>
        <v>2.2564415439646509E-12</v>
      </c>
      <c r="S1328">
        <f t="shared" ca="1" si="584"/>
        <v>5.0000000192085281E-4</v>
      </c>
      <c r="T1328">
        <f t="shared" ca="1" si="585"/>
        <v>1</v>
      </c>
      <c r="U1328">
        <f t="shared" ca="1" si="566"/>
        <v>51800.26683766341</v>
      </c>
      <c r="V1328">
        <f t="shared" ca="1" si="567"/>
        <v>269361.38755584974</v>
      </c>
      <c r="W1328">
        <f t="shared" ca="1" si="568"/>
        <v>2.5998695052916441</v>
      </c>
      <c r="X1328">
        <f t="shared" ca="1" si="569"/>
        <v>1.8933671400629237E-4</v>
      </c>
      <c r="Y1328">
        <f t="shared" ca="1" si="570"/>
        <v>52432.239837663408</v>
      </c>
      <c r="Z1328">
        <f t="shared" ca="1" si="571"/>
        <v>52432.239837665235</v>
      </c>
      <c r="AA1328">
        <f t="shared" ca="1" si="572"/>
        <v>2.2562304480281055E-12</v>
      </c>
      <c r="AB1328">
        <f t="shared" ca="1" si="573"/>
        <v>-4.999999946448952E-4</v>
      </c>
      <c r="AC1328">
        <f t="shared" ca="1" si="574"/>
        <v>1</v>
      </c>
      <c r="AD1328">
        <f ca="1">IF(V32="Supercritical",L1328,IF(V32="Subcritical",U1328,IF(AND(T1328=1,AC1328=1),IF((((F1328)*(L1328)^2)/2+(G1328)*(L1328)^3/3+(ABS(K1328)^2)/($I$5*MAX(((F1328)+(G1328)*(L1328))*(L1328),0.000001)))&gt;=(((F1328)*(U1328)^2)/2+(G1328)*(U1328)^3/3+(ABS(K1328)^2)/($I$5*MAX(((F1328)+(G1328)*(U1328))*(U1328),0.000001))),L1328,U1328),IF(T1328=1,L1328,IF(AC1328=1,U1328,MAX($D$16,POWER((ABS(K1328)^2)/($I$5*MAX(F1328,0.1)^2),1/3)))))))</f>
        <v>51800.26683766341</v>
      </c>
      <c r="AE1328">
        <f t="shared" ca="1" si="575"/>
        <v>52432.239837663408</v>
      </c>
      <c r="AF1328">
        <f t="shared" ca="1" si="576"/>
        <v>52432.239837665235</v>
      </c>
      <c r="AI1328">
        <v>0</v>
      </c>
      <c r="AJ1328">
        <v>0</v>
      </c>
      <c r="AK1328">
        <f t="shared" si="577"/>
        <v>0</v>
      </c>
      <c r="AL1328">
        <f t="shared" si="586"/>
        <v>0</v>
      </c>
      <c r="AM1328">
        <f t="shared" ca="1" si="578"/>
        <v>2.6560383008097266E-7</v>
      </c>
      <c r="AN1328" t="str">
        <f t="shared" ca="1" si="579"/>
        <v>Subcritical</v>
      </c>
      <c r="AO1328">
        <f t="shared" ca="1" si="580"/>
        <v>2.2562304480281055E-12</v>
      </c>
    </row>
    <row r="1329" spans="1:41" x14ac:dyDescent="0.35">
      <c r="A1329">
        <v>1180</v>
      </c>
      <c r="B1329">
        <v>1178.8889999999999</v>
      </c>
      <c r="C1329">
        <v>616073.60199999996</v>
      </c>
      <c r="D1329">
        <v>3096825.2089999998</v>
      </c>
      <c r="E1329">
        <v>631.97249999999997</v>
      </c>
      <c r="F1329">
        <v>5.2</v>
      </c>
      <c r="G1329">
        <v>0</v>
      </c>
      <c r="H1329" t="s">
        <v>186</v>
      </c>
      <c r="I1329">
        <v>5.7000000000000002E-2</v>
      </c>
      <c r="J1329">
        <f t="shared" si="581"/>
        <v>1</v>
      </c>
      <c r="K1329">
        <f t="shared" si="582"/>
        <v>51</v>
      </c>
      <c r="L1329">
        <f t="shared" ca="1" si="583"/>
        <v>51797.843837663619</v>
      </c>
      <c r="M1329">
        <f t="shared" ca="1" si="560"/>
        <v>269348.78795585083</v>
      </c>
      <c r="N1329">
        <f t="shared" ca="1" si="561"/>
        <v>2.5998694991876676</v>
      </c>
      <c r="O1329">
        <f t="shared" ca="1" si="562"/>
        <v>1.8934557080078435E-4</v>
      </c>
      <c r="P1329">
        <f t="shared" ca="1" si="563"/>
        <v>52429.816337663622</v>
      </c>
      <c r="Q1329">
        <f t="shared" ca="1" si="564"/>
        <v>52429.816337665448</v>
      </c>
      <c r="R1329">
        <f t="shared" ca="1" si="565"/>
        <v>2.2564415439646509E-12</v>
      </c>
      <c r="S1329">
        <f t="shared" ca="1" si="584"/>
        <v>4.999999946448952E-4</v>
      </c>
      <c r="T1329">
        <f t="shared" ca="1" si="585"/>
        <v>1</v>
      </c>
      <c r="U1329">
        <f t="shared" ca="1" si="566"/>
        <v>51800.26683766341</v>
      </c>
      <c r="V1329">
        <f t="shared" ca="1" si="567"/>
        <v>269361.38755584974</v>
      </c>
      <c r="W1329">
        <f t="shared" ca="1" si="568"/>
        <v>2.5998695052916441</v>
      </c>
      <c r="X1329">
        <f t="shared" ca="1" si="569"/>
        <v>1.8933671400629237E-4</v>
      </c>
      <c r="Y1329">
        <f t="shared" ca="1" si="570"/>
        <v>52432.239337663414</v>
      </c>
      <c r="Z1329">
        <f t="shared" ca="1" si="571"/>
        <v>52432.23933766524</v>
      </c>
      <c r="AA1329">
        <f t="shared" ca="1" si="572"/>
        <v>2.2562304480281055E-12</v>
      </c>
      <c r="AB1329">
        <f t="shared" ca="1" si="573"/>
        <v>-5.0000000192085281E-4</v>
      </c>
      <c r="AC1329">
        <f t="shared" ca="1" si="574"/>
        <v>1</v>
      </c>
      <c r="AD1329">
        <f ca="1">IF(V32="Supercritical",L1329,IF(V32="Subcritical",U1329,IF(AND(T1329=1,AC1329=1),IF((((F1329)*(L1329)^2)/2+(G1329)*(L1329)^3/3+(ABS(K1329)^2)/($I$5*MAX(((F1329)+(G1329)*(L1329))*(L1329),0.000001)))&gt;=(((F1329)*(U1329)^2)/2+(G1329)*(U1329)^3/3+(ABS(K1329)^2)/($I$5*MAX(((F1329)+(G1329)*(U1329))*(U1329),0.000001))),L1329,U1329),IF(T1329=1,L1329,IF(AC1329=1,U1329,MAX($D$16,POWER((ABS(K1329)^2)/($I$5*MAX(F1329,0.1)^2),1/3)))))))</f>
        <v>51800.26683766341</v>
      </c>
      <c r="AE1329">
        <f t="shared" ca="1" si="575"/>
        <v>52432.239337663414</v>
      </c>
      <c r="AF1329">
        <f t="shared" ca="1" si="576"/>
        <v>52432.23933766524</v>
      </c>
      <c r="AI1329">
        <v>0</v>
      </c>
      <c r="AJ1329">
        <v>0</v>
      </c>
      <c r="AK1329">
        <f t="shared" si="577"/>
        <v>0</v>
      </c>
      <c r="AL1329">
        <f t="shared" si="586"/>
        <v>0</v>
      </c>
      <c r="AM1329">
        <f t="shared" ca="1" si="578"/>
        <v>2.6560383008097266E-7</v>
      </c>
      <c r="AN1329" t="str">
        <f t="shared" ca="1" si="579"/>
        <v>Subcritical</v>
      </c>
      <c r="AO1329">
        <f t="shared" ca="1" si="580"/>
        <v>2.2562304480281055E-12</v>
      </c>
    </row>
    <row r="1330" spans="1:41" x14ac:dyDescent="0.35">
      <c r="A1330">
        <v>1181</v>
      </c>
      <c r="B1330">
        <v>1179.8889999999999</v>
      </c>
      <c r="C1330">
        <v>616073.55900000001</v>
      </c>
      <c r="D1330">
        <v>3096824.21</v>
      </c>
      <c r="E1330">
        <v>631.97199999999998</v>
      </c>
      <c r="F1330">
        <v>5.2</v>
      </c>
      <c r="G1330">
        <v>0</v>
      </c>
      <c r="H1330" t="s">
        <v>186</v>
      </c>
      <c r="I1330">
        <v>0.06</v>
      </c>
      <c r="J1330">
        <f t="shared" si="581"/>
        <v>1</v>
      </c>
      <c r="K1330">
        <f t="shared" si="582"/>
        <v>51</v>
      </c>
      <c r="L1330">
        <f t="shared" ca="1" si="583"/>
        <v>51797.843837663619</v>
      </c>
      <c r="M1330">
        <f t="shared" ca="1" si="560"/>
        <v>269348.78795585083</v>
      </c>
      <c r="N1330">
        <f t="shared" ca="1" si="561"/>
        <v>2.5998694991876676</v>
      </c>
      <c r="O1330">
        <f t="shared" ca="1" si="562"/>
        <v>1.8934557080078435E-4</v>
      </c>
      <c r="P1330">
        <f t="shared" ca="1" si="563"/>
        <v>52429.81583766362</v>
      </c>
      <c r="Q1330">
        <f t="shared" ca="1" si="564"/>
        <v>52429.815837665446</v>
      </c>
      <c r="R1330">
        <f t="shared" ca="1" si="565"/>
        <v>2.2564415439646509E-12</v>
      </c>
      <c r="S1330">
        <f t="shared" ca="1" si="584"/>
        <v>5.0000000192085281E-4</v>
      </c>
      <c r="T1330">
        <f t="shared" ca="1" si="585"/>
        <v>1</v>
      </c>
      <c r="U1330">
        <f t="shared" ca="1" si="566"/>
        <v>51800.26683766341</v>
      </c>
      <c r="V1330">
        <f t="shared" ca="1" si="567"/>
        <v>269361.38755584974</v>
      </c>
      <c r="W1330">
        <f t="shared" ca="1" si="568"/>
        <v>2.5998695052916441</v>
      </c>
      <c r="X1330">
        <f t="shared" ca="1" si="569"/>
        <v>1.8933671400629237E-4</v>
      </c>
      <c r="Y1330">
        <f t="shared" ca="1" si="570"/>
        <v>52432.238837663412</v>
      </c>
      <c r="Z1330">
        <f t="shared" ca="1" si="571"/>
        <v>52432.238837665238</v>
      </c>
      <c r="AA1330">
        <f t="shared" ca="1" si="572"/>
        <v>2.2562304480281055E-12</v>
      </c>
      <c r="AB1330">
        <f t="shared" ca="1" si="573"/>
        <v>-5.0000000192085281E-4</v>
      </c>
      <c r="AC1330">
        <f t="shared" ca="1" si="574"/>
        <v>1</v>
      </c>
      <c r="AD1330">
        <f ca="1">IF(V32="Supercritical",L1330,IF(V32="Subcritical",U1330,IF(AND(T1330=1,AC1330=1),IF((((F1330)*(L1330)^2)/2+(G1330)*(L1330)^3/3+(ABS(K1330)^2)/($I$5*MAX(((F1330)+(G1330)*(L1330))*(L1330),0.000001)))&gt;=(((F1330)*(U1330)^2)/2+(G1330)*(U1330)^3/3+(ABS(K1330)^2)/($I$5*MAX(((F1330)+(G1330)*(U1330))*(U1330),0.000001))),L1330,U1330),IF(T1330=1,L1330,IF(AC1330=1,U1330,MAX($D$16,POWER((ABS(K1330)^2)/($I$5*MAX(F1330,0.1)^2),1/3)))))))</f>
        <v>51800.26683766341</v>
      </c>
      <c r="AE1330">
        <f t="shared" ca="1" si="575"/>
        <v>52432.238837663412</v>
      </c>
      <c r="AF1330">
        <f t="shared" ca="1" si="576"/>
        <v>52432.238837665238</v>
      </c>
      <c r="AI1330">
        <v>0</v>
      </c>
      <c r="AJ1330">
        <v>0</v>
      </c>
      <c r="AK1330">
        <f t="shared" si="577"/>
        <v>0</v>
      </c>
      <c r="AL1330">
        <f t="shared" si="586"/>
        <v>0</v>
      </c>
      <c r="AM1330">
        <f t="shared" ca="1" si="578"/>
        <v>2.6560383008097266E-7</v>
      </c>
      <c r="AN1330" t="str">
        <f t="shared" ca="1" si="579"/>
        <v>Subcritical</v>
      </c>
      <c r="AO1330">
        <f t="shared" ca="1" si="580"/>
        <v>2.2562304480281055E-12</v>
      </c>
    </row>
    <row r="1331" spans="1:41" x14ac:dyDescent="0.35">
      <c r="A1331">
        <v>1182</v>
      </c>
      <c r="B1331">
        <v>1180.8900000000001</v>
      </c>
      <c r="C1331">
        <v>616073.51699999999</v>
      </c>
      <c r="D1331">
        <v>3096823.21</v>
      </c>
      <c r="E1331">
        <v>631.97149999999999</v>
      </c>
      <c r="F1331">
        <v>5.2</v>
      </c>
      <c r="G1331">
        <v>0</v>
      </c>
      <c r="H1331" t="s">
        <v>186</v>
      </c>
      <c r="I1331">
        <v>2E-3</v>
      </c>
      <c r="J1331">
        <f t="shared" si="581"/>
        <v>1.0010000000002037</v>
      </c>
      <c r="K1331">
        <f t="shared" si="582"/>
        <v>51</v>
      </c>
      <c r="L1331">
        <f t="shared" ca="1" si="583"/>
        <v>51797.843837663619</v>
      </c>
      <c r="M1331">
        <f t="shared" ca="1" si="560"/>
        <v>269348.78795585083</v>
      </c>
      <c r="N1331">
        <f t="shared" ca="1" si="561"/>
        <v>2.5998694991876676</v>
      </c>
      <c r="O1331">
        <f t="shared" ca="1" si="562"/>
        <v>1.8934557080078435E-4</v>
      </c>
      <c r="P1331">
        <f t="shared" ca="1" si="563"/>
        <v>52429.815337663618</v>
      </c>
      <c r="Q1331">
        <f t="shared" ca="1" si="564"/>
        <v>52429.815337665445</v>
      </c>
      <c r="R1331">
        <f t="shared" ca="1" si="565"/>
        <v>2.2564415439646509E-12</v>
      </c>
      <c r="S1331">
        <f t="shared" ca="1" si="584"/>
        <v>5.0000000192085281E-4</v>
      </c>
      <c r="T1331">
        <f t="shared" ca="1" si="585"/>
        <v>1</v>
      </c>
      <c r="U1331">
        <f t="shared" ca="1" si="566"/>
        <v>51800.26683766341</v>
      </c>
      <c r="V1331">
        <f t="shared" ca="1" si="567"/>
        <v>269361.38755584974</v>
      </c>
      <c r="W1331">
        <f t="shared" ca="1" si="568"/>
        <v>2.5998695052916441</v>
      </c>
      <c r="X1331">
        <f t="shared" ca="1" si="569"/>
        <v>1.8933671400629237E-4</v>
      </c>
      <c r="Y1331">
        <f t="shared" ca="1" si="570"/>
        <v>52432.23833766341</v>
      </c>
      <c r="Z1331">
        <f t="shared" ca="1" si="571"/>
        <v>52432.238337665236</v>
      </c>
      <c r="AA1331">
        <f t="shared" ca="1" si="572"/>
        <v>2.2562304480281055E-12</v>
      </c>
      <c r="AB1331">
        <f t="shared" ca="1" si="573"/>
        <v>-5.0000000192085281E-4</v>
      </c>
      <c r="AC1331">
        <f t="shared" ca="1" si="574"/>
        <v>1</v>
      </c>
      <c r="AD1331">
        <f ca="1">IF(V32="Supercritical",L1331,IF(V32="Subcritical",U1331,IF(AND(T1331=1,AC1331=1),IF((((F1331)*(L1331)^2)/2+(G1331)*(L1331)^3/3+(ABS(K1331)^2)/($I$5*MAX(((F1331)+(G1331)*(L1331))*(L1331),0.000001)))&gt;=(((F1331)*(U1331)^2)/2+(G1331)*(U1331)^3/3+(ABS(K1331)^2)/($I$5*MAX(((F1331)+(G1331)*(U1331))*(U1331),0.000001))),L1331,U1331),IF(T1331=1,L1331,IF(AC1331=1,U1331,MAX($D$16,POWER((ABS(K1331)^2)/($I$5*MAX(F1331,0.1)^2),1/3)))))))</f>
        <v>51800.26683766341</v>
      </c>
      <c r="AE1331">
        <f t="shared" ca="1" si="575"/>
        <v>52432.23833766341</v>
      </c>
      <c r="AF1331">
        <f t="shared" ca="1" si="576"/>
        <v>52432.238337665236</v>
      </c>
      <c r="AI1331">
        <v>0</v>
      </c>
      <c r="AJ1331">
        <v>0</v>
      </c>
      <c r="AK1331">
        <f t="shared" si="577"/>
        <v>0</v>
      </c>
      <c r="AL1331">
        <f t="shared" si="586"/>
        <v>0</v>
      </c>
      <c r="AM1331">
        <f t="shared" ca="1" si="578"/>
        <v>2.6560383008097266E-7</v>
      </c>
      <c r="AN1331" t="str">
        <f t="shared" ca="1" si="579"/>
        <v>Subcritical</v>
      </c>
      <c r="AO1331">
        <f t="shared" ca="1" si="580"/>
        <v>2.2562304480281055E-12</v>
      </c>
    </row>
    <row r="1332" spans="1:41" x14ac:dyDescent="0.35">
      <c r="A1332">
        <v>1183</v>
      </c>
      <c r="B1332">
        <v>1181.8900000000001</v>
      </c>
      <c r="C1332">
        <v>616073.47499999998</v>
      </c>
      <c r="D1332">
        <v>3096822.2110000001</v>
      </c>
      <c r="E1332">
        <v>631.971</v>
      </c>
      <c r="F1332">
        <v>5.2</v>
      </c>
      <c r="G1332">
        <v>0</v>
      </c>
      <c r="H1332" t="s">
        <v>186</v>
      </c>
      <c r="I1332">
        <v>0</v>
      </c>
      <c r="J1332">
        <f t="shared" si="581"/>
        <v>1</v>
      </c>
      <c r="K1332">
        <f t="shared" si="582"/>
        <v>51</v>
      </c>
      <c r="L1332">
        <f t="shared" ca="1" si="583"/>
        <v>51797.843837663619</v>
      </c>
      <c r="M1332">
        <f t="shared" ca="1" si="560"/>
        <v>269348.78795585083</v>
      </c>
      <c r="N1332">
        <f t="shared" ca="1" si="561"/>
        <v>2.5998694991876676</v>
      </c>
      <c r="O1332">
        <f t="shared" ca="1" si="562"/>
        <v>1.8934557080078435E-4</v>
      </c>
      <c r="P1332">
        <f t="shared" ca="1" si="563"/>
        <v>52429.814837663616</v>
      </c>
      <c r="Q1332">
        <f t="shared" ca="1" si="564"/>
        <v>52429.814837665443</v>
      </c>
      <c r="R1332">
        <f t="shared" ca="1" si="565"/>
        <v>2.2564415439646509E-12</v>
      </c>
      <c r="S1332">
        <f t="shared" ca="1" si="584"/>
        <v>5.0000000192085281E-4</v>
      </c>
      <c r="T1332">
        <f t="shared" ca="1" si="585"/>
        <v>1</v>
      </c>
      <c r="U1332">
        <f t="shared" ca="1" si="566"/>
        <v>51800.26683766341</v>
      </c>
      <c r="V1332">
        <f t="shared" ca="1" si="567"/>
        <v>269361.38755584974</v>
      </c>
      <c r="W1332">
        <f t="shared" ca="1" si="568"/>
        <v>2.5998695052916441</v>
      </c>
      <c r="X1332">
        <f t="shared" ca="1" si="569"/>
        <v>1.8933671400629237E-4</v>
      </c>
      <c r="Y1332">
        <f t="shared" ca="1" si="570"/>
        <v>52432.237837663408</v>
      </c>
      <c r="Z1332">
        <f t="shared" ca="1" si="571"/>
        <v>52432.237837665234</v>
      </c>
      <c r="AA1332">
        <f t="shared" ca="1" si="572"/>
        <v>2.2562304480281055E-12</v>
      </c>
      <c r="AB1332">
        <f t="shared" ca="1" si="573"/>
        <v>-4.999999946448952E-4</v>
      </c>
      <c r="AC1332">
        <f t="shared" ca="1" si="574"/>
        <v>1</v>
      </c>
      <c r="AD1332">
        <f ca="1">IF(V32="Supercritical",L1332,IF(V32="Subcritical",U1332,IF(AND(T1332=1,AC1332=1),IF((((F1332)*(L1332)^2)/2+(G1332)*(L1332)^3/3+(ABS(K1332)^2)/($I$5*MAX(((F1332)+(G1332)*(L1332))*(L1332),0.000001)))&gt;=(((F1332)*(U1332)^2)/2+(G1332)*(U1332)^3/3+(ABS(K1332)^2)/($I$5*MAX(((F1332)+(G1332)*(U1332))*(U1332),0.000001))),L1332,U1332),IF(T1332=1,L1332,IF(AC1332=1,U1332,MAX($D$16,POWER((ABS(K1332)^2)/($I$5*MAX(F1332,0.1)^2),1/3)))))))</f>
        <v>51800.26683766341</v>
      </c>
      <c r="AE1332">
        <f t="shared" ca="1" si="575"/>
        <v>52432.237837663408</v>
      </c>
      <c r="AF1332">
        <f t="shared" ca="1" si="576"/>
        <v>52432.237837665234</v>
      </c>
      <c r="AI1332">
        <v>0</v>
      </c>
      <c r="AJ1332">
        <v>0</v>
      </c>
      <c r="AK1332">
        <f t="shared" si="577"/>
        <v>0</v>
      </c>
      <c r="AL1332">
        <f t="shared" si="586"/>
        <v>0</v>
      </c>
      <c r="AM1332">
        <f t="shared" ca="1" si="578"/>
        <v>2.6560383008097266E-7</v>
      </c>
      <c r="AN1332" t="str">
        <f t="shared" ca="1" si="579"/>
        <v>Subcritical</v>
      </c>
      <c r="AO1332">
        <f t="shared" ca="1" si="580"/>
        <v>2.2562304480281055E-12</v>
      </c>
    </row>
    <row r="1333" spans="1:41" x14ac:dyDescent="0.35">
      <c r="A1333">
        <v>1184</v>
      </c>
      <c r="B1333">
        <v>1182.8889999999999</v>
      </c>
      <c r="C1333">
        <v>616073.43299999996</v>
      </c>
      <c r="D1333">
        <v>3096821.2119999998</v>
      </c>
      <c r="E1333">
        <v>631.97050000000002</v>
      </c>
      <c r="F1333">
        <v>5.2</v>
      </c>
      <c r="G1333">
        <v>0</v>
      </c>
      <c r="H1333" t="s">
        <v>186</v>
      </c>
      <c r="I1333">
        <v>5.7000000000000002E-2</v>
      </c>
      <c r="J1333">
        <f t="shared" si="581"/>
        <v>0.99899999999979627</v>
      </c>
      <c r="K1333">
        <f t="shared" si="582"/>
        <v>51</v>
      </c>
      <c r="L1333">
        <f t="shared" ca="1" si="583"/>
        <v>51797.843837663619</v>
      </c>
      <c r="M1333">
        <f t="shared" ca="1" si="560"/>
        <v>269348.78795585083</v>
      </c>
      <c r="N1333">
        <f t="shared" ca="1" si="561"/>
        <v>2.5998694991876676</v>
      </c>
      <c r="O1333">
        <f t="shared" ca="1" si="562"/>
        <v>1.8934557080078435E-4</v>
      </c>
      <c r="P1333">
        <f t="shared" ca="1" si="563"/>
        <v>52429.814337663622</v>
      </c>
      <c r="Q1333">
        <f t="shared" ca="1" si="564"/>
        <v>52429.814337665448</v>
      </c>
      <c r="R1333">
        <f t="shared" ca="1" si="565"/>
        <v>2.2564415439646509E-12</v>
      </c>
      <c r="S1333">
        <f t="shared" ca="1" si="584"/>
        <v>4.999999946448952E-4</v>
      </c>
      <c r="T1333">
        <f t="shared" ca="1" si="585"/>
        <v>1</v>
      </c>
      <c r="U1333">
        <f t="shared" ca="1" si="566"/>
        <v>51800.26683766341</v>
      </c>
      <c r="V1333">
        <f t="shared" ca="1" si="567"/>
        <v>269361.38755584974</v>
      </c>
      <c r="W1333">
        <f t="shared" ca="1" si="568"/>
        <v>2.5998695052916441</v>
      </c>
      <c r="X1333">
        <f t="shared" ca="1" si="569"/>
        <v>1.8933671400629237E-4</v>
      </c>
      <c r="Y1333">
        <f t="shared" ca="1" si="570"/>
        <v>52432.237337663413</v>
      </c>
      <c r="Z1333">
        <f t="shared" ca="1" si="571"/>
        <v>52432.237337665239</v>
      </c>
      <c r="AA1333">
        <f t="shared" ca="1" si="572"/>
        <v>2.2562304480281055E-12</v>
      </c>
      <c r="AB1333">
        <f t="shared" ca="1" si="573"/>
        <v>-5.0000000192085281E-4</v>
      </c>
      <c r="AC1333">
        <f t="shared" ca="1" si="574"/>
        <v>1</v>
      </c>
      <c r="AD1333">
        <f ca="1">IF(V32="Supercritical",L1333,IF(V32="Subcritical",U1333,IF(AND(T1333=1,AC1333=1),IF((((F1333)*(L1333)^2)/2+(G1333)*(L1333)^3/3+(ABS(K1333)^2)/($I$5*MAX(((F1333)+(G1333)*(L1333))*(L1333),0.000001)))&gt;=(((F1333)*(U1333)^2)/2+(G1333)*(U1333)^3/3+(ABS(K1333)^2)/($I$5*MAX(((F1333)+(G1333)*(U1333))*(U1333),0.000001))),L1333,U1333),IF(T1333=1,L1333,IF(AC1333=1,U1333,MAX($D$16,POWER((ABS(K1333)^2)/($I$5*MAX(F1333,0.1)^2),1/3)))))))</f>
        <v>51800.26683766341</v>
      </c>
      <c r="AE1333">
        <f t="shared" ca="1" si="575"/>
        <v>52432.237337663413</v>
      </c>
      <c r="AF1333">
        <f t="shared" ca="1" si="576"/>
        <v>52432.237337665239</v>
      </c>
      <c r="AI1333">
        <v>0</v>
      </c>
      <c r="AJ1333">
        <v>0</v>
      </c>
      <c r="AK1333">
        <f t="shared" si="577"/>
        <v>0</v>
      </c>
      <c r="AL1333">
        <f t="shared" si="586"/>
        <v>0</v>
      </c>
      <c r="AM1333">
        <f t="shared" ca="1" si="578"/>
        <v>2.6560383008097266E-7</v>
      </c>
      <c r="AN1333" t="str">
        <f t="shared" ca="1" si="579"/>
        <v>Subcritical</v>
      </c>
      <c r="AO1333">
        <f t="shared" ca="1" si="580"/>
        <v>2.2562304480281055E-12</v>
      </c>
    </row>
    <row r="1334" spans="1:41" x14ac:dyDescent="0.35">
      <c r="A1334">
        <v>1185</v>
      </c>
      <c r="B1334">
        <v>1183.8889999999999</v>
      </c>
      <c r="C1334">
        <v>616073.39</v>
      </c>
      <c r="D1334">
        <v>3096820.213</v>
      </c>
      <c r="E1334">
        <v>631.97</v>
      </c>
      <c r="F1334">
        <v>5.2</v>
      </c>
      <c r="G1334">
        <v>0</v>
      </c>
      <c r="H1334" t="s">
        <v>186</v>
      </c>
      <c r="I1334">
        <v>5.7000000000000002E-2</v>
      </c>
      <c r="J1334">
        <f t="shared" si="581"/>
        <v>1</v>
      </c>
      <c r="K1334">
        <f t="shared" si="582"/>
        <v>51</v>
      </c>
      <c r="L1334">
        <f t="shared" ca="1" si="583"/>
        <v>51797.843837663619</v>
      </c>
      <c r="M1334">
        <f t="shared" ca="1" si="560"/>
        <v>269348.78795585083</v>
      </c>
      <c r="N1334">
        <f t="shared" ca="1" si="561"/>
        <v>2.5998694991876676</v>
      </c>
      <c r="O1334">
        <f t="shared" ca="1" si="562"/>
        <v>1.8934557080078435E-4</v>
      </c>
      <c r="P1334">
        <f t="shared" ca="1" si="563"/>
        <v>52429.81383766362</v>
      </c>
      <c r="Q1334">
        <f t="shared" ca="1" si="564"/>
        <v>52429.813837665446</v>
      </c>
      <c r="R1334">
        <f t="shared" ca="1" si="565"/>
        <v>2.2564415439646509E-12</v>
      </c>
      <c r="S1334">
        <f t="shared" ca="1" si="584"/>
        <v>5.0000000192085281E-4</v>
      </c>
      <c r="T1334">
        <f t="shared" ca="1" si="585"/>
        <v>1</v>
      </c>
      <c r="U1334">
        <f t="shared" ca="1" si="566"/>
        <v>51800.26683766341</v>
      </c>
      <c r="V1334">
        <f t="shared" ca="1" si="567"/>
        <v>269361.38755584974</v>
      </c>
      <c r="W1334">
        <f t="shared" ca="1" si="568"/>
        <v>2.5998695052916441</v>
      </c>
      <c r="X1334">
        <f t="shared" ca="1" si="569"/>
        <v>1.8933671400629237E-4</v>
      </c>
      <c r="Y1334">
        <f t="shared" ca="1" si="570"/>
        <v>52432.236837663411</v>
      </c>
      <c r="Z1334">
        <f t="shared" ca="1" si="571"/>
        <v>52432.236837665238</v>
      </c>
      <c r="AA1334">
        <f t="shared" ca="1" si="572"/>
        <v>2.2562304480281055E-12</v>
      </c>
      <c r="AB1334">
        <f t="shared" ca="1" si="573"/>
        <v>-5.0000000192085281E-4</v>
      </c>
      <c r="AC1334">
        <f t="shared" ca="1" si="574"/>
        <v>1</v>
      </c>
      <c r="AD1334">
        <f ca="1">IF(V32="Supercritical",L1334,IF(V32="Subcritical",U1334,IF(AND(T1334=1,AC1334=1),IF((((F1334)*(L1334)^2)/2+(G1334)*(L1334)^3/3+(ABS(K1334)^2)/($I$5*MAX(((F1334)+(G1334)*(L1334))*(L1334),0.000001)))&gt;=(((F1334)*(U1334)^2)/2+(G1334)*(U1334)^3/3+(ABS(K1334)^2)/($I$5*MAX(((F1334)+(G1334)*(U1334))*(U1334),0.000001))),L1334,U1334),IF(T1334=1,L1334,IF(AC1334=1,U1334,MAX($D$16,POWER((ABS(K1334)^2)/($I$5*MAX(F1334,0.1)^2),1/3)))))))</f>
        <v>51800.26683766341</v>
      </c>
      <c r="AE1334">
        <f t="shared" ca="1" si="575"/>
        <v>52432.236837663411</v>
      </c>
      <c r="AF1334">
        <f t="shared" ca="1" si="576"/>
        <v>52432.236837665238</v>
      </c>
      <c r="AI1334">
        <v>0</v>
      </c>
      <c r="AJ1334">
        <v>0</v>
      </c>
      <c r="AK1334">
        <f t="shared" si="577"/>
        <v>0</v>
      </c>
      <c r="AL1334">
        <f t="shared" si="586"/>
        <v>0</v>
      </c>
      <c r="AM1334">
        <f t="shared" ca="1" si="578"/>
        <v>2.6560383008097266E-7</v>
      </c>
      <c r="AN1334" t="str">
        <f t="shared" ca="1" si="579"/>
        <v>Subcritical</v>
      </c>
      <c r="AO1334">
        <f t="shared" ca="1" si="580"/>
        <v>2.2562304480281055E-12</v>
      </c>
    </row>
    <row r="1335" spans="1:41" x14ac:dyDescent="0.35">
      <c r="A1335">
        <v>1186</v>
      </c>
      <c r="B1335">
        <v>1184.8889999999999</v>
      </c>
      <c r="C1335">
        <v>616073.348</v>
      </c>
      <c r="D1335">
        <v>3096819.2140000002</v>
      </c>
      <c r="E1335">
        <v>631.96950000000004</v>
      </c>
      <c r="F1335">
        <v>5.2</v>
      </c>
      <c r="G1335">
        <v>0</v>
      </c>
      <c r="H1335" t="s">
        <v>186</v>
      </c>
      <c r="I1335">
        <v>0</v>
      </c>
      <c r="J1335">
        <f t="shared" si="581"/>
        <v>1</v>
      </c>
      <c r="K1335">
        <f t="shared" si="582"/>
        <v>51</v>
      </c>
      <c r="L1335">
        <f t="shared" ca="1" si="583"/>
        <v>51797.843837663619</v>
      </c>
      <c r="M1335">
        <f t="shared" ca="1" si="560"/>
        <v>269348.78795585083</v>
      </c>
      <c r="N1335">
        <f t="shared" ca="1" si="561"/>
        <v>2.5998694991876676</v>
      </c>
      <c r="O1335">
        <f t="shared" ca="1" si="562"/>
        <v>1.8934557080078435E-4</v>
      </c>
      <c r="P1335">
        <f t="shared" ca="1" si="563"/>
        <v>52429.813337663618</v>
      </c>
      <c r="Q1335">
        <f t="shared" ca="1" si="564"/>
        <v>52429.813337665444</v>
      </c>
      <c r="R1335">
        <f t="shared" ca="1" si="565"/>
        <v>2.2564415439646509E-12</v>
      </c>
      <c r="S1335">
        <f t="shared" ca="1" si="584"/>
        <v>5.0000000192085281E-4</v>
      </c>
      <c r="T1335">
        <f t="shared" ca="1" si="585"/>
        <v>1</v>
      </c>
      <c r="U1335">
        <f t="shared" ca="1" si="566"/>
        <v>51800.26683766341</v>
      </c>
      <c r="V1335">
        <f t="shared" ca="1" si="567"/>
        <v>269361.38755584974</v>
      </c>
      <c r="W1335">
        <f t="shared" ca="1" si="568"/>
        <v>2.5998695052916441</v>
      </c>
      <c r="X1335">
        <f t="shared" ca="1" si="569"/>
        <v>1.8933671400629237E-4</v>
      </c>
      <c r="Y1335">
        <f t="shared" ca="1" si="570"/>
        <v>52432.236337663409</v>
      </c>
      <c r="Z1335">
        <f t="shared" ca="1" si="571"/>
        <v>52432.236337665236</v>
      </c>
      <c r="AA1335">
        <f t="shared" ca="1" si="572"/>
        <v>2.2562304480281055E-12</v>
      </c>
      <c r="AB1335">
        <f t="shared" ca="1" si="573"/>
        <v>-5.0000000192085281E-4</v>
      </c>
      <c r="AC1335">
        <f t="shared" ca="1" si="574"/>
        <v>1</v>
      </c>
      <c r="AD1335">
        <f ca="1">IF(V32="Supercritical",L1335,IF(V32="Subcritical",U1335,IF(AND(T1335=1,AC1335=1),IF((((F1335)*(L1335)^2)/2+(G1335)*(L1335)^3/3+(ABS(K1335)^2)/($I$5*MAX(((F1335)+(G1335)*(L1335))*(L1335),0.000001)))&gt;=(((F1335)*(U1335)^2)/2+(G1335)*(U1335)^3/3+(ABS(K1335)^2)/($I$5*MAX(((F1335)+(G1335)*(U1335))*(U1335),0.000001))),L1335,U1335),IF(T1335=1,L1335,IF(AC1335=1,U1335,MAX($D$16,POWER((ABS(K1335)^2)/($I$5*MAX(F1335,0.1)^2),1/3)))))))</f>
        <v>51800.26683766341</v>
      </c>
      <c r="AE1335">
        <f t="shared" ca="1" si="575"/>
        <v>52432.236337663409</v>
      </c>
      <c r="AF1335">
        <f t="shared" ca="1" si="576"/>
        <v>52432.236337665236</v>
      </c>
      <c r="AI1335">
        <v>0</v>
      </c>
      <c r="AJ1335">
        <v>0</v>
      </c>
      <c r="AK1335">
        <f t="shared" si="577"/>
        <v>0</v>
      </c>
      <c r="AL1335">
        <f t="shared" si="586"/>
        <v>0</v>
      </c>
      <c r="AM1335">
        <f t="shared" ca="1" si="578"/>
        <v>2.6560383008097266E-7</v>
      </c>
      <c r="AN1335" t="str">
        <f t="shared" ca="1" si="579"/>
        <v>Subcritical</v>
      </c>
      <c r="AO1335">
        <f t="shared" ca="1" si="580"/>
        <v>2.2562304480281055E-12</v>
      </c>
    </row>
    <row r="1336" spans="1:41" x14ac:dyDescent="0.35">
      <c r="A1336">
        <v>1187</v>
      </c>
      <c r="B1336">
        <v>1185.8889999999999</v>
      </c>
      <c r="C1336">
        <v>616073.30599999998</v>
      </c>
      <c r="D1336">
        <v>3096818.2149999999</v>
      </c>
      <c r="E1336">
        <v>631.96900000000005</v>
      </c>
      <c r="F1336">
        <v>5.2</v>
      </c>
      <c r="G1336">
        <v>0</v>
      </c>
      <c r="H1336" t="s">
        <v>186</v>
      </c>
      <c r="I1336">
        <v>0</v>
      </c>
      <c r="J1336">
        <f t="shared" si="581"/>
        <v>1</v>
      </c>
      <c r="K1336">
        <f t="shared" si="582"/>
        <v>51</v>
      </c>
      <c r="L1336">
        <f t="shared" ca="1" si="583"/>
        <v>51797.843837663619</v>
      </c>
      <c r="M1336">
        <f t="shared" ca="1" si="560"/>
        <v>269348.78795585083</v>
      </c>
      <c r="N1336">
        <f t="shared" ca="1" si="561"/>
        <v>2.5998694991876676</v>
      </c>
      <c r="O1336">
        <f t="shared" ca="1" si="562"/>
        <v>1.8934557080078435E-4</v>
      </c>
      <c r="P1336">
        <f t="shared" ca="1" si="563"/>
        <v>52429.812837663616</v>
      </c>
      <c r="Q1336">
        <f t="shared" ca="1" si="564"/>
        <v>52429.812837665442</v>
      </c>
      <c r="R1336">
        <f t="shared" ca="1" si="565"/>
        <v>2.2564415439646509E-12</v>
      </c>
      <c r="S1336">
        <f t="shared" ca="1" si="584"/>
        <v>5.0000000192085281E-4</v>
      </c>
      <c r="T1336">
        <f t="shared" ca="1" si="585"/>
        <v>1</v>
      </c>
      <c r="U1336">
        <f t="shared" ca="1" si="566"/>
        <v>51800.26683766341</v>
      </c>
      <c r="V1336">
        <f t="shared" ca="1" si="567"/>
        <v>269361.38755584974</v>
      </c>
      <c r="W1336">
        <f t="shared" ca="1" si="568"/>
        <v>2.5998695052916441</v>
      </c>
      <c r="X1336">
        <f t="shared" ca="1" si="569"/>
        <v>1.8933671400629237E-4</v>
      </c>
      <c r="Y1336">
        <f t="shared" ca="1" si="570"/>
        <v>52432.235837663407</v>
      </c>
      <c r="Z1336">
        <f t="shared" ca="1" si="571"/>
        <v>52432.235837665234</v>
      </c>
      <c r="AA1336">
        <f t="shared" ca="1" si="572"/>
        <v>2.2562304480281055E-12</v>
      </c>
      <c r="AB1336">
        <f t="shared" ca="1" si="573"/>
        <v>-4.999999946448952E-4</v>
      </c>
      <c r="AC1336">
        <f t="shared" ca="1" si="574"/>
        <v>1</v>
      </c>
      <c r="AD1336">
        <f ca="1">IF(V32="Supercritical",L1336,IF(V32="Subcritical",U1336,IF(AND(T1336=1,AC1336=1),IF((((F1336)*(L1336)^2)/2+(G1336)*(L1336)^3/3+(ABS(K1336)^2)/($I$5*MAX(((F1336)+(G1336)*(L1336))*(L1336),0.000001)))&gt;=(((F1336)*(U1336)^2)/2+(G1336)*(U1336)^3/3+(ABS(K1336)^2)/($I$5*MAX(((F1336)+(G1336)*(U1336))*(U1336),0.000001))),L1336,U1336),IF(T1336=1,L1336,IF(AC1336=1,U1336,MAX($D$16,POWER((ABS(K1336)^2)/($I$5*MAX(F1336,0.1)^2),1/3)))))))</f>
        <v>51800.26683766341</v>
      </c>
      <c r="AE1336">
        <f t="shared" ca="1" si="575"/>
        <v>52432.235837663407</v>
      </c>
      <c r="AF1336">
        <f t="shared" ca="1" si="576"/>
        <v>52432.235837665234</v>
      </c>
      <c r="AI1336">
        <v>0</v>
      </c>
      <c r="AJ1336">
        <v>0</v>
      </c>
      <c r="AK1336">
        <f t="shared" si="577"/>
        <v>0</v>
      </c>
      <c r="AL1336">
        <f t="shared" si="586"/>
        <v>0</v>
      </c>
      <c r="AM1336">
        <f t="shared" ca="1" si="578"/>
        <v>2.6560383008097266E-7</v>
      </c>
      <c r="AN1336" t="str">
        <f t="shared" ca="1" si="579"/>
        <v>Subcritical</v>
      </c>
      <c r="AO1336">
        <f t="shared" ca="1" si="580"/>
        <v>2.2562304480281055E-12</v>
      </c>
    </row>
    <row r="1337" spans="1:41" x14ac:dyDescent="0.35">
      <c r="A1337">
        <v>1188</v>
      </c>
      <c r="B1337">
        <v>1186.8889999999999</v>
      </c>
      <c r="C1337">
        <v>616073.26399999997</v>
      </c>
      <c r="D1337">
        <v>3096817.216</v>
      </c>
      <c r="E1337">
        <v>631.96849999999995</v>
      </c>
      <c r="F1337">
        <v>5.2</v>
      </c>
      <c r="G1337">
        <v>0</v>
      </c>
      <c r="H1337" t="s">
        <v>186</v>
      </c>
      <c r="I1337">
        <v>5.7000000000000002E-2</v>
      </c>
      <c r="J1337">
        <f t="shared" si="581"/>
        <v>1</v>
      </c>
      <c r="K1337">
        <f t="shared" si="582"/>
        <v>51</v>
      </c>
      <c r="L1337">
        <f t="shared" ca="1" si="583"/>
        <v>51797.843837663619</v>
      </c>
      <c r="M1337">
        <f t="shared" ca="1" si="560"/>
        <v>269348.78795585083</v>
      </c>
      <c r="N1337">
        <f t="shared" ca="1" si="561"/>
        <v>2.5998694991876676</v>
      </c>
      <c r="O1337">
        <f t="shared" ca="1" si="562"/>
        <v>1.8934557080078435E-4</v>
      </c>
      <c r="P1337">
        <f t="shared" ca="1" si="563"/>
        <v>52429.812337663621</v>
      </c>
      <c r="Q1337">
        <f t="shared" ca="1" si="564"/>
        <v>52429.812337665448</v>
      </c>
      <c r="R1337">
        <f t="shared" ca="1" si="565"/>
        <v>2.2564415439646509E-12</v>
      </c>
      <c r="S1337">
        <f t="shared" ca="1" si="584"/>
        <v>4.999999946448952E-4</v>
      </c>
      <c r="T1337">
        <f t="shared" ca="1" si="585"/>
        <v>1</v>
      </c>
      <c r="U1337">
        <f t="shared" ca="1" si="566"/>
        <v>51800.26683766341</v>
      </c>
      <c r="V1337">
        <f t="shared" ca="1" si="567"/>
        <v>269361.38755584974</v>
      </c>
      <c r="W1337">
        <f t="shared" ca="1" si="568"/>
        <v>2.5998695052916441</v>
      </c>
      <c r="X1337">
        <f t="shared" ca="1" si="569"/>
        <v>1.8933671400629237E-4</v>
      </c>
      <c r="Y1337">
        <f t="shared" ca="1" si="570"/>
        <v>52432.235337663413</v>
      </c>
      <c r="Z1337">
        <f t="shared" ca="1" si="571"/>
        <v>52432.235337665239</v>
      </c>
      <c r="AA1337">
        <f t="shared" ca="1" si="572"/>
        <v>2.2562304480281055E-12</v>
      </c>
      <c r="AB1337">
        <f t="shared" ca="1" si="573"/>
        <v>-5.0000000192085281E-4</v>
      </c>
      <c r="AC1337">
        <f t="shared" ca="1" si="574"/>
        <v>1</v>
      </c>
      <c r="AD1337">
        <f ca="1">IF(V32="Supercritical",L1337,IF(V32="Subcritical",U1337,IF(AND(T1337=1,AC1337=1),IF((((F1337)*(L1337)^2)/2+(G1337)*(L1337)^3/3+(ABS(K1337)^2)/($I$5*MAX(((F1337)+(G1337)*(L1337))*(L1337),0.000001)))&gt;=(((F1337)*(U1337)^2)/2+(G1337)*(U1337)^3/3+(ABS(K1337)^2)/($I$5*MAX(((F1337)+(G1337)*(U1337))*(U1337),0.000001))),L1337,U1337),IF(T1337=1,L1337,IF(AC1337=1,U1337,MAX($D$16,POWER((ABS(K1337)^2)/($I$5*MAX(F1337,0.1)^2),1/3)))))))</f>
        <v>51800.26683766341</v>
      </c>
      <c r="AE1337">
        <f t="shared" ca="1" si="575"/>
        <v>52432.235337663413</v>
      </c>
      <c r="AF1337">
        <f t="shared" ca="1" si="576"/>
        <v>52432.235337665239</v>
      </c>
      <c r="AI1337">
        <v>0</v>
      </c>
      <c r="AJ1337">
        <v>0</v>
      </c>
      <c r="AK1337">
        <f t="shared" si="577"/>
        <v>0</v>
      </c>
      <c r="AL1337">
        <f t="shared" si="586"/>
        <v>0</v>
      </c>
      <c r="AM1337">
        <f t="shared" ca="1" si="578"/>
        <v>2.6560383008097266E-7</v>
      </c>
      <c r="AN1337" t="str">
        <f t="shared" ca="1" si="579"/>
        <v>Subcritical</v>
      </c>
      <c r="AO1337">
        <f t="shared" ca="1" si="580"/>
        <v>2.2562304480281055E-12</v>
      </c>
    </row>
    <row r="1338" spans="1:41" x14ac:dyDescent="0.35">
      <c r="A1338">
        <v>1189</v>
      </c>
      <c r="B1338">
        <v>1187.8889999999999</v>
      </c>
      <c r="C1338">
        <v>616073.22100000002</v>
      </c>
      <c r="D1338">
        <v>3096816.2170000002</v>
      </c>
      <c r="E1338">
        <v>631.96799999999996</v>
      </c>
      <c r="F1338">
        <v>5.2</v>
      </c>
      <c r="G1338">
        <v>0</v>
      </c>
      <c r="H1338" t="s">
        <v>186</v>
      </c>
      <c r="I1338">
        <v>5.7000000000000002E-2</v>
      </c>
      <c r="J1338">
        <f t="shared" si="581"/>
        <v>1</v>
      </c>
      <c r="K1338">
        <f t="shared" si="582"/>
        <v>51</v>
      </c>
      <c r="L1338">
        <f t="shared" ca="1" si="583"/>
        <v>51797.843837663619</v>
      </c>
      <c r="M1338">
        <f t="shared" ca="1" si="560"/>
        <v>269348.78795585083</v>
      </c>
      <c r="N1338">
        <f t="shared" ca="1" si="561"/>
        <v>2.5998694991876676</v>
      </c>
      <c r="O1338">
        <f t="shared" ca="1" si="562"/>
        <v>1.8934557080078435E-4</v>
      </c>
      <c r="P1338">
        <f t="shared" ca="1" si="563"/>
        <v>52429.811837663619</v>
      </c>
      <c r="Q1338">
        <f t="shared" ca="1" si="564"/>
        <v>52429.811837665446</v>
      </c>
      <c r="R1338">
        <f t="shared" ca="1" si="565"/>
        <v>2.2564415439646509E-12</v>
      </c>
      <c r="S1338">
        <f t="shared" ca="1" si="584"/>
        <v>5.0000000192085281E-4</v>
      </c>
      <c r="T1338">
        <f t="shared" ca="1" si="585"/>
        <v>1</v>
      </c>
      <c r="U1338">
        <f t="shared" ca="1" si="566"/>
        <v>51800.26683766341</v>
      </c>
      <c r="V1338">
        <f t="shared" ca="1" si="567"/>
        <v>269361.38755584974</v>
      </c>
      <c r="W1338">
        <f t="shared" ca="1" si="568"/>
        <v>2.5998695052916441</v>
      </c>
      <c r="X1338">
        <f t="shared" ca="1" si="569"/>
        <v>1.8933671400629237E-4</v>
      </c>
      <c r="Y1338">
        <f t="shared" ca="1" si="570"/>
        <v>52432.234837663411</v>
      </c>
      <c r="Z1338">
        <f t="shared" ca="1" si="571"/>
        <v>52432.234837665237</v>
      </c>
      <c r="AA1338">
        <f t="shared" ca="1" si="572"/>
        <v>2.2562304480281055E-12</v>
      </c>
      <c r="AB1338">
        <f t="shared" ca="1" si="573"/>
        <v>-5.0000000192085281E-4</v>
      </c>
      <c r="AC1338">
        <f t="shared" ca="1" si="574"/>
        <v>1</v>
      </c>
      <c r="AD1338">
        <f ca="1">IF(V32="Supercritical",L1338,IF(V32="Subcritical",U1338,IF(AND(T1338=1,AC1338=1),IF((((F1338)*(L1338)^2)/2+(G1338)*(L1338)^3/3+(ABS(K1338)^2)/($I$5*MAX(((F1338)+(G1338)*(L1338))*(L1338),0.000001)))&gt;=(((F1338)*(U1338)^2)/2+(G1338)*(U1338)^3/3+(ABS(K1338)^2)/($I$5*MAX(((F1338)+(G1338)*(U1338))*(U1338),0.000001))),L1338,U1338),IF(T1338=1,L1338,IF(AC1338=1,U1338,MAX($D$16,POWER((ABS(K1338)^2)/($I$5*MAX(F1338,0.1)^2),1/3)))))))</f>
        <v>51800.26683766341</v>
      </c>
      <c r="AE1338">
        <f t="shared" ca="1" si="575"/>
        <v>52432.234837663411</v>
      </c>
      <c r="AF1338">
        <f t="shared" ca="1" si="576"/>
        <v>52432.234837665237</v>
      </c>
      <c r="AI1338">
        <v>0</v>
      </c>
      <c r="AJ1338">
        <v>0</v>
      </c>
      <c r="AK1338">
        <f t="shared" si="577"/>
        <v>0</v>
      </c>
      <c r="AL1338">
        <f t="shared" si="586"/>
        <v>0</v>
      </c>
      <c r="AM1338">
        <f t="shared" ca="1" si="578"/>
        <v>2.6560383008097266E-7</v>
      </c>
      <c r="AN1338" t="str">
        <f t="shared" ca="1" si="579"/>
        <v>Subcritical</v>
      </c>
      <c r="AO1338">
        <f t="shared" ca="1" si="580"/>
        <v>2.2562304480281055E-12</v>
      </c>
    </row>
    <row r="1339" spans="1:41" x14ac:dyDescent="0.35">
      <c r="A1339">
        <v>1190</v>
      </c>
      <c r="B1339">
        <v>1188.8889999999999</v>
      </c>
      <c r="C1339">
        <v>616073.179</v>
      </c>
      <c r="D1339">
        <v>3096815.2179999999</v>
      </c>
      <c r="E1339">
        <v>631.96749999999997</v>
      </c>
      <c r="F1339">
        <v>5.2</v>
      </c>
      <c r="G1339">
        <v>0</v>
      </c>
      <c r="H1339" t="s">
        <v>186</v>
      </c>
      <c r="I1339">
        <v>2E-3</v>
      </c>
      <c r="J1339">
        <f t="shared" si="581"/>
        <v>1</v>
      </c>
      <c r="K1339">
        <f t="shared" si="582"/>
        <v>51</v>
      </c>
      <c r="L1339">
        <f t="shared" ca="1" si="583"/>
        <v>51797.843837663619</v>
      </c>
      <c r="M1339">
        <f t="shared" ca="1" si="560"/>
        <v>269348.78795585083</v>
      </c>
      <c r="N1339">
        <f t="shared" ca="1" si="561"/>
        <v>2.5998694991876676</v>
      </c>
      <c r="O1339">
        <f t="shared" ca="1" si="562"/>
        <v>1.8934557080078435E-4</v>
      </c>
      <c r="P1339">
        <f t="shared" ca="1" si="563"/>
        <v>52429.811337663617</v>
      </c>
      <c r="Q1339">
        <f t="shared" ca="1" si="564"/>
        <v>52429.811337665444</v>
      </c>
      <c r="R1339">
        <f t="shared" ca="1" si="565"/>
        <v>2.2564415439646509E-12</v>
      </c>
      <c r="S1339">
        <f t="shared" ca="1" si="584"/>
        <v>5.0000000192085281E-4</v>
      </c>
      <c r="T1339">
        <f t="shared" ca="1" si="585"/>
        <v>1</v>
      </c>
      <c r="U1339">
        <f t="shared" ca="1" si="566"/>
        <v>51800.26683766341</v>
      </c>
      <c r="V1339">
        <f t="shared" ca="1" si="567"/>
        <v>269361.38755584974</v>
      </c>
      <c r="W1339">
        <f t="shared" ca="1" si="568"/>
        <v>2.5998695052916441</v>
      </c>
      <c r="X1339">
        <f t="shared" ca="1" si="569"/>
        <v>1.8933671400629237E-4</v>
      </c>
      <c r="Y1339">
        <f t="shared" ca="1" si="570"/>
        <v>52432.234337663409</v>
      </c>
      <c r="Z1339">
        <f t="shared" ca="1" si="571"/>
        <v>52432.234337665235</v>
      </c>
      <c r="AA1339">
        <f t="shared" ca="1" si="572"/>
        <v>2.2562304480281055E-12</v>
      </c>
      <c r="AB1339">
        <f t="shared" ca="1" si="573"/>
        <v>-5.0000000192085281E-4</v>
      </c>
      <c r="AC1339">
        <f t="shared" ca="1" si="574"/>
        <v>1</v>
      </c>
      <c r="AD1339">
        <f ca="1">IF(V32="Supercritical",L1339,IF(V32="Subcritical",U1339,IF(AND(T1339=1,AC1339=1),IF((((F1339)*(L1339)^2)/2+(G1339)*(L1339)^3/3+(ABS(K1339)^2)/($I$5*MAX(((F1339)+(G1339)*(L1339))*(L1339),0.000001)))&gt;=(((F1339)*(U1339)^2)/2+(G1339)*(U1339)^3/3+(ABS(K1339)^2)/($I$5*MAX(((F1339)+(G1339)*(U1339))*(U1339),0.000001))),L1339,U1339),IF(T1339=1,L1339,IF(AC1339=1,U1339,MAX($D$16,POWER((ABS(K1339)^2)/($I$5*MAX(F1339,0.1)^2),1/3)))))))</f>
        <v>51800.26683766341</v>
      </c>
      <c r="AE1339">
        <f t="shared" ca="1" si="575"/>
        <v>52432.234337663409</v>
      </c>
      <c r="AF1339">
        <f t="shared" ca="1" si="576"/>
        <v>52432.234337665235</v>
      </c>
      <c r="AI1339">
        <v>0</v>
      </c>
      <c r="AJ1339">
        <v>0</v>
      </c>
      <c r="AK1339">
        <f t="shared" si="577"/>
        <v>0</v>
      </c>
      <c r="AL1339">
        <f t="shared" si="586"/>
        <v>0</v>
      </c>
      <c r="AM1339">
        <f t="shared" ca="1" si="578"/>
        <v>2.6560383008097266E-7</v>
      </c>
      <c r="AN1339" t="str">
        <f t="shared" ca="1" si="579"/>
        <v>Subcritical</v>
      </c>
      <c r="AO1339">
        <f t="shared" ca="1" si="580"/>
        <v>2.2562304480281055E-12</v>
      </c>
    </row>
    <row r="1340" spans="1:41" x14ac:dyDescent="0.35">
      <c r="A1340">
        <v>1191</v>
      </c>
      <c r="B1340">
        <v>1189.8900000000001</v>
      </c>
      <c r="C1340">
        <v>616073.13699999999</v>
      </c>
      <c r="D1340">
        <v>3096814.2179999999</v>
      </c>
      <c r="E1340">
        <v>631.96699999999998</v>
      </c>
      <c r="F1340">
        <v>5.2</v>
      </c>
      <c r="G1340">
        <v>0</v>
      </c>
      <c r="H1340" t="s">
        <v>186</v>
      </c>
      <c r="I1340">
        <v>2E-3</v>
      </c>
      <c r="J1340">
        <f t="shared" si="581"/>
        <v>1.0010000000002037</v>
      </c>
      <c r="K1340">
        <f t="shared" si="582"/>
        <v>51</v>
      </c>
      <c r="L1340">
        <f t="shared" ca="1" si="583"/>
        <v>51797.843837663619</v>
      </c>
      <c r="M1340">
        <f t="shared" ca="1" si="560"/>
        <v>269348.78795585083</v>
      </c>
      <c r="N1340">
        <f t="shared" ca="1" si="561"/>
        <v>2.5998694991876676</v>
      </c>
      <c r="O1340">
        <f t="shared" ca="1" si="562"/>
        <v>1.8934557080078435E-4</v>
      </c>
      <c r="P1340">
        <f t="shared" ca="1" si="563"/>
        <v>52429.810837663616</v>
      </c>
      <c r="Q1340">
        <f t="shared" ca="1" si="564"/>
        <v>52429.810837665442</v>
      </c>
      <c r="R1340">
        <f t="shared" ca="1" si="565"/>
        <v>2.2564415439646509E-12</v>
      </c>
      <c r="S1340">
        <f t="shared" ca="1" si="584"/>
        <v>5.0000000192085281E-4</v>
      </c>
      <c r="T1340">
        <f t="shared" ca="1" si="585"/>
        <v>1</v>
      </c>
      <c r="U1340">
        <f t="shared" ca="1" si="566"/>
        <v>51800.26683766341</v>
      </c>
      <c r="V1340">
        <f t="shared" ca="1" si="567"/>
        <v>269361.38755584974</v>
      </c>
      <c r="W1340">
        <f t="shared" ca="1" si="568"/>
        <v>2.5998695052916441</v>
      </c>
      <c r="X1340">
        <f t="shared" ca="1" si="569"/>
        <v>1.8933671400629237E-4</v>
      </c>
      <c r="Y1340">
        <f t="shared" ca="1" si="570"/>
        <v>52432.233837663407</v>
      </c>
      <c r="Z1340">
        <f t="shared" ca="1" si="571"/>
        <v>52432.233837665233</v>
      </c>
      <c r="AA1340">
        <f t="shared" ca="1" si="572"/>
        <v>2.2562304480281055E-12</v>
      </c>
      <c r="AB1340">
        <f t="shared" ca="1" si="573"/>
        <v>-4.999999946448952E-4</v>
      </c>
      <c r="AC1340">
        <f t="shared" ca="1" si="574"/>
        <v>1</v>
      </c>
      <c r="AD1340">
        <f ca="1">IF(V32="Supercritical",L1340,IF(V32="Subcritical",U1340,IF(AND(T1340=1,AC1340=1),IF((((F1340)*(L1340)^2)/2+(G1340)*(L1340)^3/3+(ABS(K1340)^2)/($I$5*MAX(((F1340)+(G1340)*(L1340))*(L1340),0.000001)))&gt;=(((F1340)*(U1340)^2)/2+(G1340)*(U1340)^3/3+(ABS(K1340)^2)/($I$5*MAX(((F1340)+(G1340)*(U1340))*(U1340),0.000001))),L1340,U1340),IF(T1340=1,L1340,IF(AC1340=1,U1340,MAX($D$16,POWER((ABS(K1340)^2)/($I$5*MAX(F1340,0.1)^2),1/3)))))))</f>
        <v>51800.26683766341</v>
      </c>
      <c r="AE1340">
        <f t="shared" ca="1" si="575"/>
        <v>52432.233837663407</v>
      </c>
      <c r="AF1340">
        <f t="shared" ca="1" si="576"/>
        <v>52432.233837665233</v>
      </c>
      <c r="AI1340">
        <v>0</v>
      </c>
      <c r="AJ1340">
        <v>0</v>
      </c>
      <c r="AK1340">
        <f t="shared" si="577"/>
        <v>0</v>
      </c>
      <c r="AL1340">
        <f t="shared" si="586"/>
        <v>0</v>
      </c>
      <c r="AM1340">
        <f t="shared" ca="1" si="578"/>
        <v>2.6560383008097266E-7</v>
      </c>
      <c r="AN1340" t="str">
        <f t="shared" ca="1" si="579"/>
        <v>Subcritical</v>
      </c>
      <c r="AO1340">
        <f t="shared" ca="1" si="580"/>
        <v>2.2562304480281055E-12</v>
      </c>
    </row>
    <row r="1341" spans="1:41" x14ac:dyDescent="0.35">
      <c r="A1341">
        <v>1192</v>
      </c>
      <c r="B1341">
        <v>1190.8900000000001</v>
      </c>
      <c r="C1341">
        <v>616073.09499999997</v>
      </c>
      <c r="D1341">
        <v>3096813.219</v>
      </c>
      <c r="E1341">
        <v>631.9665</v>
      </c>
      <c r="F1341">
        <v>5.2</v>
      </c>
      <c r="G1341">
        <v>0</v>
      </c>
      <c r="H1341" t="s">
        <v>186</v>
      </c>
      <c r="I1341">
        <v>5.7000000000000002E-2</v>
      </c>
      <c r="J1341">
        <f t="shared" si="581"/>
        <v>1</v>
      </c>
      <c r="K1341">
        <f t="shared" si="582"/>
        <v>51</v>
      </c>
      <c r="L1341">
        <f t="shared" ca="1" si="583"/>
        <v>51797.843837663619</v>
      </c>
      <c r="M1341">
        <f t="shared" ca="1" si="560"/>
        <v>269348.78795585083</v>
      </c>
      <c r="N1341">
        <f t="shared" ca="1" si="561"/>
        <v>2.5998694991876676</v>
      </c>
      <c r="O1341">
        <f t="shared" ca="1" si="562"/>
        <v>1.8934557080078435E-4</v>
      </c>
      <c r="P1341">
        <f t="shared" ca="1" si="563"/>
        <v>52429.810337663621</v>
      </c>
      <c r="Q1341">
        <f t="shared" ca="1" si="564"/>
        <v>52429.810337665447</v>
      </c>
      <c r="R1341">
        <f t="shared" ca="1" si="565"/>
        <v>2.2564415439646509E-12</v>
      </c>
      <c r="S1341">
        <f t="shared" ca="1" si="584"/>
        <v>4.999999946448952E-4</v>
      </c>
      <c r="T1341">
        <f t="shared" ca="1" si="585"/>
        <v>1</v>
      </c>
      <c r="U1341">
        <f t="shared" ca="1" si="566"/>
        <v>51800.26683766341</v>
      </c>
      <c r="V1341">
        <f t="shared" ca="1" si="567"/>
        <v>269361.38755584974</v>
      </c>
      <c r="W1341">
        <f t="shared" ca="1" si="568"/>
        <v>2.5998695052916441</v>
      </c>
      <c r="X1341">
        <f t="shared" ca="1" si="569"/>
        <v>1.8933671400629237E-4</v>
      </c>
      <c r="Y1341">
        <f t="shared" ca="1" si="570"/>
        <v>52432.233337663412</v>
      </c>
      <c r="Z1341">
        <f t="shared" ca="1" si="571"/>
        <v>52432.233337665239</v>
      </c>
      <c r="AA1341">
        <f t="shared" ca="1" si="572"/>
        <v>2.2562304480281055E-12</v>
      </c>
      <c r="AB1341">
        <f t="shared" ca="1" si="573"/>
        <v>-5.0000000192085281E-4</v>
      </c>
      <c r="AC1341">
        <f t="shared" ca="1" si="574"/>
        <v>1</v>
      </c>
      <c r="AD1341">
        <f ca="1">IF(V32="Supercritical",L1341,IF(V32="Subcritical",U1341,IF(AND(T1341=1,AC1341=1),IF((((F1341)*(L1341)^2)/2+(G1341)*(L1341)^3/3+(ABS(K1341)^2)/($I$5*MAX(((F1341)+(G1341)*(L1341))*(L1341),0.000001)))&gt;=(((F1341)*(U1341)^2)/2+(G1341)*(U1341)^3/3+(ABS(K1341)^2)/($I$5*MAX(((F1341)+(G1341)*(U1341))*(U1341),0.000001))),L1341,U1341),IF(T1341=1,L1341,IF(AC1341=1,U1341,MAX($D$16,POWER((ABS(K1341)^2)/($I$5*MAX(F1341,0.1)^2),1/3)))))))</f>
        <v>51800.26683766341</v>
      </c>
      <c r="AE1341">
        <f t="shared" ca="1" si="575"/>
        <v>52432.233337663412</v>
      </c>
      <c r="AF1341">
        <f t="shared" ca="1" si="576"/>
        <v>52432.233337665239</v>
      </c>
      <c r="AI1341">
        <v>0</v>
      </c>
      <c r="AJ1341">
        <v>0</v>
      </c>
      <c r="AK1341">
        <f t="shared" si="577"/>
        <v>0</v>
      </c>
      <c r="AL1341">
        <f t="shared" si="586"/>
        <v>0</v>
      </c>
      <c r="AM1341">
        <f t="shared" ca="1" si="578"/>
        <v>2.6560383008097266E-7</v>
      </c>
      <c r="AN1341" t="str">
        <f t="shared" ca="1" si="579"/>
        <v>Subcritical</v>
      </c>
      <c r="AO1341">
        <f t="shared" ca="1" si="580"/>
        <v>2.2562304480281055E-12</v>
      </c>
    </row>
    <row r="1342" spans="1:41" x14ac:dyDescent="0.35">
      <c r="A1342">
        <v>1193</v>
      </c>
      <c r="B1342">
        <v>1191.8900000000001</v>
      </c>
      <c r="C1342">
        <v>616073.05200000003</v>
      </c>
      <c r="D1342">
        <v>3096812.22</v>
      </c>
      <c r="E1342">
        <v>631.96600000000001</v>
      </c>
      <c r="F1342">
        <v>5.2</v>
      </c>
      <c r="G1342">
        <v>0</v>
      </c>
      <c r="H1342" t="s">
        <v>186</v>
      </c>
      <c r="I1342">
        <v>5.7000000000000002E-2</v>
      </c>
      <c r="J1342">
        <f t="shared" si="581"/>
        <v>1</v>
      </c>
      <c r="K1342">
        <f t="shared" si="582"/>
        <v>51</v>
      </c>
      <c r="L1342">
        <f t="shared" ca="1" si="583"/>
        <v>51797.843837663619</v>
      </c>
      <c r="M1342">
        <f t="shared" ca="1" si="560"/>
        <v>269348.78795585083</v>
      </c>
      <c r="N1342">
        <f t="shared" ca="1" si="561"/>
        <v>2.5998694991876676</v>
      </c>
      <c r="O1342">
        <f t="shared" ca="1" si="562"/>
        <v>1.8934557080078435E-4</v>
      </c>
      <c r="P1342">
        <f t="shared" ca="1" si="563"/>
        <v>52429.809837663619</v>
      </c>
      <c r="Q1342">
        <f t="shared" ca="1" si="564"/>
        <v>52429.809837665445</v>
      </c>
      <c r="R1342">
        <f t="shared" ca="1" si="565"/>
        <v>2.2564415439646509E-12</v>
      </c>
      <c r="S1342">
        <f t="shared" ca="1" si="584"/>
        <v>5.0000000192085281E-4</v>
      </c>
      <c r="T1342">
        <f t="shared" ca="1" si="585"/>
        <v>1</v>
      </c>
      <c r="U1342">
        <f t="shared" ca="1" si="566"/>
        <v>51800.26683766341</v>
      </c>
      <c r="V1342">
        <f t="shared" ca="1" si="567"/>
        <v>269361.38755584974</v>
      </c>
      <c r="W1342">
        <f t="shared" ca="1" si="568"/>
        <v>2.5998695052916441</v>
      </c>
      <c r="X1342">
        <f t="shared" ca="1" si="569"/>
        <v>1.8933671400629237E-4</v>
      </c>
      <c r="Y1342">
        <f t="shared" ca="1" si="570"/>
        <v>52432.23283766341</v>
      </c>
      <c r="Z1342">
        <f t="shared" ca="1" si="571"/>
        <v>52432.232837665237</v>
      </c>
      <c r="AA1342">
        <f t="shared" ca="1" si="572"/>
        <v>2.2562304480281055E-12</v>
      </c>
      <c r="AB1342">
        <f t="shared" ca="1" si="573"/>
        <v>-5.0000000192085281E-4</v>
      </c>
      <c r="AC1342">
        <f t="shared" ca="1" si="574"/>
        <v>1</v>
      </c>
      <c r="AD1342">
        <f ca="1">IF(V32="Supercritical",L1342,IF(V32="Subcritical",U1342,IF(AND(T1342=1,AC1342=1),IF((((F1342)*(L1342)^2)/2+(G1342)*(L1342)^3/3+(ABS(K1342)^2)/($I$5*MAX(((F1342)+(G1342)*(L1342))*(L1342),0.000001)))&gt;=(((F1342)*(U1342)^2)/2+(G1342)*(U1342)^3/3+(ABS(K1342)^2)/($I$5*MAX(((F1342)+(G1342)*(U1342))*(U1342),0.000001))),L1342,U1342),IF(T1342=1,L1342,IF(AC1342=1,U1342,MAX($D$16,POWER((ABS(K1342)^2)/($I$5*MAX(F1342,0.1)^2),1/3)))))))</f>
        <v>51800.26683766341</v>
      </c>
      <c r="AE1342">
        <f t="shared" ca="1" si="575"/>
        <v>52432.23283766341</v>
      </c>
      <c r="AF1342">
        <f t="shared" ca="1" si="576"/>
        <v>52432.232837665237</v>
      </c>
      <c r="AI1342">
        <v>0</v>
      </c>
      <c r="AJ1342">
        <v>0</v>
      </c>
      <c r="AK1342">
        <f t="shared" si="577"/>
        <v>0</v>
      </c>
      <c r="AL1342">
        <f t="shared" si="586"/>
        <v>0</v>
      </c>
      <c r="AM1342">
        <f t="shared" ca="1" si="578"/>
        <v>2.6560383008097266E-7</v>
      </c>
      <c r="AN1342" t="str">
        <f t="shared" ca="1" si="579"/>
        <v>Subcritical</v>
      </c>
      <c r="AO1342">
        <f t="shared" ca="1" si="580"/>
        <v>2.2562304480281055E-12</v>
      </c>
    </row>
    <row r="1343" spans="1:41" x14ac:dyDescent="0.35">
      <c r="A1343">
        <v>1194</v>
      </c>
      <c r="B1343">
        <v>1192.8889999999999</v>
      </c>
      <c r="C1343">
        <v>616073.01</v>
      </c>
      <c r="D1343">
        <v>3096811.2209999999</v>
      </c>
      <c r="E1343">
        <v>631.96550000000002</v>
      </c>
      <c r="F1343">
        <v>5.2</v>
      </c>
      <c r="G1343">
        <v>0</v>
      </c>
      <c r="H1343" t="s">
        <v>186</v>
      </c>
      <c r="I1343">
        <v>0</v>
      </c>
      <c r="J1343">
        <f t="shared" si="581"/>
        <v>0.99899999999979627</v>
      </c>
      <c r="K1343">
        <f t="shared" si="582"/>
        <v>51</v>
      </c>
      <c r="L1343">
        <f t="shared" ca="1" si="583"/>
        <v>51797.843837663619</v>
      </c>
      <c r="M1343">
        <f t="shared" ca="1" si="560"/>
        <v>269348.78795585083</v>
      </c>
      <c r="N1343">
        <f t="shared" ca="1" si="561"/>
        <v>2.5998694991876676</v>
      </c>
      <c r="O1343">
        <f t="shared" ca="1" si="562"/>
        <v>1.8934557080078435E-4</v>
      </c>
      <c r="P1343">
        <f t="shared" ca="1" si="563"/>
        <v>52429.809337663617</v>
      </c>
      <c r="Q1343">
        <f t="shared" ca="1" si="564"/>
        <v>52429.809337665443</v>
      </c>
      <c r="R1343">
        <f t="shared" ca="1" si="565"/>
        <v>2.2564415439646509E-12</v>
      </c>
      <c r="S1343">
        <f t="shared" ca="1" si="584"/>
        <v>5.0000000192085281E-4</v>
      </c>
      <c r="T1343">
        <f t="shared" ca="1" si="585"/>
        <v>1</v>
      </c>
      <c r="U1343">
        <f t="shared" ca="1" si="566"/>
        <v>51800.26683766341</v>
      </c>
      <c r="V1343">
        <f t="shared" ca="1" si="567"/>
        <v>269361.38755584974</v>
      </c>
      <c r="W1343">
        <f t="shared" ca="1" si="568"/>
        <v>2.5998695052916441</v>
      </c>
      <c r="X1343">
        <f t="shared" ca="1" si="569"/>
        <v>1.8933671400629237E-4</v>
      </c>
      <c r="Y1343">
        <f t="shared" ca="1" si="570"/>
        <v>52432.232337663409</v>
      </c>
      <c r="Z1343">
        <f t="shared" ca="1" si="571"/>
        <v>52432.232337665235</v>
      </c>
      <c r="AA1343">
        <f t="shared" ca="1" si="572"/>
        <v>2.2562304480281055E-12</v>
      </c>
      <c r="AB1343">
        <f t="shared" ca="1" si="573"/>
        <v>-5.0000000192085281E-4</v>
      </c>
      <c r="AC1343">
        <f t="shared" ca="1" si="574"/>
        <v>1</v>
      </c>
      <c r="AD1343">
        <f ca="1">IF(V32="Supercritical",L1343,IF(V32="Subcritical",U1343,IF(AND(T1343=1,AC1343=1),IF((((F1343)*(L1343)^2)/2+(G1343)*(L1343)^3/3+(ABS(K1343)^2)/($I$5*MAX(((F1343)+(G1343)*(L1343))*(L1343),0.000001)))&gt;=(((F1343)*(U1343)^2)/2+(G1343)*(U1343)^3/3+(ABS(K1343)^2)/($I$5*MAX(((F1343)+(G1343)*(U1343))*(U1343),0.000001))),L1343,U1343),IF(T1343=1,L1343,IF(AC1343=1,U1343,MAX($D$16,POWER((ABS(K1343)^2)/($I$5*MAX(F1343,0.1)^2),1/3)))))))</f>
        <v>51800.26683766341</v>
      </c>
      <c r="AE1343">
        <f t="shared" ca="1" si="575"/>
        <v>52432.232337663409</v>
      </c>
      <c r="AF1343">
        <f t="shared" ca="1" si="576"/>
        <v>52432.232337665235</v>
      </c>
      <c r="AI1343">
        <v>0</v>
      </c>
      <c r="AJ1343">
        <v>0</v>
      </c>
      <c r="AK1343">
        <f t="shared" si="577"/>
        <v>0</v>
      </c>
      <c r="AL1343">
        <f t="shared" si="586"/>
        <v>0</v>
      </c>
      <c r="AM1343">
        <f t="shared" ca="1" si="578"/>
        <v>2.6560383008097266E-7</v>
      </c>
      <c r="AN1343" t="str">
        <f t="shared" ca="1" si="579"/>
        <v>Subcritical</v>
      </c>
      <c r="AO1343">
        <f t="shared" ca="1" si="580"/>
        <v>2.2562304480281055E-12</v>
      </c>
    </row>
    <row r="1344" spans="1:41" x14ac:dyDescent="0.35">
      <c r="A1344">
        <v>1195</v>
      </c>
      <c r="B1344">
        <v>1193.8889999999999</v>
      </c>
      <c r="C1344">
        <v>616072.96799999999</v>
      </c>
      <c r="D1344">
        <v>3096810.2220000001</v>
      </c>
      <c r="E1344">
        <v>631.96500000000003</v>
      </c>
      <c r="F1344">
        <v>5.2</v>
      </c>
      <c r="G1344">
        <v>0</v>
      </c>
      <c r="H1344" t="s">
        <v>186</v>
      </c>
      <c r="I1344">
        <v>0</v>
      </c>
      <c r="J1344">
        <f t="shared" si="581"/>
        <v>1</v>
      </c>
      <c r="K1344">
        <f t="shared" si="582"/>
        <v>51</v>
      </c>
      <c r="L1344">
        <f t="shared" ca="1" si="583"/>
        <v>51797.843837663619</v>
      </c>
      <c r="M1344">
        <f t="shared" ca="1" si="560"/>
        <v>269348.78795585083</v>
      </c>
      <c r="N1344">
        <f t="shared" ca="1" si="561"/>
        <v>2.5998694991876676</v>
      </c>
      <c r="O1344">
        <f t="shared" ca="1" si="562"/>
        <v>1.8934557080078435E-4</v>
      </c>
      <c r="P1344">
        <f t="shared" ca="1" si="563"/>
        <v>52429.808837663615</v>
      </c>
      <c r="Q1344">
        <f t="shared" ca="1" si="564"/>
        <v>52429.808837665441</v>
      </c>
      <c r="R1344">
        <f t="shared" ca="1" si="565"/>
        <v>2.2564415439646509E-12</v>
      </c>
      <c r="S1344">
        <f t="shared" ca="1" si="584"/>
        <v>5.0000000192085281E-4</v>
      </c>
      <c r="T1344">
        <f t="shared" ca="1" si="585"/>
        <v>1</v>
      </c>
      <c r="U1344">
        <f t="shared" ca="1" si="566"/>
        <v>51800.26683766341</v>
      </c>
      <c r="V1344">
        <f t="shared" ca="1" si="567"/>
        <v>269361.38755584974</v>
      </c>
      <c r="W1344">
        <f t="shared" ca="1" si="568"/>
        <v>2.5998695052916441</v>
      </c>
      <c r="X1344">
        <f t="shared" ca="1" si="569"/>
        <v>1.8933671400629237E-4</v>
      </c>
      <c r="Y1344">
        <f t="shared" ca="1" si="570"/>
        <v>52432.231837663407</v>
      </c>
      <c r="Z1344">
        <f t="shared" ca="1" si="571"/>
        <v>52432.231837665233</v>
      </c>
      <c r="AA1344">
        <f t="shared" ca="1" si="572"/>
        <v>2.2562304480281055E-12</v>
      </c>
      <c r="AB1344">
        <f t="shared" ca="1" si="573"/>
        <v>-4.999999946448952E-4</v>
      </c>
      <c r="AC1344">
        <f t="shared" ca="1" si="574"/>
        <v>1</v>
      </c>
      <c r="AD1344">
        <f ca="1">IF(V32="Supercritical",L1344,IF(V32="Subcritical",U1344,IF(AND(T1344=1,AC1344=1),IF((((F1344)*(L1344)^2)/2+(G1344)*(L1344)^3/3+(ABS(K1344)^2)/($I$5*MAX(((F1344)+(G1344)*(L1344))*(L1344),0.000001)))&gt;=(((F1344)*(U1344)^2)/2+(G1344)*(U1344)^3/3+(ABS(K1344)^2)/($I$5*MAX(((F1344)+(G1344)*(U1344))*(U1344),0.000001))),L1344,U1344),IF(T1344=1,L1344,IF(AC1344=1,U1344,MAX($D$16,POWER((ABS(K1344)^2)/($I$5*MAX(F1344,0.1)^2),1/3)))))))</f>
        <v>51800.26683766341</v>
      </c>
      <c r="AE1344">
        <f t="shared" ca="1" si="575"/>
        <v>52432.231837663407</v>
      </c>
      <c r="AF1344">
        <f t="shared" ca="1" si="576"/>
        <v>52432.231837665233</v>
      </c>
      <c r="AI1344">
        <v>0</v>
      </c>
      <c r="AJ1344">
        <v>0</v>
      </c>
      <c r="AK1344">
        <f t="shared" si="577"/>
        <v>0</v>
      </c>
      <c r="AL1344">
        <f t="shared" si="586"/>
        <v>0</v>
      </c>
      <c r="AM1344">
        <f t="shared" ca="1" si="578"/>
        <v>2.6560383008097266E-7</v>
      </c>
      <c r="AN1344" t="str">
        <f t="shared" ca="1" si="579"/>
        <v>Subcritical</v>
      </c>
      <c r="AO1344">
        <f t="shared" ca="1" si="580"/>
        <v>2.2562304480281055E-12</v>
      </c>
    </row>
    <row r="1345" spans="1:41" x14ac:dyDescent="0.35">
      <c r="A1345">
        <v>1196</v>
      </c>
      <c r="B1345">
        <v>1194.8889999999999</v>
      </c>
      <c r="C1345">
        <v>616072.92599999998</v>
      </c>
      <c r="D1345">
        <v>3096809.2230000002</v>
      </c>
      <c r="E1345">
        <v>631.96450000000004</v>
      </c>
      <c r="F1345">
        <v>5.2</v>
      </c>
      <c r="G1345">
        <v>0</v>
      </c>
      <c r="H1345" t="s">
        <v>186</v>
      </c>
      <c r="I1345">
        <v>5.7000000000000002E-2</v>
      </c>
      <c r="J1345">
        <f t="shared" si="581"/>
        <v>1</v>
      </c>
      <c r="K1345">
        <f t="shared" si="582"/>
        <v>51</v>
      </c>
      <c r="L1345">
        <f t="shared" ca="1" si="583"/>
        <v>51797.843837663619</v>
      </c>
      <c r="M1345">
        <f t="shared" ca="1" si="560"/>
        <v>269348.78795585083</v>
      </c>
      <c r="N1345">
        <f t="shared" ca="1" si="561"/>
        <v>2.5998694991876676</v>
      </c>
      <c r="O1345">
        <f t="shared" ca="1" si="562"/>
        <v>1.8934557080078435E-4</v>
      </c>
      <c r="P1345">
        <f t="shared" ca="1" si="563"/>
        <v>52429.80833766362</v>
      </c>
      <c r="Q1345">
        <f t="shared" ca="1" si="564"/>
        <v>52429.808337665447</v>
      </c>
      <c r="R1345">
        <f t="shared" ca="1" si="565"/>
        <v>2.2564415439646509E-12</v>
      </c>
      <c r="S1345">
        <f t="shared" ca="1" si="584"/>
        <v>4.999999946448952E-4</v>
      </c>
      <c r="T1345">
        <f t="shared" ca="1" si="585"/>
        <v>1</v>
      </c>
      <c r="U1345">
        <f t="shared" ca="1" si="566"/>
        <v>51800.26683766341</v>
      </c>
      <c r="V1345">
        <f t="shared" ca="1" si="567"/>
        <v>269361.38755584974</v>
      </c>
      <c r="W1345">
        <f t="shared" ca="1" si="568"/>
        <v>2.5998695052916441</v>
      </c>
      <c r="X1345">
        <f t="shared" ca="1" si="569"/>
        <v>1.8933671400629237E-4</v>
      </c>
      <c r="Y1345">
        <f t="shared" ca="1" si="570"/>
        <v>52432.231337663412</v>
      </c>
      <c r="Z1345">
        <f t="shared" ca="1" si="571"/>
        <v>52432.231337665238</v>
      </c>
      <c r="AA1345">
        <f t="shared" ca="1" si="572"/>
        <v>2.2562304480281055E-12</v>
      </c>
      <c r="AB1345">
        <f t="shared" ca="1" si="573"/>
        <v>-5.0000000192085281E-4</v>
      </c>
      <c r="AC1345">
        <f t="shared" ca="1" si="574"/>
        <v>1</v>
      </c>
      <c r="AD1345">
        <f ca="1">IF(V32="Supercritical",L1345,IF(V32="Subcritical",U1345,IF(AND(T1345=1,AC1345=1),IF((((F1345)*(L1345)^2)/2+(G1345)*(L1345)^3/3+(ABS(K1345)^2)/($I$5*MAX(((F1345)+(G1345)*(L1345))*(L1345),0.000001)))&gt;=(((F1345)*(U1345)^2)/2+(G1345)*(U1345)^3/3+(ABS(K1345)^2)/($I$5*MAX(((F1345)+(G1345)*(U1345))*(U1345),0.000001))),L1345,U1345),IF(T1345=1,L1345,IF(AC1345=1,U1345,MAX($D$16,POWER((ABS(K1345)^2)/($I$5*MAX(F1345,0.1)^2),1/3)))))))</f>
        <v>51800.26683766341</v>
      </c>
      <c r="AE1345">
        <f t="shared" ca="1" si="575"/>
        <v>52432.231337663412</v>
      </c>
      <c r="AF1345">
        <f t="shared" ca="1" si="576"/>
        <v>52432.231337665238</v>
      </c>
      <c r="AI1345">
        <v>0</v>
      </c>
      <c r="AJ1345">
        <v>0</v>
      </c>
      <c r="AK1345">
        <f t="shared" si="577"/>
        <v>0</v>
      </c>
      <c r="AL1345">
        <f t="shared" si="586"/>
        <v>0</v>
      </c>
      <c r="AM1345">
        <f t="shared" ca="1" si="578"/>
        <v>2.6560383008097266E-7</v>
      </c>
      <c r="AN1345" t="str">
        <f t="shared" ca="1" si="579"/>
        <v>Subcritical</v>
      </c>
      <c r="AO1345">
        <f t="shared" ca="1" si="580"/>
        <v>2.2562304480281055E-12</v>
      </c>
    </row>
    <row r="1346" spans="1:41" x14ac:dyDescent="0.35">
      <c r="A1346">
        <v>1197</v>
      </c>
      <c r="B1346">
        <v>1195.8889999999999</v>
      </c>
      <c r="C1346">
        <v>616072.88300000003</v>
      </c>
      <c r="D1346">
        <v>3096808.2239999999</v>
      </c>
      <c r="E1346">
        <v>631.96400000000006</v>
      </c>
      <c r="F1346">
        <v>5.2</v>
      </c>
      <c r="G1346">
        <v>0</v>
      </c>
      <c r="H1346" t="s">
        <v>186</v>
      </c>
      <c r="I1346">
        <v>5.7000000000000002E-2</v>
      </c>
      <c r="J1346">
        <f t="shared" si="581"/>
        <v>1</v>
      </c>
      <c r="K1346">
        <f t="shared" si="582"/>
        <v>51</v>
      </c>
      <c r="L1346">
        <f t="shared" ca="1" si="583"/>
        <v>51797.843837663619</v>
      </c>
      <c r="M1346">
        <f t="shared" ca="1" si="560"/>
        <v>269348.78795585083</v>
      </c>
      <c r="N1346">
        <f t="shared" ca="1" si="561"/>
        <v>2.5998694991876676</v>
      </c>
      <c r="O1346">
        <f t="shared" ca="1" si="562"/>
        <v>1.8934557080078435E-4</v>
      </c>
      <c r="P1346">
        <f t="shared" ca="1" si="563"/>
        <v>52429.807837663619</v>
      </c>
      <c r="Q1346">
        <f t="shared" ca="1" si="564"/>
        <v>52429.807837665445</v>
      </c>
      <c r="R1346">
        <f t="shared" ca="1" si="565"/>
        <v>2.2564415439646509E-12</v>
      </c>
      <c r="S1346">
        <f t="shared" ca="1" si="584"/>
        <v>5.0000000192085281E-4</v>
      </c>
      <c r="T1346">
        <f t="shared" ca="1" si="585"/>
        <v>1</v>
      </c>
      <c r="U1346">
        <f t="shared" ca="1" si="566"/>
        <v>51800.26683766341</v>
      </c>
      <c r="V1346">
        <f t="shared" ca="1" si="567"/>
        <v>269361.38755584974</v>
      </c>
      <c r="W1346">
        <f t="shared" ca="1" si="568"/>
        <v>2.5998695052916441</v>
      </c>
      <c r="X1346">
        <f t="shared" ca="1" si="569"/>
        <v>1.8933671400629237E-4</v>
      </c>
      <c r="Y1346">
        <f t="shared" ca="1" si="570"/>
        <v>52432.23083766341</v>
      </c>
      <c r="Z1346">
        <f t="shared" ca="1" si="571"/>
        <v>52432.230837665236</v>
      </c>
      <c r="AA1346">
        <f t="shared" ca="1" si="572"/>
        <v>2.2562304480281055E-12</v>
      </c>
      <c r="AB1346">
        <f t="shared" ca="1" si="573"/>
        <v>-5.0000000192085281E-4</v>
      </c>
      <c r="AC1346">
        <f t="shared" ca="1" si="574"/>
        <v>1</v>
      </c>
      <c r="AD1346">
        <f ca="1">IF(V32="Supercritical",L1346,IF(V32="Subcritical",U1346,IF(AND(T1346=1,AC1346=1),IF((((F1346)*(L1346)^2)/2+(G1346)*(L1346)^3/3+(ABS(K1346)^2)/($I$5*MAX(((F1346)+(G1346)*(L1346))*(L1346),0.000001)))&gt;=(((F1346)*(U1346)^2)/2+(G1346)*(U1346)^3/3+(ABS(K1346)^2)/($I$5*MAX(((F1346)+(G1346)*(U1346))*(U1346),0.000001))),L1346,U1346),IF(T1346=1,L1346,IF(AC1346=1,U1346,MAX($D$16,POWER((ABS(K1346)^2)/($I$5*MAX(F1346,0.1)^2),1/3)))))))</f>
        <v>51800.26683766341</v>
      </c>
      <c r="AE1346">
        <f t="shared" ca="1" si="575"/>
        <v>52432.23083766341</v>
      </c>
      <c r="AF1346">
        <f t="shared" ca="1" si="576"/>
        <v>52432.230837665236</v>
      </c>
      <c r="AI1346">
        <v>0</v>
      </c>
      <c r="AJ1346">
        <v>0</v>
      </c>
      <c r="AK1346">
        <f t="shared" si="577"/>
        <v>0</v>
      </c>
      <c r="AL1346">
        <f t="shared" si="586"/>
        <v>0</v>
      </c>
      <c r="AM1346">
        <f t="shared" ca="1" si="578"/>
        <v>2.6560383008097266E-7</v>
      </c>
      <c r="AN1346" t="str">
        <f t="shared" ca="1" si="579"/>
        <v>Subcritical</v>
      </c>
      <c r="AO1346">
        <f t="shared" ca="1" si="580"/>
        <v>2.2562304480281055E-12</v>
      </c>
    </row>
    <row r="1347" spans="1:41" x14ac:dyDescent="0.35">
      <c r="A1347">
        <v>1198</v>
      </c>
      <c r="B1347">
        <v>1196.8889999999999</v>
      </c>
      <c r="C1347">
        <v>616072.84100000001</v>
      </c>
      <c r="D1347">
        <v>3096807.2250000001</v>
      </c>
      <c r="E1347">
        <v>631.96349999999995</v>
      </c>
      <c r="F1347">
        <v>5.2</v>
      </c>
      <c r="G1347">
        <v>0</v>
      </c>
      <c r="H1347" t="s">
        <v>186</v>
      </c>
      <c r="I1347">
        <v>0</v>
      </c>
      <c r="J1347">
        <f t="shared" si="581"/>
        <v>1</v>
      </c>
      <c r="K1347">
        <f t="shared" si="582"/>
        <v>51</v>
      </c>
      <c r="L1347">
        <f t="shared" ca="1" si="583"/>
        <v>51797.843837663619</v>
      </c>
      <c r="M1347">
        <f t="shared" ca="1" si="560"/>
        <v>269348.78795585083</v>
      </c>
      <c r="N1347">
        <f t="shared" ca="1" si="561"/>
        <v>2.5998694991876676</v>
      </c>
      <c r="O1347">
        <f t="shared" ca="1" si="562"/>
        <v>1.8934557080078435E-4</v>
      </c>
      <c r="P1347">
        <f t="shared" ca="1" si="563"/>
        <v>52429.807337663617</v>
      </c>
      <c r="Q1347">
        <f t="shared" ca="1" si="564"/>
        <v>52429.807337665443</v>
      </c>
      <c r="R1347">
        <f t="shared" ca="1" si="565"/>
        <v>2.2564415439646509E-12</v>
      </c>
      <c r="S1347">
        <f t="shared" ca="1" si="584"/>
        <v>5.0000000192085281E-4</v>
      </c>
      <c r="T1347">
        <f t="shared" ca="1" si="585"/>
        <v>1</v>
      </c>
      <c r="U1347">
        <f t="shared" ca="1" si="566"/>
        <v>51800.26683766341</v>
      </c>
      <c r="V1347">
        <f t="shared" ca="1" si="567"/>
        <v>269361.38755584974</v>
      </c>
      <c r="W1347">
        <f t="shared" ca="1" si="568"/>
        <v>2.5998695052916441</v>
      </c>
      <c r="X1347">
        <f t="shared" ca="1" si="569"/>
        <v>1.8933671400629237E-4</v>
      </c>
      <c r="Y1347">
        <f t="shared" ca="1" si="570"/>
        <v>52432.230337663408</v>
      </c>
      <c r="Z1347">
        <f t="shared" ca="1" si="571"/>
        <v>52432.230337665234</v>
      </c>
      <c r="AA1347">
        <f t="shared" ca="1" si="572"/>
        <v>2.2562304480281055E-12</v>
      </c>
      <c r="AB1347">
        <f t="shared" ca="1" si="573"/>
        <v>-4.999999946448952E-4</v>
      </c>
      <c r="AC1347">
        <f t="shared" ca="1" si="574"/>
        <v>1</v>
      </c>
      <c r="AD1347">
        <f ca="1">IF(V32="Supercritical",L1347,IF(V32="Subcritical",U1347,IF(AND(T1347=1,AC1347=1),IF((((F1347)*(L1347)^2)/2+(G1347)*(L1347)^3/3+(ABS(K1347)^2)/($I$5*MAX(((F1347)+(G1347)*(L1347))*(L1347),0.000001)))&gt;=(((F1347)*(U1347)^2)/2+(G1347)*(U1347)^3/3+(ABS(K1347)^2)/($I$5*MAX(((F1347)+(G1347)*(U1347))*(U1347),0.000001))),L1347,U1347),IF(T1347=1,L1347,IF(AC1347=1,U1347,MAX($D$16,POWER((ABS(K1347)^2)/($I$5*MAX(F1347,0.1)^2),1/3)))))))</f>
        <v>51800.26683766341</v>
      </c>
      <c r="AE1347">
        <f t="shared" ca="1" si="575"/>
        <v>52432.230337663408</v>
      </c>
      <c r="AF1347">
        <f t="shared" ca="1" si="576"/>
        <v>52432.230337665234</v>
      </c>
      <c r="AI1347">
        <v>0</v>
      </c>
      <c r="AJ1347">
        <v>0</v>
      </c>
      <c r="AK1347">
        <f t="shared" si="577"/>
        <v>0</v>
      </c>
      <c r="AL1347">
        <f t="shared" si="586"/>
        <v>0</v>
      </c>
      <c r="AM1347">
        <f t="shared" ca="1" si="578"/>
        <v>2.6560383008097266E-7</v>
      </c>
      <c r="AN1347" t="str">
        <f t="shared" ca="1" si="579"/>
        <v>Subcritical</v>
      </c>
      <c r="AO1347">
        <f t="shared" ca="1" si="580"/>
        <v>2.2562304480281055E-12</v>
      </c>
    </row>
    <row r="1348" spans="1:41" x14ac:dyDescent="0.35">
      <c r="A1348">
        <v>1199</v>
      </c>
      <c r="B1348">
        <v>1197.8889999999999</v>
      </c>
      <c r="C1348">
        <v>616072.799</v>
      </c>
      <c r="D1348">
        <v>3096806.2259999998</v>
      </c>
      <c r="E1348">
        <v>631.96299999999997</v>
      </c>
      <c r="F1348">
        <v>5.2</v>
      </c>
      <c r="G1348">
        <v>0</v>
      </c>
      <c r="H1348" t="s">
        <v>186</v>
      </c>
      <c r="I1348">
        <v>5.7000000000000002E-2</v>
      </c>
      <c r="J1348">
        <f t="shared" si="581"/>
        <v>1</v>
      </c>
      <c r="K1348">
        <f t="shared" si="582"/>
        <v>51</v>
      </c>
      <c r="L1348">
        <f t="shared" ca="1" si="583"/>
        <v>51797.843837663619</v>
      </c>
      <c r="M1348">
        <f t="shared" ca="1" si="560"/>
        <v>269348.78795585083</v>
      </c>
      <c r="N1348">
        <f t="shared" ca="1" si="561"/>
        <v>2.5998694991876676</v>
      </c>
      <c r="O1348">
        <f t="shared" ca="1" si="562"/>
        <v>1.8934557080078435E-4</v>
      </c>
      <c r="P1348">
        <f t="shared" ca="1" si="563"/>
        <v>52429.806837663622</v>
      </c>
      <c r="Q1348">
        <f t="shared" ca="1" si="564"/>
        <v>52429.806837665448</v>
      </c>
      <c r="R1348">
        <f t="shared" ca="1" si="565"/>
        <v>2.2564415439646509E-12</v>
      </c>
      <c r="S1348">
        <f t="shared" ca="1" si="584"/>
        <v>4.999999946448952E-4</v>
      </c>
      <c r="T1348">
        <f t="shared" ca="1" si="585"/>
        <v>1</v>
      </c>
      <c r="U1348">
        <f t="shared" ca="1" si="566"/>
        <v>51800.26683766341</v>
      </c>
      <c r="V1348">
        <f t="shared" ca="1" si="567"/>
        <v>269361.38755584974</v>
      </c>
      <c r="W1348">
        <f t="shared" ca="1" si="568"/>
        <v>2.5998695052916441</v>
      </c>
      <c r="X1348">
        <f t="shared" ca="1" si="569"/>
        <v>1.8933671400629237E-4</v>
      </c>
      <c r="Y1348">
        <f t="shared" ca="1" si="570"/>
        <v>52432.229837663413</v>
      </c>
      <c r="Z1348">
        <f t="shared" ca="1" si="571"/>
        <v>52432.22983766524</v>
      </c>
      <c r="AA1348">
        <f t="shared" ca="1" si="572"/>
        <v>2.2562304480281055E-12</v>
      </c>
      <c r="AB1348">
        <f t="shared" ca="1" si="573"/>
        <v>-5.0000000192085281E-4</v>
      </c>
      <c r="AC1348">
        <f t="shared" ca="1" si="574"/>
        <v>1</v>
      </c>
      <c r="AD1348">
        <f ca="1">IF(V32="Supercritical",L1348,IF(V32="Subcritical",U1348,IF(AND(T1348=1,AC1348=1),IF((((F1348)*(L1348)^2)/2+(G1348)*(L1348)^3/3+(ABS(K1348)^2)/($I$5*MAX(((F1348)+(G1348)*(L1348))*(L1348),0.000001)))&gt;=(((F1348)*(U1348)^2)/2+(G1348)*(U1348)^3/3+(ABS(K1348)^2)/($I$5*MAX(((F1348)+(G1348)*(U1348))*(U1348),0.000001))),L1348,U1348),IF(T1348=1,L1348,IF(AC1348=1,U1348,MAX($D$16,POWER((ABS(K1348)^2)/($I$5*MAX(F1348,0.1)^2),1/3)))))))</f>
        <v>51800.26683766341</v>
      </c>
      <c r="AE1348">
        <f t="shared" ca="1" si="575"/>
        <v>52432.229837663413</v>
      </c>
      <c r="AF1348">
        <f t="shared" ca="1" si="576"/>
        <v>52432.22983766524</v>
      </c>
      <c r="AI1348">
        <v>0</v>
      </c>
      <c r="AJ1348">
        <v>0</v>
      </c>
      <c r="AK1348">
        <f t="shared" si="577"/>
        <v>0</v>
      </c>
      <c r="AL1348">
        <f t="shared" si="586"/>
        <v>0</v>
      </c>
      <c r="AM1348">
        <f t="shared" ca="1" si="578"/>
        <v>2.6560383008097266E-7</v>
      </c>
      <c r="AN1348" t="str">
        <f t="shared" ca="1" si="579"/>
        <v>Subcritical</v>
      </c>
      <c r="AO1348">
        <f t="shared" ca="1" si="580"/>
        <v>2.2562304480281055E-12</v>
      </c>
    </row>
    <row r="1349" spans="1:41" x14ac:dyDescent="0.35">
      <c r="A1349">
        <v>1200</v>
      </c>
      <c r="B1349">
        <v>1198.8889999999999</v>
      </c>
      <c r="C1349">
        <v>616072.75600000005</v>
      </c>
      <c r="D1349">
        <v>3096805.227</v>
      </c>
      <c r="E1349">
        <v>631.96249999999998</v>
      </c>
      <c r="F1349">
        <v>5.2</v>
      </c>
      <c r="G1349">
        <v>0</v>
      </c>
      <c r="H1349" t="s">
        <v>186</v>
      </c>
      <c r="I1349">
        <v>0.06</v>
      </c>
      <c r="J1349">
        <f t="shared" si="581"/>
        <v>1</v>
      </c>
      <c r="K1349">
        <f t="shared" si="582"/>
        <v>51</v>
      </c>
      <c r="L1349">
        <f t="shared" ca="1" si="583"/>
        <v>51797.843837663619</v>
      </c>
      <c r="M1349">
        <f t="shared" ca="1" si="560"/>
        <v>269348.78795585083</v>
      </c>
      <c r="N1349">
        <f t="shared" ca="1" si="561"/>
        <v>2.5998694991876676</v>
      </c>
      <c r="O1349">
        <f t="shared" ca="1" si="562"/>
        <v>1.8934557080078435E-4</v>
      </c>
      <c r="P1349">
        <f t="shared" ca="1" si="563"/>
        <v>52429.80633766362</v>
      </c>
      <c r="Q1349">
        <f t="shared" ca="1" si="564"/>
        <v>52429.806337665446</v>
      </c>
      <c r="R1349">
        <f t="shared" ca="1" si="565"/>
        <v>2.2564415439646509E-12</v>
      </c>
      <c r="S1349">
        <f t="shared" ca="1" si="584"/>
        <v>5.0000000192085281E-4</v>
      </c>
      <c r="T1349">
        <f t="shared" ca="1" si="585"/>
        <v>1</v>
      </c>
      <c r="U1349">
        <f t="shared" ca="1" si="566"/>
        <v>51800.26683766341</v>
      </c>
      <c r="V1349">
        <f t="shared" ca="1" si="567"/>
        <v>269361.38755584974</v>
      </c>
      <c r="W1349">
        <f t="shared" ca="1" si="568"/>
        <v>2.5998695052916441</v>
      </c>
      <c r="X1349">
        <f t="shared" ca="1" si="569"/>
        <v>1.8933671400629237E-4</v>
      </c>
      <c r="Y1349">
        <f t="shared" ca="1" si="570"/>
        <v>52432.229337663412</v>
      </c>
      <c r="Z1349">
        <f t="shared" ca="1" si="571"/>
        <v>52432.229337665238</v>
      </c>
      <c r="AA1349">
        <f t="shared" ca="1" si="572"/>
        <v>2.2562304480281055E-12</v>
      </c>
      <c r="AB1349">
        <f t="shared" ca="1" si="573"/>
        <v>-5.0000000192085281E-4</v>
      </c>
      <c r="AC1349">
        <f t="shared" ca="1" si="574"/>
        <v>1</v>
      </c>
      <c r="AD1349">
        <f ca="1">IF(V32="Supercritical",L1349,IF(V32="Subcritical",U1349,IF(AND(T1349=1,AC1349=1),IF((((F1349)*(L1349)^2)/2+(G1349)*(L1349)^3/3+(ABS(K1349)^2)/($I$5*MAX(((F1349)+(G1349)*(L1349))*(L1349),0.000001)))&gt;=(((F1349)*(U1349)^2)/2+(G1349)*(U1349)^3/3+(ABS(K1349)^2)/($I$5*MAX(((F1349)+(G1349)*(U1349))*(U1349),0.000001))),L1349,U1349),IF(T1349=1,L1349,IF(AC1349=1,U1349,MAX($D$16,POWER((ABS(K1349)^2)/($I$5*MAX(F1349,0.1)^2),1/3)))))))</f>
        <v>51800.26683766341</v>
      </c>
      <c r="AE1349">
        <f t="shared" ca="1" si="575"/>
        <v>52432.229337663412</v>
      </c>
      <c r="AF1349">
        <f t="shared" ca="1" si="576"/>
        <v>52432.229337665238</v>
      </c>
      <c r="AI1349">
        <v>0</v>
      </c>
      <c r="AJ1349">
        <v>0</v>
      </c>
      <c r="AK1349">
        <f t="shared" si="577"/>
        <v>0</v>
      </c>
      <c r="AL1349">
        <f t="shared" si="586"/>
        <v>0</v>
      </c>
      <c r="AM1349">
        <f t="shared" ca="1" si="578"/>
        <v>2.6560383008097266E-7</v>
      </c>
      <c r="AN1349" t="str">
        <f t="shared" ca="1" si="579"/>
        <v>Subcritical</v>
      </c>
      <c r="AO1349">
        <f t="shared" ca="1" si="580"/>
        <v>2.2562304480281055E-12</v>
      </c>
    </row>
    <row r="1350" spans="1:41" x14ac:dyDescent="0.35">
      <c r="A1350">
        <v>1201</v>
      </c>
      <c r="B1350">
        <v>1199.8900000000001</v>
      </c>
      <c r="C1350">
        <v>616072.71400000004</v>
      </c>
      <c r="D1350">
        <v>3096804.227</v>
      </c>
      <c r="E1350">
        <v>631.96199999999999</v>
      </c>
      <c r="F1350">
        <v>5.2</v>
      </c>
      <c r="G1350">
        <v>0</v>
      </c>
      <c r="H1350" t="s">
        <v>186</v>
      </c>
      <c r="I1350">
        <v>2E-3</v>
      </c>
      <c r="J1350">
        <f t="shared" si="581"/>
        <v>1.0010000000002037</v>
      </c>
      <c r="K1350">
        <f t="shared" si="582"/>
        <v>51</v>
      </c>
      <c r="L1350">
        <f t="shared" ca="1" si="583"/>
        <v>51797.843837663619</v>
      </c>
      <c r="M1350">
        <f t="shared" ca="1" si="560"/>
        <v>269348.78795585083</v>
      </c>
      <c r="N1350">
        <f t="shared" ca="1" si="561"/>
        <v>2.5998694991876676</v>
      </c>
      <c r="O1350">
        <f t="shared" ca="1" si="562"/>
        <v>1.8934557080078435E-4</v>
      </c>
      <c r="P1350">
        <f t="shared" ca="1" si="563"/>
        <v>52429.805837663618</v>
      </c>
      <c r="Q1350">
        <f t="shared" ca="1" si="564"/>
        <v>52429.805837665444</v>
      </c>
      <c r="R1350">
        <f t="shared" ca="1" si="565"/>
        <v>2.2564415439646509E-12</v>
      </c>
      <c r="S1350">
        <f t="shared" ca="1" si="584"/>
        <v>5.0000000192085281E-4</v>
      </c>
      <c r="T1350">
        <f t="shared" ca="1" si="585"/>
        <v>1</v>
      </c>
      <c r="U1350">
        <f t="shared" ca="1" si="566"/>
        <v>51800.26683766341</v>
      </c>
      <c r="V1350">
        <f t="shared" ca="1" si="567"/>
        <v>269361.38755584974</v>
      </c>
      <c r="W1350">
        <f t="shared" ca="1" si="568"/>
        <v>2.5998695052916441</v>
      </c>
      <c r="X1350">
        <f t="shared" ca="1" si="569"/>
        <v>1.8933671400629237E-4</v>
      </c>
      <c r="Y1350">
        <f t="shared" ca="1" si="570"/>
        <v>52432.22883766341</v>
      </c>
      <c r="Z1350">
        <f t="shared" ca="1" si="571"/>
        <v>52432.228837665236</v>
      </c>
      <c r="AA1350">
        <f t="shared" ca="1" si="572"/>
        <v>2.2562304480281055E-12</v>
      </c>
      <c r="AB1350">
        <f t="shared" ca="1" si="573"/>
        <v>-5.0000000192085281E-4</v>
      </c>
      <c r="AC1350">
        <f t="shared" ca="1" si="574"/>
        <v>1</v>
      </c>
      <c r="AD1350">
        <f ca="1">IF(V32="Supercritical",L1350,IF(V32="Subcritical",U1350,IF(AND(T1350=1,AC1350=1),IF((((F1350)*(L1350)^2)/2+(G1350)*(L1350)^3/3+(ABS(K1350)^2)/($I$5*MAX(((F1350)+(G1350)*(L1350))*(L1350),0.000001)))&gt;=(((F1350)*(U1350)^2)/2+(G1350)*(U1350)^3/3+(ABS(K1350)^2)/($I$5*MAX(((F1350)+(G1350)*(U1350))*(U1350),0.000001))),L1350,U1350),IF(T1350=1,L1350,IF(AC1350=1,U1350,MAX($D$16,POWER((ABS(K1350)^2)/($I$5*MAX(F1350,0.1)^2),1/3)))))))</f>
        <v>51800.26683766341</v>
      </c>
      <c r="AE1350">
        <f t="shared" ca="1" si="575"/>
        <v>52432.22883766341</v>
      </c>
      <c r="AF1350">
        <f t="shared" ca="1" si="576"/>
        <v>52432.228837665236</v>
      </c>
      <c r="AI1350">
        <v>0</v>
      </c>
      <c r="AJ1350">
        <v>0</v>
      </c>
      <c r="AK1350">
        <f t="shared" si="577"/>
        <v>0</v>
      </c>
      <c r="AL1350">
        <f t="shared" si="586"/>
        <v>0</v>
      </c>
      <c r="AM1350">
        <f t="shared" ca="1" si="578"/>
        <v>2.6560383008097266E-7</v>
      </c>
      <c r="AN1350" t="str">
        <f t="shared" ca="1" si="579"/>
        <v>Subcritical</v>
      </c>
      <c r="AO1350">
        <f t="shared" ca="1" si="580"/>
        <v>2.2562304480281055E-12</v>
      </c>
    </row>
    <row r="1351" spans="1:41" x14ac:dyDescent="0.35">
      <c r="A1351">
        <v>1202</v>
      </c>
      <c r="B1351">
        <v>1200.8900000000001</v>
      </c>
      <c r="C1351">
        <v>616072.67200000002</v>
      </c>
      <c r="D1351">
        <v>3096803.2280000001</v>
      </c>
      <c r="E1351">
        <v>631.9615</v>
      </c>
      <c r="F1351">
        <v>5.2</v>
      </c>
      <c r="G1351">
        <v>0</v>
      </c>
      <c r="H1351" t="s">
        <v>186</v>
      </c>
      <c r="I1351">
        <v>0</v>
      </c>
      <c r="J1351">
        <f t="shared" si="581"/>
        <v>1</v>
      </c>
      <c r="K1351">
        <f t="shared" si="582"/>
        <v>51</v>
      </c>
      <c r="L1351">
        <f t="shared" ca="1" si="583"/>
        <v>51797.843837663619</v>
      </c>
      <c r="M1351">
        <f t="shared" ca="1" si="560"/>
        <v>269348.78795585083</v>
      </c>
      <c r="N1351">
        <f t="shared" ca="1" si="561"/>
        <v>2.5998694991876676</v>
      </c>
      <c r="O1351">
        <f t="shared" ca="1" si="562"/>
        <v>1.8934557080078435E-4</v>
      </c>
      <c r="P1351">
        <f t="shared" ca="1" si="563"/>
        <v>52429.805337663616</v>
      </c>
      <c r="Q1351">
        <f t="shared" ca="1" si="564"/>
        <v>52429.805337665442</v>
      </c>
      <c r="R1351">
        <f t="shared" ca="1" si="565"/>
        <v>2.2564415439646509E-12</v>
      </c>
      <c r="S1351">
        <f t="shared" ca="1" si="584"/>
        <v>5.0000000192085281E-4</v>
      </c>
      <c r="T1351">
        <f t="shared" ca="1" si="585"/>
        <v>1</v>
      </c>
      <c r="U1351">
        <f t="shared" ca="1" si="566"/>
        <v>51800.26683766341</v>
      </c>
      <c r="V1351">
        <f t="shared" ca="1" si="567"/>
        <v>269361.38755584974</v>
      </c>
      <c r="W1351">
        <f t="shared" ca="1" si="568"/>
        <v>2.5998695052916441</v>
      </c>
      <c r="X1351">
        <f t="shared" ca="1" si="569"/>
        <v>1.8933671400629237E-4</v>
      </c>
      <c r="Y1351">
        <f t="shared" ca="1" si="570"/>
        <v>52432.228337663408</v>
      </c>
      <c r="Z1351">
        <f t="shared" ca="1" si="571"/>
        <v>52432.228337665234</v>
      </c>
      <c r="AA1351">
        <f t="shared" ca="1" si="572"/>
        <v>2.2562304480281055E-12</v>
      </c>
      <c r="AB1351">
        <f t="shared" ca="1" si="573"/>
        <v>-4.999999946448952E-4</v>
      </c>
      <c r="AC1351">
        <f t="shared" ca="1" si="574"/>
        <v>1</v>
      </c>
      <c r="AD1351">
        <f ca="1">IF(V32="Supercritical",L1351,IF(V32="Subcritical",U1351,IF(AND(T1351=1,AC1351=1),IF((((F1351)*(L1351)^2)/2+(G1351)*(L1351)^3/3+(ABS(K1351)^2)/($I$5*MAX(((F1351)+(G1351)*(L1351))*(L1351),0.000001)))&gt;=(((F1351)*(U1351)^2)/2+(G1351)*(U1351)^3/3+(ABS(K1351)^2)/($I$5*MAX(((F1351)+(G1351)*(U1351))*(U1351),0.000001))),L1351,U1351),IF(T1351=1,L1351,IF(AC1351=1,U1351,MAX($D$16,POWER((ABS(K1351)^2)/($I$5*MAX(F1351,0.1)^2),1/3)))))))</f>
        <v>51800.26683766341</v>
      </c>
      <c r="AE1351">
        <f t="shared" ca="1" si="575"/>
        <v>52432.228337663408</v>
      </c>
      <c r="AF1351">
        <f t="shared" ca="1" si="576"/>
        <v>52432.228337665234</v>
      </c>
      <c r="AI1351">
        <v>0</v>
      </c>
      <c r="AJ1351">
        <v>0</v>
      </c>
      <c r="AK1351">
        <f t="shared" si="577"/>
        <v>0</v>
      </c>
      <c r="AL1351">
        <f t="shared" si="586"/>
        <v>0</v>
      </c>
      <c r="AM1351">
        <f t="shared" ca="1" si="578"/>
        <v>2.6560383008097266E-7</v>
      </c>
      <c r="AN1351" t="str">
        <f t="shared" ca="1" si="579"/>
        <v>Subcritical</v>
      </c>
      <c r="AO1351">
        <f t="shared" ca="1" si="580"/>
        <v>2.2562304480281055E-12</v>
      </c>
    </row>
    <row r="1352" spans="1:41" x14ac:dyDescent="0.35">
      <c r="A1352">
        <v>1203</v>
      </c>
      <c r="B1352">
        <v>1201.8889999999999</v>
      </c>
      <c r="C1352">
        <v>616072.63</v>
      </c>
      <c r="D1352">
        <v>3096802.2289999998</v>
      </c>
      <c r="E1352">
        <v>631.96100000000001</v>
      </c>
      <c r="F1352">
        <v>5.2</v>
      </c>
      <c r="G1352">
        <v>0</v>
      </c>
      <c r="H1352" t="s">
        <v>186</v>
      </c>
      <c r="I1352">
        <v>5.7000000000000002E-2</v>
      </c>
      <c r="J1352">
        <f t="shared" si="581"/>
        <v>0.99899999999979627</v>
      </c>
      <c r="K1352">
        <f t="shared" si="582"/>
        <v>51</v>
      </c>
      <c r="L1352">
        <f t="shared" ca="1" si="583"/>
        <v>51797.843837663619</v>
      </c>
      <c r="M1352">
        <f t="shared" ca="1" si="560"/>
        <v>269348.78795585083</v>
      </c>
      <c r="N1352">
        <f t="shared" ca="1" si="561"/>
        <v>2.5998694991876676</v>
      </c>
      <c r="O1352">
        <f t="shared" ca="1" si="562"/>
        <v>1.8934557080078435E-4</v>
      </c>
      <c r="P1352">
        <f t="shared" ca="1" si="563"/>
        <v>52429.804837663622</v>
      </c>
      <c r="Q1352">
        <f t="shared" ca="1" si="564"/>
        <v>52429.804837665448</v>
      </c>
      <c r="R1352">
        <f t="shared" ca="1" si="565"/>
        <v>2.2564415439646509E-12</v>
      </c>
      <c r="S1352">
        <f t="shared" ca="1" si="584"/>
        <v>4.999999946448952E-4</v>
      </c>
      <c r="T1352">
        <f t="shared" ca="1" si="585"/>
        <v>1</v>
      </c>
      <c r="U1352">
        <f t="shared" ca="1" si="566"/>
        <v>51800.26683766341</v>
      </c>
      <c r="V1352">
        <f t="shared" ca="1" si="567"/>
        <v>269361.38755584974</v>
      </c>
      <c r="W1352">
        <f t="shared" ca="1" si="568"/>
        <v>2.5998695052916441</v>
      </c>
      <c r="X1352">
        <f t="shared" ca="1" si="569"/>
        <v>1.8933671400629237E-4</v>
      </c>
      <c r="Y1352">
        <f t="shared" ca="1" si="570"/>
        <v>52432.227837663413</v>
      </c>
      <c r="Z1352">
        <f t="shared" ca="1" si="571"/>
        <v>52432.227837665239</v>
      </c>
      <c r="AA1352">
        <f t="shared" ca="1" si="572"/>
        <v>2.2562304480281055E-12</v>
      </c>
      <c r="AB1352">
        <f t="shared" ca="1" si="573"/>
        <v>-5.0000000192085281E-4</v>
      </c>
      <c r="AC1352">
        <f t="shared" ca="1" si="574"/>
        <v>1</v>
      </c>
      <c r="AD1352">
        <f ca="1">IF(V32="Supercritical",L1352,IF(V32="Subcritical",U1352,IF(AND(T1352=1,AC1352=1),IF((((F1352)*(L1352)^2)/2+(G1352)*(L1352)^3/3+(ABS(K1352)^2)/($I$5*MAX(((F1352)+(G1352)*(L1352))*(L1352),0.000001)))&gt;=(((F1352)*(U1352)^2)/2+(G1352)*(U1352)^3/3+(ABS(K1352)^2)/($I$5*MAX(((F1352)+(G1352)*(U1352))*(U1352),0.000001))),L1352,U1352),IF(T1352=1,L1352,IF(AC1352=1,U1352,MAX($D$16,POWER((ABS(K1352)^2)/($I$5*MAX(F1352,0.1)^2),1/3)))))))</f>
        <v>51800.26683766341</v>
      </c>
      <c r="AE1352">
        <f t="shared" ca="1" si="575"/>
        <v>52432.227837663413</v>
      </c>
      <c r="AF1352">
        <f t="shared" ca="1" si="576"/>
        <v>52432.227837665239</v>
      </c>
      <c r="AI1352">
        <v>0</v>
      </c>
      <c r="AJ1352">
        <v>0</v>
      </c>
      <c r="AK1352">
        <f t="shared" si="577"/>
        <v>0</v>
      </c>
      <c r="AL1352">
        <f t="shared" si="586"/>
        <v>0</v>
      </c>
      <c r="AM1352">
        <f t="shared" ca="1" si="578"/>
        <v>2.6560383008097266E-7</v>
      </c>
      <c r="AN1352" t="str">
        <f t="shared" ca="1" si="579"/>
        <v>Subcritical</v>
      </c>
      <c r="AO1352">
        <f t="shared" ca="1" si="580"/>
        <v>2.2562304480281055E-12</v>
      </c>
    </row>
    <row r="1353" spans="1:41" x14ac:dyDescent="0.35">
      <c r="A1353">
        <v>1204</v>
      </c>
      <c r="B1353">
        <v>1202.8889999999999</v>
      </c>
      <c r="C1353">
        <v>616072.58700000006</v>
      </c>
      <c r="D1353">
        <v>3096801.23</v>
      </c>
      <c r="E1353">
        <v>631.96050000000002</v>
      </c>
      <c r="F1353">
        <v>5.2</v>
      </c>
      <c r="G1353">
        <v>0</v>
      </c>
      <c r="H1353" t="s">
        <v>186</v>
      </c>
      <c r="I1353">
        <v>5.7000000000000002E-2</v>
      </c>
      <c r="J1353">
        <f t="shared" si="581"/>
        <v>1</v>
      </c>
      <c r="K1353">
        <f t="shared" si="582"/>
        <v>51</v>
      </c>
      <c r="L1353">
        <f t="shared" ca="1" si="583"/>
        <v>51797.843837663619</v>
      </c>
      <c r="M1353">
        <f t="shared" ca="1" si="560"/>
        <v>269348.78795585083</v>
      </c>
      <c r="N1353">
        <f t="shared" ca="1" si="561"/>
        <v>2.5998694991876676</v>
      </c>
      <c r="O1353">
        <f t="shared" ca="1" si="562"/>
        <v>1.8934557080078435E-4</v>
      </c>
      <c r="P1353">
        <f t="shared" ca="1" si="563"/>
        <v>52429.80433766362</v>
      </c>
      <c r="Q1353">
        <f t="shared" ca="1" si="564"/>
        <v>52429.804337665446</v>
      </c>
      <c r="R1353">
        <f t="shared" ca="1" si="565"/>
        <v>2.2564415439646509E-12</v>
      </c>
      <c r="S1353">
        <f t="shared" ca="1" si="584"/>
        <v>5.0000000192085281E-4</v>
      </c>
      <c r="T1353">
        <f t="shared" ca="1" si="585"/>
        <v>1</v>
      </c>
      <c r="U1353">
        <f t="shared" ca="1" si="566"/>
        <v>51800.26683766341</v>
      </c>
      <c r="V1353">
        <f t="shared" ca="1" si="567"/>
        <v>269361.38755584974</v>
      </c>
      <c r="W1353">
        <f t="shared" ca="1" si="568"/>
        <v>2.5998695052916441</v>
      </c>
      <c r="X1353">
        <f t="shared" ca="1" si="569"/>
        <v>1.8933671400629237E-4</v>
      </c>
      <c r="Y1353">
        <f t="shared" ca="1" si="570"/>
        <v>52432.227337663411</v>
      </c>
      <c r="Z1353">
        <f t="shared" ca="1" si="571"/>
        <v>52432.227337665237</v>
      </c>
      <c r="AA1353">
        <f t="shared" ca="1" si="572"/>
        <v>2.2562304480281055E-12</v>
      </c>
      <c r="AB1353">
        <f t="shared" ca="1" si="573"/>
        <v>-5.0000000192085281E-4</v>
      </c>
      <c r="AC1353">
        <f t="shared" ca="1" si="574"/>
        <v>1</v>
      </c>
      <c r="AD1353">
        <f ca="1">IF(V32="Supercritical",L1353,IF(V32="Subcritical",U1353,IF(AND(T1353=1,AC1353=1),IF((((F1353)*(L1353)^2)/2+(G1353)*(L1353)^3/3+(ABS(K1353)^2)/($I$5*MAX(((F1353)+(G1353)*(L1353))*(L1353),0.000001)))&gt;=(((F1353)*(U1353)^2)/2+(G1353)*(U1353)^3/3+(ABS(K1353)^2)/($I$5*MAX(((F1353)+(G1353)*(U1353))*(U1353),0.000001))),L1353,U1353),IF(T1353=1,L1353,IF(AC1353=1,U1353,MAX($D$16,POWER((ABS(K1353)^2)/($I$5*MAX(F1353,0.1)^2),1/3)))))))</f>
        <v>51800.26683766341</v>
      </c>
      <c r="AE1353">
        <f t="shared" ca="1" si="575"/>
        <v>52432.227337663411</v>
      </c>
      <c r="AF1353">
        <f t="shared" ca="1" si="576"/>
        <v>52432.227337665237</v>
      </c>
      <c r="AI1353">
        <v>0</v>
      </c>
      <c r="AJ1353">
        <v>0</v>
      </c>
      <c r="AK1353">
        <f t="shared" si="577"/>
        <v>0</v>
      </c>
      <c r="AL1353">
        <f t="shared" si="586"/>
        <v>0</v>
      </c>
      <c r="AM1353">
        <f t="shared" ca="1" si="578"/>
        <v>2.6560383008097266E-7</v>
      </c>
      <c r="AN1353" t="str">
        <f t="shared" ca="1" si="579"/>
        <v>Subcritical</v>
      </c>
      <c r="AO1353">
        <f t="shared" ca="1" si="580"/>
        <v>2.2562304480281055E-12</v>
      </c>
    </row>
    <row r="1354" spans="1:41" x14ac:dyDescent="0.35">
      <c r="A1354">
        <v>1205</v>
      </c>
      <c r="B1354">
        <v>1203.8889999999999</v>
      </c>
      <c r="C1354">
        <v>616072.54500000004</v>
      </c>
      <c r="D1354">
        <v>3096800.2310000001</v>
      </c>
      <c r="E1354">
        <v>631.96</v>
      </c>
      <c r="F1354">
        <v>5.2</v>
      </c>
      <c r="G1354">
        <v>0</v>
      </c>
      <c r="H1354" t="s">
        <v>186</v>
      </c>
      <c r="I1354">
        <v>0</v>
      </c>
      <c r="J1354">
        <f t="shared" si="581"/>
        <v>1</v>
      </c>
      <c r="K1354">
        <f t="shared" si="582"/>
        <v>51</v>
      </c>
      <c r="L1354">
        <f t="shared" ca="1" si="583"/>
        <v>51797.843837663619</v>
      </c>
      <c r="M1354">
        <f t="shared" ca="1" si="560"/>
        <v>269348.78795585083</v>
      </c>
      <c r="N1354">
        <f t="shared" ca="1" si="561"/>
        <v>2.5998694991876676</v>
      </c>
      <c r="O1354">
        <f t="shared" ca="1" si="562"/>
        <v>1.8934557080078435E-4</v>
      </c>
      <c r="P1354">
        <f t="shared" ca="1" si="563"/>
        <v>52429.803837663618</v>
      </c>
      <c r="Q1354">
        <f t="shared" ca="1" si="564"/>
        <v>52429.803837665444</v>
      </c>
      <c r="R1354">
        <f t="shared" ca="1" si="565"/>
        <v>2.2564415439646509E-12</v>
      </c>
      <c r="S1354">
        <f t="shared" ca="1" si="584"/>
        <v>5.0000000192085281E-4</v>
      </c>
      <c r="T1354">
        <f t="shared" ca="1" si="585"/>
        <v>1</v>
      </c>
      <c r="U1354">
        <f t="shared" ca="1" si="566"/>
        <v>51800.26683766341</v>
      </c>
      <c r="V1354">
        <f t="shared" ca="1" si="567"/>
        <v>269361.38755584974</v>
      </c>
      <c r="W1354">
        <f t="shared" ca="1" si="568"/>
        <v>2.5998695052916441</v>
      </c>
      <c r="X1354">
        <f t="shared" ca="1" si="569"/>
        <v>1.8933671400629237E-4</v>
      </c>
      <c r="Y1354">
        <f t="shared" ca="1" si="570"/>
        <v>52432.226837663409</v>
      </c>
      <c r="Z1354">
        <f t="shared" ca="1" si="571"/>
        <v>52432.226837665236</v>
      </c>
      <c r="AA1354">
        <f t="shared" ca="1" si="572"/>
        <v>2.2562304480281055E-12</v>
      </c>
      <c r="AB1354">
        <f t="shared" ca="1" si="573"/>
        <v>-5.0000000192085281E-4</v>
      </c>
      <c r="AC1354">
        <f t="shared" ca="1" si="574"/>
        <v>1</v>
      </c>
      <c r="AD1354">
        <f ca="1">IF(V32="Supercritical",L1354,IF(V32="Subcritical",U1354,IF(AND(T1354=1,AC1354=1),IF((((F1354)*(L1354)^2)/2+(G1354)*(L1354)^3/3+(ABS(K1354)^2)/($I$5*MAX(((F1354)+(G1354)*(L1354))*(L1354),0.000001)))&gt;=(((F1354)*(U1354)^2)/2+(G1354)*(U1354)^3/3+(ABS(K1354)^2)/($I$5*MAX(((F1354)+(G1354)*(U1354))*(U1354),0.000001))),L1354,U1354),IF(T1354=1,L1354,IF(AC1354=1,U1354,MAX($D$16,POWER((ABS(K1354)^2)/($I$5*MAX(F1354,0.1)^2),1/3)))))))</f>
        <v>51800.26683766341</v>
      </c>
      <c r="AE1354">
        <f t="shared" ca="1" si="575"/>
        <v>52432.226837663409</v>
      </c>
      <c r="AF1354">
        <f t="shared" ca="1" si="576"/>
        <v>52432.226837665236</v>
      </c>
      <c r="AI1354">
        <v>0</v>
      </c>
      <c r="AJ1354">
        <v>0</v>
      </c>
      <c r="AK1354">
        <f t="shared" si="577"/>
        <v>0</v>
      </c>
      <c r="AL1354">
        <f t="shared" si="586"/>
        <v>0</v>
      </c>
      <c r="AM1354">
        <f t="shared" ca="1" si="578"/>
        <v>2.6560383008097266E-7</v>
      </c>
      <c r="AN1354" t="str">
        <f t="shared" ca="1" si="579"/>
        <v>Subcritical</v>
      </c>
      <c r="AO1354">
        <f t="shared" ca="1" si="580"/>
        <v>2.2562304480281055E-12</v>
      </c>
    </row>
    <row r="1355" spans="1:41" x14ac:dyDescent="0.35">
      <c r="A1355">
        <v>1206</v>
      </c>
      <c r="B1355">
        <v>1204.8889999999999</v>
      </c>
      <c r="C1355">
        <v>616072.50300000003</v>
      </c>
      <c r="D1355">
        <v>3096799.2319999998</v>
      </c>
      <c r="E1355">
        <v>631.95950000000005</v>
      </c>
      <c r="F1355">
        <v>5.2</v>
      </c>
      <c r="G1355">
        <v>0</v>
      </c>
      <c r="H1355" t="s">
        <v>186</v>
      </c>
      <c r="I1355">
        <v>0</v>
      </c>
      <c r="J1355">
        <f t="shared" si="581"/>
        <v>1</v>
      </c>
      <c r="K1355">
        <f t="shared" si="582"/>
        <v>51</v>
      </c>
      <c r="L1355">
        <f t="shared" ca="1" si="583"/>
        <v>51797.843837663619</v>
      </c>
      <c r="M1355">
        <f t="shared" ca="1" si="560"/>
        <v>269348.78795585083</v>
      </c>
      <c r="N1355">
        <f t="shared" ca="1" si="561"/>
        <v>2.5998694991876676</v>
      </c>
      <c r="O1355">
        <f t="shared" ca="1" si="562"/>
        <v>1.8934557080078435E-4</v>
      </c>
      <c r="P1355">
        <f t="shared" ca="1" si="563"/>
        <v>52429.803337663616</v>
      </c>
      <c r="Q1355">
        <f t="shared" ca="1" si="564"/>
        <v>52429.803337665442</v>
      </c>
      <c r="R1355">
        <f t="shared" ca="1" si="565"/>
        <v>2.2564415439646509E-12</v>
      </c>
      <c r="S1355">
        <f t="shared" ca="1" si="584"/>
        <v>5.0000000192085281E-4</v>
      </c>
      <c r="T1355">
        <f t="shared" ca="1" si="585"/>
        <v>1</v>
      </c>
      <c r="U1355">
        <f t="shared" ca="1" si="566"/>
        <v>51800.26683766341</v>
      </c>
      <c r="V1355">
        <f t="shared" ca="1" si="567"/>
        <v>269361.38755584974</v>
      </c>
      <c r="W1355">
        <f t="shared" ca="1" si="568"/>
        <v>2.5998695052916441</v>
      </c>
      <c r="X1355">
        <f t="shared" ca="1" si="569"/>
        <v>1.8933671400629237E-4</v>
      </c>
      <c r="Y1355">
        <f t="shared" ca="1" si="570"/>
        <v>52432.226337663407</v>
      </c>
      <c r="Z1355">
        <f t="shared" ca="1" si="571"/>
        <v>52432.226337665234</v>
      </c>
      <c r="AA1355">
        <f t="shared" ca="1" si="572"/>
        <v>2.2562304480281055E-12</v>
      </c>
      <c r="AB1355">
        <f t="shared" ca="1" si="573"/>
        <v>-4.999999946448952E-4</v>
      </c>
      <c r="AC1355">
        <f t="shared" ca="1" si="574"/>
        <v>1</v>
      </c>
      <c r="AD1355">
        <f ca="1">IF(V32="Supercritical",L1355,IF(V32="Subcritical",U1355,IF(AND(T1355=1,AC1355=1),IF((((F1355)*(L1355)^2)/2+(G1355)*(L1355)^3/3+(ABS(K1355)^2)/($I$5*MAX(((F1355)+(G1355)*(L1355))*(L1355),0.000001)))&gt;=(((F1355)*(U1355)^2)/2+(G1355)*(U1355)^3/3+(ABS(K1355)^2)/($I$5*MAX(((F1355)+(G1355)*(U1355))*(U1355),0.000001))),L1355,U1355),IF(T1355=1,L1355,IF(AC1355=1,U1355,MAX($D$16,POWER((ABS(K1355)^2)/($I$5*MAX(F1355,0.1)^2),1/3)))))))</f>
        <v>51800.26683766341</v>
      </c>
      <c r="AE1355">
        <f t="shared" ca="1" si="575"/>
        <v>52432.226337663407</v>
      </c>
      <c r="AF1355">
        <f t="shared" ca="1" si="576"/>
        <v>52432.226337665234</v>
      </c>
      <c r="AI1355">
        <v>0</v>
      </c>
      <c r="AJ1355">
        <v>0</v>
      </c>
      <c r="AK1355">
        <f t="shared" si="577"/>
        <v>0</v>
      </c>
      <c r="AL1355">
        <f t="shared" si="586"/>
        <v>0</v>
      </c>
      <c r="AM1355">
        <f t="shared" ca="1" si="578"/>
        <v>2.6560383008097266E-7</v>
      </c>
      <c r="AN1355" t="str">
        <f t="shared" ca="1" si="579"/>
        <v>Subcritical</v>
      </c>
      <c r="AO1355">
        <f t="shared" ca="1" si="580"/>
        <v>2.2562304480281055E-12</v>
      </c>
    </row>
    <row r="1356" spans="1:41" x14ac:dyDescent="0.35">
      <c r="A1356">
        <v>1207</v>
      </c>
      <c r="B1356">
        <v>1205.8889999999999</v>
      </c>
      <c r="C1356">
        <v>616072.46100000001</v>
      </c>
      <c r="D1356">
        <v>3096798.233</v>
      </c>
      <c r="E1356">
        <v>631.95899999999995</v>
      </c>
      <c r="F1356">
        <v>5.2</v>
      </c>
      <c r="G1356">
        <v>0</v>
      </c>
      <c r="H1356" t="s">
        <v>186</v>
      </c>
      <c r="I1356">
        <v>5.7000000000000002E-2</v>
      </c>
      <c r="J1356">
        <f t="shared" si="581"/>
        <v>1</v>
      </c>
      <c r="K1356">
        <f t="shared" si="582"/>
        <v>51</v>
      </c>
      <c r="L1356">
        <f t="shared" ca="1" si="583"/>
        <v>51797.843837663619</v>
      </c>
      <c r="M1356">
        <f t="shared" ca="1" si="560"/>
        <v>269348.78795585083</v>
      </c>
      <c r="N1356">
        <f t="shared" ca="1" si="561"/>
        <v>2.5998694991876676</v>
      </c>
      <c r="O1356">
        <f t="shared" ca="1" si="562"/>
        <v>1.8934557080078435E-4</v>
      </c>
      <c r="P1356">
        <f t="shared" ca="1" si="563"/>
        <v>52429.802837663621</v>
      </c>
      <c r="Q1356">
        <f t="shared" ca="1" si="564"/>
        <v>52429.802837665447</v>
      </c>
      <c r="R1356">
        <f t="shared" ca="1" si="565"/>
        <v>2.2564415439646509E-12</v>
      </c>
      <c r="S1356">
        <f t="shared" ca="1" si="584"/>
        <v>4.999999946448952E-4</v>
      </c>
      <c r="T1356">
        <f t="shared" ca="1" si="585"/>
        <v>1</v>
      </c>
      <c r="U1356">
        <f t="shared" ca="1" si="566"/>
        <v>51800.26683766341</v>
      </c>
      <c r="V1356">
        <f t="shared" ca="1" si="567"/>
        <v>269361.38755584974</v>
      </c>
      <c r="W1356">
        <f t="shared" ca="1" si="568"/>
        <v>2.5998695052916441</v>
      </c>
      <c r="X1356">
        <f t="shared" ca="1" si="569"/>
        <v>1.8933671400629237E-4</v>
      </c>
      <c r="Y1356">
        <f t="shared" ca="1" si="570"/>
        <v>52432.225837663413</v>
      </c>
      <c r="Z1356">
        <f t="shared" ca="1" si="571"/>
        <v>52432.225837665239</v>
      </c>
      <c r="AA1356">
        <f t="shared" ca="1" si="572"/>
        <v>2.2562304480281055E-12</v>
      </c>
      <c r="AB1356">
        <f t="shared" ca="1" si="573"/>
        <v>-5.0000000192085281E-4</v>
      </c>
      <c r="AC1356">
        <f t="shared" ca="1" si="574"/>
        <v>1</v>
      </c>
      <c r="AD1356">
        <f ca="1">IF(V32="Supercritical",L1356,IF(V32="Subcritical",U1356,IF(AND(T1356=1,AC1356=1),IF((((F1356)*(L1356)^2)/2+(G1356)*(L1356)^3/3+(ABS(K1356)^2)/($I$5*MAX(((F1356)+(G1356)*(L1356))*(L1356),0.000001)))&gt;=(((F1356)*(U1356)^2)/2+(G1356)*(U1356)^3/3+(ABS(K1356)^2)/($I$5*MAX(((F1356)+(G1356)*(U1356))*(U1356),0.000001))),L1356,U1356),IF(T1356=1,L1356,IF(AC1356=1,U1356,MAX($D$16,POWER((ABS(K1356)^2)/($I$5*MAX(F1356,0.1)^2),1/3)))))))</f>
        <v>51800.26683766341</v>
      </c>
      <c r="AE1356">
        <f t="shared" ca="1" si="575"/>
        <v>52432.225837663413</v>
      </c>
      <c r="AF1356">
        <f t="shared" ca="1" si="576"/>
        <v>52432.225837665239</v>
      </c>
      <c r="AI1356">
        <v>0</v>
      </c>
      <c r="AJ1356">
        <v>0</v>
      </c>
      <c r="AK1356">
        <f t="shared" si="577"/>
        <v>0</v>
      </c>
      <c r="AL1356">
        <f t="shared" si="586"/>
        <v>0</v>
      </c>
      <c r="AM1356">
        <f t="shared" ca="1" si="578"/>
        <v>2.6560383008097266E-7</v>
      </c>
      <c r="AN1356" t="str">
        <f t="shared" ca="1" si="579"/>
        <v>Subcritical</v>
      </c>
      <c r="AO1356">
        <f t="shared" ca="1" si="580"/>
        <v>2.2562304480281055E-12</v>
      </c>
    </row>
    <row r="1357" spans="1:41" x14ac:dyDescent="0.35">
      <c r="A1357">
        <v>1208</v>
      </c>
      <c r="B1357">
        <v>1206.8889999999999</v>
      </c>
      <c r="C1357">
        <v>616072.41799999995</v>
      </c>
      <c r="D1357">
        <v>3096797.2340000002</v>
      </c>
      <c r="E1357">
        <v>631.95849999999996</v>
      </c>
      <c r="F1357">
        <v>5.2</v>
      </c>
      <c r="G1357">
        <v>0</v>
      </c>
      <c r="H1357" t="s">
        <v>186</v>
      </c>
      <c r="I1357">
        <v>5.7000000000000002E-2</v>
      </c>
      <c r="J1357">
        <f t="shared" si="581"/>
        <v>1</v>
      </c>
      <c r="K1357">
        <f t="shared" si="582"/>
        <v>51</v>
      </c>
      <c r="L1357">
        <f t="shared" ca="1" si="583"/>
        <v>51797.843837663619</v>
      </c>
      <c r="M1357">
        <f t="shared" ca="1" si="560"/>
        <v>269348.78795585083</v>
      </c>
      <c r="N1357">
        <f t="shared" ca="1" si="561"/>
        <v>2.5998694991876676</v>
      </c>
      <c r="O1357">
        <f t="shared" ca="1" si="562"/>
        <v>1.8934557080078435E-4</v>
      </c>
      <c r="P1357">
        <f t="shared" ca="1" si="563"/>
        <v>52429.802337663619</v>
      </c>
      <c r="Q1357">
        <f t="shared" ca="1" si="564"/>
        <v>52429.802337665446</v>
      </c>
      <c r="R1357">
        <f t="shared" ca="1" si="565"/>
        <v>2.2564415439646509E-12</v>
      </c>
      <c r="S1357">
        <f t="shared" ca="1" si="584"/>
        <v>5.0000000192085281E-4</v>
      </c>
      <c r="T1357">
        <f t="shared" ca="1" si="585"/>
        <v>1</v>
      </c>
      <c r="U1357">
        <f t="shared" ca="1" si="566"/>
        <v>51800.26683766341</v>
      </c>
      <c r="V1357">
        <f t="shared" ca="1" si="567"/>
        <v>269361.38755584974</v>
      </c>
      <c r="W1357">
        <f t="shared" ca="1" si="568"/>
        <v>2.5998695052916441</v>
      </c>
      <c r="X1357">
        <f t="shared" ca="1" si="569"/>
        <v>1.8933671400629237E-4</v>
      </c>
      <c r="Y1357">
        <f t="shared" ca="1" si="570"/>
        <v>52432.225337663411</v>
      </c>
      <c r="Z1357">
        <f t="shared" ca="1" si="571"/>
        <v>52432.225337665237</v>
      </c>
      <c r="AA1357">
        <f t="shared" ca="1" si="572"/>
        <v>2.2562304480281055E-12</v>
      </c>
      <c r="AB1357">
        <f t="shared" ca="1" si="573"/>
        <v>-5.0000000192085281E-4</v>
      </c>
      <c r="AC1357">
        <f t="shared" ca="1" si="574"/>
        <v>1</v>
      </c>
      <c r="AD1357">
        <f ca="1">IF(V32="Supercritical",L1357,IF(V32="Subcritical",U1357,IF(AND(T1357=1,AC1357=1),IF((((F1357)*(L1357)^2)/2+(G1357)*(L1357)^3/3+(ABS(K1357)^2)/($I$5*MAX(((F1357)+(G1357)*(L1357))*(L1357),0.000001)))&gt;=(((F1357)*(U1357)^2)/2+(G1357)*(U1357)^3/3+(ABS(K1357)^2)/($I$5*MAX(((F1357)+(G1357)*(U1357))*(U1357),0.000001))),L1357,U1357),IF(T1357=1,L1357,IF(AC1357=1,U1357,MAX($D$16,POWER((ABS(K1357)^2)/($I$5*MAX(F1357,0.1)^2),1/3)))))))</f>
        <v>51800.26683766341</v>
      </c>
      <c r="AE1357">
        <f t="shared" ca="1" si="575"/>
        <v>52432.225337663411</v>
      </c>
      <c r="AF1357">
        <f t="shared" ca="1" si="576"/>
        <v>52432.225337665237</v>
      </c>
      <c r="AI1357">
        <v>0</v>
      </c>
      <c r="AJ1357">
        <v>0</v>
      </c>
      <c r="AK1357">
        <f t="shared" si="577"/>
        <v>0</v>
      </c>
      <c r="AL1357">
        <f t="shared" si="586"/>
        <v>0</v>
      </c>
      <c r="AM1357">
        <f t="shared" ca="1" si="578"/>
        <v>2.6560383008097266E-7</v>
      </c>
      <c r="AN1357" t="str">
        <f t="shared" ca="1" si="579"/>
        <v>Subcritical</v>
      </c>
      <c r="AO1357">
        <f t="shared" ca="1" si="580"/>
        <v>2.2562304480281055E-12</v>
      </c>
    </row>
    <row r="1358" spans="1:41" x14ac:dyDescent="0.35">
      <c r="A1358">
        <v>1209</v>
      </c>
      <c r="B1358">
        <v>1207.8889999999999</v>
      </c>
      <c r="C1358">
        <v>616072.37600000005</v>
      </c>
      <c r="D1358">
        <v>3096796.2349999999</v>
      </c>
      <c r="E1358">
        <v>631.95799999999997</v>
      </c>
      <c r="F1358">
        <v>5.2</v>
      </c>
      <c r="G1358">
        <v>0</v>
      </c>
      <c r="H1358" t="s">
        <v>186</v>
      </c>
      <c r="I1358">
        <v>2E-3</v>
      </c>
      <c r="J1358">
        <f t="shared" si="581"/>
        <v>1</v>
      </c>
      <c r="K1358">
        <f t="shared" si="582"/>
        <v>51</v>
      </c>
      <c r="L1358">
        <f t="shared" ca="1" si="583"/>
        <v>51797.843837663619</v>
      </c>
      <c r="M1358">
        <f t="shared" ca="1" si="560"/>
        <v>269348.78795585083</v>
      </c>
      <c r="N1358">
        <f t="shared" ca="1" si="561"/>
        <v>2.5998694991876676</v>
      </c>
      <c r="O1358">
        <f t="shared" ca="1" si="562"/>
        <v>1.8934557080078435E-4</v>
      </c>
      <c r="P1358">
        <f t="shared" ca="1" si="563"/>
        <v>52429.801837663617</v>
      </c>
      <c r="Q1358">
        <f t="shared" ca="1" si="564"/>
        <v>52429.801837665444</v>
      </c>
      <c r="R1358">
        <f t="shared" ca="1" si="565"/>
        <v>2.2564415439646509E-12</v>
      </c>
      <c r="S1358">
        <f t="shared" ca="1" si="584"/>
        <v>5.0000000192085281E-4</v>
      </c>
      <c r="T1358">
        <f t="shared" ca="1" si="585"/>
        <v>1</v>
      </c>
      <c r="U1358">
        <f t="shared" ca="1" si="566"/>
        <v>51800.26683766341</v>
      </c>
      <c r="V1358">
        <f t="shared" ca="1" si="567"/>
        <v>269361.38755584974</v>
      </c>
      <c r="W1358">
        <f t="shared" ca="1" si="568"/>
        <v>2.5998695052916441</v>
      </c>
      <c r="X1358">
        <f t="shared" ca="1" si="569"/>
        <v>1.8933671400629237E-4</v>
      </c>
      <c r="Y1358">
        <f t="shared" ca="1" si="570"/>
        <v>52432.224837663409</v>
      </c>
      <c r="Z1358">
        <f t="shared" ca="1" si="571"/>
        <v>52432.224837665235</v>
      </c>
      <c r="AA1358">
        <f t="shared" ca="1" si="572"/>
        <v>2.2562304480281055E-12</v>
      </c>
      <c r="AB1358">
        <f t="shared" ca="1" si="573"/>
        <v>-5.0000000192085281E-4</v>
      </c>
      <c r="AC1358">
        <f t="shared" ca="1" si="574"/>
        <v>1</v>
      </c>
      <c r="AD1358">
        <f ca="1">IF(V32="Supercritical",L1358,IF(V32="Subcritical",U1358,IF(AND(T1358=1,AC1358=1),IF((((F1358)*(L1358)^2)/2+(G1358)*(L1358)^3/3+(ABS(K1358)^2)/($I$5*MAX(((F1358)+(G1358)*(L1358))*(L1358),0.000001)))&gt;=(((F1358)*(U1358)^2)/2+(G1358)*(U1358)^3/3+(ABS(K1358)^2)/($I$5*MAX(((F1358)+(G1358)*(U1358))*(U1358),0.000001))),L1358,U1358),IF(T1358=1,L1358,IF(AC1358=1,U1358,MAX($D$16,POWER((ABS(K1358)^2)/($I$5*MAX(F1358,0.1)^2),1/3)))))))</f>
        <v>51800.26683766341</v>
      </c>
      <c r="AE1358">
        <f t="shared" ca="1" si="575"/>
        <v>52432.224837663409</v>
      </c>
      <c r="AF1358">
        <f t="shared" ca="1" si="576"/>
        <v>52432.224837665235</v>
      </c>
      <c r="AI1358">
        <v>0</v>
      </c>
      <c r="AJ1358">
        <v>0</v>
      </c>
      <c r="AK1358">
        <f t="shared" si="577"/>
        <v>0</v>
      </c>
      <c r="AL1358">
        <f t="shared" si="586"/>
        <v>0</v>
      </c>
      <c r="AM1358">
        <f t="shared" ca="1" si="578"/>
        <v>2.6560383008097266E-7</v>
      </c>
      <c r="AN1358" t="str">
        <f t="shared" ca="1" si="579"/>
        <v>Subcritical</v>
      </c>
      <c r="AO1358">
        <f t="shared" ca="1" si="580"/>
        <v>2.2562304480281055E-12</v>
      </c>
    </row>
    <row r="1359" spans="1:41" x14ac:dyDescent="0.35">
      <c r="A1359">
        <v>1210</v>
      </c>
      <c r="B1359">
        <v>1208.8900000000001</v>
      </c>
      <c r="C1359">
        <v>616072.33400000003</v>
      </c>
      <c r="D1359">
        <v>3096795.2349999999</v>
      </c>
      <c r="E1359">
        <v>631.95749999999998</v>
      </c>
      <c r="F1359">
        <v>5.2</v>
      </c>
      <c r="G1359">
        <v>0</v>
      </c>
      <c r="H1359" t="s">
        <v>186</v>
      </c>
      <c r="I1359">
        <v>2E-3</v>
      </c>
      <c r="J1359">
        <f t="shared" si="581"/>
        <v>1.0010000000002037</v>
      </c>
      <c r="K1359">
        <f t="shared" si="582"/>
        <v>51</v>
      </c>
      <c r="L1359">
        <f t="shared" ca="1" si="583"/>
        <v>51797.843837663619</v>
      </c>
      <c r="M1359">
        <f t="shared" ca="1" si="560"/>
        <v>269348.78795585083</v>
      </c>
      <c r="N1359">
        <f t="shared" ca="1" si="561"/>
        <v>2.5998694991876676</v>
      </c>
      <c r="O1359">
        <f t="shared" ca="1" si="562"/>
        <v>1.8934557080078435E-4</v>
      </c>
      <c r="P1359">
        <f t="shared" ca="1" si="563"/>
        <v>52429.801337663615</v>
      </c>
      <c r="Q1359">
        <f t="shared" ca="1" si="564"/>
        <v>52429.801337665442</v>
      </c>
      <c r="R1359">
        <f t="shared" ca="1" si="565"/>
        <v>2.2564415439646509E-12</v>
      </c>
      <c r="S1359">
        <f t="shared" ca="1" si="584"/>
        <v>5.0000000192085281E-4</v>
      </c>
      <c r="T1359">
        <f t="shared" ca="1" si="585"/>
        <v>1</v>
      </c>
      <c r="U1359">
        <f t="shared" ca="1" si="566"/>
        <v>51800.26683766341</v>
      </c>
      <c r="V1359">
        <f t="shared" ca="1" si="567"/>
        <v>269361.38755584974</v>
      </c>
      <c r="W1359">
        <f t="shared" ca="1" si="568"/>
        <v>2.5998695052916441</v>
      </c>
      <c r="X1359">
        <f t="shared" ca="1" si="569"/>
        <v>1.8933671400629237E-4</v>
      </c>
      <c r="Y1359">
        <f t="shared" ca="1" si="570"/>
        <v>52432.224337663407</v>
      </c>
      <c r="Z1359">
        <f t="shared" ca="1" si="571"/>
        <v>52432.224337665233</v>
      </c>
      <c r="AA1359">
        <f t="shared" ca="1" si="572"/>
        <v>2.2562304480281055E-12</v>
      </c>
      <c r="AB1359">
        <f t="shared" ca="1" si="573"/>
        <v>-4.999999946448952E-4</v>
      </c>
      <c r="AC1359">
        <f t="shared" ca="1" si="574"/>
        <v>1</v>
      </c>
      <c r="AD1359">
        <f ca="1">IF(V32="Supercritical",L1359,IF(V32="Subcritical",U1359,IF(AND(T1359=1,AC1359=1),IF((((F1359)*(L1359)^2)/2+(G1359)*(L1359)^3/3+(ABS(K1359)^2)/($I$5*MAX(((F1359)+(G1359)*(L1359))*(L1359),0.000001)))&gt;=(((F1359)*(U1359)^2)/2+(G1359)*(U1359)^3/3+(ABS(K1359)^2)/($I$5*MAX(((F1359)+(G1359)*(U1359))*(U1359),0.000001))),L1359,U1359),IF(T1359=1,L1359,IF(AC1359=1,U1359,MAX($D$16,POWER((ABS(K1359)^2)/($I$5*MAX(F1359,0.1)^2),1/3)))))))</f>
        <v>51800.26683766341</v>
      </c>
      <c r="AE1359">
        <f t="shared" ca="1" si="575"/>
        <v>52432.224337663407</v>
      </c>
      <c r="AF1359">
        <f t="shared" ca="1" si="576"/>
        <v>52432.224337665233</v>
      </c>
      <c r="AI1359">
        <v>0</v>
      </c>
      <c r="AJ1359">
        <v>0</v>
      </c>
      <c r="AK1359">
        <f t="shared" si="577"/>
        <v>0</v>
      </c>
      <c r="AL1359">
        <f t="shared" si="586"/>
        <v>0</v>
      </c>
      <c r="AM1359">
        <f t="shared" ca="1" si="578"/>
        <v>2.6560383008097266E-7</v>
      </c>
      <c r="AN1359" t="str">
        <f t="shared" ca="1" si="579"/>
        <v>Subcritical</v>
      </c>
      <c r="AO1359">
        <f t="shared" ca="1" si="580"/>
        <v>2.2562304480281055E-12</v>
      </c>
    </row>
    <row r="1360" spans="1:41" x14ac:dyDescent="0.35">
      <c r="A1360">
        <v>1211</v>
      </c>
      <c r="B1360">
        <v>1209.8900000000001</v>
      </c>
      <c r="C1360">
        <v>616072.29200000002</v>
      </c>
      <c r="D1360">
        <v>3096794.236</v>
      </c>
      <c r="E1360">
        <v>631.95699999999999</v>
      </c>
      <c r="F1360">
        <v>5.2</v>
      </c>
      <c r="G1360">
        <v>0</v>
      </c>
      <c r="H1360" t="s">
        <v>186</v>
      </c>
      <c r="I1360">
        <v>5.7000000000000002E-2</v>
      </c>
      <c r="J1360">
        <f t="shared" si="581"/>
        <v>1</v>
      </c>
      <c r="K1360">
        <f t="shared" si="582"/>
        <v>51</v>
      </c>
      <c r="L1360">
        <f t="shared" ca="1" si="583"/>
        <v>51797.843837663619</v>
      </c>
      <c r="M1360">
        <f t="shared" ca="1" si="560"/>
        <v>269348.78795585083</v>
      </c>
      <c r="N1360">
        <f t="shared" ca="1" si="561"/>
        <v>2.5998694991876676</v>
      </c>
      <c r="O1360">
        <f t="shared" ca="1" si="562"/>
        <v>1.8934557080078435E-4</v>
      </c>
      <c r="P1360">
        <f t="shared" ca="1" si="563"/>
        <v>52429.800837663621</v>
      </c>
      <c r="Q1360">
        <f t="shared" ca="1" si="564"/>
        <v>52429.800837665447</v>
      </c>
      <c r="R1360">
        <f t="shared" ca="1" si="565"/>
        <v>2.2564415439646509E-12</v>
      </c>
      <c r="S1360">
        <f t="shared" ca="1" si="584"/>
        <v>4.999999946448952E-4</v>
      </c>
      <c r="T1360">
        <f t="shared" ca="1" si="585"/>
        <v>1</v>
      </c>
      <c r="U1360">
        <f t="shared" ca="1" si="566"/>
        <v>51800.26683766341</v>
      </c>
      <c r="V1360">
        <f t="shared" ca="1" si="567"/>
        <v>269361.38755584974</v>
      </c>
      <c r="W1360">
        <f t="shared" ca="1" si="568"/>
        <v>2.5998695052916441</v>
      </c>
      <c r="X1360">
        <f t="shared" ca="1" si="569"/>
        <v>1.8933671400629237E-4</v>
      </c>
      <c r="Y1360">
        <f t="shared" ca="1" si="570"/>
        <v>52432.223837663412</v>
      </c>
      <c r="Z1360">
        <f t="shared" ca="1" si="571"/>
        <v>52432.223837665239</v>
      </c>
      <c r="AA1360">
        <f t="shared" ca="1" si="572"/>
        <v>2.2562304480281055E-12</v>
      </c>
      <c r="AB1360">
        <f t="shared" ca="1" si="573"/>
        <v>-5.0000000192085281E-4</v>
      </c>
      <c r="AC1360">
        <f t="shared" ca="1" si="574"/>
        <v>1</v>
      </c>
      <c r="AD1360">
        <f ca="1">IF(V32="Supercritical",L1360,IF(V32="Subcritical",U1360,IF(AND(T1360=1,AC1360=1),IF((((F1360)*(L1360)^2)/2+(G1360)*(L1360)^3/3+(ABS(K1360)^2)/($I$5*MAX(((F1360)+(G1360)*(L1360))*(L1360),0.000001)))&gt;=(((F1360)*(U1360)^2)/2+(G1360)*(U1360)^3/3+(ABS(K1360)^2)/($I$5*MAX(((F1360)+(G1360)*(U1360))*(U1360),0.000001))),L1360,U1360),IF(T1360=1,L1360,IF(AC1360=1,U1360,MAX($D$16,POWER((ABS(K1360)^2)/($I$5*MAX(F1360,0.1)^2),1/3)))))))</f>
        <v>51800.26683766341</v>
      </c>
      <c r="AE1360">
        <f t="shared" ca="1" si="575"/>
        <v>52432.223837663412</v>
      </c>
      <c r="AF1360">
        <f t="shared" ca="1" si="576"/>
        <v>52432.223837665239</v>
      </c>
      <c r="AI1360">
        <v>0</v>
      </c>
      <c r="AJ1360">
        <v>0</v>
      </c>
      <c r="AK1360">
        <f t="shared" si="577"/>
        <v>0</v>
      </c>
      <c r="AL1360">
        <f t="shared" si="586"/>
        <v>0</v>
      </c>
      <c r="AM1360">
        <f t="shared" ca="1" si="578"/>
        <v>2.6560383008097266E-7</v>
      </c>
      <c r="AN1360" t="str">
        <f t="shared" ca="1" si="579"/>
        <v>Subcritical</v>
      </c>
      <c r="AO1360">
        <f t="shared" ca="1" si="580"/>
        <v>2.2562304480281055E-12</v>
      </c>
    </row>
    <row r="1361" spans="1:41" x14ac:dyDescent="0.35">
      <c r="A1361">
        <v>1212</v>
      </c>
      <c r="B1361">
        <v>1210.8900000000001</v>
      </c>
      <c r="C1361">
        <v>616072.24899999995</v>
      </c>
      <c r="D1361">
        <v>3096793.2370000002</v>
      </c>
      <c r="E1361">
        <v>631.95650000000001</v>
      </c>
      <c r="F1361">
        <v>5.2</v>
      </c>
      <c r="G1361">
        <v>0</v>
      </c>
      <c r="H1361" t="s">
        <v>186</v>
      </c>
      <c r="I1361">
        <v>5.7000000000000002E-2</v>
      </c>
      <c r="J1361">
        <f t="shared" si="581"/>
        <v>1</v>
      </c>
      <c r="K1361">
        <f t="shared" si="582"/>
        <v>51</v>
      </c>
      <c r="L1361">
        <f t="shared" ca="1" si="583"/>
        <v>51797.843837663619</v>
      </c>
      <c r="M1361">
        <f t="shared" ca="1" si="560"/>
        <v>269348.78795585083</v>
      </c>
      <c r="N1361">
        <f t="shared" ca="1" si="561"/>
        <v>2.5998694991876676</v>
      </c>
      <c r="O1361">
        <f t="shared" ca="1" si="562"/>
        <v>1.8934557080078435E-4</v>
      </c>
      <c r="P1361">
        <f t="shared" ca="1" si="563"/>
        <v>52429.800337663619</v>
      </c>
      <c r="Q1361">
        <f t="shared" ca="1" si="564"/>
        <v>52429.800337665445</v>
      </c>
      <c r="R1361">
        <f t="shared" ca="1" si="565"/>
        <v>2.2564415439646509E-12</v>
      </c>
      <c r="S1361">
        <f t="shared" ca="1" si="584"/>
        <v>5.0000000192085281E-4</v>
      </c>
      <c r="T1361">
        <f t="shared" ca="1" si="585"/>
        <v>1</v>
      </c>
      <c r="U1361">
        <f t="shared" ca="1" si="566"/>
        <v>51800.26683766341</v>
      </c>
      <c r="V1361">
        <f t="shared" ca="1" si="567"/>
        <v>269361.38755584974</v>
      </c>
      <c r="W1361">
        <f t="shared" ca="1" si="568"/>
        <v>2.5998695052916441</v>
      </c>
      <c r="X1361">
        <f t="shared" ca="1" si="569"/>
        <v>1.8933671400629237E-4</v>
      </c>
      <c r="Y1361">
        <f t="shared" ca="1" si="570"/>
        <v>52432.22333766341</v>
      </c>
      <c r="Z1361">
        <f t="shared" ca="1" si="571"/>
        <v>52432.223337665237</v>
      </c>
      <c r="AA1361">
        <f t="shared" ca="1" si="572"/>
        <v>2.2562304480281055E-12</v>
      </c>
      <c r="AB1361">
        <f t="shared" ca="1" si="573"/>
        <v>-5.0000000192085281E-4</v>
      </c>
      <c r="AC1361">
        <f t="shared" ca="1" si="574"/>
        <v>1</v>
      </c>
      <c r="AD1361">
        <f ca="1">IF(V32="Supercritical",L1361,IF(V32="Subcritical",U1361,IF(AND(T1361=1,AC1361=1),IF((((F1361)*(L1361)^2)/2+(G1361)*(L1361)^3/3+(ABS(K1361)^2)/($I$5*MAX(((F1361)+(G1361)*(L1361))*(L1361),0.000001)))&gt;=(((F1361)*(U1361)^2)/2+(G1361)*(U1361)^3/3+(ABS(K1361)^2)/($I$5*MAX(((F1361)+(G1361)*(U1361))*(U1361),0.000001))),L1361,U1361),IF(T1361=1,L1361,IF(AC1361=1,U1361,MAX($D$16,POWER((ABS(K1361)^2)/($I$5*MAX(F1361,0.1)^2),1/3)))))))</f>
        <v>51800.26683766341</v>
      </c>
      <c r="AE1361">
        <f t="shared" ca="1" si="575"/>
        <v>52432.22333766341</v>
      </c>
      <c r="AF1361">
        <f t="shared" ca="1" si="576"/>
        <v>52432.223337665237</v>
      </c>
      <c r="AI1361">
        <v>0</v>
      </c>
      <c r="AJ1361">
        <v>0</v>
      </c>
      <c r="AK1361">
        <f t="shared" si="577"/>
        <v>0</v>
      </c>
      <c r="AL1361">
        <f t="shared" si="586"/>
        <v>0</v>
      </c>
      <c r="AM1361">
        <f t="shared" ca="1" si="578"/>
        <v>2.6560383008097266E-7</v>
      </c>
      <c r="AN1361" t="str">
        <f t="shared" ca="1" si="579"/>
        <v>Subcritical</v>
      </c>
      <c r="AO1361">
        <f t="shared" ca="1" si="580"/>
        <v>2.2562304480281055E-12</v>
      </c>
    </row>
    <row r="1362" spans="1:41" x14ac:dyDescent="0.35">
      <c r="A1362">
        <v>1213</v>
      </c>
      <c r="B1362">
        <v>1211.8889999999999</v>
      </c>
      <c r="C1362">
        <v>616072.20700000005</v>
      </c>
      <c r="D1362">
        <v>3096792.2379999999</v>
      </c>
      <c r="E1362">
        <v>631.95600000000002</v>
      </c>
      <c r="F1362">
        <v>5.2</v>
      </c>
      <c r="G1362">
        <v>0</v>
      </c>
      <c r="H1362" t="s">
        <v>186</v>
      </c>
      <c r="I1362">
        <v>0</v>
      </c>
      <c r="J1362">
        <f t="shared" si="581"/>
        <v>0.99899999999979627</v>
      </c>
      <c r="K1362">
        <f t="shared" si="582"/>
        <v>51</v>
      </c>
      <c r="L1362">
        <f t="shared" ca="1" si="583"/>
        <v>51797.843837663619</v>
      </c>
      <c r="M1362">
        <f t="shared" ca="1" si="560"/>
        <v>269348.78795585083</v>
      </c>
      <c r="N1362">
        <f t="shared" ca="1" si="561"/>
        <v>2.5998694991876676</v>
      </c>
      <c r="O1362">
        <f t="shared" ca="1" si="562"/>
        <v>1.8934557080078435E-4</v>
      </c>
      <c r="P1362">
        <f t="shared" ca="1" si="563"/>
        <v>52429.799837663617</v>
      </c>
      <c r="Q1362">
        <f t="shared" ca="1" si="564"/>
        <v>52429.799837665443</v>
      </c>
      <c r="R1362">
        <f t="shared" ca="1" si="565"/>
        <v>2.2564415439646509E-12</v>
      </c>
      <c r="S1362">
        <f t="shared" ca="1" si="584"/>
        <v>5.0000000192085281E-4</v>
      </c>
      <c r="T1362">
        <f t="shared" ca="1" si="585"/>
        <v>1</v>
      </c>
      <c r="U1362">
        <f t="shared" ca="1" si="566"/>
        <v>51800.26683766341</v>
      </c>
      <c r="V1362">
        <f t="shared" ca="1" si="567"/>
        <v>269361.38755584974</v>
      </c>
      <c r="W1362">
        <f t="shared" ca="1" si="568"/>
        <v>2.5998695052916441</v>
      </c>
      <c r="X1362">
        <f t="shared" ca="1" si="569"/>
        <v>1.8933671400629237E-4</v>
      </c>
      <c r="Y1362">
        <f t="shared" ca="1" si="570"/>
        <v>52432.222837663408</v>
      </c>
      <c r="Z1362">
        <f t="shared" ca="1" si="571"/>
        <v>52432.222837665235</v>
      </c>
      <c r="AA1362">
        <f t="shared" ca="1" si="572"/>
        <v>2.2562304480281055E-12</v>
      </c>
      <c r="AB1362">
        <f t="shared" ca="1" si="573"/>
        <v>-5.0000000192085281E-4</v>
      </c>
      <c r="AC1362">
        <f t="shared" ca="1" si="574"/>
        <v>1</v>
      </c>
      <c r="AD1362">
        <f ca="1">IF(V32="Supercritical",L1362,IF(V32="Subcritical",U1362,IF(AND(T1362=1,AC1362=1),IF((((F1362)*(L1362)^2)/2+(G1362)*(L1362)^3/3+(ABS(K1362)^2)/($I$5*MAX(((F1362)+(G1362)*(L1362))*(L1362),0.000001)))&gt;=(((F1362)*(U1362)^2)/2+(G1362)*(U1362)^3/3+(ABS(K1362)^2)/($I$5*MAX(((F1362)+(G1362)*(U1362))*(U1362),0.000001))),L1362,U1362),IF(T1362=1,L1362,IF(AC1362=1,U1362,MAX($D$16,POWER((ABS(K1362)^2)/($I$5*MAX(F1362,0.1)^2),1/3)))))))</f>
        <v>51800.26683766341</v>
      </c>
      <c r="AE1362">
        <f t="shared" ca="1" si="575"/>
        <v>52432.222837663408</v>
      </c>
      <c r="AF1362">
        <f t="shared" ca="1" si="576"/>
        <v>52432.222837665235</v>
      </c>
      <c r="AI1362">
        <v>0</v>
      </c>
      <c r="AJ1362">
        <v>0</v>
      </c>
      <c r="AK1362">
        <f t="shared" si="577"/>
        <v>0</v>
      </c>
      <c r="AL1362">
        <f t="shared" si="586"/>
        <v>0</v>
      </c>
      <c r="AM1362">
        <f t="shared" ca="1" si="578"/>
        <v>2.6560383008097266E-7</v>
      </c>
      <c r="AN1362" t="str">
        <f t="shared" ca="1" si="579"/>
        <v>Subcritical</v>
      </c>
      <c r="AO1362">
        <f t="shared" ca="1" si="580"/>
        <v>2.2562304480281055E-12</v>
      </c>
    </row>
    <row r="1363" spans="1:41" x14ac:dyDescent="0.35">
      <c r="A1363">
        <v>1214</v>
      </c>
      <c r="B1363">
        <v>1212.8889999999999</v>
      </c>
      <c r="C1363">
        <v>616072.16500000004</v>
      </c>
      <c r="D1363">
        <v>3096791.2390000001</v>
      </c>
      <c r="E1363">
        <v>631.95550000000003</v>
      </c>
      <c r="F1363">
        <v>5.2</v>
      </c>
      <c r="G1363">
        <v>0</v>
      </c>
      <c r="H1363" t="s">
        <v>186</v>
      </c>
      <c r="I1363">
        <v>0</v>
      </c>
      <c r="J1363">
        <f t="shared" si="581"/>
        <v>1</v>
      </c>
      <c r="K1363">
        <f t="shared" si="582"/>
        <v>51</v>
      </c>
      <c r="L1363">
        <f t="shared" ca="1" si="583"/>
        <v>51797.843837663619</v>
      </c>
      <c r="M1363">
        <f t="shared" ca="1" si="560"/>
        <v>269348.78795585083</v>
      </c>
      <c r="N1363">
        <f t="shared" ca="1" si="561"/>
        <v>2.5998694991876676</v>
      </c>
      <c r="O1363">
        <f t="shared" ca="1" si="562"/>
        <v>1.8934557080078435E-4</v>
      </c>
      <c r="P1363">
        <f t="shared" ca="1" si="563"/>
        <v>52429.799337663615</v>
      </c>
      <c r="Q1363">
        <f t="shared" ca="1" si="564"/>
        <v>52429.799337665441</v>
      </c>
      <c r="R1363">
        <f t="shared" ca="1" si="565"/>
        <v>2.2564415439646509E-12</v>
      </c>
      <c r="S1363">
        <f t="shared" ca="1" si="584"/>
        <v>5.0000000192085281E-4</v>
      </c>
      <c r="T1363">
        <f t="shared" ca="1" si="585"/>
        <v>1</v>
      </c>
      <c r="U1363">
        <f t="shared" ca="1" si="566"/>
        <v>51800.26683766341</v>
      </c>
      <c r="V1363">
        <f t="shared" ca="1" si="567"/>
        <v>269361.38755584974</v>
      </c>
      <c r="W1363">
        <f t="shared" ca="1" si="568"/>
        <v>2.5998695052916441</v>
      </c>
      <c r="X1363">
        <f t="shared" ca="1" si="569"/>
        <v>1.8933671400629237E-4</v>
      </c>
      <c r="Y1363">
        <f t="shared" ca="1" si="570"/>
        <v>52432.222337663407</v>
      </c>
      <c r="Z1363">
        <f t="shared" ca="1" si="571"/>
        <v>52432.222337665233</v>
      </c>
      <c r="AA1363">
        <f t="shared" ca="1" si="572"/>
        <v>2.2562304480281055E-12</v>
      </c>
      <c r="AB1363">
        <f t="shared" ca="1" si="573"/>
        <v>-4.999999946448952E-4</v>
      </c>
      <c r="AC1363">
        <f t="shared" ca="1" si="574"/>
        <v>1</v>
      </c>
      <c r="AD1363">
        <f ca="1">IF(V32="Supercritical",L1363,IF(V32="Subcritical",U1363,IF(AND(T1363=1,AC1363=1),IF((((F1363)*(L1363)^2)/2+(G1363)*(L1363)^3/3+(ABS(K1363)^2)/($I$5*MAX(((F1363)+(G1363)*(L1363))*(L1363),0.000001)))&gt;=(((F1363)*(U1363)^2)/2+(G1363)*(U1363)^3/3+(ABS(K1363)^2)/($I$5*MAX(((F1363)+(G1363)*(U1363))*(U1363),0.000001))),L1363,U1363),IF(T1363=1,L1363,IF(AC1363=1,U1363,MAX($D$16,POWER((ABS(K1363)^2)/($I$5*MAX(F1363,0.1)^2),1/3)))))))</f>
        <v>51800.26683766341</v>
      </c>
      <c r="AE1363">
        <f t="shared" ca="1" si="575"/>
        <v>52432.222337663407</v>
      </c>
      <c r="AF1363">
        <f t="shared" ca="1" si="576"/>
        <v>52432.222337665233</v>
      </c>
      <c r="AI1363">
        <v>0</v>
      </c>
      <c r="AJ1363">
        <v>0</v>
      </c>
      <c r="AK1363">
        <f t="shared" si="577"/>
        <v>0</v>
      </c>
      <c r="AL1363">
        <f t="shared" si="586"/>
        <v>0</v>
      </c>
      <c r="AM1363">
        <f t="shared" ca="1" si="578"/>
        <v>2.6560383008097266E-7</v>
      </c>
      <c r="AN1363" t="str">
        <f t="shared" ca="1" si="579"/>
        <v>Subcritical</v>
      </c>
      <c r="AO1363">
        <f t="shared" ca="1" si="580"/>
        <v>2.2562304480281055E-12</v>
      </c>
    </row>
    <row r="1364" spans="1:41" x14ac:dyDescent="0.35">
      <c r="A1364">
        <v>1215</v>
      </c>
      <c r="B1364">
        <v>1213.8889999999999</v>
      </c>
      <c r="C1364">
        <v>616072.12300000002</v>
      </c>
      <c r="D1364">
        <v>3096790.24</v>
      </c>
      <c r="E1364">
        <v>631.95500000000004</v>
      </c>
      <c r="F1364">
        <v>5.2</v>
      </c>
      <c r="G1364">
        <v>0</v>
      </c>
      <c r="H1364" t="s">
        <v>186</v>
      </c>
      <c r="I1364">
        <v>5.7000000000000002E-2</v>
      </c>
      <c r="J1364">
        <f t="shared" si="581"/>
        <v>1</v>
      </c>
      <c r="K1364">
        <f t="shared" si="582"/>
        <v>51</v>
      </c>
      <c r="L1364">
        <f t="shared" ca="1" si="583"/>
        <v>51797.843837663619</v>
      </c>
      <c r="M1364">
        <f t="shared" ca="1" si="560"/>
        <v>269348.78795585083</v>
      </c>
      <c r="N1364">
        <f t="shared" ca="1" si="561"/>
        <v>2.5998694991876676</v>
      </c>
      <c r="O1364">
        <f t="shared" ca="1" si="562"/>
        <v>1.8934557080078435E-4</v>
      </c>
      <c r="P1364">
        <f t="shared" ca="1" si="563"/>
        <v>52429.79883766362</v>
      </c>
      <c r="Q1364">
        <f t="shared" ca="1" si="564"/>
        <v>52429.798837665447</v>
      </c>
      <c r="R1364">
        <f t="shared" ca="1" si="565"/>
        <v>2.2564415439646509E-12</v>
      </c>
      <c r="S1364">
        <f t="shared" ca="1" si="584"/>
        <v>4.999999946448952E-4</v>
      </c>
      <c r="T1364">
        <f t="shared" ca="1" si="585"/>
        <v>1</v>
      </c>
      <c r="U1364">
        <f t="shared" ca="1" si="566"/>
        <v>51800.26683766341</v>
      </c>
      <c r="V1364">
        <f t="shared" ca="1" si="567"/>
        <v>269361.38755584974</v>
      </c>
      <c r="W1364">
        <f t="shared" ca="1" si="568"/>
        <v>2.5998695052916441</v>
      </c>
      <c r="X1364">
        <f t="shared" ca="1" si="569"/>
        <v>1.8933671400629237E-4</v>
      </c>
      <c r="Y1364">
        <f t="shared" ca="1" si="570"/>
        <v>52432.221837663412</v>
      </c>
      <c r="Z1364">
        <f t="shared" ca="1" si="571"/>
        <v>52432.221837665238</v>
      </c>
      <c r="AA1364">
        <f t="shared" ca="1" si="572"/>
        <v>2.2562304480281055E-12</v>
      </c>
      <c r="AB1364">
        <f t="shared" ca="1" si="573"/>
        <v>-5.0000000192085281E-4</v>
      </c>
      <c r="AC1364">
        <f t="shared" ca="1" si="574"/>
        <v>1</v>
      </c>
      <c r="AD1364">
        <f ca="1">IF(V32="Supercritical",L1364,IF(V32="Subcritical",U1364,IF(AND(T1364=1,AC1364=1),IF((((F1364)*(L1364)^2)/2+(G1364)*(L1364)^3/3+(ABS(K1364)^2)/($I$5*MAX(((F1364)+(G1364)*(L1364))*(L1364),0.000001)))&gt;=(((F1364)*(U1364)^2)/2+(G1364)*(U1364)^3/3+(ABS(K1364)^2)/($I$5*MAX(((F1364)+(G1364)*(U1364))*(U1364),0.000001))),L1364,U1364),IF(T1364=1,L1364,IF(AC1364=1,U1364,MAX($D$16,POWER((ABS(K1364)^2)/($I$5*MAX(F1364,0.1)^2),1/3)))))))</f>
        <v>51800.26683766341</v>
      </c>
      <c r="AE1364">
        <f t="shared" ca="1" si="575"/>
        <v>52432.221837663412</v>
      </c>
      <c r="AF1364">
        <f t="shared" ca="1" si="576"/>
        <v>52432.221837665238</v>
      </c>
      <c r="AI1364">
        <v>0</v>
      </c>
      <c r="AJ1364">
        <v>0</v>
      </c>
      <c r="AK1364">
        <f t="shared" si="577"/>
        <v>0</v>
      </c>
      <c r="AL1364">
        <f t="shared" si="586"/>
        <v>0</v>
      </c>
      <c r="AM1364">
        <f t="shared" ca="1" si="578"/>
        <v>2.6560383008097266E-7</v>
      </c>
      <c r="AN1364" t="str">
        <f t="shared" ca="1" si="579"/>
        <v>Subcritical</v>
      </c>
      <c r="AO1364">
        <f t="shared" ca="1" si="580"/>
        <v>2.2562304480281055E-12</v>
      </c>
    </row>
    <row r="1365" spans="1:41" x14ac:dyDescent="0.35">
      <c r="A1365">
        <v>1216</v>
      </c>
      <c r="B1365">
        <v>1214.8889999999999</v>
      </c>
      <c r="C1365">
        <v>616072.07999999996</v>
      </c>
      <c r="D1365">
        <v>3096789.2409999999</v>
      </c>
      <c r="E1365">
        <v>631.95450000000005</v>
      </c>
      <c r="F1365">
        <v>5.2</v>
      </c>
      <c r="G1365">
        <v>0</v>
      </c>
      <c r="H1365" t="s">
        <v>186</v>
      </c>
      <c r="I1365">
        <v>5.7000000000000002E-2</v>
      </c>
      <c r="J1365">
        <f t="shared" si="581"/>
        <v>1</v>
      </c>
      <c r="K1365">
        <f t="shared" si="582"/>
        <v>51</v>
      </c>
      <c r="L1365">
        <f t="shared" ca="1" si="583"/>
        <v>51797.843837663619</v>
      </c>
      <c r="M1365">
        <f t="shared" ca="1" si="560"/>
        <v>269348.78795585083</v>
      </c>
      <c r="N1365">
        <f t="shared" ca="1" si="561"/>
        <v>2.5998694991876676</v>
      </c>
      <c r="O1365">
        <f t="shared" ca="1" si="562"/>
        <v>1.8934557080078435E-4</v>
      </c>
      <c r="P1365">
        <f t="shared" ca="1" si="563"/>
        <v>52429.798337663618</v>
      </c>
      <c r="Q1365">
        <f t="shared" ca="1" si="564"/>
        <v>52429.798337665445</v>
      </c>
      <c r="R1365">
        <f t="shared" ca="1" si="565"/>
        <v>2.2564415439646509E-12</v>
      </c>
      <c r="S1365">
        <f t="shared" ca="1" si="584"/>
        <v>5.0000000192085281E-4</v>
      </c>
      <c r="T1365">
        <f t="shared" ca="1" si="585"/>
        <v>1</v>
      </c>
      <c r="U1365">
        <f t="shared" ca="1" si="566"/>
        <v>51800.26683766341</v>
      </c>
      <c r="V1365">
        <f t="shared" ca="1" si="567"/>
        <v>269361.38755584974</v>
      </c>
      <c r="W1365">
        <f t="shared" ca="1" si="568"/>
        <v>2.5998695052916441</v>
      </c>
      <c r="X1365">
        <f t="shared" ca="1" si="569"/>
        <v>1.8933671400629237E-4</v>
      </c>
      <c r="Y1365">
        <f t="shared" ca="1" si="570"/>
        <v>52432.22133766341</v>
      </c>
      <c r="Z1365">
        <f t="shared" ca="1" si="571"/>
        <v>52432.221337665236</v>
      </c>
      <c r="AA1365">
        <f t="shared" ca="1" si="572"/>
        <v>2.2562304480281055E-12</v>
      </c>
      <c r="AB1365">
        <f t="shared" ca="1" si="573"/>
        <v>-5.0000000192085281E-4</v>
      </c>
      <c r="AC1365">
        <f t="shared" ca="1" si="574"/>
        <v>1</v>
      </c>
      <c r="AD1365">
        <f ca="1">IF(V32="Supercritical",L1365,IF(V32="Subcritical",U1365,IF(AND(T1365=1,AC1365=1),IF((((F1365)*(L1365)^2)/2+(G1365)*(L1365)^3/3+(ABS(K1365)^2)/($I$5*MAX(((F1365)+(G1365)*(L1365))*(L1365),0.000001)))&gt;=(((F1365)*(U1365)^2)/2+(G1365)*(U1365)^3/3+(ABS(K1365)^2)/($I$5*MAX(((F1365)+(G1365)*(U1365))*(U1365),0.000001))),L1365,U1365),IF(T1365=1,L1365,IF(AC1365=1,U1365,MAX($D$16,POWER((ABS(K1365)^2)/($I$5*MAX(F1365,0.1)^2),1/3)))))))</f>
        <v>51800.26683766341</v>
      </c>
      <c r="AE1365">
        <f t="shared" ca="1" si="575"/>
        <v>52432.22133766341</v>
      </c>
      <c r="AF1365">
        <f t="shared" ca="1" si="576"/>
        <v>52432.221337665236</v>
      </c>
      <c r="AI1365">
        <v>0</v>
      </c>
      <c r="AJ1365">
        <v>0</v>
      </c>
      <c r="AK1365">
        <f t="shared" si="577"/>
        <v>0</v>
      </c>
      <c r="AL1365">
        <f t="shared" si="586"/>
        <v>0</v>
      </c>
      <c r="AM1365">
        <f t="shared" ca="1" si="578"/>
        <v>2.6560383008097266E-7</v>
      </c>
      <c r="AN1365" t="str">
        <f t="shared" ca="1" si="579"/>
        <v>Subcritical</v>
      </c>
      <c r="AO1365">
        <f t="shared" ca="1" si="580"/>
        <v>2.2562304480281055E-12</v>
      </c>
    </row>
    <row r="1366" spans="1:41" x14ac:dyDescent="0.35">
      <c r="A1366">
        <v>1217</v>
      </c>
      <c r="B1366">
        <v>1215.8889999999999</v>
      </c>
      <c r="C1366">
        <v>616072.03799999994</v>
      </c>
      <c r="D1366">
        <v>3096788.2420000001</v>
      </c>
      <c r="E1366">
        <v>631.95399999999995</v>
      </c>
      <c r="F1366">
        <v>5.2</v>
      </c>
      <c r="G1366">
        <v>0</v>
      </c>
      <c r="H1366" t="s">
        <v>186</v>
      </c>
      <c r="I1366">
        <v>0</v>
      </c>
      <c r="J1366">
        <f t="shared" si="581"/>
        <v>1</v>
      </c>
      <c r="K1366">
        <f t="shared" si="582"/>
        <v>51</v>
      </c>
      <c r="L1366">
        <f t="shared" ca="1" si="583"/>
        <v>51797.843837663619</v>
      </c>
      <c r="M1366">
        <f t="shared" ref="M1366:M1429" ca="1" si="587">((F1366)+(G1366)*(L1366))*(L1366)</f>
        <v>269348.78795585083</v>
      </c>
      <c r="N1366">
        <f t="shared" ref="N1366:N1429" ca="1" si="588">(((F1366)+(G1366)*(L1366))*(L1366))/MAX((F1366)+2*(L1366)*SQRT(1+(G1366)^2),0.000001)</f>
        <v>2.5998694991876676</v>
      </c>
      <c r="O1366">
        <f t="shared" ref="O1366:O1429" ca="1" si="589">ABS(K1366)/MAX(((F1366)+(G1366)*(L1366))*(L1366),0.000001)</f>
        <v>1.8934557080078435E-4</v>
      </c>
      <c r="P1366">
        <f t="shared" ref="P1366:P1429" ca="1" si="590">E1366+L1366</f>
        <v>52429.797837663617</v>
      </c>
      <c r="Q1366">
        <f t="shared" ref="Q1366:Q1429" ca="1" si="591">P1366+((ABS(K1366)/MAX(((F1366)+(G1366)*(L1366))*(L1366),0.000001))^2)/(2*$I$5)</f>
        <v>52429.797837665443</v>
      </c>
      <c r="R1366">
        <f t="shared" ref="R1366:R1429" ca="1" si="592">((ABS(K1366)*$D$6)/(MAX(((F1366)+(G1366)*(L1366))*(L1366),0.000001)*MAX(((((F1366)+(G1366)*(L1366))*(L1366))/MAX((F1366)+2*(L1366)*SQRT(1+(G1366)^2),0.000001))^(2/3),0.000001)))^2</f>
        <v>2.2564415439646509E-12</v>
      </c>
      <c r="S1366">
        <f t="shared" ca="1" si="584"/>
        <v>5.0000000192085281E-4</v>
      </c>
      <c r="T1366">
        <f t="shared" ca="1" si="585"/>
        <v>1</v>
      </c>
      <c r="U1366">
        <f t="shared" ref="U1366:U1429" ca="1" si="593">IF($D$20=0,U1367,IF(AC1367=0,U1367,IF(U1366=0,U1367,IF(ABS(AB1366)&gt;$D$19,MAX($D$16,U1366+((AB1366)*$D$18*IF((ABS(ABS(K1366)/MAX(((F1366)+(G1366)*(U1366))*(U1366),0.000001))/SQRT($I$5*MAX((((F1366)+(G1366)*(U1366))*(U1366))/MAX((F1366)+2*(G1366)*(U1366),0.000001),0.000001)))&lt;1,1,-1))),U1366))))</f>
        <v>51800.26683766341</v>
      </c>
      <c r="V1366">
        <f t="shared" ref="V1366:V1429" ca="1" si="594">((F1366)+(G1366)*(U1366))*(U1366)</f>
        <v>269361.38755584974</v>
      </c>
      <c r="W1366">
        <f t="shared" ref="W1366:W1429" ca="1" si="595">(((F1366)+(G1366)*(U1366))*(U1366))/MAX((F1366)+2*(U1366)*SQRT(1+(G1366)^2),0.000001)</f>
        <v>2.5998695052916441</v>
      </c>
      <c r="X1366">
        <f t="shared" ref="X1366:X1429" ca="1" si="596">ABS(K1366)/MAX(((F1366)+(G1366)*(U1366))*(U1366),0.000001)</f>
        <v>1.8933671400629237E-4</v>
      </c>
      <c r="Y1366">
        <f t="shared" ref="Y1366:Y1429" ca="1" si="597">E1366+U1366</f>
        <v>52432.220837663408</v>
      </c>
      <c r="Z1366">
        <f t="shared" ref="Z1366:Z1429" ca="1" si="598">Y1366+((ABS(K1366)/MAX(((F1366)+(G1366)*(U1366))*(U1366),0.000001))^2)/(2*$I$5)</f>
        <v>52432.220837665234</v>
      </c>
      <c r="AA1366">
        <f t="shared" ref="AA1366:AA1429" ca="1" si="599">((ABS(K1366)*$D$6)/(MAX(((F1366)+(G1366)*(U1366))*(U1366),0.000001)*MAX(((((F1366)+(G1366)*(U1366))*(U1366))/MAX((F1366)+2*(U1366)*SQRT(1+(G1366)^2),0.000001))^(2/3),0.000001)))^2</f>
        <v>2.2562304480281055E-12</v>
      </c>
      <c r="AB1366">
        <f t="shared" ref="AB1366:AB1429" ca="1" si="600">Z1367+(((AA1366+AA1367)/2)*J1367)+(IF(X1366&gt;X1367,$D$8*((X1366^2-X1367^2)/(2*$I$5)),$D$9*((X1367^2-X1366^2)/(2*$I$5)))+($D$10*(ABS(I1367)/90)*(MAX(X1366^2,X1367^2)/(2*$I$5))))-Z1366</f>
        <v>-4.999999946448952E-4</v>
      </c>
      <c r="AC1366">
        <f t="shared" ref="AC1366:AC1429" ca="1" si="601">IF(ABS(AB1366)&lt;$D$19,1,0)</f>
        <v>1</v>
      </c>
      <c r="AD1366">
        <f ca="1">IF(V32="Supercritical",L1366,IF(V32="Subcritical",U1366,IF(AND(T1366=1,AC1366=1),IF((((F1366)*(L1366)^2)/2+(G1366)*(L1366)^3/3+(ABS(K1366)^2)/($I$5*MAX(((F1366)+(G1366)*(L1366))*(L1366),0.000001)))&gt;=(((F1366)*(U1366)^2)/2+(G1366)*(U1366)^3/3+(ABS(K1366)^2)/($I$5*MAX(((F1366)+(G1366)*(U1366))*(U1366),0.000001))),L1366,U1366),IF(T1366=1,L1366,IF(AC1366=1,U1366,MAX($D$16,POWER((ABS(K1366)^2)/($I$5*MAX(F1366,0.1)^2),1/3)))))))</f>
        <v>51800.26683766341</v>
      </c>
      <c r="AE1366">
        <f t="shared" ref="AE1366:AE1429" ca="1" si="602">E1366+AD1366</f>
        <v>52432.220837663408</v>
      </c>
      <c r="AF1366">
        <f t="shared" ref="AF1366:AF1429" ca="1" si="603">AE1366+((ABS(K1366)/MAX(((F1366)+(G1366)*(AD1366))*(AD1366),0.000001))^2)/(2*$I$5)</f>
        <v>52432.220837665234</v>
      </c>
      <c r="AI1366">
        <v>0</v>
      </c>
      <c r="AJ1366">
        <v>0</v>
      </c>
      <c r="AK1366">
        <f t="shared" ref="AK1366:AK1429" si="604">AI1366+AJ1366</f>
        <v>0</v>
      </c>
      <c r="AL1366">
        <f t="shared" si="586"/>
        <v>0</v>
      </c>
      <c r="AM1366">
        <f t="shared" ref="AM1366:AM1429" ca="1" si="605">ABS(ABS(K1366)/MAX(((F1366)+(G1366)*(AD1366))*(AD1366),0.000001))/SQRT($I$5*MAX((((F1366)+(G1366)*(AD1366))*(AD1366))/MAX((F1366)+2*(G1366)*(AD1366),0.000001),0.000001))</f>
        <v>2.6560383008097266E-7</v>
      </c>
      <c r="AN1366" t="str">
        <f t="shared" ref="AN1366:AN1429" ca="1" si="606">IF(AM1366&lt;1,"Subcritical","Supercritical")</f>
        <v>Subcritical</v>
      </c>
      <c r="AO1366">
        <f t="shared" ref="AO1366:AO1429" ca="1" si="607">((ABS(K1366)*$D$6)/(MAX(((F1366)+(G1366)*(AD1366))*(AD1366),0.000001)*MAX(((((F1366)+(G1366)*(AD1366))*(AD1366))/MAX((F1366)+2*(AD1366)*SQRT(1+(G1366)^2),0.000001))^(2/3),0.000001)))^2</f>
        <v>2.2562304480281055E-12</v>
      </c>
    </row>
    <row r="1367" spans="1:41" x14ac:dyDescent="0.35">
      <c r="A1367">
        <v>1218</v>
      </c>
      <c r="B1367">
        <v>1216.8889999999999</v>
      </c>
      <c r="C1367">
        <v>616071.99600000004</v>
      </c>
      <c r="D1367">
        <v>3096787.2429999998</v>
      </c>
      <c r="E1367">
        <v>631.95349999999996</v>
      </c>
      <c r="F1367">
        <v>5.2</v>
      </c>
      <c r="G1367">
        <v>0</v>
      </c>
      <c r="H1367" t="s">
        <v>186</v>
      </c>
      <c r="I1367">
        <v>2E-3</v>
      </c>
      <c r="J1367">
        <f t="shared" ref="J1367:J1430" si="608">B1367-B1366</f>
        <v>1</v>
      </c>
      <c r="K1367">
        <f t="shared" ref="K1367:K1430" si="609">MAX(0,K1366-AK1366)</f>
        <v>51</v>
      </c>
      <c r="L1367">
        <f t="shared" ref="L1367:L1430" ca="1" si="610">IF($D$20=0,L1366,IF(T1366=0,L1366,IF(L1367=0,L1366,IF(ABS(S1367)&gt;$D$19,MAX($D$16,L1367+((S1367)*$D$18*IF((ABS(ABS(K1367)/MAX(((F1367)+(G1367)*(L1367))*(L1367),0.000001))/SQRT($I$5*MAX((((F1367)+(G1367)*(L1367))*(L1367))/MAX((F1367)+2*(G1367)*(L1367),0.000001),0.000001)))&lt;1,1,-1))),L1367))))</f>
        <v>51797.843837663619</v>
      </c>
      <c r="M1367">
        <f t="shared" ca="1" si="587"/>
        <v>269348.78795585083</v>
      </c>
      <c r="N1367">
        <f t="shared" ca="1" si="588"/>
        <v>2.5998694991876676</v>
      </c>
      <c r="O1367">
        <f t="shared" ca="1" si="589"/>
        <v>1.8934557080078435E-4</v>
      </c>
      <c r="P1367">
        <f t="shared" ca="1" si="590"/>
        <v>52429.797337663622</v>
      </c>
      <c r="Q1367">
        <f t="shared" ca="1" si="591"/>
        <v>52429.797337665448</v>
      </c>
      <c r="R1367">
        <f t="shared" ca="1" si="592"/>
        <v>2.2564415439646509E-12</v>
      </c>
      <c r="S1367">
        <f t="shared" ref="S1367:S1430" ca="1" si="611">Q1366-(((R1366+R1367)/2)*J1367)-(IF(O1366&gt;O1367,$D$8*((O1366^2-O1367^2)/(2*$I$5)),$D$9*((O1367^2-O1366^2)/(2*$I$5)))+($D$10*(ABS(I1367)/90)*(MAX(O1366^2,O1367^2)/(2*$I$5))))-Q1367</f>
        <v>4.999999946448952E-4</v>
      </c>
      <c r="T1367">
        <f t="shared" ref="T1367:T1430" ca="1" si="612">IF(ABS(S1367)&lt;$D$19,1,0)</f>
        <v>1</v>
      </c>
      <c r="U1367">
        <f t="shared" ca="1" si="593"/>
        <v>51800.26683766341</v>
      </c>
      <c r="V1367">
        <f t="shared" ca="1" si="594"/>
        <v>269361.38755584974</v>
      </c>
      <c r="W1367">
        <f t="shared" ca="1" si="595"/>
        <v>2.5998695052916441</v>
      </c>
      <c r="X1367">
        <f t="shared" ca="1" si="596"/>
        <v>1.8933671400629237E-4</v>
      </c>
      <c r="Y1367">
        <f t="shared" ca="1" si="597"/>
        <v>52432.220337663413</v>
      </c>
      <c r="Z1367">
        <f t="shared" ca="1" si="598"/>
        <v>52432.22033766524</v>
      </c>
      <c r="AA1367">
        <f t="shared" ca="1" si="599"/>
        <v>2.2562304480281055E-12</v>
      </c>
      <c r="AB1367">
        <f t="shared" ca="1" si="600"/>
        <v>-5.0000000192085281E-4</v>
      </c>
      <c r="AC1367">
        <f t="shared" ca="1" si="601"/>
        <v>1</v>
      </c>
      <c r="AD1367">
        <f ca="1">IF(V32="Supercritical",L1367,IF(V32="Subcritical",U1367,IF(AND(T1367=1,AC1367=1),IF((((F1367)*(L1367)^2)/2+(G1367)*(L1367)^3/3+(ABS(K1367)^2)/($I$5*MAX(((F1367)+(G1367)*(L1367))*(L1367),0.000001)))&gt;=(((F1367)*(U1367)^2)/2+(G1367)*(U1367)^3/3+(ABS(K1367)^2)/($I$5*MAX(((F1367)+(G1367)*(U1367))*(U1367),0.000001))),L1367,U1367),IF(T1367=1,L1367,IF(AC1367=1,U1367,MAX($D$16,POWER((ABS(K1367)^2)/($I$5*MAX(F1367,0.1)^2),1/3)))))))</f>
        <v>51800.26683766341</v>
      </c>
      <c r="AE1367">
        <f t="shared" ca="1" si="602"/>
        <v>52432.220337663413</v>
      </c>
      <c r="AF1367">
        <f t="shared" ca="1" si="603"/>
        <v>52432.22033766524</v>
      </c>
      <c r="AI1367">
        <v>0</v>
      </c>
      <c r="AJ1367">
        <v>0</v>
      </c>
      <c r="AK1367">
        <f t="shared" si="604"/>
        <v>0</v>
      </c>
      <c r="AL1367">
        <f t="shared" ref="AL1367:AL1430" si="613">AL1366+AK1367</f>
        <v>0</v>
      </c>
      <c r="AM1367">
        <f t="shared" ca="1" si="605"/>
        <v>2.6560383008097266E-7</v>
      </c>
      <c r="AN1367" t="str">
        <f t="shared" ca="1" si="606"/>
        <v>Subcritical</v>
      </c>
      <c r="AO1367">
        <f t="shared" ca="1" si="607"/>
        <v>2.2562304480281055E-12</v>
      </c>
    </row>
    <row r="1368" spans="1:41" x14ac:dyDescent="0.35">
      <c r="A1368">
        <v>1219</v>
      </c>
      <c r="B1368">
        <v>1217.8900000000001</v>
      </c>
      <c r="C1368">
        <v>616071.95400000003</v>
      </c>
      <c r="D1368">
        <v>3096786.2429999998</v>
      </c>
      <c r="E1368">
        <v>631.95299999999997</v>
      </c>
      <c r="F1368">
        <v>5.2</v>
      </c>
      <c r="G1368">
        <v>0</v>
      </c>
      <c r="H1368" t="s">
        <v>186</v>
      </c>
      <c r="I1368">
        <v>0.06</v>
      </c>
      <c r="J1368">
        <f t="shared" si="608"/>
        <v>1.0010000000002037</v>
      </c>
      <c r="K1368">
        <f t="shared" si="609"/>
        <v>51</v>
      </c>
      <c r="L1368">
        <f t="shared" ca="1" si="610"/>
        <v>51797.843837663619</v>
      </c>
      <c r="M1368">
        <f t="shared" ca="1" si="587"/>
        <v>269348.78795585083</v>
      </c>
      <c r="N1368">
        <f t="shared" ca="1" si="588"/>
        <v>2.5998694991876676</v>
      </c>
      <c r="O1368">
        <f t="shared" ca="1" si="589"/>
        <v>1.8934557080078435E-4</v>
      </c>
      <c r="P1368">
        <f t="shared" ca="1" si="590"/>
        <v>52429.79683766362</v>
      </c>
      <c r="Q1368">
        <f t="shared" ca="1" si="591"/>
        <v>52429.796837665446</v>
      </c>
      <c r="R1368">
        <f t="shared" ca="1" si="592"/>
        <v>2.2564415439646509E-12</v>
      </c>
      <c r="S1368">
        <f t="shared" ca="1" si="611"/>
        <v>5.0000000192085281E-4</v>
      </c>
      <c r="T1368">
        <f t="shared" ca="1" si="612"/>
        <v>1</v>
      </c>
      <c r="U1368">
        <f t="shared" ca="1" si="593"/>
        <v>51800.26683766341</v>
      </c>
      <c r="V1368">
        <f t="shared" ca="1" si="594"/>
        <v>269361.38755584974</v>
      </c>
      <c r="W1368">
        <f t="shared" ca="1" si="595"/>
        <v>2.5998695052916441</v>
      </c>
      <c r="X1368">
        <f t="shared" ca="1" si="596"/>
        <v>1.8933671400629237E-4</v>
      </c>
      <c r="Y1368">
        <f t="shared" ca="1" si="597"/>
        <v>52432.219837663411</v>
      </c>
      <c r="Z1368">
        <f t="shared" ca="1" si="598"/>
        <v>52432.219837665238</v>
      </c>
      <c r="AA1368">
        <f t="shared" ca="1" si="599"/>
        <v>2.2562304480281055E-12</v>
      </c>
      <c r="AB1368">
        <f t="shared" ca="1" si="600"/>
        <v>-5.0000000192085281E-4</v>
      </c>
      <c r="AC1368">
        <f t="shared" ca="1" si="601"/>
        <v>1</v>
      </c>
      <c r="AD1368">
        <f ca="1">IF(V32="Supercritical",L1368,IF(V32="Subcritical",U1368,IF(AND(T1368=1,AC1368=1),IF((((F1368)*(L1368)^2)/2+(G1368)*(L1368)^3/3+(ABS(K1368)^2)/($I$5*MAX(((F1368)+(G1368)*(L1368))*(L1368),0.000001)))&gt;=(((F1368)*(U1368)^2)/2+(G1368)*(U1368)^3/3+(ABS(K1368)^2)/($I$5*MAX(((F1368)+(G1368)*(U1368))*(U1368),0.000001))),L1368,U1368),IF(T1368=1,L1368,IF(AC1368=1,U1368,MAX($D$16,POWER((ABS(K1368)^2)/($I$5*MAX(F1368,0.1)^2),1/3)))))))</f>
        <v>51800.26683766341</v>
      </c>
      <c r="AE1368">
        <f t="shared" ca="1" si="602"/>
        <v>52432.219837663411</v>
      </c>
      <c r="AF1368">
        <f t="shared" ca="1" si="603"/>
        <v>52432.219837665238</v>
      </c>
      <c r="AI1368">
        <v>0</v>
      </c>
      <c r="AJ1368">
        <v>0</v>
      </c>
      <c r="AK1368">
        <f t="shared" si="604"/>
        <v>0</v>
      </c>
      <c r="AL1368">
        <f t="shared" si="613"/>
        <v>0</v>
      </c>
      <c r="AM1368">
        <f t="shared" ca="1" si="605"/>
        <v>2.6560383008097266E-7</v>
      </c>
      <c r="AN1368" t="str">
        <f t="shared" ca="1" si="606"/>
        <v>Subcritical</v>
      </c>
      <c r="AO1368">
        <f t="shared" ca="1" si="607"/>
        <v>2.2562304480281055E-12</v>
      </c>
    </row>
    <row r="1369" spans="1:41" x14ac:dyDescent="0.35">
      <c r="A1369">
        <v>1220</v>
      </c>
      <c r="B1369">
        <v>1218.8900000000001</v>
      </c>
      <c r="C1369">
        <v>616071.91099999996</v>
      </c>
      <c r="D1369">
        <v>3096785.2439999999</v>
      </c>
      <c r="E1369">
        <v>631.95249999999999</v>
      </c>
      <c r="F1369">
        <v>5.2</v>
      </c>
      <c r="G1369">
        <v>0</v>
      </c>
      <c r="H1369" t="s">
        <v>186</v>
      </c>
      <c r="I1369">
        <v>5.7000000000000002E-2</v>
      </c>
      <c r="J1369">
        <f t="shared" si="608"/>
        <v>1</v>
      </c>
      <c r="K1369">
        <f t="shared" si="609"/>
        <v>51</v>
      </c>
      <c r="L1369">
        <f t="shared" ca="1" si="610"/>
        <v>51797.843837663619</v>
      </c>
      <c r="M1369">
        <f t="shared" ca="1" si="587"/>
        <v>269348.78795585083</v>
      </c>
      <c r="N1369">
        <f t="shared" ca="1" si="588"/>
        <v>2.5998694991876676</v>
      </c>
      <c r="O1369">
        <f t="shared" ca="1" si="589"/>
        <v>1.8934557080078435E-4</v>
      </c>
      <c r="P1369">
        <f t="shared" ca="1" si="590"/>
        <v>52429.796337663618</v>
      </c>
      <c r="Q1369">
        <f t="shared" ca="1" si="591"/>
        <v>52429.796337665444</v>
      </c>
      <c r="R1369">
        <f t="shared" ca="1" si="592"/>
        <v>2.2564415439646509E-12</v>
      </c>
      <c r="S1369">
        <f t="shared" ca="1" si="611"/>
        <v>5.0000000192085281E-4</v>
      </c>
      <c r="T1369">
        <f t="shared" ca="1" si="612"/>
        <v>1</v>
      </c>
      <c r="U1369">
        <f t="shared" ca="1" si="593"/>
        <v>51800.26683766341</v>
      </c>
      <c r="V1369">
        <f t="shared" ca="1" si="594"/>
        <v>269361.38755584974</v>
      </c>
      <c r="W1369">
        <f t="shared" ca="1" si="595"/>
        <v>2.5998695052916441</v>
      </c>
      <c r="X1369">
        <f t="shared" ca="1" si="596"/>
        <v>1.8933671400629237E-4</v>
      </c>
      <c r="Y1369">
        <f t="shared" ca="1" si="597"/>
        <v>52432.21933766341</v>
      </c>
      <c r="Z1369">
        <f t="shared" ca="1" si="598"/>
        <v>52432.219337665236</v>
      </c>
      <c r="AA1369">
        <f t="shared" ca="1" si="599"/>
        <v>2.2562304480281055E-12</v>
      </c>
      <c r="AB1369">
        <f t="shared" ca="1" si="600"/>
        <v>-5.0000000192085281E-4</v>
      </c>
      <c r="AC1369">
        <f t="shared" ca="1" si="601"/>
        <v>1</v>
      </c>
      <c r="AD1369">
        <f ca="1">IF(V32="Supercritical",L1369,IF(V32="Subcritical",U1369,IF(AND(T1369=1,AC1369=1),IF((((F1369)*(L1369)^2)/2+(G1369)*(L1369)^3/3+(ABS(K1369)^2)/($I$5*MAX(((F1369)+(G1369)*(L1369))*(L1369),0.000001)))&gt;=(((F1369)*(U1369)^2)/2+(G1369)*(U1369)^3/3+(ABS(K1369)^2)/($I$5*MAX(((F1369)+(G1369)*(U1369))*(U1369),0.000001))),L1369,U1369),IF(T1369=1,L1369,IF(AC1369=1,U1369,MAX($D$16,POWER((ABS(K1369)^2)/($I$5*MAX(F1369,0.1)^2),1/3)))))))</f>
        <v>51800.26683766341</v>
      </c>
      <c r="AE1369">
        <f t="shared" ca="1" si="602"/>
        <v>52432.21933766341</v>
      </c>
      <c r="AF1369">
        <f t="shared" ca="1" si="603"/>
        <v>52432.219337665236</v>
      </c>
      <c r="AI1369">
        <v>0</v>
      </c>
      <c r="AJ1369">
        <v>0</v>
      </c>
      <c r="AK1369">
        <f t="shared" si="604"/>
        <v>0</v>
      </c>
      <c r="AL1369">
        <f t="shared" si="613"/>
        <v>0</v>
      </c>
      <c r="AM1369">
        <f t="shared" ca="1" si="605"/>
        <v>2.6560383008097266E-7</v>
      </c>
      <c r="AN1369" t="str">
        <f t="shared" ca="1" si="606"/>
        <v>Subcritical</v>
      </c>
      <c r="AO1369">
        <f t="shared" ca="1" si="607"/>
        <v>2.2562304480281055E-12</v>
      </c>
    </row>
    <row r="1370" spans="1:41" x14ac:dyDescent="0.35">
      <c r="A1370">
        <v>1221</v>
      </c>
      <c r="B1370">
        <v>1219.8900000000001</v>
      </c>
      <c r="C1370">
        <v>616071.86899999995</v>
      </c>
      <c r="D1370">
        <v>3096784.2450000001</v>
      </c>
      <c r="E1370">
        <v>631.952</v>
      </c>
      <c r="F1370">
        <v>5.2</v>
      </c>
      <c r="G1370">
        <v>0</v>
      </c>
      <c r="H1370" t="s">
        <v>186</v>
      </c>
      <c r="I1370">
        <v>0</v>
      </c>
      <c r="J1370">
        <f t="shared" si="608"/>
        <v>1</v>
      </c>
      <c r="K1370">
        <f t="shared" si="609"/>
        <v>51</v>
      </c>
      <c r="L1370">
        <f t="shared" ca="1" si="610"/>
        <v>51797.843837663619</v>
      </c>
      <c r="M1370">
        <f t="shared" ca="1" si="587"/>
        <v>269348.78795585083</v>
      </c>
      <c r="N1370">
        <f t="shared" ca="1" si="588"/>
        <v>2.5998694991876676</v>
      </c>
      <c r="O1370">
        <f t="shared" ca="1" si="589"/>
        <v>1.8934557080078435E-4</v>
      </c>
      <c r="P1370">
        <f t="shared" ca="1" si="590"/>
        <v>52429.795837663616</v>
      </c>
      <c r="Q1370">
        <f t="shared" ca="1" si="591"/>
        <v>52429.795837665442</v>
      </c>
      <c r="R1370">
        <f t="shared" ca="1" si="592"/>
        <v>2.2564415439646509E-12</v>
      </c>
      <c r="S1370">
        <f t="shared" ca="1" si="611"/>
        <v>5.0000000192085281E-4</v>
      </c>
      <c r="T1370">
        <f t="shared" ca="1" si="612"/>
        <v>1</v>
      </c>
      <c r="U1370">
        <f t="shared" ca="1" si="593"/>
        <v>51800.26683766341</v>
      </c>
      <c r="V1370">
        <f t="shared" ca="1" si="594"/>
        <v>269361.38755584974</v>
      </c>
      <c r="W1370">
        <f t="shared" ca="1" si="595"/>
        <v>2.5998695052916441</v>
      </c>
      <c r="X1370">
        <f t="shared" ca="1" si="596"/>
        <v>1.8933671400629237E-4</v>
      </c>
      <c r="Y1370">
        <f t="shared" ca="1" si="597"/>
        <v>52432.218837663408</v>
      </c>
      <c r="Z1370">
        <f t="shared" ca="1" si="598"/>
        <v>52432.218837665234</v>
      </c>
      <c r="AA1370">
        <f t="shared" ca="1" si="599"/>
        <v>2.2562304480281055E-12</v>
      </c>
      <c r="AB1370">
        <f t="shared" ca="1" si="600"/>
        <v>-4.999999946448952E-4</v>
      </c>
      <c r="AC1370">
        <f t="shared" ca="1" si="601"/>
        <v>1</v>
      </c>
      <c r="AD1370">
        <f ca="1">IF(V32="Supercritical",L1370,IF(V32="Subcritical",U1370,IF(AND(T1370=1,AC1370=1),IF((((F1370)*(L1370)^2)/2+(G1370)*(L1370)^3/3+(ABS(K1370)^2)/($I$5*MAX(((F1370)+(G1370)*(L1370))*(L1370),0.000001)))&gt;=(((F1370)*(U1370)^2)/2+(G1370)*(U1370)^3/3+(ABS(K1370)^2)/($I$5*MAX(((F1370)+(G1370)*(U1370))*(U1370),0.000001))),L1370,U1370),IF(T1370=1,L1370,IF(AC1370=1,U1370,MAX($D$16,POWER((ABS(K1370)^2)/($I$5*MAX(F1370,0.1)^2),1/3)))))))</f>
        <v>51800.26683766341</v>
      </c>
      <c r="AE1370">
        <f t="shared" ca="1" si="602"/>
        <v>52432.218837663408</v>
      </c>
      <c r="AF1370">
        <f t="shared" ca="1" si="603"/>
        <v>52432.218837665234</v>
      </c>
      <c r="AI1370">
        <v>0</v>
      </c>
      <c r="AJ1370">
        <v>0</v>
      </c>
      <c r="AK1370">
        <f t="shared" si="604"/>
        <v>0</v>
      </c>
      <c r="AL1370">
        <f t="shared" si="613"/>
        <v>0</v>
      </c>
      <c r="AM1370">
        <f t="shared" ca="1" si="605"/>
        <v>2.6560383008097266E-7</v>
      </c>
      <c r="AN1370" t="str">
        <f t="shared" ca="1" si="606"/>
        <v>Subcritical</v>
      </c>
      <c r="AO1370">
        <f t="shared" ca="1" si="607"/>
        <v>2.2562304480281055E-12</v>
      </c>
    </row>
    <row r="1371" spans="1:41" x14ac:dyDescent="0.35">
      <c r="A1371">
        <v>1222</v>
      </c>
      <c r="B1371">
        <v>1220.8889999999999</v>
      </c>
      <c r="C1371">
        <v>616071.82700000005</v>
      </c>
      <c r="D1371">
        <v>3096783.2459999998</v>
      </c>
      <c r="E1371">
        <v>631.95150000000001</v>
      </c>
      <c r="F1371">
        <v>5.2</v>
      </c>
      <c r="G1371">
        <v>0</v>
      </c>
      <c r="H1371" t="s">
        <v>186</v>
      </c>
      <c r="I1371">
        <v>0</v>
      </c>
      <c r="J1371">
        <f t="shared" si="608"/>
        <v>0.99899999999979627</v>
      </c>
      <c r="K1371">
        <f t="shared" si="609"/>
        <v>51</v>
      </c>
      <c r="L1371">
        <f t="shared" ca="1" si="610"/>
        <v>51797.843837663619</v>
      </c>
      <c r="M1371">
        <f t="shared" ca="1" si="587"/>
        <v>269348.78795585083</v>
      </c>
      <c r="N1371">
        <f t="shared" ca="1" si="588"/>
        <v>2.5998694991876676</v>
      </c>
      <c r="O1371">
        <f t="shared" ca="1" si="589"/>
        <v>1.8934557080078435E-4</v>
      </c>
      <c r="P1371">
        <f t="shared" ca="1" si="590"/>
        <v>52429.795337663621</v>
      </c>
      <c r="Q1371">
        <f t="shared" ca="1" si="591"/>
        <v>52429.795337665448</v>
      </c>
      <c r="R1371">
        <f t="shared" ca="1" si="592"/>
        <v>2.2564415439646509E-12</v>
      </c>
      <c r="S1371">
        <f t="shared" ca="1" si="611"/>
        <v>4.999999946448952E-4</v>
      </c>
      <c r="T1371">
        <f t="shared" ca="1" si="612"/>
        <v>1</v>
      </c>
      <c r="U1371">
        <f t="shared" ca="1" si="593"/>
        <v>51800.26683766341</v>
      </c>
      <c r="V1371">
        <f t="shared" ca="1" si="594"/>
        <v>269361.38755584974</v>
      </c>
      <c r="W1371">
        <f t="shared" ca="1" si="595"/>
        <v>2.5998695052916441</v>
      </c>
      <c r="X1371">
        <f t="shared" ca="1" si="596"/>
        <v>1.8933671400629237E-4</v>
      </c>
      <c r="Y1371">
        <f t="shared" ca="1" si="597"/>
        <v>52432.218337663413</v>
      </c>
      <c r="Z1371">
        <f t="shared" ca="1" si="598"/>
        <v>52432.218337665239</v>
      </c>
      <c r="AA1371">
        <f t="shared" ca="1" si="599"/>
        <v>2.2562304480281055E-12</v>
      </c>
      <c r="AB1371">
        <f t="shared" ca="1" si="600"/>
        <v>-5.0000000192085281E-4</v>
      </c>
      <c r="AC1371">
        <f t="shared" ca="1" si="601"/>
        <v>1</v>
      </c>
      <c r="AD1371">
        <f ca="1">IF(V32="Supercritical",L1371,IF(V32="Subcritical",U1371,IF(AND(T1371=1,AC1371=1),IF((((F1371)*(L1371)^2)/2+(G1371)*(L1371)^3/3+(ABS(K1371)^2)/($I$5*MAX(((F1371)+(G1371)*(L1371))*(L1371),0.000001)))&gt;=(((F1371)*(U1371)^2)/2+(G1371)*(U1371)^3/3+(ABS(K1371)^2)/($I$5*MAX(((F1371)+(G1371)*(U1371))*(U1371),0.000001))),L1371,U1371),IF(T1371=1,L1371,IF(AC1371=1,U1371,MAX($D$16,POWER((ABS(K1371)^2)/($I$5*MAX(F1371,0.1)^2),1/3)))))))</f>
        <v>51800.26683766341</v>
      </c>
      <c r="AE1371">
        <f t="shared" ca="1" si="602"/>
        <v>52432.218337663413</v>
      </c>
      <c r="AF1371">
        <f t="shared" ca="1" si="603"/>
        <v>52432.218337665239</v>
      </c>
      <c r="AI1371">
        <v>0</v>
      </c>
      <c r="AJ1371">
        <v>0</v>
      </c>
      <c r="AK1371">
        <f t="shared" si="604"/>
        <v>0</v>
      </c>
      <c r="AL1371">
        <f t="shared" si="613"/>
        <v>0</v>
      </c>
      <c r="AM1371">
        <f t="shared" ca="1" si="605"/>
        <v>2.6560383008097266E-7</v>
      </c>
      <c r="AN1371" t="str">
        <f t="shared" ca="1" si="606"/>
        <v>Subcritical</v>
      </c>
      <c r="AO1371">
        <f t="shared" ca="1" si="607"/>
        <v>2.2562304480281055E-12</v>
      </c>
    </row>
    <row r="1372" spans="1:41" x14ac:dyDescent="0.35">
      <c r="A1372">
        <v>1223</v>
      </c>
      <c r="B1372">
        <v>1221.8889999999999</v>
      </c>
      <c r="C1372">
        <v>616071.78500000003</v>
      </c>
      <c r="D1372">
        <v>3096782.247</v>
      </c>
      <c r="E1372">
        <v>631.95100000000002</v>
      </c>
      <c r="F1372">
        <v>5.2</v>
      </c>
      <c r="G1372">
        <v>0</v>
      </c>
      <c r="H1372" t="s">
        <v>186</v>
      </c>
      <c r="I1372">
        <v>5.7000000000000002E-2</v>
      </c>
      <c r="J1372">
        <f t="shared" si="608"/>
        <v>1</v>
      </c>
      <c r="K1372">
        <f t="shared" si="609"/>
        <v>51</v>
      </c>
      <c r="L1372">
        <f t="shared" ca="1" si="610"/>
        <v>51797.843837663619</v>
      </c>
      <c r="M1372">
        <f t="shared" ca="1" si="587"/>
        <v>269348.78795585083</v>
      </c>
      <c r="N1372">
        <f t="shared" ca="1" si="588"/>
        <v>2.5998694991876676</v>
      </c>
      <c r="O1372">
        <f t="shared" ca="1" si="589"/>
        <v>1.8934557080078435E-4</v>
      </c>
      <c r="P1372">
        <f t="shared" ca="1" si="590"/>
        <v>52429.79483766362</v>
      </c>
      <c r="Q1372">
        <f t="shared" ca="1" si="591"/>
        <v>52429.794837665446</v>
      </c>
      <c r="R1372">
        <f t="shared" ca="1" si="592"/>
        <v>2.2564415439646509E-12</v>
      </c>
      <c r="S1372">
        <f t="shared" ca="1" si="611"/>
        <v>5.0000000192085281E-4</v>
      </c>
      <c r="T1372">
        <f t="shared" ca="1" si="612"/>
        <v>1</v>
      </c>
      <c r="U1372">
        <f t="shared" ca="1" si="593"/>
        <v>51800.26683766341</v>
      </c>
      <c r="V1372">
        <f t="shared" ca="1" si="594"/>
        <v>269361.38755584974</v>
      </c>
      <c r="W1372">
        <f t="shared" ca="1" si="595"/>
        <v>2.5998695052916441</v>
      </c>
      <c r="X1372">
        <f t="shared" ca="1" si="596"/>
        <v>1.8933671400629237E-4</v>
      </c>
      <c r="Y1372">
        <f t="shared" ca="1" si="597"/>
        <v>52432.217837663411</v>
      </c>
      <c r="Z1372">
        <f t="shared" ca="1" si="598"/>
        <v>52432.217837665237</v>
      </c>
      <c r="AA1372">
        <f t="shared" ca="1" si="599"/>
        <v>2.2562304480281055E-12</v>
      </c>
      <c r="AB1372">
        <f t="shared" ca="1" si="600"/>
        <v>-5.0000000192085281E-4</v>
      </c>
      <c r="AC1372">
        <f t="shared" ca="1" si="601"/>
        <v>1</v>
      </c>
      <c r="AD1372">
        <f ca="1">IF(V32="Supercritical",L1372,IF(V32="Subcritical",U1372,IF(AND(T1372=1,AC1372=1),IF((((F1372)*(L1372)^2)/2+(G1372)*(L1372)^3/3+(ABS(K1372)^2)/($I$5*MAX(((F1372)+(G1372)*(L1372))*(L1372),0.000001)))&gt;=(((F1372)*(U1372)^2)/2+(G1372)*(U1372)^3/3+(ABS(K1372)^2)/($I$5*MAX(((F1372)+(G1372)*(U1372))*(U1372),0.000001))),L1372,U1372),IF(T1372=1,L1372,IF(AC1372=1,U1372,MAX($D$16,POWER((ABS(K1372)^2)/($I$5*MAX(F1372,0.1)^2),1/3)))))))</f>
        <v>51800.26683766341</v>
      </c>
      <c r="AE1372">
        <f t="shared" ca="1" si="602"/>
        <v>52432.217837663411</v>
      </c>
      <c r="AF1372">
        <f t="shared" ca="1" si="603"/>
        <v>52432.217837665237</v>
      </c>
      <c r="AI1372">
        <v>0</v>
      </c>
      <c r="AJ1372">
        <v>0</v>
      </c>
      <c r="AK1372">
        <f t="shared" si="604"/>
        <v>0</v>
      </c>
      <c r="AL1372">
        <f t="shared" si="613"/>
        <v>0</v>
      </c>
      <c r="AM1372">
        <f t="shared" ca="1" si="605"/>
        <v>2.6560383008097266E-7</v>
      </c>
      <c r="AN1372" t="str">
        <f t="shared" ca="1" si="606"/>
        <v>Subcritical</v>
      </c>
      <c r="AO1372">
        <f t="shared" ca="1" si="607"/>
        <v>2.2562304480281055E-12</v>
      </c>
    </row>
    <row r="1373" spans="1:41" x14ac:dyDescent="0.35">
      <c r="A1373">
        <v>1224</v>
      </c>
      <c r="B1373">
        <v>1222.8889999999999</v>
      </c>
      <c r="C1373">
        <v>616071.74199999997</v>
      </c>
      <c r="D1373">
        <v>3096781.2480000001</v>
      </c>
      <c r="E1373">
        <v>631.95050000000003</v>
      </c>
      <c r="F1373">
        <v>5.2</v>
      </c>
      <c r="G1373">
        <v>0</v>
      </c>
      <c r="H1373" t="s">
        <v>186</v>
      </c>
      <c r="I1373">
        <v>5.7000000000000002E-2</v>
      </c>
      <c r="J1373">
        <f t="shared" si="608"/>
        <v>1</v>
      </c>
      <c r="K1373">
        <f t="shared" si="609"/>
        <v>51</v>
      </c>
      <c r="L1373">
        <f t="shared" ca="1" si="610"/>
        <v>51797.843837663619</v>
      </c>
      <c r="M1373">
        <f t="shared" ca="1" si="587"/>
        <v>269348.78795585083</v>
      </c>
      <c r="N1373">
        <f t="shared" ca="1" si="588"/>
        <v>2.5998694991876676</v>
      </c>
      <c r="O1373">
        <f t="shared" ca="1" si="589"/>
        <v>1.8934557080078435E-4</v>
      </c>
      <c r="P1373">
        <f t="shared" ca="1" si="590"/>
        <v>52429.794337663618</v>
      </c>
      <c r="Q1373">
        <f t="shared" ca="1" si="591"/>
        <v>52429.794337665444</v>
      </c>
      <c r="R1373">
        <f t="shared" ca="1" si="592"/>
        <v>2.2564415439646509E-12</v>
      </c>
      <c r="S1373">
        <f t="shared" ca="1" si="611"/>
        <v>5.0000000192085281E-4</v>
      </c>
      <c r="T1373">
        <f t="shared" ca="1" si="612"/>
        <v>1</v>
      </c>
      <c r="U1373">
        <f t="shared" ca="1" si="593"/>
        <v>51800.26683766341</v>
      </c>
      <c r="V1373">
        <f t="shared" ca="1" si="594"/>
        <v>269361.38755584974</v>
      </c>
      <c r="W1373">
        <f t="shared" ca="1" si="595"/>
        <v>2.5998695052916441</v>
      </c>
      <c r="X1373">
        <f t="shared" ca="1" si="596"/>
        <v>1.8933671400629237E-4</v>
      </c>
      <c r="Y1373">
        <f t="shared" ca="1" si="597"/>
        <v>52432.217337663409</v>
      </c>
      <c r="Z1373">
        <f t="shared" ca="1" si="598"/>
        <v>52432.217337665235</v>
      </c>
      <c r="AA1373">
        <f t="shared" ca="1" si="599"/>
        <v>2.2562304480281055E-12</v>
      </c>
      <c r="AB1373">
        <f t="shared" ca="1" si="600"/>
        <v>-5.0000000192085281E-4</v>
      </c>
      <c r="AC1373">
        <f t="shared" ca="1" si="601"/>
        <v>1</v>
      </c>
      <c r="AD1373">
        <f ca="1">IF(V32="Supercritical",L1373,IF(V32="Subcritical",U1373,IF(AND(T1373=1,AC1373=1),IF((((F1373)*(L1373)^2)/2+(G1373)*(L1373)^3/3+(ABS(K1373)^2)/($I$5*MAX(((F1373)+(G1373)*(L1373))*(L1373),0.000001)))&gt;=(((F1373)*(U1373)^2)/2+(G1373)*(U1373)^3/3+(ABS(K1373)^2)/($I$5*MAX(((F1373)+(G1373)*(U1373))*(U1373),0.000001))),L1373,U1373),IF(T1373=1,L1373,IF(AC1373=1,U1373,MAX($D$16,POWER((ABS(K1373)^2)/($I$5*MAX(F1373,0.1)^2),1/3)))))))</f>
        <v>51800.26683766341</v>
      </c>
      <c r="AE1373">
        <f t="shared" ca="1" si="602"/>
        <v>52432.217337663409</v>
      </c>
      <c r="AF1373">
        <f t="shared" ca="1" si="603"/>
        <v>52432.217337665235</v>
      </c>
      <c r="AI1373">
        <v>0</v>
      </c>
      <c r="AJ1373">
        <v>0</v>
      </c>
      <c r="AK1373">
        <f t="shared" si="604"/>
        <v>0</v>
      </c>
      <c r="AL1373">
        <f t="shared" si="613"/>
        <v>0</v>
      </c>
      <c r="AM1373">
        <f t="shared" ca="1" si="605"/>
        <v>2.6560383008097266E-7</v>
      </c>
      <c r="AN1373" t="str">
        <f t="shared" ca="1" si="606"/>
        <v>Subcritical</v>
      </c>
      <c r="AO1373">
        <f t="shared" ca="1" si="607"/>
        <v>2.2562304480281055E-12</v>
      </c>
    </row>
    <row r="1374" spans="1:41" x14ac:dyDescent="0.35">
      <c r="A1374">
        <v>1225</v>
      </c>
      <c r="B1374">
        <v>1223.8889999999999</v>
      </c>
      <c r="C1374">
        <v>616071.69999999995</v>
      </c>
      <c r="D1374">
        <v>3096780.2489999998</v>
      </c>
      <c r="E1374">
        <v>631.95000000000005</v>
      </c>
      <c r="F1374">
        <v>5.2</v>
      </c>
      <c r="G1374">
        <v>0</v>
      </c>
      <c r="H1374" t="s">
        <v>186</v>
      </c>
      <c r="I1374">
        <v>0</v>
      </c>
      <c r="J1374">
        <f t="shared" si="608"/>
        <v>1</v>
      </c>
      <c r="K1374">
        <f t="shared" si="609"/>
        <v>51</v>
      </c>
      <c r="L1374">
        <f t="shared" ca="1" si="610"/>
        <v>51797.843837663619</v>
      </c>
      <c r="M1374">
        <f t="shared" ca="1" si="587"/>
        <v>269348.78795585083</v>
      </c>
      <c r="N1374">
        <f t="shared" ca="1" si="588"/>
        <v>2.5998694991876676</v>
      </c>
      <c r="O1374">
        <f t="shared" ca="1" si="589"/>
        <v>1.8934557080078435E-4</v>
      </c>
      <c r="P1374">
        <f t="shared" ca="1" si="590"/>
        <v>52429.793837663616</v>
      </c>
      <c r="Q1374">
        <f t="shared" ca="1" si="591"/>
        <v>52429.793837665442</v>
      </c>
      <c r="R1374">
        <f t="shared" ca="1" si="592"/>
        <v>2.2564415439646509E-12</v>
      </c>
      <c r="S1374">
        <f t="shared" ca="1" si="611"/>
        <v>5.0000000192085281E-4</v>
      </c>
      <c r="T1374">
        <f t="shared" ca="1" si="612"/>
        <v>1</v>
      </c>
      <c r="U1374">
        <f t="shared" ca="1" si="593"/>
        <v>51800.26683766341</v>
      </c>
      <c r="V1374">
        <f t="shared" ca="1" si="594"/>
        <v>269361.38755584974</v>
      </c>
      <c r="W1374">
        <f t="shared" ca="1" si="595"/>
        <v>2.5998695052916441</v>
      </c>
      <c r="X1374">
        <f t="shared" ca="1" si="596"/>
        <v>1.8933671400629237E-4</v>
      </c>
      <c r="Y1374">
        <f t="shared" ca="1" si="597"/>
        <v>52432.216837663407</v>
      </c>
      <c r="Z1374">
        <f t="shared" ca="1" si="598"/>
        <v>52432.216837665233</v>
      </c>
      <c r="AA1374">
        <f t="shared" ca="1" si="599"/>
        <v>2.2562304480281055E-12</v>
      </c>
      <c r="AB1374">
        <f t="shared" ca="1" si="600"/>
        <v>-4.999999946448952E-4</v>
      </c>
      <c r="AC1374">
        <f t="shared" ca="1" si="601"/>
        <v>1</v>
      </c>
      <c r="AD1374">
        <f ca="1">IF(V32="Supercritical",L1374,IF(V32="Subcritical",U1374,IF(AND(T1374=1,AC1374=1),IF((((F1374)*(L1374)^2)/2+(G1374)*(L1374)^3/3+(ABS(K1374)^2)/($I$5*MAX(((F1374)+(G1374)*(L1374))*(L1374),0.000001)))&gt;=(((F1374)*(U1374)^2)/2+(G1374)*(U1374)^3/3+(ABS(K1374)^2)/($I$5*MAX(((F1374)+(G1374)*(U1374))*(U1374),0.000001))),L1374,U1374),IF(T1374=1,L1374,IF(AC1374=1,U1374,MAX($D$16,POWER((ABS(K1374)^2)/($I$5*MAX(F1374,0.1)^2),1/3)))))))</f>
        <v>51800.26683766341</v>
      </c>
      <c r="AE1374">
        <f t="shared" ca="1" si="602"/>
        <v>52432.216837663407</v>
      </c>
      <c r="AF1374">
        <f t="shared" ca="1" si="603"/>
        <v>52432.216837665233</v>
      </c>
      <c r="AI1374">
        <v>0</v>
      </c>
      <c r="AJ1374">
        <v>0</v>
      </c>
      <c r="AK1374">
        <f t="shared" si="604"/>
        <v>0</v>
      </c>
      <c r="AL1374">
        <f t="shared" si="613"/>
        <v>0</v>
      </c>
      <c r="AM1374">
        <f t="shared" ca="1" si="605"/>
        <v>2.6560383008097266E-7</v>
      </c>
      <c r="AN1374" t="str">
        <f t="shared" ca="1" si="606"/>
        <v>Subcritical</v>
      </c>
      <c r="AO1374">
        <f t="shared" ca="1" si="607"/>
        <v>2.2562304480281055E-12</v>
      </c>
    </row>
    <row r="1375" spans="1:41" x14ac:dyDescent="0.35">
      <c r="A1375">
        <v>1226</v>
      </c>
      <c r="B1375">
        <v>1224.8889999999999</v>
      </c>
      <c r="C1375">
        <v>616071.65800000005</v>
      </c>
      <c r="D1375">
        <v>3096779.25</v>
      </c>
      <c r="E1375">
        <v>631.94949999999994</v>
      </c>
      <c r="F1375">
        <v>5.2</v>
      </c>
      <c r="G1375">
        <v>0</v>
      </c>
      <c r="H1375" t="s">
        <v>186</v>
      </c>
      <c r="I1375">
        <v>5.7000000000000002E-2</v>
      </c>
      <c r="J1375">
        <f t="shared" si="608"/>
        <v>1</v>
      </c>
      <c r="K1375">
        <f t="shared" si="609"/>
        <v>51</v>
      </c>
      <c r="L1375">
        <f t="shared" ca="1" si="610"/>
        <v>51797.843837663619</v>
      </c>
      <c r="M1375">
        <f t="shared" ca="1" si="587"/>
        <v>269348.78795585083</v>
      </c>
      <c r="N1375">
        <f t="shared" ca="1" si="588"/>
        <v>2.5998694991876676</v>
      </c>
      <c r="O1375">
        <f t="shared" ca="1" si="589"/>
        <v>1.8934557080078435E-4</v>
      </c>
      <c r="P1375">
        <f t="shared" ca="1" si="590"/>
        <v>52429.793337663621</v>
      </c>
      <c r="Q1375">
        <f t="shared" ca="1" si="591"/>
        <v>52429.793337665447</v>
      </c>
      <c r="R1375">
        <f t="shared" ca="1" si="592"/>
        <v>2.2564415439646509E-12</v>
      </c>
      <c r="S1375">
        <f t="shared" ca="1" si="611"/>
        <v>4.999999946448952E-4</v>
      </c>
      <c r="T1375">
        <f t="shared" ca="1" si="612"/>
        <v>1</v>
      </c>
      <c r="U1375">
        <f t="shared" ca="1" si="593"/>
        <v>51800.26683766341</v>
      </c>
      <c r="V1375">
        <f t="shared" ca="1" si="594"/>
        <v>269361.38755584974</v>
      </c>
      <c r="W1375">
        <f t="shared" ca="1" si="595"/>
        <v>2.5998695052916441</v>
      </c>
      <c r="X1375">
        <f t="shared" ca="1" si="596"/>
        <v>1.8933671400629237E-4</v>
      </c>
      <c r="Y1375">
        <f t="shared" ca="1" si="597"/>
        <v>52432.216337663413</v>
      </c>
      <c r="Z1375">
        <f t="shared" ca="1" si="598"/>
        <v>52432.216337665239</v>
      </c>
      <c r="AA1375">
        <f t="shared" ca="1" si="599"/>
        <v>2.2562304480281055E-12</v>
      </c>
      <c r="AB1375">
        <f t="shared" ca="1" si="600"/>
        <v>-5.0000000192085281E-4</v>
      </c>
      <c r="AC1375">
        <f t="shared" ca="1" si="601"/>
        <v>1</v>
      </c>
      <c r="AD1375">
        <f ca="1">IF(V32="Supercritical",L1375,IF(V32="Subcritical",U1375,IF(AND(T1375=1,AC1375=1),IF((((F1375)*(L1375)^2)/2+(G1375)*(L1375)^3/3+(ABS(K1375)^2)/($I$5*MAX(((F1375)+(G1375)*(L1375))*(L1375),0.000001)))&gt;=(((F1375)*(U1375)^2)/2+(G1375)*(U1375)^3/3+(ABS(K1375)^2)/($I$5*MAX(((F1375)+(G1375)*(U1375))*(U1375),0.000001))),L1375,U1375),IF(T1375=1,L1375,IF(AC1375=1,U1375,MAX($D$16,POWER((ABS(K1375)^2)/($I$5*MAX(F1375,0.1)^2),1/3)))))))</f>
        <v>51800.26683766341</v>
      </c>
      <c r="AE1375">
        <f t="shared" ca="1" si="602"/>
        <v>52432.216337663413</v>
      </c>
      <c r="AF1375">
        <f t="shared" ca="1" si="603"/>
        <v>52432.216337665239</v>
      </c>
      <c r="AI1375">
        <v>0</v>
      </c>
      <c r="AJ1375">
        <v>0</v>
      </c>
      <c r="AK1375">
        <f t="shared" si="604"/>
        <v>0</v>
      </c>
      <c r="AL1375">
        <f t="shared" si="613"/>
        <v>0</v>
      </c>
      <c r="AM1375">
        <f t="shared" ca="1" si="605"/>
        <v>2.6560383008097266E-7</v>
      </c>
      <c r="AN1375" t="str">
        <f t="shared" ca="1" si="606"/>
        <v>Subcritical</v>
      </c>
      <c r="AO1375">
        <f t="shared" ca="1" si="607"/>
        <v>2.2562304480281055E-12</v>
      </c>
    </row>
    <row r="1376" spans="1:41" x14ac:dyDescent="0.35">
      <c r="A1376">
        <v>1227</v>
      </c>
      <c r="B1376">
        <v>1225.8889999999999</v>
      </c>
      <c r="C1376">
        <v>616071.61499999999</v>
      </c>
      <c r="D1376">
        <v>3096778.2510000002</v>
      </c>
      <c r="E1376">
        <v>631.94899999999996</v>
      </c>
      <c r="F1376">
        <v>5.2</v>
      </c>
      <c r="G1376">
        <v>0</v>
      </c>
      <c r="H1376" t="s">
        <v>186</v>
      </c>
      <c r="I1376">
        <v>5.7000000000000002E-2</v>
      </c>
      <c r="J1376">
        <f t="shared" si="608"/>
        <v>1</v>
      </c>
      <c r="K1376">
        <f t="shared" si="609"/>
        <v>51</v>
      </c>
      <c r="L1376">
        <f t="shared" ca="1" si="610"/>
        <v>51797.843837663619</v>
      </c>
      <c r="M1376">
        <f t="shared" ca="1" si="587"/>
        <v>269348.78795585083</v>
      </c>
      <c r="N1376">
        <f t="shared" ca="1" si="588"/>
        <v>2.5998694991876676</v>
      </c>
      <c r="O1376">
        <f t="shared" ca="1" si="589"/>
        <v>1.8934557080078435E-4</v>
      </c>
      <c r="P1376">
        <f t="shared" ca="1" si="590"/>
        <v>52429.792837663619</v>
      </c>
      <c r="Q1376">
        <f t="shared" ca="1" si="591"/>
        <v>52429.792837665445</v>
      </c>
      <c r="R1376">
        <f t="shared" ca="1" si="592"/>
        <v>2.2564415439646509E-12</v>
      </c>
      <c r="S1376">
        <f t="shared" ca="1" si="611"/>
        <v>5.0000000192085281E-4</v>
      </c>
      <c r="T1376">
        <f t="shared" ca="1" si="612"/>
        <v>1</v>
      </c>
      <c r="U1376">
        <f t="shared" ca="1" si="593"/>
        <v>51800.26683766341</v>
      </c>
      <c r="V1376">
        <f t="shared" ca="1" si="594"/>
        <v>269361.38755584974</v>
      </c>
      <c r="W1376">
        <f t="shared" ca="1" si="595"/>
        <v>2.5998695052916441</v>
      </c>
      <c r="X1376">
        <f t="shared" ca="1" si="596"/>
        <v>1.8933671400629237E-4</v>
      </c>
      <c r="Y1376">
        <f t="shared" ca="1" si="597"/>
        <v>52432.215837663411</v>
      </c>
      <c r="Z1376">
        <f t="shared" ca="1" si="598"/>
        <v>52432.215837665237</v>
      </c>
      <c r="AA1376">
        <f t="shared" ca="1" si="599"/>
        <v>2.2562304480281055E-12</v>
      </c>
      <c r="AB1376">
        <f t="shared" ca="1" si="600"/>
        <v>-5.0000000192085281E-4</v>
      </c>
      <c r="AC1376">
        <f t="shared" ca="1" si="601"/>
        <v>1</v>
      </c>
      <c r="AD1376">
        <f ca="1">IF(V32="Supercritical",L1376,IF(V32="Subcritical",U1376,IF(AND(T1376=1,AC1376=1),IF((((F1376)*(L1376)^2)/2+(G1376)*(L1376)^3/3+(ABS(K1376)^2)/($I$5*MAX(((F1376)+(G1376)*(L1376))*(L1376),0.000001)))&gt;=(((F1376)*(U1376)^2)/2+(G1376)*(U1376)^3/3+(ABS(K1376)^2)/($I$5*MAX(((F1376)+(G1376)*(U1376))*(U1376),0.000001))),L1376,U1376),IF(T1376=1,L1376,IF(AC1376=1,U1376,MAX($D$16,POWER((ABS(K1376)^2)/($I$5*MAX(F1376,0.1)^2),1/3)))))))</f>
        <v>51800.26683766341</v>
      </c>
      <c r="AE1376">
        <f t="shared" ca="1" si="602"/>
        <v>52432.215837663411</v>
      </c>
      <c r="AF1376">
        <f t="shared" ca="1" si="603"/>
        <v>52432.215837665237</v>
      </c>
      <c r="AI1376">
        <v>0</v>
      </c>
      <c r="AJ1376">
        <v>0</v>
      </c>
      <c r="AK1376">
        <f t="shared" si="604"/>
        <v>0</v>
      </c>
      <c r="AL1376">
        <f t="shared" si="613"/>
        <v>0</v>
      </c>
      <c r="AM1376">
        <f t="shared" ca="1" si="605"/>
        <v>2.6560383008097266E-7</v>
      </c>
      <c r="AN1376" t="str">
        <f t="shared" ca="1" si="606"/>
        <v>Subcritical</v>
      </c>
      <c r="AO1376">
        <f t="shared" ca="1" si="607"/>
        <v>2.2562304480281055E-12</v>
      </c>
    </row>
    <row r="1377" spans="1:41" x14ac:dyDescent="0.35">
      <c r="A1377">
        <v>1228</v>
      </c>
      <c r="B1377">
        <v>1226.8889999999999</v>
      </c>
      <c r="C1377">
        <v>616071.57299999997</v>
      </c>
      <c r="D1377">
        <v>3096777.2519999999</v>
      </c>
      <c r="E1377">
        <v>631.94849999999997</v>
      </c>
      <c r="F1377">
        <v>5.2</v>
      </c>
      <c r="G1377">
        <v>0</v>
      </c>
      <c r="H1377" t="s">
        <v>186</v>
      </c>
      <c r="I1377">
        <v>2E-3</v>
      </c>
      <c r="J1377">
        <f t="shared" si="608"/>
        <v>1</v>
      </c>
      <c r="K1377">
        <f t="shared" si="609"/>
        <v>51</v>
      </c>
      <c r="L1377">
        <f t="shared" ca="1" si="610"/>
        <v>51797.843837663619</v>
      </c>
      <c r="M1377">
        <f t="shared" ca="1" si="587"/>
        <v>269348.78795585083</v>
      </c>
      <c r="N1377">
        <f t="shared" ca="1" si="588"/>
        <v>2.5998694991876676</v>
      </c>
      <c r="O1377">
        <f t="shared" ca="1" si="589"/>
        <v>1.8934557080078435E-4</v>
      </c>
      <c r="P1377">
        <f t="shared" ca="1" si="590"/>
        <v>52429.792337663617</v>
      </c>
      <c r="Q1377">
        <f t="shared" ca="1" si="591"/>
        <v>52429.792337665443</v>
      </c>
      <c r="R1377">
        <f t="shared" ca="1" si="592"/>
        <v>2.2564415439646509E-12</v>
      </c>
      <c r="S1377">
        <f t="shared" ca="1" si="611"/>
        <v>5.0000000192085281E-4</v>
      </c>
      <c r="T1377">
        <f t="shared" ca="1" si="612"/>
        <v>1</v>
      </c>
      <c r="U1377">
        <f t="shared" ca="1" si="593"/>
        <v>51800.26683766341</v>
      </c>
      <c r="V1377">
        <f t="shared" ca="1" si="594"/>
        <v>269361.38755584974</v>
      </c>
      <c r="W1377">
        <f t="shared" ca="1" si="595"/>
        <v>2.5998695052916441</v>
      </c>
      <c r="X1377">
        <f t="shared" ca="1" si="596"/>
        <v>1.8933671400629237E-4</v>
      </c>
      <c r="Y1377">
        <f t="shared" ca="1" si="597"/>
        <v>52432.215337663409</v>
      </c>
      <c r="Z1377">
        <f t="shared" ca="1" si="598"/>
        <v>52432.215337665235</v>
      </c>
      <c r="AA1377">
        <f t="shared" ca="1" si="599"/>
        <v>2.2562304480281055E-12</v>
      </c>
      <c r="AB1377">
        <f t="shared" ca="1" si="600"/>
        <v>-5.0000000192085281E-4</v>
      </c>
      <c r="AC1377">
        <f t="shared" ca="1" si="601"/>
        <v>1</v>
      </c>
      <c r="AD1377">
        <f ca="1">IF(V32="Supercritical",L1377,IF(V32="Subcritical",U1377,IF(AND(T1377=1,AC1377=1),IF((((F1377)*(L1377)^2)/2+(G1377)*(L1377)^3/3+(ABS(K1377)^2)/($I$5*MAX(((F1377)+(G1377)*(L1377))*(L1377),0.000001)))&gt;=(((F1377)*(U1377)^2)/2+(G1377)*(U1377)^3/3+(ABS(K1377)^2)/($I$5*MAX(((F1377)+(G1377)*(U1377))*(U1377),0.000001))),L1377,U1377),IF(T1377=1,L1377,IF(AC1377=1,U1377,MAX($D$16,POWER((ABS(K1377)^2)/($I$5*MAX(F1377,0.1)^2),1/3)))))))</f>
        <v>51800.26683766341</v>
      </c>
      <c r="AE1377">
        <f t="shared" ca="1" si="602"/>
        <v>52432.215337663409</v>
      </c>
      <c r="AF1377">
        <f t="shared" ca="1" si="603"/>
        <v>52432.215337665235</v>
      </c>
      <c r="AI1377">
        <v>0</v>
      </c>
      <c r="AJ1377">
        <v>0</v>
      </c>
      <c r="AK1377">
        <f t="shared" si="604"/>
        <v>0</v>
      </c>
      <c r="AL1377">
        <f t="shared" si="613"/>
        <v>0</v>
      </c>
      <c r="AM1377">
        <f t="shared" ca="1" si="605"/>
        <v>2.6560383008097266E-7</v>
      </c>
      <c r="AN1377" t="str">
        <f t="shared" ca="1" si="606"/>
        <v>Subcritical</v>
      </c>
      <c r="AO1377">
        <f t="shared" ca="1" si="607"/>
        <v>2.2562304480281055E-12</v>
      </c>
    </row>
    <row r="1378" spans="1:41" x14ac:dyDescent="0.35">
      <c r="A1378">
        <v>1229</v>
      </c>
      <c r="B1378">
        <v>1227.8900000000001</v>
      </c>
      <c r="C1378">
        <v>616071.53099999996</v>
      </c>
      <c r="D1378">
        <v>3096776.2519999999</v>
      </c>
      <c r="E1378">
        <v>631.94799999999998</v>
      </c>
      <c r="F1378">
        <v>5.2</v>
      </c>
      <c r="G1378">
        <v>0</v>
      </c>
      <c r="H1378" t="s">
        <v>186</v>
      </c>
      <c r="I1378">
        <v>2E-3</v>
      </c>
      <c r="J1378">
        <f t="shared" si="608"/>
        <v>1.0010000000002037</v>
      </c>
      <c r="K1378">
        <f t="shared" si="609"/>
        <v>51</v>
      </c>
      <c r="L1378">
        <f t="shared" ca="1" si="610"/>
        <v>51797.843837663619</v>
      </c>
      <c r="M1378">
        <f t="shared" ca="1" si="587"/>
        <v>269348.78795585083</v>
      </c>
      <c r="N1378">
        <f t="shared" ca="1" si="588"/>
        <v>2.5998694991876676</v>
      </c>
      <c r="O1378">
        <f t="shared" ca="1" si="589"/>
        <v>1.8934557080078435E-4</v>
      </c>
      <c r="P1378">
        <f t="shared" ca="1" si="590"/>
        <v>52429.791837663615</v>
      </c>
      <c r="Q1378">
        <f t="shared" ca="1" si="591"/>
        <v>52429.791837665442</v>
      </c>
      <c r="R1378">
        <f t="shared" ca="1" si="592"/>
        <v>2.2564415439646509E-12</v>
      </c>
      <c r="S1378">
        <f t="shared" ca="1" si="611"/>
        <v>5.0000000192085281E-4</v>
      </c>
      <c r="T1378">
        <f t="shared" ca="1" si="612"/>
        <v>1</v>
      </c>
      <c r="U1378">
        <f t="shared" ca="1" si="593"/>
        <v>51800.26683766341</v>
      </c>
      <c r="V1378">
        <f t="shared" ca="1" si="594"/>
        <v>269361.38755584974</v>
      </c>
      <c r="W1378">
        <f t="shared" ca="1" si="595"/>
        <v>2.5998695052916441</v>
      </c>
      <c r="X1378">
        <f t="shared" ca="1" si="596"/>
        <v>1.8933671400629237E-4</v>
      </c>
      <c r="Y1378">
        <f t="shared" ca="1" si="597"/>
        <v>52432.214837663407</v>
      </c>
      <c r="Z1378">
        <f t="shared" ca="1" si="598"/>
        <v>52432.214837665233</v>
      </c>
      <c r="AA1378">
        <f t="shared" ca="1" si="599"/>
        <v>2.2562304480281055E-12</v>
      </c>
      <c r="AB1378">
        <f t="shared" ca="1" si="600"/>
        <v>-4.999999946448952E-4</v>
      </c>
      <c r="AC1378">
        <f t="shared" ca="1" si="601"/>
        <v>1</v>
      </c>
      <c r="AD1378">
        <f ca="1">IF(V32="Supercritical",L1378,IF(V32="Subcritical",U1378,IF(AND(T1378=1,AC1378=1),IF((((F1378)*(L1378)^2)/2+(G1378)*(L1378)^3/3+(ABS(K1378)^2)/($I$5*MAX(((F1378)+(G1378)*(L1378))*(L1378),0.000001)))&gt;=(((F1378)*(U1378)^2)/2+(G1378)*(U1378)^3/3+(ABS(K1378)^2)/($I$5*MAX(((F1378)+(G1378)*(U1378))*(U1378),0.000001))),L1378,U1378),IF(T1378=1,L1378,IF(AC1378=1,U1378,MAX($D$16,POWER((ABS(K1378)^2)/($I$5*MAX(F1378,0.1)^2),1/3)))))))</f>
        <v>51800.26683766341</v>
      </c>
      <c r="AE1378">
        <f t="shared" ca="1" si="602"/>
        <v>52432.214837663407</v>
      </c>
      <c r="AF1378">
        <f t="shared" ca="1" si="603"/>
        <v>52432.214837665233</v>
      </c>
      <c r="AI1378">
        <v>0</v>
      </c>
      <c r="AJ1378">
        <v>0</v>
      </c>
      <c r="AK1378">
        <f t="shared" si="604"/>
        <v>0</v>
      </c>
      <c r="AL1378">
        <f t="shared" si="613"/>
        <v>0</v>
      </c>
      <c r="AM1378">
        <f t="shared" ca="1" si="605"/>
        <v>2.6560383008097266E-7</v>
      </c>
      <c r="AN1378" t="str">
        <f t="shared" ca="1" si="606"/>
        <v>Subcritical</v>
      </c>
      <c r="AO1378">
        <f t="shared" ca="1" si="607"/>
        <v>2.2562304480281055E-12</v>
      </c>
    </row>
    <row r="1379" spans="1:41" x14ac:dyDescent="0.35">
      <c r="A1379">
        <v>1230</v>
      </c>
      <c r="B1379">
        <v>1228.8900000000001</v>
      </c>
      <c r="C1379">
        <v>616071.48899999994</v>
      </c>
      <c r="D1379">
        <v>3096775.253</v>
      </c>
      <c r="E1379">
        <v>631.94749999999999</v>
      </c>
      <c r="F1379">
        <v>5.2</v>
      </c>
      <c r="G1379">
        <v>0</v>
      </c>
      <c r="H1379" t="s">
        <v>186</v>
      </c>
      <c r="I1379">
        <v>5.7000000000000002E-2</v>
      </c>
      <c r="J1379">
        <f t="shared" si="608"/>
        <v>1</v>
      </c>
      <c r="K1379">
        <f t="shared" si="609"/>
        <v>51</v>
      </c>
      <c r="L1379">
        <f t="shared" ca="1" si="610"/>
        <v>51797.843837663619</v>
      </c>
      <c r="M1379">
        <f t="shared" ca="1" si="587"/>
        <v>269348.78795585083</v>
      </c>
      <c r="N1379">
        <f t="shared" ca="1" si="588"/>
        <v>2.5998694991876676</v>
      </c>
      <c r="O1379">
        <f t="shared" ca="1" si="589"/>
        <v>1.8934557080078435E-4</v>
      </c>
      <c r="P1379">
        <f t="shared" ca="1" si="590"/>
        <v>52429.791337663621</v>
      </c>
      <c r="Q1379">
        <f t="shared" ca="1" si="591"/>
        <v>52429.791337665447</v>
      </c>
      <c r="R1379">
        <f t="shared" ca="1" si="592"/>
        <v>2.2564415439646509E-12</v>
      </c>
      <c r="S1379">
        <f t="shared" ca="1" si="611"/>
        <v>4.999999946448952E-4</v>
      </c>
      <c r="T1379">
        <f t="shared" ca="1" si="612"/>
        <v>1</v>
      </c>
      <c r="U1379">
        <f t="shared" ca="1" si="593"/>
        <v>51800.26683766341</v>
      </c>
      <c r="V1379">
        <f t="shared" ca="1" si="594"/>
        <v>269361.38755584974</v>
      </c>
      <c r="W1379">
        <f t="shared" ca="1" si="595"/>
        <v>2.5998695052916441</v>
      </c>
      <c r="X1379">
        <f t="shared" ca="1" si="596"/>
        <v>1.8933671400629237E-4</v>
      </c>
      <c r="Y1379">
        <f t="shared" ca="1" si="597"/>
        <v>52432.214337663412</v>
      </c>
      <c r="Z1379">
        <f t="shared" ca="1" si="598"/>
        <v>52432.214337665238</v>
      </c>
      <c r="AA1379">
        <f t="shared" ca="1" si="599"/>
        <v>2.2562304480281055E-12</v>
      </c>
      <c r="AB1379">
        <f t="shared" ca="1" si="600"/>
        <v>-5.0000000192085281E-4</v>
      </c>
      <c r="AC1379">
        <f t="shared" ca="1" si="601"/>
        <v>1</v>
      </c>
      <c r="AD1379">
        <f ca="1">IF(V32="Supercritical",L1379,IF(V32="Subcritical",U1379,IF(AND(T1379=1,AC1379=1),IF((((F1379)*(L1379)^2)/2+(G1379)*(L1379)^3/3+(ABS(K1379)^2)/($I$5*MAX(((F1379)+(G1379)*(L1379))*(L1379),0.000001)))&gt;=(((F1379)*(U1379)^2)/2+(G1379)*(U1379)^3/3+(ABS(K1379)^2)/($I$5*MAX(((F1379)+(G1379)*(U1379))*(U1379),0.000001))),L1379,U1379),IF(T1379=1,L1379,IF(AC1379=1,U1379,MAX($D$16,POWER((ABS(K1379)^2)/($I$5*MAX(F1379,0.1)^2),1/3)))))))</f>
        <v>51800.26683766341</v>
      </c>
      <c r="AE1379">
        <f t="shared" ca="1" si="602"/>
        <v>52432.214337663412</v>
      </c>
      <c r="AF1379">
        <f t="shared" ca="1" si="603"/>
        <v>52432.214337665238</v>
      </c>
      <c r="AI1379">
        <v>0</v>
      </c>
      <c r="AJ1379">
        <v>0</v>
      </c>
      <c r="AK1379">
        <f t="shared" si="604"/>
        <v>0</v>
      </c>
      <c r="AL1379">
        <f t="shared" si="613"/>
        <v>0</v>
      </c>
      <c r="AM1379">
        <f t="shared" ca="1" si="605"/>
        <v>2.6560383008097266E-7</v>
      </c>
      <c r="AN1379" t="str">
        <f t="shared" ca="1" si="606"/>
        <v>Subcritical</v>
      </c>
      <c r="AO1379">
        <f t="shared" ca="1" si="607"/>
        <v>2.2562304480281055E-12</v>
      </c>
    </row>
    <row r="1380" spans="1:41" x14ac:dyDescent="0.35">
      <c r="A1380">
        <v>1231</v>
      </c>
      <c r="B1380">
        <v>1229.8900000000001</v>
      </c>
      <c r="C1380">
        <v>616071.446</v>
      </c>
      <c r="D1380">
        <v>3096774.2540000002</v>
      </c>
      <c r="E1380">
        <v>631.947</v>
      </c>
      <c r="F1380">
        <v>5.2</v>
      </c>
      <c r="G1380">
        <v>0</v>
      </c>
      <c r="H1380" t="s">
        <v>186</v>
      </c>
      <c r="I1380">
        <v>5.7000000000000002E-2</v>
      </c>
      <c r="J1380">
        <f t="shared" si="608"/>
        <v>1</v>
      </c>
      <c r="K1380">
        <f t="shared" si="609"/>
        <v>51</v>
      </c>
      <c r="L1380">
        <f t="shared" ca="1" si="610"/>
        <v>51797.843837663619</v>
      </c>
      <c r="M1380">
        <f t="shared" ca="1" si="587"/>
        <v>269348.78795585083</v>
      </c>
      <c r="N1380">
        <f t="shared" ca="1" si="588"/>
        <v>2.5998694991876676</v>
      </c>
      <c r="O1380">
        <f t="shared" ca="1" si="589"/>
        <v>1.8934557080078435E-4</v>
      </c>
      <c r="P1380">
        <f t="shared" ca="1" si="590"/>
        <v>52429.790837663619</v>
      </c>
      <c r="Q1380">
        <f t="shared" ca="1" si="591"/>
        <v>52429.790837665445</v>
      </c>
      <c r="R1380">
        <f t="shared" ca="1" si="592"/>
        <v>2.2564415439646509E-12</v>
      </c>
      <c r="S1380">
        <f t="shared" ca="1" si="611"/>
        <v>5.0000000192085281E-4</v>
      </c>
      <c r="T1380">
        <f t="shared" ca="1" si="612"/>
        <v>1</v>
      </c>
      <c r="U1380">
        <f t="shared" ca="1" si="593"/>
        <v>51800.26683766341</v>
      </c>
      <c r="V1380">
        <f t="shared" ca="1" si="594"/>
        <v>269361.38755584974</v>
      </c>
      <c r="W1380">
        <f t="shared" ca="1" si="595"/>
        <v>2.5998695052916441</v>
      </c>
      <c r="X1380">
        <f t="shared" ca="1" si="596"/>
        <v>1.8933671400629237E-4</v>
      </c>
      <c r="Y1380">
        <f t="shared" ca="1" si="597"/>
        <v>52432.21383766341</v>
      </c>
      <c r="Z1380">
        <f t="shared" ca="1" si="598"/>
        <v>52432.213837665236</v>
      </c>
      <c r="AA1380">
        <f t="shared" ca="1" si="599"/>
        <v>2.2562304480281055E-12</v>
      </c>
      <c r="AB1380">
        <f t="shared" ca="1" si="600"/>
        <v>-5.0000000192085281E-4</v>
      </c>
      <c r="AC1380">
        <f t="shared" ca="1" si="601"/>
        <v>1</v>
      </c>
      <c r="AD1380">
        <f ca="1">IF(V32="Supercritical",L1380,IF(V32="Subcritical",U1380,IF(AND(T1380=1,AC1380=1),IF((((F1380)*(L1380)^2)/2+(G1380)*(L1380)^3/3+(ABS(K1380)^2)/($I$5*MAX(((F1380)+(G1380)*(L1380))*(L1380),0.000001)))&gt;=(((F1380)*(U1380)^2)/2+(G1380)*(U1380)^3/3+(ABS(K1380)^2)/($I$5*MAX(((F1380)+(G1380)*(U1380))*(U1380),0.000001))),L1380,U1380),IF(T1380=1,L1380,IF(AC1380=1,U1380,MAX($D$16,POWER((ABS(K1380)^2)/($I$5*MAX(F1380,0.1)^2),1/3)))))))</f>
        <v>51800.26683766341</v>
      </c>
      <c r="AE1380">
        <f t="shared" ca="1" si="602"/>
        <v>52432.21383766341</v>
      </c>
      <c r="AF1380">
        <f t="shared" ca="1" si="603"/>
        <v>52432.213837665236</v>
      </c>
      <c r="AI1380">
        <v>0</v>
      </c>
      <c r="AJ1380">
        <v>0</v>
      </c>
      <c r="AK1380">
        <f t="shared" si="604"/>
        <v>0</v>
      </c>
      <c r="AL1380">
        <f t="shared" si="613"/>
        <v>0</v>
      </c>
      <c r="AM1380">
        <f t="shared" ca="1" si="605"/>
        <v>2.6560383008097266E-7</v>
      </c>
      <c r="AN1380" t="str">
        <f t="shared" ca="1" si="606"/>
        <v>Subcritical</v>
      </c>
      <c r="AO1380">
        <f t="shared" ca="1" si="607"/>
        <v>2.2562304480281055E-12</v>
      </c>
    </row>
    <row r="1381" spans="1:41" x14ac:dyDescent="0.35">
      <c r="A1381">
        <v>1232</v>
      </c>
      <c r="B1381">
        <v>1230.8889999999999</v>
      </c>
      <c r="C1381">
        <v>616071.40399999998</v>
      </c>
      <c r="D1381">
        <v>3096773.2549999999</v>
      </c>
      <c r="E1381">
        <v>631.94650000000001</v>
      </c>
      <c r="F1381">
        <v>5.2</v>
      </c>
      <c r="G1381">
        <v>0</v>
      </c>
      <c r="H1381" t="s">
        <v>186</v>
      </c>
      <c r="I1381">
        <v>0</v>
      </c>
      <c r="J1381">
        <f t="shared" si="608"/>
        <v>0.99899999999979627</v>
      </c>
      <c r="K1381">
        <f t="shared" si="609"/>
        <v>51</v>
      </c>
      <c r="L1381">
        <f t="shared" ca="1" si="610"/>
        <v>51797.843837663619</v>
      </c>
      <c r="M1381">
        <f t="shared" ca="1" si="587"/>
        <v>269348.78795585083</v>
      </c>
      <c r="N1381">
        <f t="shared" ca="1" si="588"/>
        <v>2.5998694991876676</v>
      </c>
      <c r="O1381">
        <f t="shared" ca="1" si="589"/>
        <v>1.8934557080078435E-4</v>
      </c>
      <c r="P1381">
        <f t="shared" ca="1" si="590"/>
        <v>52429.790337663617</v>
      </c>
      <c r="Q1381">
        <f t="shared" ca="1" si="591"/>
        <v>52429.790337665443</v>
      </c>
      <c r="R1381">
        <f t="shared" ca="1" si="592"/>
        <v>2.2564415439646509E-12</v>
      </c>
      <c r="S1381">
        <f t="shared" ca="1" si="611"/>
        <v>5.0000000192085281E-4</v>
      </c>
      <c r="T1381">
        <f t="shared" ca="1" si="612"/>
        <v>1</v>
      </c>
      <c r="U1381">
        <f t="shared" ca="1" si="593"/>
        <v>51800.26683766341</v>
      </c>
      <c r="V1381">
        <f t="shared" ca="1" si="594"/>
        <v>269361.38755584974</v>
      </c>
      <c r="W1381">
        <f t="shared" ca="1" si="595"/>
        <v>2.5998695052916441</v>
      </c>
      <c r="X1381">
        <f t="shared" ca="1" si="596"/>
        <v>1.8933671400629237E-4</v>
      </c>
      <c r="Y1381">
        <f t="shared" ca="1" si="597"/>
        <v>52432.213337663408</v>
      </c>
      <c r="Z1381">
        <f t="shared" ca="1" si="598"/>
        <v>52432.213337665235</v>
      </c>
      <c r="AA1381">
        <f t="shared" ca="1" si="599"/>
        <v>2.2562304480281055E-12</v>
      </c>
      <c r="AB1381">
        <f t="shared" ca="1" si="600"/>
        <v>-4.999999946448952E-4</v>
      </c>
      <c r="AC1381">
        <f t="shared" ca="1" si="601"/>
        <v>1</v>
      </c>
      <c r="AD1381">
        <f ca="1">IF(V32="Supercritical",L1381,IF(V32="Subcritical",U1381,IF(AND(T1381=1,AC1381=1),IF((((F1381)*(L1381)^2)/2+(G1381)*(L1381)^3/3+(ABS(K1381)^2)/($I$5*MAX(((F1381)+(G1381)*(L1381))*(L1381),0.000001)))&gt;=(((F1381)*(U1381)^2)/2+(G1381)*(U1381)^3/3+(ABS(K1381)^2)/($I$5*MAX(((F1381)+(G1381)*(U1381))*(U1381),0.000001))),L1381,U1381),IF(T1381=1,L1381,IF(AC1381=1,U1381,MAX($D$16,POWER((ABS(K1381)^2)/($I$5*MAX(F1381,0.1)^2),1/3)))))))</f>
        <v>51800.26683766341</v>
      </c>
      <c r="AE1381">
        <f t="shared" ca="1" si="602"/>
        <v>52432.213337663408</v>
      </c>
      <c r="AF1381">
        <f t="shared" ca="1" si="603"/>
        <v>52432.213337665235</v>
      </c>
      <c r="AI1381">
        <v>0</v>
      </c>
      <c r="AJ1381">
        <v>0</v>
      </c>
      <c r="AK1381">
        <f t="shared" si="604"/>
        <v>0</v>
      </c>
      <c r="AL1381">
        <f t="shared" si="613"/>
        <v>0</v>
      </c>
      <c r="AM1381">
        <f t="shared" ca="1" si="605"/>
        <v>2.6560383008097266E-7</v>
      </c>
      <c r="AN1381" t="str">
        <f t="shared" ca="1" si="606"/>
        <v>Subcritical</v>
      </c>
      <c r="AO1381">
        <f t="shared" ca="1" si="607"/>
        <v>2.2562304480281055E-12</v>
      </c>
    </row>
    <row r="1382" spans="1:41" x14ac:dyDescent="0.35">
      <c r="A1382">
        <v>1233</v>
      </c>
      <c r="B1382">
        <v>1231.8889999999999</v>
      </c>
      <c r="C1382">
        <v>616071.36199999996</v>
      </c>
      <c r="D1382">
        <v>3096772.2560000001</v>
      </c>
      <c r="E1382">
        <v>631.94600000000003</v>
      </c>
      <c r="F1382">
        <v>5.2</v>
      </c>
      <c r="G1382">
        <v>0</v>
      </c>
      <c r="H1382" t="s">
        <v>186</v>
      </c>
      <c r="I1382">
        <v>0</v>
      </c>
      <c r="J1382">
        <f t="shared" si="608"/>
        <v>1</v>
      </c>
      <c r="K1382">
        <f t="shared" si="609"/>
        <v>51</v>
      </c>
      <c r="L1382">
        <f t="shared" ca="1" si="610"/>
        <v>51797.843837663619</v>
      </c>
      <c r="M1382">
        <f t="shared" ca="1" si="587"/>
        <v>269348.78795585083</v>
      </c>
      <c r="N1382">
        <f t="shared" ca="1" si="588"/>
        <v>2.5998694991876676</v>
      </c>
      <c r="O1382">
        <f t="shared" ca="1" si="589"/>
        <v>1.8934557080078435E-4</v>
      </c>
      <c r="P1382">
        <f t="shared" ca="1" si="590"/>
        <v>52429.789837663622</v>
      </c>
      <c r="Q1382">
        <f t="shared" ca="1" si="591"/>
        <v>52429.789837665448</v>
      </c>
      <c r="R1382">
        <f t="shared" ca="1" si="592"/>
        <v>2.2564415439646509E-12</v>
      </c>
      <c r="S1382">
        <f t="shared" ca="1" si="611"/>
        <v>4.999999946448952E-4</v>
      </c>
      <c r="T1382">
        <f t="shared" ca="1" si="612"/>
        <v>1</v>
      </c>
      <c r="U1382">
        <f t="shared" ca="1" si="593"/>
        <v>51800.26683766341</v>
      </c>
      <c r="V1382">
        <f t="shared" ca="1" si="594"/>
        <v>269361.38755584974</v>
      </c>
      <c r="W1382">
        <f t="shared" ca="1" si="595"/>
        <v>2.5998695052916441</v>
      </c>
      <c r="X1382">
        <f t="shared" ca="1" si="596"/>
        <v>1.8933671400629237E-4</v>
      </c>
      <c r="Y1382">
        <f t="shared" ca="1" si="597"/>
        <v>52432.212837663414</v>
      </c>
      <c r="Z1382">
        <f t="shared" ca="1" si="598"/>
        <v>52432.21283766524</v>
      </c>
      <c r="AA1382">
        <f t="shared" ca="1" si="599"/>
        <v>2.2562304480281055E-12</v>
      </c>
      <c r="AB1382">
        <f t="shared" ca="1" si="600"/>
        <v>-5.0000000192085281E-4</v>
      </c>
      <c r="AC1382">
        <f t="shared" ca="1" si="601"/>
        <v>1</v>
      </c>
      <c r="AD1382">
        <f ca="1">IF(V32="Supercritical",L1382,IF(V32="Subcritical",U1382,IF(AND(T1382=1,AC1382=1),IF((((F1382)*(L1382)^2)/2+(G1382)*(L1382)^3/3+(ABS(K1382)^2)/($I$5*MAX(((F1382)+(G1382)*(L1382))*(L1382),0.000001)))&gt;=(((F1382)*(U1382)^2)/2+(G1382)*(U1382)^3/3+(ABS(K1382)^2)/($I$5*MAX(((F1382)+(G1382)*(U1382))*(U1382),0.000001))),L1382,U1382),IF(T1382=1,L1382,IF(AC1382=1,U1382,MAX($D$16,POWER((ABS(K1382)^2)/($I$5*MAX(F1382,0.1)^2),1/3)))))))</f>
        <v>51800.26683766341</v>
      </c>
      <c r="AE1382">
        <f t="shared" ca="1" si="602"/>
        <v>52432.212837663414</v>
      </c>
      <c r="AF1382">
        <f t="shared" ca="1" si="603"/>
        <v>52432.21283766524</v>
      </c>
      <c r="AI1382">
        <v>0</v>
      </c>
      <c r="AJ1382">
        <v>0</v>
      </c>
      <c r="AK1382">
        <f t="shared" si="604"/>
        <v>0</v>
      </c>
      <c r="AL1382">
        <f t="shared" si="613"/>
        <v>0</v>
      </c>
      <c r="AM1382">
        <f t="shared" ca="1" si="605"/>
        <v>2.6560383008097266E-7</v>
      </c>
      <c r="AN1382" t="str">
        <f t="shared" ca="1" si="606"/>
        <v>Subcritical</v>
      </c>
      <c r="AO1382">
        <f t="shared" ca="1" si="607"/>
        <v>2.2562304480281055E-12</v>
      </c>
    </row>
    <row r="1383" spans="1:41" x14ac:dyDescent="0.35">
      <c r="A1383">
        <v>1234</v>
      </c>
      <c r="B1383">
        <v>1232.8889999999999</v>
      </c>
      <c r="C1383">
        <v>616071.31999999995</v>
      </c>
      <c r="D1383">
        <v>3096771.2570000002</v>
      </c>
      <c r="E1383">
        <v>631.94550000000004</v>
      </c>
      <c r="F1383">
        <v>5.2</v>
      </c>
      <c r="G1383">
        <v>0</v>
      </c>
      <c r="H1383" t="s">
        <v>186</v>
      </c>
      <c r="I1383">
        <v>5.7000000000000002E-2</v>
      </c>
      <c r="J1383">
        <f t="shared" si="608"/>
        <v>1</v>
      </c>
      <c r="K1383">
        <f t="shared" si="609"/>
        <v>51</v>
      </c>
      <c r="L1383">
        <f t="shared" ca="1" si="610"/>
        <v>51797.843837663619</v>
      </c>
      <c r="M1383">
        <f t="shared" ca="1" si="587"/>
        <v>269348.78795585083</v>
      </c>
      <c r="N1383">
        <f t="shared" ca="1" si="588"/>
        <v>2.5998694991876676</v>
      </c>
      <c r="O1383">
        <f t="shared" ca="1" si="589"/>
        <v>1.8934557080078435E-4</v>
      </c>
      <c r="P1383">
        <f t="shared" ca="1" si="590"/>
        <v>52429.78933766362</v>
      </c>
      <c r="Q1383">
        <f t="shared" ca="1" si="591"/>
        <v>52429.789337665447</v>
      </c>
      <c r="R1383">
        <f t="shared" ca="1" si="592"/>
        <v>2.2564415439646509E-12</v>
      </c>
      <c r="S1383">
        <f t="shared" ca="1" si="611"/>
        <v>5.0000000192085281E-4</v>
      </c>
      <c r="T1383">
        <f t="shared" ca="1" si="612"/>
        <v>1</v>
      </c>
      <c r="U1383">
        <f t="shared" ca="1" si="593"/>
        <v>51800.26683766341</v>
      </c>
      <c r="V1383">
        <f t="shared" ca="1" si="594"/>
        <v>269361.38755584974</v>
      </c>
      <c r="W1383">
        <f t="shared" ca="1" si="595"/>
        <v>2.5998695052916441</v>
      </c>
      <c r="X1383">
        <f t="shared" ca="1" si="596"/>
        <v>1.8933671400629237E-4</v>
      </c>
      <c r="Y1383">
        <f t="shared" ca="1" si="597"/>
        <v>52432.212337663412</v>
      </c>
      <c r="Z1383">
        <f t="shared" ca="1" si="598"/>
        <v>52432.212337665238</v>
      </c>
      <c r="AA1383">
        <f t="shared" ca="1" si="599"/>
        <v>2.2562304480281055E-12</v>
      </c>
      <c r="AB1383">
        <f t="shared" ca="1" si="600"/>
        <v>-5.0000000192085281E-4</v>
      </c>
      <c r="AC1383">
        <f t="shared" ca="1" si="601"/>
        <v>1</v>
      </c>
      <c r="AD1383">
        <f ca="1">IF(V32="Supercritical",L1383,IF(V32="Subcritical",U1383,IF(AND(T1383=1,AC1383=1),IF((((F1383)*(L1383)^2)/2+(G1383)*(L1383)^3/3+(ABS(K1383)^2)/($I$5*MAX(((F1383)+(G1383)*(L1383))*(L1383),0.000001)))&gt;=(((F1383)*(U1383)^2)/2+(G1383)*(U1383)^3/3+(ABS(K1383)^2)/($I$5*MAX(((F1383)+(G1383)*(U1383))*(U1383),0.000001))),L1383,U1383),IF(T1383=1,L1383,IF(AC1383=1,U1383,MAX($D$16,POWER((ABS(K1383)^2)/($I$5*MAX(F1383,0.1)^2),1/3)))))))</f>
        <v>51800.26683766341</v>
      </c>
      <c r="AE1383">
        <f t="shared" ca="1" si="602"/>
        <v>52432.212337663412</v>
      </c>
      <c r="AF1383">
        <f t="shared" ca="1" si="603"/>
        <v>52432.212337665238</v>
      </c>
      <c r="AI1383">
        <v>0</v>
      </c>
      <c r="AJ1383">
        <v>0</v>
      </c>
      <c r="AK1383">
        <f t="shared" si="604"/>
        <v>0</v>
      </c>
      <c r="AL1383">
        <f t="shared" si="613"/>
        <v>0</v>
      </c>
      <c r="AM1383">
        <f t="shared" ca="1" si="605"/>
        <v>2.6560383008097266E-7</v>
      </c>
      <c r="AN1383" t="str">
        <f t="shared" ca="1" si="606"/>
        <v>Subcritical</v>
      </c>
      <c r="AO1383">
        <f t="shared" ca="1" si="607"/>
        <v>2.2562304480281055E-12</v>
      </c>
    </row>
    <row r="1384" spans="1:41" x14ac:dyDescent="0.35">
      <c r="A1384">
        <v>1235</v>
      </c>
      <c r="B1384">
        <v>1233.8889999999999</v>
      </c>
      <c r="C1384">
        <v>616071.277</v>
      </c>
      <c r="D1384">
        <v>3096770.2579999999</v>
      </c>
      <c r="E1384">
        <v>631.94500000000005</v>
      </c>
      <c r="F1384">
        <v>5.2</v>
      </c>
      <c r="G1384">
        <v>0</v>
      </c>
      <c r="H1384" t="s">
        <v>186</v>
      </c>
      <c r="I1384">
        <v>5.7000000000000002E-2</v>
      </c>
      <c r="J1384">
        <f t="shared" si="608"/>
        <v>1</v>
      </c>
      <c r="K1384">
        <f t="shared" si="609"/>
        <v>51</v>
      </c>
      <c r="L1384">
        <f t="shared" ca="1" si="610"/>
        <v>51797.843837663619</v>
      </c>
      <c r="M1384">
        <f t="shared" ca="1" si="587"/>
        <v>269348.78795585083</v>
      </c>
      <c r="N1384">
        <f t="shared" ca="1" si="588"/>
        <v>2.5998694991876676</v>
      </c>
      <c r="O1384">
        <f t="shared" ca="1" si="589"/>
        <v>1.8934557080078435E-4</v>
      </c>
      <c r="P1384">
        <f t="shared" ca="1" si="590"/>
        <v>52429.788837663618</v>
      </c>
      <c r="Q1384">
        <f t="shared" ca="1" si="591"/>
        <v>52429.788837665445</v>
      </c>
      <c r="R1384">
        <f t="shared" ca="1" si="592"/>
        <v>2.2564415439646509E-12</v>
      </c>
      <c r="S1384">
        <f t="shared" ca="1" si="611"/>
        <v>5.0000000192085281E-4</v>
      </c>
      <c r="T1384">
        <f t="shared" ca="1" si="612"/>
        <v>1</v>
      </c>
      <c r="U1384">
        <f t="shared" ca="1" si="593"/>
        <v>51800.26683766341</v>
      </c>
      <c r="V1384">
        <f t="shared" ca="1" si="594"/>
        <v>269361.38755584974</v>
      </c>
      <c r="W1384">
        <f t="shared" ca="1" si="595"/>
        <v>2.5998695052916441</v>
      </c>
      <c r="X1384">
        <f t="shared" ca="1" si="596"/>
        <v>1.8933671400629237E-4</v>
      </c>
      <c r="Y1384">
        <f t="shared" ca="1" si="597"/>
        <v>52432.21183766341</v>
      </c>
      <c r="Z1384">
        <f t="shared" ca="1" si="598"/>
        <v>52432.211837665236</v>
      </c>
      <c r="AA1384">
        <f t="shared" ca="1" si="599"/>
        <v>2.2562304480281055E-12</v>
      </c>
      <c r="AB1384">
        <f t="shared" ca="1" si="600"/>
        <v>-5.0000000192085281E-4</v>
      </c>
      <c r="AC1384">
        <f t="shared" ca="1" si="601"/>
        <v>1</v>
      </c>
      <c r="AD1384">
        <f ca="1">IF(V32="Supercritical",L1384,IF(V32="Subcritical",U1384,IF(AND(T1384=1,AC1384=1),IF((((F1384)*(L1384)^2)/2+(G1384)*(L1384)^3/3+(ABS(K1384)^2)/($I$5*MAX(((F1384)+(G1384)*(L1384))*(L1384),0.000001)))&gt;=(((F1384)*(U1384)^2)/2+(G1384)*(U1384)^3/3+(ABS(K1384)^2)/($I$5*MAX(((F1384)+(G1384)*(U1384))*(U1384),0.000001))),L1384,U1384),IF(T1384=1,L1384,IF(AC1384=1,U1384,MAX($D$16,POWER((ABS(K1384)^2)/($I$5*MAX(F1384,0.1)^2),1/3)))))))</f>
        <v>51800.26683766341</v>
      </c>
      <c r="AE1384">
        <f t="shared" ca="1" si="602"/>
        <v>52432.21183766341</v>
      </c>
      <c r="AF1384">
        <f t="shared" ca="1" si="603"/>
        <v>52432.211837665236</v>
      </c>
      <c r="AI1384">
        <v>0</v>
      </c>
      <c r="AJ1384">
        <v>0</v>
      </c>
      <c r="AK1384">
        <f t="shared" si="604"/>
        <v>0</v>
      </c>
      <c r="AL1384">
        <f t="shared" si="613"/>
        <v>0</v>
      </c>
      <c r="AM1384">
        <f t="shared" ca="1" si="605"/>
        <v>2.6560383008097266E-7</v>
      </c>
      <c r="AN1384" t="str">
        <f t="shared" ca="1" si="606"/>
        <v>Subcritical</v>
      </c>
      <c r="AO1384">
        <f t="shared" ca="1" si="607"/>
        <v>2.2562304480281055E-12</v>
      </c>
    </row>
    <row r="1385" spans="1:41" x14ac:dyDescent="0.35">
      <c r="A1385">
        <v>1236</v>
      </c>
      <c r="B1385">
        <v>1234.8889999999999</v>
      </c>
      <c r="C1385">
        <v>616071.23499999999</v>
      </c>
      <c r="D1385">
        <v>3096769.2590000001</v>
      </c>
      <c r="E1385">
        <v>631.94449999999995</v>
      </c>
      <c r="F1385">
        <v>5.2</v>
      </c>
      <c r="G1385">
        <v>0</v>
      </c>
      <c r="H1385" t="s">
        <v>186</v>
      </c>
      <c r="I1385">
        <v>0</v>
      </c>
      <c r="J1385">
        <f t="shared" si="608"/>
        <v>1</v>
      </c>
      <c r="K1385">
        <f t="shared" si="609"/>
        <v>51</v>
      </c>
      <c r="L1385">
        <f t="shared" ca="1" si="610"/>
        <v>51797.843837663619</v>
      </c>
      <c r="M1385">
        <f t="shared" ca="1" si="587"/>
        <v>269348.78795585083</v>
      </c>
      <c r="N1385">
        <f t="shared" ca="1" si="588"/>
        <v>2.5998694991876676</v>
      </c>
      <c r="O1385">
        <f t="shared" ca="1" si="589"/>
        <v>1.8934557080078435E-4</v>
      </c>
      <c r="P1385">
        <f t="shared" ca="1" si="590"/>
        <v>52429.788337663616</v>
      </c>
      <c r="Q1385">
        <f t="shared" ca="1" si="591"/>
        <v>52429.788337665443</v>
      </c>
      <c r="R1385">
        <f t="shared" ca="1" si="592"/>
        <v>2.2564415439646509E-12</v>
      </c>
      <c r="S1385">
        <f t="shared" ca="1" si="611"/>
        <v>5.0000000192085281E-4</v>
      </c>
      <c r="T1385">
        <f t="shared" ca="1" si="612"/>
        <v>1</v>
      </c>
      <c r="U1385">
        <f t="shared" ca="1" si="593"/>
        <v>51800.26683766341</v>
      </c>
      <c r="V1385">
        <f t="shared" ca="1" si="594"/>
        <v>269361.38755584974</v>
      </c>
      <c r="W1385">
        <f t="shared" ca="1" si="595"/>
        <v>2.5998695052916441</v>
      </c>
      <c r="X1385">
        <f t="shared" ca="1" si="596"/>
        <v>1.8933671400629237E-4</v>
      </c>
      <c r="Y1385">
        <f t="shared" ca="1" si="597"/>
        <v>52432.211337663408</v>
      </c>
      <c r="Z1385">
        <f t="shared" ca="1" si="598"/>
        <v>52432.211337665234</v>
      </c>
      <c r="AA1385">
        <f t="shared" ca="1" si="599"/>
        <v>2.2562304480281055E-12</v>
      </c>
      <c r="AB1385">
        <f t="shared" ca="1" si="600"/>
        <v>-4.999999946448952E-4</v>
      </c>
      <c r="AC1385">
        <f t="shared" ca="1" si="601"/>
        <v>1</v>
      </c>
      <c r="AD1385">
        <f ca="1">IF(V32="Supercritical",L1385,IF(V32="Subcritical",U1385,IF(AND(T1385=1,AC1385=1),IF((((F1385)*(L1385)^2)/2+(G1385)*(L1385)^3/3+(ABS(K1385)^2)/($I$5*MAX(((F1385)+(G1385)*(L1385))*(L1385),0.000001)))&gt;=(((F1385)*(U1385)^2)/2+(G1385)*(U1385)^3/3+(ABS(K1385)^2)/($I$5*MAX(((F1385)+(G1385)*(U1385))*(U1385),0.000001))),L1385,U1385),IF(T1385=1,L1385,IF(AC1385=1,U1385,MAX($D$16,POWER((ABS(K1385)^2)/($I$5*MAX(F1385,0.1)^2),1/3)))))))</f>
        <v>51800.26683766341</v>
      </c>
      <c r="AE1385">
        <f t="shared" ca="1" si="602"/>
        <v>52432.211337663408</v>
      </c>
      <c r="AF1385">
        <f t="shared" ca="1" si="603"/>
        <v>52432.211337665234</v>
      </c>
      <c r="AI1385">
        <v>0</v>
      </c>
      <c r="AJ1385">
        <v>0</v>
      </c>
      <c r="AK1385">
        <f t="shared" si="604"/>
        <v>0</v>
      </c>
      <c r="AL1385">
        <f t="shared" si="613"/>
        <v>0</v>
      </c>
      <c r="AM1385">
        <f t="shared" ca="1" si="605"/>
        <v>2.6560383008097266E-7</v>
      </c>
      <c r="AN1385" t="str">
        <f t="shared" ca="1" si="606"/>
        <v>Subcritical</v>
      </c>
      <c r="AO1385">
        <f t="shared" ca="1" si="607"/>
        <v>2.2562304480281055E-12</v>
      </c>
    </row>
    <row r="1386" spans="1:41" x14ac:dyDescent="0.35">
      <c r="A1386">
        <v>1237</v>
      </c>
      <c r="B1386">
        <v>1235.8889999999999</v>
      </c>
      <c r="C1386">
        <v>616071.19299999997</v>
      </c>
      <c r="D1386">
        <v>3096768.26</v>
      </c>
      <c r="E1386">
        <v>631.94399999999996</v>
      </c>
      <c r="F1386">
        <v>5.2</v>
      </c>
      <c r="G1386">
        <v>0</v>
      </c>
      <c r="H1386" t="s">
        <v>186</v>
      </c>
      <c r="I1386">
        <v>2E-3</v>
      </c>
      <c r="J1386">
        <f t="shared" si="608"/>
        <v>1</v>
      </c>
      <c r="K1386">
        <f t="shared" si="609"/>
        <v>51</v>
      </c>
      <c r="L1386">
        <f t="shared" ca="1" si="610"/>
        <v>51797.843837663619</v>
      </c>
      <c r="M1386">
        <f t="shared" ca="1" si="587"/>
        <v>269348.78795585083</v>
      </c>
      <c r="N1386">
        <f t="shared" ca="1" si="588"/>
        <v>2.5998694991876676</v>
      </c>
      <c r="O1386">
        <f t="shared" ca="1" si="589"/>
        <v>1.8934557080078435E-4</v>
      </c>
      <c r="P1386">
        <f t="shared" ca="1" si="590"/>
        <v>52429.787837663622</v>
      </c>
      <c r="Q1386">
        <f t="shared" ca="1" si="591"/>
        <v>52429.787837665448</v>
      </c>
      <c r="R1386">
        <f t="shared" ca="1" si="592"/>
        <v>2.2564415439646509E-12</v>
      </c>
      <c r="S1386">
        <f t="shared" ca="1" si="611"/>
        <v>4.999999946448952E-4</v>
      </c>
      <c r="T1386">
        <f t="shared" ca="1" si="612"/>
        <v>1</v>
      </c>
      <c r="U1386">
        <f t="shared" ca="1" si="593"/>
        <v>51800.26683766341</v>
      </c>
      <c r="V1386">
        <f t="shared" ca="1" si="594"/>
        <v>269361.38755584974</v>
      </c>
      <c r="W1386">
        <f t="shared" ca="1" si="595"/>
        <v>2.5998695052916441</v>
      </c>
      <c r="X1386">
        <f t="shared" ca="1" si="596"/>
        <v>1.8933671400629237E-4</v>
      </c>
      <c r="Y1386">
        <f t="shared" ca="1" si="597"/>
        <v>52432.210837663413</v>
      </c>
      <c r="Z1386">
        <f t="shared" ca="1" si="598"/>
        <v>52432.21083766524</v>
      </c>
      <c r="AA1386">
        <f t="shared" ca="1" si="599"/>
        <v>2.2562304480281055E-12</v>
      </c>
      <c r="AB1386">
        <f t="shared" ca="1" si="600"/>
        <v>-5.0000000192085281E-4</v>
      </c>
      <c r="AC1386">
        <f t="shared" ca="1" si="601"/>
        <v>1</v>
      </c>
      <c r="AD1386">
        <f ca="1">IF(V32="Supercritical",L1386,IF(V32="Subcritical",U1386,IF(AND(T1386=1,AC1386=1),IF((((F1386)*(L1386)^2)/2+(G1386)*(L1386)^3/3+(ABS(K1386)^2)/($I$5*MAX(((F1386)+(G1386)*(L1386))*(L1386),0.000001)))&gt;=(((F1386)*(U1386)^2)/2+(G1386)*(U1386)^3/3+(ABS(K1386)^2)/($I$5*MAX(((F1386)+(G1386)*(U1386))*(U1386),0.000001))),L1386,U1386),IF(T1386=1,L1386,IF(AC1386=1,U1386,MAX($D$16,POWER((ABS(K1386)^2)/($I$5*MAX(F1386,0.1)^2),1/3)))))))</f>
        <v>51800.26683766341</v>
      </c>
      <c r="AE1386">
        <f t="shared" ca="1" si="602"/>
        <v>52432.210837663413</v>
      </c>
      <c r="AF1386">
        <f t="shared" ca="1" si="603"/>
        <v>52432.21083766524</v>
      </c>
      <c r="AI1386">
        <v>0</v>
      </c>
      <c r="AJ1386">
        <v>0</v>
      </c>
      <c r="AK1386">
        <f t="shared" si="604"/>
        <v>0</v>
      </c>
      <c r="AL1386">
        <f t="shared" si="613"/>
        <v>0</v>
      </c>
      <c r="AM1386">
        <f t="shared" ca="1" si="605"/>
        <v>2.6560383008097266E-7</v>
      </c>
      <c r="AN1386" t="str">
        <f t="shared" ca="1" si="606"/>
        <v>Subcritical</v>
      </c>
      <c r="AO1386">
        <f t="shared" ca="1" si="607"/>
        <v>2.2562304480281055E-12</v>
      </c>
    </row>
    <row r="1387" spans="1:41" x14ac:dyDescent="0.35">
      <c r="A1387">
        <v>1238</v>
      </c>
      <c r="B1387">
        <v>1236.8900000000001</v>
      </c>
      <c r="C1387">
        <v>616071.15099999995</v>
      </c>
      <c r="D1387">
        <v>3096767.26</v>
      </c>
      <c r="E1387">
        <v>631.94349999999997</v>
      </c>
      <c r="F1387">
        <v>5.2</v>
      </c>
      <c r="G1387">
        <v>0</v>
      </c>
      <c r="H1387" t="s">
        <v>186</v>
      </c>
      <c r="I1387">
        <v>0.06</v>
      </c>
      <c r="J1387">
        <f t="shared" si="608"/>
        <v>1.0010000000002037</v>
      </c>
      <c r="K1387">
        <f t="shared" si="609"/>
        <v>51</v>
      </c>
      <c r="L1387">
        <f t="shared" ca="1" si="610"/>
        <v>51797.843837663619</v>
      </c>
      <c r="M1387">
        <f t="shared" ca="1" si="587"/>
        <v>269348.78795585083</v>
      </c>
      <c r="N1387">
        <f t="shared" ca="1" si="588"/>
        <v>2.5998694991876676</v>
      </c>
      <c r="O1387">
        <f t="shared" ca="1" si="589"/>
        <v>1.8934557080078435E-4</v>
      </c>
      <c r="P1387">
        <f t="shared" ca="1" si="590"/>
        <v>52429.78733766362</v>
      </c>
      <c r="Q1387">
        <f t="shared" ca="1" si="591"/>
        <v>52429.787337665446</v>
      </c>
      <c r="R1387">
        <f t="shared" ca="1" si="592"/>
        <v>2.2564415439646509E-12</v>
      </c>
      <c r="S1387">
        <f t="shared" ca="1" si="611"/>
        <v>5.0000000192085281E-4</v>
      </c>
      <c r="T1387">
        <f t="shared" ca="1" si="612"/>
        <v>1</v>
      </c>
      <c r="U1387">
        <f t="shared" ca="1" si="593"/>
        <v>51800.26683766341</v>
      </c>
      <c r="V1387">
        <f t="shared" ca="1" si="594"/>
        <v>269361.38755584974</v>
      </c>
      <c r="W1387">
        <f t="shared" ca="1" si="595"/>
        <v>2.5998695052916441</v>
      </c>
      <c r="X1387">
        <f t="shared" ca="1" si="596"/>
        <v>1.8933671400629237E-4</v>
      </c>
      <c r="Y1387">
        <f t="shared" ca="1" si="597"/>
        <v>52432.210337663411</v>
      </c>
      <c r="Z1387">
        <f t="shared" ca="1" si="598"/>
        <v>52432.210337665238</v>
      </c>
      <c r="AA1387">
        <f t="shared" ca="1" si="599"/>
        <v>2.2562304480281055E-12</v>
      </c>
      <c r="AB1387">
        <f t="shared" ca="1" si="600"/>
        <v>-5.0000000192085281E-4</v>
      </c>
      <c r="AC1387">
        <f t="shared" ca="1" si="601"/>
        <v>1</v>
      </c>
      <c r="AD1387">
        <f ca="1">IF(V32="Supercritical",L1387,IF(V32="Subcritical",U1387,IF(AND(T1387=1,AC1387=1),IF((((F1387)*(L1387)^2)/2+(G1387)*(L1387)^3/3+(ABS(K1387)^2)/($I$5*MAX(((F1387)+(G1387)*(L1387))*(L1387),0.000001)))&gt;=(((F1387)*(U1387)^2)/2+(G1387)*(U1387)^3/3+(ABS(K1387)^2)/($I$5*MAX(((F1387)+(G1387)*(U1387))*(U1387),0.000001))),L1387,U1387),IF(T1387=1,L1387,IF(AC1387=1,U1387,MAX($D$16,POWER((ABS(K1387)^2)/($I$5*MAX(F1387,0.1)^2),1/3)))))))</f>
        <v>51800.26683766341</v>
      </c>
      <c r="AE1387">
        <f t="shared" ca="1" si="602"/>
        <v>52432.210337663411</v>
      </c>
      <c r="AF1387">
        <f t="shared" ca="1" si="603"/>
        <v>52432.210337665238</v>
      </c>
      <c r="AI1387">
        <v>0</v>
      </c>
      <c r="AJ1387">
        <v>0</v>
      </c>
      <c r="AK1387">
        <f t="shared" si="604"/>
        <v>0</v>
      </c>
      <c r="AL1387">
        <f t="shared" si="613"/>
        <v>0</v>
      </c>
      <c r="AM1387">
        <f t="shared" ca="1" si="605"/>
        <v>2.6560383008097266E-7</v>
      </c>
      <c r="AN1387" t="str">
        <f t="shared" ca="1" si="606"/>
        <v>Subcritical</v>
      </c>
      <c r="AO1387">
        <f t="shared" ca="1" si="607"/>
        <v>2.2562304480281055E-12</v>
      </c>
    </row>
    <row r="1388" spans="1:41" x14ac:dyDescent="0.35">
      <c r="A1388">
        <v>1239</v>
      </c>
      <c r="B1388">
        <v>1237.8900000000001</v>
      </c>
      <c r="C1388">
        <v>616071.10800000001</v>
      </c>
      <c r="D1388">
        <v>3096766.2609999999</v>
      </c>
      <c r="E1388">
        <v>631.94299999999998</v>
      </c>
      <c r="F1388">
        <v>5.2</v>
      </c>
      <c r="G1388">
        <v>0</v>
      </c>
      <c r="H1388" t="s">
        <v>186</v>
      </c>
      <c r="I1388">
        <v>5.7000000000000002E-2</v>
      </c>
      <c r="J1388">
        <f t="shared" si="608"/>
        <v>1</v>
      </c>
      <c r="K1388">
        <f t="shared" si="609"/>
        <v>51</v>
      </c>
      <c r="L1388">
        <f t="shared" ca="1" si="610"/>
        <v>51797.843837663619</v>
      </c>
      <c r="M1388">
        <f t="shared" ca="1" si="587"/>
        <v>269348.78795585083</v>
      </c>
      <c r="N1388">
        <f t="shared" ca="1" si="588"/>
        <v>2.5998694991876676</v>
      </c>
      <c r="O1388">
        <f t="shared" ca="1" si="589"/>
        <v>1.8934557080078435E-4</v>
      </c>
      <c r="P1388">
        <f t="shared" ca="1" si="590"/>
        <v>52429.786837663618</v>
      </c>
      <c r="Q1388">
        <f t="shared" ca="1" si="591"/>
        <v>52429.786837665444</v>
      </c>
      <c r="R1388">
        <f t="shared" ca="1" si="592"/>
        <v>2.2564415439646509E-12</v>
      </c>
      <c r="S1388">
        <f t="shared" ca="1" si="611"/>
        <v>5.0000000192085281E-4</v>
      </c>
      <c r="T1388">
        <f t="shared" ca="1" si="612"/>
        <v>1</v>
      </c>
      <c r="U1388">
        <f t="shared" ca="1" si="593"/>
        <v>51800.26683766341</v>
      </c>
      <c r="V1388">
        <f t="shared" ca="1" si="594"/>
        <v>269361.38755584974</v>
      </c>
      <c r="W1388">
        <f t="shared" ca="1" si="595"/>
        <v>2.5998695052916441</v>
      </c>
      <c r="X1388">
        <f t="shared" ca="1" si="596"/>
        <v>1.8933671400629237E-4</v>
      </c>
      <c r="Y1388">
        <f t="shared" ca="1" si="597"/>
        <v>52432.209837663409</v>
      </c>
      <c r="Z1388">
        <f t="shared" ca="1" si="598"/>
        <v>52432.209837665236</v>
      </c>
      <c r="AA1388">
        <f t="shared" ca="1" si="599"/>
        <v>2.2562304480281055E-12</v>
      </c>
      <c r="AB1388">
        <f t="shared" ca="1" si="600"/>
        <v>-5.0000000192085281E-4</v>
      </c>
      <c r="AC1388">
        <f t="shared" ca="1" si="601"/>
        <v>1</v>
      </c>
      <c r="AD1388">
        <f ca="1">IF(V32="Supercritical",L1388,IF(V32="Subcritical",U1388,IF(AND(T1388=1,AC1388=1),IF((((F1388)*(L1388)^2)/2+(G1388)*(L1388)^3/3+(ABS(K1388)^2)/($I$5*MAX(((F1388)+(G1388)*(L1388))*(L1388),0.000001)))&gt;=(((F1388)*(U1388)^2)/2+(G1388)*(U1388)^3/3+(ABS(K1388)^2)/($I$5*MAX(((F1388)+(G1388)*(U1388))*(U1388),0.000001))),L1388,U1388),IF(T1388=1,L1388,IF(AC1388=1,U1388,MAX($D$16,POWER((ABS(K1388)^2)/($I$5*MAX(F1388,0.1)^2),1/3)))))))</f>
        <v>51800.26683766341</v>
      </c>
      <c r="AE1388">
        <f t="shared" ca="1" si="602"/>
        <v>52432.209837663409</v>
      </c>
      <c r="AF1388">
        <f t="shared" ca="1" si="603"/>
        <v>52432.209837665236</v>
      </c>
      <c r="AI1388">
        <v>0</v>
      </c>
      <c r="AJ1388">
        <v>0</v>
      </c>
      <c r="AK1388">
        <f t="shared" si="604"/>
        <v>0</v>
      </c>
      <c r="AL1388">
        <f t="shared" si="613"/>
        <v>0</v>
      </c>
      <c r="AM1388">
        <f t="shared" ca="1" si="605"/>
        <v>2.6560383008097266E-7</v>
      </c>
      <c r="AN1388" t="str">
        <f t="shared" ca="1" si="606"/>
        <v>Subcritical</v>
      </c>
      <c r="AO1388">
        <f t="shared" ca="1" si="607"/>
        <v>2.2562304480281055E-12</v>
      </c>
    </row>
    <row r="1389" spans="1:41" x14ac:dyDescent="0.35">
      <c r="A1389">
        <v>1240</v>
      </c>
      <c r="B1389">
        <v>1238.8900000000001</v>
      </c>
      <c r="C1389">
        <v>616071.06599999999</v>
      </c>
      <c r="D1389">
        <v>3096765.2620000001</v>
      </c>
      <c r="E1389">
        <v>631.9425</v>
      </c>
      <c r="F1389">
        <v>5.2</v>
      </c>
      <c r="G1389">
        <v>0</v>
      </c>
      <c r="H1389" t="s">
        <v>186</v>
      </c>
      <c r="I1389">
        <v>0</v>
      </c>
      <c r="J1389">
        <f t="shared" si="608"/>
        <v>1</v>
      </c>
      <c r="K1389">
        <f t="shared" si="609"/>
        <v>51</v>
      </c>
      <c r="L1389">
        <f t="shared" ca="1" si="610"/>
        <v>51797.843837663619</v>
      </c>
      <c r="M1389">
        <f t="shared" ca="1" si="587"/>
        <v>269348.78795585083</v>
      </c>
      <c r="N1389">
        <f t="shared" ca="1" si="588"/>
        <v>2.5998694991876676</v>
      </c>
      <c r="O1389">
        <f t="shared" ca="1" si="589"/>
        <v>1.8934557080078435E-4</v>
      </c>
      <c r="P1389">
        <f t="shared" ca="1" si="590"/>
        <v>52429.786337663616</v>
      </c>
      <c r="Q1389">
        <f t="shared" ca="1" si="591"/>
        <v>52429.786337665442</v>
      </c>
      <c r="R1389">
        <f t="shared" ca="1" si="592"/>
        <v>2.2564415439646509E-12</v>
      </c>
      <c r="S1389">
        <f t="shared" ca="1" si="611"/>
        <v>5.0000000192085281E-4</v>
      </c>
      <c r="T1389">
        <f t="shared" ca="1" si="612"/>
        <v>1</v>
      </c>
      <c r="U1389">
        <f t="shared" ca="1" si="593"/>
        <v>51800.26683766341</v>
      </c>
      <c r="V1389">
        <f t="shared" ca="1" si="594"/>
        <v>269361.38755584974</v>
      </c>
      <c r="W1389">
        <f t="shared" ca="1" si="595"/>
        <v>2.5998695052916441</v>
      </c>
      <c r="X1389">
        <f t="shared" ca="1" si="596"/>
        <v>1.8933671400629237E-4</v>
      </c>
      <c r="Y1389">
        <f t="shared" ca="1" si="597"/>
        <v>52432.209337663407</v>
      </c>
      <c r="Z1389">
        <f t="shared" ca="1" si="598"/>
        <v>52432.209337665234</v>
      </c>
      <c r="AA1389">
        <f t="shared" ca="1" si="599"/>
        <v>2.2562304480281055E-12</v>
      </c>
      <c r="AB1389">
        <f t="shared" ca="1" si="600"/>
        <v>-4.999999946448952E-4</v>
      </c>
      <c r="AC1389">
        <f t="shared" ca="1" si="601"/>
        <v>1</v>
      </c>
      <c r="AD1389">
        <f ca="1">IF(V32="Supercritical",L1389,IF(V32="Subcritical",U1389,IF(AND(T1389=1,AC1389=1),IF((((F1389)*(L1389)^2)/2+(G1389)*(L1389)^3/3+(ABS(K1389)^2)/($I$5*MAX(((F1389)+(G1389)*(L1389))*(L1389),0.000001)))&gt;=(((F1389)*(U1389)^2)/2+(G1389)*(U1389)^3/3+(ABS(K1389)^2)/($I$5*MAX(((F1389)+(G1389)*(U1389))*(U1389),0.000001))),L1389,U1389),IF(T1389=1,L1389,IF(AC1389=1,U1389,MAX($D$16,POWER((ABS(K1389)^2)/($I$5*MAX(F1389,0.1)^2),1/3)))))))</f>
        <v>51800.26683766341</v>
      </c>
      <c r="AE1389">
        <f t="shared" ca="1" si="602"/>
        <v>52432.209337663407</v>
      </c>
      <c r="AF1389">
        <f t="shared" ca="1" si="603"/>
        <v>52432.209337665234</v>
      </c>
      <c r="AI1389">
        <v>0</v>
      </c>
      <c r="AJ1389">
        <v>0</v>
      </c>
      <c r="AK1389">
        <f t="shared" si="604"/>
        <v>0</v>
      </c>
      <c r="AL1389">
        <f t="shared" si="613"/>
        <v>0</v>
      </c>
      <c r="AM1389">
        <f t="shared" ca="1" si="605"/>
        <v>2.6560383008097266E-7</v>
      </c>
      <c r="AN1389" t="str">
        <f t="shared" ca="1" si="606"/>
        <v>Subcritical</v>
      </c>
      <c r="AO1389">
        <f t="shared" ca="1" si="607"/>
        <v>2.2562304480281055E-12</v>
      </c>
    </row>
    <row r="1390" spans="1:41" x14ac:dyDescent="0.35">
      <c r="A1390">
        <v>1241</v>
      </c>
      <c r="B1390">
        <v>1239.8889999999999</v>
      </c>
      <c r="C1390">
        <v>616071.02399999998</v>
      </c>
      <c r="D1390">
        <v>3096764.2629999998</v>
      </c>
      <c r="E1390">
        <v>631.94200000000001</v>
      </c>
      <c r="F1390">
        <v>5.2</v>
      </c>
      <c r="G1390">
        <v>0</v>
      </c>
      <c r="H1390" t="s">
        <v>186</v>
      </c>
      <c r="I1390">
        <v>0</v>
      </c>
      <c r="J1390">
        <f t="shared" si="608"/>
        <v>0.99899999999979627</v>
      </c>
      <c r="K1390">
        <f t="shared" si="609"/>
        <v>51</v>
      </c>
      <c r="L1390">
        <f t="shared" ca="1" si="610"/>
        <v>51797.843837663619</v>
      </c>
      <c r="M1390">
        <f t="shared" ca="1" si="587"/>
        <v>269348.78795585083</v>
      </c>
      <c r="N1390">
        <f t="shared" ca="1" si="588"/>
        <v>2.5998694991876676</v>
      </c>
      <c r="O1390">
        <f t="shared" ca="1" si="589"/>
        <v>1.8934557080078435E-4</v>
      </c>
      <c r="P1390">
        <f t="shared" ca="1" si="590"/>
        <v>52429.785837663621</v>
      </c>
      <c r="Q1390">
        <f t="shared" ca="1" si="591"/>
        <v>52429.785837665448</v>
      </c>
      <c r="R1390">
        <f t="shared" ca="1" si="592"/>
        <v>2.2564415439646509E-12</v>
      </c>
      <c r="S1390">
        <f t="shared" ca="1" si="611"/>
        <v>4.999999946448952E-4</v>
      </c>
      <c r="T1390">
        <f t="shared" ca="1" si="612"/>
        <v>1</v>
      </c>
      <c r="U1390">
        <f t="shared" ca="1" si="593"/>
        <v>51800.26683766341</v>
      </c>
      <c r="V1390">
        <f t="shared" ca="1" si="594"/>
        <v>269361.38755584974</v>
      </c>
      <c r="W1390">
        <f t="shared" ca="1" si="595"/>
        <v>2.5998695052916441</v>
      </c>
      <c r="X1390">
        <f t="shared" ca="1" si="596"/>
        <v>1.8933671400629237E-4</v>
      </c>
      <c r="Y1390">
        <f t="shared" ca="1" si="597"/>
        <v>52432.208837663413</v>
      </c>
      <c r="Z1390">
        <f t="shared" ca="1" si="598"/>
        <v>52432.208837665239</v>
      </c>
      <c r="AA1390">
        <f t="shared" ca="1" si="599"/>
        <v>2.2562304480281055E-12</v>
      </c>
      <c r="AB1390">
        <f t="shared" ca="1" si="600"/>
        <v>-5.0000000192085281E-4</v>
      </c>
      <c r="AC1390">
        <f t="shared" ca="1" si="601"/>
        <v>1</v>
      </c>
      <c r="AD1390">
        <f ca="1">IF(V32="Supercritical",L1390,IF(V32="Subcritical",U1390,IF(AND(T1390=1,AC1390=1),IF((((F1390)*(L1390)^2)/2+(G1390)*(L1390)^3/3+(ABS(K1390)^2)/($I$5*MAX(((F1390)+(G1390)*(L1390))*(L1390),0.000001)))&gt;=(((F1390)*(U1390)^2)/2+(G1390)*(U1390)^3/3+(ABS(K1390)^2)/($I$5*MAX(((F1390)+(G1390)*(U1390))*(U1390),0.000001))),L1390,U1390),IF(T1390=1,L1390,IF(AC1390=1,U1390,MAX($D$16,POWER((ABS(K1390)^2)/($I$5*MAX(F1390,0.1)^2),1/3)))))))</f>
        <v>51800.26683766341</v>
      </c>
      <c r="AE1390">
        <f t="shared" ca="1" si="602"/>
        <v>52432.208837663413</v>
      </c>
      <c r="AF1390">
        <f t="shared" ca="1" si="603"/>
        <v>52432.208837665239</v>
      </c>
      <c r="AI1390">
        <v>0</v>
      </c>
      <c r="AJ1390">
        <v>0</v>
      </c>
      <c r="AK1390">
        <f t="shared" si="604"/>
        <v>0</v>
      </c>
      <c r="AL1390">
        <f t="shared" si="613"/>
        <v>0</v>
      </c>
      <c r="AM1390">
        <f t="shared" ca="1" si="605"/>
        <v>2.6560383008097266E-7</v>
      </c>
      <c r="AN1390" t="str">
        <f t="shared" ca="1" si="606"/>
        <v>Subcritical</v>
      </c>
      <c r="AO1390">
        <f t="shared" ca="1" si="607"/>
        <v>2.2562304480281055E-12</v>
      </c>
    </row>
    <row r="1391" spans="1:41" x14ac:dyDescent="0.35">
      <c r="A1391">
        <v>1242</v>
      </c>
      <c r="B1391">
        <v>1240.8889999999999</v>
      </c>
      <c r="C1391">
        <v>616070.98199999996</v>
      </c>
      <c r="D1391">
        <v>3096763.264</v>
      </c>
      <c r="E1391">
        <v>631.94150000000002</v>
      </c>
      <c r="F1391">
        <v>5.2</v>
      </c>
      <c r="G1391">
        <v>0</v>
      </c>
      <c r="H1391" t="s">
        <v>186</v>
      </c>
      <c r="I1391">
        <v>5.7000000000000002E-2</v>
      </c>
      <c r="J1391">
        <f t="shared" si="608"/>
        <v>1</v>
      </c>
      <c r="K1391">
        <f t="shared" si="609"/>
        <v>51</v>
      </c>
      <c r="L1391">
        <f t="shared" ca="1" si="610"/>
        <v>51797.843837663619</v>
      </c>
      <c r="M1391">
        <f t="shared" ca="1" si="587"/>
        <v>269348.78795585083</v>
      </c>
      <c r="N1391">
        <f t="shared" ca="1" si="588"/>
        <v>2.5998694991876676</v>
      </c>
      <c r="O1391">
        <f t="shared" ca="1" si="589"/>
        <v>1.8934557080078435E-4</v>
      </c>
      <c r="P1391">
        <f t="shared" ca="1" si="590"/>
        <v>52429.785337663619</v>
      </c>
      <c r="Q1391">
        <f t="shared" ca="1" si="591"/>
        <v>52429.785337665446</v>
      </c>
      <c r="R1391">
        <f t="shared" ca="1" si="592"/>
        <v>2.2564415439646509E-12</v>
      </c>
      <c r="S1391">
        <f t="shared" ca="1" si="611"/>
        <v>5.0000000192085281E-4</v>
      </c>
      <c r="T1391">
        <f t="shared" ca="1" si="612"/>
        <v>1</v>
      </c>
      <c r="U1391">
        <f t="shared" ca="1" si="593"/>
        <v>51800.26683766341</v>
      </c>
      <c r="V1391">
        <f t="shared" ca="1" si="594"/>
        <v>269361.38755584974</v>
      </c>
      <c r="W1391">
        <f t="shared" ca="1" si="595"/>
        <v>2.5998695052916441</v>
      </c>
      <c r="X1391">
        <f t="shared" ca="1" si="596"/>
        <v>1.8933671400629237E-4</v>
      </c>
      <c r="Y1391">
        <f t="shared" ca="1" si="597"/>
        <v>52432.208337663411</v>
      </c>
      <c r="Z1391">
        <f t="shared" ca="1" si="598"/>
        <v>52432.208337665237</v>
      </c>
      <c r="AA1391">
        <f t="shared" ca="1" si="599"/>
        <v>2.2562304480281055E-12</v>
      </c>
      <c r="AB1391">
        <f t="shared" ca="1" si="600"/>
        <v>-5.0000000192085281E-4</v>
      </c>
      <c r="AC1391">
        <f t="shared" ca="1" si="601"/>
        <v>1</v>
      </c>
      <c r="AD1391">
        <f ca="1">IF(V32="Supercritical",L1391,IF(V32="Subcritical",U1391,IF(AND(T1391=1,AC1391=1),IF((((F1391)*(L1391)^2)/2+(G1391)*(L1391)^3/3+(ABS(K1391)^2)/($I$5*MAX(((F1391)+(G1391)*(L1391))*(L1391),0.000001)))&gt;=(((F1391)*(U1391)^2)/2+(G1391)*(U1391)^3/3+(ABS(K1391)^2)/($I$5*MAX(((F1391)+(G1391)*(U1391))*(U1391),0.000001))),L1391,U1391),IF(T1391=1,L1391,IF(AC1391=1,U1391,MAX($D$16,POWER((ABS(K1391)^2)/($I$5*MAX(F1391,0.1)^2),1/3)))))))</f>
        <v>51800.26683766341</v>
      </c>
      <c r="AE1391">
        <f t="shared" ca="1" si="602"/>
        <v>52432.208337663411</v>
      </c>
      <c r="AF1391">
        <f t="shared" ca="1" si="603"/>
        <v>52432.208337665237</v>
      </c>
      <c r="AI1391">
        <v>0</v>
      </c>
      <c r="AJ1391">
        <v>0</v>
      </c>
      <c r="AK1391">
        <f t="shared" si="604"/>
        <v>0</v>
      </c>
      <c r="AL1391">
        <f t="shared" si="613"/>
        <v>0</v>
      </c>
      <c r="AM1391">
        <f t="shared" ca="1" si="605"/>
        <v>2.6560383008097266E-7</v>
      </c>
      <c r="AN1391" t="str">
        <f t="shared" ca="1" si="606"/>
        <v>Subcritical</v>
      </c>
      <c r="AO1391">
        <f t="shared" ca="1" si="607"/>
        <v>2.2562304480281055E-12</v>
      </c>
    </row>
    <row r="1392" spans="1:41" x14ac:dyDescent="0.35">
      <c r="A1392">
        <v>1243</v>
      </c>
      <c r="B1392">
        <v>1241.8889999999999</v>
      </c>
      <c r="C1392">
        <v>616070.93900000001</v>
      </c>
      <c r="D1392">
        <v>3096762.2650000001</v>
      </c>
      <c r="E1392">
        <v>631.94100000000003</v>
      </c>
      <c r="F1392">
        <v>5.2</v>
      </c>
      <c r="G1392">
        <v>0</v>
      </c>
      <c r="H1392" t="s">
        <v>186</v>
      </c>
      <c r="I1392">
        <v>5.7000000000000002E-2</v>
      </c>
      <c r="J1392">
        <f t="shared" si="608"/>
        <v>1</v>
      </c>
      <c r="K1392">
        <f t="shared" si="609"/>
        <v>51</v>
      </c>
      <c r="L1392">
        <f t="shared" ca="1" si="610"/>
        <v>51797.843837663619</v>
      </c>
      <c r="M1392">
        <f t="shared" ca="1" si="587"/>
        <v>269348.78795585083</v>
      </c>
      <c r="N1392">
        <f t="shared" ca="1" si="588"/>
        <v>2.5998694991876676</v>
      </c>
      <c r="O1392">
        <f t="shared" ca="1" si="589"/>
        <v>1.8934557080078435E-4</v>
      </c>
      <c r="P1392">
        <f t="shared" ca="1" si="590"/>
        <v>52429.784837663618</v>
      </c>
      <c r="Q1392">
        <f t="shared" ca="1" si="591"/>
        <v>52429.784837665444</v>
      </c>
      <c r="R1392">
        <f t="shared" ca="1" si="592"/>
        <v>2.2564415439646509E-12</v>
      </c>
      <c r="S1392">
        <f t="shared" ca="1" si="611"/>
        <v>5.0000000192085281E-4</v>
      </c>
      <c r="T1392">
        <f t="shared" ca="1" si="612"/>
        <v>1</v>
      </c>
      <c r="U1392">
        <f t="shared" ca="1" si="593"/>
        <v>51800.26683766341</v>
      </c>
      <c r="V1392">
        <f t="shared" ca="1" si="594"/>
        <v>269361.38755584974</v>
      </c>
      <c r="W1392">
        <f t="shared" ca="1" si="595"/>
        <v>2.5998695052916441</v>
      </c>
      <c r="X1392">
        <f t="shared" ca="1" si="596"/>
        <v>1.8933671400629237E-4</v>
      </c>
      <c r="Y1392">
        <f t="shared" ca="1" si="597"/>
        <v>52432.207837663409</v>
      </c>
      <c r="Z1392">
        <f t="shared" ca="1" si="598"/>
        <v>52432.207837665235</v>
      </c>
      <c r="AA1392">
        <f t="shared" ca="1" si="599"/>
        <v>2.2562304480281055E-12</v>
      </c>
      <c r="AB1392">
        <f t="shared" ca="1" si="600"/>
        <v>-5.0000000192085281E-4</v>
      </c>
      <c r="AC1392">
        <f t="shared" ca="1" si="601"/>
        <v>1</v>
      </c>
      <c r="AD1392">
        <f ca="1">IF(V32="Supercritical",L1392,IF(V32="Subcritical",U1392,IF(AND(T1392=1,AC1392=1),IF((((F1392)*(L1392)^2)/2+(G1392)*(L1392)^3/3+(ABS(K1392)^2)/($I$5*MAX(((F1392)+(G1392)*(L1392))*(L1392),0.000001)))&gt;=(((F1392)*(U1392)^2)/2+(G1392)*(U1392)^3/3+(ABS(K1392)^2)/($I$5*MAX(((F1392)+(G1392)*(U1392))*(U1392),0.000001))),L1392,U1392),IF(T1392=1,L1392,IF(AC1392=1,U1392,MAX($D$16,POWER((ABS(K1392)^2)/($I$5*MAX(F1392,0.1)^2),1/3)))))))</f>
        <v>51800.26683766341</v>
      </c>
      <c r="AE1392">
        <f t="shared" ca="1" si="602"/>
        <v>52432.207837663409</v>
      </c>
      <c r="AF1392">
        <f t="shared" ca="1" si="603"/>
        <v>52432.207837665235</v>
      </c>
      <c r="AI1392">
        <v>0</v>
      </c>
      <c r="AJ1392">
        <v>0</v>
      </c>
      <c r="AK1392">
        <f t="shared" si="604"/>
        <v>0</v>
      </c>
      <c r="AL1392">
        <f t="shared" si="613"/>
        <v>0</v>
      </c>
      <c r="AM1392">
        <f t="shared" ca="1" si="605"/>
        <v>2.6560383008097266E-7</v>
      </c>
      <c r="AN1392" t="str">
        <f t="shared" ca="1" si="606"/>
        <v>Subcritical</v>
      </c>
      <c r="AO1392">
        <f t="shared" ca="1" si="607"/>
        <v>2.2562304480281055E-12</v>
      </c>
    </row>
    <row r="1393" spans="1:41" x14ac:dyDescent="0.35">
      <c r="A1393">
        <v>1244</v>
      </c>
      <c r="B1393">
        <v>1242.8889999999999</v>
      </c>
      <c r="C1393">
        <v>616070.897</v>
      </c>
      <c r="D1393">
        <v>3096761.2659999998</v>
      </c>
      <c r="E1393">
        <v>631.94050000000004</v>
      </c>
      <c r="F1393">
        <v>5.2</v>
      </c>
      <c r="G1393">
        <v>0</v>
      </c>
      <c r="H1393" t="s">
        <v>186</v>
      </c>
      <c r="I1393">
        <v>0</v>
      </c>
      <c r="J1393">
        <f t="shared" si="608"/>
        <v>1</v>
      </c>
      <c r="K1393">
        <f t="shared" si="609"/>
        <v>51</v>
      </c>
      <c r="L1393">
        <f t="shared" ca="1" si="610"/>
        <v>51797.843837663619</v>
      </c>
      <c r="M1393">
        <f t="shared" ca="1" si="587"/>
        <v>269348.78795585083</v>
      </c>
      <c r="N1393">
        <f t="shared" ca="1" si="588"/>
        <v>2.5998694991876676</v>
      </c>
      <c r="O1393">
        <f t="shared" ca="1" si="589"/>
        <v>1.8934557080078435E-4</v>
      </c>
      <c r="P1393">
        <f t="shared" ca="1" si="590"/>
        <v>52429.784337663616</v>
      </c>
      <c r="Q1393">
        <f t="shared" ca="1" si="591"/>
        <v>52429.784337665442</v>
      </c>
      <c r="R1393">
        <f t="shared" ca="1" si="592"/>
        <v>2.2564415439646509E-12</v>
      </c>
      <c r="S1393">
        <f t="shared" ca="1" si="611"/>
        <v>5.0000000192085281E-4</v>
      </c>
      <c r="T1393">
        <f t="shared" ca="1" si="612"/>
        <v>1</v>
      </c>
      <c r="U1393">
        <f t="shared" ca="1" si="593"/>
        <v>51800.26683766341</v>
      </c>
      <c r="V1393">
        <f t="shared" ca="1" si="594"/>
        <v>269361.38755584974</v>
      </c>
      <c r="W1393">
        <f t="shared" ca="1" si="595"/>
        <v>2.5998695052916441</v>
      </c>
      <c r="X1393">
        <f t="shared" ca="1" si="596"/>
        <v>1.8933671400629237E-4</v>
      </c>
      <c r="Y1393">
        <f t="shared" ca="1" si="597"/>
        <v>52432.207337663407</v>
      </c>
      <c r="Z1393">
        <f t="shared" ca="1" si="598"/>
        <v>52432.207337665233</v>
      </c>
      <c r="AA1393">
        <f t="shared" ca="1" si="599"/>
        <v>2.2562304480281055E-12</v>
      </c>
      <c r="AB1393">
        <f t="shared" ca="1" si="600"/>
        <v>-4.999999946448952E-4</v>
      </c>
      <c r="AC1393">
        <f t="shared" ca="1" si="601"/>
        <v>1</v>
      </c>
      <c r="AD1393">
        <f ca="1">IF(V32="Supercritical",L1393,IF(V32="Subcritical",U1393,IF(AND(T1393=1,AC1393=1),IF((((F1393)*(L1393)^2)/2+(G1393)*(L1393)^3/3+(ABS(K1393)^2)/($I$5*MAX(((F1393)+(G1393)*(L1393))*(L1393),0.000001)))&gt;=(((F1393)*(U1393)^2)/2+(G1393)*(U1393)^3/3+(ABS(K1393)^2)/($I$5*MAX(((F1393)+(G1393)*(U1393))*(U1393),0.000001))),L1393,U1393),IF(T1393=1,L1393,IF(AC1393=1,U1393,MAX($D$16,POWER((ABS(K1393)^2)/($I$5*MAX(F1393,0.1)^2),1/3)))))))</f>
        <v>51800.26683766341</v>
      </c>
      <c r="AE1393">
        <f t="shared" ca="1" si="602"/>
        <v>52432.207337663407</v>
      </c>
      <c r="AF1393">
        <f t="shared" ca="1" si="603"/>
        <v>52432.207337665233</v>
      </c>
      <c r="AI1393">
        <v>0</v>
      </c>
      <c r="AJ1393">
        <v>0</v>
      </c>
      <c r="AK1393">
        <f t="shared" si="604"/>
        <v>0</v>
      </c>
      <c r="AL1393">
        <f t="shared" si="613"/>
        <v>0</v>
      </c>
      <c r="AM1393">
        <f t="shared" ca="1" si="605"/>
        <v>2.6560383008097266E-7</v>
      </c>
      <c r="AN1393" t="str">
        <f t="shared" ca="1" si="606"/>
        <v>Subcritical</v>
      </c>
      <c r="AO1393">
        <f t="shared" ca="1" si="607"/>
        <v>2.2562304480281055E-12</v>
      </c>
    </row>
    <row r="1394" spans="1:41" x14ac:dyDescent="0.35">
      <c r="A1394">
        <v>1245</v>
      </c>
      <c r="B1394">
        <v>1243.8889999999999</v>
      </c>
      <c r="C1394">
        <v>616070.85499999998</v>
      </c>
      <c r="D1394">
        <v>3096760.267</v>
      </c>
      <c r="E1394">
        <v>631.94000000000005</v>
      </c>
      <c r="F1394">
        <v>5.2</v>
      </c>
      <c r="G1394">
        <v>0</v>
      </c>
      <c r="H1394" t="s">
        <v>186</v>
      </c>
      <c r="I1394">
        <v>0</v>
      </c>
      <c r="J1394">
        <f t="shared" si="608"/>
        <v>1</v>
      </c>
      <c r="K1394">
        <f t="shared" si="609"/>
        <v>51</v>
      </c>
      <c r="L1394">
        <f t="shared" ca="1" si="610"/>
        <v>51797.843837663619</v>
      </c>
      <c r="M1394">
        <f t="shared" ca="1" si="587"/>
        <v>269348.78795585083</v>
      </c>
      <c r="N1394">
        <f t="shared" ca="1" si="588"/>
        <v>2.5998694991876676</v>
      </c>
      <c r="O1394">
        <f t="shared" ca="1" si="589"/>
        <v>1.8934557080078435E-4</v>
      </c>
      <c r="P1394">
        <f t="shared" ca="1" si="590"/>
        <v>52429.783837663621</v>
      </c>
      <c r="Q1394">
        <f t="shared" ca="1" si="591"/>
        <v>52429.783837665447</v>
      </c>
      <c r="R1394">
        <f t="shared" ca="1" si="592"/>
        <v>2.2564415439646509E-12</v>
      </c>
      <c r="S1394">
        <f t="shared" ca="1" si="611"/>
        <v>4.999999946448952E-4</v>
      </c>
      <c r="T1394">
        <f t="shared" ca="1" si="612"/>
        <v>1</v>
      </c>
      <c r="U1394">
        <f t="shared" ca="1" si="593"/>
        <v>51800.26683766341</v>
      </c>
      <c r="V1394">
        <f t="shared" ca="1" si="594"/>
        <v>269361.38755584974</v>
      </c>
      <c r="W1394">
        <f t="shared" ca="1" si="595"/>
        <v>2.5998695052916441</v>
      </c>
      <c r="X1394">
        <f t="shared" ca="1" si="596"/>
        <v>1.8933671400629237E-4</v>
      </c>
      <c r="Y1394">
        <f t="shared" ca="1" si="597"/>
        <v>52432.206837663412</v>
      </c>
      <c r="Z1394">
        <f t="shared" ca="1" si="598"/>
        <v>52432.206837665239</v>
      </c>
      <c r="AA1394">
        <f t="shared" ca="1" si="599"/>
        <v>2.2562304480281055E-12</v>
      </c>
      <c r="AB1394">
        <f t="shared" ca="1" si="600"/>
        <v>-5.0000000192085281E-4</v>
      </c>
      <c r="AC1394">
        <f t="shared" ca="1" si="601"/>
        <v>1</v>
      </c>
      <c r="AD1394">
        <f ca="1">IF(V32="Supercritical",L1394,IF(V32="Subcritical",U1394,IF(AND(T1394=1,AC1394=1),IF((((F1394)*(L1394)^2)/2+(G1394)*(L1394)^3/3+(ABS(K1394)^2)/($I$5*MAX(((F1394)+(G1394)*(L1394))*(L1394),0.000001)))&gt;=(((F1394)*(U1394)^2)/2+(G1394)*(U1394)^3/3+(ABS(K1394)^2)/($I$5*MAX(((F1394)+(G1394)*(U1394))*(U1394),0.000001))),L1394,U1394),IF(T1394=1,L1394,IF(AC1394=1,U1394,MAX($D$16,POWER((ABS(K1394)^2)/($I$5*MAX(F1394,0.1)^2),1/3)))))))</f>
        <v>51800.26683766341</v>
      </c>
      <c r="AE1394">
        <f t="shared" ca="1" si="602"/>
        <v>52432.206837663412</v>
      </c>
      <c r="AF1394">
        <f t="shared" ca="1" si="603"/>
        <v>52432.206837665239</v>
      </c>
      <c r="AI1394">
        <v>0</v>
      </c>
      <c r="AJ1394">
        <v>0</v>
      </c>
      <c r="AK1394">
        <f t="shared" si="604"/>
        <v>0</v>
      </c>
      <c r="AL1394">
        <f t="shared" si="613"/>
        <v>0</v>
      </c>
      <c r="AM1394">
        <f t="shared" ca="1" si="605"/>
        <v>2.6560383008097266E-7</v>
      </c>
      <c r="AN1394" t="str">
        <f t="shared" ca="1" si="606"/>
        <v>Subcritical</v>
      </c>
      <c r="AO1394">
        <f t="shared" ca="1" si="607"/>
        <v>2.2562304480281055E-12</v>
      </c>
    </row>
    <row r="1395" spans="1:41" x14ac:dyDescent="0.35">
      <c r="A1395">
        <v>1246</v>
      </c>
      <c r="B1395">
        <v>1244.8889999999999</v>
      </c>
      <c r="C1395">
        <v>616070.81299999997</v>
      </c>
      <c r="D1395">
        <v>3096759.2680000002</v>
      </c>
      <c r="E1395">
        <v>631.93949999999995</v>
      </c>
      <c r="F1395">
        <v>5.2</v>
      </c>
      <c r="G1395">
        <v>0</v>
      </c>
      <c r="H1395" t="s">
        <v>186</v>
      </c>
      <c r="I1395">
        <v>5.7000000000000002E-2</v>
      </c>
      <c r="J1395">
        <f t="shared" si="608"/>
        <v>1</v>
      </c>
      <c r="K1395">
        <f t="shared" si="609"/>
        <v>51</v>
      </c>
      <c r="L1395">
        <f t="shared" ca="1" si="610"/>
        <v>51797.843837663619</v>
      </c>
      <c r="M1395">
        <f t="shared" ca="1" si="587"/>
        <v>269348.78795585083</v>
      </c>
      <c r="N1395">
        <f t="shared" ca="1" si="588"/>
        <v>2.5998694991876676</v>
      </c>
      <c r="O1395">
        <f t="shared" ca="1" si="589"/>
        <v>1.8934557080078435E-4</v>
      </c>
      <c r="P1395">
        <f t="shared" ca="1" si="590"/>
        <v>52429.783337663619</v>
      </c>
      <c r="Q1395">
        <f t="shared" ca="1" si="591"/>
        <v>52429.783337665445</v>
      </c>
      <c r="R1395">
        <f t="shared" ca="1" si="592"/>
        <v>2.2564415439646509E-12</v>
      </c>
      <c r="S1395">
        <f t="shared" ca="1" si="611"/>
        <v>5.0000000192085281E-4</v>
      </c>
      <c r="T1395">
        <f t="shared" ca="1" si="612"/>
        <v>1</v>
      </c>
      <c r="U1395">
        <f t="shared" ca="1" si="593"/>
        <v>51800.26683766341</v>
      </c>
      <c r="V1395">
        <f t="shared" ca="1" si="594"/>
        <v>269361.38755584974</v>
      </c>
      <c r="W1395">
        <f t="shared" ca="1" si="595"/>
        <v>2.5998695052916441</v>
      </c>
      <c r="X1395">
        <f t="shared" ca="1" si="596"/>
        <v>1.8933671400629237E-4</v>
      </c>
      <c r="Y1395">
        <f t="shared" ca="1" si="597"/>
        <v>52432.206337663411</v>
      </c>
      <c r="Z1395">
        <f t="shared" ca="1" si="598"/>
        <v>52432.206337665237</v>
      </c>
      <c r="AA1395">
        <f t="shared" ca="1" si="599"/>
        <v>2.2562304480281055E-12</v>
      </c>
      <c r="AB1395">
        <f t="shared" ca="1" si="600"/>
        <v>-5.0000000192085281E-4</v>
      </c>
      <c r="AC1395">
        <f t="shared" ca="1" si="601"/>
        <v>1</v>
      </c>
      <c r="AD1395">
        <f ca="1">IF(V32="Supercritical",L1395,IF(V32="Subcritical",U1395,IF(AND(T1395=1,AC1395=1),IF((((F1395)*(L1395)^2)/2+(G1395)*(L1395)^3/3+(ABS(K1395)^2)/($I$5*MAX(((F1395)+(G1395)*(L1395))*(L1395),0.000001)))&gt;=(((F1395)*(U1395)^2)/2+(G1395)*(U1395)^3/3+(ABS(K1395)^2)/($I$5*MAX(((F1395)+(G1395)*(U1395))*(U1395),0.000001))),L1395,U1395),IF(T1395=1,L1395,IF(AC1395=1,U1395,MAX($D$16,POWER((ABS(K1395)^2)/($I$5*MAX(F1395,0.1)^2),1/3)))))))</f>
        <v>51800.26683766341</v>
      </c>
      <c r="AE1395">
        <f t="shared" ca="1" si="602"/>
        <v>52432.206337663411</v>
      </c>
      <c r="AF1395">
        <f t="shared" ca="1" si="603"/>
        <v>52432.206337665237</v>
      </c>
      <c r="AI1395">
        <v>0</v>
      </c>
      <c r="AJ1395">
        <v>0</v>
      </c>
      <c r="AK1395">
        <f t="shared" si="604"/>
        <v>0</v>
      </c>
      <c r="AL1395">
        <f t="shared" si="613"/>
        <v>0</v>
      </c>
      <c r="AM1395">
        <f t="shared" ca="1" si="605"/>
        <v>2.6560383008097266E-7</v>
      </c>
      <c r="AN1395" t="str">
        <f t="shared" ca="1" si="606"/>
        <v>Subcritical</v>
      </c>
      <c r="AO1395">
        <f t="shared" ca="1" si="607"/>
        <v>2.2562304480281055E-12</v>
      </c>
    </row>
    <row r="1396" spans="1:41" x14ac:dyDescent="0.35">
      <c r="A1396">
        <v>1247</v>
      </c>
      <c r="B1396">
        <v>1245.8889999999999</v>
      </c>
      <c r="C1396">
        <v>616070.77</v>
      </c>
      <c r="D1396">
        <v>3096758.2689999999</v>
      </c>
      <c r="E1396">
        <v>631.93899999999996</v>
      </c>
      <c r="F1396">
        <v>5.2</v>
      </c>
      <c r="G1396">
        <v>0</v>
      </c>
      <c r="H1396" t="s">
        <v>186</v>
      </c>
      <c r="I1396">
        <v>0.06</v>
      </c>
      <c r="J1396">
        <f t="shared" si="608"/>
        <v>1</v>
      </c>
      <c r="K1396">
        <f t="shared" si="609"/>
        <v>51</v>
      </c>
      <c r="L1396">
        <f t="shared" ca="1" si="610"/>
        <v>51797.843837663619</v>
      </c>
      <c r="M1396">
        <f t="shared" ca="1" si="587"/>
        <v>269348.78795585083</v>
      </c>
      <c r="N1396">
        <f t="shared" ca="1" si="588"/>
        <v>2.5998694991876676</v>
      </c>
      <c r="O1396">
        <f t="shared" ca="1" si="589"/>
        <v>1.8934557080078435E-4</v>
      </c>
      <c r="P1396">
        <f t="shared" ca="1" si="590"/>
        <v>52429.782837663617</v>
      </c>
      <c r="Q1396">
        <f t="shared" ca="1" si="591"/>
        <v>52429.782837665443</v>
      </c>
      <c r="R1396">
        <f t="shared" ca="1" si="592"/>
        <v>2.2564415439646509E-12</v>
      </c>
      <c r="S1396">
        <f t="shared" ca="1" si="611"/>
        <v>5.0000000192085281E-4</v>
      </c>
      <c r="T1396">
        <f t="shared" ca="1" si="612"/>
        <v>1</v>
      </c>
      <c r="U1396">
        <f t="shared" ca="1" si="593"/>
        <v>51800.26683766341</v>
      </c>
      <c r="V1396">
        <f t="shared" ca="1" si="594"/>
        <v>269361.38755584974</v>
      </c>
      <c r="W1396">
        <f t="shared" ca="1" si="595"/>
        <v>2.5998695052916441</v>
      </c>
      <c r="X1396">
        <f t="shared" ca="1" si="596"/>
        <v>1.8933671400629237E-4</v>
      </c>
      <c r="Y1396">
        <f t="shared" ca="1" si="597"/>
        <v>52432.205837663409</v>
      </c>
      <c r="Z1396">
        <f t="shared" ca="1" si="598"/>
        <v>52432.205837665235</v>
      </c>
      <c r="AA1396">
        <f t="shared" ca="1" si="599"/>
        <v>2.2562304480281055E-12</v>
      </c>
      <c r="AB1396">
        <f t="shared" ca="1" si="600"/>
        <v>-5.0000000192085281E-4</v>
      </c>
      <c r="AC1396">
        <f t="shared" ca="1" si="601"/>
        <v>1</v>
      </c>
      <c r="AD1396">
        <f ca="1">IF(V32="Supercritical",L1396,IF(V32="Subcritical",U1396,IF(AND(T1396=1,AC1396=1),IF((((F1396)*(L1396)^2)/2+(G1396)*(L1396)^3/3+(ABS(K1396)^2)/($I$5*MAX(((F1396)+(G1396)*(L1396))*(L1396),0.000001)))&gt;=(((F1396)*(U1396)^2)/2+(G1396)*(U1396)^3/3+(ABS(K1396)^2)/($I$5*MAX(((F1396)+(G1396)*(U1396))*(U1396),0.000001))),L1396,U1396),IF(T1396=1,L1396,IF(AC1396=1,U1396,MAX($D$16,POWER((ABS(K1396)^2)/($I$5*MAX(F1396,0.1)^2),1/3)))))))</f>
        <v>51800.26683766341</v>
      </c>
      <c r="AE1396">
        <f t="shared" ca="1" si="602"/>
        <v>52432.205837663409</v>
      </c>
      <c r="AF1396">
        <f t="shared" ca="1" si="603"/>
        <v>52432.205837665235</v>
      </c>
      <c r="AI1396">
        <v>0</v>
      </c>
      <c r="AJ1396">
        <v>0</v>
      </c>
      <c r="AK1396">
        <f t="shared" si="604"/>
        <v>0</v>
      </c>
      <c r="AL1396">
        <f t="shared" si="613"/>
        <v>0</v>
      </c>
      <c r="AM1396">
        <f t="shared" ca="1" si="605"/>
        <v>2.6560383008097266E-7</v>
      </c>
      <c r="AN1396" t="str">
        <f t="shared" ca="1" si="606"/>
        <v>Subcritical</v>
      </c>
      <c r="AO1396">
        <f t="shared" ca="1" si="607"/>
        <v>2.2562304480281055E-12</v>
      </c>
    </row>
    <row r="1397" spans="1:41" x14ac:dyDescent="0.35">
      <c r="A1397">
        <v>1248</v>
      </c>
      <c r="B1397">
        <v>1246.8900000000001</v>
      </c>
      <c r="C1397">
        <v>616070.728</v>
      </c>
      <c r="D1397">
        <v>3096757.2689999999</v>
      </c>
      <c r="E1397">
        <v>631.93849999999998</v>
      </c>
      <c r="F1397">
        <v>5.2</v>
      </c>
      <c r="G1397">
        <v>0</v>
      </c>
      <c r="H1397" t="s">
        <v>186</v>
      </c>
      <c r="I1397">
        <v>2E-3</v>
      </c>
      <c r="J1397">
        <f t="shared" si="608"/>
        <v>1.0010000000002037</v>
      </c>
      <c r="K1397">
        <f t="shared" si="609"/>
        <v>51</v>
      </c>
      <c r="L1397">
        <f t="shared" ca="1" si="610"/>
        <v>51797.843837663619</v>
      </c>
      <c r="M1397">
        <f t="shared" ca="1" si="587"/>
        <v>269348.78795585083</v>
      </c>
      <c r="N1397">
        <f t="shared" ca="1" si="588"/>
        <v>2.5998694991876676</v>
      </c>
      <c r="O1397">
        <f t="shared" ca="1" si="589"/>
        <v>1.8934557080078435E-4</v>
      </c>
      <c r="P1397">
        <f t="shared" ca="1" si="590"/>
        <v>52429.782337663615</v>
      </c>
      <c r="Q1397">
        <f t="shared" ca="1" si="591"/>
        <v>52429.782337665441</v>
      </c>
      <c r="R1397">
        <f t="shared" ca="1" si="592"/>
        <v>2.2564415439646509E-12</v>
      </c>
      <c r="S1397">
        <f t="shared" ca="1" si="611"/>
        <v>5.0000000192085281E-4</v>
      </c>
      <c r="T1397">
        <f t="shared" ca="1" si="612"/>
        <v>1</v>
      </c>
      <c r="U1397">
        <f t="shared" ca="1" si="593"/>
        <v>51800.26683766341</v>
      </c>
      <c r="V1397">
        <f t="shared" ca="1" si="594"/>
        <v>269361.38755584974</v>
      </c>
      <c r="W1397">
        <f t="shared" ca="1" si="595"/>
        <v>2.5998695052916441</v>
      </c>
      <c r="X1397">
        <f t="shared" ca="1" si="596"/>
        <v>1.8933671400629237E-4</v>
      </c>
      <c r="Y1397">
        <f t="shared" ca="1" si="597"/>
        <v>52432.205337663407</v>
      </c>
      <c r="Z1397">
        <f t="shared" ca="1" si="598"/>
        <v>52432.205337665233</v>
      </c>
      <c r="AA1397">
        <f t="shared" ca="1" si="599"/>
        <v>2.2562304480281055E-12</v>
      </c>
      <c r="AB1397">
        <f t="shared" ca="1" si="600"/>
        <v>-4.999999946448952E-4</v>
      </c>
      <c r="AC1397">
        <f t="shared" ca="1" si="601"/>
        <v>1</v>
      </c>
      <c r="AD1397">
        <f ca="1">IF(V32="Supercritical",L1397,IF(V32="Subcritical",U1397,IF(AND(T1397=1,AC1397=1),IF((((F1397)*(L1397)^2)/2+(G1397)*(L1397)^3/3+(ABS(K1397)^2)/($I$5*MAX(((F1397)+(G1397)*(L1397))*(L1397),0.000001)))&gt;=(((F1397)*(U1397)^2)/2+(G1397)*(U1397)^3/3+(ABS(K1397)^2)/($I$5*MAX(((F1397)+(G1397)*(U1397))*(U1397),0.000001))),L1397,U1397),IF(T1397=1,L1397,IF(AC1397=1,U1397,MAX($D$16,POWER((ABS(K1397)^2)/($I$5*MAX(F1397,0.1)^2),1/3)))))))</f>
        <v>51800.26683766341</v>
      </c>
      <c r="AE1397">
        <f t="shared" ca="1" si="602"/>
        <v>52432.205337663407</v>
      </c>
      <c r="AF1397">
        <f t="shared" ca="1" si="603"/>
        <v>52432.205337665233</v>
      </c>
      <c r="AI1397">
        <v>0</v>
      </c>
      <c r="AJ1397">
        <v>0</v>
      </c>
      <c r="AK1397">
        <f t="shared" si="604"/>
        <v>0</v>
      </c>
      <c r="AL1397">
        <f t="shared" si="613"/>
        <v>0</v>
      </c>
      <c r="AM1397">
        <f t="shared" ca="1" si="605"/>
        <v>2.6560383008097266E-7</v>
      </c>
      <c r="AN1397" t="str">
        <f t="shared" ca="1" si="606"/>
        <v>Subcritical</v>
      </c>
      <c r="AO1397">
        <f t="shared" ca="1" si="607"/>
        <v>2.2562304480281055E-12</v>
      </c>
    </row>
    <row r="1398" spans="1:41" x14ac:dyDescent="0.35">
      <c r="A1398">
        <v>1249</v>
      </c>
      <c r="B1398">
        <v>1247.8900000000001</v>
      </c>
      <c r="C1398">
        <v>616070.68599999999</v>
      </c>
      <c r="D1398">
        <v>3096756.27</v>
      </c>
      <c r="E1398">
        <v>631.93799999999999</v>
      </c>
      <c r="F1398">
        <v>5.2</v>
      </c>
      <c r="G1398">
        <v>0</v>
      </c>
      <c r="H1398" t="s">
        <v>186</v>
      </c>
      <c r="I1398">
        <v>0</v>
      </c>
      <c r="J1398">
        <f t="shared" si="608"/>
        <v>1</v>
      </c>
      <c r="K1398">
        <f t="shared" si="609"/>
        <v>51</v>
      </c>
      <c r="L1398">
        <f t="shared" ca="1" si="610"/>
        <v>51797.843837663619</v>
      </c>
      <c r="M1398">
        <f t="shared" ca="1" si="587"/>
        <v>269348.78795585083</v>
      </c>
      <c r="N1398">
        <f t="shared" ca="1" si="588"/>
        <v>2.5998694991876676</v>
      </c>
      <c r="O1398">
        <f t="shared" ca="1" si="589"/>
        <v>1.8934557080078435E-4</v>
      </c>
      <c r="P1398">
        <f t="shared" ca="1" si="590"/>
        <v>52429.781837663621</v>
      </c>
      <c r="Q1398">
        <f t="shared" ca="1" si="591"/>
        <v>52429.781837665447</v>
      </c>
      <c r="R1398">
        <f t="shared" ca="1" si="592"/>
        <v>2.2564415439646509E-12</v>
      </c>
      <c r="S1398">
        <f t="shared" ca="1" si="611"/>
        <v>4.999999946448952E-4</v>
      </c>
      <c r="T1398">
        <f t="shared" ca="1" si="612"/>
        <v>1</v>
      </c>
      <c r="U1398">
        <f t="shared" ca="1" si="593"/>
        <v>51800.26683766341</v>
      </c>
      <c r="V1398">
        <f t="shared" ca="1" si="594"/>
        <v>269361.38755584974</v>
      </c>
      <c r="W1398">
        <f t="shared" ca="1" si="595"/>
        <v>2.5998695052916441</v>
      </c>
      <c r="X1398">
        <f t="shared" ca="1" si="596"/>
        <v>1.8933671400629237E-4</v>
      </c>
      <c r="Y1398">
        <f t="shared" ca="1" si="597"/>
        <v>52432.204837663412</v>
      </c>
      <c r="Z1398">
        <f t="shared" ca="1" si="598"/>
        <v>52432.204837665238</v>
      </c>
      <c r="AA1398">
        <f t="shared" ca="1" si="599"/>
        <v>2.2562304480281055E-12</v>
      </c>
      <c r="AB1398">
        <f t="shared" ca="1" si="600"/>
        <v>-5.0000000192085281E-4</v>
      </c>
      <c r="AC1398">
        <f t="shared" ca="1" si="601"/>
        <v>1</v>
      </c>
      <c r="AD1398">
        <f ca="1">IF(V32="Supercritical",L1398,IF(V32="Subcritical",U1398,IF(AND(T1398=1,AC1398=1),IF((((F1398)*(L1398)^2)/2+(G1398)*(L1398)^3/3+(ABS(K1398)^2)/($I$5*MAX(((F1398)+(G1398)*(L1398))*(L1398),0.000001)))&gt;=(((F1398)*(U1398)^2)/2+(G1398)*(U1398)^3/3+(ABS(K1398)^2)/($I$5*MAX(((F1398)+(G1398)*(U1398))*(U1398),0.000001))),L1398,U1398),IF(T1398=1,L1398,IF(AC1398=1,U1398,MAX($D$16,POWER((ABS(K1398)^2)/($I$5*MAX(F1398,0.1)^2),1/3)))))))</f>
        <v>51800.26683766341</v>
      </c>
      <c r="AE1398">
        <f t="shared" ca="1" si="602"/>
        <v>52432.204837663412</v>
      </c>
      <c r="AF1398">
        <f t="shared" ca="1" si="603"/>
        <v>52432.204837665238</v>
      </c>
      <c r="AI1398">
        <v>0</v>
      </c>
      <c r="AJ1398">
        <v>0</v>
      </c>
      <c r="AK1398">
        <f t="shared" si="604"/>
        <v>0</v>
      </c>
      <c r="AL1398">
        <f t="shared" si="613"/>
        <v>0</v>
      </c>
      <c r="AM1398">
        <f t="shared" ca="1" si="605"/>
        <v>2.6560383008097266E-7</v>
      </c>
      <c r="AN1398" t="str">
        <f t="shared" ca="1" si="606"/>
        <v>Subcritical</v>
      </c>
      <c r="AO1398">
        <f t="shared" ca="1" si="607"/>
        <v>2.2562304480281055E-12</v>
      </c>
    </row>
    <row r="1399" spans="1:41" x14ac:dyDescent="0.35">
      <c r="A1399">
        <v>1250</v>
      </c>
      <c r="B1399">
        <v>1248.8889999999999</v>
      </c>
      <c r="C1399">
        <v>616070.64399999997</v>
      </c>
      <c r="D1399">
        <v>3096755.2710000002</v>
      </c>
      <c r="E1399">
        <v>631.9375</v>
      </c>
      <c r="F1399">
        <v>5.2</v>
      </c>
      <c r="G1399">
        <v>0</v>
      </c>
      <c r="H1399" t="s">
        <v>186</v>
      </c>
      <c r="I1399">
        <v>5.7000000000000002E-2</v>
      </c>
      <c r="J1399">
        <f t="shared" si="608"/>
        <v>0.99899999999979627</v>
      </c>
      <c r="K1399">
        <f t="shared" si="609"/>
        <v>51</v>
      </c>
      <c r="L1399">
        <f t="shared" ca="1" si="610"/>
        <v>51797.843837663619</v>
      </c>
      <c r="M1399">
        <f t="shared" ca="1" si="587"/>
        <v>269348.78795585083</v>
      </c>
      <c r="N1399">
        <f t="shared" ca="1" si="588"/>
        <v>2.5998694991876676</v>
      </c>
      <c r="O1399">
        <f t="shared" ca="1" si="589"/>
        <v>1.8934557080078435E-4</v>
      </c>
      <c r="P1399">
        <f t="shared" ca="1" si="590"/>
        <v>52429.781337663619</v>
      </c>
      <c r="Q1399">
        <f t="shared" ca="1" si="591"/>
        <v>52429.781337665445</v>
      </c>
      <c r="R1399">
        <f t="shared" ca="1" si="592"/>
        <v>2.2564415439646509E-12</v>
      </c>
      <c r="S1399">
        <f t="shared" ca="1" si="611"/>
        <v>5.0000000192085281E-4</v>
      </c>
      <c r="T1399">
        <f t="shared" ca="1" si="612"/>
        <v>1</v>
      </c>
      <c r="U1399">
        <f t="shared" ca="1" si="593"/>
        <v>51800.26683766341</v>
      </c>
      <c r="V1399">
        <f t="shared" ca="1" si="594"/>
        <v>269361.38755584974</v>
      </c>
      <c r="W1399">
        <f t="shared" ca="1" si="595"/>
        <v>2.5998695052916441</v>
      </c>
      <c r="X1399">
        <f t="shared" ca="1" si="596"/>
        <v>1.8933671400629237E-4</v>
      </c>
      <c r="Y1399">
        <f t="shared" ca="1" si="597"/>
        <v>52432.20433766341</v>
      </c>
      <c r="Z1399">
        <f t="shared" ca="1" si="598"/>
        <v>52432.204337665236</v>
      </c>
      <c r="AA1399">
        <f t="shared" ca="1" si="599"/>
        <v>2.2562304480281055E-12</v>
      </c>
      <c r="AB1399">
        <f t="shared" ca="1" si="600"/>
        <v>-5.0000000192085281E-4</v>
      </c>
      <c r="AC1399">
        <f t="shared" ca="1" si="601"/>
        <v>1</v>
      </c>
      <c r="AD1399">
        <f ca="1">IF(V32="Supercritical",L1399,IF(V32="Subcritical",U1399,IF(AND(T1399=1,AC1399=1),IF((((F1399)*(L1399)^2)/2+(G1399)*(L1399)^3/3+(ABS(K1399)^2)/($I$5*MAX(((F1399)+(G1399)*(L1399))*(L1399),0.000001)))&gt;=(((F1399)*(U1399)^2)/2+(G1399)*(U1399)^3/3+(ABS(K1399)^2)/($I$5*MAX(((F1399)+(G1399)*(U1399))*(U1399),0.000001))),L1399,U1399),IF(T1399=1,L1399,IF(AC1399=1,U1399,MAX($D$16,POWER((ABS(K1399)^2)/($I$5*MAX(F1399,0.1)^2),1/3)))))))</f>
        <v>51800.26683766341</v>
      </c>
      <c r="AE1399">
        <f t="shared" ca="1" si="602"/>
        <v>52432.20433766341</v>
      </c>
      <c r="AF1399">
        <f t="shared" ca="1" si="603"/>
        <v>52432.204337665236</v>
      </c>
      <c r="AI1399">
        <v>0</v>
      </c>
      <c r="AJ1399">
        <v>0</v>
      </c>
      <c r="AK1399">
        <f t="shared" si="604"/>
        <v>0</v>
      </c>
      <c r="AL1399">
        <f t="shared" si="613"/>
        <v>0</v>
      </c>
      <c r="AM1399">
        <f t="shared" ca="1" si="605"/>
        <v>2.6560383008097266E-7</v>
      </c>
      <c r="AN1399" t="str">
        <f t="shared" ca="1" si="606"/>
        <v>Subcritical</v>
      </c>
      <c r="AO1399">
        <f t="shared" ca="1" si="607"/>
        <v>2.2562304480281055E-12</v>
      </c>
    </row>
    <row r="1400" spans="1:41" x14ac:dyDescent="0.35">
      <c r="A1400">
        <v>1251</v>
      </c>
      <c r="B1400">
        <v>1249.8889999999999</v>
      </c>
      <c r="C1400">
        <v>616070.60100000002</v>
      </c>
      <c r="D1400">
        <v>3096754.2719999999</v>
      </c>
      <c r="E1400">
        <v>631.93700000000001</v>
      </c>
      <c r="F1400">
        <v>5.2</v>
      </c>
      <c r="G1400">
        <v>0</v>
      </c>
      <c r="H1400" t="s">
        <v>186</v>
      </c>
      <c r="I1400">
        <v>5.7000000000000002E-2</v>
      </c>
      <c r="J1400">
        <f t="shared" si="608"/>
        <v>1</v>
      </c>
      <c r="K1400">
        <f t="shared" si="609"/>
        <v>51</v>
      </c>
      <c r="L1400">
        <f t="shared" ca="1" si="610"/>
        <v>51797.843837663619</v>
      </c>
      <c r="M1400">
        <f t="shared" ca="1" si="587"/>
        <v>269348.78795585083</v>
      </c>
      <c r="N1400">
        <f t="shared" ca="1" si="588"/>
        <v>2.5998694991876676</v>
      </c>
      <c r="O1400">
        <f t="shared" ca="1" si="589"/>
        <v>1.8934557080078435E-4</v>
      </c>
      <c r="P1400">
        <f t="shared" ca="1" si="590"/>
        <v>52429.780837663617</v>
      </c>
      <c r="Q1400">
        <f t="shared" ca="1" si="591"/>
        <v>52429.780837665443</v>
      </c>
      <c r="R1400">
        <f t="shared" ca="1" si="592"/>
        <v>2.2564415439646509E-12</v>
      </c>
      <c r="S1400">
        <f t="shared" ca="1" si="611"/>
        <v>5.0000000192085281E-4</v>
      </c>
      <c r="T1400">
        <f t="shared" ca="1" si="612"/>
        <v>1</v>
      </c>
      <c r="U1400">
        <f t="shared" ca="1" si="593"/>
        <v>51800.26683766341</v>
      </c>
      <c r="V1400">
        <f t="shared" ca="1" si="594"/>
        <v>269361.38755584974</v>
      </c>
      <c r="W1400">
        <f t="shared" ca="1" si="595"/>
        <v>2.5998695052916441</v>
      </c>
      <c r="X1400">
        <f t="shared" ca="1" si="596"/>
        <v>1.8933671400629237E-4</v>
      </c>
      <c r="Y1400">
        <f t="shared" ca="1" si="597"/>
        <v>52432.203837663408</v>
      </c>
      <c r="Z1400">
        <f t="shared" ca="1" si="598"/>
        <v>52432.203837665234</v>
      </c>
      <c r="AA1400">
        <f t="shared" ca="1" si="599"/>
        <v>2.2562304480281055E-12</v>
      </c>
      <c r="AB1400">
        <f t="shared" ca="1" si="600"/>
        <v>-4.999999946448952E-4</v>
      </c>
      <c r="AC1400">
        <f t="shared" ca="1" si="601"/>
        <v>1</v>
      </c>
      <c r="AD1400">
        <f ca="1">IF(V32="Supercritical",L1400,IF(V32="Subcritical",U1400,IF(AND(T1400=1,AC1400=1),IF((((F1400)*(L1400)^2)/2+(G1400)*(L1400)^3/3+(ABS(K1400)^2)/($I$5*MAX(((F1400)+(G1400)*(L1400))*(L1400),0.000001)))&gt;=(((F1400)*(U1400)^2)/2+(G1400)*(U1400)^3/3+(ABS(K1400)^2)/($I$5*MAX(((F1400)+(G1400)*(U1400))*(U1400),0.000001))),L1400,U1400),IF(T1400=1,L1400,IF(AC1400=1,U1400,MAX($D$16,POWER((ABS(K1400)^2)/($I$5*MAX(F1400,0.1)^2),1/3)))))))</f>
        <v>51800.26683766341</v>
      </c>
      <c r="AE1400">
        <f t="shared" ca="1" si="602"/>
        <v>52432.203837663408</v>
      </c>
      <c r="AF1400">
        <f t="shared" ca="1" si="603"/>
        <v>52432.203837665234</v>
      </c>
      <c r="AI1400">
        <v>0</v>
      </c>
      <c r="AJ1400">
        <v>0</v>
      </c>
      <c r="AK1400">
        <f t="shared" si="604"/>
        <v>0</v>
      </c>
      <c r="AL1400">
        <f t="shared" si="613"/>
        <v>0</v>
      </c>
      <c r="AM1400">
        <f t="shared" ca="1" si="605"/>
        <v>2.6560383008097266E-7</v>
      </c>
      <c r="AN1400" t="str">
        <f t="shared" ca="1" si="606"/>
        <v>Subcritical</v>
      </c>
      <c r="AO1400">
        <f t="shared" ca="1" si="607"/>
        <v>2.2562304480281055E-12</v>
      </c>
    </row>
    <row r="1401" spans="1:41" x14ac:dyDescent="0.35">
      <c r="A1401">
        <v>1252</v>
      </c>
      <c r="B1401">
        <v>1250.8889999999999</v>
      </c>
      <c r="C1401">
        <v>616070.55900000001</v>
      </c>
      <c r="D1401">
        <v>3096753.273</v>
      </c>
      <c r="E1401">
        <v>631.93650000000002</v>
      </c>
      <c r="F1401">
        <v>5.2</v>
      </c>
      <c r="G1401">
        <v>0</v>
      </c>
      <c r="H1401" t="s">
        <v>186</v>
      </c>
      <c r="I1401">
        <v>0</v>
      </c>
      <c r="J1401">
        <f t="shared" si="608"/>
        <v>1</v>
      </c>
      <c r="K1401">
        <f t="shared" si="609"/>
        <v>51</v>
      </c>
      <c r="L1401">
        <f t="shared" ca="1" si="610"/>
        <v>51797.843837663619</v>
      </c>
      <c r="M1401">
        <f t="shared" ca="1" si="587"/>
        <v>269348.78795585083</v>
      </c>
      <c r="N1401">
        <f t="shared" ca="1" si="588"/>
        <v>2.5998694991876676</v>
      </c>
      <c r="O1401">
        <f t="shared" ca="1" si="589"/>
        <v>1.8934557080078435E-4</v>
      </c>
      <c r="P1401">
        <f t="shared" ca="1" si="590"/>
        <v>52429.780337663622</v>
      </c>
      <c r="Q1401">
        <f t="shared" ca="1" si="591"/>
        <v>52429.780337665448</v>
      </c>
      <c r="R1401">
        <f t="shared" ca="1" si="592"/>
        <v>2.2564415439646509E-12</v>
      </c>
      <c r="S1401">
        <f t="shared" ca="1" si="611"/>
        <v>4.999999946448952E-4</v>
      </c>
      <c r="T1401">
        <f t="shared" ca="1" si="612"/>
        <v>1</v>
      </c>
      <c r="U1401">
        <f t="shared" ca="1" si="593"/>
        <v>51800.26683766341</v>
      </c>
      <c r="V1401">
        <f t="shared" ca="1" si="594"/>
        <v>269361.38755584974</v>
      </c>
      <c r="W1401">
        <f t="shared" ca="1" si="595"/>
        <v>2.5998695052916441</v>
      </c>
      <c r="X1401">
        <f t="shared" ca="1" si="596"/>
        <v>1.8933671400629237E-4</v>
      </c>
      <c r="Y1401">
        <f t="shared" ca="1" si="597"/>
        <v>52432.203337663414</v>
      </c>
      <c r="Z1401">
        <f t="shared" ca="1" si="598"/>
        <v>52432.20333766524</v>
      </c>
      <c r="AA1401">
        <f t="shared" ca="1" si="599"/>
        <v>2.2562304480281055E-12</v>
      </c>
      <c r="AB1401">
        <f t="shared" ca="1" si="600"/>
        <v>-5.0000000192085281E-4</v>
      </c>
      <c r="AC1401">
        <f t="shared" ca="1" si="601"/>
        <v>1</v>
      </c>
      <c r="AD1401">
        <f ca="1">IF(V32="Supercritical",L1401,IF(V32="Subcritical",U1401,IF(AND(T1401=1,AC1401=1),IF((((F1401)*(L1401)^2)/2+(G1401)*(L1401)^3/3+(ABS(K1401)^2)/($I$5*MAX(((F1401)+(G1401)*(L1401))*(L1401),0.000001)))&gt;=(((F1401)*(U1401)^2)/2+(G1401)*(U1401)^3/3+(ABS(K1401)^2)/($I$5*MAX(((F1401)+(G1401)*(U1401))*(U1401),0.000001))),L1401,U1401),IF(T1401=1,L1401,IF(AC1401=1,U1401,MAX($D$16,POWER((ABS(K1401)^2)/($I$5*MAX(F1401,0.1)^2),1/3)))))))</f>
        <v>51800.26683766341</v>
      </c>
      <c r="AE1401">
        <f t="shared" ca="1" si="602"/>
        <v>52432.203337663414</v>
      </c>
      <c r="AF1401">
        <f t="shared" ca="1" si="603"/>
        <v>52432.20333766524</v>
      </c>
      <c r="AI1401">
        <v>0</v>
      </c>
      <c r="AJ1401">
        <v>0</v>
      </c>
      <c r="AK1401">
        <f t="shared" si="604"/>
        <v>0</v>
      </c>
      <c r="AL1401">
        <f t="shared" si="613"/>
        <v>0</v>
      </c>
      <c r="AM1401">
        <f t="shared" ca="1" si="605"/>
        <v>2.6560383008097266E-7</v>
      </c>
      <c r="AN1401" t="str">
        <f t="shared" ca="1" si="606"/>
        <v>Subcritical</v>
      </c>
      <c r="AO1401">
        <f t="shared" ca="1" si="607"/>
        <v>2.2562304480281055E-12</v>
      </c>
    </row>
    <row r="1402" spans="1:41" x14ac:dyDescent="0.35">
      <c r="A1402">
        <v>1253</v>
      </c>
      <c r="B1402">
        <v>1251.8889999999999</v>
      </c>
      <c r="C1402">
        <v>616070.51699999999</v>
      </c>
      <c r="D1402">
        <v>3096752.2740000002</v>
      </c>
      <c r="E1402">
        <v>631.93600000000004</v>
      </c>
      <c r="F1402">
        <v>5.2</v>
      </c>
      <c r="G1402">
        <v>0</v>
      </c>
      <c r="H1402" t="s">
        <v>186</v>
      </c>
      <c r="I1402">
        <v>5.7000000000000002E-2</v>
      </c>
      <c r="J1402">
        <f t="shared" si="608"/>
        <v>1</v>
      </c>
      <c r="K1402">
        <f t="shared" si="609"/>
        <v>51</v>
      </c>
      <c r="L1402">
        <f t="shared" ca="1" si="610"/>
        <v>51797.843837663619</v>
      </c>
      <c r="M1402">
        <f t="shared" ca="1" si="587"/>
        <v>269348.78795585083</v>
      </c>
      <c r="N1402">
        <f t="shared" ca="1" si="588"/>
        <v>2.5998694991876676</v>
      </c>
      <c r="O1402">
        <f t="shared" ca="1" si="589"/>
        <v>1.8934557080078435E-4</v>
      </c>
      <c r="P1402">
        <f t="shared" ca="1" si="590"/>
        <v>52429.77983766362</v>
      </c>
      <c r="Q1402">
        <f t="shared" ca="1" si="591"/>
        <v>52429.779837665446</v>
      </c>
      <c r="R1402">
        <f t="shared" ca="1" si="592"/>
        <v>2.2564415439646509E-12</v>
      </c>
      <c r="S1402">
        <f t="shared" ca="1" si="611"/>
        <v>5.0000000192085281E-4</v>
      </c>
      <c r="T1402">
        <f t="shared" ca="1" si="612"/>
        <v>1</v>
      </c>
      <c r="U1402">
        <f t="shared" ca="1" si="593"/>
        <v>51800.26683766341</v>
      </c>
      <c r="V1402">
        <f t="shared" ca="1" si="594"/>
        <v>269361.38755584974</v>
      </c>
      <c r="W1402">
        <f t="shared" ca="1" si="595"/>
        <v>2.5998695052916441</v>
      </c>
      <c r="X1402">
        <f t="shared" ca="1" si="596"/>
        <v>1.8933671400629237E-4</v>
      </c>
      <c r="Y1402">
        <f t="shared" ca="1" si="597"/>
        <v>52432.202837663412</v>
      </c>
      <c r="Z1402">
        <f t="shared" ca="1" si="598"/>
        <v>52432.202837665238</v>
      </c>
      <c r="AA1402">
        <f t="shared" ca="1" si="599"/>
        <v>2.2562304480281055E-12</v>
      </c>
      <c r="AB1402">
        <f t="shared" ca="1" si="600"/>
        <v>-5.0000000192085281E-4</v>
      </c>
      <c r="AC1402">
        <f t="shared" ca="1" si="601"/>
        <v>1</v>
      </c>
      <c r="AD1402">
        <f ca="1">IF(V32="Supercritical",L1402,IF(V32="Subcritical",U1402,IF(AND(T1402=1,AC1402=1),IF((((F1402)*(L1402)^2)/2+(G1402)*(L1402)^3/3+(ABS(K1402)^2)/($I$5*MAX(((F1402)+(G1402)*(L1402))*(L1402),0.000001)))&gt;=(((F1402)*(U1402)^2)/2+(G1402)*(U1402)^3/3+(ABS(K1402)^2)/($I$5*MAX(((F1402)+(G1402)*(U1402))*(U1402),0.000001))),L1402,U1402),IF(T1402=1,L1402,IF(AC1402=1,U1402,MAX($D$16,POWER((ABS(K1402)^2)/($I$5*MAX(F1402,0.1)^2),1/3)))))))</f>
        <v>51800.26683766341</v>
      </c>
      <c r="AE1402">
        <f t="shared" ca="1" si="602"/>
        <v>52432.202837663412</v>
      </c>
      <c r="AF1402">
        <f t="shared" ca="1" si="603"/>
        <v>52432.202837665238</v>
      </c>
      <c r="AI1402">
        <v>0</v>
      </c>
      <c r="AJ1402">
        <v>0</v>
      </c>
      <c r="AK1402">
        <f t="shared" si="604"/>
        <v>0</v>
      </c>
      <c r="AL1402">
        <f t="shared" si="613"/>
        <v>0</v>
      </c>
      <c r="AM1402">
        <f t="shared" ca="1" si="605"/>
        <v>2.6560383008097266E-7</v>
      </c>
      <c r="AN1402" t="str">
        <f t="shared" ca="1" si="606"/>
        <v>Subcritical</v>
      </c>
      <c r="AO1402">
        <f t="shared" ca="1" si="607"/>
        <v>2.2562304480281055E-12</v>
      </c>
    </row>
    <row r="1403" spans="1:41" x14ac:dyDescent="0.35">
      <c r="A1403">
        <v>1254</v>
      </c>
      <c r="B1403">
        <v>1252.8889999999999</v>
      </c>
      <c r="C1403">
        <v>616070.47400000005</v>
      </c>
      <c r="D1403">
        <v>3096751.2749999999</v>
      </c>
      <c r="E1403">
        <v>631.93550000000005</v>
      </c>
      <c r="F1403">
        <v>5.2</v>
      </c>
      <c r="G1403">
        <v>0</v>
      </c>
      <c r="H1403" t="s">
        <v>186</v>
      </c>
      <c r="I1403">
        <v>5.7000000000000002E-2</v>
      </c>
      <c r="J1403">
        <f t="shared" si="608"/>
        <v>1</v>
      </c>
      <c r="K1403">
        <f t="shared" si="609"/>
        <v>51</v>
      </c>
      <c r="L1403">
        <f t="shared" ca="1" si="610"/>
        <v>51797.843837663619</v>
      </c>
      <c r="M1403">
        <f t="shared" ca="1" si="587"/>
        <v>269348.78795585083</v>
      </c>
      <c r="N1403">
        <f t="shared" ca="1" si="588"/>
        <v>2.5998694991876676</v>
      </c>
      <c r="O1403">
        <f t="shared" ca="1" si="589"/>
        <v>1.8934557080078435E-4</v>
      </c>
      <c r="P1403">
        <f t="shared" ca="1" si="590"/>
        <v>52429.779337663618</v>
      </c>
      <c r="Q1403">
        <f t="shared" ca="1" si="591"/>
        <v>52429.779337665444</v>
      </c>
      <c r="R1403">
        <f t="shared" ca="1" si="592"/>
        <v>2.2564415439646509E-12</v>
      </c>
      <c r="S1403">
        <f t="shared" ca="1" si="611"/>
        <v>5.0000000192085281E-4</v>
      </c>
      <c r="T1403">
        <f t="shared" ca="1" si="612"/>
        <v>1</v>
      </c>
      <c r="U1403">
        <f t="shared" ca="1" si="593"/>
        <v>51800.26683766341</v>
      </c>
      <c r="V1403">
        <f t="shared" ca="1" si="594"/>
        <v>269361.38755584974</v>
      </c>
      <c r="W1403">
        <f t="shared" ca="1" si="595"/>
        <v>2.5998695052916441</v>
      </c>
      <c r="X1403">
        <f t="shared" ca="1" si="596"/>
        <v>1.8933671400629237E-4</v>
      </c>
      <c r="Y1403">
        <f t="shared" ca="1" si="597"/>
        <v>52432.20233766341</v>
      </c>
      <c r="Z1403">
        <f t="shared" ca="1" si="598"/>
        <v>52432.202337665236</v>
      </c>
      <c r="AA1403">
        <f t="shared" ca="1" si="599"/>
        <v>2.2562304480281055E-12</v>
      </c>
      <c r="AB1403">
        <f t="shared" ca="1" si="600"/>
        <v>-5.0000000192085281E-4</v>
      </c>
      <c r="AC1403">
        <f t="shared" ca="1" si="601"/>
        <v>1</v>
      </c>
      <c r="AD1403">
        <f ca="1">IF(V32="Supercritical",L1403,IF(V32="Subcritical",U1403,IF(AND(T1403=1,AC1403=1),IF((((F1403)*(L1403)^2)/2+(G1403)*(L1403)^3/3+(ABS(K1403)^2)/($I$5*MAX(((F1403)+(G1403)*(L1403))*(L1403),0.000001)))&gt;=(((F1403)*(U1403)^2)/2+(G1403)*(U1403)^3/3+(ABS(K1403)^2)/($I$5*MAX(((F1403)+(G1403)*(U1403))*(U1403),0.000001))),L1403,U1403),IF(T1403=1,L1403,IF(AC1403=1,U1403,MAX($D$16,POWER((ABS(K1403)^2)/($I$5*MAX(F1403,0.1)^2),1/3)))))))</f>
        <v>51800.26683766341</v>
      </c>
      <c r="AE1403">
        <f t="shared" ca="1" si="602"/>
        <v>52432.20233766341</v>
      </c>
      <c r="AF1403">
        <f t="shared" ca="1" si="603"/>
        <v>52432.202337665236</v>
      </c>
      <c r="AI1403">
        <v>0</v>
      </c>
      <c r="AJ1403">
        <v>0</v>
      </c>
      <c r="AK1403">
        <f t="shared" si="604"/>
        <v>0</v>
      </c>
      <c r="AL1403">
        <f t="shared" si="613"/>
        <v>0</v>
      </c>
      <c r="AM1403">
        <f t="shared" ca="1" si="605"/>
        <v>2.6560383008097266E-7</v>
      </c>
      <c r="AN1403" t="str">
        <f t="shared" ca="1" si="606"/>
        <v>Subcritical</v>
      </c>
      <c r="AO1403">
        <f t="shared" ca="1" si="607"/>
        <v>2.2562304480281055E-12</v>
      </c>
    </row>
    <row r="1404" spans="1:41" x14ac:dyDescent="0.35">
      <c r="A1404">
        <v>1255</v>
      </c>
      <c r="B1404">
        <v>1253.8889999999999</v>
      </c>
      <c r="C1404">
        <v>616070.43200000003</v>
      </c>
      <c r="D1404">
        <v>3096750.2760000001</v>
      </c>
      <c r="E1404">
        <v>631.93499999999995</v>
      </c>
      <c r="F1404">
        <v>5.2</v>
      </c>
      <c r="G1404">
        <v>0</v>
      </c>
      <c r="H1404" t="s">
        <v>186</v>
      </c>
      <c r="I1404">
        <v>0</v>
      </c>
      <c r="J1404">
        <f t="shared" si="608"/>
        <v>1</v>
      </c>
      <c r="K1404">
        <f t="shared" si="609"/>
        <v>51</v>
      </c>
      <c r="L1404">
        <f t="shared" ca="1" si="610"/>
        <v>51797.843837663619</v>
      </c>
      <c r="M1404">
        <f t="shared" ca="1" si="587"/>
        <v>269348.78795585083</v>
      </c>
      <c r="N1404">
        <f t="shared" ca="1" si="588"/>
        <v>2.5998694991876676</v>
      </c>
      <c r="O1404">
        <f t="shared" ca="1" si="589"/>
        <v>1.8934557080078435E-4</v>
      </c>
      <c r="P1404">
        <f t="shared" ca="1" si="590"/>
        <v>52429.778837663616</v>
      </c>
      <c r="Q1404">
        <f t="shared" ca="1" si="591"/>
        <v>52429.778837665443</v>
      </c>
      <c r="R1404">
        <f t="shared" ca="1" si="592"/>
        <v>2.2564415439646509E-12</v>
      </c>
      <c r="S1404">
        <f t="shared" ca="1" si="611"/>
        <v>5.0000000192085281E-4</v>
      </c>
      <c r="T1404">
        <f t="shared" ca="1" si="612"/>
        <v>1</v>
      </c>
      <c r="U1404">
        <f t="shared" ca="1" si="593"/>
        <v>51800.26683766341</v>
      </c>
      <c r="V1404">
        <f t="shared" ca="1" si="594"/>
        <v>269361.38755584974</v>
      </c>
      <c r="W1404">
        <f t="shared" ca="1" si="595"/>
        <v>2.5998695052916441</v>
      </c>
      <c r="X1404">
        <f t="shared" ca="1" si="596"/>
        <v>1.8933671400629237E-4</v>
      </c>
      <c r="Y1404">
        <f t="shared" ca="1" si="597"/>
        <v>52432.201837663408</v>
      </c>
      <c r="Z1404">
        <f t="shared" ca="1" si="598"/>
        <v>52432.201837665234</v>
      </c>
      <c r="AA1404">
        <f t="shared" ca="1" si="599"/>
        <v>2.2562304480281055E-12</v>
      </c>
      <c r="AB1404">
        <f t="shared" ca="1" si="600"/>
        <v>-4.999999946448952E-4</v>
      </c>
      <c r="AC1404">
        <f t="shared" ca="1" si="601"/>
        <v>1</v>
      </c>
      <c r="AD1404">
        <f ca="1">IF(V32="Supercritical",L1404,IF(V32="Subcritical",U1404,IF(AND(T1404=1,AC1404=1),IF((((F1404)*(L1404)^2)/2+(G1404)*(L1404)^3/3+(ABS(K1404)^2)/($I$5*MAX(((F1404)+(G1404)*(L1404))*(L1404),0.000001)))&gt;=(((F1404)*(U1404)^2)/2+(G1404)*(U1404)^3/3+(ABS(K1404)^2)/($I$5*MAX(((F1404)+(G1404)*(U1404))*(U1404),0.000001))),L1404,U1404),IF(T1404=1,L1404,IF(AC1404=1,U1404,MAX($D$16,POWER((ABS(K1404)^2)/($I$5*MAX(F1404,0.1)^2),1/3)))))))</f>
        <v>51800.26683766341</v>
      </c>
      <c r="AE1404">
        <f t="shared" ca="1" si="602"/>
        <v>52432.201837663408</v>
      </c>
      <c r="AF1404">
        <f t="shared" ca="1" si="603"/>
        <v>52432.201837665234</v>
      </c>
      <c r="AI1404">
        <v>0</v>
      </c>
      <c r="AJ1404">
        <v>0</v>
      </c>
      <c r="AK1404">
        <f t="shared" si="604"/>
        <v>0</v>
      </c>
      <c r="AL1404">
        <f t="shared" si="613"/>
        <v>0</v>
      </c>
      <c r="AM1404">
        <f t="shared" ca="1" si="605"/>
        <v>2.6560383008097266E-7</v>
      </c>
      <c r="AN1404" t="str">
        <f t="shared" ca="1" si="606"/>
        <v>Subcritical</v>
      </c>
      <c r="AO1404">
        <f t="shared" ca="1" si="607"/>
        <v>2.2562304480281055E-12</v>
      </c>
    </row>
    <row r="1405" spans="1:41" x14ac:dyDescent="0.35">
      <c r="A1405">
        <v>1256</v>
      </c>
      <c r="B1405">
        <v>1254.8889999999999</v>
      </c>
      <c r="C1405">
        <v>616070.39</v>
      </c>
      <c r="D1405">
        <v>3096749.2769999998</v>
      </c>
      <c r="E1405">
        <v>631.93449999999996</v>
      </c>
      <c r="F1405">
        <v>5.2</v>
      </c>
      <c r="G1405">
        <v>0</v>
      </c>
      <c r="H1405" t="s">
        <v>186</v>
      </c>
      <c r="I1405">
        <v>2E-3</v>
      </c>
      <c r="J1405">
        <f t="shared" si="608"/>
        <v>1</v>
      </c>
      <c r="K1405">
        <f t="shared" si="609"/>
        <v>51</v>
      </c>
      <c r="L1405">
        <f t="shared" ca="1" si="610"/>
        <v>51797.843837663619</v>
      </c>
      <c r="M1405">
        <f t="shared" ca="1" si="587"/>
        <v>269348.78795585083</v>
      </c>
      <c r="N1405">
        <f t="shared" ca="1" si="588"/>
        <v>2.5998694991876676</v>
      </c>
      <c r="O1405">
        <f t="shared" ca="1" si="589"/>
        <v>1.8934557080078435E-4</v>
      </c>
      <c r="P1405">
        <f t="shared" ca="1" si="590"/>
        <v>52429.778337663622</v>
      </c>
      <c r="Q1405">
        <f t="shared" ca="1" si="591"/>
        <v>52429.778337665448</v>
      </c>
      <c r="R1405">
        <f t="shared" ca="1" si="592"/>
        <v>2.2564415439646509E-12</v>
      </c>
      <c r="S1405">
        <f t="shared" ca="1" si="611"/>
        <v>4.999999946448952E-4</v>
      </c>
      <c r="T1405">
        <f t="shared" ca="1" si="612"/>
        <v>1</v>
      </c>
      <c r="U1405">
        <f t="shared" ca="1" si="593"/>
        <v>51800.26683766341</v>
      </c>
      <c r="V1405">
        <f t="shared" ca="1" si="594"/>
        <v>269361.38755584974</v>
      </c>
      <c r="W1405">
        <f t="shared" ca="1" si="595"/>
        <v>2.5998695052916441</v>
      </c>
      <c r="X1405">
        <f t="shared" ca="1" si="596"/>
        <v>1.8933671400629237E-4</v>
      </c>
      <c r="Y1405">
        <f t="shared" ca="1" si="597"/>
        <v>52432.201337663413</v>
      </c>
      <c r="Z1405">
        <f t="shared" ca="1" si="598"/>
        <v>52432.201337665239</v>
      </c>
      <c r="AA1405">
        <f t="shared" ca="1" si="599"/>
        <v>2.2562304480281055E-12</v>
      </c>
      <c r="AB1405">
        <f t="shared" ca="1" si="600"/>
        <v>-5.0000000192085281E-4</v>
      </c>
      <c r="AC1405">
        <f t="shared" ca="1" si="601"/>
        <v>1</v>
      </c>
      <c r="AD1405">
        <f ca="1">IF(V32="Supercritical",L1405,IF(V32="Subcritical",U1405,IF(AND(T1405=1,AC1405=1),IF((((F1405)*(L1405)^2)/2+(G1405)*(L1405)^3/3+(ABS(K1405)^2)/($I$5*MAX(((F1405)+(G1405)*(L1405))*(L1405),0.000001)))&gt;=(((F1405)*(U1405)^2)/2+(G1405)*(U1405)^3/3+(ABS(K1405)^2)/($I$5*MAX(((F1405)+(G1405)*(U1405))*(U1405),0.000001))),L1405,U1405),IF(T1405=1,L1405,IF(AC1405=1,U1405,MAX($D$16,POWER((ABS(K1405)^2)/($I$5*MAX(F1405,0.1)^2),1/3)))))))</f>
        <v>51800.26683766341</v>
      </c>
      <c r="AE1405">
        <f t="shared" ca="1" si="602"/>
        <v>52432.201337663413</v>
      </c>
      <c r="AF1405">
        <f t="shared" ca="1" si="603"/>
        <v>52432.201337665239</v>
      </c>
      <c r="AI1405">
        <v>0</v>
      </c>
      <c r="AJ1405">
        <v>0</v>
      </c>
      <c r="AK1405">
        <f t="shared" si="604"/>
        <v>0</v>
      </c>
      <c r="AL1405">
        <f t="shared" si="613"/>
        <v>0</v>
      </c>
      <c r="AM1405">
        <f t="shared" ca="1" si="605"/>
        <v>2.6560383008097266E-7</v>
      </c>
      <c r="AN1405" t="str">
        <f t="shared" ca="1" si="606"/>
        <v>Subcritical</v>
      </c>
      <c r="AO1405">
        <f t="shared" ca="1" si="607"/>
        <v>2.2562304480281055E-12</v>
      </c>
    </row>
    <row r="1406" spans="1:41" x14ac:dyDescent="0.35">
      <c r="A1406">
        <v>1257</v>
      </c>
      <c r="B1406">
        <v>1255.8900000000001</v>
      </c>
      <c r="C1406">
        <v>616070.348</v>
      </c>
      <c r="D1406">
        <v>3096748.2769999998</v>
      </c>
      <c r="E1406">
        <v>631.93399999999997</v>
      </c>
      <c r="F1406">
        <v>5.2</v>
      </c>
      <c r="G1406">
        <v>0</v>
      </c>
      <c r="H1406" t="s">
        <v>186</v>
      </c>
      <c r="I1406">
        <v>0.06</v>
      </c>
      <c r="J1406">
        <f t="shared" si="608"/>
        <v>1.0010000000002037</v>
      </c>
      <c r="K1406">
        <f t="shared" si="609"/>
        <v>51</v>
      </c>
      <c r="L1406">
        <f t="shared" ca="1" si="610"/>
        <v>51797.843837663619</v>
      </c>
      <c r="M1406">
        <f t="shared" ca="1" si="587"/>
        <v>269348.78795585083</v>
      </c>
      <c r="N1406">
        <f t="shared" ca="1" si="588"/>
        <v>2.5998694991876676</v>
      </c>
      <c r="O1406">
        <f t="shared" ca="1" si="589"/>
        <v>1.8934557080078435E-4</v>
      </c>
      <c r="P1406">
        <f t="shared" ca="1" si="590"/>
        <v>52429.77783766362</v>
      </c>
      <c r="Q1406">
        <f t="shared" ca="1" si="591"/>
        <v>52429.777837665446</v>
      </c>
      <c r="R1406">
        <f t="shared" ca="1" si="592"/>
        <v>2.2564415439646509E-12</v>
      </c>
      <c r="S1406">
        <f t="shared" ca="1" si="611"/>
        <v>5.0000000192085281E-4</v>
      </c>
      <c r="T1406">
        <f t="shared" ca="1" si="612"/>
        <v>1</v>
      </c>
      <c r="U1406">
        <f t="shared" ca="1" si="593"/>
        <v>51800.26683766341</v>
      </c>
      <c r="V1406">
        <f t="shared" ca="1" si="594"/>
        <v>269361.38755584974</v>
      </c>
      <c r="W1406">
        <f t="shared" ca="1" si="595"/>
        <v>2.5998695052916441</v>
      </c>
      <c r="X1406">
        <f t="shared" ca="1" si="596"/>
        <v>1.8933671400629237E-4</v>
      </c>
      <c r="Y1406">
        <f t="shared" ca="1" si="597"/>
        <v>52432.200837663411</v>
      </c>
      <c r="Z1406">
        <f t="shared" ca="1" si="598"/>
        <v>52432.200837665237</v>
      </c>
      <c r="AA1406">
        <f t="shared" ca="1" si="599"/>
        <v>2.2562304480281055E-12</v>
      </c>
      <c r="AB1406">
        <f t="shared" ca="1" si="600"/>
        <v>-5.0000000192085281E-4</v>
      </c>
      <c r="AC1406">
        <f t="shared" ca="1" si="601"/>
        <v>1</v>
      </c>
      <c r="AD1406">
        <f ca="1">IF(V32="Supercritical",L1406,IF(V32="Subcritical",U1406,IF(AND(T1406=1,AC1406=1),IF((((F1406)*(L1406)^2)/2+(G1406)*(L1406)^3/3+(ABS(K1406)^2)/($I$5*MAX(((F1406)+(G1406)*(L1406))*(L1406),0.000001)))&gt;=(((F1406)*(U1406)^2)/2+(G1406)*(U1406)^3/3+(ABS(K1406)^2)/($I$5*MAX(((F1406)+(G1406)*(U1406))*(U1406),0.000001))),L1406,U1406),IF(T1406=1,L1406,IF(AC1406=1,U1406,MAX($D$16,POWER((ABS(K1406)^2)/($I$5*MAX(F1406,0.1)^2),1/3)))))))</f>
        <v>51800.26683766341</v>
      </c>
      <c r="AE1406">
        <f t="shared" ca="1" si="602"/>
        <v>52432.200837663411</v>
      </c>
      <c r="AF1406">
        <f t="shared" ca="1" si="603"/>
        <v>52432.200837665237</v>
      </c>
      <c r="AI1406">
        <v>0</v>
      </c>
      <c r="AJ1406">
        <v>0</v>
      </c>
      <c r="AK1406">
        <f t="shared" si="604"/>
        <v>0</v>
      </c>
      <c r="AL1406">
        <f t="shared" si="613"/>
        <v>0</v>
      </c>
      <c r="AM1406">
        <f t="shared" ca="1" si="605"/>
        <v>2.6560383008097266E-7</v>
      </c>
      <c r="AN1406" t="str">
        <f t="shared" ca="1" si="606"/>
        <v>Subcritical</v>
      </c>
      <c r="AO1406">
        <f t="shared" ca="1" si="607"/>
        <v>2.2562304480281055E-12</v>
      </c>
    </row>
    <row r="1407" spans="1:41" x14ac:dyDescent="0.35">
      <c r="A1407">
        <v>1258</v>
      </c>
      <c r="B1407">
        <v>1256.8900000000001</v>
      </c>
      <c r="C1407">
        <v>616070.30500000005</v>
      </c>
      <c r="D1407">
        <v>3096747.2779999999</v>
      </c>
      <c r="E1407">
        <v>631.93349999999998</v>
      </c>
      <c r="F1407">
        <v>5.2</v>
      </c>
      <c r="G1407">
        <v>0</v>
      </c>
      <c r="H1407" t="s">
        <v>186</v>
      </c>
      <c r="I1407">
        <v>5.7000000000000002E-2</v>
      </c>
      <c r="J1407">
        <f t="shared" si="608"/>
        <v>1</v>
      </c>
      <c r="K1407">
        <f t="shared" si="609"/>
        <v>51</v>
      </c>
      <c r="L1407">
        <f t="shared" ca="1" si="610"/>
        <v>51797.843837663619</v>
      </c>
      <c r="M1407">
        <f t="shared" ca="1" si="587"/>
        <v>269348.78795585083</v>
      </c>
      <c r="N1407">
        <f t="shared" ca="1" si="588"/>
        <v>2.5998694991876676</v>
      </c>
      <c r="O1407">
        <f t="shared" ca="1" si="589"/>
        <v>1.8934557080078435E-4</v>
      </c>
      <c r="P1407">
        <f t="shared" ca="1" si="590"/>
        <v>52429.777337663618</v>
      </c>
      <c r="Q1407">
        <f t="shared" ca="1" si="591"/>
        <v>52429.777337665444</v>
      </c>
      <c r="R1407">
        <f t="shared" ca="1" si="592"/>
        <v>2.2564415439646509E-12</v>
      </c>
      <c r="S1407">
        <f t="shared" ca="1" si="611"/>
        <v>5.0000000192085281E-4</v>
      </c>
      <c r="T1407">
        <f t="shared" ca="1" si="612"/>
        <v>1</v>
      </c>
      <c r="U1407">
        <f t="shared" ca="1" si="593"/>
        <v>51800.26683766341</v>
      </c>
      <c r="V1407">
        <f t="shared" ca="1" si="594"/>
        <v>269361.38755584974</v>
      </c>
      <c r="W1407">
        <f t="shared" ca="1" si="595"/>
        <v>2.5998695052916441</v>
      </c>
      <c r="X1407">
        <f t="shared" ca="1" si="596"/>
        <v>1.8933671400629237E-4</v>
      </c>
      <c r="Y1407">
        <f t="shared" ca="1" si="597"/>
        <v>52432.200337663409</v>
      </c>
      <c r="Z1407">
        <f t="shared" ca="1" si="598"/>
        <v>52432.200337665236</v>
      </c>
      <c r="AA1407">
        <f t="shared" ca="1" si="599"/>
        <v>2.2562304480281055E-12</v>
      </c>
      <c r="AB1407">
        <f t="shared" ca="1" si="600"/>
        <v>-5.0000000192085281E-4</v>
      </c>
      <c r="AC1407">
        <f t="shared" ca="1" si="601"/>
        <v>1</v>
      </c>
      <c r="AD1407">
        <f ca="1">IF(V32="Supercritical",L1407,IF(V32="Subcritical",U1407,IF(AND(T1407=1,AC1407=1),IF((((F1407)*(L1407)^2)/2+(G1407)*(L1407)^3/3+(ABS(K1407)^2)/($I$5*MAX(((F1407)+(G1407)*(L1407))*(L1407),0.000001)))&gt;=(((F1407)*(U1407)^2)/2+(G1407)*(U1407)^3/3+(ABS(K1407)^2)/($I$5*MAX(((F1407)+(G1407)*(U1407))*(U1407),0.000001))),L1407,U1407),IF(T1407=1,L1407,IF(AC1407=1,U1407,MAX($D$16,POWER((ABS(K1407)^2)/($I$5*MAX(F1407,0.1)^2),1/3)))))))</f>
        <v>51800.26683766341</v>
      </c>
      <c r="AE1407">
        <f t="shared" ca="1" si="602"/>
        <v>52432.200337663409</v>
      </c>
      <c r="AF1407">
        <f t="shared" ca="1" si="603"/>
        <v>52432.200337665236</v>
      </c>
      <c r="AI1407">
        <v>0</v>
      </c>
      <c r="AJ1407">
        <v>0</v>
      </c>
      <c r="AK1407">
        <f t="shared" si="604"/>
        <v>0</v>
      </c>
      <c r="AL1407">
        <f t="shared" si="613"/>
        <v>0</v>
      </c>
      <c r="AM1407">
        <f t="shared" ca="1" si="605"/>
        <v>2.6560383008097266E-7</v>
      </c>
      <c r="AN1407" t="str">
        <f t="shared" ca="1" si="606"/>
        <v>Subcritical</v>
      </c>
      <c r="AO1407">
        <f t="shared" ca="1" si="607"/>
        <v>2.2562304480281055E-12</v>
      </c>
    </row>
    <row r="1408" spans="1:41" x14ac:dyDescent="0.35">
      <c r="A1408">
        <v>1259</v>
      </c>
      <c r="B1408">
        <v>1257.8900000000001</v>
      </c>
      <c r="C1408">
        <v>616070.26300000004</v>
      </c>
      <c r="D1408">
        <v>3096746.2790000001</v>
      </c>
      <c r="E1408">
        <v>631.93299999999999</v>
      </c>
      <c r="F1408">
        <v>5.2</v>
      </c>
      <c r="G1408">
        <v>0</v>
      </c>
      <c r="H1408" t="s">
        <v>186</v>
      </c>
      <c r="I1408">
        <v>0</v>
      </c>
      <c r="J1408">
        <f t="shared" si="608"/>
        <v>1</v>
      </c>
      <c r="K1408">
        <f t="shared" si="609"/>
        <v>51</v>
      </c>
      <c r="L1408">
        <f t="shared" ca="1" si="610"/>
        <v>51797.843837663619</v>
      </c>
      <c r="M1408">
        <f t="shared" ca="1" si="587"/>
        <v>269348.78795585083</v>
      </c>
      <c r="N1408">
        <f t="shared" ca="1" si="588"/>
        <v>2.5998694991876676</v>
      </c>
      <c r="O1408">
        <f t="shared" ca="1" si="589"/>
        <v>1.8934557080078435E-4</v>
      </c>
      <c r="P1408">
        <f t="shared" ca="1" si="590"/>
        <v>52429.776837663616</v>
      </c>
      <c r="Q1408">
        <f t="shared" ca="1" si="591"/>
        <v>52429.776837665442</v>
      </c>
      <c r="R1408">
        <f t="shared" ca="1" si="592"/>
        <v>2.2564415439646509E-12</v>
      </c>
      <c r="S1408">
        <f t="shared" ca="1" si="611"/>
        <v>5.0000000192085281E-4</v>
      </c>
      <c r="T1408">
        <f t="shared" ca="1" si="612"/>
        <v>1</v>
      </c>
      <c r="U1408">
        <f t="shared" ca="1" si="593"/>
        <v>51800.26683766341</v>
      </c>
      <c r="V1408">
        <f t="shared" ca="1" si="594"/>
        <v>269361.38755584974</v>
      </c>
      <c r="W1408">
        <f t="shared" ca="1" si="595"/>
        <v>2.5998695052916441</v>
      </c>
      <c r="X1408">
        <f t="shared" ca="1" si="596"/>
        <v>1.8933671400629237E-4</v>
      </c>
      <c r="Y1408">
        <f t="shared" ca="1" si="597"/>
        <v>52432.199837663407</v>
      </c>
      <c r="Z1408">
        <f t="shared" ca="1" si="598"/>
        <v>52432.199837665234</v>
      </c>
      <c r="AA1408">
        <f t="shared" ca="1" si="599"/>
        <v>2.2562304480281055E-12</v>
      </c>
      <c r="AB1408">
        <f t="shared" ca="1" si="600"/>
        <v>-4.999999946448952E-4</v>
      </c>
      <c r="AC1408">
        <f t="shared" ca="1" si="601"/>
        <v>1</v>
      </c>
      <c r="AD1408">
        <f ca="1">IF(V32="Supercritical",L1408,IF(V32="Subcritical",U1408,IF(AND(T1408=1,AC1408=1),IF((((F1408)*(L1408)^2)/2+(G1408)*(L1408)^3/3+(ABS(K1408)^2)/($I$5*MAX(((F1408)+(G1408)*(L1408))*(L1408),0.000001)))&gt;=(((F1408)*(U1408)^2)/2+(G1408)*(U1408)^3/3+(ABS(K1408)^2)/($I$5*MAX(((F1408)+(G1408)*(U1408))*(U1408),0.000001))),L1408,U1408),IF(T1408=1,L1408,IF(AC1408=1,U1408,MAX($D$16,POWER((ABS(K1408)^2)/($I$5*MAX(F1408,0.1)^2),1/3)))))))</f>
        <v>51800.26683766341</v>
      </c>
      <c r="AE1408">
        <f t="shared" ca="1" si="602"/>
        <v>52432.199837663407</v>
      </c>
      <c r="AF1408">
        <f t="shared" ca="1" si="603"/>
        <v>52432.199837665234</v>
      </c>
      <c r="AI1408">
        <v>0</v>
      </c>
      <c r="AJ1408">
        <v>0</v>
      </c>
      <c r="AK1408">
        <f t="shared" si="604"/>
        <v>0</v>
      </c>
      <c r="AL1408">
        <f t="shared" si="613"/>
        <v>0</v>
      </c>
      <c r="AM1408">
        <f t="shared" ca="1" si="605"/>
        <v>2.6560383008097266E-7</v>
      </c>
      <c r="AN1408" t="str">
        <f t="shared" ca="1" si="606"/>
        <v>Subcritical</v>
      </c>
      <c r="AO1408">
        <f t="shared" ca="1" si="607"/>
        <v>2.2562304480281055E-12</v>
      </c>
    </row>
    <row r="1409" spans="1:41" x14ac:dyDescent="0.35">
      <c r="A1409">
        <v>1260</v>
      </c>
      <c r="B1409">
        <v>1258.8889999999999</v>
      </c>
      <c r="C1409">
        <v>616070.22100000002</v>
      </c>
      <c r="D1409">
        <v>3096745.28</v>
      </c>
      <c r="E1409">
        <v>631.9325</v>
      </c>
      <c r="F1409">
        <v>5.2</v>
      </c>
      <c r="G1409">
        <v>0</v>
      </c>
      <c r="H1409" t="s">
        <v>186</v>
      </c>
      <c r="I1409">
        <v>0</v>
      </c>
      <c r="J1409">
        <f t="shared" si="608"/>
        <v>0.99899999999979627</v>
      </c>
      <c r="K1409">
        <f t="shared" si="609"/>
        <v>51</v>
      </c>
      <c r="L1409">
        <f t="shared" ca="1" si="610"/>
        <v>51797.843837663619</v>
      </c>
      <c r="M1409">
        <f t="shared" ca="1" si="587"/>
        <v>269348.78795585083</v>
      </c>
      <c r="N1409">
        <f t="shared" ca="1" si="588"/>
        <v>2.5998694991876676</v>
      </c>
      <c r="O1409">
        <f t="shared" ca="1" si="589"/>
        <v>1.8934557080078435E-4</v>
      </c>
      <c r="P1409">
        <f t="shared" ca="1" si="590"/>
        <v>52429.776337663621</v>
      </c>
      <c r="Q1409">
        <f t="shared" ca="1" si="591"/>
        <v>52429.776337665447</v>
      </c>
      <c r="R1409">
        <f t="shared" ca="1" si="592"/>
        <v>2.2564415439646509E-12</v>
      </c>
      <c r="S1409">
        <f t="shared" ca="1" si="611"/>
        <v>4.999999946448952E-4</v>
      </c>
      <c r="T1409">
        <f t="shared" ca="1" si="612"/>
        <v>1</v>
      </c>
      <c r="U1409">
        <f t="shared" ca="1" si="593"/>
        <v>51800.26683766341</v>
      </c>
      <c r="V1409">
        <f t="shared" ca="1" si="594"/>
        <v>269361.38755584974</v>
      </c>
      <c r="W1409">
        <f t="shared" ca="1" si="595"/>
        <v>2.5998695052916441</v>
      </c>
      <c r="X1409">
        <f t="shared" ca="1" si="596"/>
        <v>1.8933671400629237E-4</v>
      </c>
      <c r="Y1409">
        <f t="shared" ca="1" si="597"/>
        <v>52432.199337663413</v>
      </c>
      <c r="Z1409">
        <f t="shared" ca="1" si="598"/>
        <v>52432.199337665239</v>
      </c>
      <c r="AA1409">
        <f t="shared" ca="1" si="599"/>
        <v>2.2562304480281055E-12</v>
      </c>
      <c r="AB1409">
        <f t="shared" ca="1" si="600"/>
        <v>-5.0000000192085281E-4</v>
      </c>
      <c r="AC1409">
        <f t="shared" ca="1" si="601"/>
        <v>1</v>
      </c>
      <c r="AD1409">
        <f ca="1">IF(V32="Supercritical",L1409,IF(V32="Subcritical",U1409,IF(AND(T1409=1,AC1409=1),IF((((F1409)*(L1409)^2)/2+(G1409)*(L1409)^3/3+(ABS(K1409)^2)/($I$5*MAX(((F1409)+(G1409)*(L1409))*(L1409),0.000001)))&gt;=(((F1409)*(U1409)^2)/2+(G1409)*(U1409)^3/3+(ABS(K1409)^2)/($I$5*MAX(((F1409)+(G1409)*(U1409))*(U1409),0.000001))),L1409,U1409),IF(T1409=1,L1409,IF(AC1409=1,U1409,MAX($D$16,POWER((ABS(K1409)^2)/($I$5*MAX(F1409,0.1)^2),1/3)))))))</f>
        <v>51800.26683766341</v>
      </c>
      <c r="AE1409">
        <f t="shared" ca="1" si="602"/>
        <v>52432.199337663413</v>
      </c>
      <c r="AF1409">
        <f t="shared" ca="1" si="603"/>
        <v>52432.199337665239</v>
      </c>
      <c r="AI1409">
        <v>0</v>
      </c>
      <c r="AJ1409">
        <v>0</v>
      </c>
      <c r="AK1409">
        <f t="shared" si="604"/>
        <v>0</v>
      </c>
      <c r="AL1409">
        <f t="shared" si="613"/>
        <v>0</v>
      </c>
      <c r="AM1409">
        <f t="shared" ca="1" si="605"/>
        <v>2.6560383008097266E-7</v>
      </c>
      <c r="AN1409" t="str">
        <f t="shared" ca="1" si="606"/>
        <v>Subcritical</v>
      </c>
      <c r="AO1409">
        <f t="shared" ca="1" si="607"/>
        <v>2.2562304480281055E-12</v>
      </c>
    </row>
    <row r="1410" spans="1:41" x14ac:dyDescent="0.35">
      <c r="A1410">
        <v>1261</v>
      </c>
      <c r="B1410">
        <v>1259.8889999999999</v>
      </c>
      <c r="C1410">
        <v>616070.179</v>
      </c>
      <c r="D1410">
        <v>3096744.281</v>
      </c>
      <c r="E1410">
        <v>631.93200000000002</v>
      </c>
      <c r="F1410">
        <v>5.2</v>
      </c>
      <c r="G1410">
        <v>0</v>
      </c>
      <c r="H1410" t="s">
        <v>186</v>
      </c>
      <c r="I1410">
        <v>5.7000000000000002E-2</v>
      </c>
      <c r="J1410">
        <f t="shared" si="608"/>
        <v>1</v>
      </c>
      <c r="K1410">
        <f t="shared" si="609"/>
        <v>51</v>
      </c>
      <c r="L1410">
        <f t="shared" ca="1" si="610"/>
        <v>51797.843837663619</v>
      </c>
      <c r="M1410">
        <f t="shared" ca="1" si="587"/>
        <v>269348.78795585083</v>
      </c>
      <c r="N1410">
        <f t="shared" ca="1" si="588"/>
        <v>2.5998694991876676</v>
      </c>
      <c r="O1410">
        <f t="shared" ca="1" si="589"/>
        <v>1.8934557080078435E-4</v>
      </c>
      <c r="P1410">
        <f t="shared" ca="1" si="590"/>
        <v>52429.775837663619</v>
      </c>
      <c r="Q1410">
        <f t="shared" ca="1" si="591"/>
        <v>52429.775837665446</v>
      </c>
      <c r="R1410">
        <f t="shared" ca="1" si="592"/>
        <v>2.2564415439646509E-12</v>
      </c>
      <c r="S1410">
        <f t="shared" ca="1" si="611"/>
        <v>5.0000000192085281E-4</v>
      </c>
      <c r="T1410">
        <f t="shared" ca="1" si="612"/>
        <v>1</v>
      </c>
      <c r="U1410">
        <f t="shared" ca="1" si="593"/>
        <v>51800.26683766341</v>
      </c>
      <c r="V1410">
        <f t="shared" ca="1" si="594"/>
        <v>269361.38755584974</v>
      </c>
      <c r="W1410">
        <f t="shared" ca="1" si="595"/>
        <v>2.5998695052916441</v>
      </c>
      <c r="X1410">
        <f t="shared" ca="1" si="596"/>
        <v>1.8933671400629237E-4</v>
      </c>
      <c r="Y1410">
        <f t="shared" ca="1" si="597"/>
        <v>52432.198837663411</v>
      </c>
      <c r="Z1410">
        <f t="shared" ca="1" si="598"/>
        <v>52432.198837665237</v>
      </c>
      <c r="AA1410">
        <f t="shared" ca="1" si="599"/>
        <v>2.2562304480281055E-12</v>
      </c>
      <c r="AB1410">
        <f t="shared" ca="1" si="600"/>
        <v>-5.0000000192085281E-4</v>
      </c>
      <c r="AC1410">
        <f t="shared" ca="1" si="601"/>
        <v>1</v>
      </c>
      <c r="AD1410">
        <f ca="1">IF(V32="Supercritical",L1410,IF(V32="Subcritical",U1410,IF(AND(T1410=1,AC1410=1),IF((((F1410)*(L1410)^2)/2+(G1410)*(L1410)^3/3+(ABS(K1410)^2)/($I$5*MAX(((F1410)+(G1410)*(L1410))*(L1410),0.000001)))&gt;=(((F1410)*(U1410)^2)/2+(G1410)*(U1410)^3/3+(ABS(K1410)^2)/($I$5*MAX(((F1410)+(G1410)*(U1410))*(U1410),0.000001))),L1410,U1410),IF(T1410=1,L1410,IF(AC1410=1,U1410,MAX($D$16,POWER((ABS(K1410)^2)/($I$5*MAX(F1410,0.1)^2),1/3)))))))</f>
        <v>51800.26683766341</v>
      </c>
      <c r="AE1410">
        <f t="shared" ca="1" si="602"/>
        <v>52432.198837663411</v>
      </c>
      <c r="AF1410">
        <f t="shared" ca="1" si="603"/>
        <v>52432.198837665237</v>
      </c>
      <c r="AI1410">
        <v>0</v>
      </c>
      <c r="AJ1410">
        <v>0</v>
      </c>
      <c r="AK1410">
        <f t="shared" si="604"/>
        <v>0</v>
      </c>
      <c r="AL1410">
        <f t="shared" si="613"/>
        <v>0</v>
      </c>
      <c r="AM1410">
        <f t="shared" ca="1" si="605"/>
        <v>2.6560383008097266E-7</v>
      </c>
      <c r="AN1410" t="str">
        <f t="shared" ca="1" si="606"/>
        <v>Subcritical</v>
      </c>
      <c r="AO1410">
        <f t="shared" ca="1" si="607"/>
        <v>2.2562304480281055E-12</v>
      </c>
    </row>
    <row r="1411" spans="1:41" x14ac:dyDescent="0.35">
      <c r="A1411">
        <v>1262</v>
      </c>
      <c r="B1411">
        <v>1260.8889999999999</v>
      </c>
      <c r="C1411">
        <v>616070.13600000006</v>
      </c>
      <c r="D1411">
        <v>3096743.2820000001</v>
      </c>
      <c r="E1411">
        <v>631.93150000000003</v>
      </c>
      <c r="F1411">
        <v>5.2</v>
      </c>
      <c r="G1411">
        <v>0</v>
      </c>
      <c r="H1411" t="s">
        <v>186</v>
      </c>
      <c r="I1411">
        <v>5.7000000000000002E-2</v>
      </c>
      <c r="J1411">
        <f t="shared" si="608"/>
        <v>1</v>
      </c>
      <c r="K1411">
        <f t="shared" si="609"/>
        <v>51</v>
      </c>
      <c r="L1411">
        <f t="shared" ca="1" si="610"/>
        <v>51797.843837663619</v>
      </c>
      <c r="M1411">
        <f t="shared" ca="1" si="587"/>
        <v>269348.78795585083</v>
      </c>
      <c r="N1411">
        <f t="shared" ca="1" si="588"/>
        <v>2.5998694991876676</v>
      </c>
      <c r="O1411">
        <f t="shared" ca="1" si="589"/>
        <v>1.8934557080078435E-4</v>
      </c>
      <c r="P1411">
        <f t="shared" ca="1" si="590"/>
        <v>52429.775337663617</v>
      </c>
      <c r="Q1411">
        <f t="shared" ca="1" si="591"/>
        <v>52429.775337665444</v>
      </c>
      <c r="R1411">
        <f t="shared" ca="1" si="592"/>
        <v>2.2564415439646509E-12</v>
      </c>
      <c r="S1411">
        <f t="shared" ca="1" si="611"/>
        <v>5.0000000192085281E-4</v>
      </c>
      <c r="T1411">
        <f t="shared" ca="1" si="612"/>
        <v>1</v>
      </c>
      <c r="U1411">
        <f t="shared" ca="1" si="593"/>
        <v>51800.26683766341</v>
      </c>
      <c r="V1411">
        <f t="shared" ca="1" si="594"/>
        <v>269361.38755584974</v>
      </c>
      <c r="W1411">
        <f t="shared" ca="1" si="595"/>
        <v>2.5998695052916441</v>
      </c>
      <c r="X1411">
        <f t="shared" ca="1" si="596"/>
        <v>1.8933671400629237E-4</v>
      </c>
      <c r="Y1411">
        <f t="shared" ca="1" si="597"/>
        <v>52432.198337663409</v>
      </c>
      <c r="Z1411">
        <f t="shared" ca="1" si="598"/>
        <v>52432.198337665235</v>
      </c>
      <c r="AA1411">
        <f t="shared" ca="1" si="599"/>
        <v>2.2562304480281055E-12</v>
      </c>
      <c r="AB1411">
        <f t="shared" ca="1" si="600"/>
        <v>-5.0000000192085281E-4</v>
      </c>
      <c r="AC1411">
        <f t="shared" ca="1" si="601"/>
        <v>1</v>
      </c>
      <c r="AD1411">
        <f ca="1">IF(V32="Supercritical",L1411,IF(V32="Subcritical",U1411,IF(AND(T1411=1,AC1411=1),IF((((F1411)*(L1411)^2)/2+(G1411)*(L1411)^3/3+(ABS(K1411)^2)/($I$5*MAX(((F1411)+(G1411)*(L1411))*(L1411),0.000001)))&gt;=(((F1411)*(U1411)^2)/2+(G1411)*(U1411)^3/3+(ABS(K1411)^2)/($I$5*MAX(((F1411)+(G1411)*(U1411))*(U1411),0.000001))),L1411,U1411),IF(T1411=1,L1411,IF(AC1411=1,U1411,MAX($D$16,POWER((ABS(K1411)^2)/($I$5*MAX(F1411,0.1)^2),1/3)))))))</f>
        <v>51800.26683766341</v>
      </c>
      <c r="AE1411">
        <f t="shared" ca="1" si="602"/>
        <v>52432.198337663409</v>
      </c>
      <c r="AF1411">
        <f t="shared" ca="1" si="603"/>
        <v>52432.198337665235</v>
      </c>
      <c r="AI1411">
        <v>0</v>
      </c>
      <c r="AJ1411">
        <v>0</v>
      </c>
      <c r="AK1411">
        <f t="shared" si="604"/>
        <v>0</v>
      </c>
      <c r="AL1411">
        <f t="shared" si="613"/>
        <v>0</v>
      </c>
      <c r="AM1411">
        <f t="shared" ca="1" si="605"/>
        <v>2.6560383008097266E-7</v>
      </c>
      <c r="AN1411" t="str">
        <f t="shared" ca="1" si="606"/>
        <v>Subcritical</v>
      </c>
      <c r="AO1411">
        <f t="shared" ca="1" si="607"/>
        <v>2.2562304480281055E-12</v>
      </c>
    </row>
    <row r="1412" spans="1:41" x14ac:dyDescent="0.35">
      <c r="A1412">
        <v>1263</v>
      </c>
      <c r="B1412">
        <v>1261.8889999999999</v>
      </c>
      <c r="C1412">
        <v>616070.09400000004</v>
      </c>
      <c r="D1412">
        <v>3096742.2829999998</v>
      </c>
      <c r="E1412">
        <v>631.93100000000004</v>
      </c>
      <c r="F1412">
        <v>5.2</v>
      </c>
      <c r="G1412">
        <v>0</v>
      </c>
      <c r="H1412" t="s">
        <v>186</v>
      </c>
      <c r="I1412">
        <v>0</v>
      </c>
      <c r="J1412">
        <f t="shared" si="608"/>
        <v>1</v>
      </c>
      <c r="K1412">
        <f t="shared" si="609"/>
        <v>51</v>
      </c>
      <c r="L1412">
        <f t="shared" ca="1" si="610"/>
        <v>51797.843837663619</v>
      </c>
      <c r="M1412">
        <f t="shared" ca="1" si="587"/>
        <v>269348.78795585083</v>
      </c>
      <c r="N1412">
        <f t="shared" ca="1" si="588"/>
        <v>2.5998694991876676</v>
      </c>
      <c r="O1412">
        <f t="shared" ca="1" si="589"/>
        <v>1.8934557080078435E-4</v>
      </c>
      <c r="P1412">
        <f t="shared" ca="1" si="590"/>
        <v>52429.774837663615</v>
      </c>
      <c r="Q1412">
        <f t="shared" ca="1" si="591"/>
        <v>52429.774837665442</v>
      </c>
      <c r="R1412">
        <f t="shared" ca="1" si="592"/>
        <v>2.2564415439646509E-12</v>
      </c>
      <c r="S1412">
        <f t="shared" ca="1" si="611"/>
        <v>5.0000000192085281E-4</v>
      </c>
      <c r="T1412">
        <f t="shared" ca="1" si="612"/>
        <v>1</v>
      </c>
      <c r="U1412">
        <f t="shared" ca="1" si="593"/>
        <v>51800.26683766341</v>
      </c>
      <c r="V1412">
        <f t="shared" ca="1" si="594"/>
        <v>269361.38755584974</v>
      </c>
      <c r="W1412">
        <f t="shared" ca="1" si="595"/>
        <v>2.5998695052916441</v>
      </c>
      <c r="X1412">
        <f t="shared" ca="1" si="596"/>
        <v>1.8933671400629237E-4</v>
      </c>
      <c r="Y1412">
        <f t="shared" ca="1" si="597"/>
        <v>52432.197837663407</v>
      </c>
      <c r="Z1412">
        <f t="shared" ca="1" si="598"/>
        <v>52432.197837665233</v>
      </c>
      <c r="AA1412">
        <f t="shared" ca="1" si="599"/>
        <v>2.2562304480281055E-12</v>
      </c>
      <c r="AB1412">
        <f t="shared" ca="1" si="600"/>
        <v>-4.999999946448952E-4</v>
      </c>
      <c r="AC1412">
        <f t="shared" ca="1" si="601"/>
        <v>1</v>
      </c>
      <c r="AD1412">
        <f ca="1">IF(V32="Supercritical",L1412,IF(V32="Subcritical",U1412,IF(AND(T1412=1,AC1412=1),IF((((F1412)*(L1412)^2)/2+(G1412)*(L1412)^3/3+(ABS(K1412)^2)/($I$5*MAX(((F1412)+(G1412)*(L1412))*(L1412),0.000001)))&gt;=(((F1412)*(U1412)^2)/2+(G1412)*(U1412)^3/3+(ABS(K1412)^2)/($I$5*MAX(((F1412)+(G1412)*(U1412))*(U1412),0.000001))),L1412,U1412),IF(T1412=1,L1412,IF(AC1412=1,U1412,MAX($D$16,POWER((ABS(K1412)^2)/($I$5*MAX(F1412,0.1)^2),1/3)))))))</f>
        <v>51800.26683766341</v>
      </c>
      <c r="AE1412">
        <f t="shared" ca="1" si="602"/>
        <v>52432.197837663407</v>
      </c>
      <c r="AF1412">
        <f t="shared" ca="1" si="603"/>
        <v>52432.197837665233</v>
      </c>
      <c r="AI1412">
        <v>0</v>
      </c>
      <c r="AJ1412">
        <v>0</v>
      </c>
      <c r="AK1412">
        <f t="shared" si="604"/>
        <v>0</v>
      </c>
      <c r="AL1412">
        <f t="shared" si="613"/>
        <v>0</v>
      </c>
      <c r="AM1412">
        <f t="shared" ca="1" si="605"/>
        <v>2.6560383008097266E-7</v>
      </c>
      <c r="AN1412" t="str">
        <f t="shared" ca="1" si="606"/>
        <v>Subcritical</v>
      </c>
      <c r="AO1412">
        <f t="shared" ca="1" si="607"/>
        <v>2.2562304480281055E-12</v>
      </c>
    </row>
    <row r="1413" spans="1:41" x14ac:dyDescent="0.35">
      <c r="A1413">
        <v>1264</v>
      </c>
      <c r="B1413">
        <v>1262.8889999999999</v>
      </c>
      <c r="C1413">
        <v>616070.05200000003</v>
      </c>
      <c r="D1413">
        <v>3096741.284</v>
      </c>
      <c r="E1413">
        <v>631.93050000000005</v>
      </c>
      <c r="F1413">
        <v>5.2</v>
      </c>
      <c r="G1413">
        <v>0</v>
      </c>
      <c r="H1413" t="s">
        <v>186</v>
      </c>
      <c r="I1413">
        <v>0</v>
      </c>
      <c r="J1413">
        <f t="shared" si="608"/>
        <v>1</v>
      </c>
      <c r="K1413">
        <f t="shared" si="609"/>
        <v>51</v>
      </c>
      <c r="L1413">
        <f t="shared" ca="1" si="610"/>
        <v>51797.843837663619</v>
      </c>
      <c r="M1413">
        <f t="shared" ca="1" si="587"/>
        <v>269348.78795585083</v>
      </c>
      <c r="N1413">
        <f t="shared" ca="1" si="588"/>
        <v>2.5998694991876676</v>
      </c>
      <c r="O1413">
        <f t="shared" ca="1" si="589"/>
        <v>1.8934557080078435E-4</v>
      </c>
      <c r="P1413">
        <f t="shared" ca="1" si="590"/>
        <v>52429.774337663621</v>
      </c>
      <c r="Q1413">
        <f t="shared" ca="1" si="591"/>
        <v>52429.774337665447</v>
      </c>
      <c r="R1413">
        <f t="shared" ca="1" si="592"/>
        <v>2.2564415439646509E-12</v>
      </c>
      <c r="S1413">
        <f t="shared" ca="1" si="611"/>
        <v>4.999999946448952E-4</v>
      </c>
      <c r="T1413">
        <f t="shared" ca="1" si="612"/>
        <v>1</v>
      </c>
      <c r="U1413">
        <f t="shared" ca="1" si="593"/>
        <v>51800.26683766341</v>
      </c>
      <c r="V1413">
        <f t="shared" ca="1" si="594"/>
        <v>269361.38755584974</v>
      </c>
      <c r="W1413">
        <f t="shared" ca="1" si="595"/>
        <v>2.5998695052916441</v>
      </c>
      <c r="X1413">
        <f t="shared" ca="1" si="596"/>
        <v>1.8933671400629237E-4</v>
      </c>
      <c r="Y1413">
        <f t="shared" ca="1" si="597"/>
        <v>52432.197337663412</v>
      </c>
      <c r="Z1413">
        <f t="shared" ca="1" si="598"/>
        <v>52432.197337665239</v>
      </c>
      <c r="AA1413">
        <f t="shared" ca="1" si="599"/>
        <v>2.2562304480281055E-12</v>
      </c>
      <c r="AB1413">
        <f t="shared" ca="1" si="600"/>
        <v>-5.0000000192085281E-4</v>
      </c>
      <c r="AC1413">
        <f t="shared" ca="1" si="601"/>
        <v>1</v>
      </c>
      <c r="AD1413">
        <f ca="1">IF(V32="Supercritical",L1413,IF(V32="Subcritical",U1413,IF(AND(T1413=1,AC1413=1),IF((((F1413)*(L1413)^2)/2+(G1413)*(L1413)^3/3+(ABS(K1413)^2)/($I$5*MAX(((F1413)+(G1413)*(L1413))*(L1413),0.000001)))&gt;=(((F1413)*(U1413)^2)/2+(G1413)*(U1413)^3/3+(ABS(K1413)^2)/($I$5*MAX(((F1413)+(G1413)*(U1413))*(U1413),0.000001))),L1413,U1413),IF(T1413=1,L1413,IF(AC1413=1,U1413,MAX($D$16,POWER((ABS(K1413)^2)/($I$5*MAX(F1413,0.1)^2),1/3)))))))</f>
        <v>51800.26683766341</v>
      </c>
      <c r="AE1413">
        <f t="shared" ca="1" si="602"/>
        <v>52432.197337663412</v>
      </c>
      <c r="AF1413">
        <f t="shared" ca="1" si="603"/>
        <v>52432.197337665239</v>
      </c>
      <c r="AI1413">
        <v>0</v>
      </c>
      <c r="AJ1413">
        <v>0</v>
      </c>
      <c r="AK1413">
        <f t="shared" si="604"/>
        <v>0</v>
      </c>
      <c r="AL1413">
        <f t="shared" si="613"/>
        <v>0</v>
      </c>
      <c r="AM1413">
        <f t="shared" ca="1" si="605"/>
        <v>2.6560383008097266E-7</v>
      </c>
      <c r="AN1413" t="str">
        <f t="shared" ca="1" si="606"/>
        <v>Subcritical</v>
      </c>
      <c r="AO1413">
        <f t="shared" ca="1" si="607"/>
        <v>2.2562304480281055E-12</v>
      </c>
    </row>
    <row r="1414" spans="1:41" x14ac:dyDescent="0.35">
      <c r="A1414">
        <v>1265</v>
      </c>
      <c r="B1414">
        <v>1263.8889999999999</v>
      </c>
      <c r="C1414">
        <v>616070.01</v>
      </c>
      <c r="D1414">
        <v>3096740.2850000001</v>
      </c>
      <c r="E1414">
        <v>631.92999999999995</v>
      </c>
      <c r="F1414">
        <v>5.2</v>
      </c>
      <c r="G1414">
        <v>0</v>
      </c>
      <c r="H1414" t="s">
        <v>186</v>
      </c>
      <c r="I1414">
        <v>5.5E-2</v>
      </c>
      <c r="J1414">
        <f t="shared" si="608"/>
        <v>1</v>
      </c>
      <c r="K1414">
        <f t="shared" si="609"/>
        <v>51</v>
      </c>
      <c r="L1414">
        <f t="shared" ca="1" si="610"/>
        <v>51797.843837663619</v>
      </c>
      <c r="M1414">
        <f t="shared" ca="1" si="587"/>
        <v>269348.78795585083</v>
      </c>
      <c r="N1414">
        <f t="shared" ca="1" si="588"/>
        <v>2.5998694991876676</v>
      </c>
      <c r="O1414">
        <f t="shared" ca="1" si="589"/>
        <v>1.8934557080078435E-4</v>
      </c>
      <c r="P1414">
        <f t="shared" ca="1" si="590"/>
        <v>52429.773837663619</v>
      </c>
      <c r="Q1414">
        <f t="shared" ca="1" si="591"/>
        <v>52429.773837665445</v>
      </c>
      <c r="R1414">
        <f t="shared" ca="1" si="592"/>
        <v>2.2564415439646509E-12</v>
      </c>
      <c r="S1414">
        <f t="shared" ca="1" si="611"/>
        <v>5.0000000192085281E-4</v>
      </c>
      <c r="T1414">
        <f t="shared" ca="1" si="612"/>
        <v>1</v>
      </c>
      <c r="U1414">
        <f t="shared" ca="1" si="593"/>
        <v>51800.26683766341</v>
      </c>
      <c r="V1414">
        <f t="shared" ca="1" si="594"/>
        <v>269361.38755584974</v>
      </c>
      <c r="W1414">
        <f t="shared" ca="1" si="595"/>
        <v>2.5998695052916441</v>
      </c>
      <c r="X1414">
        <f t="shared" ca="1" si="596"/>
        <v>1.8933671400629237E-4</v>
      </c>
      <c r="Y1414">
        <f t="shared" ca="1" si="597"/>
        <v>52432.19683766341</v>
      </c>
      <c r="Z1414">
        <f t="shared" ca="1" si="598"/>
        <v>52432.196837665237</v>
      </c>
      <c r="AA1414">
        <f t="shared" ca="1" si="599"/>
        <v>2.2562304480281055E-12</v>
      </c>
      <c r="AB1414">
        <f t="shared" ca="1" si="600"/>
        <v>-5.0000000192085281E-4</v>
      </c>
      <c r="AC1414">
        <f t="shared" ca="1" si="601"/>
        <v>1</v>
      </c>
      <c r="AD1414">
        <f ca="1">IF(V32="Supercritical",L1414,IF(V32="Subcritical",U1414,IF(AND(T1414=1,AC1414=1),IF((((F1414)*(L1414)^2)/2+(G1414)*(L1414)^3/3+(ABS(K1414)^2)/($I$5*MAX(((F1414)+(G1414)*(L1414))*(L1414),0.000001)))&gt;=(((F1414)*(U1414)^2)/2+(G1414)*(U1414)^3/3+(ABS(K1414)^2)/($I$5*MAX(((F1414)+(G1414)*(U1414))*(U1414),0.000001))),L1414,U1414),IF(T1414=1,L1414,IF(AC1414=1,U1414,MAX($D$16,POWER((ABS(K1414)^2)/($I$5*MAX(F1414,0.1)^2),1/3)))))))</f>
        <v>51800.26683766341</v>
      </c>
      <c r="AE1414">
        <f t="shared" ca="1" si="602"/>
        <v>52432.19683766341</v>
      </c>
      <c r="AF1414">
        <f t="shared" ca="1" si="603"/>
        <v>52432.196837665237</v>
      </c>
      <c r="AI1414">
        <v>0</v>
      </c>
      <c r="AJ1414">
        <v>0</v>
      </c>
      <c r="AK1414">
        <f t="shared" si="604"/>
        <v>0</v>
      </c>
      <c r="AL1414">
        <f t="shared" si="613"/>
        <v>0</v>
      </c>
      <c r="AM1414">
        <f t="shared" ca="1" si="605"/>
        <v>2.6560383008097266E-7</v>
      </c>
      <c r="AN1414" t="str">
        <f t="shared" ca="1" si="606"/>
        <v>Subcritical</v>
      </c>
      <c r="AO1414">
        <f t="shared" ca="1" si="607"/>
        <v>2.2562304480281055E-12</v>
      </c>
    </row>
    <row r="1415" spans="1:41" x14ac:dyDescent="0.35">
      <c r="A1415">
        <v>1266</v>
      </c>
      <c r="B1415">
        <v>1264.8900000000001</v>
      </c>
      <c r="C1415">
        <v>616069.96699999995</v>
      </c>
      <c r="D1415">
        <v>3096739.2850000001</v>
      </c>
      <c r="E1415">
        <v>631.92949999999996</v>
      </c>
      <c r="F1415">
        <v>5.2</v>
      </c>
      <c r="G1415">
        <v>0</v>
      </c>
      <c r="H1415" t="s">
        <v>186</v>
      </c>
      <c r="I1415">
        <v>5.5E-2</v>
      </c>
      <c r="J1415">
        <f t="shared" si="608"/>
        <v>1.0010000000002037</v>
      </c>
      <c r="K1415">
        <f t="shared" si="609"/>
        <v>51</v>
      </c>
      <c r="L1415">
        <f t="shared" ca="1" si="610"/>
        <v>51797.843837663619</v>
      </c>
      <c r="M1415">
        <f t="shared" ca="1" si="587"/>
        <v>269348.78795585083</v>
      </c>
      <c r="N1415">
        <f t="shared" ca="1" si="588"/>
        <v>2.5998694991876676</v>
      </c>
      <c r="O1415">
        <f t="shared" ca="1" si="589"/>
        <v>1.8934557080078435E-4</v>
      </c>
      <c r="P1415">
        <f t="shared" ca="1" si="590"/>
        <v>52429.773337663617</v>
      </c>
      <c r="Q1415">
        <f t="shared" ca="1" si="591"/>
        <v>52429.773337665443</v>
      </c>
      <c r="R1415">
        <f t="shared" ca="1" si="592"/>
        <v>2.2564415439646509E-12</v>
      </c>
      <c r="S1415">
        <f t="shared" ca="1" si="611"/>
        <v>5.0000000192085281E-4</v>
      </c>
      <c r="T1415">
        <f t="shared" ca="1" si="612"/>
        <v>1</v>
      </c>
      <c r="U1415">
        <f t="shared" ca="1" si="593"/>
        <v>51800.26683766341</v>
      </c>
      <c r="V1415">
        <f t="shared" ca="1" si="594"/>
        <v>269361.38755584974</v>
      </c>
      <c r="W1415">
        <f t="shared" ca="1" si="595"/>
        <v>2.5998695052916441</v>
      </c>
      <c r="X1415">
        <f t="shared" ca="1" si="596"/>
        <v>1.8933671400629237E-4</v>
      </c>
      <c r="Y1415">
        <f t="shared" ca="1" si="597"/>
        <v>52432.196337663408</v>
      </c>
      <c r="Z1415">
        <f t="shared" ca="1" si="598"/>
        <v>52432.196337665235</v>
      </c>
      <c r="AA1415">
        <f t="shared" ca="1" si="599"/>
        <v>2.2562304480281055E-12</v>
      </c>
      <c r="AB1415">
        <f t="shared" ca="1" si="600"/>
        <v>-5.0000000192085281E-4</v>
      </c>
      <c r="AC1415">
        <f t="shared" ca="1" si="601"/>
        <v>1</v>
      </c>
      <c r="AD1415">
        <f ca="1">IF(V32="Supercritical",L1415,IF(V32="Subcritical",U1415,IF(AND(T1415=1,AC1415=1),IF((((F1415)*(L1415)^2)/2+(G1415)*(L1415)^3/3+(ABS(K1415)^2)/($I$5*MAX(((F1415)+(G1415)*(L1415))*(L1415),0.000001)))&gt;=(((F1415)*(U1415)^2)/2+(G1415)*(U1415)^3/3+(ABS(K1415)^2)/($I$5*MAX(((F1415)+(G1415)*(U1415))*(U1415),0.000001))),L1415,U1415),IF(T1415=1,L1415,IF(AC1415=1,U1415,MAX($D$16,POWER((ABS(K1415)^2)/($I$5*MAX(F1415,0.1)^2),1/3)))))))</f>
        <v>51800.26683766341</v>
      </c>
      <c r="AE1415">
        <f t="shared" ca="1" si="602"/>
        <v>52432.196337663408</v>
      </c>
      <c r="AF1415">
        <f t="shared" ca="1" si="603"/>
        <v>52432.196337665235</v>
      </c>
      <c r="AI1415">
        <v>0</v>
      </c>
      <c r="AJ1415">
        <v>0</v>
      </c>
      <c r="AK1415">
        <f t="shared" si="604"/>
        <v>0</v>
      </c>
      <c r="AL1415">
        <f t="shared" si="613"/>
        <v>0</v>
      </c>
      <c r="AM1415">
        <f t="shared" ca="1" si="605"/>
        <v>2.6560383008097266E-7</v>
      </c>
      <c r="AN1415" t="str">
        <f t="shared" ca="1" si="606"/>
        <v>Subcritical</v>
      </c>
      <c r="AO1415">
        <f t="shared" ca="1" si="607"/>
        <v>2.2562304480281055E-12</v>
      </c>
    </row>
    <row r="1416" spans="1:41" x14ac:dyDescent="0.35">
      <c r="A1416">
        <v>1267</v>
      </c>
      <c r="B1416">
        <v>1265.8900000000001</v>
      </c>
      <c r="C1416">
        <v>616069.92500000005</v>
      </c>
      <c r="D1416">
        <v>3096738.2859999998</v>
      </c>
      <c r="E1416">
        <v>631.92899999999997</v>
      </c>
      <c r="F1416">
        <v>5.2</v>
      </c>
      <c r="G1416">
        <v>0</v>
      </c>
      <c r="H1416" t="s">
        <v>186</v>
      </c>
      <c r="I1416">
        <v>0</v>
      </c>
      <c r="J1416">
        <f t="shared" si="608"/>
        <v>1</v>
      </c>
      <c r="K1416">
        <f t="shared" si="609"/>
        <v>51</v>
      </c>
      <c r="L1416">
        <f t="shared" ca="1" si="610"/>
        <v>51797.843837663619</v>
      </c>
      <c r="M1416">
        <f t="shared" ca="1" si="587"/>
        <v>269348.78795585083</v>
      </c>
      <c r="N1416">
        <f t="shared" ca="1" si="588"/>
        <v>2.5998694991876676</v>
      </c>
      <c r="O1416">
        <f t="shared" ca="1" si="589"/>
        <v>1.8934557080078435E-4</v>
      </c>
      <c r="P1416">
        <f t="shared" ca="1" si="590"/>
        <v>52429.772837663615</v>
      </c>
      <c r="Q1416">
        <f t="shared" ca="1" si="591"/>
        <v>52429.772837665441</v>
      </c>
      <c r="R1416">
        <f t="shared" ca="1" si="592"/>
        <v>2.2564415439646509E-12</v>
      </c>
      <c r="S1416">
        <f t="shared" ca="1" si="611"/>
        <v>5.0000000192085281E-4</v>
      </c>
      <c r="T1416">
        <f t="shared" ca="1" si="612"/>
        <v>1</v>
      </c>
      <c r="U1416">
        <f t="shared" ca="1" si="593"/>
        <v>51800.26683766341</v>
      </c>
      <c r="V1416">
        <f t="shared" ca="1" si="594"/>
        <v>269361.38755584974</v>
      </c>
      <c r="W1416">
        <f t="shared" ca="1" si="595"/>
        <v>2.5998695052916441</v>
      </c>
      <c r="X1416">
        <f t="shared" ca="1" si="596"/>
        <v>1.8933671400629237E-4</v>
      </c>
      <c r="Y1416">
        <f t="shared" ca="1" si="597"/>
        <v>52432.195837663407</v>
      </c>
      <c r="Z1416">
        <f t="shared" ca="1" si="598"/>
        <v>52432.195837665233</v>
      </c>
      <c r="AA1416">
        <f t="shared" ca="1" si="599"/>
        <v>2.2562304480281055E-12</v>
      </c>
      <c r="AB1416">
        <f t="shared" ca="1" si="600"/>
        <v>-4.999999946448952E-4</v>
      </c>
      <c r="AC1416">
        <f t="shared" ca="1" si="601"/>
        <v>1</v>
      </c>
      <c r="AD1416">
        <f ca="1">IF(V32="Supercritical",L1416,IF(V32="Subcritical",U1416,IF(AND(T1416=1,AC1416=1),IF((((F1416)*(L1416)^2)/2+(G1416)*(L1416)^3/3+(ABS(K1416)^2)/($I$5*MAX(((F1416)+(G1416)*(L1416))*(L1416),0.000001)))&gt;=(((F1416)*(U1416)^2)/2+(G1416)*(U1416)^3/3+(ABS(K1416)^2)/($I$5*MAX(((F1416)+(G1416)*(U1416))*(U1416),0.000001))),L1416,U1416),IF(T1416=1,L1416,IF(AC1416=1,U1416,MAX($D$16,POWER((ABS(K1416)^2)/($I$5*MAX(F1416,0.1)^2),1/3)))))))</f>
        <v>51800.26683766341</v>
      </c>
      <c r="AE1416">
        <f t="shared" ca="1" si="602"/>
        <v>52432.195837663407</v>
      </c>
      <c r="AF1416">
        <f t="shared" ca="1" si="603"/>
        <v>52432.195837665233</v>
      </c>
      <c r="AI1416">
        <v>0</v>
      </c>
      <c r="AJ1416">
        <v>0</v>
      </c>
      <c r="AK1416">
        <f t="shared" si="604"/>
        <v>0</v>
      </c>
      <c r="AL1416">
        <f t="shared" si="613"/>
        <v>0</v>
      </c>
      <c r="AM1416">
        <f t="shared" ca="1" si="605"/>
        <v>2.6560383008097266E-7</v>
      </c>
      <c r="AN1416" t="str">
        <f t="shared" ca="1" si="606"/>
        <v>Subcritical</v>
      </c>
      <c r="AO1416">
        <f t="shared" ca="1" si="607"/>
        <v>2.2562304480281055E-12</v>
      </c>
    </row>
    <row r="1417" spans="1:41" x14ac:dyDescent="0.35">
      <c r="A1417">
        <v>1268</v>
      </c>
      <c r="B1417">
        <v>1266.8900000000001</v>
      </c>
      <c r="C1417">
        <v>616069.88300000003</v>
      </c>
      <c r="D1417">
        <v>3096737.287</v>
      </c>
      <c r="E1417">
        <v>631.92849999999999</v>
      </c>
      <c r="F1417">
        <v>5.2</v>
      </c>
      <c r="G1417">
        <v>0</v>
      </c>
      <c r="H1417" t="s">
        <v>186</v>
      </c>
      <c r="I1417">
        <v>0</v>
      </c>
      <c r="J1417">
        <f t="shared" si="608"/>
        <v>1</v>
      </c>
      <c r="K1417">
        <f t="shared" si="609"/>
        <v>51</v>
      </c>
      <c r="L1417">
        <f t="shared" ca="1" si="610"/>
        <v>51797.843837663619</v>
      </c>
      <c r="M1417">
        <f t="shared" ca="1" si="587"/>
        <v>269348.78795585083</v>
      </c>
      <c r="N1417">
        <f t="shared" ca="1" si="588"/>
        <v>2.5998694991876676</v>
      </c>
      <c r="O1417">
        <f t="shared" ca="1" si="589"/>
        <v>1.8934557080078435E-4</v>
      </c>
      <c r="P1417">
        <f t="shared" ca="1" si="590"/>
        <v>52429.77233766362</v>
      </c>
      <c r="Q1417">
        <f t="shared" ca="1" si="591"/>
        <v>52429.772337665447</v>
      </c>
      <c r="R1417">
        <f t="shared" ca="1" si="592"/>
        <v>2.2564415439646509E-12</v>
      </c>
      <c r="S1417">
        <f t="shared" ca="1" si="611"/>
        <v>4.999999946448952E-4</v>
      </c>
      <c r="T1417">
        <f t="shared" ca="1" si="612"/>
        <v>1</v>
      </c>
      <c r="U1417">
        <f t="shared" ca="1" si="593"/>
        <v>51800.26683766341</v>
      </c>
      <c r="V1417">
        <f t="shared" ca="1" si="594"/>
        <v>269361.38755584974</v>
      </c>
      <c r="W1417">
        <f t="shared" ca="1" si="595"/>
        <v>2.5998695052916441</v>
      </c>
      <c r="X1417">
        <f t="shared" ca="1" si="596"/>
        <v>1.8933671400629237E-4</v>
      </c>
      <c r="Y1417">
        <f t="shared" ca="1" si="597"/>
        <v>52432.195337663412</v>
      </c>
      <c r="Z1417">
        <f t="shared" ca="1" si="598"/>
        <v>52432.195337665238</v>
      </c>
      <c r="AA1417">
        <f t="shared" ca="1" si="599"/>
        <v>2.2562304480281055E-12</v>
      </c>
      <c r="AB1417">
        <f t="shared" ca="1" si="600"/>
        <v>-5.0000000192085281E-4</v>
      </c>
      <c r="AC1417">
        <f t="shared" ca="1" si="601"/>
        <v>1</v>
      </c>
      <c r="AD1417">
        <f ca="1">IF(V32="Supercritical",L1417,IF(V32="Subcritical",U1417,IF(AND(T1417=1,AC1417=1),IF((((F1417)*(L1417)^2)/2+(G1417)*(L1417)^3/3+(ABS(K1417)^2)/($I$5*MAX(((F1417)+(G1417)*(L1417))*(L1417),0.000001)))&gt;=(((F1417)*(U1417)^2)/2+(G1417)*(U1417)^3/3+(ABS(K1417)^2)/($I$5*MAX(((F1417)+(G1417)*(U1417))*(U1417),0.000001))),L1417,U1417),IF(T1417=1,L1417,IF(AC1417=1,U1417,MAX($D$16,POWER((ABS(K1417)^2)/($I$5*MAX(F1417,0.1)^2),1/3)))))))</f>
        <v>51800.26683766341</v>
      </c>
      <c r="AE1417">
        <f t="shared" ca="1" si="602"/>
        <v>52432.195337663412</v>
      </c>
      <c r="AF1417">
        <f t="shared" ca="1" si="603"/>
        <v>52432.195337665238</v>
      </c>
      <c r="AI1417">
        <v>0</v>
      </c>
      <c r="AJ1417">
        <v>0</v>
      </c>
      <c r="AK1417">
        <f t="shared" si="604"/>
        <v>0</v>
      </c>
      <c r="AL1417">
        <f t="shared" si="613"/>
        <v>0</v>
      </c>
      <c r="AM1417">
        <f t="shared" ca="1" si="605"/>
        <v>2.6560383008097266E-7</v>
      </c>
      <c r="AN1417" t="str">
        <f t="shared" ca="1" si="606"/>
        <v>Subcritical</v>
      </c>
      <c r="AO1417">
        <f t="shared" ca="1" si="607"/>
        <v>2.2562304480281055E-12</v>
      </c>
    </row>
    <row r="1418" spans="1:41" x14ac:dyDescent="0.35">
      <c r="A1418">
        <v>1269</v>
      </c>
      <c r="B1418">
        <v>1267.8889999999999</v>
      </c>
      <c r="C1418">
        <v>616069.84100000001</v>
      </c>
      <c r="D1418">
        <v>3096736.2880000002</v>
      </c>
      <c r="E1418">
        <v>631.928</v>
      </c>
      <c r="F1418">
        <v>5.2</v>
      </c>
      <c r="G1418">
        <v>0</v>
      </c>
      <c r="H1418" t="s">
        <v>186</v>
      </c>
      <c r="I1418">
        <v>5.7000000000000002E-2</v>
      </c>
      <c r="J1418">
        <f t="shared" si="608"/>
        <v>0.99899999999979627</v>
      </c>
      <c r="K1418">
        <f t="shared" si="609"/>
        <v>51</v>
      </c>
      <c r="L1418">
        <f t="shared" ca="1" si="610"/>
        <v>51797.843837663619</v>
      </c>
      <c r="M1418">
        <f t="shared" ca="1" si="587"/>
        <v>269348.78795585083</v>
      </c>
      <c r="N1418">
        <f t="shared" ca="1" si="588"/>
        <v>2.5998694991876676</v>
      </c>
      <c r="O1418">
        <f t="shared" ca="1" si="589"/>
        <v>1.8934557080078435E-4</v>
      </c>
      <c r="P1418">
        <f t="shared" ca="1" si="590"/>
        <v>52429.771837663618</v>
      </c>
      <c r="Q1418">
        <f t="shared" ca="1" si="591"/>
        <v>52429.771837665445</v>
      </c>
      <c r="R1418">
        <f t="shared" ca="1" si="592"/>
        <v>2.2564415439646509E-12</v>
      </c>
      <c r="S1418">
        <f t="shared" ca="1" si="611"/>
        <v>5.0000000192085281E-4</v>
      </c>
      <c r="T1418">
        <f t="shared" ca="1" si="612"/>
        <v>1</v>
      </c>
      <c r="U1418">
        <f t="shared" ca="1" si="593"/>
        <v>51800.26683766341</v>
      </c>
      <c r="V1418">
        <f t="shared" ca="1" si="594"/>
        <v>269361.38755584974</v>
      </c>
      <c r="W1418">
        <f t="shared" ca="1" si="595"/>
        <v>2.5998695052916441</v>
      </c>
      <c r="X1418">
        <f t="shared" ca="1" si="596"/>
        <v>1.8933671400629237E-4</v>
      </c>
      <c r="Y1418">
        <f t="shared" ca="1" si="597"/>
        <v>52432.19483766341</v>
      </c>
      <c r="Z1418">
        <f t="shared" ca="1" si="598"/>
        <v>52432.194837665236</v>
      </c>
      <c r="AA1418">
        <f t="shared" ca="1" si="599"/>
        <v>2.2562304480281055E-12</v>
      </c>
      <c r="AB1418">
        <f t="shared" ca="1" si="600"/>
        <v>-5.0000000192085281E-4</v>
      </c>
      <c r="AC1418">
        <f t="shared" ca="1" si="601"/>
        <v>1</v>
      </c>
      <c r="AD1418">
        <f ca="1">IF(V32="Supercritical",L1418,IF(V32="Subcritical",U1418,IF(AND(T1418=1,AC1418=1),IF((((F1418)*(L1418)^2)/2+(G1418)*(L1418)^3/3+(ABS(K1418)^2)/($I$5*MAX(((F1418)+(G1418)*(L1418))*(L1418),0.000001)))&gt;=(((F1418)*(U1418)^2)/2+(G1418)*(U1418)^3/3+(ABS(K1418)^2)/($I$5*MAX(((F1418)+(G1418)*(U1418))*(U1418),0.000001))),L1418,U1418),IF(T1418=1,L1418,IF(AC1418=1,U1418,MAX($D$16,POWER((ABS(K1418)^2)/($I$5*MAX(F1418,0.1)^2),1/3)))))))</f>
        <v>51800.26683766341</v>
      </c>
      <c r="AE1418">
        <f t="shared" ca="1" si="602"/>
        <v>52432.19483766341</v>
      </c>
      <c r="AF1418">
        <f t="shared" ca="1" si="603"/>
        <v>52432.194837665236</v>
      </c>
      <c r="AI1418">
        <v>0</v>
      </c>
      <c r="AJ1418">
        <v>0</v>
      </c>
      <c r="AK1418">
        <f t="shared" si="604"/>
        <v>0</v>
      </c>
      <c r="AL1418">
        <f t="shared" si="613"/>
        <v>0</v>
      </c>
      <c r="AM1418">
        <f t="shared" ca="1" si="605"/>
        <v>2.6560383008097266E-7</v>
      </c>
      <c r="AN1418" t="str">
        <f t="shared" ca="1" si="606"/>
        <v>Subcritical</v>
      </c>
      <c r="AO1418">
        <f t="shared" ca="1" si="607"/>
        <v>2.2562304480281055E-12</v>
      </c>
    </row>
    <row r="1419" spans="1:41" x14ac:dyDescent="0.35">
      <c r="A1419">
        <v>1270</v>
      </c>
      <c r="B1419">
        <v>1268.8889999999999</v>
      </c>
      <c r="C1419">
        <v>616069.79799999995</v>
      </c>
      <c r="D1419">
        <v>3096735.2889999999</v>
      </c>
      <c r="E1419">
        <v>631.92750000000001</v>
      </c>
      <c r="F1419">
        <v>5.2</v>
      </c>
      <c r="G1419">
        <v>0</v>
      </c>
      <c r="H1419" t="s">
        <v>186</v>
      </c>
      <c r="I1419">
        <v>5.7000000000000002E-2</v>
      </c>
      <c r="J1419">
        <f t="shared" si="608"/>
        <v>1</v>
      </c>
      <c r="K1419">
        <f t="shared" si="609"/>
        <v>51</v>
      </c>
      <c r="L1419">
        <f t="shared" ca="1" si="610"/>
        <v>51797.843837663619</v>
      </c>
      <c r="M1419">
        <f t="shared" ca="1" si="587"/>
        <v>269348.78795585083</v>
      </c>
      <c r="N1419">
        <f t="shared" ca="1" si="588"/>
        <v>2.5998694991876676</v>
      </c>
      <c r="O1419">
        <f t="shared" ca="1" si="589"/>
        <v>1.8934557080078435E-4</v>
      </c>
      <c r="P1419">
        <f t="shared" ca="1" si="590"/>
        <v>52429.771337663617</v>
      </c>
      <c r="Q1419">
        <f t="shared" ca="1" si="591"/>
        <v>52429.771337665443</v>
      </c>
      <c r="R1419">
        <f t="shared" ca="1" si="592"/>
        <v>2.2564415439646509E-12</v>
      </c>
      <c r="S1419">
        <f t="shared" ca="1" si="611"/>
        <v>5.0000000192085281E-4</v>
      </c>
      <c r="T1419">
        <f t="shared" ca="1" si="612"/>
        <v>1</v>
      </c>
      <c r="U1419">
        <f t="shared" ca="1" si="593"/>
        <v>51800.26683766341</v>
      </c>
      <c r="V1419">
        <f t="shared" ca="1" si="594"/>
        <v>269361.38755584974</v>
      </c>
      <c r="W1419">
        <f t="shared" ca="1" si="595"/>
        <v>2.5998695052916441</v>
      </c>
      <c r="X1419">
        <f t="shared" ca="1" si="596"/>
        <v>1.8933671400629237E-4</v>
      </c>
      <c r="Y1419">
        <f t="shared" ca="1" si="597"/>
        <v>52432.194337663408</v>
      </c>
      <c r="Z1419">
        <f t="shared" ca="1" si="598"/>
        <v>52432.194337665234</v>
      </c>
      <c r="AA1419">
        <f t="shared" ca="1" si="599"/>
        <v>2.2562304480281055E-12</v>
      </c>
      <c r="AB1419">
        <f t="shared" ca="1" si="600"/>
        <v>-4.999999946448952E-4</v>
      </c>
      <c r="AC1419">
        <f t="shared" ca="1" si="601"/>
        <v>1</v>
      </c>
      <c r="AD1419">
        <f ca="1">IF(V32="Supercritical",L1419,IF(V32="Subcritical",U1419,IF(AND(T1419=1,AC1419=1),IF((((F1419)*(L1419)^2)/2+(G1419)*(L1419)^3/3+(ABS(K1419)^2)/($I$5*MAX(((F1419)+(G1419)*(L1419))*(L1419),0.000001)))&gt;=(((F1419)*(U1419)^2)/2+(G1419)*(U1419)^3/3+(ABS(K1419)^2)/($I$5*MAX(((F1419)+(G1419)*(U1419))*(U1419),0.000001))),L1419,U1419),IF(T1419=1,L1419,IF(AC1419=1,U1419,MAX($D$16,POWER((ABS(K1419)^2)/($I$5*MAX(F1419,0.1)^2),1/3)))))))</f>
        <v>51800.26683766341</v>
      </c>
      <c r="AE1419">
        <f t="shared" ca="1" si="602"/>
        <v>52432.194337663408</v>
      </c>
      <c r="AF1419">
        <f t="shared" ca="1" si="603"/>
        <v>52432.194337665234</v>
      </c>
      <c r="AI1419">
        <v>0</v>
      </c>
      <c r="AJ1419">
        <v>0</v>
      </c>
      <c r="AK1419">
        <f t="shared" si="604"/>
        <v>0</v>
      </c>
      <c r="AL1419">
        <f t="shared" si="613"/>
        <v>0</v>
      </c>
      <c r="AM1419">
        <f t="shared" ca="1" si="605"/>
        <v>2.6560383008097266E-7</v>
      </c>
      <c r="AN1419" t="str">
        <f t="shared" ca="1" si="606"/>
        <v>Subcritical</v>
      </c>
      <c r="AO1419">
        <f t="shared" ca="1" si="607"/>
        <v>2.2562304480281055E-12</v>
      </c>
    </row>
    <row r="1420" spans="1:41" x14ac:dyDescent="0.35">
      <c r="A1420">
        <v>1271</v>
      </c>
      <c r="B1420">
        <v>1269.8889999999999</v>
      </c>
      <c r="C1420">
        <v>616069.75600000005</v>
      </c>
      <c r="D1420">
        <v>3096734.29</v>
      </c>
      <c r="E1420">
        <v>631.92700000000002</v>
      </c>
      <c r="F1420">
        <v>5.2</v>
      </c>
      <c r="G1420">
        <v>0</v>
      </c>
      <c r="H1420" t="s">
        <v>186</v>
      </c>
      <c r="I1420">
        <v>0</v>
      </c>
      <c r="J1420">
        <f t="shared" si="608"/>
        <v>1</v>
      </c>
      <c r="K1420">
        <f t="shared" si="609"/>
        <v>51</v>
      </c>
      <c r="L1420">
        <f t="shared" ca="1" si="610"/>
        <v>51797.843837663619</v>
      </c>
      <c r="M1420">
        <f t="shared" ca="1" si="587"/>
        <v>269348.78795585083</v>
      </c>
      <c r="N1420">
        <f t="shared" ca="1" si="588"/>
        <v>2.5998694991876676</v>
      </c>
      <c r="O1420">
        <f t="shared" ca="1" si="589"/>
        <v>1.8934557080078435E-4</v>
      </c>
      <c r="P1420">
        <f t="shared" ca="1" si="590"/>
        <v>52429.770837663622</v>
      </c>
      <c r="Q1420">
        <f t="shared" ca="1" si="591"/>
        <v>52429.770837665448</v>
      </c>
      <c r="R1420">
        <f t="shared" ca="1" si="592"/>
        <v>2.2564415439646509E-12</v>
      </c>
      <c r="S1420">
        <f t="shared" ca="1" si="611"/>
        <v>4.999999946448952E-4</v>
      </c>
      <c r="T1420">
        <f t="shared" ca="1" si="612"/>
        <v>1</v>
      </c>
      <c r="U1420">
        <f t="shared" ca="1" si="593"/>
        <v>51800.26683766341</v>
      </c>
      <c r="V1420">
        <f t="shared" ca="1" si="594"/>
        <v>269361.38755584974</v>
      </c>
      <c r="W1420">
        <f t="shared" ca="1" si="595"/>
        <v>2.5998695052916441</v>
      </c>
      <c r="X1420">
        <f t="shared" ca="1" si="596"/>
        <v>1.8933671400629237E-4</v>
      </c>
      <c r="Y1420">
        <f t="shared" ca="1" si="597"/>
        <v>52432.193837663413</v>
      </c>
      <c r="Z1420">
        <f t="shared" ca="1" si="598"/>
        <v>52432.19383766524</v>
      </c>
      <c r="AA1420">
        <f t="shared" ca="1" si="599"/>
        <v>2.2562304480281055E-12</v>
      </c>
      <c r="AB1420">
        <f t="shared" ca="1" si="600"/>
        <v>-5.0000000192085281E-4</v>
      </c>
      <c r="AC1420">
        <f t="shared" ca="1" si="601"/>
        <v>1</v>
      </c>
      <c r="AD1420">
        <f ca="1">IF(V32="Supercritical",L1420,IF(V32="Subcritical",U1420,IF(AND(T1420=1,AC1420=1),IF((((F1420)*(L1420)^2)/2+(G1420)*(L1420)^3/3+(ABS(K1420)^2)/($I$5*MAX(((F1420)+(G1420)*(L1420))*(L1420),0.000001)))&gt;=(((F1420)*(U1420)^2)/2+(G1420)*(U1420)^3/3+(ABS(K1420)^2)/($I$5*MAX(((F1420)+(G1420)*(U1420))*(U1420),0.000001))),L1420,U1420),IF(T1420=1,L1420,IF(AC1420=1,U1420,MAX($D$16,POWER((ABS(K1420)^2)/($I$5*MAX(F1420,0.1)^2),1/3)))))))</f>
        <v>51800.26683766341</v>
      </c>
      <c r="AE1420">
        <f t="shared" ca="1" si="602"/>
        <v>52432.193837663413</v>
      </c>
      <c r="AF1420">
        <f t="shared" ca="1" si="603"/>
        <v>52432.19383766524</v>
      </c>
      <c r="AI1420">
        <v>0</v>
      </c>
      <c r="AJ1420">
        <v>0</v>
      </c>
      <c r="AK1420">
        <f t="shared" si="604"/>
        <v>0</v>
      </c>
      <c r="AL1420">
        <f t="shared" si="613"/>
        <v>0</v>
      </c>
      <c r="AM1420">
        <f t="shared" ca="1" si="605"/>
        <v>2.6560383008097266E-7</v>
      </c>
      <c r="AN1420" t="str">
        <f t="shared" ca="1" si="606"/>
        <v>Subcritical</v>
      </c>
      <c r="AO1420">
        <f t="shared" ca="1" si="607"/>
        <v>2.2562304480281055E-12</v>
      </c>
    </row>
    <row r="1421" spans="1:41" x14ac:dyDescent="0.35">
      <c r="A1421">
        <v>1272</v>
      </c>
      <c r="B1421">
        <v>1270.8889999999999</v>
      </c>
      <c r="C1421">
        <v>616069.71400000004</v>
      </c>
      <c r="D1421">
        <v>3096733.2910000002</v>
      </c>
      <c r="E1421">
        <v>631.92650000000003</v>
      </c>
      <c r="F1421">
        <v>5.2</v>
      </c>
      <c r="G1421">
        <v>0</v>
      </c>
      <c r="H1421" t="s">
        <v>186</v>
      </c>
      <c r="I1421">
        <v>0</v>
      </c>
      <c r="J1421">
        <f t="shared" si="608"/>
        <v>1</v>
      </c>
      <c r="K1421">
        <f t="shared" si="609"/>
        <v>51</v>
      </c>
      <c r="L1421">
        <f t="shared" ca="1" si="610"/>
        <v>51797.843837663619</v>
      </c>
      <c r="M1421">
        <f t="shared" ca="1" si="587"/>
        <v>269348.78795585083</v>
      </c>
      <c r="N1421">
        <f t="shared" ca="1" si="588"/>
        <v>2.5998694991876676</v>
      </c>
      <c r="O1421">
        <f t="shared" ca="1" si="589"/>
        <v>1.8934557080078435E-4</v>
      </c>
      <c r="P1421">
        <f t="shared" ca="1" si="590"/>
        <v>52429.77033766362</v>
      </c>
      <c r="Q1421">
        <f t="shared" ca="1" si="591"/>
        <v>52429.770337665446</v>
      </c>
      <c r="R1421">
        <f t="shared" ca="1" si="592"/>
        <v>2.2564415439646509E-12</v>
      </c>
      <c r="S1421">
        <f t="shared" ca="1" si="611"/>
        <v>5.0000000192085281E-4</v>
      </c>
      <c r="T1421">
        <f t="shared" ca="1" si="612"/>
        <v>1</v>
      </c>
      <c r="U1421">
        <f t="shared" ca="1" si="593"/>
        <v>51800.26683766341</v>
      </c>
      <c r="V1421">
        <f t="shared" ca="1" si="594"/>
        <v>269361.38755584974</v>
      </c>
      <c r="W1421">
        <f t="shared" ca="1" si="595"/>
        <v>2.5998695052916441</v>
      </c>
      <c r="X1421">
        <f t="shared" ca="1" si="596"/>
        <v>1.8933671400629237E-4</v>
      </c>
      <c r="Y1421">
        <f t="shared" ca="1" si="597"/>
        <v>52432.193337663412</v>
      </c>
      <c r="Z1421">
        <f t="shared" ca="1" si="598"/>
        <v>52432.193337665238</v>
      </c>
      <c r="AA1421">
        <f t="shared" ca="1" si="599"/>
        <v>2.2562304480281055E-12</v>
      </c>
      <c r="AB1421">
        <f t="shared" ca="1" si="600"/>
        <v>-5.0000000192085281E-4</v>
      </c>
      <c r="AC1421">
        <f t="shared" ca="1" si="601"/>
        <v>1</v>
      </c>
      <c r="AD1421">
        <f ca="1">IF(V32="Supercritical",L1421,IF(V32="Subcritical",U1421,IF(AND(T1421=1,AC1421=1),IF((((F1421)*(L1421)^2)/2+(G1421)*(L1421)^3/3+(ABS(K1421)^2)/($I$5*MAX(((F1421)+(G1421)*(L1421))*(L1421),0.000001)))&gt;=(((F1421)*(U1421)^2)/2+(G1421)*(U1421)^3/3+(ABS(K1421)^2)/($I$5*MAX(((F1421)+(G1421)*(U1421))*(U1421),0.000001))),L1421,U1421),IF(T1421=1,L1421,IF(AC1421=1,U1421,MAX($D$16,POWER((ABS(K1421)^2)/($I$5*MAX(F1421,0.1)^2),1/3)))))))</f>
        <v>51800.26683766341</v>
      </c>
      <c r="AE1421">
        <f t="shared" ca="1" si="602"/>
        <v>52432.193337663412</v>
      </c>
      <c r="AF1421">
        <f t="shared" ca="1" si="603"/>
        <v>52432.193337665238</v>
      </c>
      <c r="AI1421">
        <v>0</v>
      </c>
      <c r="AJ1421">
        <v>0</v>
      </c>
      <c r="AK1421">
        <f t="shared" si="604"/>
        <v>0</v>
      </c>
      <c r="AL1421">
        <f t="shared" si="613"/>
        <v>0</v>
      </c>
      <c r="AM1421">
        <f t="shared" ca="1" si="605"/>
        <v>2.6560383008097266E-7</v>
      </c>
      <c r="AN1421" t="str">
        <f t="shared" ca="1" si="606"/>
        <v>Subcritical</v>
      </c>
      <c r="AO1421">
        <f t="shared" ca="1" si="607"/>
        <v>2.2562304480281055E-12</v>
      </c>
    </row>
    <row r="1422" spans="1:41" x14ac:dyDescent="0.35">
      <c r="A1422">
        <v>1273</v>
      </c>
      <c r="B1422">
        <v>1271.8889999999999</v>
      </c>
      <c r="C1422">
        <v>616069.67200000002</v>
      </c>
      <c r="D1422">
        <v>3096732.2919999999</v>
      </c>
      <c r="E1422">
        <v>631.92600000000004</v>
      </c>
      <c r="F1422">
        <v>5.2</v>
      </c>
      <c r="G1422">
        <v>0</v>
      </c>
      <c r="H1422" t="s">
        <v>186</v>
      </c>
      <c r="I1422">
        <v>5.7000000000000002E-2</v>
      </c>
      <c r="J1422">
        <f t="shared" si="608"/>
        <v>1</v>
      </c>
      <c r="K1422">
        <f t="shared" si="609"/>
        <v>51</v>
      </c>
      <c r="L1422">
        <f t="shared" ca="1" si="610"/>
        <v>51797.843837663619</v>
      </c>
      <c r="M1422">
        <f t="shared" ca="1" si="587"/>
        <v>269348.78795585083</v>
      </c>
      <c r="N1422">
        <f t="shared" ca="1" si="588"/>
        <v>2.5998694991876676</v>
      </c>
      <c r="O1422">
        <f t="shared" ca="1" si="589"/>
        <v>1.8934557080078435E-4</v>
      </c>
      <c r="P1422">
        <f t="shared" ca="1" si="590"/>
        <v>52429.769837663618</v>
      </c>
      <c r="Q1422">
        <f t="shared" ca="1" si="591"/>
        <v>52429.769837665444</v>
      </c>
      <c r="R1422">
        <f t="shared" ca="1" si="592"/>
        <v>2.2564415439646509E-12</v>
      </c>
      <c r="S1422">
        <f t="shared" ca="1" si="611"/>
        <v>5.0000000192085281E-4</v>
      </c>
      <c r="T1422">
        <f t="shared" ca="1" si="612"/>
        <v>1</v>
      </c>
      <c r="U1422">
        <f t="shared" ca="1" si="593"/>
        <v>51800.26683766341</v>
      </c>
      <c r="V1422">
        <f t="shared" ca="1" si="594"/>
        <v>269361.38755584974</v>
      </c>
      <c r="W1422">
        <f t="shared" ca="1" si="595"/>
        <v>2.5998695052916441</v>
      </c>
      <c r="X1422">
        <f t="shared" ca="1" si="596"/>
        <v>1.8933671400629237E-4</v>
      </c>
      <c r="Y1422">
        <f t="shared" ca="1" si="597"/>
        <v>52432.19283766341</v>
      </c>
      <c r="Z1422">
        <f t="shared" ca="1" si="598"/>
        <v>52432.192837665236</v>
      </c>
      <c r="AA1422">
        <f t="shared" ca="1" si="599"/>
        <v>2.2562304480281055E-12</v>
      </c>
      <c r="AB1422">
        <f t="shared" ca="1" si="600"/>
        <v>-5.0000000192085281E-4</v>
      </c>
      <c r="AC1422">
        <f t="shared" ca="1" si="601"/>
        <v>1</v>
      </c>
      <c r="AD1422">
        <f ca="1">IF(V32="Supercritical",L1422,IF(V32="Subcritical",U1422,IF(AND(T1422=1,AC1422=1),IF((((F1422)*(L1422)^2)/2+(G1422)*(L1422)^3/3+(ABS(K1422)^2)/($I$5*MAX(((F1422)+(G1422)*(L1422))*(L1422),0.000001)))&gt;=(((F1422)*(U1422)^2)/2+(G1422)*(U1422)^3/3+(ABS(K1422)^2)/($I$5*MAX(((F1422)+(G1422)*(U1422))*(U1422),0.000001))),L1422,U1422),IF(T1422=1,L1422,IF(AC1422=1,U1422,MAX($D$16,POWER((ABS(K1422)^2)/($I$5*MAX(F1422,0.1)^2),1/3)))))))</f>
        <v>51800.26683766341</v>
      </c>
      <c r="AE1422">
        <f t="shared" ca="1" si="602"/>
        <v>52432.19283766341</v>
      </c>
      <c r="AF1422">
        <f t="shared" ca="1" si="603"/>
        <v>52432.192837665236</v>
      </c>
      <c r="AI1422">
        <v>0</v>
      </c>
      <c r="AJ1422">
        <v>0</v>
      </c>
      <c r="AK1422">
        <f t="shared" si="604"/>
        <v>0</v>
      </c>
      <c r="AL1422">
        <f t="shared" si="613"/>
        <v>0</v>
      </c>
      <c r="AM1422">
        <f t="shared" ca="1" si="605"/>
        <v>2.6560383008097266E-7</v>
      </c>
      <c r="AN1422" t="str">
        <f t="shared" ca="1" si="606"/>
        <v>Subcritical</v>
      </c>
      <c r="AO1422">
        <f t="shared" ca="1" si="607"/>
        <v>2.2562304480281055E-12</v>
      </c>
    </row>
    <row r="1423" spans="1:41" x14ac:dyDescent="0.35">
      <c r="A1423">
        <v>1274</v>
      </c>
      <c r="B1423">
        <v>1272.8889999999999</v>
      </c>
      <c r="C1423">
        <v>616069.62899999996</v>
      </c>
      <c r="D1423">
        <v>3096731.2930000001</v>
      </c>
      <c r="E1423">
        <v>631.92550000000006</v>
      </c>
      <c r="F1423">
        <v>5.2</v>
      </c>
      <c r="G1423">
        <v>0</v>
      </c>
      <c r="H1423" t="s">
        <v>186</v>
      </c>
      <c r="I1423">
        <v>5.7000000000000002E-2</v>
      </c>
      <c r="J1423">
        <f t="shared" si="608"/>
        <v>1</v>
      </c>
      <c r="K1423">
        <f t="shared" si="609"/>
        <v>51</v>
      </c>
      <c r="L1423">
        <f t="shared" ca="1" si="610"/>
        <v>51797.843837663619</v>
      </c>
      <c r="M1423">
        <f t="shared" ca="1" si="587"/>
        <v>269348.78795585083</v>
      </c>
      <c r="N1423">
        <f t="shared" ca="1" si="588"/>
        <v>2.5998694991876676</v>
      </c>
      <c r="O1423">
        <f t="shared" ca="1" si="589"/>
        <v>1.8934557080078435E-4</v>
      </c>
      <c r="P1423">
        <f t="shared" ca="1" si="590"/>
        <v>52429.769337663616</v>
      </c>
      <c r="Q1423">
        <f t="shared" ca="1" si="591"/>
        <v>52429.769337665442</v>
      </c>
      <c r="R1423">
        <f t="shared" ca="1" si="592"/>
        <v>2.2564415439646509E-12</v>
      </c>
      <c r="S1423">
        <f t="shared" ca="1" si="611"/>
        <v>5.0000000192085281E-4</v>
      </c>
      <c r="T1423">
        <f t="shared" ca="1" si="612"/>
        <v>1</v>
      </c>
      <c r="U1423">
        <f t="shared" ca="1" si="593"/>
        <v>51800.26683766341</v>
      </c>
      <c r="V1423">
        <f t="shared" ca="1" si="594"/>
        <v>269361.38755584974</v>
      </c>
      <c r="W1423">
        <f t="shared" ca="1" si="595"/>
        <v>2.5998695052916441</v>
      </c>
      <c r="X1423">
        <f t="shared" ca="1" si="596"/>
        <v>1.8933671400629237E-4</v>
      </c>
      <c r="Y1423">
        <f t="shared" ca="1" si="597"/>
        <v>52432.192337663408</v>
      </c>
      <c r="Z1423">
        <f t="shared" ca="1" si="598"/>
        <v>52432.192337665234</v>
      </c>
      <c r="AA1423">
        <f t="shared" ca="1" si="599"/>
        <v>2.2562304480281055E-12</v>
      </c>
      <c r="AB1423">
        <f t="shared" ca="1" si="600"/>
        <v>-4.999999946448952E-4</v>
      </c>
      <c r="AC1423">
        <f t="shared" ca="1" si="601"/>
        <v>1</v>
      </c>
      <c r="AD1423">
        <f ca="1">IF(V32="Supercritical",L1423,IF(V32="Subcritical",U1423,IF(AND(T1423=1,AC1423=1),IF((((F1423)*(L1423)^2)/2+(G1423)*(L1423)^3/3+(ABS(K1423)^2)/($I$5*MAX(((F1423)+(G1423)*(L1423))*(L1423),0.000001)))&gt;=(((F1423)*(U1423)^2)/2+(G1423)*(U1423)^3/3+(ABS(K1423)^2)/($I$5*MAX(((F1423)+(G1423)*(U1423))*(U1423),0.000001))),L1423,U1423),IF(T1423=1,L1423,IF(AC1423=1,U1423,MAX($D$16,POWER((ABS(K1423)^2)/($I$5*MAX(F1423,0.1)^2),1/3)))))))</f>
        <v>51800.26683766341</v>
      </c>
      <c r="AE1423">
        <f t="shared" ca="1" si="602"/>
        <v>52432.192337663408</v>
      </c>
      <c r="AF1423">
        <f t="shared" ca="1" si="603"/>
        <v>52432.192337665234</v>
      </c>
      <c r="AI1423">
        <v>0</v>
      </c>
      <c r="AJ1423">
        <v>0</v>
      </c>
      <c r="AK1423">
        <f t="shared" si="604"/>
        <v>0</v>
      </c>
      <c r="AL1423">
        <f t="shared" si="613"/>
        <v>0</v>
      </c>
      <c r="AM1423">
        <f t="shared" ca="1" si="605"/>
        <v>2.6560383008097266E-7</v>
      </c>
      <c r="AN1423" t="str">
        <f t="shared" ca="1" si="606"/>
        <v>Subcritical</v>
      </c>
      <c r="AO1423">
        <f t="shared" ca="1" si="607"/>
        <v>2.2562304480281055E-12</v>
      </c>
    </row>
    <row r="1424" spans="1:41" x14ac:dyDescent="0.35">
      <c r="A1424">
        <v>1275</v>
      </c>
      <c r="B1424">
        <v>1273.8889999999999</v>
      </c>
      <c r="C1424">
        <v>616069.58700000006</v>
      </c>
      <c r="D1424">
        <v>3096730.2940000002</v>
      </c>
      <c r="E1424">
        <v>631.92499999999995</v>
      </c>
      <c r="F1424">
        <v>5.2</v>
      </c>
      <c r="G1424">
        <v>0</v>
      </c>
      <c r="H1424" t="s">
        <v>186</v>
      </c>
      <c r="I1424">
        <v>2E-3</v>
      </c>
      <c r="J1424">
        <f t="shared" si="608"/>
        <v>1</v>
      </c>
      <c r="K1424">
        <f t="shared" si="609"/>
        <v>51</v>
      </c>
      <c r="L1424">
        <f t="shared" ca="1" si="610"/>
        <v>51797.843837663619</v>
      </c>
      <c r="M1424">
        <f t="shared" ca="1" si="587"/>
        <v>269348.78795585083</v>
      </c>
      <c r="N1424">
        <f t="shared" ca="1" si="588"/>
        <v>2.5998694991876676</v>
      </c>
      <c r="O1424">
        <f t="shared" ca="1" si="589"/>
        <v>1.8934557080078435E-4</v>
      </c>
      <c r="P1424">
        <f t="shared" ca="1" si="590"/>
        <v>52429.768837663622</v>
      </c>
      <c r="Q1424">
        <f t="shared" ca="1" si="591"/>
        <v>52429.768837665448</v>
      </c>
      <c r="R1424">
        <f t="shared" ca="1" si="592"/>
        <v>2.2564415439646509E-12</v>
      </c>
      <c r="S1424">
        <f t="shared" ca="1" si="611"/>
        <v>4.999999946448952E-4</v>
      </c>
      <c r="T1424">
        <f t="shared" ca="1" si="612"/>
        <v>1</v>
      </c>
      <c r="U1424">
        <f t="shared" ca="1" si="593"/>
        <v>51800.26683766341</v>
      </c>
      <c r="V1424">
        <f t="shared" ca="1" si="594"/>
        <v>269361.38755584974</v>
      </c>
      <c r="W1424">
        <f t="shared" ca="1" si="595"/>
        <v>2.5998695052916441</v>
      </c>
      <c r="X1424">
        <f t="shared" ca="1" si="596"/>
        <v>1.8933671400629237E-4</v>
      </c>
      <c r="Y1424">
        <f t="shared" ca="1" si="597"/>
        <v>52432.191837663413</v>
      </c>
      <c r="Z1424">
        <f t="shared" ca="1" si="598"/>
        <v>52432.191837665239</v>
      </c>
      <c r="AA1424">
        <f t="shared" ca="1" si="599"/>
        <v>2.2562304480281055E-12</v>
      </c>
      <c r="AB1424">
        <f t="shared" ca="1" si="600"/>
        <v>-5.0000000192085281E-4</v>
      </c>
      <c r="AC1424">
        <f t="shared" ca="1" si="601"/>
        <v>1</v>
      </c>
      <c r="AD1424">
        <f ca="1">IF(V32="Supercritical",L1424,IF(V32="Subcritical",U1424,IF(AND(T1424=1,AC1424=1),IF((((F1424)*(L1424)^2)/2+(G1424)*(L1424)^3/3+(ABS(K1424)^2)/($I$5*MAX(((F1424)+(G1424)*(L1424))*(L1424),0.000001)))&gt;=(((F1424)*(U1424)^2)/2+(G1424)*(U1424)^3/3+(ABS(K1424)^2)/($I$5*MAX(((F1424)+(G1424)*(U1424))*(U1424),0.000001))),L1424,U1424),IF(T1424=1,L1424,IF(AC1424=1,U1424,MAX($D$16,POWER((ABS(K1424)^2)/($I$5*MAX(F1424,0.1)^2),1/3)))))))</f>
        <v>51800.26683766341</v>
      </c>
      <c r="AE1424">
        <f t="shared" ca="1" si="602"/>
        <v>52432.191837663413</v>
      </c>
      <c r="AF1424">
        <f t="shared" ca="1" si="603"/>
        <v>52432.191837665239</v>
      </c>
      <c r="AI1424">
        <v>0</v>
      </c>
      <c r="AJ1424">
        <v>0</v>
      </c>
      <c r="AK1424">
        <f t="shared" si="604"/>
        <v>0</v>
      </c>
      <c r="AL1424">
        <f t="shared" si="613"/>
        <v>0</v>
      </c>
      <c r="AM1424">
        <f t="shared" ca="1" si="605"/>
        <v>2.6560383008097266E-7</v>
      </c>
      <c r="AN1424" t="str">
        <f t="shared" ca="1" si="606"/>
        <v>Subcritical</v>
      </c>
      <c r="AO1424">
        <f t="shared" ca="1" si="607"/>
        <v>2.2562304480281055E-12</v>
      </c>
    </row>
    <row r="1425" spans="1:41" x14ac:dyDescent="0.35">
      <c r="A1425">
        <v>1276</v>
      </c>
      <c r="B1425">
        <v>1274.8900000000001</v>
      </c>
      <c r="C1425">
        <v>616069.54500000004</v>
      </c>
      <c r="D1425">
        <v>3096729.2940000002</v>
      </c>
      <c r="E1425">
        <v>631.92449999999997</v>
      </c>
      <c r="F1425">
        <v>5.2</v>
      </c>
      <c r="G1425">
        <v>0</v>
      </c>
      <c r="H1425" t="s">
        <v>186</v>
      </c>
      <c r="I1425">
        <v>2E-3</v>
      </c>
      <c r="J1425">
        <f t="shared" si="608"/>
        <v>1.0010000000002037</v>
      </c>
      <c r="K1425">
        <f t="shared" si="609"/>
        <v>51</v>
      </c>
      <c r="L1425">
        <f t="shared" ca="1" si="610"/>
        <v>51797.843837663619</v>
      </c>
      <c r="M1425">
        <f t="shared" ca="1" si="587"/>
        <v>269348.78795585083</v>
      </c>
      <c r="N1425">
        <f t="shared" ca="1" si="588"/>
        <v>2.5998694991876676</v>
      </c>
      <c r="O1425">
        <f t="shared" ca="1" si="589"/>
        <v>1.8934557080078435E-4</v>
      </c>
      <c r="P1425">
        <f t="shared" ca="1" si="590"/>
        <v>52429.76833766362</v>
      </c>
      <c r="Q1425">
        <f t="shared" ca="1" si="591"/>
        <v>52429.768337665446</v>
      </c>
      <c r="R1425">
        <f t="shared" ca="1" si="592"/>
        <v>2.2564415439646509E-12</v>
      </c>
      <c r="S1425">
        <f t="shared" ca="1" si="611"/>
        <v>5.0000000192085281E-4</v>
      </c>
      <c r="T1425">
        <f t="shared" ca="1" si="612"/>
        <v>1</v>
      </c>
      <c r="U1425">
        <f t="shared" ca="1" si="593"/>
        <v>51800.26683766341</v>
      </c>
      <c r="V1425">
        <f t="shared" ca="1" si="594"/>
        <v>269361.38755584974</v>
      </c>
      <c r="W1425">
        <f t="shared" ca="1" si="595"/>
        <v>2.5998695052916441</v>
      </c>
      <c r="X1425">
        <f t="shared" ca="1" si="596"/>
        <v>1.8933671400629237E-4</v>
      </c>
      <c r="Y1425">
        <f t="shared" ca="1" si="597"/>
        <v>52432.191337663411</v>
      </c>
      <c r="Z1425">
        <f t="shared" ca="1" si="598"/>
        <v>52432.191337665237</v>
      </c>
      <c r="AA1425">
        <f t="shared" ca="1" si="599"/>
        <v>2.2562304480281055E-12</v>
      </c>
      <c r="AB1425">
        <f t="shared" ca="1" si="600"/>
        <v>-5.0000000192085281E-4</v>
      </c>
      <c r="AC1425">
        <f t="shared" ca="1" si="601"/>
        <v>1</v>
      </c>
      <c r="AD1425">
        <f ca="1">IF(V32="Supercritical",L1425,IF(V32="Subcritical",U1425,IF(AND(T1425=1,AC1425=1),IF((((F1425)*(L1425)^2)/2+(G1425)*(L1425)^3/3+(ABS(K1425)^2)/($I$5*MAX(((F1425)+(G1425)*(L1425))*(L1425),0.000001)))&gt;=(((F1425)*(U1425)^2)/2+(G1425)*(U1425)^3/3+(ABS(K1425)^2)/($I$5*MAX(((F1425)+(G1425)*(U1425))*(U1425),0.000001))),L1425,U1425),IF(T1425=1,L1425,IF(AC1425=1,U1425,MAX($D$16,POWER((ABS(K1425)^2)/($I$5*MAX(F1425,0.1)^2),1/3)))))))</f>
        <v>51800.26683766341</v>
      </c>
      <c r="AE1425">
        <f t="shared" ca="1" si="602"/>
        <v>52432.191337663411</v>
      </c>
      <c r="AF1425">
        <f t="shared" ca="1" si="603"/>
        <v>52432.191337665237</v>
      </c>
      <c r="AI1425">
        <v>0</v>
      </c>
      <c r="AJ1425">
        <v>0</v>
      </c>
      <c r="AK1425">
        <f t="shared" si="604"/>
        <v>0</v>
      </c>
      <c r="AL1425">
        <f t="shared" si="613"/>
        <v>0</v>
      </c>
      <c r="AM1425">
        <f t="shared" ca="1" si="605"/>
        <v>2.6560383008097266E-7</v>
      </c>
      <c r="AN1425" t="str">
        <f t="shared" ca="1" si="606"/>
        <v>Subcritical</v>
      </c>
      <c r="AO1425">
        <f t="shared" ca="1" si="607"/>
        <v>2.2562304480281055E-12</v>
      </c>
    </row>
    <row r="1426" spans="1:41" x14ac:dyDescent="0.35">
      <c r="A1426">
        <v>1277</v>
      </c>
      <c r="B1426">
        <v>1275.8900000000001</v>
      </c>
      <c r="C1426">
        <v>616069.50300000003</v>
      </c>
      <c r="D1426">
        <v>3096728.2949999999</v>
      </c>
      <c r="E1426">
        <v>631.92399999999998</v>
      </c>
      <c r="F1426">
        <v>5.2</v>
      </c>
      <c r="G1426">
        <v>0</v>
      </c>
      <c r="H1426" t="s">
        <v>186</v>
      </c>
      <c r="I1426">
        <v>5.7000000000000002E-2</v>
      </c>
      <c r="J1426">
        <f t="shared" si="608"/>
        <v>1</v>
      </c>
      <c r="K1426">
        <f t="shared" si="609"/>
        <v>51</v>
      </c>
      <c r="L1426">
        <f t="shared" ca="1" si="610"/>
        <v>51797.843837663619</v>
      </c>
      <c r="M1426">
        <f t="shared" ca="1" si="587"/>
        <v>269348.78795585083</v>
      </c>
      <c r="N1426">
        <f t="shared" ca="1" si="588"/>
        <v>2.5998694991876676</v>
      </c>
      <c r="O1426">
        <f t="shared" ca="1" si="589"/>
        <v>1.8934557080078435E-4</v>
      </c>
      <c r="P1426">
        <f t="shared" ca="1" si="590"/>
        <v>52429.767837663618</v>
      </c>
      <c r="Q1426">
        <f t="shared" ca="1" si="591"/>
        <v>52429.767837665444</v>
      </c>
      <c r="R1426">
        <f t="shared" ca="1" si="592"/>
        <v>2.2564415439646509E-12</v>
      </c>
      <c r="S1426">
        <f t="shared" ca="1" si="611"/>
        <v>5.0000000192085281E-4</v>
      </c>
      <c r="T1426">
        <f t="shared" ca="1" si="612"/>
        <v>1</v>
      </c>
      <c r="U1426">
        <f t="shared" ca="1" si="593"/>
        <v>51800.26683766341</v>
      </c>
      <c r="V1426">
        <f t="shared" ca="1" si="594"/>
        <v>269361.38755584974</v>
      </c>
      <c r="W1426">
        <f t="shared" ca="1" si="595"/>
        <v>2.5998695052916441</v>
      </c>
      <c r="X1426">
        <f t="shared" ca="1" si="596"/>
        <v>1.8933671400629237E-4</v>
      </c>
      <c r="Y1426">
        <f t="shared" ca="1" si="597"/>
        <v>52432.190837663409</v>
      </c>
      <c r="Z1426">
        <f t="shared" ca="1" si="598"/>
        <v>52432.190837665235</v>
      </c>
      <c r="AA1426">
        <f t="shared" ca="1" si="599"/>
        <v>2.2562304480281055E-12</v>
      </c>
      <c r="AB1426">
        <f t="shared" ca="1" si="600"/>
        <v>-5.0000000192085281E-4</v>
      </c>
      <c r="AC1426">
        <f t="shared" ca="1" si="601"/>
        <v>1</v>
      </c>
      <c r="AD1426">
        <f ca="1">IF(V32="Supercritical",L1426,IF(V32="Subcritical",U1426,IF(AND(T1426=1,AC1426=1),IF((((F1426)*(L1426)^2)/2+(G1426)*(L1426)^3/3+(ABS(K1426)^2)/($I$5*MAX(((F1426)+(G1426)*(L1426))*(L1426),0.000001)))&gt;=(((F1426)*(U1426)^2)/2+(G1426)*(U1426)^3/3+(ABS(K1426)^2)/($I$5*MAX(((F1426)+(G1426)*(U1426))*(U1426),0.000001))),L1426,U1426),IF(T1426=1,L1426,IF(AC1426=1,U1426,MAX($D$16,POWER((ABS(K1426)^2)/($I$5*MAX(F1426,0.1)^2),1/3)))))))</f>
        <v>51800.26683766341</v>
      </c>
      <c r="AE1426">
        <f t="shared" ca="1" si="602"/>
        <v>52432.190837663409</v>
      </c>
      <c r="AF1426">
        <f t="shared" ca="1" si="603"/>
        <v>52432.190837665235</v>
      </c>
      <c r="AI1426">
        <v>0</v>
      </c>
      <c r="AJ1426">
        <v>0</v>
      </c>
      <c r="AK1426">
        <f t="shared" si="604"/>
        <v>0</v>
      </c>
      <c r="AL1426">
        <f t="shared" si="613"/>
        <v>0</v>
      </c>
      <c r="AM1426">
        <f t="shared" ca="1" si="605"/>
        <v>2.6560383008097266E-7</v>
      </c>
      <c r="AN1426" t="str">
        <f t="shared" ca="1" si="606"/>
        <v>Subcritical</v>
      </c>
      <c r="AO1426">
        <f t="shared" ca="1" si="607"/>
        <v>2.2562304480281055E-12</v>
      </c>
    </row>
    <row r="1427" spans="1:41" x14ac:dyDescent="0.35">
      <c r="A1427">
        <v>1278</v>
      </c>
      <c r="B1427">
        <v>1276.8889999999999</v>
      </c>
      <c r="C1427">
        <v>616069.46</v>
      </c>
      <c r="D1427">
        <v>3096727.2960000001</v>
      </c>
      <c r="E1427">
        <v>631.92349999999999</v>
      </c>
      <c r="F1427">
        <v>5.2</v>
      </c>
      <c r="G1427">
        <v>0</v>
      </c>
      <c r="H1427" t="s">
        <v>186</v>
      </c>
      <c r="I1427">
        <v>5.7000000000000002E-2</v>
      </c>
      <c r="J1427">
        <f t="shared" si="608"/>
        <v>0.99899999999979627</v>
      </c>
      <c r="K1427">
        <f t="shared" si="609"/>
        <v>51</v>
      </c>
      <c r="L1427">
        <f t="shared" ca="1" si="610"/>
        <v>51797.843837663619</v>
      </c>
      <c r="M1427">
        <f t="shared" ca="1" si="587"/>
        <v>269348.78795585083</v>
      </c>
      <c r="N1427">
        <f t="shared" ca="1" si="588"/>
        <v>2.5998694991876676</v>
      </c>
      <c r="O1427">
        <f t="shared" ca="1" si="589"/>
        <v>1.8934557080078435E-4</v>
      </c>
      <c r="P1427">
        <f t="shared" ca="1" si="590"/>
        <v>52429.767337663616</v>
      </c>
      <c r="Q1427">
        <f t="shared" ca="1" si="591"/>
        <v>52429.767337665442</v>
      </c>
      <c r="R1427">
        <f t="shared" ca="1" si="592"/>
        <v>2.2564415439646509E-12</v>
      </c>
      <c r="S1427">
        <f t="shared" ca="1" si="611"/>
        <v>5.0000000192085281E-4</v>
      </c>
      <c r="T1427">
        <f t="shared" ca="1" si="612"/>
        <v>1</v>
      </c>
      <c r="U1427">
        <f t="shared" ca="1" si="593"/>
        <v>51800.26683766341</v>
      </c>
      <c r="V1427">
        <f t="shared" ca="1" si="594"/>
        <v>269361.38755584974</v>
      </c>
      <c r="W1427">
        <f t="shared" ca="1" si="595"/>
        <v>2.5998695052916441</v>
      </c>
      <c r="X1427">
        <f t="shared" ca="1" si="596"/>
        <v>1.8933671400629237E-4</v>
      </c>
      <c r="Y1427">
        <f t="shared" ca="1" si="597"/>
        <v>52432.190337663407</v>
      </c>
      <c r="Z1427">
        <f t="shared" ca="1" si="598"/>
        <v>52432.190337665234</v>
      </c>
      <c r="AA1427">
        <f t="shared" ca="1" si="599"/>
        <v>2.2562304480281055E-12</v>
      </c>
      <c r="AB1427">
        <f t="shared" ca="1" si="600"/>
        <v>-4.999999946448952E-4</v>
      </c>
      <c r="AC1427">
        <f t="shared" ca="1" si="601"/>
        <v>1</v>
      </c>
      <c r="AD1427">
        <f ca="1">IF(V32="Supercritical",L1427,IF(V32="Subcritical",U1427,IF(AND(T1427=1,AC1427=1),IF((((F1427)*(L1427)^2)/2+(G1427)*(L1427)^3/3+(ABS(K1427)^2)/($I$5*MAX(((F1427)+(G1427)*(L1427))*(L1427),0.000001)))&gt;=(((F1427)*(U1427)^2)/2+(G1427)*(U1427)^3/3+(ABS(K1427)^2)/($I$5*MAX(((F1427)+(G1427)*(U1427))*(U1427),0.000001))),L1427,U1427),IF(T1427=1,L1427,IF(AC1427=1,U1427,MAX($D$16,POWER((ABS(K1427)^2)/($I$5*MAX(F1427,0.1)^2),1/3)))))))</f>
        <v>51800.26683766341</v>
      </c>
      <c r="AE1427">
        <f t="shared" ca="1" si="602"/>
        <v>52432.190337663407</v>
      </c>
      <c r="AF1427">
        <f t="shared" ca="1" si="603"/>
        <v>52432.190337665234</v>
      </c>
      <c r="AI1427">
        <v>0</v>
      </c>
      <c r="AJ1427">
        <v>0</v>
      </c>
      <c r="AK1427">
        <f t="shared" si="604"/>
        <v>0</v>
      </c>
      <c r="AL1427">
        <f t="shared" si="613"/>
        <v>0</v>
      </c>
      <c r="AM1427">
        <f t="shared" ca="1" si="605"/>
        <v>2.6560383008097266E-7</v>
      </c>
      <c r="AN1427" t="str">
        <f t="shared" ca="1" si="606"/>
        <v>Subcritical</v>
      </c>
      <c r="AO1427">
        <f t="shared" ca="1" si="607"/>
        <v>2.2562304480281055E-12</v>
      </c>
    </row>
    <row r="1428" spans="1:41" x14ac:dyDescent="0.35">
      <c r="A1428">
        <v>1279</v>
      </c>
      <c r="B1428">
        <v>1277.8889999999999</v>
      </c>
      <c r="C1428">
        <v>616069.41799999995</v>
      </c>
      <c r="D1428">
        <v>3096726.2969999998</v>
      </c>
      <c r="E1428">
        <v>631.923</v>
      </c>
      <c r="F1428">
        <v>5.2</v>
      </c>
      <c r="G1428">
        <v>0</v>
      </c>
      <c r="H1428" t="s">
        <v>186</v>
      </c>
      <c r="I1428">
        <v>0</v>
      </c>
      <c r="J1428">
        <f t="shared" si="608"/>
        <v>1</v>
      </c>
      <c r="K1428">
        <f t="shared" si="609"/>
        <v>51</v>
      </c>
      <c r="L1428">
        <f t="shared" ca="1" si="610"/>
        <v>51797.843837663619</v>
      </c>
      <c r="M1428">
        <f t="shared" ca="1" si="587"/>
        <v>269348.78795585083</v>
      </c>
      <c r="N1428">
        <f t="shared" ca="1" si="588"/>
        <v>2.5998694991876676</v>
      </c>
      <c r="O1428">
        <f t="shared" ca="1" si="589"/>
        <v>1.8934557080078435E-4</v>
      </c>
      <c r="P1428">
        <f t="shared" ca="1" si="590"/>
        <v>52429.766837663621</v>
      </c>
      <c r="Q1428">
        <f t="shared" ca="1" si="591"/>
        <v>52429.766837665447</v>
      </c>
      <c r="R1428">
        <f t="shared" ca="1" si="592"/>
        <v>2.2564415439646509E-12</v>
      </c>
      <c r="S1428">
        <f t="shared" ca="1" si="611"/>
        <v>4.999999946448952E-4</v>
      </c>
      <c r="T1428">
        <f t="shared" ca="1" si="612"/>
        <v>1</v>
      </c>
      <c r="U1428">
        <f t="shared" ca="1" si="593"/>
        <v>51800.26683766341</v>
      </c>
      <c r="V1428">
        <f t="shared" ca="1" si="594"/>
        <v>269361.38755584974</v>
      </c>
      <c r="W1428">
        <f t="shared" ca="1" si="595"/>
        <v>2.5998695052916441</v>
      </c>
      <c r="X1428">
        <f t="shared" ca="1" si="596"/>
        <v>1.8933671400629237E-4</v>
      </c>
      <c r="Y1428">
        <f t="shared" ca="1" si="597"/>
        <v>52432.189837663413</v>
      </c>
      <c r="Z1428">
        <f t="shared" ca="1" si="598"/>
        <v>52432.189837665239</v>
      </c>
      <c r="AA1428">
        <f t="shared" ca="1" si="599"/>
        <v>2.2562304480281055E-12</v>
      </c>
      <c r="AB1428">
        <f t="shared" ca="1" si="600"/>
        <v>-5.0000000192085281E-4</v>
      </c>
      <c r="AC1428">
        <f t="shared" ca="1" si="601"/>
        <v>1</v>
      </c>
      <c r="AD1428">
        <f ca="1">IF(V32="Supercritical",L1428,IF(V32="Subcritical",U1428,IF(AND(T1428=1,AC1428=1),IF((((F1428)*(L1428)^2)/2+(G1428)*(L1428)^3/3+(ABS(K1428)^2)/($I$5*MAX(((F1428)+(G1428)*(L1428))*(L1428),0.000001)))&gt;=(((F1428)*(U1428)^2)/2+(G1428)*(U1428)^3/3+(ABS(K1428)^2)/($I$5*MAX(((F1428)+(G1428)*(U1428))*(U1428),0.000001))),L1428,U1428),IF(T1428=1,L1428,IF(AC1428=1,U1428,MAX($D$16,POWER((ABS(K1428)^2)/($I$5*MAX(F1428,0.1)^2),1/3)))))))</f>
        <v>51800.26683766341</v>
      </c>
      <c r="AE1428">
        <f t="shared" ca="1" si="602"/>
        <v>52432.189837663413</v>
      </c>
      <c r="AF1428">
        <f t="shared" ca="1" si="603"/>
        <v>52432.189837665239</v>
      </c>
      <c r="AI1428">
        <v>0</v>
      </c>
      <c r="AJ1428">
        <v>0</v>
      </c>
      <c r="AK1428">
        <f t="shared" si="604"/>
        <v>0</v>
      </c>
      <c r="AL1428">
        <f t="shared" si="613"/>
        <v>0</v>
      </c>
      <c r="AM1428">
        <f t="shared" ca="1" si="605"/>
        <v>2.6560383008097266E-7</v>
      </c>
      <c r="AN1428" t="str">
        <f t="shared" ca="1" si="606"/>
        <v>Subcritical</v>
      </c>
      <c r="AO1428">
        <f t="shared" ca="1" si="607"/>
        <v>2.2562304480281055E-12</v>
      </c>
    </row>
    <row r="1429" spans="1:41" x14ac:dyDescent="0.35">
      <c r="A1429">
        <v>1280</v>
      </c>
      <c r="B1429">
        <v>1278.8889999999999</v>
      </c>
      <c r="C1429">
        <v>616069.37600000005</v>
      </c>
      <c r="D1429">
        <v>3096725.298</v>
      </c>
      <c r="E1429">
        <v>631.92250000000001</v>
      </c>
      <c r="F1429">
        <v>5.2</v>
      </c>
      <c r="G1429">
        <v>0</v>
      </c>
      <c r="H1429" t="s">
        <v>186</v>
      </c>
      <c r="I1429">
        <v>5.7000000000000002E-2</v>
      </c>
      <c r="J1429">
        <f t="shared" si="608"/>
        <v>1</v>
      </c>
      <c r="K1429">
        <f t="shared" si="609"/>
        <v>51</v>
      </c>
      <c r="L1429">
        <f t="shared" ca="1" si="610"/>
        <v>51797.843837663619</v>
      </c>
      <c r="M1429">
        <f t="shared" ca="1" si="587"/>
        <v>269348.78795585083</v>
      </c>
      <c r="N1429">
        <f t="shared" ca="1" si="588"/>
        <v>2.5998694991876676</v>
      </c>
      <c r="O1429">
        <f t="shared" ca="1" si="589"/>
        <v>1.8934557080078435E-4</v>
      </c>
      <c r="P1429">
        <f t="shared" ca="1" si="590"/>
        <v>52429.766337663619</v>
      </c>
      <c r="Q1429">
        <f t="shared" ca="1" si="591"/>
        <v>52429.766337665445</v>
      </c>
      <c r="R1429">
        <f t="shared" ca="1" si="592"/>
        <v>2.2564415439646509E-12</v>
      </c>
      <c r="S1429">
        <f t="shared" ca="1" si="611"/>
        <v>5.0000000192085281E-4</v>
      </c>
      <c r="T1429">
        <f t="shared" ca="1" si="612"/>
        <v>1</v>
      </c>
      <c r="U1429">
        <f t="shared" ca="1" si="593"/>
        <v>51800.26683766341</v>
      </c>
      <c r="V1429">
        <f t="shared" ca="1" si="594"/>
        <v>269361.38755584974</v>
      </c>
      <c r="W1429">
        <f t="shared" ca="1" si="595"/>
        <v>2.5998695052916441</v>
      </c>
      <c r="X1429">
        <f t="shared" ca="1" si="596"/>
        <v>1.8933671400629237E-4</v>
      </c>
      <c r="Y1429">
        <f t="shared" ca="1" si="597"/>
        <v>52432.189337663411</v>
      </c>
      <c r="Z1429">
        <f t="shared" ca="1" si="598"/>
        <v>52432.189337665237</v>
      </c>
      <c r="AA1429">
        <f t="shared" ca="1" si="599"/>
        <v>2.2562304480281055E-12</v>
      </c>
      <c r="AB1429">
        <f t="shared" ca="1" si="600"/>
        <v>-5.0000000192085281E-4</v>
      </c>
      <c r="AC1429">
        <f t="shared" ca="1" si="601"/>
        <v>1</v>
      </c>
      <c r="AD1429">
        <f ca="1">IF(V32="Supercritical",L1429,IF(V32="Subcritical",U1429,IF(AND(T1429=1,AC1429=1),IF((((F1429)*(L1429)^2)/2+(G1429)*(L1429)^3/3+(ABS(K1429)^2)/($I$5*MAX(((F1429)+(G1429)*(L1429))*(L1429),0.000001)))&gt;=(((F1429)*(U1429)^2)/2+(G1429)*(U1429)^3/3+(ABS(K1429)^2)/($I$5*MAX(((F1429)+(G1429)*(U1429))*(U1429),0.000001))),L1429,U1429),IF(T1429=1,L1429,IF(AC1429=1,U1429,MAX($D$16,POWER((ABS(K1429)^2)/($I$5*MAX(F1429,0.1)^2),1/3)))))))</f>
        <v>51800.26683766341</v>
      </c>
      <c r="AE1429">
        <f t="shared" ca="1" si="602"/>
        <v>52432.189337663411</v>
      </c>
      <c r="AF1429">
        <f t="shared" ca="1" si="603"/>
        <v>52432.189337665237</v>
      </c>
      <c r="AI1429">
        <v>0</v>
      </c>
      <c r="AJ1429">
        <v>0</v>
      </c>
      <c r="AK1429">
        <f t="shared" si="604"/>
        <v>0</v>
      </c>
      <c r="AL1429">
        <f t="shared" si="613"/>
        <v>0</v>
      </c>
      <c r="AM1429">
        <f t="shared" ca="1" si="605"/>
        <v>2.6560383008097266E-7</v>
      </c>
      <c r="AN1429" t="str">
        <f t="shared" ca="1" si="606"/>
        <v>Subcritical</v>
      </c>
      <c r="AO1429">
        <f t="shared" ca="1" si="607"/>
        <v>2.2562304480281055E-12</v>
      </c>
    </row>
    <row r="1430" spans="1:41" x14ac:dyDescent="0.35">
      <c r="A1430">
        <v>1281</v>
      </c>
      <c r="B1430">
        <v>1279.8889999999999</v>
      </c>
      <c r="C1430">
        <v>616069.33299999998</v>
      </c>
      <c r="D1430">
        <v>3096724.2990000001</v>
      </c>
      <c r="E1430">
        <v>631.92200000000003</v>
      </c>
      <c r="F1430">
        <v>5.2</v>
      </c>
      <c r="G1430">
        <v>0</v>
      </c>
      <c r="H1430" t="s">
        <v>186</v>
      </c>
      <c r="I1430">
        <v>5.7000000000000002E-2</v>
      </c>
      <c r="J1430">
        <f t="shared" si="608"/>
        <v>1</v>
      </c>
      <c r="K1430">
        <f t="shared" si="609"/>
        <v>51</v>
      </c>
      <c r="L1430">
        <f t="shared" ca="1" si="610"/>
        <v>51797.843837663619</v>
      </c>
      <c r="M1430">
        <f t="shared" ref="M1430:M1493" ca="1" si="614">((F1430)+(G1430)*(L1430))*(L1430)</f>
        <v>269348.78795585083</v>
      </c>
      <c r="N1430">
        <f t="shared" ref="N1430:N1493" ca="1" si="615">(((F1430)+(G1430)*(L1430))*(L1430))/MAX((F1430)+2*(L1430)*SQRT(1+(G1430)^2),0.000001)</f>
        <v>2.5998694991876676</v>
      </c>
      <c r="O1430">
        <f t="shared" ref="O1430:O1493" ca="1" si="616">ABS(K1430)/MAX(((F1430)+(G1430)*(L1430))*(L1430),0.000001)</f>
        <v>1.8934557080078435E-4</v>
      </c>
      <c r="P1430">
        <f t="shared" ref="P1430:P1493" ca="1" si="617">E1430+L1430</f>
        <v>52429.765837663617</v>
      </c>
      <c r="Q1430">
        <f t="shared" ref="Q1430:Q1493" ca="1" si="618">P1430+((ABS(K1430)/MAX(((F1430)+(G1430)*(L1430))*(L1430),0.000001))^2)/(2*$I$5)</f>
        <v>52429.765837665444</v>
      </c>
      <c r="R1430">
        <f t="shared" ref="R1430:R1493" ca="1" si="619">((ABS(K1430)*$D$6)/(MAX(((F1430)+(G1430)*(L1430))*(L1430),0.000001)*MAX(((((F1430)+(G1430)*(L1430))*(L1430))/MAX((F1430)+2*(L1430)*SQRT(1+(G1430)^2),0.000001))^(2/3),0.000001)))^2</f>
        <v>2.2564415439646509E-12</v>
      </c>
      <c r="S1430">
        <f t="shared" ca="1" si="611"/>
        <v>5.0000000192085281E-4</v>
      </c>
      <c r="T1430">
        <f t="shared" ca="1" si="612"/>
        <v>1</v>
      </c>
      <c r="U1430">
        <f t="shared" ref="U1430:U1493" ca="1" si="620">IF($D$20=0,U1431,IF(AC1431=0,U1431,IF(U1430=0,U1431,IF(ABS(AB1430)&gt;$D$19,MAX($D$16,U1430+((AB1430)*$D$18*IF((ABS(ABS(K1430)/MAX(((F1430)+(G1430)*(U1430))*(U1430),0.000001))/SQRT($I$5*MAX((((F1430)+(G1430)*(U1430))*(U1430))/MAX((F1430)+2*(G1430)*(U1430),0.000001),0.000001)))&lt;1,1,-1))),U1430))))</f>
        <v>51800.26683766341</v>
      </c>
      <c r="V1430">
        <f t="shared" ref="V1430:V1493" ca="1" si="621">((F1430)+(G1430)*(U1430))*(U1430)</f>
        <v>269361.38755584974</v>
      </c>
      <c r="W1430">
        <f t="shared" ref="W1430:W1493" ca="1" si="622">(((F1430)+(G1430)*(U1430))*(U1430))/MAX((F1430)+2*(U1430)*SQRT(1+(G1430)^2),0.000001)</f>
        <v>2.5998695052916441</v>
      </c>
      <c r="X1430">
        <f t="shared" ref="X1430:X1493" ca="1" si="623">ABS(K1430)/MAX(((F1430)+(G1430)*(U1430))*(U1430),0.000001)</f>
        <v>1.8933671400629237E-4</v>
      </c>
      <c r="Y1430">
        <f t="shared" ref="Y1430:Y1493" ca="1" si="624">E1430+U1430</f>
        <v>52432.188837663409</v>
      </c>
      <c r="Z1430">
        <f t="shared" ref="Z1430:Z1493" ca="1" si="625">Y1430+((ABS(K1430)/MAX(((F1430)+(G1430)*(U1430))*(U1430),0.000001))^2)/(2*$I$5)</f>
        <v>52432.188837665235</v>
      </c>
      <c r="AA1430">
        <f t="shared" ref="AA1430:AA1493" ca="1" si="626">((ABS(K1430)*$D$6)/(MAX(((F1430)+(G1430)*(U1430))*(U1430),0.000001)*MAX(((((F1430)+(G1430)*(U1430))*(U1430))/MAX((F1430)+2*(U1430)*SQRT(1+(G1430)^2),0.000001))^(2/3),0.000001)))^2</f>
        <v>2.2562304480281055E-12</v>
      </c>
      <c r="AB1430">
        <f t="shared" ref="AB1430:AB1493" ca="1" si="627">Z1431+(((AA1430+AA1431)/2)*J1431)+(IF(X1430&gt;X1431,$D$8*((X1430^2-X1431^2)/(2*$I$5)),$D$9*((X1431^2-X1430^2)/(2*$I$5)))+($D$10*(ABS(I1431)/90)*(MAX(X1430^2,X1431^2)/(2*$I$5))))-Z1430</f>
        <v>-5.0000000192085281E-4</v>
      </c>
      <c r="AC1430">
        <f t="shared" ref="AC1430:AC1493" ca="1" si="628">IF(ABS(AB1430)&lt;$D$19,1,0)</f>
        <v>1</v>
      </c>
      <c r="AD1430">
        <f ca="1">IF(V32="Supercritical",L1430,IF(V32="Subcritical",U1430,IF(AND(T1430=1,AC1430=1),IF((((F1430)*(L1430)^2)/2+(G1430)*(L1430)^3/3+(ABS(K1430)^2)/($I$5*MAX(((F1430)+(G1430)*(L1430))*(L1430),0.000001)))&gt;=(((F1430)*(U1430)^2)/2+(G1430)*(U1430)^3/3+(ABS(K1430)^2)/($I$5*MAX(((F1430)+(G1430)*(U1430))*(U1430),0.000001))),L1430,U1430),IF(T1430=1,L1430,IF(AC1430=1,U1430,MAX($D$16,POWER((ABS(K1430)^2)/($I$5*MAX(F1430,0.1)^2),1/3)))))))</f>
        <v>51800.26683766341</v>
      </c>
      <c r="AE1430">
        <f t="shared" ref="AE1430:AE1493" ca="1" si="629">E1430+AD1430</f>
        <v>52432.188837663409</v>
      </c>
      <c r="AF1430">
        <f t="shared" ref="AF1430:AF1493" ca="1" si="630">AE1430+((ABS(K1430)/MAX(((F1430)+(G1430)*(AD1430))*(AD1430),0.000001))^2)/(2*$I$5)</f>
        <v>52432.188837665235</v>
      </c>
      <c r="AI1430">
        <v>0</v>
      </c>
      <c r="AJ1430">
        <v>0</v>
      </c>
      <c r="AK1430">
        <f t="shared" ref="AK1430:AK1493" si="631">AI1430+AJ1430</f>
        <v>0</v>
      </c>
      <c r="AL1430">
        <f t="shared" si="613"/>
        <v>0</v>
      </c>
      <c r="AM1430">
        <f t="shared" ref="AM1430:AM1493" ca="1" si="632">ABS(ABS(K1430)/MAX(((F1430)+(G1430)*(AD1430))*(AD1430),0.000001))/SQRT($I$5*MAX((((F1430)+(G1430)*(AD1430))*(AD1430))/MAX((F1430)+2*(G1430)*(AD1430),0.000001),0.000001))</f>
        <v>2.6560383008097266E-7</v>
      </c>
      <c r="AN1430" t="str">
        <f t="shared" ref="AN1430:AN1493" ca="1" si="633">IF(AM1430&lt;1,"Subcritical","Supercritical")</f>
        <v>Subcritical</v>
      </c>
      <c r="AO1430">
        <f t="shared" ref="AO1430:AO1493" ca="1" si="634">((ABS(K1430)*$D$6)/(MAX(((F1430)+(G1430)*(AD1430))*(AD1430),0.000001)*MAX(((((F1430)+(G1430)*(AD1430))*(AD1430))/MAX((F1430)+2*(AD1430)*SQRT(1+(G1430)^2),0.000001))^(2/3),0.000001)))^2</f>
        <v>2.2562304480281055E-12</v>
      </c>
    </row>
    <row r="1431" spans="1:41" x14ac:dyDescent="0.35">
      <c r="A1431">
        <v>1282</v>
      </c>
      <c r="B1431">
        <v>1280.8889999999999</v>
      </c>
      <c r="C1431">
        <v>616069.29099999997</v>
      </c>
      <c r="D1431">
        <v>3096723.3</v>
      </c>
      <c r="E1431">
        <v>631.92150000000004</v>
      </c>
      <c r="F1431">
        <v>5.2</v>
      </c>
      <c r="G1431">
        <v>0</v>
      </c>
      <c r="H1431" t="s">
        <v>186</v>
      </c>
      <c r="I1431">
        <v>0</v>
      </c>
      <c r="J1431">
        <f t="shared" ref="J1431:J1494" si="635">B1431-B1430</f>
        <v>1</v>
      </c>
      <c r="K1431">
        <f t="shared" ref="K1431:K1494" si="636">MAX(0,K1430-AK1430)</f>
        <v>51</v>
      </c>
      <c r="L1431">
        <f t="shared" ref="L1431:L1494" ca="1" si="637">IF($D$20=0,L1430,IF(T1430=0,L1430,IF(L1431=0,L1430,IF(ABS(S1431)&gt;$D$19,MAX($D$16,L1431+((S1431)*$D$18*IF((ABS(ABS(K1431)/MAX(((F1431)+(G1431)*(L1431))*(L1431),0.000001))/SQRT($I$5*MAX((((F1431)+(G1431)*(L1431))*(L1431))/MAX((F1431)+2*(G1431)*(L1431),0.000001),0.000001)))&lt;1,1,-1))),L1431))))</f>
        <v>51797.843837663619</v>
      </c>
      <c r="M1431">
        <f t="shared" ca="1" si="614"/>
        <v>269348.78795585083</v>
      </c>
      <c r="N1431">
        <f t="shared" ca="1" si="615"/>
        <v>2.5998694991876676</v>
      </c>
      <c r="O1431">
        <f t="shared" ca="1" si="616"/>
        <v>1.8934557080078435E-4</v>
      </c>
      <c r="P1431">
        <f t="shared" ca="1" si="617"/>
        <v>52429.765337663615</v>
      </c>
      <c r="Q1431">
        <f t="shared" ca="1" si="618"/>
        <v>52429.765337665442</v>
      </c>
      <c r="R1431">
        <f t="shared" ca="1" si="619"/>
        <v>2.2564415439646509E-12</v>
      </c>
      <c r="S1431">
        <f t="shared" ref="S1431:S1494" ca="1" si="638">Q1430-(((R1430+R1431)/2)*J1431)-(IF(O1430&gt;O1431,$D$8*((O1430^2-O1431^2)/(2*$I$5)),$D$9*((O1431^2-O1430^2)/(2*$I$5)))+($D$10*(ABS(I1431)/90)*(MAX(O1430^2,O1431^2)/(2*$I$5))))-Q1431</f>
        <v>5.0000000192085281E-4</v>
      </c>
      <c r="T1431">
        <f t="shared" ref="T1431:T1494" ca="1" si="639">IF(ABS(S1431)&lt;$D$19,1,0)</f>
        <v>1</v>
      </c>
      <c r="U1431">
        <f t="shared" ca="1" si="620"/>
        <v>51800.26683766341</v>
      </c>
      <c r="V1431">
        <f t="shared" ca="1" si="621"/>
        <v>269361.38755584974</v>
      </c>
      <c r="W1431">
        <f t="shared" ca="1" si="622"/>
        <v>2.5998695052916441</v>
      </c>
      <c r="X1431">
        <f t="shared" ca="1" si="623"/>
        <v>1.8933671400629237E-4</v>
      </c>
      <c r="Y1431">
        <f t="shared" ca="1" si="624"/>
        <v>52432.188337663407</v>
      </c>
      <c r="Z1431">
        <f t="shared" ca="1" si="625"/>
        <v>52432.188337665233</v>
      </c>
      <c r="AA1431">
        <f t="shared" ca="1" si="626"/>
        <v>2.2562304480281055E-12</v>
      </c>
      <c r="AB1431">
        <f t="shared" ca="1" si="627"/>
        <v>-4.999999946448952E-4</v>
      </c>
      <c r="AC1431">
        <f t="shared" ca="1" si="628"/>
        <v>1</v>
      </c>
      <c r="AD1431">
        <f ca="1">IF(V32="Supercritical",L1431,IF(V32="Subcritical",U1431,IF(AND(T1431=1,AC1431=1),IF((((F1431)*(L1431)^2)/2+(G1431)*(L1431)^3/3+(ABS(K1431)^2)/($I$5*MAX(((F1431)+(G1431)*(L1431))*(L1431),0.000001)))&gt;=(((F1431)*(U1431)^2)/2+(G1431)*(U1431)^3/3+(ABS(K1431)^2)/($I$5*MAX(((F1431)+(G1431)*(U1431))*(U1431),0.000001))),L1431,U1431),IF(T1431=1,L1431,IF(AC1431=1,U1431,MAX($D$16,POWER((ABS(K1431)^2)/($I$5*MAX(F1431,0.1)^2),1/3)))))))</f>
        <v>51800.26683766341</v>
      </c>
      <c r="AE1431">
        <f t="shared" ca="1" si="629"/>
        <v>52432.188337663407</v>
      </c>
      <c r="AF1431">
        <f t="shared" ca="1" si="630"/>
        <v>52432.188337665233</v>
      </c>
      <c r="AI1431">
        <v>0</v>
      </c>
      <c r="AJ1431">
        <v>0</v>
      </c>
      <c r="AK1431">
        <f t="shared" si="631"/>
        <v>0</v>
      </c>
      <c r="AL1431">
        <f t="shared" ref="AL1431:AL1494" si="640">AL1430+AK1431</f>
        <v>0</v>
      </c>
      <c r="AM1431">
        <f t="shared" ca="1" si="632"/>
        <v>2.6560383008097266E-7</v>
      </c>
      <c r="AN1431" t="str">
        <f t="shared" ca="1" si="633"/>
        <v>Subcritical</v>
      </c>
      <c r="AO1431">
        <f t="shared" ca="1" si="634"/>
        <v>2.2562304480281055E-12</v>
      </c>
    </row>
    <row r="1432" spans="1:41" x14ac:dyDescent="0.35">
      <c r="A1432">
        <v>1283</v>
      </c>
      <c r="B1432">
        <v>1281.8889999999999</v>
      </c>
      <c r="C1432">
        <v>616069.24899999995</v>
      </c>
      <c r="D1432">
        <v>3096722.301</v>
      </c>
      <c r="E1432">
        <v>631.92100000000005</v>
      </c>
      <c r="F1432">
        <v>5.2</v>
      </c>
      <c r="G1432">
        <v>0</v>
      </c>
      <c r="H1432" t="s">
        <v>186</v>
      </c>
      <c r="I1432">
        <v>0</v>
      </c>
      <c r="J1432">
        <f t="shared" si="635"/>
        <v>1</v>
      </c>
      <c r="K1432">
        <f t="shared" si="636"/>
        <v>51</v>
      </c>
      <c r="L1432">
        <f t="shared" ca="1" si="637"/>
        <v>51797.843837663619</v>
      </c>
      <c r="M1432">
        <f t="shared" ca="1" si="614"/>
        <v>269348.78795585083</v>
      </c>
      <c r="N1432">
        <f t="shared" ca="1" si="615"/>
        <v>2.5998694991876676</v>
      </c>
      <c r="O1432">
        <f t="shared" ca="1" si="616"/>
        <v>1.8934557080078435E-4</v>
      </c>
      <c r="P1432">
        <f t="shared" ca="1" si="617"/>
        <v>52429.764837663621</v>
      </c>
      <c r="Q1432">
        <f t="shared" ca="1" si="618"/>
        <v>52429.764837665447</v>
      </c>
      <c r="R1432">
        <f t="shared" ca="1" si="619"/>
        <v>2.2564415439646509E-12</v>
      </c>
      <c r="S1432">
        <f t="shared" ca="1" si="638"/>
        <v>4.999999946448952E-4</v>
      </c>
      <c r="T1432">
        <f t="shared" ca="1" si="639"/>
        <v>1</v>
      </c>
      <c r="U1432">
        <f t="shared" ca="1" si="620"/>
        <v>51800.26683766341</v>
      </c>
      <c r="V1432">
        <f t="shared" ca="1" si="621"/>
        <v>269361.38755584974</v>
      </c>
      <c r="W1432">
        <f t="shared" ca="1" si="622"/>
        <v>2.5998695052916441</v>
      </c>
      <c r="X1432">
        <f t="shared" ca="1" si="623"/>
        <v>1.8933671400629237E-4</v>
      </c>
      <c r="Y1432">
        <f t="shared" ca="1" si="624"/>
        <v>52432.187837663412</v>
      </c>
      <c r="Z1432">
        <f t="shared" ca="1" si="625"/>
        <v>52432.187837665238</v>
      </c>
      <c r="AA1432">
        <f t="shared" ca="1" si="626"/>
        <v>2.2562304480281055E-12</v>
      </c>
      <c r="AB1432">
        <f t="shared" ca="1" si="627"/>
        <v>-5.0000000192085281E-4</v>
      </c>
      <c r="AC1432">
        <f t="shared" ca="1" si="628"/>
        <v>1</v>
      </c>
      <c r="AD1432">
        <f ca="1">IF(V32="Supercritical",L1432,IF(V32="Subcritical",U1432,IF(AND(T1432=1,AC1432=1),IF((((F1432)*(L1432)^2)/2+(G1432)*(L1432)^3/3+(ABS(K1432)^2)/($I$5*MAX(((F1432)+(G1432)*(L1432))*(L1432),0.000001)))&gt;=(((F1432)*(U1432)^2)/2+(G1432)*(U1432)^3/3+(ABS(K1432)^2)/($I$5*MAX(((F1432)+(G1432)*(U1432))*(U1432),0.000001))),L1432,U1432),IF(T1432=1,L1432,IF(AC1432=1,U1432,MAX($D$16,POWER((ABS(K1432)^2)/($I$5*MAX(F1432,0.1)^2),1/3)))))))</f>
        <v>51800.26683766341</v>
      </c>
      <c r="AE1432">
        <f t="shared" ca="1" si="629"/>
        <v>52432.187837663412</v>
      </c>
      <c r="AF1432">
        <f t="shared" ca="1" si="630"/>
        <v>52432.187837665238</v>
      </c>
      <c r="AI1432">
        <v>0</v>
      </c>
      <c r="AJ1432">
        <v>0</v>
      </c>
      <c r="AK1432">
        <f t="shared" si="631"/>
        <v>0</v>
      </c>
      <c r="AL1432">
        <f t="shared" si="640"/>
        <v>0</v>
      </c>
      <c r="AM1432">
        <f t="shared" ca="1" si="632"/>
        <v>2.6560383008097266E-7</v>
      </c>
      <c r="AN1432" t="str">
        <f t="shared" ca="1" si="633"/>
        <v>Subcritical</v>
      </c>
      <c r="AO1432">
        <f t="shared" ca="1" si="634"/>
        <v>2.2562304480281055E-12</v>
      </c>
    </row>
    <row r="1433" spans="1:41" x14ac:dyDescent="0.35">
      <c r="A1433">
        <v>1284</v>
      </c>
      <c r="B1433">
        <v>1282.8889999999999</v>
      </c>
      <c r="C1433">
        <v>616069.20700000005</v>
      </c>
      <c r="D1433">
        <v>3096721.3020000001</v>
      </c>
      <c r="E1433">
        <v>631.92049999999995</v>
      </c>
      <c r="F1433">
        <v>5.2</v>
      </c>
      <c r="G1433">
        <v>0</v>
      </c>
      <c r="H1433" t="s">
        <v>186</v>
      </c>
      <c r="I1433">
        <v>5.5E-2</v>
      </c>
      <c r="J1433">
        <f t="shared" si="635"/>
        <v>1</v>
      </c>
      <c r="K1433">
        <f t="shared" si="636"/>
        <v>51</v>
      </c>
      <c r="L1433">
        <f t="shared" ca="1" si="637"/>
        <v>51797.843837663619</v>
      </c>
      <c r="M1433">
        <f t="shared" ca="1" si="614"/>
        <v>269348.78795585083</v>
      </c>
      <c r="N1433">
        <f t="shared" ca="1" si="615"/>
        <v>2.5998694991876676</v>
      </c>
      <c r="O1433">
        <f t="shared" ca="1" si="616"/>
        <v>1.8934557080078435E-4</v>
      </c>
      <c r="P1433">
        <f t="shared" ca="1" si="617"/>
        <v>52429.764337663619</v>
      </c>
      <c r="Q1433">
        <f t="shared" ca="1" si="618"/>
        <v>52429.764337665445</v>
      </c>
      <c r="R1433">
        <f t="shared" ca="1" si="619"/>
        <v>2.2564415439646509E-12</v>
      </c>
      <c r="S1433">
        <f t="shared" ca="1" si="638"/>
        <v>5.0000000192085281E-4</v>
      </c>
      <c r="T1433">
        <f t="shared" ca="1" si="639"/>
        <v>1</v>
      </c>
      <c r="U1433">
        <f t="shared" ca="1" si="620"/>
        <v>51800.26683766341</v>
      </c>
      <c r="V1433">
        <f t="shared" ca="1" si="621"/>
        <v>269361.38755584974</v>
      </c>
      <c r="W1433">
        <f t="shared" ca="1" si="622"/>
        <v>2.5998695052916441</v>
      </c>
      <c r="X1433">
        <f t="shared" ca="1" si="623"/>
        <v>1.8933671400629237E-4</v>
      </c>
      <c r="Y1433">
        <f t="shared" ca="1" si="624"/>
        <v>52432.18733766341</v>
      </c>
      <c r="Z1433">
        <f t="shared" ca="1" si="625"/>
        <v>52432.187337665237</v>
      </c>
      <c r="AA1433">
        <f t="shared" ca="1" si="626"/>
        <v>2.2562304480281055E-12</v>
      </c>
      <c r="AB1433">
        <f t="shared" ca="1" si="627"/>
        <v>-5.0000000192085281E-4</v>
      </c>
      <c r="AC1433">
        <f t="shared" ca="1" si="628"/>
        <v>1</v>
      </c>
      <c r="AD1433">
        <f ca="1">IF(V32="Supercritical",L1433,IF(V32="Subcritical",U1433,IF(AND(T1433=1,AC1433=1),IF((((F1433)*(L1433)^2)/2+(G1433)*(L1433)^3/3+(ABS(K1433)^2)/($I$5*MAX(((F1433)+(G1433)*(L1433))*(L1433),0.000001)))&gt;=(((F1433)*(U1433)^2)/2+(G1433)*(U1433)^3/3+(ABS(K1433)^2)/($I$5*MAX(((F1433)+(G1433)*(U1433))*(U1433),0.000001))),L1433,U1433),IF(T1433=1,L1433,IF(AC1433=1,U1433,MAX($D$16,POWER((ABS(K1433)^2)/($I$5*MAX(F1433,0.1)^2),1/3)))))))</f>
        <v>51800.26683766341</v>
      </c>
      <c r="AE1433">
        <f t="shared" ca="1" si="629"/>
        <v>52432.18733766341</v>
      </c>
      <c r="AF1433">
        <f t="shared" ca="1" si="630"/>
        <v>52432.187337665237</v>
      </c>
      <c r="AI1433">
        <v>0</v>
      </c>
      <c r="AJ1433">
        <v>0</v>
      </c>
      <c r="AK1433">
        <f t="shared" si="631"/>
        <v>0</v>
      </c>
      <c r="AL1433">
        <f t="shared" si="640"/>
        <v>0</v>
      </c>
      <c r="AM1433">
        <f t="shared" ca="1" si="632"/>
        <v>2.6560383008097266E-7</v>
      </c>
      <c r="AN1433" t="str">
        <f t="shared" ca="1" si="633"/>
        <v>Subcritical</v>
      </c>
      <c r="AO1433">
        <f t="shared" ca="1" si="634"/>
        <v>2.2562304480281055E-12</v>
      </c>
    </row>
    <row r="1434" spans="1:41" x14ac:dyDescent="0.35">
      <c r="A1434">
        <v>1285</v>
      </c>
      <c r="B1434">
        <v>1283.8900000000001</v>
      </c>
      <c r="C1434">
        <v>616069.16399999999</v>
      </c>
      <c r="D1434">
        <v>3096720.3020000001</v>
      </c>
      <c r="E1434">
        <v>631.91999999999996</v>
      </c>
      <c r="F1434">
        <v>5.2</v>
      </c>
      <c r="G1434">
        <v>0</v>
      </c>
      <c r="H1434" t="s">
        <v>186</v>
      </c>
      <c r="I1434">
        <v>5.5E-2</v>
      </c>
      <c r="J1434">
        <f t="shared" si="635"/>
        <v>1.0010000000002037</v>
      </c>
      <c r="K1434">
        <f t="shared" si="636"/>
        <v>51</v>
      </c>
      <c r="L1434">
        <f t="shared" ca="1" si="637"/>
        <v>51797.843837663619</v>
      </c>
      <c r="M1434">
        <f t="shared" ca="1" si="614"/>
        <v>269348.78795585083</v>
      </c>
      <c r="N1434">
        <f t="shared" ca="1" si="615"/>
        <v>2.5998694991876676</v>
      </c>
      <c r="O1434">
        <f t="shared" ca="1" si="616"/>
        <v>1.8934557080078435E-4</v>
      </c>
      <c r="P1434">
        <f t="shared" ca="1" si="617"/>
        <v>52429.763837663617</v>
      </c>
      <c r="Q1434">
        <f t="shared" ca="1" si="618"/>
        <v>52429.763837665443</v>
      </c>
      <c r="R1434">
        <f t="shared" ca="1" si="619"/>
        <v>2.2564415439646509E-12</v>
      </c>
      <c r="S1434">
        <f t="shared" ca="1" si="638"/>
        <v>5.0000000192085281E-4</v>
      </c>
      <c r="T1434">
        <f t="shared" ca="1" si="639"/>
        <v>1</v>
      </c>
      <c r="U1434">
        <f t="shared" ca="1" si="620"/>
        <v>51800.26683766341</v>
      </c>
      <c r="V1434">
        <f t="shared" ca="1" si="621"/>
        <v>269361.38755584974</v>
      </c>
      <c r="W1434">
        <f t="shared" ca="1" si="622"/>
        <v>2.5998695052916441</v>
      </c>
      <c r="X1434">
        <f t="shared" ca="1" si="623"/>
        <v>1.8933671400629237E-4</v>
      </c>
      <c r="Y1434">
        <f t="shared" ca="1" si="624"/>
        <v>52432.186837663408</v>
      </c>
      <c r="Z1434">
        <f t="shared" ca="1" si="625"/>
        <v>52432.186837665235</v>
      </c>
      <c r="AA1434">
        <f t="shared" ca="1" si="626"/>
        <v>2.2562304480281055E-12</v>
      </c>
      <c r="AB1434">
        <f t="shared" ca="1" si="627"/>
        <v>-4.999999946448952E-4</v>
      </c>
      <c r="AC1434">
        <f t="shared" ca="1" si="628"/>
        <v>1</v>
      </c>
      <c r="AD1434">
        <f ca="1">IF(V32="Supercritical",L1434,IF(V32="Subcritical",U1434,IF(AND(T1434=1,AC1434=1),IF((((F1434)*(L1434)^2)/2+(G1434)*(L1434)^3/3+(ABS(K1434)^2)/($I$5*MAX(((F1434)+(G1434)*(L1434))*(L1434),0.000001)))&gt;=(((F1434)*(U1434)^2)/2+(G1434)*(U1434)^3/3+(ABS(K1434)^2)/($I$5*MAX(((F1434)+(G1434)*(U1434))*(U1434),0.000001))),L1434,U1434),IF(T1434=1,L1434,IF(AC1434=1,U1434,MAX($D$16,POWER((ABS(K1434)^2)/($I$5*MAX(F1434,0.1)^2),1/3)))))))</f>
        <v>51800.26683766341</v>
      </c>
      <c r="AE1434">
        <f t="shared" ca="1" si="629"/>
        <v>52432.186837663408</v>
      </c>
      <c r="AF1434">
        <f t="shared" ca="1" si="630"/>
        <v>52432.186837665235</v>
      </c>
      <c r="AI1434">
        <v>0</v>
      </c>
      <c r="AJ1434">
        <v>0</v>
      </c>
      <c r="AK1434">
        <f t="shared" si="631"/>
        <v>0</v>
      </c>
      <c r="AL1434">
        <f t="shared" si="640"/>
        <v>0</v>
      </c>
      <c r="AM1434">
        <f t="shared" ca="1" si="632"/>
        <v>2.6560383008097266E-7</v>
      </c>
      <c r="AN1434" t="str">
        <f t="shared" ca="1" si="633"/>
        <v>Subcritical</v>
      </c>
      <c r="AO1434">
        <f t="shared" ca="1" si="634"/>
        <v>2.2562304480281055E-12</v>
      </c>
    </row>
    <row r="1435" spans="1:41" x14ac:dyDescent="0.35">
      <c r="A1435">
        <v>1286</v>
      </c>
      <c r="B1435">
        <v>1284.8900000000001</v>
      </c>
      <c r="C1435">
        <v>616069.12199999997</v>
      </c>
      <c r="D1435">
        <v>3096719.3029999998</v>
      </c>
      <c r="E1435">
        <v>631.91949999999997</v>
      </c>
      <c r="F1435">
        <v>5.2</v>
      </c>
      <c r="G1435">
        <v>0</v>
      </c>
      <c r="H1435" t="s">
        <v>186</v>
      </c>
      <c r="I1435">
        <v>0</v>
      </c>
      <c r="J1435">
        <f t="shared" si="635"/>
        <v>1</v>
      </c>
      <c r="K1435">
        <f t="shared" si="636"/>
        <v>51</v>
      </c>
      <c r="L1435">
        <f t="shared" ca="1" si="637"/>
        <v>51797.843837663619</v>
      </c>
      <c r="M1435">
        <f t="shared" ca="1" si="614"/>
        <v>269348.78795585083</v>
      </c>
      <c r="N1435">
        <f t="shared" ca="1" si="615"/>
        <v>2.5998694991876676</v>
      </c>
      <c r="O1435">
        <f t="shared" ca="1" si="616"/>
        <v>1.8934557080078435E-4</v>
      </c>
      <c r="P1435">
        <f t="shared" ca="1" si="617"/>
        <v>52429.763337663622</v>
      </c>
      <c r="Q1435">
        <f t="shared" ca="1" si="618"/>
        <v>52429.763337665448</v>
      </c>
      <c r="R1435">
        <f t="shared" ca="1" si="619"/>
        <v>2.2564415439646509E-12</v>
      </c>
      <c r="S1435">
        <f t="shared" ca="1" si="638"/>
        <v>4.999999946448952E-4</v>
      </c>
      <c r="T1435">
        <f t="shared" ca="1" si="639"/>
        <v>1</v>
      </c>
      <c r="U1435">
        <f t="shared" ca="1" si="620"/>
        <v>51800.26683766341</v>
      </c>
      <c r="V1435">
        <f t="shared" ca="1" si="621"/>
        <v>269361.38755584974</v>
      </c>
      <c r="W1435">
        <f t="shared" ca="1" si="622"/>
        <v>2.5998695052916441</v>
      </c>
      <c r="X1435">
        <f t="shared" ca="1" si="623"/>
        <v>1.8933671400629237E-4</v>
      </c>
      <c r="Y1435">
        <f t="shared" ca="1" si="624"/>
        <v>52432.186337663414</v>
      </c>
      <c r="Z1435">
        <f t="shared" ca="1" si="625"/>
        <v>52432.18633766524</v>
      </c>
      <c r="AA1435">
        <f t="shared" ca="1" si="626"/>
        <v>2.2562304480281055E-12</v>
      </c>
      <c r="AB1435">
        <f t="shared" ca="1" si="627"/>
        <v>-5.0000000192085281E-4</v>
      </c>
      <c r="AC1435">
        <f t="shared" ca="1" si="628"/>
        <v>1</v>
      </c>
      <c r="AD1435">
        <f ca="1">IF(V32="Supercritical",L1435,IF(V32="Subcritical",U1435,IF(AND(T1435=1,AC1435=1),IF((((F1435)*(L1435)^2)/2+(G1435)*(L1435)^3/3+(ABS(K1435)^2)/($I$5*MAX(((F1435)+(G1435)*(L1435))*(L1435),0.000001)))&gt;=(((F1435)*(U1435)^2)/2+(G1435)*(U1435)^3/3+(ABS(K1435)^2)/($I$5*MAX(((F1435)+(G1435)*(U1435))*(U1435),0.000001))),L1435,U1435),IF(T1435=1,L1435,IF(AC1435=1,U1435,MAX($D$16,POWER((ABS(K1435)^2)/($I$5*MAX(F1435,0.1)^2),1/3)))))))</f>
        <v>51800.26683766341</v>
      </c>
      <c r="AE1435">
        <f t="shared" ca="1" si="629"/>
        <v>52432.186337663414</v>
      </c>
      <c r="AF1435">
        <f t="shared" ca="1" si="630"/>
        <v>52432.18633766524</v>
      </c>
      <c r="AI1435">
        <v>0</v>
      </c>
      <c r="AJ1435">
        <v>0</v>
      </c>
      <c r="AK1435">
        <f t="shared" si="631"/>
        <v>0</v>
      </c>
      <c r="AL1435">
        <f t="shared" si="640"/>
        <v>0</v>
      </c>
      <c r="AM1435">
        <f t="shared" ca="1" si="632"/>
        <v>2.6560383008097266E-7</v>
      </c>
      <c r="AN1435" t="str">
        <f t="shared" ca="1" si="633"/>
        <v>Subcritical</v>
      </c>
      <c r="AO1435">
        <f t="shared" ca="1" si="634"/>
        <v>2.2562304480281055E-12</v>
      </c>
    </row>
    <row r="1436" spans="1:41" x14ac:dyDescent="0.35">
      <c r="A1436">
        <v>1287</v>
      </c>
      <c r="B1436">
        <v>1285.8900000000001</v>
      </c>
      <c r="C1436">
        <v>616069.07999999996</v>
      </c>
      <c r="D1436">
        <v>3096718.304</v>
      </c>
      <c r="E1436">
        <v>631.91899999999998</v>
      </c>
      <c r="F1436">
        <v>5.2</v>
      </c>
      <c r="G1436">
        <v>0</v>
      </c>
      <c r="H1436" t="s">
        <v>186</v>
      </c>
      <c r="I1436">
        <v>0</v>
      </c>
      <c r="J1436">
        <f t="shared" si="635"/>
        <v>1</v>
      </c>
      <c r="K1436">
        <f t="shared" si="636"/>
        <v>51</v>
      </c>
      <c r="L1436">
        <f t="shared" ca="1" si="637"/>
        <v>51797.843837663619</v>
      </c>
      <c r="M1436">
        <f t="shared" ca="1" si="614"/>
        <v>269348.78795585083</v>
      </c>
      <c r="N1436">
        <f t="shared" ca="1" si="615"/>
        <v>2.5998694991876676</v>
      </c>
      <c r="O1436">
        <f t="shared" ca="1" si="616"/>
        <v>1.8934557080078435E-4</v>
      </c>
      <c r="P1436">
        <f t="shared" ca="1" si="617"/>
        <v>52429.76283766362</v>
      </c>
      <c r="Q1436">
        <f t="shared" ca="1" si="618"/>
        <v>52429.762837665447</v>
      </c>
      <c r="R1436">
        <f t="shared" ca="1" si="619"/>
        <v>2.2564415439646509E-12</v>
      </c>
      <c r="S1436">
        <f t="shared" ca="1" si="638"/>
        <v>5.0000000192085281E-4</v>
      </c>
      <c r="T1436">
        <f t="shared" ca="1" si="639"/>
        <v>1</v>
      </c>
      <c r="U1436">
        <f t="shared" ca="1" si="620"/>
        <v>51800.26683766341</v>
      </c>
      <c r="V1436">
        <f t="shared" ca="1" si="621"/>
        <v>269361.38755584974</v>
      </c>
      <c r="W1436">
        <f t="shared" ca="1" si="622"/>
        <v>2.5998695052916441</v>
      </c>
      <c r="X1436">
        <f t="shared" ca="1" si="623"/>
        <v>1.8933671400629237E-4</v>
      </c>
      <c r="Y1436">
        <f t="shared" ca="1" si="624"/>
        <v>52432.185837663412</v>
      </c>
      <c r="Z1436">
        <f t="shared" ca="1" si="625"/>
        <v>52432.185837665238</v>
      </c>
      <c r="AA1436">
        <f t="shared" ca="1" si="626"/>
        <v>2.2562304480281055E-12</v>
      </c>
      <c r="AB1436">
        <f t="shared" ca="1" si="627"/>
        <v>-5.0000000192085281E-4</v>
      </c>
      <c r="AC1436">
        <f t="shared" ca="1" si="628"/>
        <v>1</v>
      </c>
      <c r="AD1436">
        <f ca="1">IF(V32="Supercritical",L1436,IF(V32="Subcritical",U1436,IF(AND(T1436=1,AC1436=1),IF((((F1436)*(L1436)^2)/2+(G1436)*(L1436)^3/3+(ABS(K1436)^2)/($I$5*MAX(((F1436)+(G1436)*(L1436))*(L1436),0.000001)))&gt;=(((F1436)*(U1436)^2)/2+(G1436)*(U1436)^3/3+(ABS(K1436)^2)/($I$5*MAX(((F1436)+(G1436)*(U1436))*(U1436),0.000001))),L1436,U1436),IF(T1436=1,L1436,IF(AC1436=1,U1436,MAX($D$16,POWER((ABS(K1436)^2)/($I$5*MAX(F1436,0.1)^2),1/3)))))))</f>
        <v>51800.26683766341</v>
      </c>
      <c r="AE1436">
        <f t="shared" ca="1" si="629"/>
        <v>52432.185837663412</v>
      </c>
      <c r="AF1436">
        <f t="shared" ca="1" si="630"/>
        <v>52432.185837665238</v>
      </c>
      <c r="AI1436">
        <v>0</v>
      </c>
      <c r="AJ1436">
        <v>0</v>
      </c>
      <c r="AK1436">
        <f t="shared" si="631"/>
        <v>0</v>
      </c>
      <c r="AL1436">
        <f t="shared" si="640"/>
        <v>0</v>
      </c>
      <c r="AM1436">
        <f t="shared" ca="1" si="632"/>
        <v>2.6560383008097266E-7</v>
      </c>
      <c r="AN1436" t="str">
        <f t="shared" ca="1" si="633"/>
        <v>Subcritical</v>
      </c>
      <c r="AO1436">
        <f t="shared" ca="1" si="634"/>
        <v>2.2562304480281055E-12</v>
      </c>
    </row>
    <row r="1437" spans="1:41" x14ac:dyDescent="0.35">
      <c r="A1437">
        <v>1288</v>
      </c>
      <c r="B1437">
        <v>1286.8889999999999</v>
      </c>
      <c r="C1437">
        <v>616069.03799999994</v>
      </c>
      <c r="D1437">
        <v>3096717.3050000002</v>
      </c>
      <c r="E1437">
        <v>631.91849999999999</v>
      </c>
      <c r="F1437">
        <v>5.2</v>
      </c>
      <c r="G1437">
        <v>0</v>
      </c>
      <c r="H1437" t="s">
        <v>186</v>
      </c>
      <c r="I1437">
        <v>5.7000000000000002E-2</v>
      </c>
      <c r="J1437">
        <f t="shared" si="635"/>
        <v>0.99899999999979627</v>
      </c>
      <c r="K1437">
        <f t="shared" si="636"/>
        <v>51</v>
      </c>
      <c r="L1437">
        <f t="shared" ca="1" si="637"/>
        <v>51797.843837663619</v>
      </c>
      <c r="M1437">
        <f t="shared" ca="1" si="614"/>
        <v>269348.78795585083</v>
      </c>
      <c r="N1437">
        <f t="shared" ca="1" si="615"/>
        <v>2.5998694991876676</v>
      </c>
      <c r="O1437">
        <f t="shared" ca="1" si="616"/>
        <v>1.8934557080078435E-4</v>
      </c>
      <c r="P1437">
        <f t="shared" ca="1" si="617"/>
        <v>52429.762337663618</v>
      </c>
      <c r="Q1437">
        <f t="shared" ca="1" si="618"/>
        <v>52429.762337665445</v>
      </c>
      <c r="R1437">
        <f t="shared" ca="1" si="619"/>
        <v>2.2564415439646509E-12</v>
      </c>
      <c r="S1437">
        <f t="shared" ca="1" si="638"/>
        <v>5.0000000192085281E-4</v>
      </c>
      <c r="T1437">
        <f t="shared" ca="1" si="639"/>
        <v>1</v>
      </c>
      <c r="U1437">
        <f t="shared" ca="1" si="620"/>
        <v>51800.26683766341</v>
      </c>
      <c r="V1437">
        <f t="shared" ca="1" si="621"/>
        <v>269361.38755584974</v>
      </c>
      <c r="W1437">
        <f t="shared" ca="1" si="622"/>
        <v>2.5998695052916441</v>
      </c>
      <c r="X1437">
        <f t="shared" ca="1" si="623"/>
        <v>1.8933671400629237E-4</v>
      </c>
      <c r="Y1437">
        <f t="shared" ca="1" si="624"/>
        <v>52432.18533766341</v>
      </c>
      <c r="Z1437">
        <f t="shared" ca="1" si="625"/>
        <v>52432.185337665236</v>
      </c>
      <c r="AA1437">
        <f t="shared" ca="1" si="626"/>
        <v>2.2562304480281055E-12</v>
      </c>
      <c r="AB1437">
        <f t="shared" ca="1" si="627"/>
        <v>-5.0000000192085281E-4</v>
      </c>
      <c r="AC1437">
        <f t="shared" ca="1" si="628"/>
        <v>1</v>
      </c>
      <c r="AD1437">
        <f ca="1">IF(V32="Supercritical",L1437,IF(V32="Subcritical",U1437,IF(AND(T1437=1,AC1437=1),IF((((F1437)*(L1437)^2)/2+(G1437)*(L1437)^3/3+(ABS(K1437)^2)/($I$5*MAX(((F1437)+(G1437)*(L1437))*(L1437),0.000001)))&gt;=(((F1437)*(U1437)^2)/2+(G1437)*(U1437)^3/3+(ABS(K1437)^2)/($I$5*MAX(((F1437)+(G1437)*(U1437))*(U1437),0.000001))),L1437,U1437),IF(T1437=1,L1437,IF(AC1437=1,U1437,MAX($D$16,POWER((ABS(K1437)^2)/($I$5*MAX(F1437,0.1)^2),1/3)))))))</f>
        <v>51800.26683766341</v>
      </c>
      <c r="AE1437">
        <f t="shared" ca="1" si="629"/>
        <v>52432.18533766341</v>
      </c>
      <c r="AF1437">
        <f t="shared" ca="1" si="630"/>
        <v>52432.185337665236</v>
      </c>
      <c r="AI1437">
        <v>0</v>
      </c>
      <c r="AJ1437">
        <v>0</v>
      </c>
      <c r="AK1437">
        <f t="shared" si="631"/>
        <v>0</v>
      </c>
      <c r="AL1437">
        <f t="shared" si="640"/>
        <v>0</v>
      </c>
      <c r="AM1437">
        <f t="shared" ca="1" si="632"/>
        <v>2.6560383008097266E-7</v>
      </c>
      <c r="AN1437" t="str">
        <f t="shared" ca="1" si="633"/>
        <v>Subcritical</v>
      </c>
      <c r="AO1437">
        <f t="shared" ca="1" si="634"/>
        <v>2.2562304480281055E-12</v>
      </c>
    </row>
    <row r="1438" spans="1:41" x14ac:dyDescent="0.35">
      <c r="A1438">
        <v>1289</v>
      </c>
      <c r="B1438">
        <v>1287.8889999999999</v>
      </c>
      <c r="C1438">
        <v>616068.995</v>
      </c>
      <c r="D1438">
        <v>3096716.3059999999</v>
      </c>
      <c r="E1438">
        <v>631.91800000000001</v>
      </c>
      <c r="F1438">
        <v>5.2</v>
      </c>
      <c r="G1438">
        <v>0</v>
      </c>
      <c r="H1438" t="s">
        <v>186</v>
      </c>
      <c r="I1438">
        <v>5.7000000000000002E-2</v>
      </c>
      <c r="J1438">
        <f t="shared" si="635"/>
        <v>1</v>
      </c>
      <c r="K1438">
        <f t="shared" si="636"/>
        <v>51</v>
      </c>
      <c r="L1438">
        <f t="shared" ca="1" si="637"/>
        <v>51797.843837663619</v>
      </c>
      <c r="M1438">
        <f t="shared" ca="1" si="614"/>
        <v>269348.78795585083</v>
      </c>
      <c r="N1438">
        <f t="shared" ca="1" si="615"/>
        <v>2.5998694991876676</v>
      </c>
      <c r="O1438">
        <f t="shared" ca="1" si="616"/>
        <v>1.8934557080078435E-4</v>
      </c>
      <c r="P1438">
        <f t="shared" ca="1" si="617"/>
        <v>52429.761837663616</v>
      </c>
      <c r="Q1438">
        <f t="shared" ca="1" si="618"/>
        <v>52429.761837665443</v>
      </c>
      <c r="R1438">
        <f t="shared" ca="1" si="619"/>
        <v>2.2564415439646509E-12</v>
      </c>
      <c r="S1438">
        <f t="shared" ca="1" si="638"/>
        <v>5.0000000192085281E-4</v>
      </c>
      <c r="T1438">
        <f t="shared" ca="1" si="639"/>
        <v>1</v>
      </c>
      <c r="U1438">
        <f t="shared" ca="1" si="620"/>
        <v>51800.26683766341</v>
      </c>
      <c r="V1438">
        <f t="shared" ca="1" si="621"/>
        <v>269361.38755584974</v>
      </c>
      <c r="W1438">
        <f t="shared" ca="1" si="622"/>
        <v>2.5998695052916441</v>
      </c>
      <c r="X1438">
        <f t="shared" ca="1" si="623"/>
        <v>1.8933671400629237E-4</v>
      </c>
      <c r="Y1438">
        <f t="shared" ca="1" si="624"/>
        <v>52432.184837663408</v>
      </c>
      <c r="Z1438">
        <f t="shared" ca="1" si="625"/>
        <v>52432.184837665234</v>
      </c>
      <c r="AA1438">
        <f t="shared" ca="1" si="626"/>
        <v>2.2562304480281055E-12</v>
      </c>
      <c r="AB1438">
        <f t="shared" ca="1" si="627"/>
        <v>-4.999999946448952E-4</v>
      </c>
      <c r="AC1438">
        <f t="shared" ca="1" si="628"/>
        <v>1</v>
      </c>
      <c r="AD1438">
        <f ca="1">IF(V32="Supercritical",L1438,IF(V32="Subcritical",U1438,IF(AND(T1438=1,AC1438=1),IF((((F1438)*(L1438)^2)/2+(G1438)*(L1438)^3/3+(ABS(K1438)^2)/($I$5*MAX(((F1438)+(G1438)*(L1438))*(L1438),0.000001)))&gt;=(((F1438)*(U1438)^2)/2+(G1438)*(U1438)^3/3+(ABS(K1438)^2)/($I$5*MAX(((F1438)+(G1438)*(U1438))*(U1438),0.000001))),L1438,U1438),IF(T1438=1,L1438,IF(AC1438=1,U1438,MAX($D$16,POWER((ABS(K1438)^2)/($I$5*MAX(F1438,0.1)^2),1/3)))))))</f>
        <v>51800.26683766341</v>
      </c>
      <c r="AE1438">
        <f t="shared" ca="1" si="629"/>
        <v>52432.184837663408</v>
      </c>
      <c r="AF1438">
        <f t="shared" ca="1" si="630"/>
        <v>52432.184837665234</v>
      </c>
      <c r="AI1438">
        <v>0</v>
      </c>
      <c r="AJ1438">
        <v>0</v>
      </c>
      <c r="AK1438">
        <f t="shared" si="631"/>
        <v>0</v>
      </c>
      <c r="AL1438">
        <f t="shared" si="640"/>
        <v>0</v>
      </c>
      <c r="AM1438">
        <f t="shared" ca="1" si="632"/>
        <v>2.6560383008097266E-7</v>
      </c>
      <c r="AN1438" t="str">
        <f t="shared" ca="1" si="633"/>
        <v>Subcritical</v>
      </c>
      <c r="AO1438">
        <f t="shared" ca="1" si="634"/>
        <v>2.2562304480281055E-12</v>
      </c>
    </row>
    <row r="1439" spans="1:41" x14ac:dyDescent="0.35">
      <c r="A1439">
        <v>1290</v>
      </c>
      <c r="B1439">
        <v>1288.8889999999999</v>
      </c>
      <c r="C1439">
        <v>616068.95299999998</v>
      </c>
      <c r="D1439">
        <v>3096715.307</v>
      </c>
      <c r="E1439">
        <v>631.91750000000002</v>
      </c>
      <c r="F1439">
        <v>5.2</v>
      </c>
      <c r="G1439">
        <v>0</v>
      </c>
      <c r="H1439" t="s">
        <v>186</v>
      </c>
      <c r="I1439">
        <v>0</v>
      </c>
      <c r="J1439">
        <f t="shared" si="635"/>
        <v>1</v>
      </c>
      <c r="K1439">
        <f t="shared" si="636"/>
        <v>51</v>
      </c>
      <c r="L1439">
        <f t="shared" ca="1" si="637"/>
        <v>51797.843837663619</v>
      </c>
      <c r="M1439">
        <f t="shared" ca="1" si="614"/>
        <v>269348.78795585083</v>
      </c>
      <c r="N1439">
        <f t="shared" ca="1" si="615"/>
        <v>2.5998694991876676</v>
      </c>
      <c r="O1439">
        <f t="shared" ca="1" si="616"/>
        <v>1.8934557080078435E-4</v>
      </c>
      <c r="P1439">
        <f t="shared" ca="1" si="617"/>
        <v>52429.761337663622</v>
      </c>
      <c r="Q1439">
        <f t="shared" ca="1" si="618"/>
        <v>52429.761337665448</v>
      </c>
      <c r="R1439">
        <f t="shared" ca="1" si="619"/>
        <v>2.2564415439646509E-12</v>
      </c>
      <c r="S1439">
        <f t="shared" ca="1" si="638"/>
        <v>4.999999946448952E-4</v>
      </c>
      <c r="T1439">
        <f t="shared" ca="1" si="639"/>
        <v>1</v>
      </c>
      <c r="U1439">
        <f t="shared" ca="1" si="620"/>
        <v>51800.26683766341</v>
      </c>
      <c r="V1439">
        <f t="shared" ca="1" si="621"/>
        <v>269361.38755584974</v>
      </c>
      <c r="W1439">
        <f t="shared" ca="1" si="622"/>
        <v>2.5998695052916441</v>
      </c>
      <c r="X1439">
        <f t="shared" ca="1" si="623"/>
        <v>1.8933671400629237E-4</v>
      </c>
      <c r="Y1439">
        <f t="shared" ca="1" si="624"/>
        <v>52432.184337663413</v>
      </c>
      <c r="Z1439">
        <f t="shared" ca="1" si="625"/>
        <v>52432.18433766524</v>
      </c>
      <c r="AA1439">
        <f t="shared" ca="1" si="626"/>
        <v>2.2562304480281055E-12</v>
      </c>
      <c r="AB1439">
        <f t="shared" ca="1" si="627"/>
        <v>-5.0000000192085281E-4</v>
      </c>
      <c r="AC1439">
        <f t="shared" ca="1" si="628"/>
        <v>1</v>
      </c>
      <c r="AD1439">
        <f ca="1">IF(V32="Supercritical",L1439,IF(V32="Subcritical",U1439,IF(AND(T1439=1,AC1439=1),IF((((F1439)*(L1439)^2)/2+(G1439)*(L1439)^3/3+(ABS(K1439)^2)/($I$5*MAX(((F1439)+(G1439)*(L1439))*(L1439),0.000001)))&gt;=(((F1439)*(U1439)^2)/2+(G1439)*(U1439)^3/3+(ABS(K1439)^2)/($I$5*MAX(((F1439)+(G1439)*(U1439))*(U1439),0.000001))),L1439,U1439),IF(T1439=1,L1439,IF(AC1439=1,U1439,MAX($D$16,POWER((ABS(K1439)^2)/($I$5*MAX(F1439,0.1)^2),1/3)))))))</f>
        <v>51800.26683766341</v>
      </c>
      <c r="AE1439">
        <f t="shared" ca="1" si="629"/>
        <v>52432.184337663413</v>
      </c>
      <c r="AF1439">
        <f t="shared" ca="1" si="630"/>
        <v>52432.18433766524</v>
      </c>
      <c r="AI1439">
        <v>0</v>
      </c>
      <c r="AJ1439">
        <v>0</v>
      </c>
      <c r="AK1439">
        <f t="shared" si="631"/>
        <v>0</v>
      </c>
      <c r="AL1439">
        <f t="shared" si="640"/>
        <v>0</v>
      </c>
      <c r="AM1439">
        <f t="shared" ca="1" si="632"/>
        <v>2.6560383008097266E-7</v>
      </c>
      <c r="AN1439" t="str">
        <f t="shared" ca="1" si="633"/>
        <v>Subcritical</v>
      </c>
      <c r="AO1439">
        <f t="shared" ca="1" si="634"/>
        <v>2.2562304480281055E-12</v>
      </c>
    </row>
    <row r="1440" spans="1:41" x14ac:dyDescent="0.35">
      <c r="A1440">
        <v>1291</v>
      </c>
      <c r="B1440">
        <v>1289.8889999999999</v>
      </c>
      <c r="C1440">
        <v>616068.91099999996</v>
      </c>
      <c r="D1440">
        <v>3096714.3080000002</v>
      </c>
      <c r="E1440">
        <v>631.91700000000003</v>
      </c>
      <c r="F1440">
        <v>5.2</v>
      </c>
      <c r="G1440">
        <v>0</v>
      </c>
      <c r="H1440" t="s">
        <v>186</v>
      </c>
      <c r="I1440">
        <v>0</v>
      </c>
      <c r="J1440">
        <f t="shared" si="635"/>
        <v>1</v>
      </c>
      <c r="K1440">
        <f t="shared" si="636"/>
        <v>51</v>
      </c>
      <c r="L1440">
        <f t="shared" ca="1" si="637"/>
        <v>51797.843837663619</v>
      </c>
      <c r="M1440">
        <f t="shared" ca="1" si="614"/>
        <v>269348.78795585083</v>
      </c>
      <c r="N1440">
        <f t="shared" ca="1" si="615"/>
        <v>2.5998694991876676</v>
      </c>
      <c r="O1440">
        <f t="shared" ca="1" si="616"/>
        <v>1.8934557080078435E-4</v>
      </c>
      <c r="P1440">
        <f t="shared" ca="1" si="617"/>
        <v>52429.76083766362</v>
      </c>
      <c r="Q1440">
        <f t="shared" ca="1" si="618"/>
        <v>52429.760837665446</v>
      </c>
      <c r="R1440">
        <f t="shared" ca="1" si="619"/>
        <v>2.2564415439646509E-12</v>
      </c>
      <c r="S1440">
        <f t="shared" ca="1" si="638"/>
        <v>5.0000000192085281E-4</v>
      </c>
      <c r="T1440">
        <f t="shared" ca="1" si="639"/>
        <v>1</v>
      </c>
      <c r="U1440">
        <f t="shared" ca="1" si="620"/>
        <v>51800.26683766341</v>
      </c>
      <c r="V1440">
        <f t="shared" ca="1" si="621"/>
        <v>269361.38755584974</v>
      </c>
      <c r="W1440">
        <f t="shared" ca="1" si="622"/>
        <v>2.5998695052916441</v>
      </c>
      <c r="X1440">
        <f t="shared" ca="1" si="623"/>
        <v>1.8933671400629237E-4</v>
      </c>
      <c r="Y1440">
        <f t="shared" ca="1" si="624"/>
        <v>52432.183837663411</v>
      </c>
      <c r="Z1440">
        <f t="shared" ca="1" si="625"/>
        <v>52432.183837665238</v>
      </c>
      <c r="AA1440">
        <f t="shared" ca="1" si="626"/>
        <v>2.2562304480281055E-12</v>
      </c>
      <c r="AB1440">
        <f t="shared" ca="1" si="627"/>
        <v>-5.0000000192085281E-4</v>
      </c>
      <c r="AC1440">
        <f t="shared" ca="1" si="628"/>
        <v>1</v>
      </c>
      <c r="AD1440">
        <f ca="1">IF(V32="Supercritical",L1440,IF(V32="Subcritical",U1440,IF(AND(T1440=1,AC1440=1),IF((((F1440)*(L1440)^2)/2+(G1440)*(L1440)^3/3+(ABS(K1440)^2)/($I$5*MAX(((F1440)+(G1440)*(L1440))*(L1440),0.000001)))&gt;=(((F1440)*(U1440)^2)/2+(G1440)*(U1440)^3/3+(ABS(K1440)^2)/($I$5*MAX(((F1440)+(G1440)*(U1440))*(U1440),0.000001))),L1440,U1440),IF(T1440=1,L1440,IF(AC1440=1,U1440,MAX($D$16,POWER((ABS(K1440)^2)/($I$5*MAX(F1440,0.1)^2),1/3)))))))</f>
        <v>51800.26683766341</v>
      </c>
      <c r="AE1440">
        <f t="shared" ca="1" si="629"/>
        <v>52432.183837663411</v>
      </c>
      <c r="AF1440">
        <f t="shared" ca="1" si="630"/>
        <v>52432.183837665238</v>
      </c>
      <c r="AI1440">
        <v>0</v>
      </c>
      <c r="AJ1440">
        <v>0</v>
      </c>
      <c r="AK1440">
        <f t="shared" si="631"/>
        <v>0</v>
      </c>
      <c r="AL1440">
        <f t="shared" si="640"/>
        <v>0</v>
      </c>
      <c r="AM1440">
        <f t="shared" ca="1" si="632"/>
        <v>2.6560383008097266E-7</v>
      </c>
      <c r="AN1440" t="str">
        <f t="shared" ca="1" si="633"/>
        <v>Subcritical</v>
      </c>
      <c r="AO1440">
        <f t="shared" ca="1" si="634"/>
        <v>2.2562304480281055E-12</v>
      </c>
    </row>
    <row r="1441" spans="1:41" x14ac:dyDescent="0.35">
      <c r="A1441">
        <v>1292</v>
      </c>
      <c r="B1441">
        <v>1290.8889999999999</v>
      </c>
      <c r="C1441">
        <v>616068.86899999995</v>
      </c>
      <c r="D1441">
        <v>3096713.3089999999</v>
      </c>
      <c r="E1441">
        <v>631.91650000000004</v>
      </c>
      <c r="F1441">
        <v>5.2</v>
      </c>
      <c r="G1441">
        <v>0</v>
      </c>
      <c r="H1441" t="s">
        <v>186</v>
      </c>
      <c r="I1441">
        <v>5.7000000000000002E-2</v>
      </c>
      <c r="J1441">
        <f t="shared" si="635"/>
        <v>1</v>
      </c>
      <c r="K1441">
        <f t="shared" si="636"/>
        <v>51</v>
      </c>
      <c r="L1441">
        <f t="shared" ca="1" si="637"/>
        <v>51797.843837663619</v>
      </c>
      <c r="M1441">
        <f t="shared" ca="1" si="614"/>
        <v>269348.78795585083</v>
      </c>
      <c r="N1441">
        <f t="shared" ca="1" si="615"/>
        <v>2.5998694991876676</v>
      </c>
      <c r="O1441">
        <f t="shared" ca="1" si="616"/>
        <v>1.8934557080078435E-4</v>
      </c>
      <c r="P1441">
        <f t="shared" ca="1" si="617"/>
        <v>52429.760337663618</v>
      </c>
      <c r="Q1441">
        <f t="shared" ca="1" si="618"/>
        <v>52429.760337665444</v>
      </c>
      <c r="R1441">
        <f t="shared" ca="1" si="619"/>
        <v>2.2564415439646509E-12</v>
      </c>
      <c r="S1441">
        <f t="shared" ca="1" si="638"/>
        <v>5.0000000192085281E-4</v>
      </c>
      <c r="T1441">
        <f t="shared" ca="1" si="639"/>
        <v>1</v>
      </c>
      <c r="U1441">
        <f t="shared" ca="1" si="620"/>
        <v>51800.26683766341</v>
      </c>
      <c r="V1441">
        <f t="shared" ca="1" si="621"/>
        <v>269361.38755584974</v>
      </c>
      <c r="W1441">
        <f t="shared" ca="1" si="622"/>
        <v>2.5998695052916441</v>
      </c>
      <c r="X1441">
        <f t="shared" ca="1" si="623"/>
        <v>1.8933671400629237E-4</v>
      </c>
      <c r="Y1441">
        <f t="shared" ca="1" si="624"/>
        <v>52432.183337663409</v>
      </c>
      <c r="Z1441">
        <f t="shared" ca="1" si="625"/>
        <v>52432.183337665236</v>
      </c>
      <c r="AA1441">
        <f t="shared" ca="1" si="626"/>
        <v>2.2562304480281055E-12</v>
      </c>
      <c r="AB1441">
        <f t="shared" ca="1" si="627"/>
        <v>-5.0000000192085281E-4</v>
      </c>
      <c r="AC1441">
        <f t="shared" ca="1" si="628"/>
        <v>1</v>
      </c>
      <c r="AD1441">
        <f ca="1">IF(V32="Supercritical",L1441,IF(V32="Subcritical",U1441,IF(AND(T1441=1,AC1441=1),IF((((F1441)*(L1441)^2)/2+(G1441)*(L1441)^3/3+(ABS(K1441)^2)/($I$5*MAX(((F1441)+(G1441)*(L1441))*(L1441),0.000001)))&gt;=(((F1441)*(U1441)^2)/2+(G1441)*(U1441)^3/3+(ABS(K1441)^2)/($I$5*MAX(((F1441)+(G1441)*(U1441))*(U1441),0.000001))),L1441,U1441),IF(T1441=1,L1441,IF(AC1441=1,U1441,MAX($D$16,POWER((ABS(K1441)^2)/($I$5*MAX(F1441,0.1)^2),1/3)))))))</f>
        <v>51800.26683766341</v>
      </c>
      <c r="AE1441">
        <f t="shared" ca="1" si="629"/>
        <v>52432.183337663409</v>
      </c>
      <c r="AF1441">
        <f t="shared" ca="1" si="630"/>
        <v>52432.183337665236</v>
      </c>
      <c r="AI1441">
        <v>0</v>
      </c>
      <c r="AJ1441">
        <v>0</v>
      </c>
      <c r="AK1441">
        <f t="shared" si="631"/>
        <v>0</v>
      </c>
      <c r="AL1441">
        <f t="shared" si="640"/>
        <v>0</v>
      </c>
      <c r="AM1441">
        <f t="shared" ca="1" si="632"/>
        <v>2.6560383008097266E-7</v>
      </c>
      <c r="AN1441" t="str">
        <f t="shared" ca="1" si="633"/>
        <v>Subcritical</v>
      </c>
      <c r="AO1441">
        <f t="shared" ca="1" si="634"/>
        <v>2.2562304480281055E-12</v>
      </c>
    </row>
    <row r="1442" spans="1:41" x14ac:dyDescent="0.35">
      <c r="A1442">
        <v>1293</v>
      </c>
      <c r="B1442">
        <v>1291.8889999999999</v>
      </c>
      <c r="C1442">
        <v>616068.826</v>
      </c>
      <c r="D1442">
        <v>3096712.31</v>
      </c>
      <c r="E1442">
        <v>631.91600000000005</v>
      </c>
      <c r="F1442">
        <v>5.2</v>
      </c>
      <c r="G1442">
        <v>0</v>
      </c>
      <c r="H1442" t="s">
        <v>186</v>
      </c>
      <c r="I1442">
        <v>0.06</v>
      </c>
      <c r="J1442">
        <f t="shared" si="635"/>
        <v>1</v>
      </c>
      <c r="K1442">
        <f t="shared" si="636"/>
        <v>51</v>
      </c>
      <c r="L1442">
        <f t="shared" ca="1" si="637"/>
        <v>51797.843837663619</v>
      </c>
      <c r="M1442">
        <f t="shared" ca="1" si="614"/>
        <v>269348.78795585083</v>
      </c>
      <c r="N1442">
        <f t="shared" ca="1" si="615"/>
        <v>2.5998694991876676</v>
      </c>
      <c r="O1442">
        <f t="shared" ca="1" si="616"/>
        <v>1.8934557080078435E-4</v>
      </c>
      <c r="P1442">
        <f t="shared" ca="1" si="617"/>
        <v>52429.759837663616</v>
      </c>
      <c r="Q1442">
        <f t="shared" ca="1" si="618"/>
        <v>52429.759837665442</v>
      </c>
      <c r="R1442">
        <f t="shared" ca="1" si="619"/>
        <v>2.2564415439646509E-12</v>
      </c>
      <c r="S1442">
        <f t="shared" ca="1" si="638"/>
        <v>5.0000000192085281E-4</v>
      </c>
      <c r="T1442">
        <f t="shared" ca="1" si="639"/>
        <v>1</v>
      </c>
      <c r="U1442">
        <f t="shared" ca="1" si="620"/>
        <v>51800.26683766341</v>
      </c>
      <c r="V1442">
        <f t="shared" ca="1" si="621"/>
        <v>269361.38755584974</v>
      </c>
      <c r="W1442">
        <f t="shared" ca="1" si="622"/>
        <v>2.5998695052916441</v>
      </c>
      <c r="X1442">
        <f t="shared" ca="1" si="623"/>
        <v>1.8933671400629237E-4</v>
      </c>
      <c r="Y1442">
        <f t="shared" ca="1" si="624"/>
        <v>52432.182837663408</v>
      </c>
      <c r="Z1442">
        <f t="shared" ca="1" si="625"/>
        <v>52432.182837665234</v>
      </c>
      <c r="AA1442">
        <f t="shared" ca="1" si="626"/>
        <v>2.2562304480281055E-12</v>
      </c>
      <c r="AB1442">
        <f t="shared" ca="1" si="627"/>
        <v>-4.999999946448952E-4</v>
      </c>
      <c r="AC1442">
        <f t="shared" ca="1" si="628"/>
        <v>1</v>
      </c>
      <c r="AD1442">
        <f ca="1">IF(V32="Supercritical",L1442,IF(V32="Subcritical",U1442,IF(AND(T1442=1,AC1442=1),IF((((F1442)*(L1442)^2)/2+(G1442)*(L1442)^3/3+(ABS(K1442)^2)/($I$5*MAX(((F1442)+(G1442)*(L1442))*(L1442),0.000001)))&gt;=(((F1442)*(U1442)^2)/2+(G1442)*(U1442)^3/3+(ABS(K1442)^2)/($I$5*MAX(((F1442)+(G1442)*(U1442))*(U1442),0.000001))),L1442,U1442),IF(T1442=1,L1442,IF(AC1442=1,U1442,MAX($D$16,POWER((ABS(K1442)^2)/($I$5*MAX(F1442,0.1)^2),1/3)))))))</f>
        <v>51800.26683766341</v>
      </c>
      <c r="AE1442">
        <f t="shared" ca="1" si="629"/>
        <v>52432.182837663408</v>
      </c>
      <c r="AF1442">
        <f t="shared" ca="1" si="630"/>
        <v>52432.182837665234</v>
      </c>
      <c r="AI1442">
        <v>0</v>
      </c>
      <c r="AJ1442">
        <v>0</v>
      </c>
      <c r="AK1442">
        <f t="shared" si="631"/>
        <v>0</v>
      </c>
      <c r="AL1442">
        <f t="shared" si="640"/>
        <v>0</v>
      </c>
      <c r="AM1442">
        <f t="shared" ca="1" si="632"/>
        <v>2.6560383008097266E-7</v>
      </c>
      <c r="AN1442" t="str">
        <f t="shared" ca="1" si="633"/>
        <v>Subcritical</v>
      </c>
      <c r="AO1442">
        <f t="shared" ca="1" si="634"/>
        <v>2.2562304480281055E-12</v>
      </c>
    </row>
    <row r="1443" spans="1:41" x14ac:dyDescent="0.35">
      <c r="A1443">
        <v>1294</v>
      </c>
      <c r="B1443">
        <v>1292.8900000000001</v>
      </c>
      <c r="C1443">
        <v>616068.78399999999</v>
      </c>
      <c r="D1443">
        <v>3096711.31</v>
      </c>
      <c r="E1443">
        <v>631.91549999999995</v>
      </c>
      <c r="F1443">
        <v>5.2</v>
      </c>
      <c r="G1443">
        <v>0</v>
      </c>
      <c r="H1443" t="s">
        <v>186</v>
      </c>
      <c r="I1443">
        <v>2E-3</v>
      </c>
      <c r="J1443">
        <f t="shared" si="635"/>
        <v>1.0010000000002037</v>
      </c>
      <c r="K1443">
        <f t="shared" si="636"/>
        <v>51</v>
      </c>
      <c r="L1443">
        <f t="shared" ca="1" si="637"/>
        <v>51797.843837663619</v>
      </c>
      <c r="M1443">
        <f t="shared" ca="1" si="614"/>
        <v>269348.78795585083</v>
      </c>
      <c r="N1443">
        <f t="shared" ca="1" si="615"/>
        <v>2.5998694991876676</v>
      </c>
      <c r="O1443">
        <f t="shared" ca="1" si="616"/>
        <v>1.8934557080078435E-4</v>
      </c>
      <c r="P1443">
        <f t="shared" ca="1" si="617"/>
        <v>52429.759337663621</v>
      </c>
      <c r="Q1443">
        <f t="shared" ca="1" si="618"/>
        <v>52429.759337665448</v>
      </c>
      <c r="R1443">
        <f t="shared" ca="1" si="619"/>
        <v>2.2564415439646509E-12</v>
      </c>
      <c r="S1443">
        <f t="shared" ca="1" si="638"/>
        <v>4.999999946448952E-4</v>
      </c>
      <c r="T1443">
        <f t="shared" ca="1" si="639"/>
        <v>1</v>
      </c>
      <c r="U1443">
        <f t="shared" ca="1" si="620"/>
        <v>51800.26683766341</v>
      </c>
      <c r="V1443">
        <f t="shared" ca="1" si="621"/>
        <v>269361.38755584974</v>
      </c>
      <c r="W1443">
        <f t="shared" ca="1" si="622"/>
        <v>2.5998695052916441</v>
      </c>
      <c r="X1443">
        <f t="shared" ca="1" si="623"/>
        <v>1.8933671400629237E-4</v>
      </c>
      <c r="Y1443">
        <f t="shared" ca="1" si="624"/>
        <v>52432.182337663413</v>
      </c>
      <c r="Z1443">
        <f t="shared" ca="1" si="625"/>
        <v>52432.182337665239</v>
      </c>
      <c r="AA1443">
        <f t="shared" ca="1" si="626"/>
        <v>2.2562304480281055E-12</v>
      </c>
      <c r="AB1443">
        <f t="shared" ca="1" si="627"/>
        <v>-5.0000000192085281E-4</v>
      </c>
      <c r="AC1443">
        <f t="shared" ca="1" si="628"/>
        <v>1</v>
      </c>
      <c r="AD1443">
        <f ca="1">IF(V32="Supercritical",L1443,IF(V32="Subcritical",U1443,IF(AND(T1443=1,AC1443=1),IF((((F1443)*(L1443)^2)/2+(G1443)*(L1443)^3/3+(ABS(K1443)^2)/($I$5*MAX(((F1443)+(G1443)*(L1443))*(L1443),0.000001)))&gt;=(((F1443)*(U1443)^2)/2+(G1443)*(U1443)^3/3+(ABS(K1443)^2)/($I$5*MAX(((F1443)+(G1443)*(U1443))*(U1443),0.000001))),L1443,U1443),IF(T1443=1,L1443,IF(AC1443=1,U1443,MAX($D$16,POWER((ABS(K1443)^2)/($I$5*MAX(F1443,0.1)^2),1/3)))))))</f>
        <v>51800.26683766341</v>
      </c>
      <c r="AE1443">
        <f t="shared" ca="1" si="629"/>
        <v>52432.182337663413</v>
      </c>
      <c r="AF1443">
        <f t="shared" ca="1" si="630"/>
        <v>52432.182337665239</v>
      </c>
      <c r="AI1443">
        <v>0</v>
      </c>
      <c r="AJ1443">
        <v>0</v>
      </c>
      <c r="AK1443">
        <f t="shared" si="631"/>
        <v>0</v>
      </c>
      <c r="AL1443">
        <f t="shared" si="640"/>
        <v>0</v>
      </c>
      <c r="AM1443">
        <f t="shared" ca="1" si="632"/>
        <v>2.6560383008097266E-7</v>
      </c>
      <c r="AN1443" t="str">
        <f t="shared" ca="1" si="633"/>
        <v>Subcritical</v>
      </c>
      <c r="AO1443">
        <f t="shared" ca="1" si="634"/>
        <v>2.2562304480281055E-12</v>
      </c>
    </row>
    <row r="1444" spans="1:41" x14ac:dyDescent="0.35">
      <c r="A1444">
        <v>1295</v>
      </c>
      <c r="B1444">
        <v>1293.8900000000001</v>
      </c>
      <c r="C1444">
        <v>616068.74199999997</v>
      </c>
      <c r="D1444">
        <v>3096710.3110000002</v>
      </c>
      <c r="E1444">
        <v>631.91499999999996</v>
      </c>
      <c r="F1444">
        <v>5.2</v>
      </c>
      <c r="G1444">
        <v>0</v>
      </c>
      <c r="H1444" t="s">
        <v>186</v>
      </c>
      <c r="I1444">
        <v>0</v>
      </c>
      <c r="J1444">
        <f t="shared" si="635"/>
        <v>1</v>
      </c>
      <c r="K1444">
        <f t="shared" si="636"/>
        <v>51</v>
      </c>
      <c r="L1444">
        <f t="shared" ca="1" si="637"/>
        <v>51797.843837663619</v>
      </c>
      <c r="M1444">
        <f t="shared" ca="1" si="614"/>
        <v>269348.78795585083</v>
      </c>
      <c r="N1444">
        <f t="shared" ca="1" si="615"/>
        <v>2.5998694991876676</v>
      </c>
      <c r="O1444">
        <f t="shared" ca="1" si="616"/>
        <v>1.8934557080078435E-4</v>
      </c>
      <c r="P1444">
        <f t="shared" ca="1" si="617"/>
        <v>52429.758837663619</v>
      </c>
      <c r="Q1444">
        <f t="shared" ca="1" si="618"/>
        <v>52429.758837665446</v>
      </c>
      <c r="R1444">
        <f t="shared" ca="1" si="619"/>
        <v>2.2564415439646509E-12</v>
      </c>
      <c r="S1444">
        <f t="shared" ca="1" si="638"/>
        <v>5.0000000192085281E-4</v>
      </c>
      <c r="T1444">
        <f t="shared" ca="1" si="639"/>
        <v>1</v>
      </c>
      <c r="U1444">
        <f t="shared" ca="1" si="620"/>
        <v>51800.26683766341</v>
      </c>
      <c r="V1444">
        <f t="shared" ca="1" si="621"/>
        <v>269361.38755584974</v>
      </c>
      <c r="W1444">
        <f t="shared" ca="1" si="622"/>
        <v>2.5998695052916441</v>
      </c>
      <c r="X1444">
        <f t="shared" ca="1" si="623"/>
        <v>1.8933671400629237E-4</v>
      </c>
      <c r="Y1444">
        <f t="shared" ca="1" si="624"/>
        <v>52432.181837663411</v>
      </c>
      <c r="Z1444">
        <f t="shared" ca="1" si="625"/>
        <v>52432.181837665237</v>
      </c>
      <c r="AA1444">
        <f t="shared" ca="1" si="626"/>
        <v>2.2562304480281055E-12</v>
      </c>
      <c r="AB1444">
        <f t="shared" ca="1" si="627"/>
        <v>-5.0000000192085281E-4</v>
      </c>
      <c r="AC1444">
        <f t="shared" ca="1" si="628"/>
        <v>1</v>
      </c>
      <c r="AD1444">
        <f ca="1">IF(V32="Supercritical",L1444,IF(V32="Subcritical",U1444,IF(AND(T1444=1,AC1444=1),IF((((F1444)*(L1444)^2)/2+(G1444)*(L1444)^3/3+(ABS(K1444)^2)/($I$5*MAX(((F1444)+(G1444)*(L1444))*(L1444),0.000001)))&gt;=(((F1444)*(U1444)^2)/2+(G1444)*(U1444)^3/3+(ABS(K1444)^2)/($I$5*MAX(((F1444)+(G1444)*(U1444))*(U1444),0.000001))),L1444,U1444),IF(T1444=1,L1444,IF(AC1444=1,U1444,MAX($D$16,POWER((ABS(K1444)^2)/($I$5*MAX(F1444,0.1)^2),1/3)))))))</f>
        <v>51800.26683766341</v>
      </c>
      <c r="AE1444">
        <f t="shared" ca="1" si="629"/>
        <v>52432.181837663411</v>
      </c>
      <c r="AF1444">
        <f t="shared" ca="1" si="630"/>
        <v>52432.181837665237</v>
      </c>
      <c r="AI1444">
        <v>0</v>
      </c>
      <c r="AJ1444">
        <v>0</v>
      </c>
      <c r="AK1444">
        <f t="shared" si="631"/>
        <v>0</v>
      </c>
      <c r="AL1444">
        <f t="shared" si="640"/>
        <v>0</v>
      </c>
      <c r="AM1444">
        <f t="shared" ca="1" si="632"/>
        <v>2.6560383008097266E-7</v>
      </c>
      <c r="AN1444" t="str">
        <f t="shared" ca="1" si="633"/>
        <v>Subcritical</v>
      </c>
      <c r="AO1444">
        <f t="shared" ca="1" si="634"/>
        <v>2.2562304480281055E-12</v>
      </c>
    </row>
    <row r="1445" spans="1:41" x14ac:dyDescent="0.35">
      <c r="A1445">
        <v>1296</v>
      </c>
      <c r="B1445">
        <v>1294.8900000000001</v>
      </c>
      <c r="C1445">
        <v>616068.69999999995</v>
      </c>
      <c r="D1445">
        <v>3096709.3119999999</v>
      </c>
      <c r="E1445">
        <v>631.91449999999998</v>
      </c>
      <c r="F1445">
        <v>5.2</v>
      </c>
      <c r="G1445">
        <v>0</v>
      </c>
      <c r="H1445" t="s">
        <v>186</v>
      </c>
      <c r="I1445">
        <v>5.7000000000000002E-2</v>
      </c>
      <c r="J1445">
        <f t="shared" si="635"/>
        <v>1</v>
      </c>
      <c r="K1445">
        <f t="shared" si="636"/>
        <v>51</v>
      </c>
      <c r="L1445">
        <f t="shared" ca="1" si="637"/>
        <v>51797.843837663619</v>
      </c>
      <c r="M1445">
        <f t="shared" ca="1" si="614"/>
        <v>269348.78795585083</v>
      </c>
      <c r="N1445">
        <f t="shared" ca="1" si="615"/>
        <v>2.5998694991876676</v>
      </c>
      <c r="O1445">
        <f t="shared" ca="1" si="616"/>
        <v>1.8934557080078435E-4</v>
      </c>
      <c r="P1445">
        <f t="shared" ca="1" si="617"/>
        <v>52429.758337663618</v>
      </c>
      <c r="Q1445">
        <f t="shared" ca="1" si="618"/>
        <v>52429.758337665444</v>
      </c>
      <c r="R1445">
        <f t="shared" ca="1" si="619"/>
        <v>2.2564415439646509E-12</v>
      </c>
      <c r="S1445">
        <f t="shared" ca="1" si="638"/>
        <v>5.0000000192085281E-4</v>
      </c>
      <c r="T1445">
        <f t="shared" ca="1" si="639"/>
        <v>1</v>
      </c>
      <c r="U1445">
        <f t="shared" ca="1" si="620"/>
        <v>51800.26683766341</v>
      </c>
      <c r="V1445">
        <f t="shared" ca="1" si="621"/>
        <v>269361.38755584974</v>
      </c>
      <c r="W1445">
        <f t="shared" ca="1" si="622"/>
        <v>2.5998695052916441</v>
      </c>
      <c r="X1445">
        <f t="shared" ca="1" si="623"/>
        <v>1.8933671400629237E-4</v>
      </c>
      <c r="Y1445">
        <f t="shared" ca="1" si="624"/>
        <v>52432.181337663409</v>
      </c>
      <c r="Z1445">
        <f t="shared" ca="1" si="625"/>
        <v>52432.181337665235</v>
      </c>
      <c r="AA1445">
        <f t="shared" ca="1" si="626"/>
        <v>2.2562304480281055E-12</v>
      </c>
      <c r="AB1445">
        <f t="shared" ca="1" si="627"/>
        <v>-5.0000000192085281E-4</v>
      </c>
      <c r="AC1445">
        <f t="shared" ca="1" si="628"/>
        <v>1</v>
      </c>
      <c r="AD1445">
        <f ca="1">IF(V32="Supercritical",L1445,IF(V32="Subcritical",U1445,IF(AND(T1445=1,AC1445=1),IF((((F1445)*(L1445)^2)/2+(G1445)*(L1445)^3/3+(ABS(K1445)^2)/($I$5*MAX(((F1445)+(G1445)*(L1445))*(L1445),0.000001)))&gt;=(((F1445)*(U1445)^2)/2+(G1445)*(U1445)^3/3+(ABS(K1445)^2)/($I$5*MAX(((F1445)+(G1445)*(U1445))*(U1445),0.000001))),L1445,U1445),IF(T1445=1,L1445,IF(AC1445=1,U1445,MAX($D$16,POWER((ABS(K1445)^2)/($I$5*MAX(F1445,0.1)^2),1/3)))))))</f>
        <v>51800.26683766341</v>
      </c>
      <c r="AE1445">
        <f t="shared" ca="1" si="629"/>
        <v>52432.181337663409</v>
      </c>
      <c r="AF1445">
        <f t="shared" ca="1" si="630"/>
        <v>52432.181337665235</v>
      </c>
      <c r="AI1445">
        <v>0</v>
      </c>
      <c r="AJ1445">
        <v>0</v>
      </c>
      <c r="AK1445">
        <f t="shared" si="631"/>
        <v>0</v>
      </c>
      <c r="AL1445">
        <f t="shared" si="640"/>
        <v>0</v>
      </c>
      <c r="AM1445">
        <f t="shared" ca="1" si="632"/>
        <v>2.6560383008097266E-7</v>
      </c>
      <c r="AN1445" t="str">
        <f t="shared" ca="1" si="633"/>
        <v>Subcritical</v>
      </c>
      <c r="AO1445">
        <f t="shared" ca="1" si="634"/>
        <v>2.2562304480281055E-12</v>
      </c>
    </row>
    <row r="1446" spans="1:41" x14ac:dyDescent="0.35">
      <c r="A1446">
        <v>1297</v>
      </c>
      <c r="B1446">
        <v>1295.8889999999999</v>
      </c>
      <c r="C1446">
        <v>616068.65700000001</v>
      </c>
      <c r="D1446">
        <v>3096708.3130000001</v>
      </c>
      <c r="E1446">
        <v>631.91399999999999</v>
      </c>
      <c r="F1446">
        <v>5.2</v>
      </c>
      <c r="G1446">
        <v>0</v>
      </c>
      <c r="H1446" t="s">
        <v>186</v>
      </c>
      <c r="I1446">
        <v>5.7000000000000002E-2</v>
      </c>
      <c r="J1446">
        <f t="shared" si="635"/>
        <v>0.99899999999979627</v>
      </c>
      <c r="K1446">
        <f t="shared" si="636"/>
        <v>51</v>
      </c>
      <c r="L1446">
        <f t="shared" ca="1" si="637"/>
        <v>51797.843837663619</v>
      </c>
      <c r="M1446">
        <f t="shared" ca="1" si="614"/>
        <v>269348.78795585083</v>
      </c>
      <c r="N1446">
        <f t="shared" ca="1" si="615"/>
        <v>2.5998694991876676</v>
      </c>
      <c r="O1446">
        <f t="shared" ca="1" si="616"/>
        <v>1.8934557080078435E-4</v>
      </c>
      <c r="P1446">
        <f t="shared" ca="1" si="617"/>
        <v>52429.757837663616</v>
      </c>
      <c r="Q1446">
        <f t="shared" ca="1" si="618"/>
        <v>52429.757837665442</v>
      </c>
      <c r="R1446">
        <f t="shared" ca="1" si="619"/>
        <v>2.2564415439646509E-12</v>
      </c>
      <c r="S1446">
        <f t="shared" ca="1" si="638"/>
        <v>5.0000000192085281E-4</v>
      </c>
      <c r="T1446">
        <f t="shared" ca="1" si="639"/>
        <v>1</v>
      </c>
      <c r="U1446">
        <f t="shared" ca="1" si="620"/>
        <v>51800.26683766341</v>
      </c>
      <c r="V1446">
        <f t="shared" ca="1" si="621"/>
        <v>269361.38755584974</v>
      </c>
      <c r="W1446">
        <f t="shared" ca="1" si="622"/>
        <v>2.5998695052916441</v>
      </c>
      <c r="X1446">
        <f t="shared" ca="1" si="623"/>
        <v>1.8933671400629237E-4</v>
      </c>
      <c r="Y1446">
        <f t="shared" ca="1" si="624"/>
        <v>52432.180837663407</v>
      </c>
      <c r="Z1446">
        <f t="shared" ca="1" si="625"/>
        <v>52432.180837665233</v>
      </c>
      <c r="AA1446">
        <f t="shared" ca="1" si="626"/>
        <v>2.2562304480281055E-12</v>
      </c>
      <c r="AB1446">
        <f t="shared" ca="1" si="627"/>
        <v>-4.999999946448952E-4</v>
      </c>
      <c r="AC1446">
        <f t="shared" ca="1" si="628"/>
        <v>1</v>
      </c>
      <c r="AD1446">
        <f ca="1">IF(V32="Supercritical",L1446,IF(V32="Subcritical",U1446,IF(AND(T1446=1,AC1446=1),IF((((F1446)*(L1446)^2)/2+(G1446)*(L1446)^3/3+(ABS(K1446)^2)/($I$5*MAX(((F1446)+(G1446)*(L1446))*(L1446),0.000001)))&gt;=(((F1446)*(U1446)^2)/2+(G1446)*(U1446)^3/3+(ABS(K1446)^2)/($I$5*MAX(((F1446)+(G1446)*(U1446))*(U1446),0.000001))),L1446,U1446),IF(T1446=1,L1446,IF(AC1446=1,U1446,MAX($D$16,POWER((ABS(K1446)^2)/($I$5*MAX(F1446,0.1)^2),1/3)))))))</f>
        <v>51800.26683766341</v>
      </c>
      <c r="AE1446">
        <f t="shared" ca="1" si="629"/>
        <v>52432.180837663407</v>
      </c>
      <c r="AF1446">
        <f t="shared" ca="1" si="630"/>
        <v>52432.180837665233</v>
      </c>
      <c r="AI1446">
        <v>0</v>
      </c>
      <c r="AJ1446">
        <v>0</v>
      </c>
      <c r="AK1446">
        <f t="shared" si="631"/>
        <v>0</v>
      </c>
      <c r="AL1446">
        <f t="shared" si="640"/>
        <v>0</v>
      </c>
      <c r="AM1446">
        <f t="shared" ca="1" si="632"/>
        <v>2.6560383008097266E-7</v>
      </c>
      <c r="AN1446" t="str">
        <f t="shared" ca="1" si="633"/>
        <v>Subcritical</v>
      </c>
      <c r="AO1446">
        <f t="shared" ca="1" si="634"/>
        <v>2.2562304480281055E-12</v>
      </c>
    </row>
    <row r="1447" spans="1:41" x14ac:dyDescent="0.35">
      <c r="A1447">
        <v>1298</v>
      </c>
      <c r="B1447">
        <v>1296.8889999999999</v>
      </c>
      <c r="C1447">
        <v>616068.61499999999</v>
      </c>
      <c r="D1447">
        <v>3096707.3139999998</v>
      </c>
      <c r="E1447">
        <v>631.9135</v>
      </c>
      <c r="F1447">
        <v>5.2</v>
      </c>
      <c r="G1447">
        <v>0</v>
      </c>
      <c r="H1447" t="s">
        <v>186</v>
      </c>
      <c r="I1447">
        <v>0</v>
      </c>
      <c r="J1447">
        <f t="shared" si="635"/>
        <v>1</v>
      </c>
      <c r="K1447">
        <f t="shared" si="636"/>
        <v>51</v>
      </c>
      <c r="L1447">
        <f t="shared" ca="1" si="637"/>
        <v>51797.843837663619</v>
      </c>
      <c r="M1447">
        <f t="shared" ca="1" si="614"/>
        <v>269348.78795585083</v>
      </c>
      <c r="N1447">
        <f t="shared" ca="1" si="615"/>
        <v>2.5998694991876676</v>
      </c>
      <c r="O1447">
        <f t="shared" ca="1" si="616"/>
        <v>1.8934557080078435E-4</v>
      </c>
      <c r="P1447">
        <f t="shared" ca="1" si="617"/>
        <v>52429.757337663621</v>
      </c>
      <c r="Q1447">
        <f t="shared" ca="1" si="618"/>
        <v>52429.757337665447</v>
      </c>
      <c r="R1447">
        <f t="shared" ca="1" si="619"/>
        <v>2.2564415439646509E-12</v>
      </c>
      <c r="S1447">
        <f t="shared" ca="1" si="638"/>
        <v>4.999999946448952E-4</v>
      </c>
      <c r="T1447">
        <f t="shared" ca="1" si="639"/>
        <v>1</v>
      </c>
      <c r="U1447">
        <f t="shared" ca="1" si="620"/>
        <v>51800.26683766341</v>
      </c>
      <c r="V1447">
        <f t="shared" ca="1" si="621"/>
        <v>269361.38755584974</v>
      </c>
      <c r="W1447">
        <f t="shared" ca="1" si="622"/>
        <v>2.5998695052916441</v>
      </c>
      <c r="X1447">
        <f t="shared" ca="1" si="623"/>
        <v>1.8933671400629237E-4</v>
      </c>
      <c r="Y1447">
        <f t="shared" ca="1" si="624"/>
        <v>52432.180337663413</v>
      </c>
      <c r="Z1447">
        <f t="shared" ca="1" si="625"/>
        <v>52432.180337665239</v>
      </c>
      <c r="AA1447">
        <f t="shared" ca="1" si="626"/>
        <v>2.2562304480281055E-12</v>
      </c>
      <c r="AB1447">
        <f t="shared" ca="1" si="627"/>
        <v>-5.0000000192085281E-4</v>
      </c>
      <c r="AC1447">
        <f t="shared" ca="1" si="628"/>
        <v>1</v>
      </c>
      <c r="AD1447">
        <f ca="1">IF(V32="Supercritical",L1447,IF(V32="Subcritical",U1447,IF(AND(T1447=1,AC1447=1),IF((((F1447)*(L1447)^2)/2+(G1447)*(L1447)^3/3+(ABS(K1447)^2)/($I$5*MAX(((F1447)+(G1447)*(L1447))*(L1447),0.000001)))&gt;=(((F1447)*(U1447)^2)/2+(G1447)*(U1447)^3/3+(ABS(K1447)^2)/($I$5*MAX(((F1447)+(G1447)*(U1447))*(U1447),0.000001))),L1447,U1447),IF(T1447=1,L1447,IF(AC1447=1,U1447,MAX($D$16,POWER((ABS(K1447)^2)/($I$5*MAX(F1447,0.1)^2),1/3)))))))</f>
        <v>51800.26683766341</v>
      </c>
      <c r="AE1447">
        <f t="shared" ca="1" si="629"/>
        <v>52432.180337663413</v>
      </c>
      <c r="AF1447">
        <f t="shared" ca="1" si="630"/>
        <v>52432.180337665239</v>
      </c>
      <c r="AI1447">
        <v>0</v>
      </c>
      <c r="AJ1447">
        <v>0</v>
      </c>
      <c r="AK1447">
        <f t="shared" si="631"/>
        <v>0</v>
      </c>
      <c r="AL1447">
        <f t="shared" si="640"/>
        <v>0</v>
      </c>
      <c r="AM1447">
        <f t="shared" ca="1" si="632"/>
        <v>2.6560383008097266E-7</v>
      </c>
      <c r="AN1447" t="str">
        <f t="shared" ca="1" si="633"/>
        <v>Subcritical</v>
      </c>
      <c r="AO1447">
        <f t="shared" ca="1" si="634"/>
        <v>2.2562304480281055E-12</v>
      </c>
    </row>
    <row r="1448" spans="1:41" x14ac:dyDescent="0.35">
      <c r="A1448">
        <v>1299</v>
      </c>
      <c r="B1448">
        <v>1297.8889999999999</v>
      </c>
      <c r="C1448">
        <v>616068.57299999997</v>
      </c>
      <c r="D1448">
        <v>3096706.3149999999</v>
      </c>
      <c r="E1448">
        <v>631.91300000000001</v>
      </c>
      <c r="F1448">
        <v>5.2</v>
      </c>
      <c r="G1448">
        <v>0</v>
      </c>
      <c r="H1448" t="s">
        <v>186</v>
      </c>
      <c r="I1448">
        <v>0</v>
      </c>
      <c r="J1448">
        <f t="shared" si="635"/>
        <v>1</v>
      </c>
      <c r="K1448">
        <f t="shared" si="636"/>
        <v>51</v>
      </c>
      <c r="L1448">
        <f t="shared" ca="1" si="637"/>
        <v>51797.843837663619</v>
      </c>
      <c r="M1448">
        <f t="shared" ca="1" si="614"/>
        <v>269348.78795585083</v>
      </c>
      <c r="N1448">
        <f t="shared" ca="1" si="615"/>
        <v>2.5998694991876676</v>
      </c>
      <c r="O1448">
        <f t="shared" ca="1" si="616"/>
        <v>1.8934557080078435E-4</v>
      </c>
      <c r="P1448">
        <f t="shared" ca="1" si="617"/>
        <v>52429.756837663619</v>
      </c>
      <c r="Q1448">
        <f t="shared" ca="1" si="618"/>
        <v>52429.756837665445</v>
      </c>
      <c r="R1448">
        <f t="shared" ca="1" si="619"/>
        <v>2.2564415439646509E-12</v>
      </c>
      <c r="S1448">
        <f t="shared" ca="1" si="638"/>
        <v>5.0000000192085281E-4</v>
      </c>
      <c r="T1448">
        <f t="shared" ca="1" si="639"/>
        <v>1</v>
      </c>
      <c r="U1448">
        <f t="shared" ca="1" si="620"/>
        <v>51800.26683766341</v>
      </c>
      <c r="V1448">
        <f t="shared" ca="1" si="621"/>
        <v>269361.38755584974</v>
      </c>
      <c r="W1448">
        <f t="shared" ca="1" si="622"/>
        <v>2.5998695052916441</v>
      </c>
      <c r="X1448">
        <f t="shared" ca="1" si="623"/>
        <v>1.8933671400629237E-4</v>
      </c>
      <c r="Y1448">
        <f t="shared" ca="1" si="624"/>
        <v>52432.179837663411</v>
      </c>
      <c r="Z1448">
        <f t="shared" ca="1" si="625"/>
        <v>52432.179837665237</v>
      </c>
      <c r="AA1448">
        <f t="shared" ca="1" si="626"/>
        <v>2.2562304480281055E-12</v>
      </c>
      <c r="AB1448">
        <f t="shared" ca="1" si="627"/>
        <v>-5.0000000192085281E-4</v>
      </c>
      <c r="AC1448">
        <f t="shared" ca="1" si="628"/>
        <v>1</v>
      </c>
      <c r="AD1448">
        <f ca="1">IF(V32="Supercritical",L1448,IF(V32="Subcritical",U1448,IF(AND(T1448=1,AC1448=1),IF((((F1448)*(L1448)^2)/2+(G1448)*(L1448)^3/3+(ABS(K1448)^2)/($I$5*MAX(((F1448)+(G1448)*(L1448))*(L1448),0.000001)))&gt;=(((F1448)*(U1448)^2)/2+(G1448)*(U1448)^3/3+(ABS(K1448)^2)/($I$5*MAX(((F1448)+(G1448)*(U1448))*(U1448),0.000001))),L1448,U1448),IF(T1448=1,L1448,IF(AC1448=1,U1448,MAX($D$16,POWER((ABS(K1448)^2)/($I$5*MAX(F1448,0.1)^2),1/3)))))))</f>
        <v>51800.26683766341</v>
      </c>
      <c r="AE1448">
        <f t="shared" ca="1" si="629"/>
        <v>52432.179837663411</v>
      </c>
      <c r="AF1448">
        <f t="shared" ca="1" si="630"/>
        <v>52432.179837665237</v>
      </c>
      <c r="AI1448">
        <v>0</v>
      </c>
      <c r="AJ1448">
        <v>0</v>
      </c>
      <c r="AK1448">
        <f t="shared" si="631"/>
        <v>0</v>
      </c>
      <c r="AL1448">
        <f t="shared" si="640"/>
        <v>0</v>
      </c>
      <c r="AM1448">
        <f t="shared" ca="1" si="632"/>
        <v>2.6560383008097266E-7</v>
      </c>
      <c r="AN1448" t="str">
        <f t="shared" ca="1" si="633"/>
        <v>Subcritical</v>
      </c>
      <c r="AO1448">
        <f t="shared" ca="1" si="634"/>
        <v>2.2562304480281055E-12</v>
      </c>
    </row>
    <row r="1449" spans="1:41" x14ac:dyDescent="0.35">
      <c r="A1449">
        <v>1300</v>
      </c>
      <c r="B1449">
        <v>1298.8889999999999</v>
      </c>
      <c r="C1449">
        <v>616068.53099999996</v>
      </c>
      <c r="D1449">
        <v>3096705.3160000001</v>
      </c>
      <c r="E1449">
        <v>631.91250000000002</v>
      </c>
      <c r="F1449">
        <v>5.2</v>
      </c>
      <c r="G1449">
        <v>0</v>
      </c>
      <c r="H1449" t="s">
        <v>186</v>
      </c>
      <c r="I1449">
        <v>5.7000000000000002E-2</v>
      </c>
      <c r="J1449">
        <f t="shared" si="635"/>
        <v>1</v>
      </c>
      <c r="K1449">
        <f t="shared" si="636"/>
        <v>51</v>
      </c>
      <c r="L1449">
        <f t="shared" ca="1" si="637"/>
        <v>51797.843837663619</v>
      </c>
      <c r="M1449">
        <f t="shared" ca="1" si="614"/>
        <v>269348.78795585083</v>
      </c>
      <c r="N1449">
        <f t="shared" ca="1" si="615"/>
        <v>2.5998694991876676</v>
      </c>
      <c r="O1449">
        <f t="shared" ca="1" si="616"/>
        <v>1.8934557080078435E-4</v>
      </c>
      <c r="P1449">
        <f t="shared" ca="1" si="617"/>
        <v>52429.756337663617</v>
      </c>
      <c r="Q1449">
        <f t="shared" ca="1" si="618"/>
        <v>52429.756337665443</v>
      </c>
      <c r="R1449">
        <f t="shared" ca="1" si="619"/>
        <v>2.2564415439646509E-12</v>
      </c>
      <c r="S1449">
        <f t="shared" ca="1" si="638"/>
        <v>5.0000000192085281E-4</v>
      </c>
      <c r="T1449">
        <f t="shared" ca="1" si="639"/>
        <v>1</v>
      </c>
      <c r="U1449">
        <f t="shared" ca="1" si="620"/>
        <v>51800.26683766341</v>
      </c>
      <c r="V1449">
        <f t="shared" ca="1" si="621"/>
        <v>269361.38755584974</v>
      </c>
      <c r="W1449">
        <f t="shared" ca="1" si="622"/>
        <v>2.5998695052916441</v>
      </c>
      <c r="X1449">
        <f t="shared" ca="1" si="623"/>
        <v>1.8933671400629237E-4</v>
      </c>
      <c r="Y1449">
        <f t="shared" ca="1" si="624"/>
        <v>52432.179337663409</v>
      </c>
      <c r="Z1449">
        <f t="shared" ca="1" si="625"/>
        <v>52432.179337665235</v>
      </c>
      <c r="AA1449">
        <f t="shared" ca="1" si="626"/>
        <v>2.2562304480281055E-12</v>
      </c>
      <c r="AB1449">
        <f t="shared" ca="1" si="627"/>
        <v>-5.0000000192085281E-4</v>
      </c>
      <c r="AC1449">
        <f t="shared" ca="1" si="628"/>
        <v>1</v>
      </c>
      <c r="AD1449">
        <f ca="1">IF(V32="Supercritical",L1449,IF(V32="Subcritical",U1449,IF(AND(T1449=1,AC1449=1),IF((((F1449)*(L1449)^2)/2+(G1449)*(L1449)^3/3+(ABS(K1449)^2)/($I$5*MAX(((F1449)+(G1449)*(L1449))*(L1449),0.000001)))&gt;=(((F1449)*(U1449)^2)/2+(G1449)*(U1449)^3/3+(ABS(K1449)^2)/($I$5*MAX(((F1449)+(G1449)*(U1449))*(U1449),0.000001))),L1449,U1449),IF(T1449=1,L1449,IF(AC1449=1,U1449,MAX($D$16,POWER((ABS(K1449)^2)/($I$5*MAX(F1449,0.1)^2),1/3)))))))</f>
        <v>51800.26683766341</v>
      </c>
      <c r="AE1449">
        <f t="shared" ca="1" si="629"/>
        <v>52432.179337663409</v>
      </c>
      <c r="AF1449">
        <f t="shared" ca="1" si="630"/>
        <v>52432.179337665235</v>
      </c>
      <c r="AI1449">
        <v>0</v>
      </c>
      <c r="AJ1449">
        <v>0</v>
      </c>
      <c r="AK1449">
        <f t="shared" si="631"/>
        <v>0</v>
      </c>
      <c r="AL1449">
        <f t="shared" si="640"/>
        <v>0</v>
      </c>
      <c r="AM1449">
        <f t="shared" ca="1" si="632"/>
        <v>2.6560383008097266E-7</v>
      </c>
      <c r="AN1449" t="str">
        <f t="shared" ca="1" si="633"/>
        <v>Subcritical</v>
      </c>
      <c r="AO1449">
        <f t="shared" ca="1" si="634"/>
        <v>2.2562304480281055E-12</v>
      </c>
    </row>
    <row r="1450" spans="1:41" x14ac:dyDescent="0.35">
      <c r="A1450">
        <v>1301</v>
      </c>
      <c r="B1450">
        <v>1299.8889999999999</v>
      </c>
      <c r="C1450">
        <v>616068.48800000001</v>
      </c>
      <c r="D1450">
        <v>3096704.3169999998</v>
      </c>
      <c r="E1450">
        <v>631.91200000000003</v>
      </c>
      <c r="F1450">
        <v>5.2</v>
      </c>
      <c r="G1450">
        <v>0</v>
      </c>
      <c r="H1450" t="s">
        <v>186</v>
      </c>
      <c r="I1450">
        <v>5.7000000000000002E-2</v>
      </c>
      <c r="J1450">
        <f t="shared" si="635"/>
        <v>1</v>
      </c>
      <c r="K1450">
        <f t="shared" si="636"/>
        <v>51</v>
      </c>
      <c r="L1450">
        <f t="shared" ca="1" si="637"/>
        <v>51797.843837663619</v>
      </c>
      <c r="M1450">
        <f t="shared" ca="1" si="614"/>
        <v>269348.78795585083</v>
      </c>
      <c r="N1450">
        <f t="shared" ca="1" si="615"/>
        <v>2.5998694991876676</v>
      </c>
      <c r="O1450">
        <f t="shared" ca="1" si="616"/>
        <v>1.8934557080078435E-4</v>
      </c>
      <c r="P1450">
        <f t="shared" ca="1" si="617"/>
        <v>52429.755837663615</v>
      </c>
      <c r="Q1450">
        <f t="shared" ca="1" si="618"/>
        <v>52429.755837665442</v>
      </c>
      <c r="R1450">
        <f t="shared" ca="1" si="619"/>
        <v>2.2564415439646509E-12</v>
      </c>
      <c r="S1450">
        <f t="shared" ca="1" si="638"/>
        <v>5.0000000192085281E-4</v>
      </c>
      <c r="T1450">
        <f t="shared" ca="1" si="639"/>
        <v>1</v>
      </c>
      <c r="U1450">
        <f t="shared" ca="1" si="620"/>
        <v>51800.26683766341</v>
      </c>
      <c r="V1450">
        <f t="shared" ca="1" si="621"/>
        <v>269361.38755584974</v>
      </c>
      <c r="W1450">
        <f t="shared" ca="1" si="622"/>
        <v>2.5998695052916441</v>
      </c>
      <c r="X1450">
        <f t="shared" ca="1" si="623"/>
        <v>1.8933671400629237E-4</v>
      </c>
      <c r="Y1450">
        <f t="shared" ca="1" si="624"/>
        <v>52432.178837663407</v>
      </c>
      <c r="Z1450">
        <f t="shared" ca="1" si="625"/>
        <v>52432.178837665233</v>
      </c>
      <c r="AA1450">
        <f t="shared" ca="1" si="626"/>
        <v>2.2562304480281055E-12</v>
      </c>
      <c r="AB1450">
        <f t="shared" ca="1" si="627"/>
        <v>-4.999999946448952E-4</v>
      </c>
      <c r="AC1450">
        <f t="shared" ca="1" si="628"/>
        <v>1</v>
      </c>
      <c r="AD1450">
        <f ca="1">IF(V32="Supercritical",L1450,IF(V32="Subcritical",U1450,IF(AND(T1450=1,AC1450=1),IF((((F1450)*(L1450)^2)/2+(G1450)*(L1450)^3/3+(ABS(K1450)^2)/($I$5*MAX(((F1450)+(G1450)*(L1450))*(L1450),0.000001)))&gt;=(((F1450)*(U1450)^2)/2+(G1450)*(U1450)^3/3+(ABS(K1450)^2)/($I$5*MAX(((F1450)+(G1450)*(U1450))*(U1450),0.000001))),L1450,U1450),IF(T1450=1,L1450,IF(AC1450=1,U1450,MAX($D$16,POWER((ABS(K1450)^2)/($I$5*MAX(F1450,0.1)^2),1/3)))))))</f>
        <v>51800.26683766341</v>
      </c>
      <c r="AE1450">
        <f t="shared" ca="1" si="629"/>
        <v>52432.178837663407</v>
      </c>
      <c r="AF1450">
        <f t="shared" ca="1" si="630"/>
        <v>52432.178837665233</v>
      </c>
      <c r="AI1450">
        <v>0</v>
      </c>
      <c r="AJ1450">
        <v>0</v>
      </c>
      <c r="AK1450">
        <f t="shared" si="631"/>
        <v>0</v>
      </c>
      <c r="AL1450">
        <f t="shared" si="640"/>
        <v>0</v>
      </c>
      <c r="AM1450">
        <f t="shared" ca="1" si="632"/>
        <v>2.6560383008097266E-7</v>
      </c>
      <c r="AN1450" t="str">
        <f t="shared" ca="1" si="633"/>
        <v>Subcritical</v>
      </c>
      <c r="AO1450">
        <f t="shared" ca="1" si="634"/>
        <v>2.2562304480281055E-12</v>
      </c>
    </row>
    <row r="1451" spans="1:41" x14ac:dyDescent="0.35">
      <c r="A1451">
        <v>1302</v>
      </c>
      <c r="B1451">
        <v>1300.8889999999999</v>
      </c>
      <c r="C1451">
        <v>616068.446</v>
      </c>
      <c r="D1451">
        <v>3096703.318</v>
      </c>
      <c r="E1451">
        <v>631.91150000000005</v>
      </c>
      <c r="F1451">
        <v>5.2</v>
      </c>
      <c r="G1451">
        <v>0</v>
      </c>
      <c r="H1451" t="s">
        <v>186</v>
      </c>
      <c r="I1451">
        <v>0</v>
      </c>
      <c r="J1451">
        <f t="shared" si="635"/>
        <v>1</v>
      </c>
      <c r="K1451">
        <f t="shared" si="636"/>
        <v>51</v>
      </c>
      <c r="L1451">
        <f t="shared" ca="1" si="637"/>
        <v>51797.843837663619</v>
      </c>
      <c r="M1451">
        <f t="shared" ca="1" si="614"/>
        <v>269348.78795585083</v>
      </c>
      <c r="N1451">
        <f t="shared" ca="1" si="615"/>
        <v>2.5998694991876676</v>
      </c>
      <c r="O1451">
        <f t="shared" ca="1" si="616"/>
        <v>1.8934557080078435E-4</v>
      </c>
      <c r="P1451">
        <f t="shared" ca="1" si="617"/>
        <v>52429.755337663621</v>
      </c>
      <c r="Q1451">
        <f t="shared" ca="1" si="618"/>
        <v>52429.755337665447</v>
      </c>
      <c r="R1451">
        <f t="shared" ca="1" si="619"/>
        <v>2.2564415439646509E-12</v>
      </c>
      <c r="S1451">
        <f t="shared" ca="1" si="638"/>
        <v>4.999999946448952E-4</v>
      </c>
      <c r="T1451">
        <f t="shared" ca="1" si="639"/>
        <v>1</v>
      </c>
      <c r="U1451">
        <f t="shared" ca="1" si="620"/>
        <v>51800.26683766341</v>
      </c>
      <c r="V1451">
        <f t="shared" ca="1" si="621"/>
        <v>269361.38755584974</v>
      </c>
      <c r="W1451">
        <f t="shared" ca="1" si="622"/>
        <v>2.5998695052916441</v>
      </c>
      <c r="X1451">
        <f t="shared" ca="1" si="623"/>
        <v>1.8933671400629237E-4</v>
      </c>
      <c r="Y1451">
        <f t="shared" ca="1" si="624"/>
        <v>52432.178337663412</v>
      </c>
      <c r="Z1451">
        <f t="shared" ca="1" si="625"/>
        <v>52432.178337665238</v>
      </c>
      <c r="AA1451">
        <f t="shared" ca="1" si="626"/>
        <v>2.2562304480281055E-12</v>
      </c>
      <c r="AB1451">
        <f t="shared" ca="1" si="627"/>
        <v>-5.0000000192085281E-4</v>
      </c>
      <c r="AC1451">
        <f t="shared" ca="1" si="628"/>
        <v>1</v>
      </c>
      <c r="AD1451">
        <f ca="1">IF(V32="Supercritical",L1451,IF(V32="Subcritical",U1451,IF(AND(T1451=1,AC1451=1),IF((((F1451)*(L1451)^2)/2+(G1451)*(L1451)^3/3+(ABS(K1451)^2)/($I$5*MAX(((F1451)+(G1451)*(L1451))*(L1451),0.000001)))&gt;=(((F1451)*(U1451)^2)/2+(G1451)*(U1451)^3/3+(ABS(K1451)^2)/($I$5*MAX(((F1451)+(G1451)*(U1451))*(U1451),0.000001))),L1451,U1451),IF(T1451=1,L1451,IF(AC1451=1,U1451,MAX($D$16,POWER((ABS(K1451)^2)/($I$5*MAX(F1451,0.1)^2),1/3)))))))</f>
        <v>51800.26683766341</v>
      </c>
      <c r="AE1451">
        <f t="shared" ca="1" si="629"/>
        <v>52432.178337663412</v>
      </c>
      <c r="AF1451">
        <f t="shared" ca="1" si="630"/>
        <v>52432.178337665238</v>
      </c>
      <c r="AI1451">
        <v>0</v>
      </c>
      <c r="AJ1451">
        <v>0</v>
      </c>
      <c r="AK1451">
        <f t="shared" si="631"/>
        <v>0</v>
      </c>
      <c r="AL1451">
        <f t="shared" si="640"/>
        <v>0</v>
      </c>
      <c r="AM1451">
        <f t="shared" ca="1" si="632"/>
        <v>2.6560383008097266E-7</v>
      </c>
      <c r="AN1451" t="str">
        <f t="shared" ca="1" si="633"/>
        <v>Subcritical</v>
      </c>
      <c r="AO1451">
        <f t="shared" ca="1" si="634"/>
        <v>2.2562304480281055E-12</v>
      </c>
    </row>
    <row r="1452" spans="1:41" x14ac:dyDescent="0.35">
      <c r="A1452">
        <v>1303</v>
      </c>
      <c r="B1452">
        <v>1301.8889999999999</v>
      </c>
      <c r="C1452">
        <v>616068.40399999998</v>
      </c>
      <c r="D1452">
        <v>3096702.3190000001</v>
      </c>
      <c r="E1452">
        <v>631.91099999999994</v>
      </c>
      <c r="F1452">
        <v>5.2</v>
      </c>
      <c r="G1452">
        <v>0</v>
      </c>
      <c r="H1452" t="s">
        <v>186</v>
      </c>
      <c r="I1452">
        <v>2E-3</v>
      </c>
      <c r="J1452">
        <f t="shared" si="635"/>
        <v>1</v>
      </c>
      <c r="K1452">
        <f t="shared" si="636"/>
        <v>51</v>
      </c>
      <c r="L1452">
        <f t="shared" ca="1" si="637"/>
        <v>51797.843837663619</v>
      </c>
      <c r="M1452">
        <f t="shared" ca="1" si="614"/>
        <v>269348.78795585083</v>
      </c>
      <c r="N1452">
        <f t="shared" ca="1" si="615"/>
        <v>2.5998694991876676</v>
      </c>
      <c r="O1452">
        <f t="shared" ca="1" si="616"/>
        <v>1.8934557080078435E-4</v>
      </c>
      <c r="P1452">
        <f t="shared" ca="1" si="617"/>
        <v>52429.754837663619</v>
      </c>
      <c r="Q1452">
        <f t="shared" ca="1" si="618"/>
        <v>52429.754837665445</v>
      </c>
      <c r="R1452">
        <f t="shared" ca="1" si="619"/>
        <v>2.2564415439646509E-12</v>
      </c>
      <c r="S1452">
        <f t="shared" ca="1" si="638"/>
        <v>5.0000000192085281E-4</v>
      </c>
      <c r="T1452">
        <f t="shared" ca="1" si="639"/>
        <v>1</v>
      </c>
      <c r="U1452">
        <f t="shared" ca="1" si="620"/>
        <v>51800.26683766341</v>
      </c>
      <c r="V1452">
        <f t="shared" ca="1" si="621"/>
        <v>269361.38755584974</v>
      </c>
      <c r="W1452">
        <f t="shared" ca="1" si="622"/>
        <v>2.5998695052916441</v>
      </c>
      <c r="X1452">
        <f t="shared" ca="1" si="623"/>
        <v>1.8933671400629237E-4</v>
      </c>
      <c r="Y1452">
        <f t="shared" ca="1" si="624"/>
        <v>52432.17783766341</v>
      </c>
      <c r="Z1452">
        <f t="shared" ca="1" si="625"/>
        <v>52432.177837665236</v>
      </c>
      <c r="AA1452">
        <f t="shared" ca="1" si="626"/>
        <v>2.2562304480281055E-12</v>
      </c>
      <c r="AB1452">
        <f t="shared" ca="1" si="627"/>
        <v>-5.0000000192085281E-4</v>
      </c>
      <c r="AC1452">
        <f t="shared" ca="1" si="628"/>
        <v>1</v>
      </c>
      <c r="AD1452">
        <f ca="1">IF(V32="Supercritical",L1452,IF(V32="Subcritical",U1452,IF(AND(T1452=1,AC1452=1),IF((((F1452)*(L1452)^2)/2+(G1452)*(L1452)^3/3+(ABS(K1452)^2)/($I$5*MAX(((F1452)+(G1452)*(L1452))*(L1452),0.000001)))&gt;=(((F1452)*(U1452)^2)/2+(G1452)*(U1452)^3/3+(ABS(K1452)^2)/($I$5*MAX(((F1452)+(G1452)*(U1452))*(U1452),0.000001))),L1452,U1452),IF(T1452=1,L1452,IF(AC1452=1,U1452,MAX($D$16,POWER((ABS(K1452)^2)/($I$5*MAX(F1452,0.1)^2),1/3)))))))</f>
        <v>51800.26683766341</v>
      </c>
      <c r="AE1452">
        <f t="shared" ca="1" si="629"/>
        <v>52432.17783766341</v>
      </c>
      <c r="AF1452">
        <f t="shared" ca="1" si="630"/>
        <v>52432.177837665236</v>
      </c>
      <c r="AI1452">
        <v>0</v>
      </c>
      <c r="AJ1452">
        <v>0</v>
      </c>
      <c r="AK1452">
        <f t="shared" si="631"/>
        <v>0</v>
      </c>
      <c r="AL1452">
        <f t="shared" si="640"/>
        <v>0</v>
      </c>
      <c r="AM1452">
        <f t="shared" ca="1" si="632"/>
        <v>2.6560383008097266E-7</v>
      </c>
      <c r="AN1452" t="str">
        <f t="shared" ca="1" si="633"/>
        <v>Subcritical</v>
      </c>
      <c r="AO1452">
        <f t="shared" ca="1" si="634"/>
        <v>2.2562304480281055E-12</v>
      </c>
    </row>
    <row r="1453" spans="1:41" x14ac:dyDescent="0.35">
      <c r="A1453">
        <v>1304</v>
      </c>
      <c r="B1453">
        <v>1302.8900000000001</v>
      </c>
      <c r="C1453">
        <v>616068.36199999996</v>
      </c>
      <c r="D1453">
        <v>3096701.3190000001</v>
      </c>
      <c r="E1453">
        <v>631.91049999999996</v>
      </c>
      <c r="F1453">
        <v>5.2</v>
      </c>
      <c r="G1453">
        <v>0</v>
      </c>
      <c r="H1453" t="s">
        <v>186</v>
      </c>
      <c r="I1453">
        <v>0.06</v>
      </c>
      <c r="J1453">
        <f t="shared" si="635"/>
        <v>1.0010000000002037</v>
      </c>
      <c r="K1453">
        <f t="shared" si="636"/>
        <v>51</v>
      </c>
      <c r="L1453">
        <f t="shared" ca="1" si="637"/>
        <v>51797.843837663619</v>
      </c>
      <c r="M1453">
        <f t="shared" ca="1" si="614"/>
        <v>269348.78795585083</v>
      </c>
      <c r="N1453">
        <f t="shared" ca="1" si="615"/>
        <v>2.5998694991876676</v>
      </c>
      <c r="O1453">
        <f t="shared" ca="1" si="616"/>
        <v>1.8934557080078435E-4</v>
      </c>
      <c r="P1453">
        <f t="shared" ca="1" si="617"/>
        <v>52429.754337663617</v>
      </c>
      <c r="Q1453">
        <f t="shared" ca="1" si="618"/>
        <v>52429.754337665443</v>
      </c>
      <c r="R1453">
        <f t="shared" ca="1" si="619"/>
        <v>2.2564415439646509E-12</v>
      </c>
      <c r="S1453">
        <f t="shared" ca="1" si="638"/>
        <v>5.0000000192085281E-4</v>
      </c>
      <c r="T1453">
        <f t="shared" ca="1" si="639"/>
        <v>1</v>
      </c>
      <c r="U1453">
        <f t="shared" ca="1" si="620"/>
        <v>51800.26683766341</v>
      </c>
      <c r="V1453">
        <f t="shared" ca="1" si="621"/>
        <v>269361.38755584974</v>
      </c>
      <c r="W1453">
        <f t="shared" ca="1" si="622"/>
        <v>2.5998695052916441</v>
      </c>
      <c r="X1453">
        <f t="shared" ca="1" si="623"/>
        <v>1.8933671400629237E-4</v>
      </c>
      <c r="Y1453">
        <f t="shared" ca="1" si="624"/>
        <v>52432.177337663408</v>
      </c>
      <c r="Z1453">
        <f t="shared" ca="1" si="625"/>
        <v>52432.177337665235</v>
      </c>
      <c r="AA1453">
        <f t="shared" ca="1" si="626"/>
        <v>2.2562304480281055E-12</v>
      </c>
      <c r="AB1453">
        <f t="shared" ca="1" si="627"/>
        <v>-4.999999946448952E-4</v>
      </c>
      <c r="AC1453">
        <f t="shared" ca="1" si="628"/>
        <v>1</v>
      </c>
      <c r="AD1453">
        <f ca="1">IF(V32="Supercritical",L1453,IF(V32="Subcritical",U1453,IF(AND(T1453=1,AC1453=1),IF((((F1453)*(L1453)^2)/2+(G1453)*(L1453)^3/3+(ABS(K1453)^2)/($I$5*MAX(((F1453)+(G1453)*(L1453))*(L1453),0.000001)))&gt;=(((F1453)*(U1453)^2)/2+(G1453)*(U1453)^3/3+(ABS(K1453)^2)/($I$5*MAX(((F1453)+(G1453)*(U1453))*(U1453),0.000001))),L1453,U1453),IF(T1453=1,L1453,IF(AC1453=1,U1453,MAX($D$16,POWER((ABS(K1453)^2)/($I$5*MAX(F1453,0.1)^2),1/3)))))))</f>
        <v>51800.26683766341</v>
      </c>
      <c r="AE1453">
        <f t="shared" ca="1" si="629"/>
        <v>52432.177337663408</v>
      </c>
      <c r="AF1453">
        <f t="shared" ca="1" si="630"/>
        <v>52432.177337665235</v>
      </c>
      <c r="AI1453">
        <v>0</v>
      </c>
      <c r="AJ1453">
        <v>0</v>
      </c>
      <c r="AK1453">
        <f t="shared" si="631"/>
        <v>0</v>
      </c>
      <c r="AL1453">
        <f t="shared" si="640"/>
        <v>0</v>
      </c>
      <c r="AM1453">
        <f t="shared" ca="1" si="632"/>
        <v>2.6560383008097266E-7</v>
      </c>
      <c r="AN1453" t="str">
        <f t="shared" ca="1" si="633"/>
        <v>Subcritical</v>
      </c>
      <c r="AO1453">
        <f t="shared" ca="1" si="634"/>
        <v>2.2562304480281055E-12</v>
      </c>
    </row>
    <row r="1454" spans="1:41" x14ac:dyDescent="0.35">
      <c r="A1454">
        <v>1305</v>
      </c>
      <c r="B1454">
        <v>1303.8900000000001</v>
      </c>
      <c r="C1454">
        <v>616068.31900000002</v>
      </c>
      <c r="D1454">
        <v>3096700.32</v>
      </c>
      <c r="E1454">
        <v>631.91</v>
      </c>
      <c r="F1454">
        <v>5.2</v>
      </c>
      <c r="G1454">
        <v>0</v>
      </c>
      <c r="H1454" t="s">
        <v>186</v>
      </c>
      <c r="I1454">
        <v>5.7000000000000002E-2</v>
      </c>
      <c r="J1454">
        <f t="shared" si="635"/>
        <v>1</v>
      </c>
      <c r="K1454">
        <f t="shared" si="636"/>
        <v>51</v>
      </c>
      <c r="L1454">
        <f t="shared" ca="1" si="637"/>
        <v>51797.843837663619</v>
      </c>
      <c r="M1454">
        <f t="shared" ca="1" si="614"/>
        <v>269348.78795585083</v>
      </c>
      <c r="N1454">
        <f t="shared" ca="1" si="615"/>
        <v>2.5998694991876676</v>
      </c>
      <c r="O1454">
        <f t="shared" ca="1" si="616"/>
        <v>1.8934557080078435E-4</v>
      </c>
      <c r="P1454">
        <f t="shared" ca="1" si="617"/>
        <v>52429.753837663622</v>
      </c>
      <c r="Q1454">
        <f t="shared" ca="1" si="618"/>
        <v>52429.753837665448</v>
      </c>
      <c r="R1454">
        <f t="shared" ca="1" si="619"/>
        <v>2.2564415439646509E-12</v>
      </c>
      <c r="S1454">
        <f t="shared" ca="1" si="638"/>
        <v>4.999999946448952E-4</v>
      </c>
      <c r="T1454">
        <f t="shared" ca="1" si="639"/>
        <v>1</v>
      </c>
      <c r="U1454">
        <f t="shared" ca="1" si="620"/>
        <v>51800.26683766341</v>
      </c>
      <c r="V1454">
        <f t="shared" ca="1" si="621"/>
        <v>269361.38755584974</v>
      </c>
      <c r="W1454">
        <f t="shared" ca="1" si="622"/>
        <v>2.5998695052916441</v>
      </c>
      <c r="X1454">
        <f t="shared" ca="1" si="623"/>
        <v>1.8933671400629237E-4</v>
      </c>
      <c r="Y1454">
        <f t="shared" ca="1" si="624"/>
        <v>52432.176837663414</v>
      </c>
      <c r="Z1454">
        <f t="shared" ca="1" si="625"/>
        <v>52432.17683766524</v>
      </c>
      <c r="AA1454">
        <f t="shared" ca="1" si="626"/>
        <v>2.2562304480281055E-12</v>
      </c>
      <c r="AB1454">
        <f t="shared" ca="1" si="627"/>
        <v>-5.0000000192085281E-4</v>
      </c>
      <c r="AC1454">
        <f t="shared" ca="1" si="628"/>
        <v>1</v>
      </c>
      <c r="AD1454">
        <f ca="1">IF(V32="Supercritical",L1454,IF(V32="Subcritical",U1454,IF(AND(T1454=1,AC1454=1),IF((((F1454)*(L1454)^2)/2+(G1454)*(L1454)^3/3+(ABS(K1454)^2)/($I$5*MAX(((F1454)+(G1454)*(L1454))*(L1454),0.000001)))&gt;=(((F1454)*(U1454)^2)/2+(G1454)*(U1454)^3/3+(ABS(K1454)^2)/($I$5*MAX(((F1454)+(G1454)*(U1454))*(U1454),0.000001))),L1454,U1454),IF(T1454=1,L1454,IF(AC1454=1,U1454,MAX($D$16,POWER((ABS(K1454)^2)/($I$5*MAX(F1454,0.1)^2),1/3)))))))</f>
        <v>51800.26683766341</v>
      </c>
      <c r="AE1454">
        <f t="shared" ca="1" si="629"/>
        <v>52432.176837663414</v>
      </c>
      <c r="AF1454">
        <f t="shared" ca="1" si="630"/>
        <v>52432.17683766524</v>
      </c>
      <c r="AI1454">
        <v>0</v>
      </c>
      <c r="AJ1454">
        <v>0</v>
      </c>
      <c r="AK1454">
        <f t="shared" si="631"/>
        <v>0</v>
      </c>
      <c r="AL1454">
        <f t="shared" si="640"/>
        <v>0</v>
      </c>
      <c r="AM1454">
        <f t="shared" ca="1" si="632"/>
        <v>2.6560383008097266E-7</v>
      </c>
      <c r="AN1454" t="str">
        <f t="shared" ca="1" si="633"/>
        <v>Subcritical</v>
      </c>
      <c r="AO1454">
        <f t="shared" ca="1" si="634"/>
        <v>2.2562304480281055E-12</v>
      </c>
    </row>
    <row r="1455" spans="1:41" x14ac:dyDescent="0.35">
      <c r="A1455">
        <v>1306</v>
      </c>
      <c r="B1455">
        <v>1304.8900000000001</v>
      </c>
      <c r="C1455">
        <v>616068.277</v>
      </c>
      <c r="D1455">
        <v>3096699.321</v>
      </c>
      <c r="E1455">
        <v>631.90949999999998</v>
      </c>
      <c r="F1455">
        <v>5.2</v>
      </c>
      <c r="G1455">
        <v>0</v>
      </c>
      <c r="H1455" t="s">
        <v>186</v>
      </c>
      <c r="I1455">
        <v>0</v>
      </c>
      <c r="J1455">
        <f t="shared" si="635"/>
        <v>1</v>
      </c>
      <c r="K1455">
        <f t="shared" si="636"/>
        <v>51</v>
      </c>
      <c r="L1455">
        <f t="shared" ca="1" si="637"/>
        <v>51797.843837663619</v>
      </c>
      <c r="M1455">
        <f t="shared" ca="1" si="614"/>
        <v>269348.78795585083</v>
      </c>
      <c r="N1455">
        <f t="shared" ca="1" si="615"/>
        <v>2.5998694991876676</v>
      </c>
      <c r="O1455">
        <f t="shared" ca="1" si="616"/>
        <v>1.8934557080078435E-4</v>
      </c>
      <c r="P1455">
        <f t="shared" ca="1" si="617"/>
        <v>52429.75333766362</v>
      </c>
      <c r="Q1455">
        <f t="shared" ca="1" si="618"/>
        <v>52429.753337665446</v>
      </c>
      <c r="R1455">
        <f t="shared" ca="1" si="619"/>
        <v>2.2564415439646509E-12</v>
      </c>
      <c r="S1455">
        <f t="shared" ca="1" si="638"/>
        <v>5.0000000192085281E-4</v>
      </c>
      <c r="T1455">
        <f t="shared" ca="1" si="639"/>
        <v>1</v>
      </c>
      <c r="U1455">
        <f t="shared" ca="1" si="620"/>
        <v>51800.26683766341</v>
      </c>
      <c r="V1455">
        <f t="shared" ca="1" si="621"/>
        <v>269361.38755584974</v>
      </c>
      <c r="W1455">
        <f t="shared" ca="1" si="622"/>
        <v>2.5998695052916441</v>
      </c>
      <c r="X1455">
        <f t="shared" ca="1" si="623"/>
        <v>1.8933671400629237E-4</v>
      </c>
      <c r="Y1455">
        <f t="shared" ca="1" si="624"/>
        <v>52432.176337663412</v>
      </c>
      <c r="Z1455">
        <f t="shared" ca="1" si="625"/>
        <v>52432.176337665238</v>
      </c>
      <c r="AA1455">
        <f t="shared" ca="1" si="626"/>
        <v>2.2562304480281055E-12</v>
      </c>
      <c r="AB1455">
        <f t="shared" ca="1" si="627"/>
        <v>-5.0000000192085281E-4</v>
      </c>
      <c r="AC1455">
        <f t="shared" ca="1" si="628"/>
        <v>1</v>
      </c>
      <c r="AD1455">
        <f ca="1">IF(V32="Supercritical",L1455,IF(V32="Subcritical",U1455,IF(AND(T1455=1,AC1455=1),IF((((F1455)*(L1455)^2)/2+(G1455)*(L1455)^3/3+(ABS(K1455)^2)/($I$5*MAX(((F1455)+(G1455)*(L1455))*(L1455),0.000001)))&gt;=(((F1455)*(U1455)^2)/2+(G1455)*(U1455)^3/3+(ABS(K1455)^2)/($I$5*MAX(((F1455)+(G1455)*(U1455))*(U1455),0.000001))),L1455,U1455),IF(T1455=1,L1455,IF(AC1455=1,U1455,MAX($D$16,POWER((ABS(K1455)^2)/($I$5*MAX(F1455,0.1)^2),1/3)))))))</f>
        <v>51800.26683766341</v>
      </c>
      <c r="AE1455">
        <f t="shared" ca="1" si="629"/>
        <v>52432.176337663412</v>
      </c>
      <c r="AF1455">
        <f t="shared" ca="1" si="630"/>
        <v>52432.176337665238</v>
      </c>
      <c r="AI1455">
        <v>0</v>
      </c>
      <c r="AJ1455">
        <v>0</v>
      </c>
      <c r="AK1455">
        <f t="shared" si="631"/>
        <v>0</v>
      </c>
      <c r="AL1455">
        <f t="shared" si="640"/>
        <v>0</v>
      </c>
      <c r="AM1455">
        <f t="shared" ca="1" si="632"/>
        <v>2.6560383008097266E-7</v>
      </c>
      <c r="AN1455" t="str">
        <f t="shared" ca="1" si="633"/>
        <v>Subcritical</v>
      </c>
      <c r="AO1455">
        <f t="shared" ca="1" si="634"/>
        <v>2.2562304480281055E-12</v>
      </c>
    </row>
    <row r="1456" spans="1:41" x14ac:dyDescent="0.35">
      <c r="A1456">
        <v>1307</v>
      </c>
      <c r="B1456">
        <v>1305.8889999999999</v>
      </c>
      <c r="C1456">
        <v>616068.23499999999</v>
      </c>
      <c r="D1456">
        <v>3096698.3220000002</v>
      </c>
      <c r="E1456">
        <v>631.90899999999999</v>
      </c>
      <c r="F1456">
        <v>5.2</v>
      </c>
      <c r="G1456">
        <v>0</v>
      </c>
      <c r="H1456" t="s">
        <v>186</v>
      </c>
      <c r="I1456">
        <v>5.7000000000000002E-2</v>
      </c>
      <c r="J1456">
        <f t="shared" si="635"/>
        <v>0.99899999999979627</v>
      </c>
      <c r="K1456">
        <f t="shared" si="636"/>
        <v>51</v>
      </c>
      <c r="L1456">
        <f t="shared" ca="1" si="637"/>
        <v>51797.843837663619</v>
      </c>
      <c r="M1456">
        <f t="shared" ca="1" si="614"/>
        <v>269348.78795585083</v>
      </c>
      <c r="N1456">
        <f t="shared" ca="1" si="615"/>
        <v>2.5998694991876676</v>
      </c>
      <c r="O1456">
        <f t="shared" ca="1" si="616"/>
        <v>1.8934557080078435E-4</v>
      </c>
      <c r="P1456">
        <f t="shared" ca="1" si="617"/>
        <v>52429.752837663618</v>
      </c>
      <c r="Q1456">
        <f t="shared" ca="1" si="618"/>
        <v>52429.752837665445</v>
      </c>
      <c r="R1456">
        <f t="shared" ca="1" si="619"/>
        <v>2.2564415439646509E-12</v>
      </c>
      <c r="S1456">
        <f t="shared" ca="1" si="638"/>
        <v>5.0000000192085281E-4</v>
      </c>
      <c r="T1456">
        <f t="shared" ca="1" si="639"/>
        <v>1</v>
      </c>
      <c r="U1456">
        <f t="shared" ca="1" si="620"/>
        <v>51800.26683766341</v>
      </c>
      <c r="V1456">
        <f t="shared" ca="1" si="621"/>
        <v>269361.38755584974</v>
      </c>
      <c r="W1456">
        <f t="shared" ca="1" si="622"/>
        <v>2.5998695052916441</v>
      </c>
      <c r="X1456">
        <f t="shared" ca="1" si="623"/>
        <v>1.8933671400629237E-4</v>
      </c>
      <c r="Y1456">
        <f t="shared" ca="1" si="624"/>
        <v>52432.17583766341</v>
      </c>
      <c r="Z1456">
        <f t="shared" ca="1" si="625"/>
        <v>52432.175837665236</v>
      </c>
      <c r="AA1456">
        <f t="shared" ca="1" si="626"/>
        <v>2.2562304480281055E-12</v>
      </c>
      <c r="AB1456">
        <f t="shared" ca="1" si="627"/>
        <v>-5.0000000192085281E-4</v>
      </c>
      <c r="AC1456">
        <f t="shared" ca="1" si="628"/>
        <v>1</v>
      </c>
      <c r="AD1456">
        <f ca="1">IF(V32="Supercritical",L1456,IF(V32="Subcritical",U1456,IF(AND(T1456=1,AC1456=1),IF((((F1456)*(L1456)^2)/2+(G1456)*(L1456)^3/3+(ABS(K1456)^2)/($I$5*MAX(((F1456)+(G1456)*(L1456))*(L1456),0.000001)))&gt;=(((F1456)*(U1456)^2)/2+(G1456)*(U1456)^3/3+(ABS(K1456)^2)/($I$5*MAX(((F1456)+(G1456)*(U1456))*(U1456),0.000001))),L1456,U1456),IF(T1456=1,L1456,IF(AC1456=1,U1456,MAX($D$16,POWER((ABS(K1456)^2)/($I$5*MAX(F1456,0.1)^2),1/3)))))))</f>
        <v>51800.26683766341</v>
      </c>
      <c r="AE1456">
        <f t="shared" ca="1" si="629"/>
        <v>52432.17583766341</v>
      </c>
      <c r="AF1456">
        <f t="shared" ca="1" si="630"/>
        <v>52432.175837665236</v>
      </c>
      <c r="AI1456">
        <v>0</v>
      </c>
      <c r="AJ1456">
        <v>0</v>
      </c>
      <c r="AK1456">
        <f t="shared" si="631"/>
        <v>0</v>
      </c>
      <c r="AL1456">
        <f t="shared" si="640"/>
        <v>0</v>
      </c>
      <c r="AM1456">
        <f t="shared" ca="1" si="632"/>
        <v>2.6560383008097266E-7</v>
      </c>
      <c r="AN1456" t="str">
        <f t="shared" ca="1" si="633"/>
        <v>Subcritical</v>
      </c>
      <c r="AO1456">
        <f t="shared" ca="1" si="634"/>
        <v>2.2562304480281055E-12</v>
      </c>
    </row>
    <row r="1457" spans="1:41" x14ac:dyDescent="0.35">
      <c r="A1457">
        <v>1308</v>
      </c>
      <c r="B1457">
        <v>1306.8889999999999</v>
      </c>
      <c r="C1457">
        <v>616068.19200000004</v>
      </c>
      <c r="D1457">
        <v>3096697.3229999999</v>
      </c>
      <c r="E1457">
        <v>631.9085</v>
      </c>
      <c r="F1457">
        <v>5.2</v>
      </c>
      <c r="G1457">
        <v>0</v>
      </c>
      <c r="H1457" t="s">
        <v>186</v>
      </c>
      <c r="I1457">
        <v>5.7000000000000002E-2</v>
      </c>
      <c r="J1457">
        <f t="shared" si="635"/>
        <v>1</v>
      </c>
      <c r="K1457">
        <f t="shared" si="636"/>
        <v>51</v>
      </c>
      <c r="L1457">
        <f t="shared" ca="1" si="637"/>
        <v>51797.843837663619</v>
      </c>
      <c r="M1457">
        <f t="shared" ca="1" si="614"/>
        <v>269348.78795585083</v>
      </c>
      <c r="N1457">
        <f t="shared" ca="1" si="615"/>
        <v>2.5998694991876676</v>
      </c>
      <c r="O1457">
        <f t="shared" ca="1" si="616"/>
        <v>1.8934557080078435E-4</v>
      </c>
      <c r="P1457">
        <f t="shared" ca="1" si="617"/>
        <v>52429.752337663616</v>
      </c>
      <c r="Q1457">
        <f t="shared" ca="1" si="618"/>
        <v>52429.752337665443</v>
      </c>
      <c r="R1457">
        <f t="shared" ca="1" si="619"/>
        <v>2.2564415439646509E-12</v>
      </c>
      <c r="S1457">
        <f t="shared" ca="1" si="638"/>
        <v>5.0000000192085281E-4</v>
      </c>
      <c r="T1457">
        <f t="shared" ca="1" si="639"/>
        <v>1</v>
      </c>
      <c r="U1457">
        <f t="shared" ca="1" si="620"/>
        <v>51800.26683766341</v>
      </c>
      <c r="V1457">
        <f t="shared" ca="1" si="621"/>
        <v>269361.38755584974</v>
      </c>
      <c r="W1457">
        <f t="shared" ca="1" si="622"/>
        <v>2.5998695052916441</v>
      </c>
      <c r="X1457">
        <f t="shared" ca="1" si="623"/>
        <v>1.8933671400629237E-4</v>
      </c>
      <c r="Y1457">
        <f t="shared" ca="1" si="624"/>
        <v>52432.175337663408</v>
      </c>
      <c r="Z1457">
        <f t="shared" ca="1" si="625"/>
        <v>52432.175337665234</v>
      </c>
      <c r="AA1457">
        <f t="shared" ca="1" si="626"/>
        <v>2.2562304480281055E-12</v>
      </c>
      <c r="AB1457">
        <f t="shared" ca="1" si="627"/>
        <v>-4.999999946448952E-4</v>
      </c>
      <c r="AC1457">
        <f t="shared" ca="1" si="628"/>
        <v>1</v>
      </c>
      <c r="AD1457">
        <f ca="1">IF(V32="Supercritical",L1457,IF(V32="Subcritical",U1457,IF(AND(T1457=1,AC1457=1),IF((((F1457)*(L1457)^2)/2+(G1457)*(L1457)^3/3+(ABS(K1457)^2)/($I$5*MAX(((F1457)+(G1457)*(L1457))*(L1457),0.000001)))&gt;=(((F1457)*(U1457)^2)/2+(G1457)*(U1457)^3/3+(ABS(K1457)^2)/($I$5*MAX(((F1457)+(G1457)*(U1457))*(U1457),0.000001))),L1457,U1457),IF(T1457=1,L1457,IF(AC1457=1,U1457,MAX($D$16,POWER((ABS(K1457)^2)/($I$5*MAX(F1457,0.1)^2),1/3)))))))</f>
        <v>51800.26683766341</v>
      </c>
      <c r="AE1457">
        <f t="shared" ca="1" si="629"/>
        <v>52432.175337663408</v>
      </c>
      <c r="AF1457">
        <f t="shared" ca="1" si="630"/>
        <v>52432.175337665234</v>
      </c>
      <c r="AI1457">
        <v>0</v>
      </c>
      <c r="AJ1457">
        <v>0</v>
      </c>
      <c r="AK1457">
        <f t="shared" si="631"/>
        <v>0</v>
      </c>
      <c r="AL1457">
        <f t="shared" si="640"/>
        <v>0</v>
      </c>
      <c r="AM1457">
        <f t="shared" ca="1" si="632"/>
        <v>2.6560383008097266E-7</v>
      </c>
      <c r="AN1457" t="str">
        <f t="shared" ca="1" si="633"/>
        <v>Subcritical</v>
      </c>
      <c r="AO1457">
        <f t="shared" ca="1" si="634"/>
        <v>2.2562304480281055E-12</v>
      </c>
    </row>
    <row r="1458" spans="1:41" x14ac:dyDescent="0.35">
      <c r="A1458">
        <v>1309</v>
      </c>
      <c r="B1458">
        <v>1307.8889999999999</v>
      </c>
      <c r="C1458">
        <v>616068.15</v>
      </c>
      <c r="D1458">
        <v>3096696.324</v>
      </c>
      <c r="E1458">
        <v>631.90800000000002</v>
      </c>
      <c r="F1458">
        <v>5.2</v>
      </c>
      <c r="G1458">
        <v>0</v>
      </c>
      <c r="H1458" t="s">
        <v>186</v>
      </c>
      <c r="I1458">
        <v>0</v>
      </c>
      <c r="J1458">
        <f t="shared" si="635"/>
        <v>1</v>
      </c>
      <c r="K1458">
        <f t="shared" si="636"/>
        <v>51</v>
      </c>
      <c r="L1458">
        <f t="shared" ca="1" si="637"/>
        <v>51797.843837663619</v>
      </c>
      <c r="M1458">
        <f t="shared" ca="1" si="614"/>
        <v>269348.78795585083</v>
      </c>
      <c r="N1458">
        <f t="shared" ca="1" si="615"/>
        <v>2.5998694991876676</v>
      </c>
      <c r="O1458">
        <f t="shared" ca="1" si="616"/>
        <v>1.8934557080078435E-4</v>
      </c>
      <c r="P1458">
        <f t="shared" ca="1" si="617"/>
        <v>52429.751837663622</v>
      </c>
      <c r="Q1458">
        <f t="shared" ca="1" si="618"/>
        <v>52429.751837665448</v>
      </c>
      <c r="R1458">
        <f t="shared" ca="1" si="619"/>
        <v>2.2564415439646509E-12</v>
      </c>
      <c r="S1458">
        <f t="shared" ca="1" si="638"/>
        <v>4.999999946448952E-4</v>
      </c>
      <c r="T1458">
        <f t="shared" ca="1" si="639"/>
        <v>1</v>
      </c>
      <c r="U1458">
        <f t="shared" ca="1" si="620"/>
        <v>51800.26683766341</v>
      </c>
      <c r="V1458">
        <f t="shared" ca="1" si="621"/>
        <v>269361.38755584974</v>
      </c>
      <c r="W1458">
        <f t="shared" ca="1" si="622"/>
        <v>2.5998695052916441</v>
      </c>
      <c r="X1458">
        <f t="shared" ca="1" si="623"/>
        <v>1.8933671400629237E-4</v>
      </c>
      <c r="Y1458">
        <f t="shared" ca="1" si="624"/>
        <v>52432.174837663413</v>
      </c>
      <c r="Z1458">
        <f t="shared" ca="1" si="625"/>
        <v>52432.174837665239</v>
      </c>
      <c r="AA1458">
        <f t="shared" ca="1" si="626"/>
        <v>2.2562304480281055E-12</v>
      </c>
      <c r="AB1458">
        <f t="shared" ca="1" si="627"/>
        <v>-5.0000000192085281E-4</v>
      </c>
      <c r="AC1458">
        <f t="shared" ca="1" si="628"/>
        <v>1</v>
      </c>
      <c r="AD1458">
        <f ca="1">IF(V32="Supercritical",L1458,IF(V32="Subcritical",U1458,IF(AND(T1458=1,AC1458=1),IF((((F1458)*(L1458)^2)/2+(G1458)*(L1458)^3/3+(ABS(K1458)^2)/($I$5*MAX(((F1458)+(G1458)*(L1458))*(L1458),0.000001)))&gt;=(((F1458)*(U1458)^2)/2+(G1458)*(U1458)^3/3+(ABS(K1458)^2)/($I$5*MAX(((F1458)+(G1458)*(U1458))*(U1458),0.000001))),L1458,U1458),IF(T1458=1,L1458,IF(AC1458=1,U1458,MAX($D$16,POWER((ABS(K1458)^2)/($I$5*MAX(F1458,0.1)^2),1/3)))))))</f>
        <v>51800.26683766341</v>
      </c>
      <c r="AE1458">
        <f t="shared" ca="1" si="629"/>
        <v>52432.174837663413</v>
      </c>
      <c r="AF1458">
        <f t="shared" ca="1" si="630"/>
        <v>52432.174837665239</v>
      </c>
      <c r="AI1458">
        <v>0</v>
      </c>
      <c r="AJ1458">
        <v>0</v>
      </c>
      <c r="AK1458">
        <f t="shared" si="631"/>
        <v>0</v>
      </c>
      <c r="AL1458">
        <f t="shared" si="640"/>
        <v>0</v>
      </c>
      <c r="AM1458">
        <f t="shared" ca="1" si="632"/>
        <v>2.6560383008097266E-7</v>
      </c>
      <c r="AN1458" t="str">
        <f t="shared" ca="1" si="633"/>
        <v>Subcritical</v>
      </c>
      <c r="AO1458">
        <f t="shared" ca="1" si="634"/>
        <v>2.2562304480281055E-12</v>
      </c>
    </row>
    <row r="1459" spans="1:41" x14ac:dyDescent="0.35">
      <c r="A1459">
        <v>1310</v>
      </c>
      <c r="B1459">
        <v>1308.8889999999999</v>
      </c>
      <c r="C1459">
        <v>616068.10800000001</v>
      </c>
      <c r="D1459">
        <v>3096695.3250000002</v>
      </c>
      <c r="E1459">
        <v>631.90750000000003</v>
      </c>
      <c r="F1459">
        <v>5.2</v>
      </c>
      <c r="G1459">
        <v>0</v>
      </c>
      <c r="H1459" t="s">
        <v>186</v>
      </c>
      <c r="I1459">
        <v>0</v>
      </c>
      <c r="J1459">
        <f t="shared" si="635"/>
        <v>1</v>
      </c>
      <c r="K1459">
        <f t="shared" si="636"/>
        <v>51</v>
      </c>
      <c r="L1459">
        <f t="shared" ca="1" si="637"/>
        <v>51797.843837663619</v>
      </c>
      <c r="M1459">
        <f t="shared" ca="1" si="614"/>
        <v>269348.78795585083</v>
      </c>
      <c r="N1459">
        <f t="shared" ca="1" si="615"/>
        <v>2.5998694991876676</v>
      </c>
      <c r="O1459">
        <f t="shared" ca="1" si="616"/>
        <v>1.8934557080078435E-4</v>
      </c>
      <c r="P1459">
        <f t="shared" ca="1" si="617"/>
        <v>52429.75133766362</v>
      </c>
      <c r="Q1459">
        <f t="shared" ca="1" si="618"/>
        <v>52429.751337665446</v>
      </c>
      <c r="R1459">
        <f t="shared" ca="1" si="619"/>
        <v>2.2564415439646509E-12</v>
      </c>
      <c r="S1459">
        <f t="shared" ca="1" si="638"/>
        <v>5.0000000192085281E-4</v>
      </c>
      <c r="T1459">
        <f t="shared" ca="1" si="639"/>
        <v>1</v>
      </c>
      <c r="U1459">
        <f t="shared" ca="1" si="620"/>
        <v>51800.26683766341</v>
      </c>
      <c r="V1459">
        <f t="shared" ca="1" si="621"/>
        <v>269361.38755584974</v>
      </c>
      <c r="W1459">
        <f t="shared" ca="1" si="622"/>
        <v>2.5998695052916441</v>
      </c>
      <c r="X1459">
        <f t="shared" ca="1" si="623"/>
        <v>1.8933671400629237E-4</v>
      </c>
      <c r="Y1459">
        <f t="shared" ca="1" si="624"/>
        <v>52432.174337663411</v>
      </c>
      <c r="Z1459">
        <f t="shared" ca="1" si="625"/>
        <v>52432.174337665238</v>
      </c>
      <c r="AA1459">
        <f t="shared" ca="1" si="626"/>
        <v>2.2562304480281055E-12</v>
      </c>
      <c r="AB1459">
        <f t="shared" ca="1" si="627"/>
        <v>-5.0000000192085281E-4</v>
      </c>
      <c r="AC1459">
        <f t="shared" ca="1" si="628"/>
        <v>1</v>
      </c>
      <c r="AD1459">
        <f ca="1">IF(V32="Supercritical",L1459,IF(V32="Subcritical",U1459,IF(AND(T1459=1,AC1459=1),IF((((F1459)*(L1459)^2)/2+(G1459)*(L1459)^3/3+(ABS(K1459)^2)/($I$5*MAX(((F1459)+(G1459)*(L1459))*(L1459),0.000001)))&gt;=(((F1459)*(U1459)^2)/2+(G1459)*(U1459)^3/3+(ABS(K1459)^2)/($I$5*MAX(((F1459)+(G1459)*(U1459))*(U1459),0.000001))),L1459,U1459),IF(T1459=1,L1459,IF(AC1459=1,U1459,MAX($D$16,POWER((ABS(K1459)^2)/($I$5*MAX(F1459,0.1)^2),1/3)))))))</f>
        <v>51800.26683766341</v>
      </c>
      <c r="AE1459">
        <f t="shared" ca="1" si="629"/>
        <v>52432.174337663411</v>
      </c>
      <c r="AF1459">
        <f t="shared" ca="1" si="630"/>
        <v>52432.174337665238</v>
      </c>
      <c r="AI1459">
        <v>0</v>
      </c>
      <c r="AJ1459">
        <v>0</v>
      </c>
      <c r="AK1459">
        <f t="shared" si="631"/>
        <v>0</v>
      </c>
      <c r="AL1459">
        <f t="shared" si="640"/>
        <v>0</v>
      </c>
      <c r="AM1459">
        <f t="shared" ca="1" si="632"/>
        <v>2.6560383008097266E-7</v>
      </c>
      <c r="AN1459" t="str">
        <f t="shared" ca="1" si="633"/>
        <v>Subcritical</v>
      </c>
      <c r="AO1459">
        <f t="shared" ca="1" si="634"/>
        <v>2.2562304480281055E-12</v>
      </c>
    </row>
    <row r="1460" spans="1:41" x14ac:dyDescent="0.35">
      <c r="A1460">
        <v>1311</v>
      </c>
      <c r="B1460">
        <v>1309.8889999999999</v>
      </c>
      <c r="C1460">
        <v>616068.06599999999</v>
      </c>
      <c r="D1460">
        <v>3096694.3259999999</v>
      </c>
      <c r="E1460">
        <v>631.90700000000004</v>
      </c>
      <c r="F1460">
        <v>5.2</v>
      </c>
      <c r="G1460">
        <v>0</v>
      </c>
      <c r="H1460" t="s">
        <v>186</v>
      </c>
      <c r="I1460">
        <v>5.7000000000000002E-2</v>
      </c>
      <c r="J1460">
        <f t="shared" si="635"/>
        <v>1</v>
      </c>
      <c r="K1460">
        <f t="shared" si="636"/>
        <v>51</v>
      </c>
      <c r="L1460">
        <f t="shared" ca="1" si="637"/>
        <v>51797.843837663619</v>
      </c>
      <c r="M1460">
        <f t="shared" ca="1" si="614"/>
        <v>269348.78795585083</v>
      </c>
      <c r="N1460">
        <f t="shared" ca="1" si="615"/>
        <v>2.5998694991876676</v>
      </c>
      <c r="O1460">
        <f t="shared" ca="1" si="616"/>
        <v>1.8934557080078435E-4</v>
      </c>
      <c r="P1460">
        <f t="shared" ca="1" si="617"/>
        <v>52429.750837663618</v>
      </c>
      <c r="Q1460">
        <f t="shared" ca="1" si="618"/>
        <v>52429.750837665444</v>
      </c>
      <c r="R1460">
        <f t="shared" ca="1" si="619"/>
        <v>2.2564415439646509E-12</v>
      </c>
      <c r="S1460">
        <f t="shared" ca="1" si="638"/>
        <v>5.0000000192085281E-4</v>
      </c>
      <c r="T1460">
        <f t="shared" ca="1" si="639"/>
        <v>1</v>
      </c>
      <c r="U1460">
        <f t="shared" ca="1" si="620"/>
        <v>51800.26683766341</v>
      </c>
      <c r="V1460">
        <f t="shared" ca="1" si="621"/>
        <v>269361.38755584974</v>
      </c>
      <c r="W1460">
        <f t="shared" ca="1" si="622"/>
        <v>2.5998695052916441</v>
      </c>
      <c r="X1460">
        <f t="shared" ca="1" si="623"/>
        <v>1.8933671400629237E-4</v>
      </c>
      <c r="Y1460">
        <f t="shared" ca="1" si="624"/>
        <v>52432.173837663409</v>
      </c>
      <c r="Z1460">
        <f t="shared" ca="1" si="625"/>
        <v>52432.173837665236</v>
      </c>
      <c r="AA1460">
        <f t="shared" ca="1" si="626"/>
        <v>2.2562304480281055E-12</v>
      </c>
      <c r="AB1460">
        <f t="shared" ca="1" si="627"/>
        <v>-5.0000000192085281E-4</v>
      </c>
      <c r="AC1460">
        <f t="shared" ca="1" si="628"/>
        <v>1</v>
      </c>
      <c r="AD1460">
        <f ca="1">IF(V32="Supercritical",L1460,IF(V32="Subcritical",U1460,IF(AND(T1460=1,AC1460=1),IF((((F1460)*(L1460)^2)/2+(G1460)*(L1460)^3/3+(ABS(K1460)^2)/($I$5*MAX(((F1460)+(G1460)*(L1460))*(L1460),0.000001)))&gt;=(((F1460)*(U1460)^2)/2+(G1460)*(U1460)^3/3+(ABS(K1460)^2)/($I$5*MAX(((F1460)+(G1460)*(U1460))*(U1460),0.000001))),L1460,U1460),IF(T1460=1,L1460,IF(AC1460=1,U1460,MAX($D$16,POWER((ABS(K1460)^2)/($I$5*MAX(F1460,0.1)^2),1/3)))))))</f>
        <v>51800.26683766341</v>
      </c>
      <c r="AE1460">
        <f t="shared" ca="1" si="629"/>
        <v>52432.173837663409</v>
      </c>
      <c r="AF1460">
        <f t="shared" ca="1" si="630"/>
        <v>52432.173837665236</v>
      </c>
      <c r="AI1460">
        <v>0</v>
      </c>
      <c r="AJ1460">
        <v>0</v>
      </c>
      <c r="AK1460">
        <f t="shared" si="631"/>
        <v>0</v>
      </c>
      <c r="AL1460">
        <f t="shared" si="640"/>
        <v>0</v>
      </c>
      <c r="AM1460">
        <f t="shared" ca="1" si="632"/>
        <v>2.6560383008097266E-7</v>
      </c>
      <c r="AN1460" t="str">
        <f t="shared" ca="1" si="633"/>
        <v>Subcritical</v>
      </c>
      <c r="AO1460">
        <f t="shared" ca="1" si="634"/>
        <v>2.2562304480281055E-12</v>
      </c>
    </row>
    <row r="1461" spans="1:41" x14ac:dyDescent="0.35">
      <c r="A1461">
        <v>1312</v>
      </c>
      <c r="B1461">
        <v>1310.8889999999999</v>
      </c>
      <c r="C1461">
        <v>616068.02300000004</v>
      </c>
      <c r="D1461">
        <v>3096693.327</v>
      </c>
      <c r="E1461">
        <v>631.90650000000005</v>
      </c>
      <c r="F1461">
        <v>5.2</v>
      </c>
      <c r="G1461">
        <v>0</v>
      </c>
      <c r="H1461" t="s">
        <v>186</v>
      </c>
      <c r="I1461">
        <v>0.06</v>
      </c>
      <c r="J1461">
        <f t="shared" si="635"/>
        <v>1</v>
      </c>
      <c r="K1461">
        <f t="shared" si="636"/>
        <v>51</v>
      </c>
      <c r="L1461">
        <f t="shared" ca="1" si="637"/>
        <v>51797.843837663619</v>
      </c>
      <c r="M1461">
        <f t="shared" ca="1" si="614"/>
        <v>269348.78795585083</v>
      </c>
      <c r="N1461">
        <f t="shared" ca="1" si="615"/>
        <v>2.5998694991876676</v>
      </c>
      <c r="O1461">
        <f t="shared" ca="1" si="616"/>
        <v>1.8934557080078435E-4</v>
      </c>
      <c r="P1461">
        <f t="shared" ca="1" si="617"/>
        <v>52429.750337663616</v>
      </c>
      <c r="Q1461">
        <f t="shared" ca="1" si="618"/>
        <v>52429.750337665442</v>
      </c>
      <c r="R1461">
        <f t="shared" ca="1" si="619"/>
        <v>2.2564415439646509E-12</v>
      </c>
      <c r="S1461">
        <f t="shared" ca="1" si="638"/>
        <v>5.0000000192085281E-4</v>
      </c>
      <c r="T1461">
        <f t="shared" ca="1" si="639"/>
        <v>1</v>
      </c>
      <c r="U1461">
        <f t="shared" ca="1" si="620"/>
        <v>51800.26683766341</v>
      </c>
      <c r="V1461">
        <f t="shared" ca="1" si="621"/>
        <v>269361.38755584974</v>
      </c>
      <c r="W1461">
        <f t="shared" ca="1" si="622"/>
        <v>2.5998695052916441</v>
      </c>
      <c r="X1461">
        <f t="shared" ca="1" si="623"/>
        <v>1.8933671400629237E-4</v>
      </c>
      <c r="Y1461">
        <f t="shared" ca="1" si="624"/>
        <v>52432.173337663407</v>
      </c>
      <c r="Z1461">
        <f t="shared" ca="1" si="625"/>
        <v>52432.173337665234</v>
      </c>
      <c r="AA1461">
        <f t="shared" ca="1" si="626"/>
        <v>2.2562304480281055E-12</v>
      </c>
      <c r="AB1461">
        <f t="shared" ca="1" si="627"/>
        <v>-4.999999946448952E-4</v>
      </c>
      <c r="AC1461">
        <f t="shared" ca="1" si="628"/>
        <v>1</v>
      </c>
      <c r="AD1461">
        <f ca="1">IF(V32="Supercritical",L1461,IF(V32="Subcritical",U1461,IF(AND(T1461=1,AC1461=1),IF((((F1461)*(L1461)^2)/2+(G1461)*(L1461)^3/3+(ABS(K1461)^2)/($I$5*MAX(((F1461)+(G1461)*(L1461))*(L1461),0.000001)))&gt;=(((F1461)*(U1461)^2)/2+(G1461)*(U1461)^3/3+(ABS(K1461)^2)/($I$5*MAX(((F1461)+(G1461)*(U1461))*(U1461),0.000001))),L1461,U1461),IF(T1461=1,L1461,IF(AC1461=1,U1461,MAX($D$16,POWER((ABS(K1461)^2)/($I$5*MAX(F1461,0.1)^2),1/3)))))))</f>
        <v>51800.26683766341</v>
      </c>
      <c r="AE1461">
        <f t="shared" ca="1" si="629"/>
        <v>52432.173337663407</v>
      </c>
      <c r="AF1461">
        <f t="shared" ca="1" si="630"/>
        <v>52432.173337665234</v>
      </c>
      <c r="AI1461">
        <v>0</v>
      </c>
      <c r="AJ1461">
        <v>0</v>
      </c>
      <c r="AK1461">
        <f t="shared" si="631"/>
        <v>0</v>
      </c>
      <c r="AL1461">
        <f t="shared" si="640"/>
        <v>0</v>
      </c>
      <c r="AM1461">
        <f t="shared" ca="1" si="632"/>
        <v>2.6560383008097266E-7</v>
      </c>
      <c r="AN1461" t="str">
        <f t="shared" ca="1" si="633"/>
        <v>Subcritical</v>
      </c>
      <c r="AO1461">
        <f t="shared" ca="1" si="634"/>
        <v>2.2562304480281055E-12</v>
      </c>
    </row>
    <row r="1462" spans="1:41" x14ac:dyDescent="0.35">
      <c r="A1462">
        <v>1313</v>
      </c>
      <c r="B1462">
        <v>1311.89</v>
      </c>
      <c r="C1462">
        <v>616067.98100000003</v>
      </c>
      <c r="D1462">
        <v>3096692.327</v>
      </c>
      <c r="E1462">
        <v>631.90599999999995</v>
      </c>
      <c r="F1462">
        <v>5.2</v>
      </c>
      <c r="G1462">
        <v>0</v>
      </c>
      <c r="H1462" t="s">
        <v>186</v>
      </c>
      <c r="I1462">
        <v>2E-3</v>
      </c>
      <c r="J1462">
        <f t="shared" si="635"/>
        <v>1.0010000000002037</v>
      </c>
      <c r="K1462">
        <f t="shared" si="636"/>
        <v>51</v>
      </c>
      <c r="L1462">
        <f t="shared" ca="1" si="637"/>
        <v>51797.843837663619</v>
      </c>
      <c r="M1462">
        <f t="shared" ca="1" si="614"/>
        <v>269348.78795585083</v>
      </c>
      <c r="N1462">
        <f t="shared" ca="1" si="615"/>
        <v>2.5998694991876676</v>
      </c>
      <c r="O1462">
        <f t="shared" ca="1" si="616"/>
        <v>1.8934557080078435E-4</v>
      </c>
      <c r="P1462">
        <f t="shared" ca="1" si="617"/>
        <v>52429.749837663621</v>
      </c>
      <c r="Q1462">
        <f t="shared" ca="1" si="618"/>
        <v>52429.749837665448</v>
      </c>
      <c r="R1462">
        <f t="shared" ca="1" si="619"/>
        <v>2.2564415439646509E-12</v>
      </c>
      <c r="S1462">
        <f t="shared" ca="1" si="638"/>
        <v>4.999999946448952E-4</v>
      </c>
      <c r="T1462">
        <f t="shared" ca="1" si="639"/>
        <v>1</v>
      </c>
      <c r="U1462">
        <f t="shared" ca="1" si="620"/>
        <v>51800.26683766341</v>
      </c>
      <c r="V1462">
        <f t="shared" ca="1" si="621"/>
        <v>269361.38755584974</v>
      </c>
      <c r="W1462">
        <f t="shared" ca="1" si="622"/>
        <v>2.5998695052916441</v>
      </c>
      <c r="X1462">
        <f t="shared" ca="1" si="623"/>
        <v>1.8933671400629237E-4</v>
      </c>
      <c r="Y1462">
        <f t="shared" ca="1" si="624"/>
        <v>52432.172837663413</v>
      </c>
      <c r="Z1462">
        <f t="shared" ca="1" si="625"/>
        <v>52432.172837665239</v>
      </c>
      <c r="AA1462">
        <f t="shared" ca="1" si="626"/>
        <v>2.2562304480281055E-12</v>
      </c>
      <c r="AB1462">
        <f t="shared" ca="1" si="627"/>
        <v>-5.0000000192085281E-4</v>
      </c>
      <c r="AC1462">
        <f t="shared" ca="1" si="628"/>
        <v>1</v>
      </c>
      <c r="AD1462">
        <f ca="1">IF(V32="Supercritical",L1462,IF(V32="Subcritical",U1462,IF(AND(T1462=1,AC1462=1),IF((((F1462)*(L1462)^2)/2+(G1462)*(L1462)^3/3+(ABS(K1462)^2)/($I$5*MAX(((F1462)+(G1462)*(L1462))*(L1462),0.000001)))&gt;=(((F1462)*(U1462)^2)/2+(G1462)*(U1462)^3/3+(ABS(K1462)^2)/($I$5*MAX(((F1462)+(G1462)*(U1462))*(U1462),0.000001))),L1462,U1462),IF(T1462=1,L1462,IF(AC1462=1,U1462,MAX($D$16,POWER((ABS(K1462)^2)/($I$5*MAX(F1462,0.1)^2),1/3)))))))</f>
        <v>51800.26683766341</v>
      </c>
      <c r="AE1462">
        <f t="shared" ca="1" si="629"/>
        <v>52432.172837663413</v>
      </c>
      <c r="AF1462">
        <f t="shared" ca="1" si="630"/>
        <v>52432.172837665239</v>
      </c>
      <c r="AI1462">
        <v>0</v>
      </c>
      <c r="AJ1462">
        <v>0</v>
      </c>
      <c r="AK1462">
        <f t="shared" si="631"/>
        <v>0</v>
      </c>
      <c r="AL1462">
        <f t="shared" si="640"/>
        <v>0</v>
      </c>
      <c r="AM1462">
        <f t="shared" ca="1" si="632"/>
        <v>2.6560383008097266E-7</v>
      </c>
      <c r="AN1462" t="str">
        <f t="shared" ca="1" si="633"/>
        <v>Subcritical</v>
      </c>
      <c r="AO1462">
        <f t="shared" ca="1" si="634"/>
        <v>2.2562304480281055E-12</v>
      </c>
    </row>
    <row r="1463" spans="1:41" x14ac:dyDescent="0.35">
      <c r="A1463">
        <v>1314</v>
      </c>
      <c r="B1463">
        <v>1312.89</v>
      </c>
      <c r="C1463">
        <v>616067.93900000001</v>
      </c>
      <c r="D1463">
        <v>3096691.3280000002</v>
      </c>
      <c r="E1463">
        <v>631.90549999999996</v>
      </c>
      <c r="F1463">
        <v>5.2</v>
      </c>
      <c r="G1463">
        <v>0</v>
      </c>
      <c r="H1463" t="s">
        <v>186</v>
      </c>
      <c r="I1463">
        <v>0</v>
      </c>
      <c r="J1463">
        <f t="shared" si="635"/>
        <v>1</v>
      </c>
      <c r="K1463">
        <f t="shared" si="636"/>
        <v>51</v>
      </c>
      <c r="L1463">
        <f t="shared" ca="1" si="637"/>
        <v>51797.843837663619</v>
      </c>
      <c r="M1463">
        <f t="shared" ca="1" si="614"/>
        <v>269348.78795585083</v>
      </c>
      <c r="N1463">
        <f t="shared" ca="1" si="615"/>
        <v>2.5998694991876676</v>
      </c>
      <c r="O1463">
        <f t="shared" ca="1" si="616"/>
        <v>1.8934557080078435E-4</v>
      </c>
      <c r="P1463">
        <f t="shared" ca="1" si="617"/>
        <v>52429.749337663619</v>
      </c>
      <c r="Q1463">
        <f t="shared" ca="1" si="618"/>
        <v>52429.749337665446</v>
      </c>
      <c r="R1463">
        <f t="shared" ca="1" si="619"/>
        <v>2.2564415439646509E-12</v>
      </c>
      <c r="S1463">
        <f t="shared" ca="1" si="638"/>
        <v>5.0000000192085281E-4</v>
      </c>
      <c r="T1463">
        <f t="shared" ca="1" si="639"/>
        <v>1</v>
      </c>
      <c r="U1463">
        <f t="shared" ca="1" si="620"/>
        <v>51800.26683766341</v>
      </c>
      <c r="V1463">
        <f t="shared" ca="1" si="621"/>
        <v>269361.38755584974</v>
      </c>
      <c r="W1463">
        <f t="shared" ca="1" si="622"/>
        <v>2.5998695052916441</v>
      </c>
      <c r="X1463">
        <f t="shared" ca="1" si="623"/>
        <v>1.8933671400629237E-4</v>
      </c>
      <c r="Y1463">
        <f t="shared" ca="1" si="624"/>
        <v>52432.172337663411</v>
      </c>
      <c r="Z1463">
        <f t="shared" ca="1" si="625"/>
        <v>52432.172337665237</v>
      </c>
      <c r="AA1463">
        <f t="shared" ca="1" si="626"/>
        <v>2.2562304480281055E-12</v>
      </c>
      <c r="AB1463">
        <f t="shared" ca="1" si="627"/>
        <v>-5.0000000192085281E-4</v>
      </c>
      <c r="AC1463">
        <f t="shared" ca="1" si="628"/>
        <v>1</v>
      </c>
      <c r="AD1463">
        <f ca="1">IF(V32="Supercritical",L1463,IF(V32="Subcritical",U1463,IF(AND(T1463=1,AC1463=1),IF((((F1463)*(L1463)^2)/2+(G1463)*(L1463)^3/3+(ABS(K1463)^2)/($I$5*MAX(((F1463)+(G1463)*(L1463))*(L1463),0.000001)))&gt;=(((F1463)*(U1463)^2)/2+(G1463)*(U1463)^3/3+(ABS(K1463)^2)/($I$5*MAX(((F1463)+(G1463)*(U1463))*(U1463),0.000001))),L1463,U1463),IF(T1463=1,L1463,IF(AC1463=1,U1463,MAX($D$16,POWER((ABS(K1463)^2)/($I$5*MAX(F1463,0.1)^2),1/3)))))))</f>
        <v>51800.26683766341</v>
      </c>
      <c r="AE1463">
        <f t="shared" ca="1" si="629"/>
        <v>52432.172337663411</v>
      </c>
      <c r="AF1463">
        <f t="shared" ca="1" si="630"/>
        <v>52432.172337665237</v>
      </c>
      <c r="AI1463">
        <v>0</v>
      </c>
      <c r="AJ1463">
        <v>0</v>
      </c>
      <c r="AK1463">
        <f t="shared" si="631"/>
        <v>0</v>
      </c>
      <c r="AL1463">
        <f t="shared" si="640"/>
        <v>0</v>
      </c>
      <c r="AM1463">
        <f t="shared" ca="1" si="632"/>
        <v>2.6560383008097266E-7</v>
      </c>
      <c r="AN1463" t="str">
        <f t="shared" ca="1" si="633"/>
        <v>Subcritical</v>
      </c>
      <c r="AO1463">
        <f t="shared" ca="1" si="634"/>
        <v>2.2562304480281055E-12</v>
      </c>
    </row>
    <row r="1464" spans="1:41" x14ac:dyDescent="0.35">
      <c r="A1464">
        <v>1315</v>
      </c>
      <c r="B1464">
        <v>1313.89</v>
      </c>
      <c r="C1464">
        <v>616067.897</v>
      </c>
      <c r="D1464">
        <v>3096690.3289999999</v>
      </c>
      <c r="E1464">
        <v>631.90499999999997</v>
      </c>
      <c r="F1464">
        <v>5.2</v>
      </c>
      <c r="G1464">
        <v>0</v>
      </c>
      <c r="H1464" t="s">
        <v>186</v>
      </c>
      <c r="I1464">
        <v>5.7000000000000002E-2</v>
      </c>
      <c r="J1464">
        <f t="shared" si="635"/>
        <v>1</v>
      </c>
      <c r="K1464">
        <f t="shared" si="636"/>
        <v>51</v>
      </c>
      <c r="L1464">
        <f t="shared" ca="1" si="637"/>
        <v>51797.843837663619</v>
      </c>
      <c r="M1464">
        <f t="shared" ca="1" si="614"/>
        <v>269348.78795585083</v>
      </c>
      <c r="N1464">
        <f t="shared" ca="1" si="615"/>
        <v>2.5998694991876676</v>
      </c>
      <c r="O1464">
        <f t="shared" ca="1" si="616"/>
        <v>1.8934557080078435E-4</v>
      </c>
      <c r="P1464">
        <f t="shared" ca="1" si="617"/>
        <v>52429.748837663617</v>
      </c>
      <c r="Q1464">
        <f t="shared" ca="1" si="618"/>
        <v>52429.748837665444</v>
      </c>
      <c r="R1464">
        <f t="shared" ca="1" si="619"/>
        <v>2.2564415439646509E-12</v>
      </c>
      <c r="S1464">
        <f t="shared" ca="1" si="638"/>
        <v>5.0000000192085281E-4</v>
      </c>
      <c r="T1464">
        <f t="shared" ca="1" si="639"/>
        <v>1</v>
      </c>
      <c r="U1464">
        <f t="shared" ca="1" si="620"/>
        <v>51800.26683766341</v>
      </c>
      <c r="V1464">
        <f t="shared" ca="1" si="621"/>
        <v>269361.38755584974</v>
      </c>
      <c r="W1464">
        <f t="shared" ca="1" si="622"/>
        <v>2.5998695052916441</v>
      </c>
      <c r="X1464">
        <f t="shared" ca="1" si="623"/>
        <v>1.8933671400629237E-4</v>
      </c>
      <c r="Y1464">
        <f t="shared" ca="1" si="624"/>
        <v>52432.171837663409</v>
      </c>
      <c r="Z1464">
        <f t="shared" ca="1" si="625"/>
        <v>52432.171837665235</v>
      </c>
      <c r="AA1464">
        <f t="shared" ca="1" si="626"/>
        <v>2.2562304480281055E-12</v>
      </c>
      <c r="AB1464">
        <f t="shared" ca="1" si="627"/>
        <v>-5.0000000192085281E-4</v>
      </c>
      <c r="AC1464">
        <f t="shared" ca="1" si="628"/>
        <v>1</v>
      </c>
      <c r="AD1464">
        <f ca="1">IF(V32="Supercritical",L1464,IF(V32="Subcritical",U1464,IF(AND(T1464=1,AC1464=1),IF((((F1464)*(L1464)^2)/2+(G1464)*(L1464)^3/3+(ABS(K1464)^2)/($I$5*MAX(((F1464)+(G1464)*(L1464))*(L1464),0.000001)))&gt;=(((F1464)*(U1464)^2)/2+(G1464)*(U1464)^3/3+(ABS(K1464)^2)/($I$5*MAX(((F1464)+(G1464)*(U1464))*(U1464),0.000001))),L1464,U1464),IF(T1464=1,L1464,IF(AC1464=1,U1464,MAX($D$16,POWER((ABS(K1464)^2)/($I$5*MAX(F1464,0.1)^2),1/3)))))))</f>
        <v>51800.26683766341</v>
      </c>
      <c r="AE1464">
        <f t="shared" ca="1" si="629"/>
        <v>52432.171837663409</v>
      </c>
      <c r="AF1464">
        <f t="shared" ca="1" si="630"/>
        <v>52432.171837665235</v>
      </c>
      <c r="AI1464">
        <v>0</v>
      </c>
      <c r="AJ1464">
        <v>0</v>
      </c>
      <c r="AK1464">
        <f t="shared" si="631"/>
        <v>0</v>
      </c>
      <c r="AL1464">
        <f t="shared" si="640"/>
        <v>0</v>
      </c>
      <c r="AM1464">
        <f t="shared" ca="1" si="632"/>
        <v>2.6560383008097266E-7</v>
      </c>
      <c r="AN1464" t="str">
        <f t="shared" ca="1" si="633"/>
        <v>Subcritical</v>
      </c>
      <c r="AO1464">
        <f t="shared" ca="1" si="634"/>
        <v>2.2562304480281055E-12</v>
      </c>
    </row>
    <row r="1465" spans="1:41" x14ac:dyDescent="0.35">
      <c r="A1465">
        <v>1316</v>
      </c>
      <c r="B1465">
        <v>1314.8889999999999</v>
      </c>
      <c r="C1465">
        <v>616067.85400000005</v>
      </c>
      <c r="D1465">
        <v>3096689.33</v>
      </c>
      <c r="E1465">
        <v>631.90449999999998</v>
      </c>
      <c r="F1465">
        <v>5.2</v>
      </c>
      <c r="G1465">
        <v>0</v>
      </c>
      <c r="H1465" t="s">
        <v>186</v>
      </c>
      <c r="I1465">
        <v>5.7000000000000002E-2</v>
      </c>
      <c r="J1465">
        <f t="shared" si="635"/>
        <v>0.99899999999979627</v>
      </c>
      <c r="K1465">
        <f t="shared" si="636"/>
        <v>51</v>
      </c>
      <c r="L1465">
        <f t="shared" ca="1" si="637"/>
        <v>51797.843837663619</v>
      </c>
      <c r="M1465">
        <f t="shared" ca="1" si="614"/>
        <v>269348.78795585083</v>
      </c>
      <c r="N1465">
        <f t="shared" ca="1" si="615"/>
        <v>2.5998694991876676</v>
      </c>
      <c r="O1465">
        <f t="shared" ca="1" si="616"/>
        <v>1.8934557080078435E-4</v>
      </c>
      <c r="P1465">
        <f t="shared" ca="1" si="617"/>
        <v>52429.748337663616</v>
      </c>
      <c r="Q1465">
        <f t="shared" ca="1" si="618"/>
        <v>52429.748337665442</v>
      </c>
      <c r="R1465">
        <f t="shared" ca="1" si="619"/>
        <v>2.2564415439646509E-12</v>
      </c>
      <c r="S1465">
        <f t="shared" ca="1" si="638"/>
        <v>5.0000000192085281E-4</v>
      </c>
      <c r="T1465">
        <f t="shared" ca="1" si="639"/>
        <v>1</v>
      </c>
      <c r="U1465">
        <f t="shared" ca="1" si="620"/>
        <v>51800.26683766341</v>
      </c>
      <c r="V1465">
        <f t="shared" ca="1" si="621"/>
        <v>269361.38755584974</v>
      </c>
      <c r="W1465">
        <f t="shared" ca="1" si="622"/>
        <v>2.5998695052916441</v>
      </c>
      <c r="X1465">
        <f t="shared" ca="1" si="623"/>
        <v>1.8933671400629237E-4</v>
      </c>
      <c r="Y1465">
        <f t="shared" ca="1" si="624"/>
        <v>52432.171337663407</v>
      </c>
      <c r="Z1465">
        <f t="shared" ca="1" si="625"/>
        <v>52432.171337665233</v>
      </c>
      <c r="AA1465">
        <f t="shared" ca="1" si="626"/>
        <v>2.2562304480281055E-12</v>
      </c>
      <c r="AB1465">
        <f t="shared" ca="1" si="627"/>
        <v>-4.999999946448952E-4</v>
      </c>
      <c r="AC1465">
        <f t="shared" ca="1" si="628"/>
        <v>1</v>
      </c>
      <c r="AD1465">
        <f ca="1">IF(V32="Supercritical",L1465,IF(V32="Subcritical",U1465,IF(AND(T1465=1,AC1465=1),IF((((F1465)*(L1465)^2)/2+(G1465)*(L1465)^3/3+(ABS(K1465)^2)/($I$5*MAX(((F1465)+(G1465)*(L1465))*(L1465),0.000001)))&gt;=(((F1465)*(U1465)^2)/2+(G1465)*(U1465)^3/3+(ABS(K1465)^2)/($I$5*MAX(((F1465)+(G1465)*(U1465))*(U1465),0.000001))),L1465,U1465),IF(T1465=1,L1465,IF(AC1465=1,U1465,MAX($D$16,POWER((ABS(K1465)^2)/($I$5*MAX(F1465,0.1)^2),1/3)))))))</f>
        <v>51800.26683766341</v>
      </c>
      <c r="AE1465">
        <f t="shared" ca="1" si="629"/>
        <v>52432.171337663407</v>
      </c>
      <c r="AF1465">
        <f t="shared" ca="1" si="630"/>
        <v>52432.171337665233</v>
      </c>
      <c r="AI1465">
        <v>0</v>
      </c>
      <c r="AJ1465">
        <v>0</v>
      </c>
      <c r="AK1465">
        <f t="shared" si="631"/>
        <v>0</v>
      </c>
      <c r="AL1465">
        <f t="shared" si="640"/>
        <v>0</v>
      </c>
      <c r="AM1465">
        <f t="shared" ca="1" si="632"/>
        <v>2.6560383008097266E-7</v>
      </c>
      <c r="AN1465" t="str">
        <f t="shared" ca="1" si="633"/>
        <v>Subcritical</v>
      </c>
      <c r="AO1465">
        <f t="shared" ca="1" si="634"/>
        <v>2.2562304480281055E-12</v>
      </c>
    </row>
    <row r="1466" spans="1:41" x14ac:dyDescent="0.35">
      <c r="A1466">
        <v>1317</v>
      </c>
      <c r="B1466">
        <v>1315.8889999999999</v>
      </c>
      <c r="C1466">
        <v>616067.81200000003</v>
      </c>
      <c r="D1466">
        <v>3096688.3309999998</v>
      </c>
      <c r="E1466">
        <v>631.904</v>
      </c>
      <c r="F1466">
        <v>5.2</v>
      </c>
      <c r="G1466">
        <v>0</v>
      </c>
      <c r="H1466" t="s">
        <v>186</v>
      </c>
      <c r="I1466">
        <v>0</v>
      </c>
      <c r="J1466">
        <f t="shared" si="635"/>
        <v>1</v>
      </c>
      <c r="K1466">
        <f t="shared" si="636"/>
        <v>51</v>
      </c>
      <c r="L1466">
        <f t="shared" ca="1" si="637"/>
        <v>51797.843837663619</v>
      </c>
      <c r="M1466">
        <f t="shared" ca="1" si="614"/>
        <v>269348.78795585083</v>
      </c>
      <c r="N1466">
        <f t="shared" ca="1" si="615"/>
        <v>2.5998694991876676</v>
      </c>
      <c r="O1466">
        <f t="shared" ca="1" si="616"/>
        <v>1.8934557080078435E-4</v>
      </c>
      <c r="P1466">
        <f t="shared" ca="1" si="617"/>
        <v>52429.747837663621</v>
      </c>
      <c r="Q1466">
        <f t="shared" ca="1" si="618"/>
        <v>52429.747837665447</v>
      </c>
      <c r="R1466">
        <f t="shared" ca="1" si="619"/>
        <v>2.2564415439646509E-12</v>
      </c>
      <c r="S1466">
        <f t="shared" ca="1" si="638"/>
        <v>4.999999946448952E-4</v>
      </c>
      <c r="T1466">
        <f t="shared" ca="1" si="639"/>
        <v>1</v>
      </c>
      <c r="U1466">
        <f t="shared" ca="1" si="620"/>
        <v>51800.26683766341</v>
      </c>
      <c r="V1466">
        <f t="shared" ca="1" si="621"/>
        <v>269361.38755584974</v>
      </c>
      <c r="W1466">
        <f t="shared" ca="1" si="622"/>
        <v>2.5998695052916441</v>
      </c>
      <c r="X1466">
        <f t="shared" ca="1" si="623"/>
        <v>1.8933671400629237E-4</v>
      </c>
      <c r="Y1466">
        <f t="shared" ca="1" si="624"/>
        <v>52432.170837663412</v>
      </c>
      <c r="Z1466">
        <f t="shared" ca="1" si="625"/>
        <v>52432.170837665239</v>
      </c>
      <c r="AA1466">
        <f t="shared" ca="1" si="626"/>
        <v>2.2562304480281055E-12</v>
      </c>
      <c r="AB1466">
        <f t="shared" ca="1" si="627"/>
        <v>-5.0000000192085281E-4</v>
      </c>
      <c r="AC1466">
        <f t="shared" ca="1" si="628"/>
        <v>1</v>
      </c>
      <c r="AD1466">
        <f ca="1">IF(V32="Supercritical",L1466,IF(V32="Subcritical",U1466,IF(AND(T1466=1,AC1466=1),IF((((F1466)*(L1466)^2)/2+(G1466)*(L1466)^3/3+(ABS(K1466)^2)/($I$5*MAX(((F1466)+(G1466)*(L1466))*(L1466),0.000001)))&gt;=(((F1466)*(U1466)^2)/2+(G1466)*(U1466)^3/3+(ABS(K1466)^2)/($I$5*MAX(((F1466)+(G1466)*(U1466))*(U1466),0.000001))),L1466,U1466),IF(T1466=1,L1466,IF(AC1466=1,U1466,MAX($D$16,POWER((ABS(K1466)^2)/($I$5*MAX(F1466,0.1)^2),1/3)))))))</f>
        <v>51800.26683766341</v>
      </c>
      <c r="AE1466">
        <f t="shared" ca="1" si="629"/>
        <v>52432.170837663412</v>
      </c>
      <c r="AF1466">
        <f t="shared" ca="1" si="630"/>
        <v>52432.170837665239</v>
      </c>
      <c r="AI1466">
        <v>0</v>
      </c>
      <c r="AJ1466">
        <v>0</v>
      </c>
      <c r="AK1466">
        <f t="shared" si="631"/>
        <v>0</v>
      </c>
      <c r="AL1466">
        <f t="shared" si="640"/>
        <v>0</v>
      </c>
      <c r="AM1466">
        <f t="shared" ca="1" si="632"/>
        <v>2.6560383008097266E-7</v>
      </c>
      <c r="AN1466" t="str">
        <f t="shared" ca="1" si="633"/>
        <v>Subcritical</v>
      </c>
      <c r="AO1466">
        <f t="shared" ca="1" si="634"/>
        <v>2.2562304480281055E-12</v>
      </c>
    </row>
    <row r="1467" spans="1:41" x14ac:dyDescent="0.35">
      <c r="A1467">
        <v>1318</v>
      </c>
      <c r="B1467">
        <v>1316.8889999999999</v>
      </c>
      <c r="C1467">
        <v>616067.77</v>
      </c>
      <c r="D1467">
        <v>3096687.3319999999</v>
      </c>
      <c r="E1467">
        <v>631.90350000000001</v>
      </c>
      <c r="F1467">
        <v>5.2</v>
      </c>
      <c r="G1467">
        <v>0</v>
      </c>
      <c r="H1467" t="s">
        <v>186</v>
      </c>
      <c r="I1467">
        <v>0</v>
      </c>
      <c r="J1467">
        <f t="shared" si="635"/>
        <v>1</v>
      </c>
      <c r="K1467">
        <f t="shared" si="636"/>
        <v>51</v>
      </c>
      <c r="L1467">
        <f t="shared" ca="1" si="637"/>
        <v>51797.843837663619</v>
      </c>
      <c r="M1467">
        <f t="shared" ca="1" si="614"/>
        <v>269348.78795585083</v>
      </c>
      <c r="N1467">
        <f t="shared" ca="1" si="615"/>
        <v>2.5998694991876676</v>
      </c>
      <c r="O1467">
        <f t="shared" ca="1" si="616"/>
        <v>1.8934557080078435E-4</v>
      </c>
      <c r="P1467">
        <f t="shared" ca="1" si="617"/>
        <v>52429.747337663619</v>
      </c>
      <c r="Q1467">
        <f t="shared" ca="1" si="618"/>
        <v>52429.747337665445</v>
      </c>
      <c r="R1467">
        <f t="shared" ca="1" si="619"/>
        <v>2.2564415439646509E-12</v>
      </c>
      <c r="S1467">
        <f t="shared" ca="1" si="638"/>
        <v>5.0000000192085281E-4</v>
      </c>
      <c r="T1467">
        <f t="shared" ca="1" si="639"/>
        <v>1</v>
      </c>
      <c r="U1467">
        <f t="shared" ca="1" si="620"/>
        <v>51800.26683766341</v>
      </c>
      <c r="V1467">
        <f t="shared" ca="1" si="621"/>
        <v>269361.38755584974</v>
      </c>
      <c r="W1467">
        <f t="shared" ca="1" si="622"/>
        <v>2.5998695052916441</v>
      </c>
      <c r="X1467">
        <f t="shared" ca="1" si="623"/>
        <v>1.8933671400629237E-4</v>
      </c>
      <c r="Y1467">
        <f t="shared" ca="1" si="624"/>
        <v>52432.17033766341</v>
      </c>
      <c r="Z1467">
        <f t="shared" ca="1" si="625"/>
        <v>52432.170337665237</v>
      </c>
      <c r="AA1467">
        <f t="shared" ca="1" si="626"/>
        <v>2.2562304480281055E-12</v>
      </c>
      <c r="AB1467">
        <f t="shared" ca="1" si="627"/>
        <v>-5.0000000192085281E-4</v>
      </c>
      <c r="AC1467">
        <f t="shared" ca="1" si="628"/>
        <v>1</v>
      </c>
      <c r="AD1467">
        <f ca="1">IF(V32="Supercritical",L1467,IF(V32="Subcritical",U1467,IF(AND(T1467=1,AC1467=1),IF((((F1467)*(L1467)^2)/2+(G1467)*(L1467)^3/3+(ABS(K1467)^2)/($I$5*MAX(((F1467)+(G1467)*(L1467))*(L1467),0.000001)))&gt;=(((F1467)*(U1467)^2)/2+(G1467)*(U1467)^3/3+(ABS(K1467)^2)/($I$5*MAX(((F1467)+(G1467)*(U1467))*(U1467),0.000001))),L1467,U1467),IF(T1467=1,L1467,IF(AC1467=1,U1467,MAX($D$16,POWER((ABS(K1467)^2)/($I$5*MAX(F1467,0.1)^2),1/3)))))))</f>
        <v>51800.26683766341</v>
      </c>
      <c r="AE1467">
        <f t="shared" ca="1" si="629"/>
        <v>52432.17033766341</v>
      </c>
      <c r="AF1467">
        <f t="shared" ca="1" si="630"/>
        <v>52432.170337665237</v>
      </c>
      <c r="AI1467">
        <v>0</v>
      </c>
      <c r="AJ1467">
        <v>0</v>
      </c>
      <c r="AK1467">
        <f t="shared" si="631"/>
        <v>0</v>
      </c>
      <c r="AL1467">
        <f t="shared" si="640"/>
        <v>0</v>
      </c>
      <c r="AM1467">
        <f t="shared" ca="1" si="632"/>
        <v>2.6560383008097266E-7</v>
      </c>
      <c r="AN1467" t="str">
        <f t="shared" ca="1" si="633"/>
        <v>Subcritical</v>
      </c>
      <c r="AO1467">
        <f t="shared" ca="1" si="634"/>
        <v>2.2562304480281055E-12</v>
      </c>
    </row>
    <row r="1468" spans="1:41" x14ac:dyDescent="0.35">
      <c r="A1468">
        <v>1319</v>
      </c>
      <c r="B1468">
        <v>1317.8889999999999</v>
      </c>
      <c r="C1468">
        <v>616067.728</v>
      </c>
      <c r="D1468">
        <v>3096686.3330000001</v>
      </c>
      <c r="E1468">
        <v>631.90300000000002</v>
      </c>
      <c r="F1468">
        <v>5.2</v>
      </c>
      <c r="G1468">
        <v>0</v>
      </c>
      <c r="H1468" t="s">
        <v>186</v>
      </c>
      <c r="I1468">
        <v>5.7000000000000002E-2</v>
      </c>
      <c r="J1468">
        <f t="shared" si="635"/>
        <v>1</v>
      </c>
      <c r="K1468">
        <f t="shared" si="636"/>
        <v>51</v>
      </c>
      <c r="L1468">
        <f t="shared" ca="1" si="637"/>
        <v>51797.843837663619</v>
      </c>
      <c r="M1468">
        <f t="shared" ca="1" si="614"/>
        <v>269348.78795585083</v>
      </c>
      <c r="N1468">
        <f t="shared" ca="1" si="615"/>
        <v>2.5998694991876676</v>
      </c>
      <c r="O1468">
        <f t="shared" ca="1" si="616"/>
        <v>1.8934557080078435E-4</v>
      </c>
      <c r="P1468">
        <f t="shared" ca="1" si="617"/>
        <v>52429.746837663617</v>
      </c>
      <c r="Q1468">
        <f t="shared" ca="1" si="618"/>
        <v>52429.746837665443</v>
      </c>
      <c r="R1468">
        <f t="shared" ca="1" si="619"/>
        <v>2.2564415439646509E-12</v>
      </c>
      <c r="S1468">
        <f t="shared" ca="1" si="638"/>
        <v>5.0000000192085281E-4</v>
      </c>
      <c r="T1468">
        <f t="shared" ca="1" si="639"/>
        <v>1</v>
      </c>
      <c r="U1468">
        <f t="shared" ca="1" si="620"/>
        <v>51800.26683766341</v>
      </c>
      <c r="V1468">
        <f t="shared" ca="1" si="621"/>
        <v>269361.38755584974</v>
      </c>
      <c r="W1468">
        <f t="shared" ca="1" si="622"/>
        <v>2.5998695052916441</v>
      </c>
      <c r="X1468">
        <f t="shared" ca="1" si="623"/>
        <v>1.8933671400629237E-4</v>
      </c>
      <c r="Y1468">
        <f t="shared" ca="1" si="624"/>
        <v>52432.169837663409</v>
      </c>
      <c r="Z1468">
        <f t="shared" ca="1" si="625"/>
        <v>52432.169837665235</v>
      </c>
      <c r="AA1468">
        <f t="shared" ca="1" si="626"/>
        <v>2.2562304480281055E-12</v>
      </c>
      <c r="AB1468">
        <f t="shared" ca="1" si="627"/>
        <v>-5.0000000192085281E-4</v>
      </c>
      <c r="AC1468">
        <f t="shared" ca="1" si="628"/>
        <v>1</v>
      </c>
      <c r="AD1468">
        <f ca="1">IF(V32="Supercritical",L1468,IF(V32="Subcritical",U1468,IF(AND(T1468=1,AC1468=1),IF((((F1468)*(L1468)^2)/2+(G1468)*(L1468)^3/3+(ABS(K1468)^2)/($I$5*MAX(((F1468)+(G1468)*(L1468))*(L1468),0.000001)))&gt;=(((F1468)*(U1468)^2)/2+(G1468)*(U1468)^3/3+(ABS(K1468)^2)/($I$5*MAX(((F1468)+(G1468)*(U1468))*(U1468),0.000001))),L1468,U1468),IF(T1468=1,L1468,IF(AC1468=1,U1468,MAX($D$16,POWER((ABS(K1468)^2)/($I$5*MAX(F1468,0.1)^2),1/3)))))))</f>
        <v>51800.26683766341</v>
      </c>
      <c r="AE1468">
        <f t="shared" ca="1" si="629"/>
        <v>52432.169837663409</v>
      </c>
      <c r="AF1468">
        <f t="shared" ca="1" si="630"/>
        <v>52432.169837665235</v>
      </c>
      <c r="AI1468">
        <v>0</v>
      </c>
      <c r="AJ1468">
        <v>0</v>
      </c>
      <c r="AK1468">
        <f t="shared" si="631"/>
        <v>0</v>
      </c>
      <c r="AL1468">
        <f t="shared" si="640"/>
        <v>0</v>
      </c>
      <c r="AM1468">
        <f t="shared" ca="1" si="632"/>
        <v>2.6560383008097266E-7</v>
      </c>
      <c r="AN1468" t="str">
        <f t="shared" ca="1" si="633"/>
        <v>Subcritical</v>
      </c>
      <c r="AO1468">
        <f t="shared" ca="1" si="634"/>
        <v>2.2562304480281055E-12</v>
      </c>
    </row>
    <row r="1469" spans="1:41" x14ac:dyDescent="0.35">
      <c r="A1469">
        <v>1320</v>
      </c>
      <c r="B1469">
        <v>1318.8889999999999</v>
      </c>
      <c r="C1469">
        <v>616067.68500000006</v>
      </c>
      <c r="D1469">
        <v>3096685.3339999998</v>
      </c>
      <c r="E1469">
        <v>631.90250000000003</v>
      </c>
      <c r="F1469">
        <v>5.2</v>
      </c>
      <c r="G1469">
        <v>0</v>
      </c>
      <c r="H1469" t="s">
        <v>186</v>
      </c>
      <c r="I1469">
        <v>5.7000000000000002E-2</v>
      </c>
      <c r="J1469">
        <f t="shared" si="635"/>
        <v>1</v>
      </c>
      <c r="K1469">
        <f t="shared" si="636"/>
        <v>51</v>
      </c>
      <c r="L1469">
        <f t="shared" ca="1" si="637"/>
        <v>51797.843837663619</v>
      </c>
      <c r="M1469">
        <f t="shared" ca="1" si="614"/>
        <v>269348.78795585083</v>
      </c>
      <c r="N1469">
        <f t="shared" ca="1" si="615"/>
        <v>2.5998694991876676</v>
      </c>
      <c r="O1469">
        <f t="shared" ca="1" si="616"/>
        <v>1.8934557080078435E-4</v>
      </c>
      <c r="P1469">
        <f t="shared" ca="1" si="617"/>
        <v>52429.746337663615</v>
      </c>
      <c r="Q1469">
        <f t="shared" ca="1" si="618"/>
        <v>52429.746337665441</v>
      </c>
      <c r="R1469">
        <f t="shared" ca="1" si="619"/>
        <v>2.2564415439646509E-12</v>
      </c>
      <c r="S1469">
        <f t="shared" ca="1" si="638"/>
        <v>5.0000000192085281E-4</v>
      </c>
      <c r="T1469">
        <f t="shared" ca="1" si="639"/>
        <v>1</v>
      </c>
      <c r="U1469">
        <f t="shared" ca="1" si="620"/>
        <v>51800.26683766341</v>
      </c>
      <c r="V1469">
        <f t="shared" ca="1" si="621"/>
        <v>269361.38755584974</v>
      </c>
      <c r="W1469">
        <f t="shared" ca="1" si="622"/>
        <v>2.5998695052916441</v>
      </c>
      <c r="X1469">
        <f t="shared" ca="1" si="623"/>
        <v>1.8933671400629237E-4</v>
      </c>
      <c r="Y1469">
        <f t="shared" ca="1" si="624"/>
        <v>52432.169337663407</v>
      </c>
      <c r="Z1469">
        <f t="shared" ca="1" si="625"/>
        <v>52432.169337665233</v>
      </c>
      <c r="AA1469">
        <f t="shared" ca="1" si="626"/>
        <v>2.2562304480281055E-12</v>
      </c>
      <c r="AB1469">
        <f t="shared" ca="1" si="627"/>
        <v>-4.999999946448952E-4</v>
      </c>
      <c r="AC1469">
        <f t="shared" ca="1" si="628"/>
        <v>1</v>
      </c>
      <c r="AD1469">
        <f ca="1">IF(V32="Supercritical",L1469,IF(V32="Subcritical",U1469,IF(AND(T1469=1,AC1469=1),IF((((F1469)*(L1469)^2)/2+(G1469)*(L1469)^3/3+(ABS(K1469)^2)/($I$5*MAX(((F1469)+(G1469)*(L1469))*(L1469),0.000001)))&gt;=(((F1469)*(U1469)^2)/2+(G1469)*(U1469)^3/3+(ABS(K1469)^2)/($I$5*MAX(((F1469)+(G1469)*(U1469))*(U1469),0.000001))),L1469,U1469),IF(T1469=1,L1469,IF(AC1469=1,U1469,MAX($D$16,POWER((ABS(K1469)^2)/($I$5*MAX(F1469,0.1)^2),1/3)))))))</f>
        <v>51800.26683766341</v>
      </c>
      <c r="AE1469">
        <f t="shared" ca="1" si="629"/>
        <v>52432.169337663407</v>
      </c>
      <c r="AF1469">
        <f t="shared" ca="1" si="630"/>
        <v>52432.169337665233</v>
      </c>
      <c r="AI1469">
        <v>0</v>
      </c>
      <c r="AJ1469">
        <v>0</v>
      </c>
      <c r="AK1469">
        <f t="shared" si="631"/>
        <v>0</v>
      </c>
      <c r="AL1469">
        <f t="shared" si="640"/>
        <v>0</v>
      </c>
      <c r="AM1469">
        <f t="shared" ca="1" si="632"/>
        <v>2.6560383008097266E-7</v>
      </c>
      <c r="AN1469" t="str">
        <f t="shared" ca="1" si="633"/>
        <v>Subcritical</v>
      </c>
      <c r="AO1469">
        <f t="shared" ca="1" si="634"/>
        <v>2.2562304480281055E-12</v>
      </c>
    </row>
    <row r="1470" spans="1:41" x14ac:dyDescent="0.35">
      <c r="A1470">
        <v>1321</v>
      </c>
      <c r="B1470">
        <v>1319.8889999999999</v>
      </c>
      <c r="C1470">
        <v>616067.64300000004</v>
      </c>
      <c r="D1470">
        <v>3096684.335</v>
      </c>
      <c r="E1470">
        <v>631.90200000000004</v>
      </c>
      <c r="F1470">
        <v>5.2</v>
      </c>
      <c r="G1470">
        <v>0</v>
      </c>
      <c r="H1470" t="s">
        <v>186</v>
      </c>
      <c r="I1470">
        <v>0</v>
      </c>
      <c r="J1470">
        <f t="shared" si="635"/>
        <v>1</v>
      </c>
      <c r="K1470">
        <f t="shared" si="636"/>
        <v>51</v>
      </c>
      <c r="L1470">
        <f t="shared" ca="1" si="637"/>
        <v>51797.843837663619</v>
      </c>
      <c r="M1470">
        <f t="shared" ca="1" si="614"/>
        <v>269348.78795585083</v>
      </c>
      <c r="N1470">
        <f t="shared" ca="1" si="615"/>
        <v>2.5998694991876676</v>
      </c>
      <c r="O1470">
        <f t="shared" ca="1" si="616"/>
        <v>1.8934557080078435E-4</v>
      </c>
      <c r="P1470">
        <f t="shared" ca="1" si="617"/>
        <v>52429.74583766362</v>
      </c>
      <c r="Q1470">
        <f t="shared" ca="1" si="618"/>
        <v>52429.745837665447</v>
      </c>
      <c r="R1470">
        <f t="shared" ca="1" si="619"/>
        <v>2.2564415439646509E-12</v>
      </c>
      <c r="S1470">
        <f t="shared" ca="1" si="638"/>
        <v>4.999999946448952E-4</v>
      </c>
      <c r="T1470">
        <f t="shared" ca="1" si="639"/>
        <v>1</v>
      </c>
      <c r="U1470">
        <f t="shared" ca="1" si="620"/>
        <v>51800.26683766341</v>
      </c>
      <c r="V1470">
        <f t="shared" ca="1" si="621"/>
        <v>269361.38755584974</v>
      </c>
      <c r="W1470">
        <f t="shared" ca="1" si="622"/>
        <v>2.5998695052916441</v>
      </c>
      <c r="X1470">
        <f t="shared" ca="1" si="623"/>
        <v>1.8933671400629237E-4</v>
      </c>
      <c r="Y1470">
        <f t="shared" ca="1" si="624"/>
        <v>52432.168837663412</v>
      </c>
      <c r="Z1470">
        <f t="shared" ca="1" si="625"/>
        <v>52432.168837665238</v>
      </c>
      <c r="AA1470">
        <f t="shared" ca="1" si="626"/>
        <v>2.2562304480281055E-12</v>
      </c>
      <c r="AB1470">
        <f t="shared" ca="1" si="627"/>
        <v>-5.0000000192085281E-4</v>
      </c>
      <c r="AC1470">
        <f t="shared" ca="1" si="628"/>
        <v>1</v>
      </c>
      <c r="AD1470">
        <f ca="1">IF(V32="Supercritical",L1470,IF(V32="Subcritical",U1470,IF(AND(T1470=1,AC1470=1),IF((((F1470)*(L1470)^2)/2+(G1470)*(L1470)^3/3+(ABS(K1470)^2)/($I$5*MAX(((F1470)+(G1470)*(L1470))*(L1470),0.000001)))&gt;=(((F1470)*(U1470)^2)/2+(G1470)*(U1470)^3/3+(ABS(K1470)^2)/($I$5*MAX(((F1470)+(G1470)*(U1470))*(U1470),0.000001))),L1470,U1470),IF(T1470=1,L1470,IF(AC1470=1,U1470,MAX($D$16,POWER((ABS(K1470)^2)/($I$5*MAX(F1470,0.1)^2),1/3)))))))</f>
        <v>51800.26683766341</v>
      </c>
      <c r="AE1470">
        <f t="shared" ca="1" si="629"/>
        <v>52432.168837663412</v>
      </c>
      <c r="AF1470">
        <f t="shared" ca="1" si="630"/>
        <v>52432.168837665238</v>
      </c>
      <c r="AI1470">
        <v>0</v>
      </c>
      <c r="AJ1470">
        <v>0</v>
      </c>
      <c r="AK1470">
        <f t="shared" si="631"/>
        <v>0</v>
      </c>
      <c r="AL1470">
        <f t="shared" si="640"/>
        <v>0</v>
      </c>
      <c r="AM1470">
        <f t="shared" ca="1" si="632"/>
        <v>2.6560383008097266E-7</v>
      </c>
      <c r="AN1470" t="str">
        <f t="shared" ca="1" si="633"/>
        <v>Subcritical</v>
      </c>
      <c r="AO1470">
        <f t="shared" ca="1" si="634"/>
        <v>2.2562304480281055E-12</v>
      </c>
    </row>
    <row r="1471" spans="1:41" x14ac:dyDescent="0.35">
      <c r="A1471">
        <v>1322</v>
      </c>
      <c r="B1471">
        <v>1320.8889999999999</v>
      </c>
      <c r="C1471">
        <v>616067.60100000002</v>
      </c>
      <c r="D1471">
        <v>3096683.3360000001</v>
      </c>
      <c r="E1471">
        <v>631.90150000000006</v>
      </c>
      <c r="F1471">
        <v>5.2</v>
      </c>
      <c r="G1471">
        <v>0</v>
      </c>
      <c r="H1471" t="s">
        <v>186</v>
      </c>
      <c r="I1471">
        <v>2E-3</v>
      </c>
      <c r="J1471">
        <f t="shared" si="635"/>
        <v>1</v>
      </c>
      <c r="K1471">
        <f t="shared" si="636"/>
        <v>51</v>
      </c>
      <c r="L1471">
        <f t="shared" ca="1" si="637"/>
        <v>51797.843837663619</v>
      </c>
      <c r="M1471">
        <f t="shared" ca="1" si="614"/>
        <v>269348.78795585083</v>
      </c>
      <c r="N1471">
        <f t="shared" ca="1" si="615"/>
        <v>2.5998694991876676</v>
      </c>
      <c r="O1471">
        <f t="shared" ca="1" si="616"/>
        <v>1.8934557080078435E-4</v>
      </c>
      <c r="P1471">
        <f t="shared" ca="1" si="617"/>
        <v>52429.745337663619</v>
      </c>
      <c r="Q1471">
        <f t="shared" ca="1" si="618"/>
        <v>52429.745337665445</v>
      </c>
      <c r="R1471">
        <f t="shared" ca="1" si="619"/>
        <v>2.2564415439646509E-12</v>
      </c>
      <c r="S1471">
        <f t="shared" ca="1" si="638"/>
        <v>5.0000000192085281E-4</v>
      </c>
      <c r="T1471">
        <f t="shared" ca="1" si="639"/>
        <v>1</v>
      </c>
      <c r="U1471">
        <f t="shared" ca="1" si="620"/>
        <v>51800.26683766341</v>
      </c>
      <c r="V1471">
        <f t="shared" ca="1" si="621"/>
        <v>269361.38755584974</v>
      </c>
      <c r="W1471">
        <f t="shared" ca="1" si="622"/>
        <v>2.5998695052916441</v>
      </c>
      <c r="X1471">
        <f t="shared" ca="1" si="623"/>
        <v>1.8933671400629237E-4</v>
      </c>
      <c r="Y1471">
        <f t="shared" ca="1" si="624"/>
        <v>52432.16833766341</v>
      </c>
      <c r="Z1471">
        <f t="shared" ca="1" si="625"/>
        <v>52432.168337665236</v>
      </c>
      <c r="AA1471">
        <f t="shared" ca="1" si="626"/>
        <v>2.2562304480281055E-12</v>
      </c>
      <c r="AB1471">
        <f t="shared" ca="1" si="627"/>
        <v>-5.0000000192085281E-4</v>
      </c>
      <c r="AC1471">
        <f t="shared" ca="1" si="628"/>
        <v>1</v>
      </c>
      <c r="AD1471">
        <f ca="1">IF(V32="Supercritical",L1471,IF(V32="Subcritical",U1471,IF(AND(T1471=1,AC1471=1),IF((((F1471)*(L1471)^2)/2+(G1471)*(L1471)^3/3+(ABS(K1471)^2)/($I$5*MAX(((F1471)+(G1471)*(L1471))*(L1471),0.000001)))&gt;=(((F1471)*(U1471)^2)/2+(G1471)*(U1471)^3/3+(ABS(K1471)^2)/($I$5*MAX(((F1471)+(G1471)*(U1471))*(U1471),0.000001))),L1471,U1471),IF(T1471=1,L1471,IF(AC1471=1,U1471,MAX($D$16,POWER((ABS(K1471)^2)/($I$5*MAX(F1471,0.1)^2),1/3)))))))</f>
        <v>51800.26683766341</v>
      </c>
      <c r="AE1471">
        <f t="shared" ca="1" si="629"/>
        <v>52432.16833766341</v>
      </c>
      <c r="AF1471">
        <f t="shared" ca="1" si="630"/>
        <v>52432.168337665236</v>
      </c>
      <c r="AI1471">
        <v>0</v>
      </c>
      <c r="AJ1471">
        <v>0</v>
      </c>
      <c r="AK1471">
        <f t="shared" si="631"/>
        <v>0</v>
      </c>
      <c r="AL1471">
        <f t="shared" si="640"/>
        <v>0</v>
      </c>
      <c r="AM1471">
        <f t="shared" ca="1" si="632"/>
        <v>2.6560383008097266E-7</v>
      </c>
      <c r="AN1471" t="str">
        <f t="shared" ca="1" si="633"/>
        <v>Subcritical</v>
      </c>
      <c r="AO1471">
        <f t="shared" ca="1" si="634"/>
        <v>2.2562304480281055E-12</v>
      </c>
    </row>
    <row r="1472" spans="1:41" x14ac:dyDescent="0.35">
      <c r="A1472">
        <v>1323</v>
      </c>
      <c r="B1472">
        <v>1321.89</v>
      </c>
      <c r="C1472">
        <v>616067.55900000001</v>
      </c>
      <c r="D1472">
        <v>3096682.3360000001</v>
      </c>
      <c r="E1472">
        <v>631.90099999999995</v>
      </c>
      <c r="F1472">
        <v>5.2</v>
      </c>
      <c r="G1472">
        <v>0</v>
      </c>
      <c r="H1472" t="s">
        <v>186</v>
      </c>
      <c r="I1472">
        <v>0.06</v>
      </c>
      <c r="J1472">
        <f t="shared" si="635"/>
        <v>1.0010000000002037</v>
      </c>
      <c r="K1472">
        <f t="shared" si="636"/>
        <v>51</v>
      </c>
      <c r="L1472">
        <f t="shared" ca="1" si="637"/>
        <v>51797.843837663619</v>
      </c>
      <c r="M1472">
        <f t="shared" ca="1" si="614"/>
        <v>269348.78795585083</v>
      </c>
      <c r="N1472">
        <f t="shared" ca="1" si="615"/>
        <v>2.5998694991876676</v>
      </c>
      <c r="O1472">
        <f t="shared" ca="1" si="616"/>
        <v>1.8934557080078435E-4</v>
      </c>
      <c r="P1472">
        <f t="shared" ca="1" si="617"/>
        <v>52429.744837663617</v>
      </c>
      <c r="Q1472">
        <f t="shared" ca="1" si="618"/>
        <v>52429.744837665443</v>
      </c>
      <c r="R1472">
        <f t="shared" ca="1" si="619"/>
        <v>2.2564415439646509E-12</v>
      </c>
      <c r="S1472">
        <f t="shared" ca="1" si="638"/>
        <v>5.0000000192085281E-4</v>
      </c>
      <c r="T1472">
        <f t="shared" ca="1" si="639"/>
        <v>1</v>
      </c>
      <c r="U1472">
        <f t="shared" ca="1" si="620"/>
        <v>51800.26683766341</v>
      </c>
      <c r="V1472">
        <f t="shared" ca="1" si="621"/>
        <v>269361.38755584974</v>
      </c>
      <c r="W1472">
        <f t="shared" ca="1" si="622"/>
        <v>2.5998695052916441</v>
      </c>
      <c r="X1472">
        <f t="shared" ca="1" si="623"/>
        <v>1.8933671400629237E-4</v>
      </c>
      <c r="Y1472">
        <f t="shared" ca="1" si="624"/>
        <v>52432.167837663408</v>
      </c>
      <c r="Z1472">
        <f t="shared" ca="1" si="625"/>
        <v>52432.167837665234</v>
      </c>
      <c r="AA1472">
        <f t="shared" ca="1" si="626"/>
        <v>2.2562304480281055E-12</v>
      </c>
      <c r="AB1472">
        <f t="shared" ca="1" si="627"/>
        <v>-4.999999946448952E-4</v>
      </c>
      <c r="AC1472">
        <f t="shared" ca="1" si="628"/>
        <v>1</v>
      </c>
      <c r="AD1472">
        <f ca="1">IF(V32="Supercritical",L1472,IF(V32="Subcritical",U1472,IF(AND(T1472=1,AC1472=1),IF((((F1472)*(L1472)^2)/2+(G1472)*(L1472)^3/3+(ABS(K1472)^2)/($I$5*MAX(((F1472)+(G1472)*(L1472))*(L1472),0.000001)))&gt;=(((F1472)*(U1472)^2)/2+(G1472)*(U1472)^3/3+(ABS(K1472)^2)/($I$5*MAX(((F1472)+(G1472)*(U1472))*(U1472),0.000001))),L1472,U1472),IF(T1472=1,L1472,IF(AC1472=1,U1472,MAX($D$16,POWER((ABS(K1472)^2)/($I$5*MAX(F1472,0.1)^2),1/3)))))))</f>
        <v>51800.26683766341</v>
      </c>
      <c r="AE1472">
        <f t="shared" ca="1" si="629"/>
        <v>52432.167837663408</v>
      </c>
      <c r="AF1472">
        <f t="shared" ca="1" si="630"/>
        <v>52432.167837665234</v>
      </c>
      <c r="AI1472">
        <v>0</v>
      </c>
      <c r="AJ1472">
        <v>0</v>
      </c>
      <c r="AK1472">
        <f t="shared" si="631"/>
        <v>0</v>
      </c>
      <c r="AL1472">
        <f t="shared" si="640"/>
        <v>0</v>
      </c>
      <c r="AM1472">
        <f t="shared" ca="1" si="632"/>
        <v>2.6560383008097266E-7</v>
      </c>
      <c r="AN1472" t="str">
        <f t="shared" ca="1" si="633"/>
        <v>Subcritical</v>
      </c>
      <c r="AO1472">
        <f t="shared" ca="1" si="634"/>
        <v>2.2562304480281055E-12</v>
      </c>
    </row>
    <row r="1473" spans="1:41" x14ac:dyDescent="0.35">
      <c r="A1473">
        <v>1324</v>
      </c>
      <c r="B1473">
        <v>1322.89</v>
      </c>
      <c r="C1473">
        <v>616067.51599999995</v>
      </c>
      <c r="D1473">
        <v>3096681.3369999998</v>
      </c>
      <c r="E1473">
        <v>631.90049999999997</v>
      </c>
      <c r="F1473">
        <v>5.2</v>
      </c>
      <c r="G1473">
        <v>0</v>
      </c>
      <c r="H1473" t="s">
        <v>186</v>
      </c>
      <c r="I1473">
        <v>5.7000000000000002E-2</v>
      </c>
      <c r="J1473">
        <f t="shared" si="635"/>
        <v>1</v>
      </c>
      <c r="K1473">
        <f t="shared" si="636"/>
        <v>51</v>
      </c>
      <c r="L1473">
        <f t="shared" ca="1" si="637"/>
        <v>51797.843837663619</v>
      </c>
      <c r="M1473">
        <f t="shared" ca="1" si="614"/>
        <v>269348.78795585083</v>
      </c>
      <c r="N1473">
        <f t="shared" ca="1" si="615"/>
        <v>2.5998694991876676</v>
      </c>
      <c r="O1473">
        <f t="shared" ca="1" si="616"/>
        <v>1.8934557080078435E-4</v>
      </c>
      <c r="P1473">
        <f t="shared" ca="1" si="617"/>
        <v>52429.744337663622</v>
      </c>
      <c r="Q1473">
        <f t="shared" ca="1" si="618"/>
        <v>52429.744337665448</v>
      </c>
      <c r="R1473">
        <f t="shared" ca="1" si="619"/>
        <v>2.2564415439646509E-12</v>
      </c>
      <c r="S1473">
        <f t="shared" ca="1" si="638"/>
        <v>4.999999946448952E-4</v>
      </c>
      <c r="T1473">
        <f t="shared" ca="1" si="639"/>
        <v>1</v>
      </c>
      <c r="U1473">
        <f t="shared" ca="1" si="620"/>
        <v>51800.26683766341</v>
      </c>
      <c r="V1473">
        <f t="shared" ca="1" si="621"/>
        <v>269361.38755584974</v>
      </c>
      <c r="W1473">
        <f t="shared" ca="1" si="622"/>
        <v>2.5998695052916441</v>
      </c>
      <c r="X1473">
        <f t="shared" ca="1" si="623"/>
        <v>1.8933671400629237E-4</v>
      </c>
      <c r="Y1473">
        <f t="shared" ca="1" si="624"/>
        <v>52432.167337663413</v>
      </c>
      <c r="Z1473">
        <f t="shared" ca="1" si="625"/>
        <v>52432.16733766524</v>
      </c>
      <c r="AA1473">
        <f t="shared" ca="1" si="626"/>
        <v>2.2562304480281055E-12</v>
      </c>
      <c r="AB1473">
        <f t="shared" ca="1" si="627"/>
        <v>-5.0000000192085281E-4</v>
      </c>
      <c r="AC1473">
        <f t="shared" ca="1" si="628"/>
        <v>1</v>
      </c>
      <c r="AD1473">
        <f ca="1">IF(V32="Supercritical",L1473,IF(V32="Subcritical",U1473,IF(AND(T1473=1,AC1473=1),IF((((F1473)*(L1473)^2)/2+(G1473)*(L1473)^3/3+(ABS(K1473)^2)/($I$5*MAX(((F1473)+(G1473)*(L1473))*(L1473),0.000001)))&gt;=(((F1473)*(U1473)^2)/2+(G1473)*(U1473)^3/3+(ABS(K1473)^2)/($I$5*MAX(((F1473)+(G1473)*(U1473))*(U1473),0.000001))),L1473,U1473),IF(T1473=1,L1473,IF(AC1473=1,U1473,MAX($D$16,POWER((ABS(K1473)^2)/($I$5*MAX(F1473,0.1)^2),1/3)))))))</f>
        <v>51800.26683766341</v>
      </c>
      <c r="AE1473">
        <f t="shared" ca="1" si="629"/>
        <v>52432.167337663413</v>
      </c>
      <c r="AF1473">
        <f t="shared" ca="1" si="630"/>
        <v>52432.16733766524</v>
      </c>
      <c r="AI1473">
        <v>0</v>
      </c>
      <c r="AJ1473">
        <v>0</v>
      </c>
      <c r="AK1473">
        <f t="shared" si="631"/>
        <v>0</v>
      </c>
      <c r="AL1473">
        <f t="shared" si="640"/>
        <v>0</v>
      </c>
      <c r="AM1473">
        <f t="shared" ca="1" si="632"/>
        <v>2.6560383008097266E-7</v>
      </c>
      <c r="AN1473" t="str">
        <f t="shared" ca="1" si="633"/>
        <v>Subcritical</v>
      </c>
      <c r="AO1473">
        <f t="shared" ca="1" si="634"/>
        <v>2.2562304480281055E-12</v>
      </c>
    </row>
    <row r="1474" spans="1:41" x14ac:dyDescent="0.35">
      <c r="A1474">
        <v>1325</v>
      </c>
      <c r="B1474">
        <v>1323.8889999999999</v>
      </c>
      <c r="C1474">
        <v>616067.47400000005</v>
      </c>
      <c r="D1474">
        <v>3096680.338</v>
      </c>
      <c r="E1474">
        <v>631.9</v>
      </c>
      <c r="F1474">
        <v>5.2</v>
      </c>
      <c r="G1474">
        <v>0</v>
      </c>
      <c r="H1474" t="s">
        <v>186</v>
      </c>
      <c r="I1474">
        <v>0</v>
      </c>
      <c r="J1474">
        <f t="shared" si="635"/>
        <v>0.99899999999979627</v>
      </c>
      <c r="K1474">
        <f t="shared" si="636"/>
        <v>51</v>
      </c>
      <c r="L1474">
        <f t="shared" ca="1" si="637"/>
        <v>51797.843837663619</v>
      </c>
      <c r="M1474">
        <f t="shared" ca="1" si="614"/>
        <v>269348.78795585083</v>
      </c>
      <c r="N1474">
        <f t="shared" ca="1" si="615"/>
        <v>2.5998694991876676</v>
      </c>
      <c r="O1474">
        <f t="shared" ca="1" si="616"/>
        <v>1.8934557080078435E-4</v>
      </c>
      <c r="P1474">
        <f t="shared" ca="1" si="617"/>
        <v>52429.74383766362</v>
      </c>
      <c r="Q1474">
        <f t="shared" ca="1" si="618"/>
        <v>52429.743837665446</v>
      </c>
      <c r="R1474">
        <f t="shared" ca="1" si="619"/>
        <v>2.2564415439646509E-12</v>
      </c>
      <c r="S1474">
        <f t="shared" ca="1" si="638"/>
        <v>5.0000000192085281E-4</v>
      </c>
      <c r="T1474">
        <f t="shared" ca="1" si="639"/>
        <v>1</v>
      </c>
      <c r="U1474">
        <f t="shared" ca="1" si="620"/>
        <v>51800.26683766341</v>
      </c>
      <c r="V1474">
        <f t="shared" ca="1" si="621"/>
        <v>269361.38755584974</v>
      </c>
      <c r="W1474">
        <f t="shared" ca="1" si="622"/>
        <v>2.5998695052916441</v>
      </c>
      <c r="X1474">
        <f t="shared" ca="1" si="623"/>
        <v>1.8933671400629237E-4</v>
      </c>
      <c r="Y1474">
        <f t="shared" ca="1" si="624"/>
        <v>52432.166837663412</v>
      </c>
      <c r="Z1474">
        <f t="shared" ca="1" si="625"/>
        <v>52432.166837665238</v>
      </c>
      <c r="AA1474">
        <f t="shared" ca="1" si="626"/>
        <v>2.2562304480281055E-12</v>
      </c>
      <c r="AB1474">
        <f t="shared" ca="1" si="627"/>
        <v>-5.0000000192085281E-4</v>
      </c>
      <c r="AC1474">
        <f t="shared" ca="1" si="628"/>
        <v>1</v>
      </c>
      <c r="AD1474">
        <f ca="1">IF(V32="Supercritical",L1474,IF(V32="Subcritical",U1474,IF(AND(T1474=1,AC1474=1),IF((((F1474)*(L1474)^2)/2+(G1474)*(L1474)^3/3+(ABS(K1474)^2)/($I$5*MAX(((F1474)+(G1474)*(L1474))*(L1474),0.000001)))&gt;=(((F1474)*(U1474)^2)/2+(G1474)*(U1474)^3/3+(ABS(K1474)^2)/($I$5*MAX(((F1474)+(G1474)*(U1474))*(U1474),0.000001))),L1474,U1474),IF(T1474=1,L1474,IF(AC1474=1,U1474,MAX($D$16,POWER((ABS(K1474)^2)/($I$5*MAX(F1474,0.1)^2),1/3)))))))</f>
        <v>51800.26683766341</v>
      </c>
      <c r="AE1474">
        <f t="shared" ca="1" si="629"/>
        <v>52432.166837663412</v>
      </c>
      <c r="AF1474">
        <f t="shared" ca="1" si="630"/>
        <v>52432.166837665238</v>
      </c>
      <c r="AI1474">
        <v>0</v>
      </c>
      <c r="AJ1474">
        <v>0</v>
      </c>
      <c r="AK1474">
        <f t="shared" si="631"/>
        <v>0</v>
      </c>
      <c r="AL1474">
        <f t="shared" si="640"/>
        <v>0</v>
      </c>
      <c r="AM1474">
        <f t="shared" ca="1" si="632"/>
        <v>2.6560383008097266E-7</v>
      </c>
      <c r="AN1474" t="str">
        <f t="shared" ca="1" si="633"/>
        <v>Subcritical</v>
      </c>
      <c r="AO1474">
        <f t="shared" ca="1" si="634"/>
        <v>2.2562304480281055E-12</v>
      </c>
    </row>
    <row r="1475" spans="1:41" x14ac:dyDescent="0.35">
      <c r="A1475">
        <v>1326</v>
      </c>
      <c r="B1475">
        <v>1324.8889999999999</v>
      </c>
      <c r="C1475">
        <v>616067.43200000003</v>
      </c>
      <c r="D1475">
        <v>3096679.3390000002</v>
      </c>
      <c r="E1475">
        <v>631.89949999999999</v>
      </c>
      <c r="F1475">
        <v>5.2</v>
      </c>
      <c r="G1475">
        <v>0</v>
      </c>
      <c r="H1475" t="s">
        <v>186</v>
      </c>
      <c r="I1475">
        <v>0</v>
      </c>
      <c r="J1475">
        <f t="shared" si="635"/>
        <v>1</v>
      </c>
      <c r="K1475">
        <f t="shared" si="636"/>
        <v>51</v>
      </c>
      <c r="L1475">
        <f t="shared" ca="1" si="637"/>
        <v>51797.843837663619</v>
      </c>
      <c r="M1475">
        <f t="shared" ca="1" si="614"/>
        <v>269348.78795585083</v>
      </c>
      <c r="N1475">
        <f t="shared" ca="1" si="615"/>
        <v>2.5998694991876676</v>
      </c>
      <c r="O1475">
        <f t="shared" ca="1" si="616"/>
        <v>1.8934557080078435E-4</v>
      </c>
      <c r="P1475">
        <f t="shared" ca="1" si="617"/>
        <v>52429.743337663618</v>
      </c>
      <c r="Q1475">
        <f t="shared" ca="1" si="618"/>
        <v>52429.743337665444</v>
      </c>
      <c r="R1475">
        <f t="shared" ca="1" si="619"/>
        <v>2.2564415439646509E-12</v>
      </c>
      <c r="S1475">
        <f t="shared" ca="1" si="638"/>
        <v>5.0000000192085281E-4</v>
      </c>
      <c r="T1475">
        <f t="shared" ca="1" si="639"/>
        <v>1</v>
      </c>
      <c r="U1475">
        <f t="shared" ca="1" si="620"/>
        <v>51800.26683766341</v>
      </c>
      <c r="V1475">
        <f t="shared" ca="1" si="621"/>
        <v>269361.38755584974</v>
      </c>
      <c r="W1475">
        <f t="shared" ca="1" si="622"/>
        <v>2.5998695052916441</v>
      </c>
      <c r="X1475">
        <f t="shared" ca="1" si="623"/>
        <v>1.8933671400629237E-4</v>
      </c>
      <c r="Y1475">
        <f t="shared" ca="1" si="624"/>
        <v>52432.16633766341</v>
      </c>
      <c r="Z1475">
        <f t="shared" ca="1" si="625"/>
        <v>52432.166337665236</v>
      </c>
      <c r="AA1475">
        <f t="shared" ca="1" si="626"/>
        <v>2.2562304480281055E-12</v>
      </c>
      <c r="AB1475">
        <f t="shared" ca="1" si="627"/>
        <v>-5.0000000192085281E-4</v>
      </c>
      <c r="AC1475">
        <f t="shared" ca="1" si="628"/>
        <v>1</v>
      </c>
      <c r="AD1475">
        <f ca="1">IF(V32="Supercritical",L1475,IF(V32="Subcritical",U1475,IF(AND(T1475=1,AC1475=1),IF((((F1475)*(L1475)^2)/2+(G1475)*(L1475)^3/3+(ABS(K1475)^2)/($I$5*MAX(((F1475)+(G1475)*(L1475))*(L1475),0.000001)))&gt;=(((F1475)*(U1475)^2)/2+(G1475)*(U1475)^3/3+(ABS(K1475)^2)/($I$5*MAX(((F1475)+(G1475)*(U1475))*(U1475),0.000001))),L1475,U1475),IF(T1475=1,L1475,IF(AC1475=1,U1475,MAX($D$16,POWER((ABS(K1475)^2)/($I$5*MAX(F1475,0.1)^2),1/3)))))))</f>
        <v>51800.26683766341</v>
      </c>
      <c r="AE1475">
        <f t="shared" ca="1" si="629"/>
        <v>52432.16633766341</v>
      </c>
      <c r="AF1475">
        <f t="shared" ca="1" si="630"/>
        <v>52432.166337665236</v>
      </c>
      <c r="AI1475">
        <v>0</v>
      </c>
      <c r="AJ1475">
        <v>0</v>
      </c>
      <c r="AK1475">
        <f t="shared" si="631"/>
        <v>0</v>
      </c>
      <c r="AL1475">
        <f t="shared" si="640"/>
        <v>0</v>
      </c>
      <c r="AM1475">
        <f t="shared" ca="1" si="632"/>
        <v>2.6560383008097266E-7</v>
      </c>
      <c r="AN1475" t="str">
        <f t="shared" ca="1" si="633"/>
        <v>Subcritical</v>
      </c>
      <c r="AO1475">
        <f t="shared" ca="1" si="634"/>
        <v>2.2562304480281055E-12</v>
      </c>
    </row>
    <row r="1476" spans="1:41" x14ac:dyDescent="0.35">
      <c r="A1476">
        <v>1327</v>
      </c>
      <c r="B1476">
        <v>1325.8889999999999</v>
      </c>
      <c r="C1476">
        <v>616067.39</v>
      </c>
      <c r="D1476">
        <v>3096678.34</v>
      </c>
      <c r="E1476">
        <v>631.899</v>
      </c>
      <c r="F1476">
        <v>5.2</v>
      </c>
      <c r="G1476">
        <v>0</v>
      </c>
      <c r="H1476" t="s">
        <v>186</v>
      </c>
      <c r="I1476">
        <v>5.7000000000000002E-2</v>
      </c>
      <c r="J1476">
        <f t="shared" si="635"/>
        <v>1</v>
      </c>
      <c r="K1476">
        <f t="shared" si="636"/>
        <v>51</v>
      </c>
      <c r="L1476">
        <f t="shared" ca="1" si="637"/>
        <v>51797.843837663619</v>
      </c>
      <c r="M1476">
        <f t="shared" ca="1" si="614"/>
        <v>269348.78795585083</v>
      </c>
      <c r="N1476">
        <f t="shared" ca="1" si="615"/>
        <v>2.5998694991876676</v>
      </c>
      <c r="O1476">
        <f t="shared" ca="1" si="616"/>
        <v>1.8934557080078435E-4</v>
      </c>
      <c r="P1476">
        <f t="shared" ca="1" si="617"/>
        <v>52429.742837663616</v>
      </c>
      <c r="Q1476">
        <f t="shared" ca="1" si="618"/>
        <v>52429.742837665442</v>
      </c>
      <c r="R1476">
        <f t="shared" ca="1" si="619"/>
        <v>2.2564415439646509E-12</v>
      </c>
      <c r="S1476">
        <f t="shared" ca="1" si="638"/>
        <v>5.0000000192085281E-4</v>
      </c>
      <c r="T1476">
        <f t="shared" ca="1" si="639"/>
        <v>1</v>
      </c>
      <c r="U1476">
        <f t="shared" ca="1" si="620"/>
        <v>51800.26683766341</v>
      </c>
      <c r="V1476">
        <f t="shared" ca="1" si="621"/>
        <v>269361.38755584974</v>
      </c>
      <c r="W1476">
        <f t="shared" ca="1" si="622"/>
        <v>2.5998695052916441</v>
      </c>
      <c r="X1476">
        <f t="shared" ca="1" si="623"/>
        <v>1.8933671400629237E-4</v>
      </c>
      <c r="Y1476">
        <f t="shared" ca="1" si="624"/>
        <v>52432.165837663408</v>
      </c>
      <c r="Z1476">
        <f t="shared" ca="1" si="625"/>
        <v>52432.165837665234</v>
      </c>
      <c r="AA1476">
        <f t="shared" ca="1" si="626"/>
        <v>2.2562304480281055E-12</v>
      </c>
      <c r="AB1476">
        <f t="shared" ca="1" si="627"/>
        <v>-4.999999946448952E-4</v>
      </c>
      <c r="AC1476">
        <f t="shared" ca="1" si="628"/>
        <v>1</v>
      </c>
      <c r="AD1476">
        <f ca="1">IF(V32="Supercritical",L1476,IF(V32="Subcritical",U1476,IF(AND(T1476=1,AC1476=1),IF((((F1476)*(L1476)^2)/2+(G1476)*(L1476)^3/3+(ABS(K1476)^2)/($I$5*MAX(((F1476)+(G1476)*(L1476))*(L1476),0.000001)))&gt;=(((F1476)*(U1476)^2)/2+(G1476)*(U1476)^3/3+(ABS(K1476)^2)/($I$5*MAX(((F1476)+(G1476)*(U1476))*(U1476),0.000001))),L1476,U1476),IF(T1476=1,L1476,IF(AC1476=1,U1476,MAX($D$16,POWER((ABS(K1476)^2)/($I$5*MAX(F1476,0.1)^2),1/3)))))))</f>
        <v>51800.26683766341</v>
      </c>
      <c r="AE1476">
        <f t="shared" ca="1" si="629"/>
        <v>52432.165837663408</v>
      </c>
      <c r="AF1476">
        <f t="shared" ca="1" si="630"/>
        <v>52432.165837665234</v>
      </c>
      <c r="AI1476">
        <v>0</v>
      </c>
      <c r="AJ1476">
        <v>0</v>
      </c>
      <c r="AK1476">
        <f t="shared" si="631"/>
        <v>0</v>
      </c>
      <c r="AL1476">
        <f t="shared" si="640"/>
        <v>0</v>
      </c>
      <c r="AM1476">
        <f t="shared" ca="1" si="632"/>
        <v>2.6560383008097266E-7</v>
      </c>
      <c r="AN1476" t="str">
        <f t="shared" ca="1" si="633"/>
        <v>Subcritical</v>
      </c>
      <c r="AO1476">
        <f t="shared" ca="1" si="634"/>
        <v>2.2562304480281055E-12</v>
      </c>
    </row>
    <row r="1477" spans="1:41" x14ac:dyDescent="0.35">
      <c r="A1477">
        <v>1328</v>
      </c>
      <c r="B1477">
        <v>1326.8889999999999</v>
      </c>
      <c r="C1477">
        <v>616067.34699999995</v>
      </c>
      <c r="D1477">
        <v>3096677.341</v>
      </c>
      <c r="E1477">
        <v>631.89850000000001</v>
      </c>
      <c r="F1477">
        <v>5.2</v>
      </c>
      <c r="G1477">
        <v>0</v>
      </c>
      <c r="H1477" t="s">
        <v>186</v>
      </c>
      <c r="I1477">
        <v>5.7000000000000002E-2</v>
      </c>
      <c r="J1477">
        <f t="shared" si="635"/>
        <v>1</v>
      </c>
      <c r="K1477">
        <f t="shared" si="636"/>
        <v>51</v>
      </c>
      <c r="L1477">
        <f t="shared" ca="1" si="637"/>
        <v>51797.843837663619</v>
      </c>
      <c r="M1477">
        <f t="shared" ca="1" si="614"/>
        <v>269348.78795585083</v>
      </c>
      <c r="N1477">
        <f t="shared" ca="1" si="615"/>
        <v>2.5998694991876676</v>
      </c>
      <c r="O1477">
        <f t="shared" ca="1" si="616"/>
        <v>1.8934557080078435E-4</v>
      </c>
      <c r="P1477">
        <f t="shared" ca="1" si="617"/>
        <v>52429.742337663622</v>
      </c>
      <c r="Q1477">
        <f t="shared" ca="1" si="618"/>
        <v>52429.742337665448</v>
      </c>
      <c r="R1477">
        <f t="shared" ca="1" si="619"/>
        <v>2.2564415439646509E-12</v>
      </c>
      <c r="S1477">
        <f t="shared" ca="1" si="638"/>
        <v>4.999999946448952E-4</v>
      </c>
      <c r="T1477">
        <f t="shared" ca="1" si="639"/>
        <v>1</v>
      </c>
      <c r="U1477">
        <f t="shared" ca="1" si="620"/>
        <v>51800.26683766341</v>
      </c>
      <c r="V1477">
        <f t="shared" ca="1" si="621"/>
        <v>269361.38755584974</v>
      </c>
      <c r="W1477">
        <f t="shared" ca="1" si="622"/>
        <v>2.5998695052916441</v>
      </c>
      <c r="X1477">
        <f t="shared" ca="1" si="623"/>
        <v>1.8933671400629237E-4</v>
      </c>
      <c r="Y1477">
        <f t="shared" ca="1" si="624"/>
        <v>52432.165337663413</v>
      </c>
      <c r="Z1477">
        <f t="shared" ca="1" si="625"/>
        <v>52432.165337665239</v>
      </c>
      <c r="AA1477">
        <f t="shared" ca="1" si="626"/>
        <v>2.2562304480281055E-12</v>
      </c>
      <c r="AB1477">
        <f t="shared" ca="1" si="627"/>
        <v>-5.0000000192085281E-4</v>
      </c>
      <c r="AC1477">
        <f t="shared" ca="1" si="628"/>
        <v>1</v>
      </c>
      <c r="AD1477">
        <f ca="1">IF(V32="Supercritical",L1477,IF(V32="Subcritical",U1477,IF(AND(T1477=1,AC1477=1),IF((((F1477)*(L1477)^2)/2+(G1477)*(L1477)^3/3+(ABS(K1477)^2)/($I$5*MAX(((F1477)+(G1477)*(L1477))*(L1477),0.000001)))&gt;=(((F1477)*(U1477)^2)/2+(G1477)*(U1477)^3/3+(ABS(K1477)^2)/($I$5*MAX(((F1477)+(G1477)*(U1477))*(U1477),0.000001))),L1477,U1477),IF(T1477=1,L1477,IF(AC1477=1,U1477,MAX($D$16,POWER((ABS(K1477)^2)/($I$5*MAX(F1477,0.1)^2),1/3)))))))</f>
        <v>51800.26683766341</v>
      </c>
      <c r="AE1477">
        <f t="shared" ca="1" si="629"/>
        <v>52432.165337663413</v>
      </c>
      <c r="AF1477">
        <f t="shared" ca="1" si="630"/>
        <v>52432.165337665239</v>
      </c>
      <c r="AI1477">
        <v>0</v>
      </c>
      <c r="AJ1477">
        <v>0</v>
      </c>
      <c r="AK1477">
        <f t="shared" si="631"/>
        <v>0</v>
      </c>
      <c r="AL1477">
        <f t="shared" si="640"/>
        <v>0</v>
      </c>
      <c r="AM1477">
        <f t="shared" ca="1" si="632"/>
        <v>2.6560383008097266E-7</v>
      </c>
      <c r="AN1477" t="str">
        <f t="shared" ca="1" si="633"/>
        <v>Subcritical</v>
      </c>
      <c r="AO1477">
        <f t="shared" ca="1" si="634"/>
        <v>2.2562304480281055E-12</v>
      </c>
    </row>
    <row r="1478" spans="1:41" x14ac:dyDescent="0.35">
      <c r="A1478">
        <v>1329</v>
      </c>
      <c r="B1478">
        <v>1327.8889999999999</v>
      </c>
      <c r="C1478">
        <v>616067.30500000005</v>
      </c>
      <c r="D1478">
        <v>3096676.3420000002</v>
      </c>
      <c r="E1478">
        <v>631.89800000000002</v>
      </c>
      <c r="F1478">
        <v>5.2</v>
      </c>
      <c r="G1478">
        <v>0</v>
      </c>
      <c r="H1478" t="s">
        <v>186</v>
      </c>
      <c r="I1478">
        <v>0</v>
      </c>
      <c r="J1478">
        <f t="shared" si="635"/>
        <v>1</v>
      </c>
      <c r="K1478">
        <f t="shared" si="636"/>
        <v>51</v>
      </c>
      <c r="L1478">
        <f t="shared" ca="1" si="637"/>
        <v>51797.843837663619</v>
      </c>
      <c r="M1478">
        <f t="shared" ca="1" si="614"/>
        <v>269348.78795585083</v>
      </c>
      <c r="N1478">
        <f t="shared" ca="1" si="615"/>
        <v>2.5998694991876676</v>
      </c>
      <c r="O1478">
        <f t="shared" ca="1" si="616"/>
        <v>1.8934557080078435E-4</v>
      </c>
      <c r="P1478">
        <f t="shared" ca="1" si="617"/>
        <v>52429.74183766362</v>
      </c>
      <c r="Q1478">
        <f t="shared" ca="1" si="618"/>
        <v>52429.741837665446</v>
      </c>
      <c r="R1478">
        <f t="shared" ca="1" si="619"/>
        <v>2.2564415439646509E-12</v>
      </c>
      <c r="S1478">
        <f t="shared" ca="1" si="638"/>
        <v>5.0000000192085281E-4</v>
      </c>
      <c r="T1478">
        <f t="shared" ca="1" si="639"/>
        <v>1</v>
      </c>
      <c r="U1478">
        <f t="shared" ca="1" si="620"/>
        <v>51800.26683766341</v>
      </c>
      <c r="V1478">
        <f t="shared" ca="1" si="621"/>
        <v>269361.38755584974</v>
      </c>
      <c r="W1478">
        <f t="shared" ca="1" si="622"/>
        <v>2.5998695052916441</v>
      </c>
      <c r="X1478">
        <f t="shared" ca="1" si="623"/>
        <v>1.8933671400629237E-4</v>
      </c>
      <c r="Y1478">
        <f t="shared" ca="1" si="624"/>
        <v>52432.164837663411</v>
      </c>
      <c r="Z1478">
        <f t="shared" ca="1" si="625"/>
        <v>52432.164837665237</v>
      </c>
      <c r="AA1478">
        <f t="shared" ca="1" si="626"/>
        <v>2.2562304480281055E-12</v>
      </c>
      <c r="AB1478">
        <f t="shared" ca="1" si="627"/>
        <v>-5.0000000192085281E-4</v>
      </c>
      <c r="AC1478">
        <f t="shared" ca="1" si="628"/>
        <v>1</v>
      </c>
      <c r="AD1478">
        <f ca="1">IF(V32="Supercritical",L1478,IF(V32="Subcritical",U1478,IF(AND(T1478=1,AC1478=1),IF((((F1478)*(L1478)^2)/2+(G1478)*(L1478)^3/3+(ABS(K1478)^2)/($I$5*MAX(((F1478)+(G1478)*(L1478))*(L1478),0.000001)))&gt;=(((F1478)*(U1478)^2)/2+(G1478)*(U1478)^3/3+(ABS(K1478)^2)/($I$5*MAX(((F1478)+(G1478)*(U1478))*(U1478),0.000001))),L1478,U1478),IF(T1478=1,L1478,IF(AC1478=1,U1478,MAX($D$16,POWER((ABS(K1478)^2)/($I$5*MAX(F1478,0.1)^2),1/3)))))))</f>
        <v>51800.26683766341</v>
      </c>
      <c r="AE1478">
        <f t="shared" ca="1" si="629"/>
        <v>52432.164837663411</v>
      </c>
      <c r="AF1478">
        <f t="shared" ca="1" si="630"/>
        <v>52432.164837665237</v>
      </c>
      <c r="AI1478">
        <v>0</v>
      </c>
      <c r="AJ1478">
        <v>0</v>
      </c>
      <c r="AK1478">
        <f t="shared" si="631"/>
        <v>0</v>
      </c>
      <c r="AL1478">
        <f t="shared" si="640"/>
        <v>0</v>
      </c>
      <c r="AM1478">
        <f t="shared" ca="1" si="632"/>
        <v>2.6560383008097266E-7</v>
      </c>
      <c r="AN1478" t="str">
        <f t="shared" ca="1" si="633"/>
        <v>Subcritical</v>
      </c>
      <c r="AO1478">
        <f t="shared" ca="1" si="634"/>
        <v>2.2562304480281055E-12</v>
      </c>
    </row>
    <row r="1479" spans="1:41" x14ac:dyDescent="0.35">
      <c r="A1479">
        <v>1330</v>
      </c>
      <c r="B1479">
        <v>1328.8889999999999</v>
      </c>
      <c r="C1479">
        <v>616067.26300000004</v>
      </c>
      <c r="D1479">
        <v>3096675.3429999999</v>
      </c>
      <c r="E1479">
        <v>631.89750000000004</v>
      </c>
      <c r="F1479">
        <v>5.2</v>
      </c>
      <c r="G1479">
        <v>0</v>
      </c>
      <c r="H1479" t="s">
        <v>186</v>
      </c>
      <c r="I1479">
        <v>0</v>
      </c>
      <c r="J1479">
        <f t="shared" si="635"/>
        <v>1</v>
      </c>
      <c r="K1479">
        <f t="shared" si="636"/>
        <v>51</v>
      </c>
      <c r="L1479">
        <f t="shared" ca="1" si="637"/>
        <v>51797.843837663619</v>
      </c>
      <c r="M1479">
        <f t="shared" ca="1" si="614"/>
        <v>269348.78795585083</v>
      </c>
      <c r="N1479">
        <f t="shared" ca="1" si="615"/>
        <v>2.5998694991876676</v>
      </c>
      <c r="O1479">
        <f t="shared" ca="1" si="616"/>
        <v>1.8934557080078435E-4</v>
      </c>
      <c r="P1479">
        <f t="shared" ca="1" si="617"/>
        <v>52429.741337663618</v>
      </c>
      <c r="Q1479">
        <f t="shared" ca="1" si="618"/>
        <v>52429.741337665444</v>
      </c>
      <c r="R1479">
        <f t="shared" ca="1" si="619"/>
        <v>2.2564415439646509E-12</v>
      </c>
      <c r="S1479">
        <f t="shared" ca="1" si="638"/>
        <v>5.0000000192085281E-4</v>
      </c>
      <c r="T1479">
        <f t="shared" ca="1" si="639"/>
        <v>1</v>
      </c>
      <c r="U1479">
        <f t="shared" ca="1" si="620"/>
        <v>51800.26683766341</v>
      </c>
      <c r="V1479">
        <f t="shared" ca="1" si="621"/>
        <v>269361.38755584974</v>
      </c>
      <c r="W1479">
        <f t="shared" ca="1" si="622"/>
        <v>2.5998695052916441</v>
      </c>
      <c r="X1479">
        <f t="shared" ca="1" si="623"/>
        <v>1.8933671400629237E-4</v>
      </c>
      <c r="Y1479">
        <f t="shared" ca="1" si="624"/>
        <v>52432.164337663409</v>
      </c>
      <c r="Z1479">
        <f t="shared" ca="1" si="625"/>
        <v>52432.164337665236</v>
      </c>
      <c r="AA1479">
        <f t="shared" ca="1" si="626"/>
        <v>2.2562304480281055E-12</v>
      </c>
      <c r="AB1479">
        <f t="shared" ca="1" si="627"/>
        <v>-5.0000000192085281E-4</v>
      </c>
      <c r="AC1479">
        <f t="shared" ca="1" si="628"/>
        <v>1</v>
      </c>
      <c r="AD1479">
        <f ca="1">IF(V32="Supercritical",L1479,IF(V32="Subcritical",U1479,IF(AND(T1479=1,AC1479=1),IF((((F1479)*(L1479)^2)/2+(G1479)*(L1479)^3/3+(ABS(K1479)^2)/($I$5*MAX(((F1479)+(G1479)*(L1479))*(L1479),0.000001)))&gt;=(((F1479)*(U1479)^2)/2+(G1479)*(U1479)^3/3+(ABS(K1479)^2)/($I$5*MAX(((F1479)+(G1479)*(U1479))*(U1479),0.000001))),L1479,U1479),IF(T1479=1,L1479,IF(AC1479=1,U1479,MAX($D$16,POWER((ABS(K1479)^2)/($I$5*MAX(F1479,0.1)^2),1/3)))))))</f>
        <v>51800.26683766341</v>
      </c>
      <c r="AE1479">
        <f t="shared" ca="1" si="629"/>
        <v>52432.164337663409</v>
      </c>
      <c r="AF1479">
        <f t="shared" ca="1" si="630"/>
        <v>52432.164337665236</v>
      </c>
      <c r="AI1479">
        <v>0</v>
      </c>
      <c r="AJ1479">
        <v>0</v>
      </c>
      <c r="AK1479">
        <f t="shared" si="631"/>
        <v>0</v>
      </c>
      <c r="AL1479">
        <f t="shared" si="640"/>
        <v>0</v>
      </c>
      <c r="AM1479">
        <f t="shared" ca="1" si="632"/>
        <v>2.6560383008097266E-7</v>
      </c>
      <c r="AN1479" t="str">
        <f t="shared" ca="1" si="633"/>
        <v>Subcritical</v>
      </c>
      <c r="AO1479">
        <f t="shared" ca="1" si="634"/>
        <v>2.2562304480281055E-12</v>
      </c>
    </row>
    <row r="1480" spans="1:41" x14ac:dyDescent="0.35">
      <c r="A1480">
        <v>1331</v>
      </c>
      <c r="B1480">
        <v>1329.8889999999999</v>
      </c>
      <c r="C1480">
        <v>616067.22100000002</v>
      </c>
      <c r="D1480">
        <v>3096674.344</v>
      </c>
      <c r="E1480">
        <v>631.89700000000005</v>
      </c>
      <c r="F1480">
        <v>5.2</v>
      </c>
      <c r="G1480">
        <v>0</v>
      </c>
      <c r="H1480" t="s">
        <v>186</v>
      </c>
      <c r="I1480">
        <v>5.5E-2</v>
      </c>
      <c r="J1480">
        <f t="shared" si="635"/>
        <v>1</v>
      </c>
      <c r="K1480">
        <f t="shared" si="636"/>
        <v>51</v>
      </c>
      <c r="L1480">
        <f t="shared" ca="1" si="637"/>
        <v>51797.843837663619</v>
      </c>
      <c r="M1480">
        <f t="shared" ca="1" si="614"/>
        <v>269348.78795585083</v>
      </c>
      <c r="N1480">
        <f t="shared" ca="1" si="615"/>
        <v>2.5998694991876676</v>
      </c>
      <c r="O1480">
        <f t="shared" ca="1" si="616"/>
        <v>1.8934557080078435E-4</v>
      </c>
      <c r="P1480">
        <f t="shared" ca="1" si="617"/>
        <v>52429.740837663616</v>
      </c>
      <c r="Q1480">
        <f t="shared" ca="1" si="618"/>
        <v>52429.740837665442</v>
      </c>
      <c r="R1480">
        <f t="shared" ca="1" si="619"/>
        <v>2.2564415439646509E-12</v>
      </c>
      <c r="S1480">
        <f t="shared" ca="1" si="638"/>
        <v>5.0000000192085281E-4</v>
      </c>
      <c r="T1480">
        <f t="shared" ca="1" si="639"/>
        <v>1</v>
      </c>
      <c r="U1480">
        <f t="shared" ca="1" si="620"/>
        <v>51800.26683766341</v>
      </c>
      <c r="V1480">
        <f t="shared" ca="1" si="621"/>
        <v>269361.38755584974</v>
      </c>
      <c r="W1480">
        <f t="shared" ca="1" si="622"/>
        <v>2.5998695052916441</v>
      </c>
      <c r="X1480">
        <f t="shared" ca="1" si="623"/>
        <v>1.8933671400629237E-4</v>
      </c>
      <c r="Y1480">
        <f t="shared" ca="1" si="624"/>
        <v>52432.163837663407</v>
      </c>
      <c r="Z1480">
        <f t="shared" ca="1" si="625"/>
        <v>52432.163837665234</v>
      </c>
      <c r="AA1480">
        <f t="shared" ca="1" si="626"/>
        <v>2.2562304480281055E-12</v>
      </c>
      <c r="AB1480">
        <f t="shared" ca="1" si="627"/>
        <v>-4.999999946448952E-4</v>
      </c>
      <c r="AC1480">
        <f t="shared" ca="1" si="628"/>
        <v>1</v>
      </c>
      <c r="AD1480">
        <f ca="1">IF(V32="Supercritical",L1480,IF(V32="Subcritical",U1480,IF(AND(T1480=1,AC1480=1),IF((((F1480)*(L1480)^2)/2+(G1480)*(L1480)^3/3+(ABS(K1480)^2)/($I$5*MAX(((F1480)+(G1480)*(L1480))*(L1480),0.000001)))&gt;=(((F1480)*(U1480)^2)/2+(G1480)*(U1480)^3/3+(ABS(K1480)^2)/($I$5*MAX(((F1480)+(G1480)*(U1480))*(U1480),0.000001))),L1480,U1480),IF(T1480=1,L1480,IF(AC1480=1,U1480,MAX($D$16,POWER((ABS(K1480)^2)/($I$5*MAX(F1480,0.1)^2),1/3)))))))</f>
        <v>51800.26683766341</v>
      </c>
      <c r="AE1480">
        <f t="shared" ca="1" si="629"/>
        <v>52432.163837663407</v>
      </c>
      <c r="AF1480">
        <f t="shared" ca="1" si="630"/>
        <v>52432.163837665234</v>
      </c>
      <c r="AI1480">
        <v>0</v>
      </c>
      <c r="AJ1480">
        <v>0</v>
      </c>
      <c r="AK1480">
        <f t="shared" si="631"/>
        <v>0</v>
      </c>
      <c r="AL1480">
        <f t="shared" si="640"/>
        <v>0</v>
      </c>
      <c r="AM1480">
        <f t="shared" ca="1" si="632"/>
        <v>2.6560383008097266E-7</v>
      </c>
      <c r="AN1480" t="str">
        <f t="shared" ca="1" si="633"/>
        <v>Subcritical</v>
      </c>
      <c r="AO1480">
        <f t="shared" ca="1" si="634"/>
        <v>2.2562304480281055E-12</v>
      </c>
    </row>
    <row r="1481" spans="1:41" x14ac:dyDescent="0.35">
      <c r="A1481">
        <v>1332</v>
      </c>
      <c r="B1481">
        <v>1330.89</v>
      </c>
      <c r="C1481">
        <v>616067.17799999996</v>
      </c>
      <c r="D1481">
        <v>3096673.344</v>
      </c>
      <c r="E1481">
        <v>631.89649999999995</v>
      </c>
      <c r="F1481">
        <v>5.2</v>
      </c>
      <c r="G1481">
        <v>0</v>
      </c>
      <c r="H1481" t="s">
        <v>186</v>
      </c>
      <c r="I1481">
        <v>5.5E-2</v>
      </c>
      <c r="J1481">
        <f t="shared" si="635"/>
        <v>1.0010000000002037</v>
      </c>
      <c r="K1481">
        <f t="shared" si="636"/>
        <v>51</v>
      </c>
      <c r="L1481">
        <f t="shared" ca="1" si="637"/>
        <v>51797.843837663619</v>
      </c>
      <c r="M1481">
        <f t="shared" ca="1" si="614"/>
        <v>269348.78795585083</v>
      </c>
      <c r="N1481">
        <f t="shared" ca="1" si="615"/>
        <v>2.5998694991876676</v>
      </c>
      <c r="O1481">
        <f t="shared" ca="1" si="616"/>
        <v>1.8934557080078435E-4</v>
      </c>
      <c r="P1481">
        <f t="shared" ca="1" si="617"/>
        <v>52429.740337663621</v>
      </c>
      <c r="Q1481">
        <f t="shared" ca="1" si="618"/>
        <v>52429.740337665447</v>
      </c>
      <c r="R1481">
        <f t="shared" ca="1" si="619"/>
        <v>2.2564415439646509E-12</v>
      </c>
      <c r="S1481">
        <f t="shared" ca="1" si="638"/>
        <v>4.999999946448952E-4</v>
      </c>
      <c r="T1481">
        <f t="shared" ca="1" si="639"/>
        <v>1</v>
      </c>
      <c r="U1481">
        <f t="shared" ca="1" si="620"/>
        <v>51800.26683766341</v>
      </c>
      <c r="V1481">
        <f t="shared" ca="1" si="621"/>
        <v>269361.38755584974</v>
      </c>
      <c r="W1481">
        <f t="shared" ca="1" si="622"/>
        <v>2.5998695052916441</v>
      </c>
      <c r="X1481">
        <f t="shared" ca="1" si="623"/>
        <v>1.8933671400629237E-4</v>
      </c>
      <c r="Y1481">
        <f t="shared" ca="1" si="624"/>
        <v>52432.163337663413</v>
      </c>
      <c r="Z1481">
        <f t="shared" ca="1" si="625"/>
        <v>52432.163337665239</v>
      </c>
      <c r="AA1481">
        <f t="shared" ca="1" si="626"/>
        <v>2.2562304480281055E-12</v>
      </c>
      <c r="AB1481">
        <f t="shared" ca="1" si="627"/>
        <v>-5.0000000192085281E-4</v>
      </c>
      <c r="AC1481">
        <f t="shared" ca="1" si="628"/>
        <v>1</v>
      </c>
      <c r="AD1481">
        <f ca="1">IF(V32="Supercritical",L1481,IF(V32="Subcritical",U1481,IF(AND(T1481=1,AC1481=1),IF((((F1481)*(L1481)^2)/2+(G1481)*(L1481)^3/3+(ABS(K1481)^2)/($I$5*MAX(((F1481)+(G1481)*(L1481))*(L1481),0.000001)))&gt;=(((F1481)*(U1481)^2)/2+(G1481)*(U1481)^3/3+(ABS(K1481)^2)/($I$5*MAX(((F1481)+(G1481)*(U1481))*(U1481),0.000001))),L1481,U1481),IF(T1481=1,L1481,IF(AC1481=1,U1481,MAX($D$16,POWER((ABS(K1481)^2)/($I$5*MAX(F1481,0.1)^2),1/3)))))))</f>
        <v>51800.26683766341</v>
      </c>
      <c r="AE1481">
        <f t="shared" ca="1" si="629"/>
        <v>52432.163337663413</v>
      </c>
      <c r="AF1481">
        <f t="shared" ca="1" si="630"/>
        <v>52432.163337665239</v>
      </c>
      <c r="AI1481">
        <v>0</v>
      </c>
      <c r="AJ1481">
        <v>0</v>
      </c>
      <c r="AK1481">
        <f t="shared" si="631"/>
        <v>0</v>
      </c>
      <c r="AL1481">
        <f t="shared" si="640"/>
        <v>0</v>
      </c>
      <c r="AM1481">
        <f t="shared" ca="1" si="632"/>
        <v>2.6560383008097266E-7</v>
      </c>
      <c r="AN1481" t="str">
        <f t="shared" ca="1" si="633"/>
        <v>Subcritical</v>
      </c>
      <c r="AO1481">
        <f t="shared" ca="1" si="634"/>
        <v>2.2562304480281055E-12</v>
      </c>
    </row>
    <row r="1482" spans="1:41" x14ac:dyDescent="0.35">
      <c r="A1482">
        <v>1333</v>
      </c>
      <c r="B1482">
        <v>1331.89</v>
      </c>
      <c r="C1482">
        <v>616067.13600000006</v>
      </c>
      <c r="D1482">
        <v>3096672.3450000002</v>
      </c>
      <c r="E1482">
        <v>631.89599999999996</v>
      </c>
      <c r="F1482">
        <v>5.2</v>
      </c>
      <c r="G1482">
        <v>0</v>
      </c>
      <c r="H1482" t="s">
        <v>186</v>
      </c>
      <c r="I1482">
        <v>0</v>
      </c>
      <c r="J1482">
        <f t="shared" si="635"/>
        <v>1</v>
      </c>
      <c r="K1482">
        <f t="shared" si="636"/>
        <v>51</v>
      </c>
      <c r="L1482">
        <f t="shared" ca="1" si="637"/>
        <v>51797.843837663619</v>
      </c>
      <c r="M1482">
        <f t="shared" ca="1" si="614"/>
        <v>269348.78795585083</v>
      </c>
      <c r="N1482">
        <f t="shared" ca="1" si="615"/>
        <v>2.5998694991876676</v>
      </c>
      <c r="O1482">
        <f t="shared" ca="1" si="616"/>
        <v>1.8934557080078435E-4</v>
      </c>
      <c r="P1482">
        <f t="shared" ca="1" si="617"/>
        <v>52429.739837663619</v>
      </c>
      <c r="Q1482">
        <f t="shared" ca="1" si="618"/>
        <v>52429.739837665446</v>
      </c>
      <c r="R1482">
        <f t="shared" ca="1" si="619"/>
        <v>2.2564415439646509E-12</v>
      </c>
      <c r="S1482">
        <f t="shared" ca="1" si="638"/>
        <v>5.0000000192085281E-4</v>
      </c>
      <c r="T1482">
        <f t="shared" ca="1" si="639"/>
        <v>1</v>
      </c>
      <c r="U1482">
        <f t="shared" ca="1" si="620"/>
        <v>51800.26683766341</v>
      </c>
      <c r="V1482">
        <f t="shared" ca="1" si="621"/>
        <v>269361.38755584974</v>
      </c>
      <c r="W1482">
        <f t="shared" ca="1" si="622"/>
        <v>2.5998695052916441</v>
      </c>
      <c r="X1482">
        <f t="shared" ca="1" si="623"/>
        <v>1.8933671400629237E-4</v>
      </c>
      <c r="Y1482">
        <f t="shared" ca="1" si="624"/>
        <v>52432.162837663411</v>
      </c>
      <c r="Z1482">
        <f t="shared" ca="1" si="625"/>
        <v>52432.162837665237</v>
      </c>
      <c r="AA1482">
        <f t="shared" ca="1" si="626"/>
        <v>2.2562304480281055E-12</v>
      </c>
      <c r="AB1482">
        <f t="shared" ca="1" si="627"/>
        <v>-5.0000000192085281E-4</v>
      </c>
      <c r="AC1482">
        <f t="shared" ca="1" si="628"/>
        <v>1</v>
      </c>
      <c r="AD1482">
        <f ca="1">IF(V32="Supercritical",L1482,IF(V32="Subcritical",U1482,IF(AND(T1482=1,AC1482=1),IF((((F1482)*(L1482)^2)/2+(G1482)*(L1482)^3/3+(ABS(K1482)^2)/($I$5*MAX(((F1482)+(G1482)*(L1482))*(L1482),0.000001)))&gt;=(((F1482)*(U1482)^2)/2+(G1482)*(U1482)^3/3+(ABS(K1482)^2)/($I$5*MAX(((F1482)+(G1482)*(U1482))*(U1482),0.000001))),L1482,U1482),IF(T1482=1,L1482,IF(AC1482=1,U1482,MAX($D$16,POWER((ABS(K1482)^2)/($I$5*MAX(F1482,0.1)^2),1/3)))))))</f>
        <v>51800.26683766341</v>
      </c>
      <c r="AE1482">
        <f t="shared" ca="1" si="629"/>
        <v>52432.162837663411</v>
      </c>
      <c r="AF1482">
        <f t="shared" ca="1" si="630"/>
        <v>52432.162837665237</v>
      </c>
      <c r="AI1482">
        <v>0</v>
      </c>
      <c r="AJ1482">
        <v>0</v>
      </c>
      <c r="AK1482">
        <f t="shared" si="631"/>
        <v>0</v>
      </c>
      <c r="AL1482">
        <f t="shared" si="640"/>
        <v>0</v>
      </c>
      <c r="AM1482">
        <f t="shared" ca="1" si="632"/>
        <v>2.6560383008097266E-7</v>
      </c>
      <c r="AN1482" t="str">
        <f t="shared" ca="1" si="633"/>
        <v>Subcritical</v>
      </c>
      <c r="AO1482">
        <f t="shared" ca="1" si="634"/>
        <v>2.2562304480281055E-12</v>
      </c>
    </row>
    <row r="1483" spans="1:41" x14ac:dyDescent="0.35">
      <c r="A1483">
        <v>1334</v>
      </c>
      <c r="B1483">
        <v>1332.89</v>
      </c>
      <c r="C1483">
        <v>616067.09400000004</v>
      </c>
      <c r="D1483">
        <v>3096671.3459999999</v>
      </c>
      <c r="E1483">
        <v>631.89549999999997</v>
      </c>
      <c r="F1483">
        <v>5.2</v>
      </c>
      <c r="G1483">
        <v>0</v>
      </c>
      <c r="H1483" t="s">
        <v>186</v>
      </c>
      <c r="I1483">
        <v>0</v>
      </c>
      <c r="J1483">
        <f t="shared" si="635"/>
        <v>1</v>
      </c>
      <c r="K1483">
        <f t="shared" si="636"/>
        <v>51</v>
      </c>
      <c r="L1483">
        <f t="shared" ca="1" si="637"/>
        <v>51797.843837663619</v>
      </c>
      <c r="M1483">
        <f t="shared" ca="1" si="614"/>
        <v>269348.78795585083</v>
      </c>
      <c r="N1483">
        <f t="shared" ca="1" si="615"/>
        <v>2.5998694991876676</v>
      </c>
      <c r="O1483">
        <f t="shared" ca="1" si="616"/>
        <v>1.8934557080078435E-4</v>
      </c>
      <c r="P1483">
        <f t="shared" ca="1" si="617"/>
        <v>52429.739337663617</v>
      </c>
      <c r="Q1483">
        <f t="shared" ca="1" si="618"/>
        <v>52429.739337665444</v>
      </c>
      <c r="R1483">
        <f t="shared" ca="1" si="619"/>
        <v>2.2564415439646509E-12</v>
      </c>
      <c r="S1483">
        <f t="shared" ca="1" si="638"/>
        <v>5.0000000192085281E-4</v>
      </c>
      <c r="T1483">
        <f t="shared" ca="1" si="639"/>
        <v>1</v>
      </c>
      <c r="U1483">
        <f t="shared" ca="1" si="620"/>
        <v>51800.26683766341</v>
      </c>
      <c r="V1483">
        <f t="shared" ca="1" si="621"/>
        <v>269361.38755584974</v>
      </c>
      <c r="W1483">
        <f t="shared" ca="1" si="622"/>
        <v>2.5998695052916441</v>
      </c>
      <c r="X1483">
        <f t="shared" ca="1" si="623"/>
        <v>1.8933671400629237E-4</v>
      </c>
      <c r="Y1483">
        <f t="shared" ca="1" si="624"/>
        <v>52432.162337663409</v>
      </c>
      <c r="Z1483">
        <f t="shared" ca="1" si="625"/>
        <v>52432.162337665235</v>
      </c>
      <c r="AA1483">
        <f t="shared" ca="1" si="626"/>
        <v>2.2562304480281055E-12</v>
      </c>
      <c r="AB1483">
        <f t="shared" ca="1" si="627"/>
        <v>-5.0000000192085281E-4</v>
      </c>
      <c r="AC1483">
        <f t="shared" ca="1" si="628"/>
        <v>1</v>
      </c>
      <c r="AD1483">
        <f ca="1">IF(V32="Supercritical",L1483,IF(V32="Subcritical",U1483,IF(AND(T1483=1,AC1483=1),IF((((F1483)*(L1483)^2)/2+(G1483)*(L1483)^3/3+(ABS(K1483)^2)/($I$5*MAX(((F1483)+(G1483)*(L1483))*(L1483),0.000001)))&gt;=(((F1483)*(U1483)^2)/2+(G1483)*(U1483)^3/3+(ABS(K1483)^2)/($I$5*MAX(((F1483)+(G1483)*(U1483))*(U1483),0.000001))),L1483,U1483),IF(T1483=1,L1483,IF(AC1483=1,U1483,MAX($D$16,POWER((ABS(K1483)^2)/($I$5*MAX(F1483,0.1)^2),1/3)))))))</f>
        <v>51800.26683766341</v>
      </c>
      <c r="AE1483">
        <f t="shared" ca="1" si="629"/>
        <v>52432.162337663409</v>
      </c>
      <c r="AF1483">
        <f t="shared" ca="1" si="630"/>
        <v>52432.162337665235</v>
      </c>
      <c r="AI1483">
        <v>0</v>
      </c>
      <c r="AJ1483">
        <v>0</v>
      </c>
      <c r="AK1483">
        <f t="shared" si="631"/>
        <v>0</v>
      </c>
      <c r="AL1483">
        <f t="shared" si="640"/>
        <v>0</v>
      </c>
      <c r="AM1483">
        <f t="shared" ca="1" si="632"/>
        <v>2.6560383008097266E-7</v>
      </c>
      <c r="AN1483" t="str">
        <f t="shared" ca="1" si="633"/>
        <v>Subcritical</v>
      </c>
      <c r="AO1483">
        <f t="shared" ca="1" si="634"/>
        <v>2.2562304480281055E-12</v>
      </c>
    </row>
    <row r="1484" spans="1:41" x14ac:dyDescent="0.35">
      <c r="A1484">
        <v>1335</v>
      </c>
      <c r="B1484">
        <v>1333.8889999999999</v>
      </c>
      <c r="C1484">
        <v>616067.05200000003</v>
      </c>
      <c r="D1484">
        <v>3096670.3470000001</v>
      </c>
      <c r="E1484">
        <v>631.89499999999998</v>
      </c>
      <c r="F1484">
        <v>5.2</v>
      </c>
      <c r="G1484">
        <v>0</v>
      </c>
      <c r="H1484" t="s">
        <v>186</v>
      </c>
      <c r="I1484">
        <v>5.7000000000000002E-2</v>
      </c>
      <c r="J1484">
        <f t="shared" si="635"/>
        <v>0.99899999999979627</v>
      </c>
      <c r="K1484">
        <f t="shared" si="636"/>
        <v>51</v>
      </c>
      <c r="L1484">
        <f t="shared" ca="1" si="637"/>
        <v>51797.843837663619</v>
      </c>
      <c r="M1484">
        <f t="shared" ca="1" si="614"/>
        <v>269348.78795585083</v>
      </c>
      <c r="N1484">
        <f t="shared" ca="1" si="615"/>
        <v>2.5998694991876676</v>
      </c>
      <c r="O1484">
        <f t="shared" ca="1" si="616"/>
        <v>1.8934557080078435E-4</v>
      </c>
      <c r="P1484">
        <f t="shared" ca="1" si="617"/>
        <v>52429.738837663615</v>
      </c>
      <c r="Q1484">
        <f t="shared" ca="1" si="618"/>
        <v>52429.738837665442</v>
      </c>
      <c r="R1484">
        <f t="shared" ca="1" si="619"/>
        <v>2.2564415439646509E-12</v>
      </c>
      <c r="S1484">
        <f t="shared" ca="1" si="638"/>
        <v>5.0000000192085281E-4</v>
      </c>
      <c r="T1484">
        <f t="shared" ca="1" si="639"/>
        <v>1</v>
      </c>
      <c r="U1484">
        <f t="shared" ca="1" si="620"/>
        <v>51800.26683766341</v>
      </c>
      <c r="V1484">
        <f t="shared" ca="1" si="621"/>
        <v>269361.38755584974</v>
      </c>
      <c r="W1484">
        <f t="shared" ca="1" si="622"/>
        <v>2.5998695052916441</v>
      </c>
      <c r="X1484">
        <f t="shared" ca="1" si="623"/>
        <v>1.8933671400629237E-4</v>
      </c>
      <c r="Y1484">
        <f t="shared" ca="1" si="624"/>
        <v>52432.161837663407</v>
      </c>
      <c r="Z1484">
        <f t="shared" ca="1" si="625"/>
        <v>52432.161837665233</v>
      </c>
      <c r="AA1484">
        <f t="shared" ca="1" si="626"/>
        <v>2.2562304480281055E-12</v>
      </c>
      <c r="AB1484">
        <f t="shared" ca="1" si="627"/>
        <v>-4.999999946448952E-4</v>
      </c>
      <c r="AC1484">
        <f t="shared" ca="1" si="628"/>
        <v>1</v>
      </c>
      <c r="AD1484">
        <f ca="1">IF(V32="Supercritical",L1484,IF(V32="Subcritical",U1484,IF(AND(T1484=1,AC1484=1),IF((((F1484)*(L1484)^2)/2+(G1484)*(L1484)^3/3+(ABS(K1484)^2)/($I$5*MAX(((F1484)+(G1484)*(L1484))*(L1484),0.000001)))&gt;=(((F1484)*(U1484)^2)/2+(G1484)*(U1484)^3/3+(ABS(K1484)^2)/($I$5*MAX(((F1484)+(G1484)*(U1484))*(U1484),0.000001))),L1484,U1484),IF(T1484=1,L1484,IF(AC1484=1,U1484,MAX($D$16,POWER((ABS(K1484)^2)/($I$5*MAX(F1484,0.1)^2),1/3)))))))</f>
        <v>51800.26683766341</v>
      </c>
      <c r="AE1484">
        <f t="shared" ca="1" si="629"/>
        <v>52432.161837663407</v>
      </c>
      <c r="AF1484">
        <f t="shared" ca="1" si="630"/>
        <v>52432.161837665233</v>
      </c>
      <c r="AI1484">
        <v>0</v>
      </c>
      <c r="AJ1484">
        <v>0</v>
      </c>
      <c r="AK1484">
        <f t="shared" si="631"/>
        <v>0</v>
      </c>
      <c r="AL1484">
        <f t="shared" si="640"/>
        <v>0</v>
      </c>
      <c r="AM1484">
        <f t="shared" ca="1" si="632"/>
        <v>2.6560383008097266E-7</v>
      </c>
      <c r="AN1484" t="str">
        <f t="shared" ca="1" si="633"/>
        <v>Subcritical</v>
      </c>
      <c r="AO1484">
        <f t="shared" ca="1" si="634"/>
        <v>2.2562304480281055E-12</v>
      </c>
    </row>
    <row r="1485" spans="1:41" x14ac:dyDescent="0.35">
      <c r="A1485">
        <v>1336</v>
      </c>
      <c r="B1485">
        <v>1334.8889999999999</v>
      </c>
      <c r="C1485">
        <v>616067.00899999996</v>
      </c>
      <c r="D1485">
        <v>3096669.3480000002</v>
      </c>
      <c r="E1485">
        <v>631.89449999999999</v>
      </c>
      <c r="F1485">
        <v>5.2</v>
      </c>
      <c r="G1485">
        <v>0</v>
      </c>
      <c r="H1485" t="s">
        <v>186</v>
      </c>
      <c r="I1485">
        <v>5.7000000000000002E-2</v>
      </c>
      <c r="J1485">
        <f t="shared" si="635"/>
        <v>1</v>
      </c>
      <c r="K1485">
        <f t="shared" si="636"/>
        <v>51</v>
      </c>
      <c r="L1485">
        <f t="shared" ca="1" si="637"/>
        <v>51797.843837663619</v>
      </c>
      <c r="M1485">
        <f t="shared" ca="1" si="614"/>
        <v>269348.78795585083</v>
      </c>
      <c r="N1485">
        <f t="shared" ca="1" si="615"/>
        <v>2.5998694991876676</v>
      </c>
      <c r="O1485">
        <f t="shared" ca="1" si="616"/>
        <v>1.8934557080078435E-4</v>
      </c>
      <c r="P1485">
        <f t="shared" ca="1" si="617"/>
        <v>52429.738337663621</v>
      </c>
      <c r="Q1485">
        <f t="shared" ca="1" si="618"/>
        <v>52429.738337665447</v>
      </c>
      <c r="R1485">
        <f t="shared" ca="1" si="619"/>
        <v>2.2564415439646509E-12</v>
      </c>
      <c r="S1485">
        <f t="shared" ca="1" si="638"/>
        <v>4.999999946448952E-4</v>
      </c>
      <c r="T1485">
        <f t="shared" ca="1" si="639"/>
        <v>1</v>
      </c>
      <c r="U1485">
        <f t="shared" ca="1" si="620"/>
        <v>51800.26683766341</v>
      </c>
      <c r="V1485">
        <f t="shared" ca="1" si="621"/>
        <v>269361.38755584974</v>
      </c>
      <c r="W1485">
        <f t="shared" ca="1" si="622"/>
        <v>2.5998695052916441</v>
      </c>
      <c r="X1485">
        <f t="shared" ca="1" si="623"/>
        <v>1.8933671400629237E-4</v>
      </c>
      <c r="Y1485">
        <f t="shared" ca="1" si="624"/>
        <v>52432.161337663412</v>
      </c>
      <c r="Z1485">
        <f t="shared" ca="1" si="625"/>
        <v>52432.161337665239</v>
      </c>
      <c r="AA1485">
        <f t="shared" ca="1" si="626"/>
        <v>2.2562304480281055E-12</v>
      </c>
      <c r="AB1485">
        <f t="shared" ca="1" si="627"/>
        <v>-5.0000000192085281E-4</v>
      </c>
      <c r="AC1485">
        <f t="shared" ca="1" si="628"/>
        <v>1</v>
      </c>
      <c r="AD1485">
        <f ca="1">IF(V32="Supercritical",L1485,IF(V32="Subcritical",U1485,IF(AND(T1485=1,AC1485=1),IF((((F1485)*(L1485)^2)/2+(G1485)*(L1485)^3/3+(ABS(K1485)^2)/($I$5*MAX(((F1485)+(G1485)*(L1485))*(L1485),0.000001)))&gt;=(((F1485)*(U1485)^2)/2+(G1485)*(U1485)^3/3+(ABS(K1485)^2)/($I$5*MAX(((F1485)+(G1485)*(U1485))*(U1485),0.000001))),L1485,U1485),IF(T1485=1,L1485,IF(AC1485=1,U1485,MAX($D$16,POWER((ABS(K1485)^2)/($I$5*MAX(F1485,0.1)^2),1/3)))))))</f>
        <v>51800.26683766341</v>
      </c>
      <c r="AE1485">
        <f t="shared" ca="1" si="629"/>
        <v>52432.161337663412</v>
      </c>
      <c r="AF1485">
        <f t="shared" ca="1" si="630"/>
        <v>52432.161337665239</v>
      </c>
      <c r="AI1485">
        <v>0</v>
      </c>
      <c r="AJ1485">
        <v>0</v>
      </c>
      <c r="AK1485">
        <f t="shared" si="631"/>
        <v>0</v>
      </c>
      <c r="AL1485">
        <f t="shared" si="640"/>
        <v>0</v>
      </c>
      <c r="AM1485">
        <f t="shared" ca="1" si="632"/>
        <v>2.6560383008097266E-7</v>
      </c>
      <c r="AN1485" t="str">
        <f t="shared" ca="1" si="633"/>
        <v>Subcritical</v>
      </c>
      <c r="AO1485">
        <f t="shared" ca="1" si="634"/>
        <v>2.2562304480281055E-12</v>
      </c>
    </row>
    <row r="1486" spans="1:41" x14ac:dyDescent="0.35">
      <c r="A1486">
        <v>1337</v>
      </c>
      <c r="B1486">
        <v>1335.8889999999999</v>
      </c>
      <c r="C1486">
        <v>616066.96699999995</v>
      </c>
      <c r="D1486">
        <v>3096668.3489999999</v>
      </c>
      <c r="E1486">
        <v>631.89400000000001</v>
      </c>
      <c r="F1486">
        <v>5.2</v>
      </c>
      <c r="G1486">
        <v>0</v>
      </c>
      <c r="H1486" t="s">
        <v>186</v>
      </c>
      <c r="I1486">
        <v>0</v>
      </c>
      <c r="J1486">
        <f t="shared" si="635"/>
        <v>1</v>
      </c>
      <c r="K1486">
        <f t="shared" si="636"/>
        <v>51</v>
      </c>
      <c r="L1486">
        <f t="shared" ca="1" si="637"/>
        <v>51797.843837663619</v>
      </c>
      <c r="M1486">
        <f t="shared" ca="1" si="614"/>
        <v>269348.78795585083</v>
      </c>
      <c r="N1486">
        <f t="shared" ca="1" si="615"/>
        <v>2.5998694991876676</v>
      </c>
      <c r="O1486">
        <f t="shared" ca="1" si="616"/>
        <v>1.8934557080078435E-4</v>
      </c>
      <c r="P1486">
        <f t="shared" ca="1" si="617"/>
        <v>52429.737837663619</v>
      </c>
      <c r="Q1486">
        <f t="shared" ca="1" si="618"/>
        <v>52429.737837665445</v>
      </c>
      <c r="R1486">
        <f t="shared" ca="1" si="619"/>
        <v>2.2564415439646509E-12</v>
      </c>
      <c r="S1486">
        <f t="shared" ca="1" si="638"/>
        <v>5.0000000192085281E-4</v>
      </c>
      <c r="T1486">
        <f t="shared" ca="1" si="639"/>
        <v>1</v>
      </c>
      <c r="U1486">
        <f t="shared" ca="1" si="620"/>
        <v>51800.26683766341</v>
      </c>
      <c r="V1486">
        <f t="shared" ca="1" si="621"/>
        <v>269361.38755584974</v>
      </c>
      <c r="W1486">
        <f t="shared" ca="1" si="622"/>
        <v>2.5998695052916441</v>
      </c>
      <c r="X1486">
        <f t="shared" ca="1" si="623"/>
        <v>1.8933671400629237E-4</v>
      </c>
      <c r="Y1486">
        <f t="shared" ca="1" si="624"/>
        <v>52432.16083766341</v>
      </c>
      <c r="Z1486">
        <f t="shared" ca="1" si="625"/>
        <v>52432.160837665237</v>
      </c>
      <c r="AA1486">
        <f t="shared" ca="1" si="626"/>
        <v>2.2562304480281055E-12</v>
      </c>
      <c r="AB1486">
        <f t="shared" ca="1" si="627"/>
        <v>-5.0000000192085281E-4</v>
      </c>
      <c r="AC1486">
        <f t="shared" ca="1" si="628"/>
        <v>1</v>
      </c>
      <c r="AD1486">
        <f ca="1">IF(V32="Supercritical",L1486,IF(V32="Subcritical",U1486,IF(AND(T1486=1,AC1486=1),IF((((F1486)*(L1486)^2)/2+(G1486)*(L1486)^3/3+(ABS(K1486)^2)/($I$5*MAX(((F1486)+(G1486)*(L1486))*(L1486),0.000001)))&gt;=(((F1486)*(U1486)^2)/2+(G1486)*(U1486)^3/3+(ABS(K1486)^2)/($I$5*MAX(((F1486)+(G1486)*(U1486))*(U1486),0.000001))),L1486,U1486),IF(T1486=1,L1486,IF(AC1486=1,U1486,MAX($D$16,POWER((ABS(K1486)^2)/($I$5*MAX(F1486,0.1)^2),1/3)))))))</f>
        <v>51800.26683766341</v>
      </c>
      <c r="AE1486">
        <f t="shared" ca="1" si="629"/>
        <v>52432.16083766341</v>
      </c>
      <c r="AF1486">
        <f t="shared" ca="1" si="630"/>
        <v>52432.160837665237</v>
      </c>
      <c r="AI1486">
        <v>0</v>
      </c>
      <c r="AJ1486">
        <v>0</v>
      </c>
      <c r="AK1486">
        <f t="shared" si="631"/>
        <v>0</v>
      </c>
      <c r="AL1486">
        <f t="shared" si="640"/>
        <v>0</v>
      </c>
      <c r="AM1486">
        <f t="shared" ca="1" si="632"/>
        <v>2.6560383008097266E-7</v>
      </c>
      <c r="AN1486" t="str">
        <f t="shared" ca="1" si="633"/>
        <v>Subcritical</v>
      </c>
      <c r="AO1486">
        <f t="shared" ca="1" si="634"/>
        <v>2.2562304480281055E-12</v>
      </c>
    </row>
    <row r="1487" spans="1:41" x14ac:dyDescent="0.35">
      <c r="A1487">
        <v>1338</v>
      </c>
      <c r="B1487">
        <v>1336.8889999999999</v>
      </c>
      <c r="C1487">
        <v>616066.92500000005</v>
      </c>
      <c r="D1487">
        <v>3096667.35</v>
      </c>
      <c r="E1487">
        <v>631.89350000000002</v>
      </c>
      <c r="F1487">
        <v>5.2</v>
      </c>
      <c r="G1487">
        <v>0</v>
      </c>
      <c r="H1487" t="s">
        <v>186</v>
      </c>
      <c r="I1487">
        <v>5.7000000000000002E-2</v>
      </c>
      <c r="J1487">
        <f t="shared" si="635"/>
        <v>1</v>
      </c>
      <c r="K1487">
        <f t="shared" si="636"/>
        <v>51</v>
      </c>
      <c r="L1487">
        <f t="shared" ca="1" si="637"/>
        <v>51797.843837663619</v>
      </c>
      <c r="M1487">
        <f t="shared" ca="1" si="614"/>
        <v>269348.78795585083</v>
      </c>
      <c r="N1487">
        <f t="shared" ca="1" si="615"/>
        <v>2.5998694991876676</v>
      </c>
      <c r="O1487">
        <f t="shared" ca="1" si="616"/>
        <v>1.8934557080078435E-4</v>
      </c>
      <c r="P1487">
        <f t="shared" ca="1" si="617"/>
        <v>52429.737337663617</v>
      </c>
      <c r="Q1487">
        <f t="shared" ca="1" si="618"/>
        <v>52429.737337665443</v>
      </c>
      <c r="R1487">
        <f t="shared" ca="1" si="619"/>
        <v>2.2564415439646509E-12</v>
      </c>
      <c r="S1487">
        <f t="shared" ca="1" si="638"/>
        <v>5.0000000192085281E-4</v>
      </c>
      <c r="T1487">
        <f t="shared" ca="1" si="639"/>
        <v>1</v>
      </c>
      <c r="U1487">
        <f t="shared" ca="1" si="620"/>
        <v>51800.26683766341</v>
      </c>
      <c r="V1487">
        <f t="shared" ca="1" si="621"/>
        <v>269361.38755584974</v>
      </c>
      <c r="W1487">
        <f t="shared" ca="1" si="622"/>
        <v>2.5998695052916441</v>
      </c>
      <c r="X1487">
        <f t="shared" ca="1" si="623"/>
        <v>1.8933671400629237E-4</v>
      </c>
      <c r="Y1487">
        <f t="shared" ca="1" si="624"/>
        <v>52432.160337663408</v>
      </c>
      <c r="Z1487">
        <f t="shared" ca="1" si="625"/>
        <v>52432.160337665235</v>
      </c>
      <c r="AA1487">
        <f t="shared" ca="1" si="626"/>
        <v>2.2562304480281055E-12</v>
      </c>
      <c r="AB1487">
        <f t="shared" ca="1" si="627"/>
        <v>-5.0000000192085281E-4</v>
      </c>
      <c r="AC1487">
        <f t="shared" ca="1" si="628"/>
        <v>1</v>
      </c>
      <c r="AD1487">
        <f ca="1">IF(V32="Supercritical",L1487,IF(V32="Subcritical",U1487,IF(AND(T1487=1,AC1487=1),IF((((F1487)*(L1487)^2)/2+(G1487)*(L1487)^3/3+(ABS(K1487)^2)/($I$5*MAX(((F1487)+(G1487)*(L1487))*(L1487),0.000001)))&gt;=(((F1487)*(U1487)^2)/2+(G1487)*(U1487)^3/3+(ABS(K1487)^2)/($I$5*MAX(((F1487)+(G1487)*(U1487))*(U1487),0.000001))),L1487,U1487),IF(T1487=1,L1487,IF(AC1487=1,U1487,MAX($D$16,POWER((ABS(K1487)^2)/($I$5*MAX(F1487,0.1)^2),1/3)))))))</f>
        <v>51800.26683766341</v>
      </c>
      <c r="AE1487">
        <f t="shared" ca="1" si="629"/>
        <v>52432.160337663408</v>
      </c>
      <c r="AF1487">
        <f t="shared" ca="1" si="630"/>
        <v>52432.160337665235</v>
      </c>
      <c r="AI1487">
        <v>0</v>
      </c>
      <c r="AJ1487">
        <v>0</v>
      </c>
      <c r="AK1487">
        <f t="shared" si="631"/>
        <v>0</v>
      </c>
      <c r="AL1487">
        <f t="shared" si="640"/>
        <v>0</v>
      </c>
      <c r="AM1487">
        <f t="shared" ca="1" si="632"/>
        <v>2.6560383008097266E-7</v>
      </c>
      <c r="AN1487" t="str">
        <f t="shared" ca="1" si="633"/>
        <v>Subcritical</v>
      </c>
      <c r="AO1487">
        <f t="shared" ca="1" si="634"/>
        <v>2.2562304480281055E-12</v>
      </c>
    </row>
    <row r="1488" spans="1:41" x14ac:dyDescent="0.35">
      <c r="A1488">
        <v>1339</v>
      </c>
      <c r="B1488">
        <v>1337.8889999999999</v>
      </c>
      <c r="C1488">
        <v>616066.88199999998</v>
      </c>
      <c r="D1488">
        <v>3096666.3509999998</v>
      </c>
      <c r="E1488">
        <v>631.89300000000003</v>
      </c>
      <c r="F1488">
        <v>5.2</v>
      </c>
      <c r="G1488">
        <v>0</v>
      </c>
      <c r="H1488" t="s">
        <v>186</v>
      </c>
      <c r="I1488">
        <v>5.7000000000000002E-2</v>
      </c>
      <c r="J1488">
        <f t="shared" si="635"/>
        <v>1</v>
      </c>
      <c r="K1488">
        <f t="shared" si="636"/>
        <v>51</v>
      </c>
      <c r="L1488">
        <f t="shared" ca="1" si="637"/>
        <v>51797.843837663619</v>
      </c>
      <c r="M1488">
        <f t="shared" ca="1" si="614"/>
        <v>269348.78795585083</v>
      </c>
      <c r="N1488">
        <f t="shared" ca="1" si="615"/>
        <v>2.5998694991876676</v>
      </c>
      <c r="O1488">
        <f t="shared" ca="1" si="616"/>
        <v>1.8934557080078435E-4</v>
      </c>
      <c r="P1488">
        <f t="shared" ca="1" si="617"/>
        <v>52429.736837663615</v>
      </c>
      <c r="Q1488">
        <f t="shared" ca="1" si="618"/>
        <v>52429.736837665441</v>
      </c>
      <c r="R1488">
        <f t="shared" ca="1" si="619"/>
        <v>2.2564415439646509E-12</v>
      </c>
      <c r="S1488">
        <f t="shared" ca="1" si="638"/>
        <v>5.0000000192085281E-4</v>
      </c>
      <c r="T1488">
        <f t="shared" ca="1" si="639"/>
        <v>1</v>
      </c>
      <c r="U1488">
        <f t="shared" ca="1" si="620"/>
        <v>51800.26683766341</v>
      </c>
      <c r="V1488">
        <f t="shared" ca="1" si="621"/>
        <v>269361.38755584974</v>
      </c>
      <c r="W1488">
        <f t="shared" ca="1" si="622"/>
        <v>2.5998695052916441</v>
      </c>
      <c r="X1488">
        <f t="shared" ca="1" si="623"/>
        <v>1.8933671400629237E-4</v>
      </c>
      <c r="Y1488">
        <f t="shared" ca="1" si="624"/>
        <v>52432.159837663407</v>
      </c>
      <c r="Z1488">
        <f t="shared" ca="1" si="625"/>
        <v>52432.159837665233</v>
      </c>
      <c r="AA1488">
        <f t="shared" ca="1" si="626"/>
        <v>2.2562304480281055E-12</v>
      </c>
      <c r="AB1488">
        <f t="shared" ca="1" si="627"/>
        <v>-4.999999946448952E-4</v>
      </c>
      <c r="AC1488">
        <f t="shared" ca="1" si="628"/>
        <v>1</v>
      </c>
      <c r="AD1488">
        <f ca="1">IF(V32="Supercritical",L1488,IF(V32="Subcritical",U1488,IF(AND(T1488=1,AC1488=1),IF((((F1488)*(L1488)^2)/2+(G1488)*(L1488)^3/3+(ABS(K1488)^2)/($I$5*MAX(((F1488)+(G1488)*(L1488))*(L1488),0.000001)))&gt;=(((F1488)*(U1488)^2)/2+(G1488)*(U1488)^3/3+(ABS(K1488)^2)/($I$5*MAX(((F1488)+(G1488)*(U1488))*(U1488),0.000001))),L1488,U1488),IF(T1488=1,L1488,IF(AC1488=1,U1488,MAX($D$16,POWER((ABS(K1488)^2)/($I$5*MAX(F1488,0.1)^2),1/3)))))))</f>
        <v>51800.26683766341</v>
      </c>
      <c r="AE1488">
        <f t="shared" ca="1" si="629"/>
        <v>52432.159837663407</v>
      </c>
      <c r="AF1488">
        <f t="shared" ca="1" si="630"/>
        <v>52432.159837665233</v>
      </c>
      <c r="AI1488">
        <v>0</v>
      </c>
      <c r="AJ1488">
        <v>0</v>
      </c>
      <c r="AK1488">
        <f t="shared" si="631"/>
        <v>0</v>
      </c>
      <c r="AL1488">
        <f t="shared" si="640"/>
        <v>0</v>
      </c>
      <c r="AM1488">
        <f t="shared" ca="1" si="632"/>
        <v>2.6560383008097266E-7</v>
      </c>
      <c r="AN1488" t="str">
        <f t="shared" ca="1" si="633"/>
        <v>Subcritical</v>
      </c>
      <c r="AO1488">
        <f t="shared" ca="1" si="634"/>
        <v>2.2562304480281055E-12</v>
      </c>
    </row>
    <row r="1489" spans="1:41" x14ac:dyDescent="0.35">
      <c r="A1489">
        <v>1340</v>
      </c>
      <c r="B1489">
        <v>1338.8889999999999</v>
      </c>
      <c r="C1489">
        <v>616066.84</v>
      </c>
      <c r="D1489">
        <v>3096665.352</v>
      </c>
      <c r="E1489">
        <v>631.89250000000004</v>
      </c>
      <c r="F1489">
        <v>5.2</v>
      </c>
      <c r="G1489">
        <v>0</v>
      </c>
      <c r="H1489" t="s">
        <v>186</v>
      </c>
      <c r="I1489">
        <v>2E-3</v>
      </c>
      <c r="J1489">
        <f t="shared" si="635"/>
        <v>1</v>
      </c>
      <c r="K1489">
        <f t="shared" si="636"/>
        <v>51</v>
      </c>
      <c r="L1489">
        <f t="shared" ca="1" si="637"/>
        <v>51797.843837663619</v>
      </c>
      <c r="M1489">
        <f t="shared" ca="1" si="614"/>
        <v>269348.78795585083</v>
      </c>
      <c r="N1489">
        <f t="shared" ca="1" si="615"/>
        <v>2.5998694991876676</v>
      </c>
      <c r="O1489">
        <f t="shared" ca="1" si="616"/>
        <v>1.8934557080078435E-4</v>
      </c>
      <c r="P1489">
        <f t="shared" ca="1" si="617"/>
        <v>52429.73633766362</v>
      </c>
      <c r="Q1489">
        <f t="shared" ca="1" si="618"/>
        <v>52429.736337665447</v>
      </c>
      <c r="R1489">
        <f t="shared" ca="1" si="619"/>
        <v>2.2564415439646509E-12</v>
      </c>
      <c r="S1489">
        <f t="shared" ca="1" si="638"/>
        <v>4.999999946448952E-4</v>
      </c>
      <c r="T1489">
        <f t="shared" ca="1" si="639"/>
        <v>1</v>
      </c>
      <c r="U1489">
        <f t="shared" ca="1" si="620"/>
        <v>51800.26683766341</v>
      </c>
      <c r="V1489">
        <f t="shared" ca="1" si="621"/>
        <v>269361.38755584974</v>
      </c>
      <c r="W1489">
        <f t="shared" ca="1" si="622"/>
        <v>2.5998695052916441</v>
      </c>
      <c r="X1489">
        <f t="shared" ca="1" si="623"/>
        <v>1.8933671400629237E-4</v>
      </c>
      <c r="Y1489">
        <f t="shared" ca="1" si="624"/>
        <v>52432.159337663412</v>
      </c>
      <c r="Z1489">
        <f t="shared" ca="1" si="625"/>
        <v>52432.159337665238</v>
      </c>
      <c r="AA1489">
        <f t="shared" ca="1" si="626"/>
        <v>2.2562304480281055E-12</v>
      </c>
      <c r="AB1489">
        <f t="shared" ca="1" si="627"/>
        <v>-5.0000000192085281E-4</v>
      </c>
      <c r="AC1489">
        <f t="shared" ca="1" si="628"/>
        <v>1</v>
      </c>
      <c r="AD1489">
        <f ca="1">IF(V32="Supercritical",L1489,IF(V32="Subcritical",U1489,IF(AND(T1489=1,AC1489=1),IF((((F1489)*(L1489)^2)/2+(G1489)*(L1489)^3/3+(ABS(K1489)^2)/($I$5*MAX(((F1489)+(G1489)*(L1489))*(L1489),0.000001)))&gt;=(((F1489)*(U1489)^2)/2+(G1489)*(U1489)^3/3+(ABS(K1489)^2)/($I$5*MAX(((F1489)+(G1489)*(U1489))*(U1489),0.000001))),L1489,U1489),IF(T1489=1,L1489,IF(AC1489=1,U1489,MAX($D$16,POWER((ABS(K1489)^2)/($I$5*MAX(F1489,0.1)^2),1/3)))))))</f>
        <v>51800.26683766341</v>
      </c>
      <c r="AE1489">
        <f t="shared" ca="1" si="629"/>
        <v>52432.159337663412</v>
      </c>
      <c r="AF1489">
        <f t="shared" ca="1" si="630"/>
        <v>52432.159337665238</v>
      </c>
      <c r="AI1489">
        <v>0</v>
      </c>
      <c r="AJ1489">
        <v>0</v>
      </c>
      <c r="AK1489">
        <f t="shared" si="631"/>
        <v>0</v>
      </c>
      <c r="AL1489">
        <f t="shared" si="640"/>
        <v>0</v>
      </c>
      <c r="AM1489">
        <f t="shared" ca="1" si="632"/>
        <v>2.6560383008097266E-7</v>
      </c>
      <c r="AN1489" t="str">
        <f t="shared" ca="1" si="633"/>
        <v>Subcritical</v>
      </c>
      <c r="AO1489">
        <f t="shared" ca="1" si="634"/>
        <v>2.2562304480281055E-12</v>
      </c>
    </row>
    <row r="1490" spans="1:41" x14ac:dyDescent="0.35">
      <c r="A1490">
        <v>1341</v>
      </c>
      <c r="B1490">
        <v>1339.89</v>
      </c>
      <c r="C1490">
        <v>616066.79799999995</v>
      </c>
      <c r="D1490">
        <v>3096664.352</v>
      </c>
      <c r="E1490">
        <v>631.89200000000005</v>
      </c>
      <c r="F1490">
        <v>5.2</v>
      </c>
      <c r="G1490">
        <v>0</v>
      </c>
      <c r="H1490" t="s">
        <v>186</v>
      </c>
      <c r="I1490">
        <v>2E-3</v>
      </c>
      <c r="J1490">
        <f t="shared" si="635"/>
        <v>1.0010000000002037</v>
      </c>
      <c r="K1490">
        <f t="shared" si="636"/>
        <v>51</v>
      </c>
      <c r="L1490">
        <f t="shared" ca="1" si="637"/>
        <v>51797.843837663619</v>
      </c>
      <c r="M1490">
        <f t="shared" ca="1" si="614"/>
        <v>269348.78795585083</v>
      </c>
      <c r="N1490">
        <f t="shared" ca="1" si="615"/>
        <v>2.5998694991876676</v>
      </c>
      <c r="O1490">
        <f t="shared" ca="1" si="616"/>
        <v>1.8934557080078435E-4</v>
      </c>
      <c r="P1490">
        <f t="shared" ca="1" si="617"/>
        <v>52429.735837663618</v>
      </c>
      <c r="Q1490">
        <f t="shared" ca="1" si="618"/>
        <v>52429.735837665445</v>
      </c>
      <c r="R1490">
        <f t="shared" ca="1" si="619"/>
        <v>2.2564415439646509E-12</v>
      </c>
      <c r="S1490">
        <f t="shared" ca="1" si="638"/>
        <v>5.0000000192085281E-4</v>
      </c>
      <c r="T1490">
        <f t="shared" ca="1" si="639"/>
        <v>1</v>
      </c>
      <c r="U1490">
        <f t="shared" ca="1" si="620"/>
        <v>51800.26683766341</v>
      </c>
      <c r="V1490">
        <f t="shared" ca="1" si="621"/>
        <v>269361.38755584974</v>
      </c>
      <c r="W1490">
        <f t="shared" ca="1" si="622"/>
        <v>2.5998695052916441</v>
      </c>
      <c r="X1490">
        <f t="shared" ca="1" si="623"/>
        <v>1.8933671400629237E-4</v>
      </c>
      <c r="Y1490">
        <f t="shared" ca="1" si="624"/>
        <v>52432.15883766341</v>
      </c>
      <c r="Z1490">
        <f t="shared" ca="1" si="625"/>
        <v>52432.158837665236</v>
      </c>
      <c r="AA1490">
        <f t="shared" ca="1" si="626"/>
        <v>2.2562304480281055E-12</v>
      </c>
      <c r="AB1490">
        <f t="shared" ca="1" si="627"/>
        <v>-5.0000000192085281E-4</v>
      </c>
      <c r="AC1490">
        <f t="shared" ca="1" si="628"/>
        <v>1</v>
      </c>
      <c r="AD1490">
        <f ca="1">IF(V32="Supercritical",L1490,IF(V32="Subcritical",U1490,IF(AND(T1490=1,AC1490=1),IF((((F1490)*(L1490)^2)/2+(G1490)*(L1490)^3/3+(ABS(K1490)^2)/($I$5*MAX(((F1490)+(G1490)*(L1490))*(L1490),0.000001)))&gt;=(((F1490)*(U1490)^2)/2+(G1490)*(U1490)^3/3+(ABS(K1490)^2)/($I$5*MAX(((F1490)+(G1490)*(U1490))*(U1490),0.000001))),L1490,U1490),IF(T1490=1,L1490,IF(AC1490=1,U1490,MAX($D$16,POWER((ABS(K1490)^2)/($I$5*MAX(F1490,0.1)^2),1/3)))))))</f>
        <v>51800.26683766341</v>
      </c>
      <c r="AE1490">
        <f t="shared" ca="1" si="629"/>
        <v>52432.15883766341</v>
      </c>
      <c r="AF1490">
        <f t="shared" ca="1" si="630"/>
        <v>52432.158837665236</v>
      </c>
      <c r="AI1490">
        <v>0</v>
      </c>
      <c r="AJ1490">
        <v>0</v>
      </c>
      <c r="AK1490">
        <f t="shared" si="631"/>
        <v>0</v>
      </c>
      <c r="AL1490">
        <f t="shared" si="640"/>
        <v>0</v>
      </c>
      <c r="AM1490">
        <f t="shared" ca="1" si="632"/>
        <v>2.6560383008097266E-7</v>
      </c>
      <c r="AN1490" t="str">
        <f t="shared" ca="1" si="633"/>
        <v>Subcritical</v>
      </c>
      <c r="AO1490">
        <f t="shared" ca="1" si="634"/>
        <v>2.2562304480281055E-12</v>
      </c>
    </row>
    <row r="1491" spans="1:41" x14ac:dyDescent="0.35">
      <c r="A1491">
        <v>1342</v>
      </c>
      <c r="B1491">
        <v>1340.89</v>
      </c>
      <c r="C1491">
        <v>616066.75600000005</v>
      </c>
      <c r="D1491">
        <v>3096663.3530000001</v>
      </c>
      <c r="E1491">
        <v>631.89149999999995</v>
      </c>
      <c r="F1491">
        <v>5.2</v>
      </c>
      <c r="G1491">
        <v>0</v>
      </c>
      <c r="H1491" t="s">
        <v>186</v>
      </c>
      <c r="I1491">
        <v>5.7000000000000002E-2</v>
      </c>
      <c r="J1491">
        <f t="shared" si="635"/>
        <v>1</v>
      </c>
      <c r="K1491">
        <f t="shared" si="636"/>
        <v>51</v>
      </c>
      <c r="L1491">
        <f t="shared" ca="1" si="637"/>
        <v>51797.843837663619</v>
      </c>
      <c r="M1491">
        <f t="shared" ca="1" si="614"/>
        <v>269348.78795585083</v>
      </c>
      <c r="N1491">
        <f t="shared" ca="1" si="615"/>
        <v>2.5998694991876676</v>
      </c>
      <c r="O1491">
        <f t="shared" ca="1" si="616"/>
        <v>1.8934557080078435E-4</v>
      </c>
      <c r="P1491">
        <f t="shared" ca="1" si="617"/>
        <v>52429.735337663617</v>
      </c>
      <c r="Q1491">
        <f t="shared" ca="1" si="618"/>
        <v>52429.735337665443</v>
      </c>
      <c r="R1491">
        <f t="shared" ca="1" si="619"/>
        <v>2.2564415439646509E-12</v>
      </c>
      <c r="S1491">
        <f t="shared" ca="1" si="638"/>
        <v>5.0000000192085281E-4</v>
      </c>
      <c r="T1491">
        <f t="shared" ca="1" si="639"/>
        <v>1</v>
      </c>
      <c r="U1491">
        <f t="shared" ca="1" si="620"/>
        <v>51800.26683766341</v>
      </c>
      <c r="V1491">
        <f t="shared" ca="1" si="621"/>
        <v>269361.38755584974</v>
      </c>
      <c r="W1491">
        <f t="shared" ca="1" si="622"/>
        <v>2.5998695052916441</v>
      </c>
      <c r="X1491">
        <f t="shared" ca="1" si="623"/>
        <v>1.8933671400629237E-4</v>
      </c>
      <c r="Y1491">
        <f t="shared" ca="1" si="624"/>
        <v>52432.158337663408</v>
      </c>
      <c r="Z1491">
        <f t="shared" ca="1" si="625"/>
        <v>52432.158337665234</v>
      </c>
      <c r="AA1491">
        <f t="shared" ca="1" si="626"/>
        <v>2.2562304480281055E-12</v>
      </c>
      <c r="AB1491">
        <f t="shared" ca="1" si="627"/>
        <v>-4.999999946448952E-4</v>
      </c>
      <c r="AC1491">
        <f t="shared" ca="1" si="628"/>
        <v>1</v>
      </c>
      <c r="AD1491">
        <f ca="1">IF(V32="Supercritical",L1491,IF(V32="Subcritical",U1491,IF(AND(T1491=1,AC1491=1),IF((((F1491)*(L1491)^2)/2+(G1491)*(L1491)^3/3+(ABS(K1491)^2)/($I$5*MAX(((F1491)+(G1491)*(L1491))*(L1491),0.000001)))&gt;=(((F1491)*(U1491)^2)/2+(G1491)*(U1491)^3/3+(ABS(K1491)^2)/($I$5*MAX(((F1491)+(G1491)*(U1491))*(U1491),0.000001))),L1491,U1491),IF(T1491=1,L1491,IF(AC1491=1,U1491,MAX($D$16,POWER((ABS(K1491)^2)/($I$5*MAX(F1491,0.1)^2),1/3)))))))</f>
        <v>51800.26683766341</v>
      </c>
      <c r="AE1491">
        <f t="shared" ca="1" si="629"/>
        <v>52432.158337663408</v>
      </c>
      <c r="AF1491">
        <f t="shared" ca="1" si="630"/>
        <v>52432.158337665234</v>
      </c>
      <c r="AI1491">
        <v>0</v>
      </c>
      <c r="AJ1491">
        <v>0</v>
      </c>
      <c r="AK1491">
        <f t="shared" si="631"/>
        <v>0</v>
      </c>
      <c r="AL1491">
        <f t="shared" si="640"/>
        <v>0</v>
      </c>
      <c r="AM1491">
        <f t="shared" ca="1" si="632"/>
        <v>2.6560383008097266E-7</v>
      </c>
      <c r="AN1491" t="str">
        <f t="shared" ca="1" si="633"/>
        <v>Subcritical</v>
      </c>
      <c r="AO1491">
        <f t="shared" ca="1" si="634"/>
        <v>2.2562304480281055E-12</v>
      </c>
    </row>
    <row r="1492" spans="1:41" x14ac:dyDescent="0.35">
      <c r="A1492">
        <v>1343</v>
      </c>
      <c r="B1492">
        <v>1341.89</v>
      </c>
      <c r="C1492">
        <v>616066.71299999999</v>
      </c>
      <c r="D1492">
        <v>3096662.3539999998</v>
      </c>
      <c r="E1492">
        <v>631.89099999999996</v>
      </c>
      <c r="F1492">
        <v>5.2</v>
      </c>
      <c r="G1492">
        <v>0</v>
      </c>
      <c r="H1492" t="s">
        <v>186</v>
      </c>
      <c r="I1492">
        <v>5.7000000000000002E-2</v>
      </c>
      <c r="J1492">
        <f t="shared" si="635"/>
        <v>1</v>
      </c>
      <c r="K1492">
        <f t="shared" si="636"/>
        <v>51</v>
      </c>
      <c r="L1492">
        <f t="shared" ca="1" si="637"/>
        <v>51797.843837663619</v>
      </c>
      <c r="M1492">
        <f t="shared" ca="1" si="614"/>
        <v>269348.78795585083</v>
      </c>
      <c r="N1492">
        <f t="shared" ca="1" si="615"/>
        <v>2.5998694991876676</v>
      </c>
      <c r="O1492">
        <f t="shared" ca="1" si="616"/>
        <v>1.8934557080078435E-4</v>
      </c>
      <c r="P1492">
        <f t="shared" ca="1" si="617"/>
        <v>52429.734837663622</v>
      </c>
      <c r="Q1492">
        <f t="shared" ca="1" si="618"/>
        <v>52429.734837665448</v>
      </c>
      <c r="R1492">
        <f t="shared" ca="1" si="619"/>
        <v>2.2564415439646509E-12</v>
      </c>
      <c r="S1492">
        <f t="shared" ca="1" si="638"/>
        <v>4.999999946448952E-4</v>
      </c>
      <c r="T1492">
        <f t="shared" ca="1" si="639"/>
        <v>1</v>
      </c>
      <c r="U1492">
        <f t="shared" ca="1" si="620"/>
        <v>51800.26683766341</v>
      </c>
      <c r="V1492">
        <f t="shared" ca="1" si="621"/>
        <v>269361.38755584974</v>
      </c>
      <c r="W1492">
        <f t="shared" ca="1" si="622"/>
        <v>2.5998695052916441</v>
      </c>
      <c r="X1492">
        <f t="shared" ca="1" si="623"/>
        <v>1.8933671400629237E-4</v>
      </c>
      <c r="Y1492">
        <f t="shared" ca="1" si="624"/>
        <v>52432.157837663413</v>
      </c>
      <c r="Z1492">
        <f t="shared" ca="1" si="625"/>
        <v>52432.15783766524</v>
      </c>
      <c r="AA1492">
        <f t="shared" ca="1" si="626"/>
        <v>2.2562304480281055E-12</v>
      </c>
      <c r="AB1492">
        <f t="shared" ca="1" si="627"/>
        <v>-5.0000000192085281E-4</v>
      </c>
      <c r="AC1492">
        <f t="shared" ca="1" si="628"/>
        <v>1</v>
      </c>
      <c r="AD1492">
        <f ca="1">IF(V32="Supercritical",L1492,IF(V32="Subcritical",U1492,IF(AND(T1492=1,AC1492=1),IF((((F1492)*(L1492)^2)/2+(G1492)*(L1492)^3/3+(ABS(K1492)^2)/($I$5*MAX(((F1492)+(G1492)*(L1492))*(L1492),0.000001)))&gt;=(((F1492)*(U1492)^2)/2+(G1492)*(U1492)^3/3+(ABS(K1492)^2)/($I$5*MAX(((F1492)+(G1492)*(U1492))*(U1492),0.000001))),L1492,U1492),IF(T1492=1,L1492,IF(AC1492=1,U1492,MAX($D$16,POWER((ABS(K1492)^2)/($I$5*MAX(F1492,0.1)^2),1/3)))))))</f>
        <v>51800.26683766341</v>
      </c>
      <c r="AE1492">
        <f t="shared" ca="1" si="629"/>
        <v>52432.157837663413</v>
      </c>
      <c r="AF1492">
        <f t="shared" ca="1" si="630"/>
        <v>52432.15783766524</v>
      </c>
      <c r="AI1492">
        <v>0</v>
      </c>
      <c r="AJ1492">
        <v>0</v>
      </c>
      <c r="AK1492">
        <f t="shared" si="631"/>
        <v>0</v>
      </c>
      <c r="AL1492">
        <f t="shared" si="640"/>
        <v>0</v>
      </c>
      <c r="AM1492">
        <f t="shared" ca="1" si="632"/>
        <v>2.6560383008097266E-7</v>
      </c>
      <c r="AN1492" t="str">
        <f t="shared" ca="1" si="633"/>
        <v>Subcritical</v>
      </c>
      <c r="AO1492">
        <f t="shared" ca="1" si="634"/>
        <v>2.2562304480281055E-12</v>
      </c>
    </row>
    <row r="1493" spans="1:41" x14ac:dyDescent="0.35">
      <c r="A1493">
        <v>1344</v>
      </c>
      <c r="B1493">
        <v>1342.8889999999999</v>
      </c>
      <c r="C1493">
        <v>616066.67099999997</v>
      </c>
      <c r="D1493">
        <v>3096661.355</v>
      </c>
      <c r="E1493">
        <v>631.89049999999997</v>
      </c>
      <c r="F1493">
        <v>5.2</v>
      </c>
      <c r="G1493">
        <v>0</v>
      </c>
      <c r="H1493" t="s">
        <v>186</v>
      </c>
      <c r="I1493">
        <v>0</v>
      </c>
      <c r="J1493">
        <f t="shared" si="635"/>
        <v>0.99899999999979627</v>
      </c>
      <c r="K1493">
        <f t="shared" si="636"/>
        <v>51</v>
      </c>
      <c r="L1493">
        <f t="shared" ca="1" si="637"/>
        <v>51797.843837663619</v>
      </c>
      <c r="M1493">
        <f t="shared" ca="1" si="614"/>
        <v>269348.78795585083</v>
      </c>
      <c r="N1493">
        <f t="shared" ca="1" si="615"/>
        <v>2.5998694991876676</v>
      </c>
      <c r="O1493">
        <f t="shared" ca="1" si="616"/>
        <v>1.8934557080078435E-4</v>
      </c>
      <c r="P1493">
        <f t="shared" ca="1" si="617"/>
        <v>52429.73433766362</v>
      </c>
      <c r="Q1493">
        <f t="shared" ca="1" si="618"/>
        <v>52429.734337665446</v>
      </c>
      <c r="R1493">
        <f t="shared" ca="1" si="619"/>
        <v>2.2564415439646509E-12</v>
      </c>
      <c r="S1493">
        <f t="shared" ca="1" si="638"/>
        <v>5.0000000192085281E-4</v>
      </c>
      <c r="T1493">
        <f t="shared" ca="1" si="639"/>
        <v>1</v>
      </c>
      <c r="U1493">
        <f t="shared" ca="1" si="620"/>
        <v>51800.26683766341</v>
      </c>
      <c r="V1493">
        <f t="shared" ca="1" si="621"/>
        <v>269361.38755584974</v>
      </c>
      <c r="W1493">
        <f t="shared" ca="1" si="622"/>
        <v>2.5998695052916441</v>
      </c>
      <c r="X1493">
        <f t="shared" ca="1" si="623"/>
        <v>1.8933671400629237E-4</v>
      </c>
      <c r="Y1493">
        <f t="shared" ca="1" si="624"/>
        <v>52432.157337663411</v>
      </c>
      <c r="Z1493">
        <f t="shared" ca="1" si="625"/>
        <v>52432.157337665238</v>
      </c>
      <c r="AA1493">
        <f t="shared" ca="1" si="626"/>
        <v>2.2562304480281055E-12</v>
      </c>
      <c r="AB1493">
        <f t="shared" ca="1" si="627"/>
        <v>-5.0000000192085281E-4</v>
      </c>
      <c r="AC1493">
        <f t="shared" ca="1" si="628"/>
        <v>1</v>
      </c>
      <c r="AD1493">
        <f ca="1">IF(V32="Supercritical",L1493,IF(V32="Subcritical",U1493,IF(AND(T1493=1,AC1493=1),IF((((F1493)*(L1493)^2)/2+(G1493)*(L1493)^3/3+(ABS(K1493)^2)/($I$5*MAX(((F1493)+(G1493)*(L1493))*(L1493),0.000001)))&gt;=(((F1493)*(U1493)^2)/2+(G1493)*(U1493)^3/3+(ABS(K1493)^2)/($I$5*MAX(((F1493)+(G1493)*(U1493))*(U1493),0.000001))),L1493,U1493),IF(T1493=1,L1493,IF(AC1493=1,U1493,MAX($D$16,POWER((ABS(K1493)^2)/($I$5*MAX(F1493,0.1)^2),1/3)))))))</f>
        <v>51800.26683766341</v>
      </c>
      <c r="AE1493">
        <f t="shared" ca="1" si="629"/>
        <v>52432.157337663411</v>
      </c>
      <c r="AF1493">
        <f t="shared" ca="1" si="630"/>
        <v>52432.157337665238</v>
      </c>
      <c r="AI1493">
        <v>0</v>
      </c>
      <c r="AJ1493">
        <v>0</v>
      </c>
      <c r="AK1493">
        <f t="shared" si="631"/>
        <v>0</v>
      </c>
      <c r="AL1493">
        <f t="shared" si="640"/>
        <v>0</v>
      </c>
      <c r="AM1493">
        <f t="shared" ca="1" si="632"/>
        <v>2.6560383008097266E-7</v>
      </c>
      <c r="AN1493" t="str">
        <f t="shared" ca="1" si="633"/>
        <v>Subcritical</v>
      </c>
      <c r="AO1493">
        <f t="shared" ca="1" si="634"/>
        <v>2.2562304480281055E-12</v>
      </c>
    </row>
    <row r="1494" spans="1:41" x14ac:dyDescent="0.35">
      <c r="A1494">
        <v>1345</v>
      </c>
      <c r="B1494">
        <v>1343.8889999999999</v>
      </c>
      <c r="C1494">
        <v>616066.62899999996</v>
      </c>
      <c r="D1494">
        <v>3096660.3560000001</v>
      </c>
      <c r="E1494">
        <v>631.89</v>
      </c>
      <c r="F1494">
        <v>5.2</v>
      </c>
      <c r="G1494">
        <v>0</v>
      </c>
      <c r="H1494" t="s">
        <v>186</v>
      </c>
      <c r="I1494">
        <v>0</v>
      </c>
      <c r="J1494">
        <f t="shared" si="635"/>
        <v>1</v>
      </c>
      <c r="K1494">
        <f t="shared" si="636"/>
        <v>51</v>
      </c>
      <c r="L1494">
        <f t="shared" ca="1" si="637"/>
        <v>51797.843837663619</v>
      </c>
      <c r="M1494">
        <f t="shared" ref="M1494:M1557" ca="1" si="641">((F1494)+(G1494)*(L1494))*(L1494)</f>
        <v>269348.78795585083</v>
      </c>
      <c r="N1494">
        <f t="shared" ref="N1494:N1533" ca="1" si="642">(((F1494)+(G1494)*(L1494))*(L1494))/MAX((F1494)+2*(L1494)*SQRT(1+(G1494)^2),0.000001)</f>
        <v>2.5998694991876676</v>
      </c>
      <c r="O1494">
        <f t="shared" ref="O1494:O1533" ca="1" si="643">ABS(K1494)/MAX(((F1494)+(G1494)*(L1494))*(L1494),0.000001)</f>
        <v>1.8934557080078435E-4</v>
      </c>
      <c r="P1494">
        <f t="shared" ref="P1494:P1533" ca="1" si="644">E1494+L1494</f>
        <v>52429.733837663618</v>
      </c>
      <c r="Q1494">
        <f t="shared" ref="Q1494:Q1557" ca="1" si="645">P1494+((ABS(K1494)/MAX(((F1494)+(G1494)*(L1494))*(L1494),0.000001))^2)/(2*$I$5)</f>
        <v>52429.733837665444</v>
      </c>
      <c r="R1494">
        <f t="shared" ref="R1494:R1533" ca="1" si="646">((ABS(K1494)*$D$6)/(MAX(((F1494)+(G1494)*(L1494))*(L1494),0.000001)*MAX(((((F1494)+(G1494)*(L1494))*(L1494))/MAX((F1494)+2*(L1494)*SQRT(1+(G1494)^2),0.000001))^(2/3),0.000001)))^2</f>
        <v>2.2564415439646509E-12</v>
      </c>
      <c r="S1494">
        <f t="shared" ca="1" si="638"/>
        <v>5.0000000192085281E-4</v>
      </c>
      <c r="T1494">
        <f t="shared" ca="1" si="639"/>
        <v>1</v>
      </c>
      <c r="U1494">
        <f t="shared" ref="U1494:U1532" ca="1" si="647">IF($D$20=0,U1495,IF(AC1495=0,U1495,IF(U1494=0,U1495,IF(ABS(AB1494)&gt;$D$19,MAX($D$16,U1494+((AB1494)*$D$18*IF((ABS(ABS(K1494)/MAX(((F1494)+(G1494)*(U1494))*(U1494),0.000001))/SQRT($I$5*MAX((((F1494)+(G1494)*(U1494))*(U1494))/MAX((F1494)+2*(G1494)*(U1494),0.000001),0.000001)))&lt;1,1,-1))),U1494))))</f>
        <v>51800.26683766341</v>
      </c>
      <c r="V1494">
        <f t="shared" ref="V1494:V1557" ca="1" si="648">((F1494)+(G1494)*(U1494))*(U1494)</f>
        <v>269361.38755584974</v>
      </c>
      <c r="W1494">
        <f t="shared" ref="W1494:W1533" ca="1" si="649">(((F1494)+(G1494)*(U1494))*(U1494))/MAX((F1494)+2*(U1494)*SQRT(1+(G1494)^2),0.000001)</f>
        <v>2.5998695052916441</v>
      </c>
      <c r="X1494">
        <f t="shared" ref="X1494:X1533" ca="1" si="650">ABS(K1494)/MAX(((F1494)+(G1494)*(U1494))*(U1494),0.000001)</f>
        <v>1.8933671400629237E-4</v>
      </c>
      <c r="Y1494">
        <f t="shared" ref="Y1494:Y1533" ca="1" si="651">E1494+U1494</f>
        <v>52432.15683766341</v>
      </c>
      <c r="Z1494">
        <f t="shared" ref="Z1494:Z1557" ca="1" si="652">Y1494+((ABS(K1494)/MAX(((F1494)+(G1494)*(U1494))*(U1494),0.000001))^2)/(2*$I$5)</f>
        <v>52432.156837665236</v>
      </c>
      <c r="AA1494">
        <f t="shared" ref="AA1494:AA1533" ca="1" si="653">((ABS(K1494)*$D$6)/(MAX(((F1494)+(G1494)*(U1494))*(U1494),0.000001)*MAX(((((F1494)+(G1494)*(U1494))*(U1494))/MAX((F1494)+2*(U1494)*SQRT(1+(G1494)^2),0.000001))^(2/3),0.000001)))^2</f>
        <v>2.2562304480281055E-12</v>
      </c>
      <c r="AB1494">
        <f t="shared" ref="AB1494:AB1557" ca="1" si="654">Z1495+(((AA1494+AA1495)/2)*J1495)+(IF(X1494&gt;X1495,$D$8*((X1494^2-X1495^2)/(2*$I$5)),$D$9*((X1495^2-X1494^2)/(2*$I$5)))+($D$10*(ABS(I1495)/90)*(MAX(X1494^2,X1495^2)/(2*$I$5))))-Z1494</f>
        <v>-5.0000000192085281E-4</v>
      </c>
      <c r="AC1494">
        <f t="shared" ref="AC1494:AC1557" ca="1" si="655">IF(ABS(AB1494)&lt;$D$19,1,0)</f>
        <v>1</v>
      </c>
      <c r="AD1494">
        <f ca="1">IF(V32="Supercritical",L1494,IF(V32="Subcritical",U1494,IF(AND(T1494=1,AC1494=1),IF((((F1494)*(L1494)^2)/2+(G1494)*(L1494)^3/3+(ABS(K1494)^2)/($I$5*MAX(((F1494)+(G1494)*(L1494))*(L1494),0.000001)))&gt;=(((F1494)*(U1494)^2)/2+(G1494)*(U1494)^3/3+(ABS(K1494)^2)/($I$5*MAX(((F1494)+(G1494)*(U1494))*(U1494),0.000001))),L1494,U1494),IF(T1494=1,L1494,IF(AC1494=1,U1494,MAX($D$16,POWER((ABS(K1494)^2)/($I$5*MAX(F1494,0.1)^2),1/3)))))))</f>
        <v>51800.26683766341</v>
      </c>
      <c r="AE1494">
        <f t="shared" ref="AE1494:AE1557" ca="1" si="656">E1494+AD1494</f>
        <v>52432.15683766341</v>
      </c>
      <c r="AF1494">
        <f t="shared" ref="AF1494:AF1557" ca="1" si="657">AE1494+((ABS(K1494)/MAX(((F1494)+(G1494)*(AD1494))*(AD1494),0.000001))^2)/(2*$I$5)</f>
        <v>52432.156837665236</v>
      </c>
      <c r="AI1494">
        <v>0</v>
      </c>
      <c r="AJ1494">
        <v>0</v>
      </c>
      <c r="AK1494">
        <f t="shared" ref="AK1494:AK1557" si="658">AI1494+AJ1494</f>
        <v>0</v>
      </c>
      <c r="AL1494">
        <f t="shared" si="640"/>
        <v>0</v>
      </c>
      <c r="AM1494">
        <f t="shared" ref="AM1494:AM1533" ca="1" si="659">ABS(ABS(K1494)/MAX(((F1494)+(G1494)*(AD1494))*(AD1494),0.000001))/SQRT($I$5*MAX((((F1494)+(G1494)*(AD1494))*(AD1494))/MAX((F1494)+2*(G1494)*(AD1494),0.000001),0.000001))</f>
        <v>2.6560383008097266E-7</v>
      </c>
      <c r="AN1494" t="str">
        <f t="shared" ref="AN1494:AN1557" ca="1" si="660">IF(AM1494&lt;1,"Subcritical","Supercritical")</f>
        <v>Subcritical</v>
      </c>
      <c r="AO1494">
        <f t="shared" ref="AO1494:AO1533" ca="1" si="661">((ABS(K1494)*$D$6)/(MAX(((F1494)+(G1494)*(AD1494))*(AD1494),0.000001)*MAX(((((F1494)+(G1494)*(AD1494))*(AD1494))/MAX((F1494)+2*(AD1494)*SQRT(1+(G1494)^2),0.000001))^(2/3),0.000001)))^2</f>
        <v>2.2562304480281055E-12</v>
      </c>
    </row>
    <row r="1495" spans="1:41" x14ac:dyDescent="0.35">
      <c r="A1495">
        <v>1346</v>
      </c>
      <c r="B1495">
        <v>1344.8889999999999</v>
      </c>
      <c r="C1495">
        <v>616066.58700000006</v>
      </c>
      <c r="D1495">
        <v>3096659.3569999998</v>
      </c>
      <c r="E1495">
        <v>631.8895</v>
      </c>
      <c r="F1495">
        <v>5.2</v>
      </c>
      <c r="G1495">
        <v>0</v>
      </c>
      <c r="H1495" t="s">
        <v>186</v>
      </c>
      <c r="I1495">
        <v>5.7000000000000002E-2</v>
      </c>
      <c r="J1495">
        <f t="shared" ref="J1495:J1533" si="662">B1495-B1494</f>
        <v>1</v>
      </c>
      <c r="K1495">
        <f t="shared" ref="K1495:K1533" si="663">MAX(0,K1494-AK1494)</f>
        <v>51</v>
      </c>
      <c r="L1495">
        <f t="shared" ref="L1495:L1558" ca="1" si="664">IF($D$20=0,L1494,IF(T1494=0,L1494,IF(L1495=0,L1494,IF(ABS(S1495)&gt;$D$19,MAX($D$16,L1495+((S1495)*$D$18*IF((ABS(ABS(K1495)/MAX(((F1495)+(G1495)*(L1495))*(L1495),0.000001))/SQRT($I$5*MAX((((F1495)+(G1495)*(L1495))*(L1495))/MAX((F1495)+2*(G1495)*(L1495),0.000001),0.000001)))&lt;1,1,-1))),L1495))))</f>
        <v>51797.843837663619</v>
      </c>
      <c r="M1495">
        <f t="shared" ca="1" si="641"/>
        <v>269348.78795585083</v>
      </c>
      <c r="N1495">
        <f t="shared" ca="1" si="642"/>
        <v>2.5998694991876676</v>
      </c>
      <c r="O1495">
        <f t="shared" ca="1" si="643"/>
        <v>1.8934557080078435E-4</v>
      </c>
      <c r="P1495">
        <f t="shared" ca="1" si="644"/>
        <v>52429.733337663616</v>
      </c>
      <c r="Q1495">
        <f t="shared" ca="1" si="645"/>
        <v>52429.733337665442</v>
      </c>
      <c r="R1495">
        <f t="shared" ca="1" si="646"/>
        <v>2.2564415439646509E-12</v>
      </c>
      <c r="S1495">
        <f t="shared" ref="S1495:S1558" ca="1" si="665">Q1494-(((R1494+R1495)/2)*J1495)-(IF(O1494&gt;O1495,$D$8*((O1494^2-O1495^2)/(2*$I$5)),$D$9*((O1495^2-O1494^2)/(2*$I$5)))+($D$10*(ABS(I1495)/90)*(MAX(O1494^2,O1495^2)/(2*$I$5))))-Q1495</f>
        <v>5.0000000192085281E-4</v>
      </c>
      <c r="T1495">
        <f t="shared" ref="T1495:T1558" ca="1" si="666">IF(ABS(S1495)&lt;$D$19,1,0)</f>
        <v>1</v>
      </c>
      <c r="U1495">
        <f t="shared" ca="1" si="647"/>
        <v>51800.26683766341</v>
      </c>
      <c r="V1495">
        <f t="shared" ca="1" si="648"/>
        <v>269361.38755584974</v>
      </c>
      <c r="W1495">
        <f t="shared" ca="1" si="649"/>
        <v>2.5998695052916441</v>
      </c>
      <c r="X1495">
        <f t="shared" ca="1" si="650"/>
        <v>1.8933671400629237E-4</v>
      </c>
      <c r="Y1495">
        <f t="shared" ca="1" si="651"/>
        <v>52432.156337663408</v>
      </c>
      <c r="Z1495">
        <f t="shared" ca="1" si="652"/>
        <v>52432.156337665234</v>
      </c>
      <c r="AA1495">
        <f t="shared" ca="1" si="653"/>
        <v>2.2562304480281055E-12</v>
      </c>
      <c r="AB1495">
        <f t="shared" ca="1" si="654"/>
        <v>-4.999999946448952E-4</v>
      </c>
      <c r="AC1495">
        <f t="shared" ca="1" si="655"/>
        <v>1</v>
      </c>
      <c r="AD1495">
        <f ca="1">IF(V32="Supercritical",L1495,IF(V32="Subcritical",U1495,IF(AND(T1495=1,AC1495=1),IF((((F1495)*(L1495)^2)/2+(G1495)*(L1495)^3/3+(ABS(K1495)^2)/($I$5*MAX(((F1495)+(G1495)*(L1495))*(L1495),0.000001)))&gt;=(((F1495)*(U1495)^2)/2+(G1495)*(U1495)^3/3+(ABS(K1495)^2)/($I$5*MAX(((F1495)+(G1495)*(U1495))*(U1495),0.000001))),L1495,U1495),IF(T1495=1,L1495,IF(AC1495=1,U1495,MAX($D$16,POWER((ABS(K1495)^2)/($I$5*MAX(F1495,0.1)^2),1/3)))))))</f>
        <v>51800.26683766341</v>
      </c>
      <c r="AE1495">
        <f t="shared" ca="1" si="656"/>
        <v>52432.156337663408</v>
      </c>
      <c r="AF1495">
        <f t="shared" ca="1" si="657"/>
        <v>52432.156337665234</v>
      </c>
      <c r="AI1495">
        <v>0</v>
      </c>
      <c r="AJ1495">
        <v>0</v>
      </c>
      <c r="AK1495">
        <f t="shared" si="658"/>
        <v>0</v>
      </c>
      <c r="AL1495">
        <f t="shared" ref="AL1495:AL1558" si="667">AL1494+AK1495</f>
        <v>0</v>
      </c>
      <c r="AM1495">
        <f t="shared" ca="1" si="659"/>
        <v>2.6560383008097266E-7</v>
      </c>
      <c r="AN1495" t="str">
        <f t="shared" ca="1" si="660"/>
        <v>Subcritical</v>
      </c>
      <c r="AO1495">
        <f t="shared" ca="1" si="661"/>
        <v>2.2562304480281055E-12</v>
      </c>
    </row>
    <row r="1496" spans="1:41" x14ac:dyDescent="0.35">
      <c r="A1496">
        <v>1347</v>
      </c>
      <c r="B1496">
        <v>1345.8889999999999</v>
      </c>
      <c r="C1496">
        <v>616066.54399999999</v>
      </c>
      <c r="D1496">
        <v>3096658.358</v>
      </c>
      <c r="E1496">
        <v>631.88900000000001</v>
      </c>
      <c r="F1496">
        <v>5.2</v>
      </c>
      <c r="G1496">
        <v>0</v>
      </c>
      <c r="H1496" t="s">
        <v>186</v>
      </c>
      <c r="I1496">
        <v>5.7000000000000002E-2</v>
      </c>
      <c r="J1496">
        <f t="shared" si="662"/>
        <v>1</v>
      </c>
      <c r="K1496">
        <f t="shared" si="663"/>
        <v>51</v>
      </c>
      <c r="L1496">
        <f t="shared" ca="1" si="664"/>
        <v>51797.843837663619</v>
      </c>
      <c r="M1496">
        <f t="shared" ca="1" si="641"/>
        <v>269348.78795585083</v>
      </c>
      <c r="N1496">
        <f t="shared" ca="1" si="642"/>
        <v>2.5998694991876676</v>
      </c>
      <c r="O1496">
        <f t="shared" ca="1" si="643"/>
        <v>1.8934557080078435E-4</v>
      </c>
      <c r="P1496">
        <f t="shared" ca="1" si="644"/>
        <v>52429.732837663621</v>
      </c>
      <c r="Q1496">
        <f t="shared" ca="1" si="645"/>
        <v>52429.732837665448</v>
      </c>
      <c r="R1496">
        <f t="shared" ca="1" si="646"/>
        <v>2.2564415439646509E-12</v>
      </c>
      <c r="S1496">
        <f t="shared" ca="1" si="665"/>
        <v>4.999999946448952E-4</v>
      </c>
      <c r="T1496">
        <f t="shared" ca="1" si="666"/>
        <v>1</v>
      </c>
      <c r="U1496">
        <f t="shared" ca="1" si="647"/>
        <v>51800.26683766341</v>
      </c>
      <c r="V1496">
        <f t="shared" ca="1" si="648"/>
        <v>269361.38755584974</v>
      </c>
      <c r="W1496">
        <f t="shared" ca="1" si="649"/>
        <v>2.5998695052916441</v>
      </c>
      <c r="X1496">
        <f t="shared" ca="1" si="650"/>
        <v>1.8933671400629237E-4</v>
      </c>
      <c r="Y1496">
        <f t="shared" ca="1" si="651"/>
        <v>52432.155837663413</v>
      </c>
      <c r="Z1496">
        <f t="shared" ca="1" si="652"/>
        <v>52432.155837665239</v>
      </c>
      <c r="AA1496">
        <f t="shared" ca="1" si="653"/>
        <v>2.2562304480281055E-12</v>
      </c>
      <c r="AB1496">
        <f t="shared" ca="1" si="654"/>
        <v>-5.0000000192085281E-4</v>
      </c>
      <c r="AC1496">
        <f t="shared" ca="1" si="655"/>
        <v>1</v>
      </c>
      <c r="AD1496">
        <f ca="1">IF(V32="Supercritical",L1496,IF(V32="Subcritical",U1496,IF(AND(T1496=1,AC1496=1),IF((((F1496)*(L1496)^2)/2+(G1496)*(L1496)^3/3+(ABS(K1496)^2)/($I$5*MAX(((F1496)+(G1496)*(L1496))*(L1496),0.000001)))&gt;=(((F1496)*(U1496)^2)/2+(G1496)*(U1496)^3/3+(ABS(K1496)^2)/($I$5*MAX(((F1496)+(G1496)*(U1496))*(U1496),0.000001))),L1496,U1496),IF(T1496=1,L1496,IF(AC1496=1,U1496,MAX($D$16,POWER((ABS(K1496)^2)/($I$5*MAX(F1496,0.1)^2),1/3)))))))</f>
        <v>51800.26683766341</v>
      </c>
      <c r="AE1496">
        <f t="shared" ca="1" si="656"/>
        <v>52432.155837663413</v>
      </c>
      <c r="AF1496">
        <f t="shared" ca="1" si="657"/>
        <v>52432.155837665239</v>
      </c>
      <c r="AI1496">
        <v>0</v>
      </c>
      <c r="AJ1496">
        <v>0</v>
      </c>
      <c r="AK1496">
        <f t="shared" si="658"/>
        <v>0</v>
      </c>
      <c r="AL1496">
        <f t="shared" si="667"/>
        <v>0</v>
      </c>
      <c r="AM1496">
        <f t="shared" ca="1" si="659"/>
        <v>2.6560383008097266E-7</v>
      </c>
      <c r="AN1496" t="str">
        <f t="shared" ca="1" si="660"/>
        <v>Subcritical</v>
      </c>
      <c r="AO1496">
        <f t="shared" ca="1" si="661"/>
        <v>2.2562304480281055E-12</v>
      </c>
    </row>
    <row r="1497" spans="1:41" x14ac:dyDescent="0.35">
      <c r="A1497">
        <v>1348</v>
      </c>
      <c r="B1497">
        <v>1346.8889999999999</v>
      </c>
      <c r="C1497">
        <v>616066.50199999998</v>
      </c>
      <c r="D1497">
        <v>3096657.3590000002</v>
      </c>
      <c r="E1497">
        <v>631.88850000000002</v>
      </c>
      <c r="F1497">
        <v>5.2</v>
      </c>
      <c r="G1497">
        <v>0</v>
      </c>
      <c r="H1497" t="s">
        <v>186</v>
      </c>
      <c r="I1497">
        <v>0</v>
      </c>
      <c r="J1497">
        <f t="shared" si="662"/>
        <v>1</v>
      </c>
      <c r="K1497">
        <f t="shared" si="663"/>
        <v>51</v>
      </c>
      <c r="L1497">
        <f t="shared" ca="1" si="664"/>
        <v>51797.843837663619</v>
      </c>
      <c r="M1497">
        <f t="shared" ca="1" si="641"/>
        <v>269348.78795585083</v>
      </c>
      <c r="N1497">
        <f t="shared" ca="1" si="642"/>
        <v>2.5998694991876676</v>
      </c>
      <c r="O1497">
        <f t="shared" ca="1" si="643"/>
        <v>1.8934557080078435E-4</v>
      </c>
      <c r="P1497">
        <f t="shared" ca="1" si="644"/>
        <v>52429.73233766362</v>
      </c>
      <c r="Q1497">
        <f t="shared" ca="1" si="645"/>
        <v>52429.732337665446</v>
      </c>
      <c r="R1497">
        <f t="shared" ca="1" si="646"/>
        <v>2.2564415439646509E-12</v>
      </c>
      <c r="S1497">
        <f t="shared" ca="1" si="665"/>
        <v>5.0000000192085281E-4</v>
      </c>
      <c r="T1497">
        <f t="shared" ca="1" si="666"/>
        <v>1</v>
      </c>
      <c r="U1497">
        <f t="shared" ca="1" si="647"/>
        <v>51800.26683766341</v>
      </c>
      <c r="V1497">
        <f t="shared" ca="1" si="648"/>
        <v>269361.38755584974</v>
      </c>
      <c r="W1497">
        <f t="shared" ca="1" si="649"/>
        <v>2.5998695052916441</v>
      </c>
      <c r="X1497">
        <f t="shared" ca="1" si="650"/>
        <v>1.8933671400629237E-4</v>
      </c>
      <c r="Y1497">
        <f t="shared" ca="1" si="651"/>
        <v>52432.155337663411</v>
      </c>
      <c r="Z1497">
        <f t="shared" ca="1" si="652"/>
        <v>52432.155337665237</v>
      </c>
      <c r="AA1497">
        <f t="shared" ca="1" si="653"/>
        <v>2.2562304480281055E-12</v>
      </c>
      <c r="AB1497">
        <f t="shared" ca="1" si="654"/>
        <v>-5.0000000192085281E-4</v>
      </c>
      <c r="AC1497">
        <f t="shared" ca="1" si="655"/>
        <v>1</v>
      </c>
      <c r="AD1497">
        <f ca="1">IF(V32="Supercritical",L1497,IF(V32="Subcritical",U1497,IF(AND(T1497=1,AC1497=1),IF((((F1497)*(L1497)^2)/2+(G1497)*(L1497)^3/3+(ABS(K1497)^2)/($I$5*MAX(((F1497)+(G1497)*(L1497))*(L1497),0.000001)))&gt;=(((F1497)*(U1497)^2)/2+(G1497)*(U1497)^3/3+(ABS(K1497)^2)/($I$5*MAX(((F1497)+(G1497)*(U1497))*(U1497),0.000001))),L1497,U1497),IF(T1497=1,L1497,IF(AC1497=1,U1497,MAX($D$16,POWER((ABS(K1497)^2)/($I$5*MAX(F1497,0.1)^2),1/3)))))))</f>
        <v>51800.26683766341</v>
      </c>
      <c r="AE1497">
        <f t="shared" ca="1" si="656"/>
        <v>52432.155337663411</v>
      </c>
      <c r="AF1497">
        <f t="shared" ca="1" si="657"/>
        <v>52432.155337665237</v>
      </c>
      <c r="AI1497">
        <v>0</v>
      </c>
      <c r="AJ1497">
        <v>0</v>
      </c>
      <c r="AK1497">
        <f t="shared" si="658"/>
        <v>0</v>
      </c>
      <c r="AL1497">
        <f t="shared" si="667"/>
        <v>0</v>
      </c>
      <c r="AM1497">
        <f t="shared" ca="1" si="659"/>
        <v>2.6560383008097266E-7</v>
      </c>
      <c r="AN1497" t="str">
        <f t="shared" ca="1" si="660"/>
        <v>Subcritical</v>
      </c>
      <c r="AO1497">
        <f t="shared" ca="1" si="661"/>
        <v>2.2562304480281055E-12</v>
      </c>
    </row>
    <row r="1498" spans="1:41" x14ac:dyDescent="0.35">
      <c r="A1498">
        <v>1349</v>
      </c>
      <c r="B1498">
        <v>1347.8889999999999</v>
      </c>
      <c r="C1498">
        <v>616066.46</v>
      </c>
      <c r="D1498">
        <v>3096656.36</v>
      </c>
      <c r="E1498">
        <v>631.88800000000003</v>
      </c>
      <c r="F1498">
        <v>5.2</v>
      </c>
      <c r="G1498">
        <v>0</v>
      </c>
      <c r="H1498" t="s">
        <v>186</v>
      </c>
      <c r="I1498">
        <v>0</v>
      </c>
      <c r="J1498">
        <f t="shared" si="662"/>
        <v>1</v>
      </c>
      <c r="K1498">
        <f t="shared" si="663"/>
        <v>51</v>
      </c>
      <c r="L1498">
        <f t="shared" ca="1" si="664"/>
        <v>51797.843837663619</v>
      </c>
      <c r="M1498">
        <f t="shared" ca="1" si="641"/>
        <v>269348.78795585083</v>
      </c>
      <c r="N1498">
        <f t="shared" ca="1" si="642"/>
        <v>2.5998694991876676</v>
      </c>
      <c r="O1498">
        <f t="shared" ca="1" si="643"/>
        <v>1.8934557080078435E-4</v>
      </c>
      <c r="P1498">
        <f t="shared" ca="1" si="644"/>
        <v>52429.731837663618</v>
      </c>
      <c r="Q1498">
        <f t="shared" ca="1" si="645"/>
        <v>52429.731837665444</v>
      </c>
      <c r="R1498">
        <f t="shared" ca="1" si="646"/>
        <v>2.2564415439646509E-12</v>
      </c>
      <c r="S1498">
        <f t="shared" ca="1" si="665"/>
        <v>5.0000000192085281E-4</v>
      </c>
      <c r="T1498">
        <f t="shared" ca="1" si="666"/>
        <v>1</v>
      </c>
      <c r="U1498">
        <f t="shared" ca="1" si="647"/>
        <v>51800.26683766341</v>
      </c>
      <c r="V1498">
        <f t="shared" ca="1" si="648"/>
        <v>269361.38755584974</v>
      </c>
      <c r="W1498">
        <f t="shared" ca="1" si="649"/>
        <v>2.5998695052916441</v>
      </c>
      <c r="X1498">
        <f t="shared" ca="1" si="650"/>
        <v>1.8933671400629237E-4</v>
      </c>
      <c r="Y1498">
        <f t="shared" ca="1" si="651"/>
        <v>52432.154837663409</v>
      </c>
      <c r="Z1498">
        <f t="shared" ca="1" si="652"/>
        <v>52432.154837665235</v>
      </c>
      <c r="AA1498">
        <f t="shared" ca="1" si="653"/>
        <v>2.2562304480281055E-12</v>
      </c>
      <c r="AB1498">
        <f t="shared" ca="1" si="654"/>
        <v>-5.0000000192085281E-4</v>
      </c>
      <c r="AC1498">
        <f t="shared" ca="1" si="655"/>
        <v>1</v>
      </c>
      <c r="AD1498">
        <f ca="1">IF(V32="Supercritical",L1498,IF(V32="Subcritical",U1498,IF(AND(T1498=1,AC1498=1),IF((((F1498)*(L1498)^2)/2+(G1498)*(L1498)^3/3+(ABS(K1498)^2)/($I$5*MAX(((F1498)+(G1498)*(L1498))*(L1498),0.000001)))&gt;=(((F1498)*(U1498)^2)/2+(G1498)*(U1498)^3/3+(ABS(K1498)^2)/($I$5*MAX(((F1498)+(G1498)*(U1498))*(U1498),0.000001))),L1498,U1498),IF(T1498=1,L1498,IF(AC1498=1,U1498,MAX($D$16,POWER((ABS(K1498)^2)/($I$5*MAX(F1498,0.1)^2),1/3)))))))</f>
        <v>51800.26683766341</v>
      </c>
      <c r="AE1498">
        <f t="shared" ca="1" si="656"/>
        <v>52432.154837663409</v>
      </c>
      <c r="AF1498">
        <f t="shared" ca="1" si="657"/>
        <v>52432.154837665235</v>
      </c>
      <c r="AI1498">
        <v>0</v>
      </c>
      <c r="AJ1498">
        <v>0</v>
      </c>
      <c r="AK1498">
        <f t="shared" si="658"/>
        <v>0</v>
      </c>
      <c r="AL1498">
        <f t="shared" si="667"/>
        <v>0</v>
      </c>
      <c r="AM1498">
        <f t="shared" ca="1" si="659"/>
        <v>2.6560383008097266E-7</v>
      </c>
      <c r="AN1498" t="str">
        <f t="shared" ca="1" si="660"/>
        <v>Subcritical</v>
      </c>
      <c r="AO1498">
        <f t="shared" ca="1" si="661"/>
        <v>2.2562304480281055E-12</v>
      </c>
    </row>
    <row r="1499" spans="1:41" x14ac:dyDescent="0.35">
      <c r="A1499">
        <v>1350</v>
      </c>
      <c r="B1499">
        <v>1348.8889999999999</v>
      </c>
      <c r="C1499">
        <v>616066.41799999995</v>
      </c>
      <c r="D1499">
        <v>3096655.361</v>
      </c>
      <c r="E1499">
        <v>631.88750000000005</v>
      </c>
      <c r="F1499">
        <v>5.2</v>
      </c>
      <c r="G1499">
        <v>0</v>
      </c>
      <c r="H1499" t="s">
        <v>186</v>
      </c>
      <c r="I1499">
        <v>5.5E-2</v>
      </c>
      <c r="J1499">
        <f t="shared" si="662"/>
        <v>1</v>
      </c>
      <c r="K1499">
        <f t="shared" si="663"/>
        <v>51</v>
      </c>
      <c r="L1499">
        <f t="shared" ca="1" si="664"/>
        <v>51797.843837663619</v>
      </c>
      <c r="M1499">
        <f t="shared" ca="1" si="641"/>
        <v>269348.78795585083</v>
      </c>
      <c r="N1499">
        <f t="shared" ca="1" si="642"/>
        <v>2.5998694991876676</v>
      </c>
      <c r="O1499">
        <f t="shared" ca="1" si="643"/>
        <v>1.8934557080078435E-4</v>
      </c>
      <c r="P1499">
        <f t="shared" ca="1" si="644"/>
        <v>52429.731337663616</v>
      </c>
      <c r="Q1499">
        <f t="shared" ca="1" si="645"/>
        <v>52429.731337665442</v>
      </c>
      <c r="R1499">
        <f t="shared" ca="1" si="646"/>
        <v>2.2564415439646509E-12</v>
      </c>
      <c r="S1499">
        <f t="shared" ca="1" si="665"/>
        <v>5.0000000192085281E-4</v>
      </c>
      <c r="T1499">
        <f t="shared" ca="1" si="666"/>
        <v>1</v>
      </c>
      <c r="U1499">
        <f t="shared" ca="1" si="647"/>
        <v>51800.26683766341</v>
      </c>
      <c r="V1499">
        <f t="shared" ca="1" si="648"/>
        <v>269361.38755584974</v>
      </c>
      <c r="W1499">
        <f t="shared" ca="1" si="649"/>
        <v>2.5998695052916441</v>
      </c>
      <c r="X1499">
        <f t="shared" ca="1" si="650"/>
        <v>1.8933671400629237E-4</v>
      </c>
      <c r="Y1499">
        <f t="shared" ca="1" si="651"/>
        <v>52432.154337663407</v>
      </c>
      <c r="Z1499">
        <f t="shared" ca="1" si="652"/>
        <v>52432.154337665233</v>
      </c>
      <c r="AA1499">
        <f t="shared" ca="1" si="653"/>
        <v>2.2562304480281055E-12</v>
      </c>
      <c r="AB1499">
        <f t="shared" ca="1" si="654"/>
        <v>-4.999999946448952E-4</v>
      </c>
      <c r="AC1499">
        <f t="shared" ca="1" si="655"/>
        <v>1</v>
      </c>
      <c r="AD1499">
        <f ca="1">IF(V32="Supercritical",L1499,IF(V32="Subcritical",U1499,IF(AND(T1499=1,AC1499=1),IF((((F1499)*(L1499)^2)/2+(G1499)*(L1499)^3/3+(ABS(K1499)^2)/($I$5*MAX(((F1499)+(G1499)*(L1499))*(L1499),0.000001)))&gt;=(((F1499)*(U1499)^2)/2+(G1499)*(U1499)^3/3+(ABS(K1499)^2)/($I$5*MAX(((F1499)+(G1499)*(U1499))*(U1499),0.000001))),L1499,U1499),IF(T1499=1,L1499,IF(AC1499=1,U1499,MAX($D$16,POWER((ABS(K1499)^2)/($I$5*MAX(F1499,0.1)^2),1/3)))))))</f>
        <v>51800.26683766341</v>
      </c>
      <c r="AE1499">
        <f t="shared" ca="1" si="656"/>
        <v>52432.154337663407</v>
      </c>
      <c r="AF1499">
        <f t="shared" ca="1" si="657"/>
        <v>52432.154337665233</v>
      </c>
      <c r="AI1499">
        <v>0</v>
      </c>
      <c r="AJ1499">
        <v>0</v>
      </c>
      <c r="AK1499">
        <f t="shared" si="658"/>
        <v>0</v>
      </c>
      <c r="AL1499">
        <f t="shared" si="667"/>
        <v>0</v>
      </c>
      <c r="AM1499">
        <f t="shared" ca="1" si="659"/>
        <v>2.6560383008097266E-7</v>
      </c>
      <c r="AN1499" t="str">
        <f t="shared" ca="1" si="660"/>
        <v>Subcritical</v>
      </c>
      <c r="AO1499">
        <f t="shared" ca="1" si="661"/>
        <v>2.2562304480281055E-12</v>
      </c>
    </row>
    <row r="1500" spans="1:41" x14ac:dyDescent="0.35">
      <c r="A1500">
        <v>1351</v>
      </c>
      <c r="B1500">
        <v>1349.89</v>
      </c>
      <c r="C1500">
        <v>616066.375</v>
      </c>
      <c r="D1500">
        <v>3096654.361</v>
      </c>
      <c r="E1500">
        <v>631.88699999999994</v>
      </c>
      <c r="F1500">
        <v>5.2</v>
      </c>
      <c r="G1500">
        <v>0</v>
      </c>
      <c r="H1500" t="s">
        <v>186</v>
      </c>
      <c r="I1500">
        <v>5.5E-2</v>
      </c>
      <c r="J1500">
        <f t="shared" si="662"/>
        <v>1.0010000000002037</v>
      </c>
      <c r="K1500">
        <f t="shared" si="663"/>
        <v>51</v>
      </c>
      <c r="L1500">
        <f t="shared" ca="1" si="664"/>
        <v>51797.843837663619</v>
      </c>
      <c r="M1500">
        <f t="shared" ca="1" si="641"/>
        <v>269348.78795585083</v>
      </c>
      <c r="N1500">
        <f t="shared" ca="1" si="642"/>
        <v>2.5998694991876676</v>
      </c>
      <c r="O1500">
        <f t="shared" ca="1" si="643"/>
        <v>1.8934557080078435E-4</v>
      </c>
      <c r="P1500">
        <f t="shared" ca="1" si="644"/>
        <v>52429.730837663621</v>
      </c>
      <c r="Q1500">
        <f t="shared" ca="1" si="645"/>
        <v>52429.730837665447</v>
      </c>
      <c r="R1500">
        <f t="shared" ca="1" si="646"/>
        <v>2.2564415439646509E-12</v>
      </c>
      <c r="S1500">
        <f t="shared" ca="1" si="665"/>
        <v>4.999999946448952E-4</v>
      </c>
      <c r="T1500">
        <f t="shared" ca="1" si="666"/>
        <v>1</v>
      </c>
      <c r="U1500">
        <f t="shared" ca="1" si="647"/>
        <v>51800.26683766341</v>
      </c>
      <c r="V1500">
        <f t="shared" ca="1" si="648"/>
        <v>269361.38755584974</v>
      </c>
      <c r="W1500">
        <f t="shared" ca="1" si="649"/>
        <v>2.5998695052916441</v>
      </c>
      <c r="X1500">
        <f t="shared" ca="1" si="650"/>
        <v>1.8933671400629237E-4</v>
      </c>
      <c r="Y1500">
        <f t="shared" ca="1" si="651"/>
        <v>52432.153837663413</v>
      </c>
      <c r="Z1500">
        <f t="shared" ca="1" si="652"/>
        <v>52432.153837665239</v>
      </c>
      <c r="AA1500">
        <f t="shared" ca="1" si="653"/>
        <v>2.2562304480281055E-12</v>
      </c>
      <c r="AB1500">
        <f t="shared" ca="1" si="654"/>
        <v>-5.0000000192085281E-4</v>
      </c>
      <c r="AC1500">
        <f t="shared" ca="1" si="655"/>
        <v>1</v>
      </c>
      <c r="AD1500">
        <f ca="1">IF(V32="Supercritical",L1500,IF(V32="Subcritical",U1500,IF(AND(T1500=1,AC1500=1),IF((((F1500)*(L1500)^2)/2+(G1500)*(L1500)^3/3+(ABS(K1500)^2)/($I$5*MAX(((F1500)+(G1500)*(L1500))*(L1500),0.000001)))&gt;=(((F1500)*(U1500)^2)/2+(G1500)*(U1500)^3/3+(ABS(K1500)^2)/($I$5*MAX(((F1500)+(G1500)*(U1500))*(U1500),0.000001))),L1500,U1500),IF(T1500=1,L1500,IF(AC1500=1,U1500,MAX($D$16,POWER((ABS(K1500)^2)/($I$5*MAX(F1500,0.1)^2),1/3)))))))</f>
        <v>51800.26683766341</v>
      </c>
      <c r="AE1500">
        <f t="shared" ca="1" si="656"/>
        <v>52432.153837663413</v>
      </c>
      <c r="AF1500">
        <f t="shared" ca="1" si="657"/>
        <v>52432.153837665239</v>
      </c>
      <c r="AI1500">
        <v>0</v>
      </c>
      <c r="AJ1500">
        <v>0</v>
      </c>
      <c r="AK1500">
        <f t="shared" si="658"/>
        <v>0</v>
      </c>
      <c r="AL1500">
        <f t="shared" si="667"/>
        <v>0</v>
      </c>
      <c r="AM1500">
        <f t="shared" ca="1" si="659"/>
        <v>2.6560383008097266E-7</v>
      </c>
      <c r="AN1500" t="str">
        <f t="shared" ca="1" si="660"/>
        <v>Subcritical</v>
      </c>
      <c r="AO1500">
        <f t="shared" ca="1" si="661"/>
        <v>2.2562304480281055E-12</v>
      </c>
    </row>
    <row r="1501" spans="1:41" x14ac:dyDescent="0.35">
      <c r="A1501">
        <v>1352</v>
      </c>
      <c r="B1501">
        <v>1350.89</v>
      </c>
      <c r="C1501">
        <v>616066.33299999998</v>
      </c>
      <c r="D1501">
        <v>3096653.3620000002</v>
      </c>
      <c r="E1501">
        <v>631.88649999999996</v>
      </c>
      <c r="F1501">
        <v>5.2</v>
      </c>
      <c r="G1501">
        <v>0</v>
      </c>
      <c r="H1501" t="s">
        <v>186</v>
      </c>
      <c r="I1501">
        <v>0</v>
      </c>
      <c r="J1501">
        <f t="shared" si="662"/>
        <v>1</v>
      </c>
      <c r="K1501">
        <f t="shared" si="663"/>
        <v>51</v>
      </c>
      <c r="L1501">
        <f t="shared" ca="1" si="664"/>
        <v>51797.843837663619</v>
      </c>
      <c r="M1501">
        <f t="shared" ca="1" si="641"/>
        <v>269348.78795585083</v>
      </c>
      <c r="N1501">
        <f t="shared" ca="1" si="642"/>
        <v>2.5998694991876676</v>
      </c>
      <c r="O1501">
        <f t="shared" ca="1" si="643"/>
        <v>1.8934557080078435E-4</v>
      </c>
      <c r="P1501">
        <f t="shared" ca="1" si="644"/>
        <v>52429.730337663619</v>
      </c>
      <c r="Q1501">
        <f t="shared" ca="1" si="645"/>
        <v>52429.730337665445</v>
      </c>
      <c r="R1501">
        <f t="shared" ca="1" si="646"/>
        <v>2.2564415439646509E-12</v>
      </c>
      <c r="S1501">
        <f t="shared" ca="1" si="665"/>
        <v>5.0000000192085281E-4</v>
      </c>
      <c r="T1501">
        <f t="shared" ca="1" si="666"/>
        <v>1</v>
      </c>
      <c r="U1501">
        <f t="shared" ca="1" si="647"/>
        <v>51800.26683766341</v>
      </c>
      <c r="V1501">
        <f t="shared" ca="1" si="648"/>
        <v>269361.38755584974</v>
      </c>
      <c r="W1501">
        <f t="shared" ca="1" si="649"/>
        <v>2.5998695052916441</v>
      </c>
      <c r="X1501">
        <f t="shared" ca="1" si="650"/>
        <v>1.8933671400629237E-4</v>
      </c>
      <c r="Y1501">
        <f t="shared" ca="1" si="651"/>
        <v>52432.153337663411</v>
      </c>
      <c r="Z1501">
        <f t="shared" ca="1" si="652"/>
        <v>52432.153337665237</v>
      </c>
      <c r="AA1501">
        <f t="shared" ca="1" si="653"/>
        <v>2.2562304480281055E-12</v>
      </c>
      <c r="AB1501">
        <f t="shared" ca="1" si="654"/>
        <v>-5.0000000192085281E-4</v>
      </c>
      <c r="AC1501">
        <f t="shared" ca="1" si="655"/>
        <v>1</v>
      </c>
      <c r="AD1501">
        <f ca="1">IF(V32="Supercritical",L1501,IF(V32="Subcritical",U1501,IF(AND(T1501=1,AC1501=1),IF((((F1501)*(L1501)^2)/2+(G1501)*(L1501)^3/3+(ABS(K1501)^2)/($I$5*MAX(((F1501)+(G1501)*(L1501))*(L1501),0.000001)))&gt;=(((F1501)*(U1501)^2)/2+(G1501)*(U1501)^3/3+(ABS(K1501)^2)/($I$5*MAX(((F1501)+(G1501)*(U1501))*(U1501),0.000001))),L1501,U1501),IF(T1501=1,L1501,IF(AC1501=1,U1501,MAX($D$16,POWER((ABS(K1501)^2)/($I$5*MAX(F1501,0.1)^2),1/3)))))))</f>
        <v>51800.26683766341</v>
      </c>
      <c r="AE1501">
        <f t="shared" ca="1" si="656"/>
        <v>52432.153337663411</v>
      </c>
      <c r="AF1501">
        <f t="shared" ca="1" si="657"/>
        <v>52432.153337665237</v>
      </c>
      <c r="AI1501">
        <v>0</v>
      </c>
      <c r="AJ1501">
        <v>0</v>
      </c>
      <c r="AK1501">
        <f t="shared" si="658"/>
        <v>0</v>
      </c>
      <c r="AL1501">
        <f t="shared" si="667"/>
        <v>0</v>
      </c>
      <c r="AM1501">
        <f t="shared" ca="1" si="659"/>
        <v>2.6560383008097266E-7</v>
      </c>
      <c r="AN1501" t="str">
        <f t="shared" ca="1" si="660"/>
        <v>Subcritical</v>
      </c>
      <c r="AO1501">
        <f t="shared" ca="1" si="661"/>
        <v>2.2562304480281055E-12</v>
      </c>
    </row>
    <row r="1502" spans="1:41" x14ac:dyDescent="0.35">
      <c r="A1502">
        <v>1353</v>
      </c>
      <c r="B1502">
        <v>1351.8889999999999</v>
      </c>
      <c r="C1502">
        <v>616066.29099999997</v>
      </c>
      <c r="D1502">
        <v>3096652.3629999999</v>
      </c>
      <c r="E1502">
        <v>631.88599999999997</v>
      </c>
      <c r="F1502">
        <v>5.2</v>
      </c>
      <c r="G1502">
        <v>0</v>
      </c>
      <c r="H1502" t="s">
        <v>186</v>
      </c>
      <c r="I1502">
        <v>0</v>
      </c>
      <c r="J1502">
        <f t="shared" si="662"/>
        <v>0.99899999999979627</v>
      </c>
      <c r="K1502">
        <f t="shared" si="663"/>
        <v>51</v>
      </c>
      <c r="L1502">
        <f t="shared" ca="1" si="664"/>
        <v>51797.843837663619</v>
      </c>
      <c r="M1502">
        <f t="shared" ca="1" si="641"/>
        <v>269348.78795585083</v>
      </c>
      <c r="N1502">
        <f t="shared" ca="1" si="642"/>
        <v>2.5998694991876676</v>
      </c>
      <c r="O1502">
        <f t="shared" ca="1" si="643"/>
        <v>1.8934557080078435E-4</v>
      </c>
      <c r="P1502">
        <f t="shared" ca="1" si="644"/>
        <v>52429.729837663617</v>
      </c>
      <c r="Q1502">
        <f t="shared" ca="1" si="645"/>
        <v>52429.729837665443</v>
      </c>
      <c r="R1502">
        <f t="shared" ca="1" si="646"/>
        <v>2.2564415439646509E-12</v>
      </c>
      <c r="S1502">
        <f t="shared" ca="1" si="665"/>
        <v>5.0000000192085281E-4</v>
      </c>
      <c r="T1502">
        <f t="shared" ca="1" si="666"/>
        <v>1</v>
      </c>
      <c r="U1502">
        <f t="shared" ca="1" si="647"/>
        <v>51800.26683766341</v>
      </c>
      <c r="V1502">
        <f t="shared" ca="1" si="648"/>
        <v>269361.38755584974</v>
      </c>
      <c r="W1502">
        <f t="shared" ca="1" si="649"/>
        <v>2.5998695052916441</v>
      </c>
      <c r="X1502">
        <f t="shared" ca="1" si="650"/>
        <v>1.8933671400629237E-4</v>
      </c>
      <c r="Y1502">
        <f t="shared" ca="1" si="651"/>
        <v>52432.152837663409</v>
      </c>
      <c r="Z1502">
        <f t="shared" ca="1" si="652"/>
        <v>52432.152837665235</v>
      </c>
      <c r="AA1502">
        <f t="shared" ca="1" si="653"/>
        <v>2.2562304480281055E-12</v>
      </c>
      <c r="AB1502">
        <f t="shared" ca="1" si="654"/>
        <v>-5.0000000192085281E-4</v>
      </c>
      <c r="AC1502">
        <f t="shared" ca="1" si="655"/>
        <v>1</v>
      </c>
      <c r="AD1502">
        <f ca="1">IF(V32="Supercritical",L1502,IF(V32="Subcritical",U1502,IF(AND(T1502=1,AC1502=1),IF((((F1502)*(L1502)^2)/2+(G1502)*(L1502)^3/3+(ABS(K1502)^2)/($I$5*MAX(((F1502)+(G1502)*(L1502))*(L1502),0.000001)))&gt;=(((F1502)*(U1502)^2)/2+(G1502)*(U1502)^3/3+(ABS(K1502)^2)/($I$5*MAX(((F1502)+(G1502)*(U1502))*(U1502),0.000001))),L1502,U1502),IF(T1502=1,L1502,IF(AC1502=1,U1502,MAX($D$16,POWER((ABS(K1502)^2)/($I$5*MAX(F1502,0.1)^2),1/3)))))))</f>
        <v>51800.26683766341</v>
      </c>
      <c r="AE1502">
        <f t="shared" ca="1" si="656"/>
        <v>52432.152837663409</v>
      </c>
      <c r="AF1502">
        <f t="shared" ca="1" si="657"/>
        <v>52432.152837665235</v>
      </c>
      <c r="AI1502">
        <v>0</v>
      </c>
      <c r="AJ1502">
        <v>0</v>
      </c>
      <c r="AK1502">
        <f t="shared" si="658"/>
        <v>0</v>
      </c>
      <c r="AL1502">
        <f t="shared" si="667"/>
        <v>0</v>
      </c>
      <c r="AM1502">
        <f t="shared" ca="1" si="659"/>
        <v>2.6560383008097266E-7</v>
      </c>
      <c r="AN1502" t="str">
        <f t="shared" ca="1" si="660"/>
        <v>Subcritical</v>
      </c>
      <c r="AO1502">
        <f t="shared" ca="1" si="661"/>
        <v>2.2562304480281055E-12</v>
      </c>
    </row>
    <row r="1503" spans="1:41" x14ac:dyDescent="0.35">
      <c r="A1503">
        <v>1354</v>
      </c>
      <c r="B1503">
        <v>1352.8889999999999</v>
      </c>
      <c r="C1503">
        <v>616066.24899999995</v>
      </c>
      <c r="D1503">
        <v>3096651.3640000001</v>
      </c>
      <c r="E1503">
        <v>631.88549999999998</v>
      </c>
      <c r="F1503">
        <v>5.2</v>
      </c>
      <c r="G1503">
        <v>0</v>
      </c>
      <c r="H1503" t="s">
        <v>186</v>
      </c>
      <c r="I1503">
        <v>5.7000000000000002E-2</v>
      </c>
      <c r="J1503">
        <f t="shared" si="662"/>
        <v>1</v>
      </c>
      <c r="K1503">
        <f t="shared" si="663"/>
        <v>51</v>
      </c>
      <c r="L1503">
        <f t="shared" ca="1" si="664"/>
        <v>51797.843837663619</v>
      </c>
      <c r="M1503">
        <f t="shared" ca="1" si="641"/>
        <v>269348.78795585083</v>
      </c>
      <c r="N1503">
        <f t="shared" ca="1" si="642"/>
        <v>2.5998694991876676</v>
      </c>
      <c r="O1503">
        <f t="shared" ca="1" si="643"/>
        <v>1.8934557080078435E-4</v>
      </c>
      <c r="P1503">
        <f t="shared" ca="1" si="644"/>
        <v>52429.729337663615</v>
      </c>
      <c r="Q1503">
        <f t="shared" ca="1" si="645"/>
        <v>52429.729337665442</v>
      </c>
      <c r="R1503">
        <f t="shared" ca="1" si="646"/>
        <v>2.2564415439646509E-12</v>
      </c>
      <c r="S1503">
        <f t="shared" ca="1" si="665"/>
        <v>5.0000000192085281E-4</v>
      </c>
      <c r="T1503">
        <f t="shared" ca="1" si="666"/>
        <v>1</v>
      </c>
      <c r="U1503">
        <f t="shared" ca="1" si="647"/>
        <v>51800.26683766341</v>
      </c>
      <c r="V1503">
        <f t="shared" ca="1" si="648"/>
        <v>269361.38755584974</v>
      </c>
      <c r="W1503">
        <f t="shared" ca="1" si="649"/>
        <v>2.5998695052916441</v>
      </c>
      <c r="X1503">
        <f t="shared" ca="1" si="650"/>
        <v>1.8933671400629237E-4</v>
      </c>
      <c r="Y1503">
        <f t="shared" ca="1" si="651"/>
        <v>52432.152337663407</v>
      </c>
      <c r="Z1503">
        <f t="shared" ca="1" si="652"/>
        <v>52432.152337665233</v>
      </c>
      <c r="AA1503">
        <f t="shared" ca="1" si="653"/>
        <v>2.2562304480281055E-12</v>
      </c>
      <c r="AB1503">
        <f t="shared" ca="1" si="654"/>
        <v>-4.999999946448952E-4</v>
      </c>
      <c r="AC1503">
        <f t="shared" ca="1" si="655"/>
        <v>1</v>
      </c>
      <c r="AD1503">
        <f ca="1">IF(V32="Supercritical",L1503,IF(V32="Subcritical",U1503,IF(AND(T1503=1,AC1503=1),IF((((F1503)*(L1503)^2)/2+(G1503)*(L1503)^3/3+(ABS(K1503)^2)/($I$5*MAX(((F1503)+(G1503)*(L1503))*(L1503),0.000001)))&gt;=(((F1503)*(U1503)^2)/2+(G1503)*(U1503)^3/3+(ABS(K1503)^2)/($I$5*MAX(((F1503)+(G1503)*(U1503))*(U1503),0.000001))),L1503,U1503),IF(T1503=1,L1503,IF(AC1503=1,U1503,MAX($D$16,POWER((ABS(K1503)^2)/($I$5*MAX(F1503,0.1)^2),1/3)))))))</f>
        <v>51800.26683766341</v>
      </c>
      <c r="AE1503">
        <f t="shared" ca="1" si="656"/>
        <v>52432.152337663407</v>
      </c>
      <c r="AF1503">
        <f t="shared" ca="1" si="657"/>
        <v>52432.152337665233</v>
      </c>
      <c r="AI1503">
        <v>0</v>
      </c>
      <c r="AJ1503">
        <v>0</v>
      </c>
      <c r="AK1503">
        <f t="shared" si="658"/>
        <v>0</v>
      </c>
      <c r="AL1503">
        <f t="shared" si="667"/>
        <v>0</v>
      </c>
      <c r="AM1503">
        <f t="shared" ca="1" si="659"/>
        <v>2.6560383008097266E-7</v>
      </c>
      <c r="AN1503" t="str">
        <f t="shared" ca="1" si="660"/>
        <v>Subcritical</v>
      </c>
      <c r="AO1503">
        <f t="shared" ca="1" si="661"/>
        <v>2.2562304480281055E-12</v>
      </c>
    </row>
    <row r="1504" spans="1:41" x14ac:dyDescent="0.35">
      <c r="A1504">
        <v>1355</v>
      </c>
      <c r="B1504">
        <v>1353.8889999999999</v>
      </c>
      <c r="C1504">
        <v>616066.20600000001</v>
      </c>
      <c r="D1504">
        <v>3096650.3650000002</v>
      </c>
      <c r="E1504">
        <v>631.88499999999999</v>
      </c>
      <c r="F1504">
        <v>5.2</v>
      </c>
      <c r="G1504">
        <v>0</v>
      </c>
      <c r="H1504" t="s">
        <v>186</v>
      </c>
      <c r="I1504">
        <v>5.7000000000000002E-2</v>
      </c>
      <c r="J1504">
        <f t="shared" si="662"/>
        <v>1</v>
      </c>
      <c r="K1504">
        <f t="shared" si="663"/>
        <v>51</v>
      </c>
      <c r="L1504">
        <f t="shared" ca="1" si="664"/>
        <v>51797.843837663619</v>
      </c>
      <c r="M1504">
        <f t="shared" ca="1" si="641"/>
        <v>269348.78795585083</v>
      </c>
      <c r="N1504">
        <f t="shared" ca="1" si="642"/>
        <v>2.5998694991876676</v>
      </c>
      <c r="O1504">
        <f t="shared" ca="1" si="643"/>
        <v>1.8934557080078435E-4</v>
      </c>
      <c r="P1504">
        <f t="shared" ca="1" si="644"/>
        <v>52429.728837663621</v>
      </c>
      <c r="Q1504">
        <f t="shared" ca="1" si="645"/>
        <v>52429.728837665447</v>
      </c>
      <c r="R1504">
        <f t="shared" ca="1" si="646"/>
        <v>2.2564415439646509E-12</v>
      </c>
      <c r="S1504">
        <f t="shared" ca="1" si="665"/>
        <v>4.999999946448952E-4</v>
      </c>
      <c r="T1504">
        <f t="shared" ca="1" si="666"/>
        <v>1</v>
      </c>
      <c r="U1504">
        <f t="shared" ca="1" si="647"/>
        <v>51800.26683766341</v>
      </c>
      <c r="V1504">
        <f t="shared" ca="1" si="648"/>
        <v>269361.38755584974</v>
      </c>
      <c r="W1504">
        <f t="shared" ca="1" si="649"/>
        <v>2.5998695052916441</v>
      </c>
      <c r="X1504">
        <f t="shared" ca="1" si="650"/>
        <v>1.8933671400629237E-4</v>
      </c>
      <c r="Y1504">
        <f t="shared" ca="1" si="651"/>
        <v>52432.151837663412</v>
      </c>
      <c r="Z1504">
        <f t="shared" ca="1" si="652"/>
        <v>52432.151837665238</v>
      </c>
      <c r="AA1504">
        <f t="shared" ca="1" si="653"/>
        <v>2.2562304480281055E-12</v>
      </c>
      <c r="AB1504">
        <f t="shared" ca="1" si="654"/>
        <v>-5.0000000192085281E-4</v>
      </c>
      <c r="AC1504">
        <f t="shared" ca="1" si="655"/>
        <v>1</v>
      </c>
      <c r="AD1504">
        <f ca="1">IF(V32="Supercritical",L1504,IF(V32="Subcritical",U1504,IF(AND(T1504=1,AC1504=1),IF((((F1504)*(L1504)^2)/2+(G1504)*(L1504)^3/3+(ABS(K1504)^2)/($I$5*MAX(((F1504)+(G1504)*(L1504))*(L1504),0.000001)))&gt;=(((F1504)*(U1504)^2)/2+(G1504)*(U1504)^3/3+(ABS(K1504)^2)/($I$5*MAX(((F1504)+(G1504)*(U1504))*(U1504),0.000001))),L1504,U1504),IF(T1504=1,L1504,IF(AC1504=1,U1504,MAX($D$16,POWER((ABS(K1504)^2)/($I$5*MAX(F1504,0.1)^2),1/3)))))))</f>
        <v>51800.26683766341</v>
      </c>
      <c r="AE1504">
        <f t="shared" ca="1" si="656"/>
        <v>52432.151837663412</v>
      </c>
      <c r="AF1504">
        <f t="shared" ca="1" si="657"/>
        <v>52432.151837665238</v>
      </c>
      <c r="AI1504">
        <v>0</v>
      </c>
      <c r="AJ1504">
        <v>0</v>
      </c>
      <c r="AK1504">
        <f t="shared" si="658"/>
        <v>0</v>
      </c>
      <c r="AL1504">
        <f t="shared" si="667"/>
        <v>0</v>
      </c>
      <c r="AM1504">
        <f t="shared" ca="1" si="659"/>
        <v>2.6560383008097266E-7</v>
      </c>
      <c r="AN1504" t="str">
        <f t="shared" ca="1" si="660"/>
        <v>Subcritical</v>
      </c>
      <c r="AO1504">
        <f t="shared" ca="1" si="661"/>
        <v>2.2562304480281055E-12</v>
      </c>
    </row>
    <row r="1505" spans="1:41" x14ac:dyDescent="0.35">
      <c r="A1505">
        <v>1356</v>
      </c>
      <c r="B1505">
        <v>1354.8889999999999</v>
      </c>
      <c r="C1505">
        <v>616066.16399999999</v>
      </c>
      <c r="D1505">
        <v>3096649.3659999999</v>
      </c>
      <c r="E1505">
        <v>631.8845</v>
      </c>
      <c r="F1505">
        <v>5.2</v>
      </c>
      <c r="G1505">
        <v>0</v>
      </c>
      <c r="H1505" t="s">
        <v>186</v>
      </c>
      <c r="I1505">
        <v>0</v>
      </c>
      <c r="J1505">
        <f t="shared" si="662"/>
        <v>1</v>
      </c>
      <c r="K1505">
        <f t="shared" si="663"/>
        <v>51</v>
      </c>
      <c r="L1505">
        <f t="shared" ca="1" si="664"/>
        <v>51797.843837663619</v>
      </c>
      <c r="M1505">
        <f t="shared" ca="1" si="641"/>
        <v>269348.78795585083</v>
      </c>
      <c r="N1505">
        <f t="shared" ca="1" si="642"/>
        <v>2.5998694991876676</v>
      </c>
      <c r="O1505">
        <f t="shared" ca="1" si="643"/>
        <v>1.8934557080078435E-4</v>
      </c>
      <c r="P1505">
        <f t="shared" ca="1" si="644"/>
        <v>52429.728337663619</v>
      </c>
      <c r="Q1505">
        <f t="shared" ca="1" si="645"/>
        <v>52429.728337665445</v>
      </c>
      <c r="R1505">
        <f t="shared" ca="1" si="646"/>
        <v>2.2564415439646509E-12</v>
      </c>
      <c r="S1505">
        <f t="shared" ca="1" si="665"/>
        <v>5.0000000192085281E-4</v>
      </c>
      <c r="T1505">
        <f t="shared" ca="1" si="666"/>
        <v>1</v>
      </c>
      <c r="U1505">
        <f t="shared" ca="1" si="647"/>
        <v>51800.26683766341</v>
      </c>
      <c r="V1505">
        <f t="shared" ca="1" si="648"/>
        <v>269361.38755584974</v>
      </c>
      <c r="W1505">
        <f t="shared" ca="1" si="649"/>
        <v>2.5998695052916441</v>
      </c>
      <c r="X1505">
        <f t="shared" ca="1" si="650"/>
        <v>1.8933671400629237E-4</v>
      </c>
      <c r="Y1505">
        <f t="shared" ca="1" si="651"/>
        <v>52432.15133766341</v>
      </c>
      <c r="Z1505">
        <f t="shared" ca="1" si="652"/>
        <v>52432.151337665236</v>
      </c>
      <c r="AA1505">
        <f t="shared" ca="1" si="653"/>
        <v>2.2562304480281055E-12</v>
      </c>
      <c r="AB1505">
        <f t="shared" ca="1" si="654"/>
        <v>-5.0000000192085281E-4</v>
      </c>
      <c r="AC1505">
        <f t="shared" ca="1" si="655"/>
        <v>1</v>
      </c>
      <c r="AD1505">
        <f ca="1">IF(V32="Supercritical",L1505,IF(V32="Subcritical",U1505,IF(AND(T1505=1,AC1505=1),IF((((F1505)*(L1505)^2)/2+(G1505)*(L1505)^3/3+(ABS(K1505)^2)/($I$5*MAX(((F1505)+(G1505)*(L1505))*(L1505),0.000001)))&gt;=(((F1505)*(U1505)^2)/2+(G1505)*(U1505)^3/3+(ABS(K1505)^2)/($I$5*MAX(((F1505)+(G1505)*(U1505))*(U1505),0.000001))),L1505,U1505),IF(T1505=1,L1505,IF(AC1505=1,U1505,MAX($D$16,POWER((ABS(K1505)^2)/($I$5*MAX(F1505,0.1)^2),1/3)))))))</f>
        <v>51800.26683766341</v>
      </c>
      <c r="AE1505">
        <f t="shared" ca="1" si="656"/>
        <v>52432.15133766341</v>
      </c>
      <c r="AF1505">
        <f t="shared" ca="1" si="657"/>
        <v>52432.151337665236</v>
      </c>
      <c r="AI1505">
        <v>0</v>
      </c>
      <c r="AJ1505">
        <v>0</v>
      </c>
      <c r="AK1505">
        <f t="shared" si="658"/>
        <v>0</v>
      </c>
      <c r="AL1505">
        <f t="shared" si="667"/>
        <v>0</v>
      </c>
      <c r="AM1505">
        <f t="shared" ca="1" si="659"/>
        <v>2.6560383008097266E-7</v>
      </c>
      <c r="AN1505" t="str">
        <f t="shared" ca="1" si="660"/>
        <v>Subcritical</v>
      </c>
      <c r="AO1505">
        <f t="shared" ca="1" si="661"/>
        <v>2.2562304480281055E-12</v>
      </c>
    </row>
    <row r="1506" spans="1:41" x14ac:dyDescent="0.35">
      <c r="A1506">
        <v>1357</v>
      </c>
      <c r="B1506">
        <v>1355.8889999999999</v>
      </c>
      <c r="C1506">
        <v>616066.12199999997</v>
      </c>
      <c r="D1506">
        <v>3096648.3670000001</v>
      </c>
      <c r="E1506">
        <v>631.88400000000001</v>
      </c>
      <c r="F1506">
        <v>5.2</v>
      </c>
      <c r="G1506">
        <v>0</v>
      </c>
      <c r="H1506" t="s">
        <v>186</v>
      </c>
      <c r="I1506">
        <v>0</v>
      </c>
      <c r="J1506">
        <f t="shared" si="662"/>
        <v>1</v>
      </c>
      <c r="K1506">
        <f t="shared" si="663"/>
        <v>51</v>
      </c>
      <c r="L1506">
        <f t="shared" ca="1" si="664"/>
        <v>51797.843837663619</v>
      </c>
      <c r="M1506">
        <f t="shared" ca="1" si="641"/>
        <v>269348.78795585083</v>
      </c>
      <c r="N1506">
        <f t="shared" ca="1" si="642"/>
        <v>2.5998694991876676</v>
      </c>
      <c r="O1506">
        <f t="shared" ca="1" si="643"/>
        <v>1.8934557080078435E-4</v>
      </c>
      <c r="P1506">
        <f t="shared" ca="1" si="644"/>
        <v>52429.727837663617</v>
      </c>
      <c r="Q1506">
        <f t="shared" ca="1" si="645"/>
        <v>52429.727837665443</v>
      </c>
      <c r="R1506">
        <f t="shared" ca="1" si="646"/>
        <v>2.2564415439646509E-12</v>
      </c>
      <c r="S1506">
        <f t="shared" ca="1" si="665"/>
        <v>5.0000000192085281E-4</v>
      </c>
      <c r="T1506">
        <f t="shared" ca="1" si="666"/>
        <v>1</v>
      </c>
      <c r="U1506">
        <f t="shared" ca="1" si="647"/>
        <v>51800.26683766341</v>
      </c>
      <c r="V1506">
        <f t="shared" ca="1" si="648"/>
        <v>269361.38755584974</v>
      </c>
      <c r="W1506">
        <f t="shared" ca="1" si="649"/>
        <v>2.5998695052916441</v>
      </c>
      <c r="X1506">
        <f t="shared" ca="1" si="650"/>
        <v>1.8933671400629237E-4</v>
      </c>
      <c r="Y1506">
        <f t="shared" ca="1" si="651"/>
        <v>52432.150837663408</v>
      </c>
      <c r="Z1506">
        <f t="shared" ca="1" si="652"/>
        <v>52432.150837665235</v>
      </c>
      <c r="AA1506">
        <f t="shared" ca="1" si="653"/>
        <v>2.2562304480281055E-12</v>
      </c>
      <c r="AB1506">
        <f t="shared" ca="1" si="654"/>
        <v>-4.999999946448952E-4</v>
      </c>
      <c r="AC1506">
        <f t="shared" ca="1" si="655"/>
        <v>1</v>
      </c>
      <c r="AD1506">
        <f ca="1">IF(V32="Supercritical",L1506,IF(V32="Subcritical",U1506,IF(AND(T1506=1,AC1506=1),IF((((F1506)*(L1506)^2)/2+(G1506)*(L1506)^3/3+(ABS(K1506)^2)/($I$5*MAX(((F1506)+(G1506)*(L1506))*(L1506),0.000001)))&gt;=(((F1506)*(U1506)^2)/2+(G1506)*(U1506)^3/3+(ABS(K1506)^2)/($I$5*MAX(((F1506)+(G1506)*(U1506))*(U1506),0.000001))),L1506,U1506),IF(T1506=1,L1506,IF(AC1506=1,U1506,MAX($D$16,POWER((ABS(K1506)^2)/($I$5*MAX(F1506,0.1)^2),1/3)))))))</f>
        <v>51800.26683766341</v>
      </c>
      <c r="AE1506">
        <f t="shared" ca="1" si="656"/>
        <v>52432.150837663408</v>
      </c>
      <c r="AF1506">
        <f t="shared" ca="1" si="657"/>
        <v>52432.150837665235</v>
      </c>
      <c r="AI1506">
        <v>0</v>
      </c>
      <c r="AJ1506">
        <v>0</v>
      </c>
      <c r="AK1506">
        <f t="shared" si="658"/>
        <v>0</v>
      </c>
      <c r="AL1506">
        <f t="shared" si="667"/>
        <v>0</v>
      </c>
      <c r="AM1506">
        <f t="shared" ca="1" si="659"/>
        <v>2.6560383008097266E-7</v>
      </c>
      <c r="AN1506" t="str">
        <f t="shared" ca="1" si="660"/>
        <v>Subcritical</v>
      </c>
      <c r="AO1506">
        <f t="shared" ca="1" si="661"/>
        <v>2.2562304480281055E-12</v>
      </c>
    </row>
    <row r="1507" spans="1:41" x14ac:dyDescent="0.35">
      <c r="A1507">
        <v>1358</v>
      </c>
      <c r="B1507">
        <v>1356.8889999999999</v>
      </c>
      <c r="C1507">
        <v>616066.07999999996</v>
      </c>
      <c r="D1507">
        <v>3096647.3679999998</v>
      </c>
      <c r="E1507">
        <v>631.88350000000003</v>
      </c>
      <c r="F1507">
        <v>5.2</v>
      </c>
      <c r="G1507">
        <v>0</v>
      </c>
      <c r="H1507" t="s">
        <v>186</v>
      </c>
      <c r="I1507">
        <v>5.7000000000000002E-2</v>
      </c>
      <c r="J1507">
        <f t="shared" si="662"/>
        <v>1</v>
      </c>
      <c r="K1507">
        <f t="shared" si="663"/>
        <v>51</v>
      </c>
      <c r="L1507">
        <f t="shared" ca="1" si="664"/>
        <v>51797.843837663619</v>
      </c>
      <c r="M1507">
        <f t="shared" ca="1" si="641"/>
        <v>269348.78795585083</v>
      </c>
      <c r="N1507">
        <f t="shared" ca="1" si="642"/>
        <v>2.5998694991876676</v>
      </c>
      <c r="O1507">
        <f t="shared" ca="1" si="643"/>
        <v>1.8934557080078435E-4</v>
      </c>
      <c r="P1507">
        <f t="shared" ca="1" si="644"/>
        <v>52429.727337663622</v>
      </c>
      <c r="Q1507">
        <f t="shared" ca="1" si="645"/>
        <v>52429.727337665448</v>
      </c>
      <c r="R1507">
        <f t="shared" ca="1" si="646"/>
        <v>2.2564415439646509E-12</v>
      </c>
      <c r="S1507">
        <f t="shared" ca="1" si="665"/>
        <v>4.999999946448952E-4</v>
      </c>
      <c r="T1507">
        <f t="shared" ca="1" si="666"/>
        <v>1</v>
      </c>
      <c r="U1507">
        <f t="shared" ca="1" si="647"/>
        <v>51800.26683766341</v>
      </c>
      <c r="V1507">
        <f t="shared" ca="1" si="648"/>
        <v>269361.38755584974</v>
      </c>
      <c r="W1507">
        <f t="shared" ca="1" si="649"/>
        <v>2.5998695052916441</v>
      </c>
      <c r="X1507">
        <f t="shared" ca="1" si="650"/>
        <v>1.8933671400629237E-4</v>
      </c>
      <c r="Y1507">
        <f t="shared" ca="1" si="651"/>
        <v>52432.150337663414</v>
      </c>
      <c r="Z1507">
        <f t="shared" ca="1" si="652"/>
        <v>52432.15033766524</v>
      </c>
      <c r="AA1507">
        <f t="shared" ca="1" si="653"/>
        <v>2.2562304480281055E-12</v>
      </c>
      <c r="AB1507">
        <f t="shared" ca="1" si="654"/>
        <v>-5.0000000192085281E-4</v>
      </c>
      <c r="AC1507">
        <f t="shared" ca="1" si="655"/>
        <v>1</v>
      </c>
      <c r="AD1507">
        <f ca="1">IF(V32="Supercritical",L1507,IF(V32="Subcritical",U1507,IF(AND(T1507=1,AC1507=1),IF((((F1507)*(L1507)^2)/2+(G1507)*(L1507)^3/3+(ABS(K1507)^2)/($I$5*MAX(((F1507)+(G1507)*(L1507))*(L1507),0.000001)))&gt;=(((F1507)*(U1507)^2)/2+(G1507)*(U1507)^3/3+(ABS(K1507)^2)/($I$5*MAX(((F1507)+(G1507)*(U1507))*(U1507),0.000001))),L1507,U1507),IF(T1507=1,L1507,IF(AC1507=1,U1507,MAX($D$16,POWER((ABS(K1507)^2)/($I$5*MAX(F1507,0.1)^2),1/3)))))))</f>
        <v>51800.26683766341</v>
      </c>
      <c r="AE1507">
        <f t="shared" ca="1" si="656"/>
        <v>52432.150337663414</v>
      </c>
      <c r="AF1507">
        <f t="shared" ca="1" si="657"/>
        <v>52432.15033766524</v>
      </c>
      <c r="AI1507">
        <v>0</v>
      </c>
      <c r="AJ1507">
        <v>0</v>
      </c>
      <c r="AK1507">
        <f t="shared" si="658"/>
        <v>0</v>
      </c>
      <c r="AL1507">
        <f t="shared" si="667"/>
        <v>0</v>
      </c>
      <c r="AM1507">
        <f t="shared" ca="1" si="659"/>
        <v>2.6560383008097266E-7</v>
      </c>
      <c r="AN1507" t="str">
        <f t="shared" ca="1" si="660"/>
        <v>Subcritical</v>
      </c>
      <c r="AO1507">
        <f t="shared" ca="1" si="661"/>
        <v>2.2562304480281055E-12</v>
      </c>
    </row>
    <row r="1508" spans="1:41" x14ac:dyDescent="0.35">
      <c r="A1508">
        <v>1359</v>
      </c>
      <c r="B1508">
        <v>1357.8889999999999</v>
      </c>
      <c r="C1508">
        <v>616066.03700000001</v>
      </c>
      <c r="D1508">
        <v>3096646.3689999999</v>
      </c>
      <c r="E1508">
        <v>631.88300000000004</v>
      </c>
      <c r="F1508">
        <v>5.2</v>
      </c>
      <c r="G1508">
        <v>0</v>
      </c>
      <c r="H1508" t="s">
        <v>186</v>
      </c>
      <c r="I1508">
        <v>0.06</v>
      </c>
      <c r="J1508">
        <f t="shared" si="662"/>
        <v>1</v>
      </c>
      <c r="K1508">
        <f t="shared" si="663"/>
        <v>51</v>
      </c>
      <c r="L1508">
        <f t="shared" ca="1" si="664"/>
        <v>51797.843837663619</v>
      </c>
      <c r="M1508">
        <f t="shared" ca="1" si="641"/>
        <v>269348.78795585083</v>
      </c>
      <c r="N1508">
        <f t="shared" ca="1" si="642"/>
        <v>2.5998694991876676</v>
      </c>
      <c r="O1508">
        <f t="shared" ca="1" si="643"/>
        <v>1.8934557080078435E-4</v>
      </c>
      <c r="P1508">
        <f t="shared" ca="1" si="644"/>
        <v>52429.72683766362</v>
      </c>
      <c r="Q1508">
        <f t="shared" ca="1" si="645"/>
        <v>52429.726837665447</v>
      </c>
      <c r="R1508">
        <f t="shared" ca="1" si="646"/>
        <v>2.2564415439646509E-12</v>
      </c>
      <c r="S1508">
        <f t="shared" ca="1" si="665"/>
        <v>5.0000000192085281E-4</v>
      </c>
      <c r="T1508">
        <f t="shared" ca="1" si="666"/>
        <v>1</v>
      </c>
      <c r="U1508">
        <f t="shared" ca="1" si="647"/>
        <v>51800.26683766341</v>
      </c>
      <c r="V1508">
        <f t="shared" ca="1" si="648"/>
        <v>269361.38755584974</v>
      </c>
      <c r="W1508">
        <f t="shared" ca="1" si="649"/>
        <v>2.5998695052916441</v>
      </c>
      <c r="X1508">
        <f t="shared" ca="1" si="650"/>
        <v>1.8933671400629237E-4</v>
      </c>
      <c r="Y1508">
        <f t="shared" ca="1" si="651"/>
        <v>52432.149837663412</v>
      </c>
      <c r="Z1508">
        <f t="shared" ca="1" si="652"/>
        <v>52432.149837665238</v>
      </c>
      <c r="AA1508">
        <f t="shared" ca="1" si="653"/>
        <v>2.2562304480281055E-12</v>
      </c>
      <c r="AB1508">
        <f t="shared" ca="1" si="654"/>
        <v>-5.0000000192085281E-4</v>
      </c>
      <c r="AC1508">
        <f t="shared" ca="1" si="655"/>
        <v>1</v>
      </c>
      <c r="AD1508">
        <f ca="1">IF(V32="Supercritical",L1508,IF(V32="Subcritical",U1508,IF(AND(T1508=1,AC1508=1),IF((((F1508)*(L1508)^2)/2+(G1508)*(L1508)^3/3+(ABS(K1508)^2)/($I$5*MAX(((F1508)+(G1508)*(L1508))*(L1508),0.000001)))&gt;=(((F1508)*(U1508)^2)/2+(G1508)*(U1508)^3/3+(ABS(K1508)^2)/($I$5*MAX(((F1508)+(G1508)*(U1508))*(U1508),0.000001))),L1508,U1508),IF(T1508=1,L1508,IF(AC1508=1,U1508,MAX($D$16,POWER((ABS(K1508)^2)/($I$5*MAX(F1508,0.1)^2),1/3)))))))</f>
        <v>51800.26683766341</v>
      </c>
      <c r="AE1508">
        <f t="shared" ca="1" si="656"/>
        <v>52432.149837663412</v>
      </c>
      <c r="AF1508">
        <f t="shared" ca="1" si="657"/>
        <v>52432.149837665238</v>
      </c>
      <c r="AI1508">
        <v>0</v>
      </c>
      <c r="AJ1508">
        <v>0</v>
      </c>
      <c r="AK1508">
        <f t="shared" si="658"/>
        <v>0</v>
      </c>
      <c r="AL1508">
        <f t="shared" si="667"/>
        <v>0</v>
      </c>
      <c r="AM1508">
        <f t="shared" ca="1" si="659"/>
        <v>2.6560383008097266E-7</v>
      </c>
      <c r="AN1508" t="str">
        <f t="shared" ca="1" si="660"/>
        <v>Subcritical</v>
      </c>
      <c r="AO1508">
        <f t="shared" ca="1" si="661"/>
        <v>2.2562304480281055E-12</v>
      </c>
    </row>
    <row r="1509" spans="1:41" x14ac:dyDescent="0.35">
      <c r="A1509">
        <v>1360</v>
      </c>
      <c r="B1509">
        <v>1358.89</v>
      </c>
      <c r="C1509">
        <v>616065.995</v>
      </c>
      <c r="D1509">
        <v>3096645.3689999999</v>
      </c>
      <c r="E1509">
        <v>631.88250000000005</v>
      </c>
      <c r="F1509">
        <v>5.2</v>
      </c>
      <c r="G1509">
        <v>0</v>
      </c>
      <c r="H1509" t="s">
        <v>186</v>
      </c>
      <c r="I1509">
        <v>2E-3</v>
      </c>
      <c r="J1509">
        <f t="shared" si="662"/>
        <v>1.0010000000002037</v>
      </c>
      <c r="K1509">
        <f t="shared" si="663"/>
        <v>51</v>
      </c>
      <c r="L1509">
        <f t="shared" ca="1" si="664"/>
        <v>51797.843837663619</v>
      </c>
      <c r="M1509">
        <f t="shared" ca="1" si="641"/>
        <v>269348.78795585083</v>
      </c>
      <c r="N1509">
        <f t="shared" ca="1" si="642"/>
        <v>2.5998694991876676</v>
      </c>
      <c r="O1509">
        <f t="shared" ca="1" si="643"/>
        <v>1.8934557080078435E-4</v>
      </c>
      <c r="P1509">
        <f t="shared" ca="1" si="644"/>
        <v>52429.726337663618</v>
      </c>
      <c r="Q1509">
        <f t="shared" ca="1" si="645"/>
        <v>52429.726337665445</v>
      </c>
      <c r="R1509">
        <f t="shared" ca="1" si="646"/>
        <v>2.2564415439646509E-12</v>
      </c>
      <c r="S1509">
        <f t="shared" ca="1" si="665"/>
        <v>5.0000000192085281E-4</v>
      </c>
      <c r="T1509">
        <f t="shared" ca="1" si="666"/>
        <v>1</v>
      </c>
      <c r="U1509">
        <f t="shared" ca="1" si="647"/>
        <v>51800.26683766341</v>
      </c>
      <c r="V1509">
        <f t="shared" ca="1" si="648"/>
        <v>269361.38755584974</v>
      </c>
      <c r="W1509">
        <f t="shared" ca="1" si="649"/>
        <v>2.5998695052916441</v>
      </c>
      <c r="X1509">
        <f t="shared" ca="1" si="650"/>
        <v>1.8933671400629237E-4</v>
      </c>
      <c r="Y1509">
        <f t="shared" ca="1" si="651"/>
        <v>52432.14933766341</v>
      </c>
      <c r="Z1509">
        <f t="shared" ca="1" si="652"/>
        <v>52432.149337665236</v>
      </c>
      <c r="AA1509">
        <f t="shared" ca="1" si="653"/>
        <v>2.2562304480281055E-12</v>
      </c>
      <c r="AB1509">
        <f t="shared" ca="1" si="654"/>
        <v>-5.0000000192085281E-4</v>
      </c>
      <c r="AC1509">
        <f t="shared" ca="1" si="655"/>
        <v>1</v>
      </c>
      <c r="AD1509">
        <f ca="1">IF(V32="Supercritical",L1509,IF(V32="Subcritical",U1509,IF(AND(T1509=1,AC1509=1),IF((((F1509)*(L1509)^2)/2+(G1509)*(L1509)^3/3+(ABS(K1509)^2)/($I$5*MAX(((F1509)+(G1509)*(L1509))*(L1509),0.000001)))&gt;=(((F1509)*(U1509)^2)/2+(G1509)*(U1509)^3/3+(ABS(K1509)^2)/($I$5*MAX(((F1509)+(G1509)*(U1509))*(U1509),0.000001))),L1509,U1509),IF(T1509=1,L1509,IF(AC1509=1,U1509,MAX($D$16,POWER((ABS(K1509)^2)/($I$5*MAX(F1509,0.1)^2),1/3)))))))</f>
        <v>51800.26683766341</v>
      </c>
      <c r="AE1509">
        <f t="shared" ca="1" si="656"/>
        <v>52432.14933766341</v>
      </c>
      <c r="AF1509">
        <f t="shared" ca="1" si="657"/>
        <v>52432.149337665236</v>
      </c>
      <c r="AI1509">
        <v>0</v>
      </c>
      <c r="AJ1509">
        <v>0</v>
      </c>
      <c r="AK1509">
        <f t="shared" si="658"/>
        <v>0</v>
      </c>
      <c r="AL1509">
        <f t="shared" si="667"/>
        <v>0</v>
      </c>
      <c r="AM1509">
        <f t="shared" ca="1" si="659"/>
        <v>2.6560383008097266E-7</v>
      </c>
      <c r="AN1509" t="str">
        <f t="shared" ca="1" si="660"/>
        <v>Subcritical</v>
      </c>
      <c r="AO1509">
        <f t="shared" ca="1" si="661"/>
        <v>2.2562304480281055E-12</v>
      </c>
    </row>
    <row r="1510" spans="1:41" x14ac:dyDescent="0.35">
      <c r="A1510">
        <v>1361</v>
      </c>
      <c r="B1510">
        <v>1359.89</v>
      </c>
      <c r="C1510">
        <v>616065.95299999998</v>
      </c>
      <c r="D1510">
        <v>3096644.37</v>
      </c>
      <c r="E1510">
        <v>631.88199999999995</v>
      </c>
      <c r="F1510">
        <v>5.2</v>
      </c>
      <c r="G1510">
        <v>0</v>
      </c>
      <c r="H1510" t="s">
        <v>186</v>
      </c>
      <c r="I1510">
        <v>0</v>
      </c>
      <c r="J1510">
        <f t="shared" si="662"/>
        <v>1</v>
      </c>
      <c r="K1510">
        <f t="shared" si="663"/>
        <v>51</v>
      </c>
      <c r="L1510">
        <f t="shared" ca="1" si="664"/>
        <v>51797.843837663619</v>
      </c>
      <c r="M1510">
        <f t="shared" ca="1" si="641"/>
        <v>269348.78795585083</v>
      </c>
      <c r="N1510">
        <f t="shared" ca="1" si="642"/>
        <v>2.5998694991876676</v>
      </c>
      <c r="O1510">
        <f t="shared" ca="1" si="643"/>
        <v>1.8934557080078435E-4</v>
      </c>
      <c r="P1510">
        <f t="shared" ca="1" si="644"/>
        <v>52429.725837663616</v>
      </c>
      <c r="Q1510">
        <f t="shared" ca="1" si="645"/>
        <v>52429.725837665443</v>
      </c>
      <c r="R1510">
        <f t="shared" ca="1" si="646"/>
        <v>2.2564415439646509E-12</v>
      </c>
      <c r="S1510">
        <f t="shared" ca="1" si="665"/>
        <v>5.0000000192085281E-4</v>
      </c>
      <c r="T1510">
        <f t="shared" ca="1" si="666"/>
        <v>1</v>
      </c>
      <c r="U1510">
        <f t="shared" ca="1" si="647"/>
        <v>51800.26683766341</v>
      </c>
      <c r="V1510">
        <f t="shared" ca="1" si="648"/>
        <v>269361.38755584974</v>
      </c>
      <c r="W1510">
        <f t="shared" ca="1" si="649"/>
        <v>2.5998695052916441</v>
      </c>
      <c r="X1510">
        <f t="shared" ca="1" si="650"/>
        <v>1.8933671400629237E-4</v>
      </c>
      <c r="Y1510">
        <f t="shared" ca="1" si="651"/>
        <v>52432.148837663408</v>
      </c>
      <c r="Z1510">
        <f t="shared" ca="1" si="652"/>
        <v>52432.148837665234</v>
      </c>
      <c r="AA1510">
        <f t="shared" ca="1" si="653"/>
        <v>2.2562304480281055E-12</v>
      </c>
      <c r="AB1510">
        <f t="shared" ca="1" si="654"/>
        <v>-4.999999946448952E-4</v>
      </c>
      <c r="AC1510">
        <f t="shared" ca="1" si="655"/>
        <v>1</v>
      </c>
      <c r="AD1510">
        <f ca="1">IF(V32="Supercritical",L1510,IF(V32="Subcritical",U1510,IF(AND(T1510=1,AC1510=1),IF((((F1510)*(L1510)^2)/2+(G1510)*(L1510)^3/3+(ABS(K1510)^2)/($I$5*MAX(((F1510)+(G1510)*(L1510))*(L1510),0.000001)))&gt;=(((F1510)*(U1510)^2)/2+(G1510)*(U1510)^3/3+(ABS(K1510)^2)/($I$5*MAX(((F1510)+(G1510)*(U1510))*(U1510),0.000001))),L1510,U1510),IF(T1510=1,L1510,IF(AC1510=1,U1510,MAX($D$16,POWER((ABS(K1510)^2)/($I$5*MAX(F1510,0.1)^2),1/3)))))))</f>
        <v>51800.26683766341</v>
      </c>
      <c r="AE1510">
        <f t="shared" ca="1" si="656"/>
        <v>52432.148837663408</v>
      </c>
      <c r="AF1510">
        <f t="shared" ca="1" si="657"/>
        <v>52432.148837665234</v>
      </c>
      <c r="AI1510">
        <v>0</v>
      </c>
      <c r="AJ1510">
        <v>0</v>
      </c>
      <c r="AK1510">
        <f t="shared" si="658"/>
        <v>0</v>
      </c>
      <c r="AL1510">
        <f t="shared" si="667"/>
        <v>0</v>
      </c>
      <c r="AM1510">
        <f t="shared" ca="1" si="659"/>
        <v>2.6560383008097266E-7</v>
      </c>
      <c r="AN1510" t="str">
        <f t="shared" ca="1" si="660"/>
        <v>Subcritical</v>
      </c>
      <c r="AO1510">
        <f t="shared" ca="1" si="661"/>
        <v>2.2562304480281055E-12</v>
      </c>
    </row>
    <row r="1511" spans="1:41" x14ac:dyDescent="0.35">
      <c r="A1511">
        <v>1362</v>
      </c>
      <c r="B1511">
        <v>1360.89</v>
      </c>
      <c r="C1511">
        <v>616065.91099999996</v>
      </c>
      <c r="D1511">
        <v>3096643.3709999998</v>
      </c>
      <c r="E1511">
        <v>631.88149999999996</v>
      </c>
      <c r="F1511">
        <v>5.2</v>
      </c>
      <c r="G1511">
        <v>0</v>
      </c>
      <c r="H1511" t="s">
        <v>186</v>
      </c>
      <c r="I1511">
        <v>5.7000000000000002E-2</v>
      </c>
      <c r="J1511">
        <f t="shared" si="662"/>
        <v>1</v>
      </c>
      <c r="K1511">
        <f t="shared" si="663"/>
        <v>51</v>
      </c>
      <c r="L1511">
        <f t="shared" ca="1" si="664"/>
        <v>51797.843837663619</v>
      </c>
      <c r="M1511">
        <f t="shared" ca="1" si="641"/>
        <v>269348.78795585083</v>
      </c>
      <c r="N1511">
        <f t="shared" ca="1" si="642"/>
        <v>2.5998694991876676</v>
      </c>
      <c r="O1511">
        <f t="shared" ca="1" si="643"/>
        <v>1.8934557080078435E-4</v>
      </c>
      <c r="P1511">
        <f t="shared" ca="1" si="644"/>
        <v>52429.725337663622</v>
      </c>
      <c r="Q1511">
        <f t="shared" ca="1" si="645"/>
        <v>52429.725337665448</v>
      </c>
      <c r="R1511">
        <f t="shared" ca="1" si="646"/>
        <v>2.2564415439646509E-12</v>
      </c>
      <c r="S1511">
        <f t="shared" ca="1" si="665"/>
        <v>4.999999946448952E-4</v>
      </c>
      <c r="T1511">
        <f t="shared" ca="1" si="666"/>
        <v>1</v>
      </c>
      <c r="U1511">
        <f t="shared" ca="1" si="647"/>
        <v>51800.26683766341</v>
      </c>
      <c r="V1511">
        <f t="shared" ca="1" si="648"/>
        <v>269361.38755584974</v>
      </c>
      <c r="W1511">
        <f t="shared" ca="1" si="649"/>
        <v>2.5998695052916441</v>
      </c>
      <c r="X1511">
        <f t="shared" ca="1" si="650"/>
        <v>1.8933671400629237E-4</v>
      </c>
      <c r="Y1511">
        <f t="shared" ca="1" si="651"/>
        <v>52432.148337663413</v>
      </c>
      <c r="Z1511">
        <f t="shared" ca="1" si="652"/>
        <v>52432.14833766524</v>
      </c>
      <c r="AA1511">
        <f t="shared" ca="1" si="653"/>
        <v>2.2562304480281055E-12</v>
      </c>
      <c r="AB1511">
        <f t="shared" ca="1" si="654"/>
        <v>-5.0000000192085281E-4</v>
      </c>
      <c r="AC1511">
        <f t="shared" ca="1" si="655"/>
        <v>1</v>
      </c>
      <c r="AD1511">
        <f ca="1">IF(V32="Supercritical",L1511,IF(V32="Subcritical",U1511,IF(AND(T1511=1,AC1511=1),IF((((F1511)*(L1511)^2)/2+(G1511)*(L1511)^3/3+(ABS(K1511)^2)/($I$5*MAX(((F1511)+(G1511)*(L1511))*(L1511),0.000001)))&gt;=(((F1511)*(U1511)^2)/2+(G1511)*(U1511)^3/3+(ABS(K1511)^2)/($I$5*MAX(((F1511)+(G1511)*(U1511))*(U1511),0.000001))),L1511,U1511),IF(T1511=1,L1511,IF(AC1511=1,U1511,MAX($D$16,POWER((ABS(K1511)^2)/($I$5*MAX(F1511,0.1)^2),1/3)))))))</f>
        <v>51800.26683766341</v>
      </c>
      <c r="AE1511">
        <f t="shared" ca="1" si="656"/>
        <v>52432.148337663413</v>
      </c>
      <c r="AF1511">
        <f t="shared" ca="1" si="657"/>
        <v>52432.14833766524</v>
      </c>
      <c r="AI1511">
        <v>0</v>
      </c>
      <c r="AJ1511">
        <v>0</v>
      </c>
      <c r="AK1511">
        <f t="shared" si="658"/>
        <v>0</v>
      </c>
      <c r="AL1511">
        <f t="shared" si="667"/>
        <v>0</v>
      </c>
      <c r="AM1511">
        <f t="shared" ca="1" si="659"/>
        <v>2.6560383008097266E-7</v>
      </c>
      <c r="AN1511" t="str">
        <f t="shared" ca="1" si="660"/>
        <v>Subcritical</v>
      </c>
      <c r="AO1511">
        <f t="shared" ca="1" si="661"/>
        <v>2.2562304480281055E-12</v>
      </c>
    </row>
    <row r="1512" spans="1:41" x14ac:dyDescent="0.35">
      <c r="A1512">
        <v>1363</v>
      </c>
      <c r="B1512">
        <v>1361.8889999999999</v>
      </c>
      <c r="C1512">
        <v>616065.86800000002</v>
      </c>
      <c r="D1512">
        <v>3096642.372</v>
      </c>
      <c r="E1512">
        <v>631.88099999999997</v>
      </c>
      <c r="F1512">
        <v>5.2</v>
      </c>
      <c r="G1512">
        <v>0</v>
      </c>
      <c r="H1512" t="s">
        <v>186</v>
      </c>
      <c r="I1512">
        <v>5.7000000000000002E-2</v>
      </c>
      <c r="J1512">
        <f t="shared" si="662"/>
        <v>0.99899999999979627</v>
      </c>
      <c r="K1512">
        <f t="shared" si="663"/>
        <v>51</v>
      </c>
      <c r="L1512">
        <f t="shared" ca="1" si="664"/>
        <v>51797.843837663619</v>
      </c>
      <c r="M1512">
        <f t="shared" ca="1" si="641"/>
        <v>269348.78795585083</v>
      </c>
      <c r="N1512">
        <f t="shared" ca="1" si="642"/>
        <v>2.5998694991876676</v>
      </c>
      <c r="O1512">
        <f t="shared" ca="1" si="643"/>
        <v>1.8934557080078435E-4</v>
      </c>
      <c r="P1512">
        <f t="shared" ca="1" si="644"/>
        <v>52429.72483766362</v>
      </c>
      <c r="Q1512">
        <f t="shared" ca="1" si="645"/>
        <v>52429.724837665446</v>
      </c>
      <c r="R1512">
        <f t="shared" ca="1" si="646"/>
        <v>2.2564415439646509E-12</v>
      </c>
      <c r="S1512">
        <f t="shared" ca="1" si="665"/>
        <v>5.0000000192085281E-4</v>
      </c>
      <c r="T1512">
        <f t="shared" ca="1" si="666"/>
        <v>1</v>
      </c>
      <c r="U1512">
        <f t="shared" ca="1" si="647"/>
        <v>51800.26683766341</v>
      </c>
      <c r="V1512">
        <f t="shared" ca="1" si="648"/>
        <v>269361.38755584974</v>
      </c>
      <c r="W1512">
        <f t="shared" ca="1" si="649"/>
        <v>2.5998695052916441</v>
      </c>
      <c r="X1512">
        <f t="shared" ca="1" si="650"/>
        <v>1.8933671400629237E-4</v>
      </c>
      <c r="Y1512">
        <f t="shared" ca="1" si="651"/>
        <v>52432.147837663411</v>
      </c>
      <c r="Z1512">
        <f t="shared" ca="1" si="652"/>
        <v>52432.147837665238</v>
      </c>
      <c r="AA1512">
        <f t="shared" ca="1" si="653"/>
        <v>2.2562304480281055E-12</v>
      </c>
      <c r="AB1512">
        <f t="shared" ca="1" si="654"/>
        <v>-5.0000000192085281E-4</v>
      </c>
      <c r="AC1512">
        <f t="shared" ca="1" si="655"/>
        <v>1</v>
      </c>
      <c r="AD1512">
        <f ca="1">IF(V32="Supercritical",L1512,IF(V32="Subcritical",U1512,IF(AND(T1512=1,AC1512=1),IF((((F1512)*(L1512)^2)/2+(G1512)*(L1512)^3/3+(ABS(K1512)^2)/($I$5*MAX(((F1512)+(G1512)*(L1512))*(L1512),0.000001)))&gt;=(((F1512)*(U1512)^2)/2+(G1512)*(U1512)^3/3+(ABS(K1512)^2)/($I$5*MAX(((F1512)+(G1512)*(U1512))*(U1512),0.000001))),L1512,U1512),IF(T1512=1,L1512,IF(AC1512=1,U1512,MAX($D$16,POWER((ABS(K1512)^2)/($I$5*MAX(F1512,0.1)^2),1/3)))))))</f>
        <v>51800.26683766341</v>
      </c>
      <c r="AE1512">
        <f t="shared" ca="1" si="656"/>
        <v>52432.147837663411</v>
      </c>
      <c r="AF1512">
        <f t="shared" ca="1" si="657"/>
        <v>52432.147837665238</v>
      </c>
      <c r="AI1512">
        <v>0</v>
      </c>
      <c r="AJ1512">
        <v>0</v>
      </c>
      <c r="AK1512">
        <f t="shared" si="658"/>
        <v>0</v>
      </c>
      <c r="AL1512">
        <f t="shared" si="667"/>
        <v>0</v>
      </c>
      <c r="AM1512">
        <f t="shared" ca="1" si="659"/>
        <v>2.6560383008097266E-7</v>
      </c>
      <c r="AN1512" t="str">
        <f t="shared" ca="1" si="660"/>
        <v>Subcritical</v>
      </c>
      <c r="AO1512">
        <f t="shared" ca="1" si="661"/>
        <v>2.2562304480281055E-12</v>
      </c>
    </row>
    <row r="1513" spans="1:41" x14ac:dyDescent="0.35">
      <c r="A1513">
        <v>1364</v>
      </c>
      <c r="B1513">
        <v>1362.8889999999999</v>
      </c>
      <c r="C1513">
        <v>616065.826</v>
      </c>
      <c r="D1513">
        <v>3096641.3730000001</v>
      </c>
      <c r="E1513">
        <v>631.88049999999998</v>
      </c>
      <c r="F1513">
        <v>5.2</v>
      </c>
      <c r="G1513">
        <v>0</v>
      </c>
      <c r="H1513" t="s">
        <v>186</v>
      </c>
      <c r="I1513">
        <v>0</v>
      </c>
      <c r="J1513">
        <f t="shared" si="662"/>
        <v>1</v>
      </c>
      <c r="K1513">
        <f t="shared" si="663"/>
        <v>51</v>
      </c>
      <c r="L1513">
        <f t="shared" ca="1" si="664"/>
        <v>51797.843837663619</v>
      </c>
      <c r="M1513">
        <f t="shared" ca="1" si="641"/>
        <v>269348.78795585083</v>
      </c>
      <c r="N1513">
        <f t="shared" ca="1" si="642"/>
        <v>2.5998694991876676</v>
      </c>
      <c r="O1513">
        <f t="shared" ca="1" si="643"/>
        <v>1.8934557080078435E-4</v>
      </c>
      <c r="P1513">
        <f t="shared" ca="1" si="644"/>
        <v>52429.724337663618</v>
      </c>
      <c r="Q1513">
        <f t="shared" ca="1" si="645"/>
        <v>52429.724337665444</v>
      </c>
      <c r="R1513">
        <f t="shared" ca="1" si="646"/>
        <v>2.2564415439646509E-12</v>
      </c>
      <c r="S1513">
        <f t="shared" ca="1" si="665"/>
        <v>5.0000000192085281E-4</v>
      </c>
      <c r="T1513">
        <f t="shared" ca="1" si="666"/>
        <v>1</v>
      </c>
      <c r="U1513">
        <f t="shared" ca="1" si="647"/>
        <v>51800.26683766341</v>
      </c>
      <c r="V1513">
        <f t="shared" ca="1" si="648"/>
        <v>269361.38755584974</v>
      </c>
      <c r="W1513">
        <f t="shared" ca="1" si="649"/>
        <v>2.5998695052916441</v>
      </c>
      <c r="X1513">
        <f t="shared" ca="1" si="650"/>
        <v>1.8933671400629237E-4</v>
      </c>
      <c r="Y1513">
        <f t="shared" ca="1" si="651"/>
        <v>52432.147337663409</v>
      </c>
      <c r="Z1513">
        <f t="shared" ca="1" si="652"/>
        <v>52432.147337665236</v>
      </c>
      <c r="AA1513">
        <f t="shared" ca="1" si="653"/>
        <v>2.2562304480281055E-12</v>
      </c>
      <c r="AB1513">
        <f t="shared" ca="1" si="654"/>
        <v>-5.0000000192085281E-4</v>
      </c>
      <c r="AC1513">
        <f t="shared" ca="1" si="655"/>
        <v>1</v>
      </c>
      <c r="AD1513">
        <f ca="1">IF(V32="Supercritical",L1513,IF(V32="Subcritical",U1513,IF(AND(T1513=1,AC1513=1),IF((((F1513)*(L1513)^2)/2+(G1513)*(L1513)^3/3+(ABS(K1513)^2)/($I$5*MAX(((F1513)+(G1513)*(L1513))*(L1513),0.000001)))&gt;=(((F1513)*(U1513)^2)/2+(G1513)*(U1513)^3/3+(ABS(K1513)^2)/($I$5*MAX(((F1513)+(G1513)*(U1513))*(U1513),0.000001))),L1513,U1513),IF(T1513=1,L1513,IF(AC1513=1,U1513,MAX($D$16,POWER((ABS(K1513)^2)/($I$5*MAX(F1513,0.1)^2),1/3)))))))</f>
        <v>51800.26683766341</v>
      </c>
      <c r="AE1513">
        <f t="shared" ca="1" si="656"/>
        <v>52432.147337663409</v>
      </c>
      <c r="AF1513">
        <f t="shared" ca="1" si="657"/>
        <v>52432.147337665236</v>
      </c>
      <c r="AI1513">
        <v>0</v>
      </c>
      <c r="AJ1513">
        <v>0</v>
      </c>
      <c r="AK1513">
        <f t="shared" si="658"/>
        <v>0</v>
      </c>
      <c r="AL1513">
        <f t="shared" si="667"/>
        <v>0</v>
      </c>
      <c r="AM1513">
        <f t="shared" ca="1" si="659"/>
        <v>2.6560383008097266E-7</v>
      </c>
      <c r="AN1513" t="str">
        <f t="shared" ca="1" si="660"/>
        <v>Subcritical</v>
      </c>
      <c r="AO1513">
        <f t="shared" ca="1" si="661"/>
        <v>2.2562304480281055E-12</v>
      </c>
    </row>
    <row r="1514" spans="1:41" x14ac:dyDescent="0.35">
      <c r="A1514">
        <v>1365</v>
      </c>
      <c r="B1514">
        <v>1363.8889999999999</v>
      </c>
      <c r="C1514">
        <v>616065.78399999999</v>
      </c>
      <c r="D1514">
        <v>3096640.3739999998</v>
      </c>
      <c r="E1514">
        <v>631.88</v>
      </c>
      <c r="F1514">
        <v>5.2</v>
      </c>
      <c r="G1514">
        <v>0</v>
      </c>
      <c r="H1514" t="s">
        <v>186</v>
      </c>
      <c r="I1514">
        <v>5.7000000000000002E-2</v>
      </c>
      <c r="J1514">
        <f t="shared" si="662"/>
        <v>1</v>
      </c>
      <c r="K1514">
        <f t="shared" si="663"/>
        <v>51</v>
      </c>
      <c r="L1514">
        <f t="shared" ca="1" si="664"/>
        <v>51797.843837663619</v>
      </c>
      <c r="M1514">
        <f t="shared" ca="1" si="641"/>
        <v>269348.78795585083</v>
      </c>
      <c r="N1514">
        <f t="shared" ca="1" si="642"/>
        <v>2.5998694991876676</v>
      </c>
      <c r="O1514">
        <f t="shared" ca="1" si="643"/>
        <v>1.8934557080078435E-4</v>
      </c>
      <c r="P1514">
        <f t="shared" ca="1" si="644"/>
        <v>52429.723837663616</v>
      </c>
      <c r="Q1514">
        <f t="shared" ca="1" si="645"/>
        <v>52429.723837665442</v>
      </c>
      <c r="R1514">
        <f t="shared" ca="1" si="646"/>
        <v>2.2564415439646509E-12</v>
      </c>
      <c r="S1514">
        <f t="shared" ca="1" si="665"/>
        <v>5.0000000192085281E-4</v>
      </c>
      <c r="T1514">
        <f t="shared" ca="1" si="666"/>
        <v>1</v>
      </c>
      <c r="U1514">
        <f t="shared" ca="1" si="647"/>
        <v>51800.26683766341</v>
      </c>
      <c r="V1514">
        <f t="shared" ca="1" si="648"/>
        <v>269361.38755584974</v>
      </c>
      <c r="W1514">
        <f t="shared" ca="1" si="649"/>
        <v>2.5998695052916441</v>
      </c>
      <c r="X1514">
        <f t="shared" ca="1" si="650"/>
        <v>1.8933671400629237E-4</v>
      </c>
      <c r="Y1514">
        <f t="shared" ca="1" si="651"/>
        <v>52432.146837663407</v>
      </c>
      <c r="Z1514">
        <f t="shared" ca="1" si="652"/>
        <v>52432.146837665234</v>
      </c>
      <c r="AA1514">
        <f t="shared" ca="1" si="653"/>
        <v>2.2562304480281055E-12</v>
      </c>
      <c r="AB1514">
        <f t="shared" ca="1" si="654"/>
        <v>-4.999999946448952E-4</v>
      </c>
      <c r="AC1514">
        <f t="shared" ca="1" si="655"/>
        <v>1</v>
      </c>
      <c r="AD1514">
        <f ca="1">IF(V32="Supercritical",L1514,IF(V32="Subcritical",U1514,IF(AND(T1514=1,AC1514=1),IF((((F1514)*(L1514)^2)/2+(G1514)*(L1514)^3/3+(ABS(K1514)^2)/($I$5*MAX(((F1514)+(G1514)*(L1514))*(L1514),0.000001)))&gt;=(((F1514)*(U1514)^2)/2+(G1514)*(U1514)^3/3+(ABS(K1514)^2)/($I$5*MAX(((F1514)+(G1514)*(U1514))*(U1514),0.000001))),L1514,U1514),IF(T1514=1,L1514,IF(AC1514=1,U1514,MAX($D$16,POWER((ABS(K1514)^2)/($I$5*MAX(F1514,0.1)^2),1/3)))))))</f>
        <v>51800.26683766341</v>
      </c>
      <c r="AE1514">
        <f t="shared" ca="1" si="656"/>
        <v>52432.146837663407</v>
      </c>
      <c r="AF1514">
        <f t="shared" ca="1" si="657"/>
        <v>52432.146837665234</v>
      </c>
      <c r="AI1514">
        <v>0</v>
      </c>
      <c r="AJ1514">
        <v>0</v>
      </c>
      <c r="AK1514">
        <f t="shared" si="658"/>
        <v>0</v>
      </c>
      <c r="AL1514">
        <f t="shared" si="667"/>
        <v>0</v>
      </c>
      <c r="AM1514">
        <f t="shared" ca="1" si="659"/>
        <v>2.6560383008097266E-7</v>
      </c>
      <c r="AN1514" t="str">
        <f t="shared" ca="1" si="660"/>
        <v>Subcritical</v>
      </c>
      <c r="AO1514">
        <f t="shared" ca="1" si="661"/>
        <v>2.2562304480281055E-12</v>
      </c>
    </row>
    <row r="1515" spans="1:41" x14ac:dyDescent="0.35">
      <c r="A1515">
        <v>1366</v>
      </c>
      <c r="B1515">
        <v>1364.8889999999999</v>
      </c>
      <c r="C1515">
        <v>616065.74100000004</v>
      </c>
      <c r="D1515">
        <v>3096639.375</v>
      </c>
      <c r="E1515">
        <v>631.87950000000001</v>
      </c>
      <c r="F1515">
        <v>5.2</v>
      </c>
      <c r="G1515">
        <v>0</v>
      </c>
      <c r="H1515" t="s">
        <v>186</v>
      </c>
      <c r="I1515">
        <v>5.7000000000000002E-2</v>
      </c>
      <c r="J1515">
        <f t="shared" si="662"/>
        <v>1</v>
      </c>
      <c r="K1515">
        <f t="shared" si="663"/>
        <v>51</v>
      </c>
      <c r="L1515">
        <f t="shared" ca="1" si="664"/>
        <v>51797.843837663619</v>
      </c>
      <c r="M1515">
        <f t="shared" ca="1" si="641"/>
        <v>269348.78795585083</v>
      </c>
      <c r="N1515">
        <f t="shared" ca="1" si="642"/>
        <v>2.5998694991876676</v>
      </c>
      <c r="O1515">
        <f t="shared" ca="1" si="643"/>
        <v>1.8934557080078435E-4</v>
      </c>
      <c r="P1515">
        <f t="shared" ca="1" si="644"/>
        <v>52429.723337663621</v>
      </c>
      <c r="Q1515">
        <f t="shared" ca="1" si="645"/>
        <v>52429.723337665448</v>
      </c>
      <c r="R1515">
        <f t="shared" ca="1" si="646"/>
        <v>2.2564415439646509E-12</v>
      </c>
      <c r="S1515">
        <f t="shared" ca="1" si="665"/>
        <v>4.999999946448952E-4</v>
      </c>
      <c r="T1515">
        <f t="shared" ca="1" si="666"/>
        <v>1</v>
      </c>
      <c r="U1515">
        <f t="shared" ca="1" si="647"/>
        <v>51800.26683766341</v>
      </c>
      <c r="V1515">
        <f t="shared" ca="1" si="648"/>
        <v>269361.38755584974</v>
      </c>
      <c r="W1515">
        <f t="shared" ca="1" si="649"/>
        <v>2.5998695052916441</v>
      </c>
      <c r="X1515">
        <f t="shared" ca="1" si="650"/>
        <v>1.8933671400629237E-4</v>
      </c>
      <c r="Y1515">
        <f t="shared" ca="1" si="651"/>
        <v>52432.146337663413</v>
      </c>
      <c r="Z1515">
        <f t="shared" ca="1" si="652"/>
        <v>52432.146337665239</v>
      </c>
      <c r="AA1515">
        <f t="shared" ca="1" si="653"/>
        <v>2.2562304480281055E-12</v>
      </c>
      <c r="AB1515">
        <f t="shared" ca="1" si="654"/>
        <v>-5.0000000192085281E-4</v>
      </c>
      <c r="AC1515">
        <f t="shared" ca="1" si="655"/>
        <v>1</v>
      </c>
      <c r="AD1515">
        <f ca="1">IF(V32="Supercritical",L1515,IF(V32="Subcritical",U1515,IF(AND(T1515=1,AC1515=1),IF((((F1515)*(L1515)^2)/2+(G1515)*(L1515)^3/3+(ABS(K1515)^2)/($I$5*MAX(((F1515)+(G1515)*(L1515))*(L1515),0.000001)))&gt;=(((F1515)*(U1515)^2)/2+(G1515)*(U1515)^3/3+(ABS(K1515)^2)/($I$5*MAX(((F1515)+(G1515)*(U1515))*(U1515),0.000001))),L1515,U1515),IF(T1515=1,L1515,IF(AC1515=1,U1515,MAX($D$16,POWER((ABS(K1515)^2)/($I$5*MAX(F1515,0.1)^2),1/3)))))))</f>
        <v>51800.26683766341</v>
      </c>
      <c r="AE1515">
        <f t="shared" ca="1" si="656"/>
        <v>52432.146337663413</v>
      </c>
      <c r="AF1515">
        <f t="shared" ca="1" si="657"/>
        <v>52432.146337665239</v>
      </c>
      <c r="AI1515">
        <v>0</v>
      </c>
      <c r="AJ1515">
        <v>0</v>
      </c>
      <c r="AK1515">
        <f t="shared" si="658"/>
        <v>0</v>
      </c>
      <c r="AL1515">
        <f t="shared" si="667"/>
        <v>0</v>
      </c>
      <c r="AM1515">
        <f t="shared" ca="1" si="659"/>
        <v>2.6560383008097266E-7</v>
      </c>
      <c r="AN1515" t="str">
        <f t="shared" ca="1" si="660"/>
        <v>Subcritical</v>
      </c>
      <c r="AO1515">
        <f t="shared" ca="1" si="661"/>
        <v>2.2562304480281055E-12</v>
      </c>
    </row>
    <row r="1516" spans="1:41" x14ac:dyDescent="0.35">
      <c r="A1516">
        <v>1367</v>
      </c>
      <c r="B1516">
        <v>1365.8889999999999</v>
      </c>
      <c r="C1516">
        <v>616065.69900000002</v>
      </c>
      <c r="D1516">
        <v>3096638.3760000002</v>
      </c>
      <c r="E1516">
        <v>631.87900000000002</v>
      </c>
      <c r="F1516">
        <v>5.2</v>
      </c>
      <c r="G1516">
        <v>0</v>
      </c>
      <c r="H1516" t="s">
        <v>186</v>
      </c>
      <c r="I1516">
        <v>0.57499999999999996</v>
      </c>
      <c r="J1516">
        <f t="shared" si="662"/>
        <v>1</v>
      </c>
      <c r="K1516">
        <f t="shared" si="663"/>
        <v>51</v>
      </c>
      <c r="L1516">
        <f t="shared" ca="1" si="664"/>
        <v>51797.843837663619</v>
      </c>
      <c r="M1516">
        <f t="shared" ca="1" si="641"/>
        <v>269348.78795585083</v>
      </c>
      <c r="N1516">
        <f t="shared" ca="1" si="642"/>
        <v>2.5998694991876676</v>
      </c>
      <c r="O1516">
        <f t="shared" ca="1" si="643"/>
        <v>1.8934557080078435E-4</v>
      </c>
      <c r="P1516">
        <f t="shared" ca="1" si="644"/>
        <v>52429.722837663619</v>
      </c>
      <c r="Q1516">
        <f t="shared" ca="1" si="645"/>
        <v>52429.722837665446</v>
      </c>
      <c r="R1516">
        <f t="shared" ca="1" si="646"/>
        <v>2.2564415439646509E-12</v>
      </c>
      <c r="S1516">
        <f t="shared" ca="1" si="665"/>
        <v>5.0000000192085281E-4</v>
      </c>
      <c r="T1516">
        <f t="shared" ca="1" si="666"/>
        <v>1</v>
      </c>
      <c r="U1516">
        <f t="shared" ca="1" si="647"/>
        <v>51800.26683766341</v>
      </c>
      <c r="V1516">
        <f t="shared" ca="1" si="648"/>
        <v>269361.38755584974</v>
      </c>
      <c r="W1516">
        <f t="shared" ca="1" si="649"/>
        <v>2.5998695052916441</v>
      </c>
      <c r="X1516">
        <f t="shared" ca="1" si="650"/>
        <v>1.8933671400629237E-4</v>
      </c>
      <c r="Y1516">
        <f t="shared" ca="1" si="651"/>
        <v>52432.145837663411</v>
      </c>
      <c r="Z1516">
        <f t="shared" ca="1" si="652"/>
        <v>52432.145837665237</v>
      </c>
      <c r="AA1516">
        <f t="shared" ca="1" si="653"/>
        <v>2.2562304480281055E-12</v>
      </c>
      <c r="AB1516">
        <f t="shared" ca="1" si="654"/>
        <v>-4.999999946448952E-4</v>
      </c>
      <c r="AC1516">
        <f t="shared" ca="1" si="655"/>
        <v>1</v>
      </c>
      <c r="AD1516">
        <f ca="1">IF(V32="Supercritical",L1516,IF(V32="Subcritical",U1516,IF(AND(T1516=1,AC1516=1),IF((((F1516)*(L1516)^2)/2+(G1516)*(L1516)^3/3+(ABS(K1516)^2)/($I$5*MAX(((F1516)+(G1516)*(L1516))*(L1516),0.000001)))&gt;=(((F1516)*(U1516)^2)/2+(G1516)*(U1516)^3/3+(ABS(K1516)^2)/($I$5*MAX(((F1516)+(G1516)*(U1516))*(U1516),0.000001))),L1516,U1516),IF(T1516=1,L1516,IF(AC1516=1,U1516,MAX($D$16,POWER((ABS(K1516)^2)/($I$5*MAX(F1516,0.1)^2),1/3)))))))</f>
        <v>51800.26683766341</v>
      </c>
      <c r="AE1516">
        <f t="shared" ca="1" si="656"/>
        <v>52432.145837663411</v>
      </c>
      <c r="AF1516">
        <f t="shared" ca="1" si="657"/>
        <v>52432.145837665237</v>
      </c>
      <c r="AI1516">
        <v>0</v>
      </c>
      <c r="AJ1516">
        <v>0</v>
      </c>
      <c r="AK1516">
        <f t="shared" si="658"/>
        <v>0</v>
      </c>
      <c r="AL1516">
        <f t="shared" si="667"/>
        <v>0</v>
      </c>
      <c r="AM1516">
        <f t="shared" ca="1" si="659"/>
        <v>2.6560383008097266E-7</v>
      </c>
      <c r="AN1516" t="str">
        <f t="shared" ca="1" si="660"/>
        <v>Subcritical</v>
      </c>
      <c r="AO1516">
        <f t="shared" ca="1" si="661"/>
        <v>2.2562304480281055E-12</v>
      </c>
    </row>
    <row r="1517" spans="1:41" x14ac:dyDescent="0.35">
      <c r="A1517">
        <v>1368</v>
      </c>
      <c r="B1517">
        <v>1366.89</v>
      </c>
      <c r="C1517">
        <v>616065.66700000002</v>
      </c>
      <c r="D1517">
        <v>3096637.3760000002</v>
      </c>
      <c r="E1517">
        <v>631.87850000000003</v>
      </c>
      <c r="F1517">
        <v>5.1989999999999998</v>
      </c>
      <c r="G1517">
        <v>0</v>
      </c>
      <c r="H1517" t="s">
        <v>186</v>
      </c>
      <c r="I1517">
        <v>2.177</v>
      </c>
      <c r="J1517">
        <f t="shared" si="662"/>
        <v>1.0010000000002037</v>
      </c>
      <c r="K1517">
        <f t="shared" si="663"/>
        <v>51</v>
      </c>
      <c r="L1517">
        <f t="shared" ca="1" si="664"/>
        <v>51797.843837663619</v>
      </c>
      <c r="M1517">
        <f t="shared" ca="1" si="641"/>
        <v>269296.99011201313</v>
      </c>
      <c r="N1517">
        <f t="shared" ca="1" si="642"/>
        <v>2.5993695493742019</v>
      </c>
      <c r="O1517">
        <f t="shared" ca="1" si="643"/>
        <v>1.8938199041432558E-4</v>
      </c>
      <c r="P1517">
        <f t="shared" ca="1" si="644"/>
        <v>52429.722337663618</v>
      </c>
      <c r="Q1517">
        <f t="shared" ca="1" si="645"/>
        <v>52429.722337665444</v>
      </c>
      <c r="R1517">
        <f t="shared" ca="1" si="646"/>
        <v>2.2578885546811469E-12</v>
      </c>
      <c r="S1517">
        <f t="shared" ca="1" si="665"/>
        <v>4.999999946448952E-4</v>
      </c>
      <c r="T1517">
        <f t="shared" ca="1" si="666"/>
        <v>1</v>
      </c>
      <c r="U1517">
        <f t="shared" ca="1" si="647"/>
        <v>51800.26683766341</v>
      </c>
      <c r="V1517">
        <f t="shared" ca="1" si="648"/>
        <v>269309.58728901204</v>
      </c>
      <c r="W1517">
        <f t="shared" ca="1" si="649"/>
        <v>2.5993695554758309</v>
      </c>
      <c r="X1517">
        <f t="shared" ca="1" si="650"/>
        <v>1.8937313191627627E-4</v>
      </c>
      <c r="Y1517">
        <f t="shared" ca="1" si="651"/>
        <v>52432.145337663409</v>
      </c>
      <c r="Z1517">
        <f t="shared" ca="1" si="652"/>
        <v>52432.145337665235</v>
      </c>
      <c r="AA1517">
        <f t="shared" ca="1" si="653"/>
        <v>2.2576773233743694E-12</v>
      </c>
      <c r="AB1517">
        <f t="shared" ca="1" si="654"/>
        <v>-5.0000000192085281E-4</v>
      </c>
      <c r="AC1517">
        <f t="shared" ca="1" si="655"/>
        <v>1</v>
      </c>
      <c r="AD1517">
        <f ca="1">IF(V32="Supercritical",L1517,IF(V32="Subcritical",U1517,IF(AND(T1517=1,AC1517=1),IF((((F1517)*(L1517)^2)/2+(G1517)*(L1517)^3/3+(ABS(K1517)^2)/($I$5*MAX(((F1517)+(G1517)*(L1517))*(L1517),0.000001)))&gt;=(((F1517)*(U1517)^2)/2+(G1517)*(U1517)^3/3+(ABS(K1517)^2)/($I$5*MAX(((F1517)+(G1517)*(U1517))*(U1517),0.000001))),L1517,U1517),IF(T1517=1,L1517,IF(AC1517=1,U1517,MAX($D$16,POWER((ABS(K1517)^2)/($I$5*MAX(F1517,0.1)^2),1/3)))))))</f>
        <v>51800.26683766341</v>
      </c>
      <c r="AE1517">
        <f t="shared" ca="1" si="656"/>
        <v>52432.145337663409</v>
      </c>
      <c r="AF1517">
        <f t="shared" ca="1" si="657"/>
        <v>52432.145337665235</v>
      </c>
      <c r="AI1517">
        <v>0</v>
      </c>
      <c r="AJ1517">
        <v>0</v>
      </c>
      <c r="AK1517">
        <f t="shared" si="658"/>
        <v>0</v>
      </c>
      <c r="AL1517">
        <f t="shared" si="667"/>
        <v>0</v>
      </c>
      <c r="AM1517">
        <f t="shared" ca="1" si="659"/>
        <v>2.6565491756511984E-7</v>
      </c>
      <c r="AN1517" t="str">
        <f t="shared" ca="1" si="660"/>
        <v>Subcritical</v>
      </c>
      <c r="AO1517">
        <f t="shared" ca="1" si="661"/>
        <v>2.2576773233743694E-12</v>
      </c>
    </row>
    <row r="1518" spans="1:41" x14ac:dyDescent="0.35">
      <c r="A1518">
        <v>1369</v>
      </c>
      <c r="B1518">
        <v>1367.89</v>
      </c>
      <c r="C1518">
        <v>616065.67299999995</v>
      </c>
      <c r="D1518">
        <v>3096636.3760000002</v>
      </c>
      <c r="E1518">
        <v>631.87800000000004</v>
      </c>
      <c r="F1518">
        <v>5.1989999999999998</v>
      </c>
      <c r="G1518">
        <v>0</v>
      </c>
      <c r="H1518" t="s">
        <v>186</v>
      </c>
      <c r="I1518">
        <v>5.7000000000000002E-2</v>
      </c>
      <c r="J1518">
        <f t="shared" si="662"/>
        <v>1</v>
      </c>
      <c r="K1518">
        <f t="shared" si="663"/>
        <v>51</v>
      </c>
      <c r="L1518">
        <f t="shared" ca="1" si="664"/>
        <v>51797.843837663619</v>
      </c>
      <c r="M1518">
        <f t="shared" ca="1" si="641"/>
        <v>269296.99011201313</v>
      </c>
      <c r="N1518">
        <f t="shared" ca="1" si="642"/>
        <v>2.5993695493742019</v>
      </c>
      <c r="O1518">
        <f t="shared" ca="1" si="643"/>
        <v>1.8938199041432558E-4</v>
      </c>
      <c r="P1518">
        <f t="shared" ca="1" si="644"/>
        <v>52429.721837663616</v>
      </c>
      <c r="Q1518">
        <f t="shared" ca="1" si="645"/>
        <v>52429.721837665442</v>
      </c>
      <c r="R1518">
        <f t="shared" ca="1" si="646"/>
        <v>2.2578885546811469E-12</v>
      </c>
      <c r="S1518">
        <f t="shared" ca="1" si="665"/>
        <v>5.0000000192085281E-4</v>
      </c>
      <c r="T1518">
        <f t="shared" ca="1" si="666"/>
        <v>1</v>
      </c>
      <c r="U1518">
        <f t="shared" ca="1" si="647"/>
        <v>51800.26683766341</v>
      </c>
      <c r="V1518">
        <f t="shared" ca="1" si="648"/>
        <v>269309.58728901204</v>
      </c>
      <c r="W1518">
        <f t="shared" ca="1" si="649"/>
        <v>2.5993695554758309</v>
      </c>
      <c r="X1518">
        <f t="shared" ca="1" si="650"/>
        <v>1.8937313191627627E-4</v>
      </c>
      <c r="Y1518">
        <f t="shared" ca="1" si="651"/>
        <v>52432.144837663407</v>
      </c>
      <c r="Z1518">
        <f t="shared" ca="1" si="652"/>
        <v>52432.144837665233</v>
      </c>
      <c r="AA1518">
        <f t="shared" ca="1" si="653"/>
        <v>2.2576773233743694E-12</v>
      </c>
      <c r="AB1518">
        <f t="shared" ca="1" si="654"/>
        <v>-1.9999999494757503E-4</v>
      </c>
      <c r="AC1518">
        <f t="shared" ca="1" si="655"/>
        <v>1</v>
      </c>
      <c r="AD1518">
        <f ca="1">IF(V32="Supercritical",L1518,IF(V32="Subcritical",U1518,IF(AND(T1518=1,AC1518=1),IF((((F1518)*(L1518)^2)/2+(G1518)*(L1518)^3/3+(ABS(K1518)^2)/($I$5*MAX(((F1518)+(G1518)*(L1518))*(L1518),0.000001)))&gt;=(((F1518)*(U1518)^2)/2+(G1518)*(U1518)^3/3+(ABS(K1518)^2)/($I$5*MAX(((F1518)+(G1518)*(U1518))*(U1518),0.000001))),L1518,U1518),IF(T1518=1,L1518,IF(AC1518=1,U1518,MAX($D$16,POWER((ABS(K1518)^2)/($I$5*MAX(F1518,0.1)^2),1/3)))))))</f>
        <v>51800.26683766341</v>
      </c>
      <c r="AE1518">
        <f t="shared" ca="1" si="656"/>
        <v>52432.144837663407</v>
      </c>
      <c r="AF1518">
        <f t="shared" ca="1" si="657"/>
        <v>52432.144837665233</v>
      </c>
      <c r="AI1518">
        <v>0</v>
      </c>
      <c r="AJ1518">
        <v>0</v>
      </c>
      <c r="AK1518">
        <f t="shared" si="658"/>
        <v>0</v>
      </c>
      <c r="AL1518">
        <f t="shared" si="667"/>
        <v>0</v>
      </c>
      <c r="AM1518">
        <f t="shared" ca="1" si="659"/>
        <v>2.6565491756511984E-7</v>
      </c>
      <c r="AN1518" t="str">
        <f t="shared" ca="1" si="660"/>
        <v>Subcritical</v>
      </c>
      <c r="AO1518">
        <f t="shared" ca="1" si="661"/>
        <v>2.2576773233743694E-12</v>
      </c>
    </row>
    <row r="1519" spans="1:41" x14ac:dyDescent="0.35">
      <c r="A1519">
        <v>1370</v>
      </c>
      <c r="B1519">
        <v>1368.89</v>
      </c>
      <c r="C1519">
        <v>616065.68000000005</v>
      </c>
      <c r="D1519">
        <v>3096635.3760000002</v>
      </c>
      <c r="E1519">
        <v>631.87779999999998</v>
      </c>
      <c r="F1519">
        <v>5.1989999999999998</v>
      </c>
      <c r="G1519">
        <v>0</v>
      </c>
      <c r="H1519" t="s">
        <v>186</v>
      </c>
      <c r="I1519">
        <v>5.7000000000000002E-2</v>
      </c>
      <c r="J1519">
        <f t="shared" si="662"/>
        <v>1</v>
      </c>
      <c r="K1519">
        <f t="shared" si="663"/>
        <v>51</v>
      </c>
      <c r="L1519">
        <f t="shared" ca="1" si="664"/>
        <v>51797.843837663619</v>
      </c>
      <c r="M1519">
        <f t="shared" ca="1" si="641"/>
        <v>269296.99011201313</v>
      </c>
      <c r="N1519">
        <f t="shared" ca="1" si="642"/>
        <v>2.5993695493742019</v>
      </c>
      <c r="O1519">
        <f t="shared" ca="1" si="643"/>
        <v>1.8938199041432558E-4</v>
      </c>
      <c r="P1519">
        <f t="shared" ca="1" si="644"/>
        <v>52429.721637663621</v>
      </c>
      <c r="Q1519">
        <f t="shared" ca="1" si="645"/>
        <v>52429.721637665447</v>
      </c>
      <c r="R1519">
        <f t="shared" ca="1" si="646"/>
        <v>2.2578885546811469E-12</v>
      </c>
      <c r="S1519">
        <f t="shared" ca="1" si="665"/>
        <v>1.9999999494757503E-4</v>
      </c>
      <c r="T1519">
        <f t="shared" ca="1" si="666"/>
        <v>1</v>
      </c>
      <c r="U1519">
        <f t="shared" ca="1" si="647"/>
        <v>51800.26683766341</v>
      </c>
      <c r="V1519">
        <f t="shared" ca="1" si="648"/>
        <v>269309.58728901204</v>
      </c>
      <c r="W1519">
        <f t="shared" ca="1" si="649"/>
        <v>2.5993695554758309</v>
      </c>
      <c r="X1519">
        <f t="shared" ca="1" si="650"/>
        <v>1.8937313191627627E-4</v>
      </c>
      <c r="Y1519">
        <f t="shared" ca="1" si="651"/>
        <v>52432.144637663412</v>
      </c>
      <c r="Z1519">
        <f t="shared" ca="1" si="652"/>
        <v>52432.144637665238</v>
      </c>
      <c r="AA1519">
        <f t="shared" ca="1" si="653"/>
        <v>2.2576773233743694E-12</v>
      </c>
      <c r="AB1519">
        <f t="shared" ca="1" si="654"/>
        <v>-2.0000000222353265E-4</v>
      </c>
      <c r="AC1519">
        <f t="shared" ca="1" si="655"/>
        <v>1</v>
      </c>
      <c r="AD1519">
        <f ca="1">IF(V32="Supercritical",L1519,IF(V32="Subcritical",U1519,IF(AND(T1519=1,AC1519=1),IF((((F1519)*(L1519)^2)/2+(G1519)*(L1519)^3/3+(ABS(K1519)^2)/($I$5*MAX(((F1519)+(G1519)*(L1519))*(L1519),0.000001)))&gt;=(((F1519)*(U1519)^2)/2+(G1519)*(U1519)^3/3+(ABS(K1519)^2)/($I$5*MAX(((F1519)+(G1519)*(U1519))*(U1519),0.000001))),L1519,U1519),IF(T1519=1,L1519,IF(AC1519=1,U1519,MAX($D$16,POWER((ABS(K1519)^2)/($I$5*MAX(F1519,0.1)^2),1/3)))))))</f>
        <v>51800.26683766341</v>
      </c>
      <c r="AE1519">
        <f t="shared" ca="1" si="656"/>
        <v>52432.144637663412</v>
      </c>
      <c r="AF1519">
        <f t="shared" ca="1" si="657"/>
        <v>52432.144637665238</v>
      </c>
      <c r="AI1519">
        <v>0</v>
      </c>
      <c r="AJ1519">
        <v>0</v>
      </c>
      <c r="AK1519">
        <f t="shared" si="658"/>
        <v>0</v>
      </c>
      <c r="AL1519">
        <f t="shared" si="667"/>
        <v>0</v>
      </c>
      <c r="AM1519">
        <f t="shared" ca="1" si="659"/>
        <v>2.6565491756511984E-7</v>
      </c>
      <c r="AN1519" t="str">
        <f t="shared" ca="1" si="660"/>
        <v>Subcritical</v>
      </c>
      <c r="AO1519">
        <f t="shared" ca="1" si="661"/>
        <v>2.2576773233743694E-12</v>
      </c>
    </row>
    <row r="1520" spans="1:41" x14ac:dyDescent="0.35">
      <c r="A1520">
        <v>1371</v>
      </c>
      <c r="B1520">
        <v>1369.89</v>
      </c>
      <c r="C1520">
        <v>616065.68599999999</v>
      </c>
      <c r="D1520">
        <v>3096634.3760000002</v>
      </c>
      <c r="E1520">
        <v>631.87760000000003</v>
      </c>
      <c r="F1520">
        <v>5.1989999999999998</v>
      </c>
      <c r="G1520">
        <v>0</v>
      </c>
      <c r="H1520" t="s">
        <v>186</v>
      </c>
      <c r="I1520">
        <v>0</v>
      </c>
      <c r="J1520">
        <f t="shared" si="662"/>
        <v>1</v>
      </c>
      <c r="K1520">
        <f t="shared" si="663"/>
        <v>51</v>
      </c>
      <c r="L1520">
        <f t="shared" ca="1" si="664"/>
        <v>51797.843837663619</v>
      </c>
      <c r="M1520">
        <f t="shared" ca="1" si="641"/>
        <v>269296.99011201313</v>
      </c>
      <c r="N1520">
        <f t="shared" ca="1" si="642"/>
        <v>2.5993695493742019</v>
      </c>
      <c r="O1520">
        <f t="shared" ca="1" si="643"/>
        <v>1.8938199041432558E-4</v>
      </c>
      <c r="P1520">
        <f t="shared" ca="1" si="644"/>
        <v>52429.721437663618</v>
      </c>
      <c r="Q1520">
        <f t="shared" ca="1" si="645"/>
        <v>52429.721437665445</v>
      </c>
      <c r="R1520">
        <f t="shared" ca="1" si="646"/>
        <v>2.2578885546811469E-12</v>
      </c>
      <c r="S1520">
        <f t="shared" ca="1" si="665"/>
        <v>2.0000000222353265E-4</v>
      </c>
      <c r="T1520">
        <f t="shared" ca="1" si="666"/>
        <v>1</v>
      </c>
      <c r="U1520">
        <f t="shared" ca="1" si="647"/>
        <v>51800.26683766341</v>
      </c>
      <c r="V1520">
        <f t="shared" ca="1" si="648"/>
        <v>269309.58728901204</v>
      </c>
      <c r="W1520">
        <f t="shared" ca="1" si="649"/>
        <v>2.5993695554758309</v>
      </c>
      <c r="X1520">
        <f t="shared" ca="1" si="650"/>
        <v>1.8937313191627627E-4</v>
      </c>
      <c r="Y1520">
        <f t="shared" ca="1" si="651"/>
        <v>52432.14443766341</v>
      </c>
      <c r="Z1520">
        <f t="shared" ca="1" si="652"/>
        <v>52432.144437665236</v>
      </c>
      <c r="AA1520">
        <f t="shared" ca="1" si="653"/>
        <v>2.2576773233743694E-12</v>
      </c>
      <c r="AB1520">
        <f t="shared" ca="1" si="654"/>
        <v>-2.0000000222353265E-4</v>
      </c>
      <c r="AC1520">
        <f t="shared" ca="1" si="655"/>
        <v>1</v>
      </c>
      <c r="AD1520">
        <f ca="1">IF(V32="Supercritical",L1520,IF(V32="Subcritical",U1520,IF(AND(T1520=1,AC1520=1),IF((((F1520)*(L1520)^2)/2+(G1520)*(L1520)^3/3+(ABS(K1520)^2)/($I$5*MAX(((F1520)+(G1520)*(L1520))*(L1520),0.000001)))&gt;=(((F1520)*(U1520)^2)/2+(G1520)*(U1520)^3/3+(ABS(K1520)^2)/($I$5*MAX(((F1520)+(G1520)*(U1520))*(U1520),0.000001))),L1520,U1520),IF(T1520=1,L1520,IF(AC1520=1,U1520,MAX($D$16,POWER((ABS(K1520)^2)/($I$5*MAX(F1520,0.1)^2),1/3)))))))</f>
        <v>51800.26683766341</v>
      </c>
      <c r="AE1520">
        <f t="shared" ca="1" si="656"/>
        <v>52432.14443766341</v>
      </c>
      <c r="AF1520">
        <f t="shared" ca="1" si="657"/>
        <v>52432.144437665236</v>
      </c>
      <c r="AI1520">
        <v>0</v>
      </c>
      <c r="AJ1520">
        <v>0</v>
      </c>
      <c r="AK1520">
        <f t="shared" si="658"/>
        <v>0</v>
      </c>
      <c r="AL1520">
        <f t="shared" si="667"/>
        <v>0</v>
      </c>
      <c r="AM1520">
        <f t="shared" ca="1" si="659"/>
        <v>2.6565491756511984E-7</v>
      </c>
      <c r="AN1520" t="str">
        <f t="shared" ca="1" si="660"/>
        <v>Subcritical</v>
      </c>
      <c r="AO1520">
        <f t="shared" ca="1" si="661"/>
        <v>2.2576773233743694E-12</v>
      </c>
    </row>
    <row r="1521" spans="1:41" x14ac:dyDescent="0.35">
      <c r="A1521">
        <v>1372</v>
      </c>
      <c r="B1521">
        <v>1370.89</v>
      </c>
      <c r="C1521">
        <v>616065.69200000004</v>
      </c>
      <c r="D1521">
        <v>3096633.3760000002</v>
      </c>
      <c r="E1521">
        <v>631.87739999999997</v>
      </c>
      <c r="F1521">
        <v>5.1989999999999998</v>
      </c>
      <c r="G1521">
        <v>0</v>
      </c>
      <c r="H1521" t="s">
        <v>186</v>
      </c>
      <c r="I1521">
        <v>0</v>
      </c>
      <c r="J1521">
        <f t="shared" si="662"/>
        <v>1</v>
      </c>
      <c r="K1521">
        <f t="shared" si="663"/>
        <v>51</v>
      </c>
      <c r="L1521">
        <f t="shared" ca="1" si="664"/>
        <v>51797.843837663619</v>
      </c>
      <c r="M1521">
        <f t="shared" ca="1" si="641"/>
        <v>269296.99011201313</v>
      </c>
      <c r="N1521">
        <f t="shared" ca="1" si="642"/>
        <v>2.5993695493742019</v>
      </c>
      <c r="O1521">
        <f t="shared" ca="1" si="643"/>
        <v>1.8938199041432558E-4</v>
      </c>
      <c r="P1521">
        <f t="shared" ca="1" si="644"/>
        <v>52429.721237663616</v>
      </c>
      <c r="Q1521">
        <f t="shared" ca="1" si="645"/>
        <v>52429.721237665442</v>
      </c>
      <c r="R1521">
        <f t="shared" ca="1" si="646"/>
        <v>2.2578885546811469E-12</v>
      </c>
      <c r="S1521">
        <f t="shared" ca="1" si="665"/>
        <v>2.0000000222353265E-4</v>
      </c>
      <c r="T1521">
        <f t="shared" ca="1" si="666"/>
        <v>1</v>
      </c>
      <c r="U1521">
        <f t="shared" ca="1" si="647"/>
        <v>51800.26683766341</v>
      </c>
      <c r="V1521">
        <f t="shared" ca="1" si="648"/>
        <v>269309.58728901204</v>
      </c>
      <c r="W1521">
        <f t="shared" ca="1" si="649"/>
        <v>2.5993695554758309</v>
      </c>
      <c r="X1521">
        <f t="shared" ca="1" si="650"/>
        <v>1.8937313191627627E-4</v>
      </c>
      <c r="Y1521">
        <f t="shared" ca="1" si="651"/>
        <v>52432.144237663408</v>
      </c>
      <c r="Z1521">
        <f t="shared" ca="1" si="652"/>
        <v>52432.144237665234</v>
      </c>
      <c r="AA1521">
        <f t="shared" ca="1" si="653"/>
        <v>2.2576773233743694E-12</v>
      </c>
      <c r="AB1521">
        <f t="shared" ca="1" si="654"/>
        <v>-1.9999999494757503E-4</v>
      </c>
      <c r="AC1521">
        <f t="shared" ca="1" si="655"/>
        <v>1</v>
      </c>
      <c r="AD1521">
        <f ca="1">IF(V32="Supercritical",L1521,IF(V32="Subcritical",U1521,IF(AND(T1521=1,AC1521=1),IF((((F1521)*(L1521)^2)/2+(G1521)*(L1521)^3/3+(ABS(K1521)^2)/($I$5*MAX(((F1521)+(G1521)*(L1521))*(L1521),0.000001)))&gt;=(((F1521)*(U1521)^2)/2+(G1521)*(U1521)^3/3+(ABS(K1521)^2)/($I$5*MAX(((F1521)+(G1521)*(U1521))*(U1521),0.000001))),L1521,U1521),IF(T1521=1,L1521,IF(AC1521=1,U1521,MAX($D$16,POWER((ABS(K1521)^2)/($I$5*MAX(F1521,0.1)^2),1/3)))))))</f>
        <v>51800.26683766341</v>
      </c>
      <c r="AE1521">
        <f t="shared" ca="1" si="656"/>
        <v>52432.144237663408</v>
      </c>
      <c r="AF1521">
        <f t="shared" ca="1" si="657"/>
        <v>52432.144237665234</v>
      </c>
      <c r="AI1521">
        <v>0</v>
      </c>
      <c r="AJ1521">
        <v>0</v>
      </c>
      <c r="AK1521">
        <f t="shared" si="658"/>
        <v>0</v>
      </c>
      <c r="AL1521">
        <f t="shared" si="667"/>
        <v>0</v>
      </c>
      <c r="AM1521">
        <f t="shared" ca="1" si="659"/>
        <v>2.6565491756511984E-7</v>
      </c>
      <c r="AN1521" t="str">
        <f t="shared" ca="1" si="660"/>
        <v>Subcritical</v>
      </c>
      <c r="AO1521">
        <f t="shared" ca="1" si="661"/>
        <v>2.2576773233743694E-12</v>
      </c>
    </row>
    <row r="1522" spans="1:41" x14ac:dyDescent="0.35">
      <c r="A1522">
        <v>1373</v>
      </c>
      <c r="B1522">
        <v>1371.8889999999999</v>
      </c>
      <c r="C1522">
        <v>616065.69799999997</v>
      </c>
      <c r="D1522">
        <v>3096632.3769999999</v>
      </c>
      <c r="E1522">
        <v>631.87720000000002</v>
      </c>
      <c r="F1522">
        <v>5.2</v>
      </c>
      <c r="G1522">
        <v>0</v>
      </c>
      <c r="H1522" t="s">
        <v>186</v>
      </c>
      <c r="I1522">
        <v>5.7000000000000002E-2</v>
      </c>
      <c r="J1522">
        <f t="shared" si="662"/>
        <v>0.99899999999979627</v>
      </c>
      <c r="K1522">
        <f t="shared" si="663"/>
        <v>51</v>
      </c>
      <c r="L1522">
        <f t="shared" ca="1" si="664"/>
        <v>51797.843837663619</v>
      </c>
      <c r="M1522">
        <f t="shared" ca="1" si="641"/>
        <v>269348.78795585083</v>
      </c>
      <c r="N1522">
        <f t="shared" ca="1" si="642"/>
        <v>2.5998694991876676</v>
      </c>
      <c r="O1522">
        <f t="shared" ca="1" si="643"/>
        <v>1.8934557080078435E-4</v>
      </c>
      <c r="P1522">
        <f t="shared" ca="1" si="644"/>
        <v>52429.721037663621</v>
      </c>
      <c r="Q1522">
        <f t="shared" ca="1" si="645"/>
        <v>52429.721037665448</v>
      </c>
      <c r="R1522">
        <f t="shared" ca="1" si="646"/>
        <v>2.2564415439646509E-12</v>
      </c>
      <c r="S1522">
        <f t="shared" ca="1" si="665"/>
        <v>1.9999999494757503E-4</v>
      </c>
      <c r="T1522">
        <f t="shared" ca="1" si="666"/>
        <v>1</v>
      </c>
      <c r="U1522">
        <f t="shared" ca="1" si="647"/>
        <v>51800.26683766341</v>
      </c>
      <c r="V1522">
        <f t="shared" ca="1" si="648"/>
        <v>269361.38755584974</v>
      </c>
      <c r="W1522">
        <f t="shared" ca="1" si="649"/>
        <v>2.5998695052916441</v>
      </c>
      <c r="X1522">
        <f t="shared" ca="1" si="650"/>
        <v>1.8933671400629237E-4</v>
      </c>
      <c r="Y1522">
        <f t="shared" ca="1" si="651"/>
        <v>52432.144037663413</v>
      </c>
      <c r="Z1522">
        <f t="shared" ca="1" si="652"/>
        <v>52432.144037665239</v>
      </c>
      <c r="AA1522">
        <f t="shared" ca="1" si="653"/>
        <v>2.2562304480281055E-12</v>
      </c>
      <c r="AB1522">
        <f t="shared" ca="1" si="654"/>
        <v>-2.0000000222353265E-4</v>
      </c>
      <c r="AC1522">
        <f t="shared" ca="1" si="655"/>
        <v>1</v>
      </c>
      <c r="AD1522">
        <f ca="1">IF(V32="Supercritical",L1522,IF(V32="Subcritical",U1522,IF(AND(T1522=1,AC1522=1),IF((((F1522)*(L1522)^2)/2+(G1522)*(L1522)^3/3+(ABS(K1522)^2)/($I$5*MAX(((F1522)+(G1522)*(L1522))*(L1522),0.000001)))&gt;=(((F1522)*(U1522)^2)/2+(G1522)*(U1522)^3/3+(ABS(K1522)^2)/($I$5*MAX(((F1522)+(G1522)*(U1522))*(U1522),0.000001))),L1522,U1522),IF(T1522=1,L1522,IF(AC1522=1,U1522,MAX($D$16,POWER((ABS(K1522)^2)/($I$5*MAX(F1522,0.1)^2),1/3)))))))</f>
        <v>51800.26683766341</v>
      </c>
      <c r="AE1522">
        <f t="shared" ca="1" si="656"/>
        <v>52432.144037663413</v>
      </c>
      <c r="AF1522">
        <f t="shared" ca="1" si="657"/>
        <v>52432.144037665239</v>
      </c>
      <c r="AI1522">
        <v>0</v>
      </c>
      <c r="AJ1522">
        <v>0</v>
      </c>
      <c r="AK1522">
        <f t="shared" si="658"/>
        <v>0</v>
      </c>
      <c r="AL1522">
        <f t="shared" si="667"/>
        <v>0</v>
      </c>
      <c r="AM1522">
        <f t="shared" ca="1" si="659"/>
        <v>2.6560383008097266E-7</v>
      </c>
      <c r="AN1522" t="str">
        <f t="shared" ca="1" si="660"/>
        <v>Subcritical</v>
      </c>
      <c r="AO1522">
        <f t="shared" ca="1" si="661"/>
        <v>2.2562304480281055E-12</v>
      </c>
    </row>
    <row r="1523" spans="1:41" x14ac:dyDescent="0.35">
      <c r="A1523">
        <v>1374</v>
      </c>
      <c r="B1523">
        <v>1372.8889999999999</v>
      </c>
      <c r="C1523">
        <v>616065.70499999996</v>
      </c>
      <c r="D1523">
        <v>3096631.3769999999</v>
      </c>
      <c r="E1523">
        <v>631.87699999999995</v>
      </c>
      <c r="F1523">
        <v>5.2</v>
      </c>
      <c r="G1523">
        <v>0</v>
      </c>
      <c r="H1523" t="s">
        <v>186</v>
      </c>
      <c r="I1523">
        <v>5.7000000000000002E-2</v>
      </c>
      <c r="J1523">
        <f t="shared" si="662"/>
        <v>1</v>
      </c>
      <c r="K1523">
        <f t="shared" si="663"/>
        <v>51</v>
      </c>
      <c r="L1523">
        <f t="shared" ca="1" si="664"/>
        <v>51797.843837663619</v>
      </c>
      <c r="M1523">
        <f t="shared" ca="1" si="641"/>
        <v>269348.78795585083</v>
      </c>
      <c r="N1523">
        <f t="shared" ca="1" si="642"/>
        <v>2.5998694991876676</v>
      </c>
      <c r="O1523">
        <f t="shared" ca="1" si="643"/>
        <v>1.8934557080078435E-4</v>
      </c>
      <c r="P1523">
        <f t="shared" ca="1" si="644"/>
        <v>52429.720837663619</v>
      </c>
      <c r="Q1523">
        <f t="shared" ca="1" si="645"/>
        <v>52429.720837665445</v>
      </c>
      <c r="R1523">
        <f t="shared" ca="1" si="646"/>
        <v>2.2564415439646509E-12</v>
      </c>
      <c r="S1523">
        <f t="shared" ca="1" si="665"/>
        <v>2.0000000222353265E-4</v>
      </c>
      <c r="T1523">
        <f t="shared" ca="1" si="666"/>
        <v>1</v>
      </c>
      <c r="U1523">
        <f t="shared" ca="1" si="647"/>
        <v>51800.26683766341</v>
      </c>
      <c r="V1523">
        <f t="shared" ca="1" si="648"/>
        <v>269361.38755584974</v>
      </c>
      <c r="W1523">
        <f t="shared" ca="1" si="649"/>
        <v>2.5998695052916441</v>
      </c>
      <c r="X1523">
        <f t="shared" ca="1" si="650"/>
        <v>1.8933671400629237E-4</v>
      </c>
      <c r="Y1523">
        <f t="shared" ca="1" si="651"/>
        <v>52432.143837663411</v>
      </c>
      <c r="Z1523">
        <f t="shared" ca="1" si="652"/>
        <v>52432.143837665237</v>
      </c>
      <c r="AA1523">
        <f t="shared" ca="1" si="653"/>
        <v>2.2562304480281055E-12</v>
      </c>
      <c r="AB1523">
        <f t="shared" ca="1" si="654"/>
        <v>-2.0000000222353265E-4</v>
      </c>
      <c r="AC1523">
        <f t="shared" ca="1" si="655"/>
        <v>1</v>
      </c>
      <c r="AD1523">
        <f ca="1">IF(V32="Supercritical",L1523,IF(V32="Subcritical",U1523,IF(AND(T1523=1,AC1523=1),IF((((F1523)*(L1523)^2)/2+(G1523)*(L1523)^3/3+(ABS(K1523)^2)/($I$5*MAX(((F1523)+(G1523)*(L1523))*(L1523),0.000001)))&gt;=(((F1523)*(U1523)^2)/2+(G1523)*(U1523)^3/3+(ABS(K1523)^2)/($I$5*MAX(((F1523)+(G1523)*(U1523))*(U1523),0.000001))),L1523,U1523),IF(T1523=1,L1523,IF(AC1523=1,U1523,MAX($D$16,POWER((ABS(K1523)^2)/($I$5*MAX(F1523,0.1)^2),1/3)))))))</f>
        <v>51800.26683766341</v>
      </c>
      <c r="AE1523">
        <f t="shared" ca="1" si="656"/>
        <v>52432.143837663411</v>
      </c>
      <c r="AF1523">
        <f t="shared" ca="1" si="657"/>
        <v>52432.143837665237</v>
      </c>
      <c r="AI1523">
        <v>0</v>
      </c>
      <c r="AJ1523">
        <v>0</v>
      </c>
      <c r="AK1523">
        <f t="shared" si="658"/>
        <v>0</v>
      </c>
      <c r="AL1523">
        <f t="shared" si="667"/>
        <v>0</v>
      </c>
      <c r="AM1523">
        <f t="shared" ca="1" si="659"/>
        <v>2.6560383008097266E-7</v>
      </c>
      <c r="AN1523" t="str">
        <f t="shared" ca="1" si="660"/>
        <v>Subcritical</v>
      </c>
      <c r="AO1523">
        <f t="shared" ca="1" si="661"/>
        <v>2.2562304480281055E-12</v>
      </c>
    </row>
    <row r="1524" spans="1:41" x14ac:dyDescent="0.35">
      <c r="A1524">
        <v>1375</v>
      </c>
      <c r="B1524">
        <v>1373.8889999999999</v>
      </c>
      <c r="C1524">
        <v>616065.71100000001</v>
      </c>
      <c r="D1524">
        <v>3096630.3769999999</v>
      </c>
      <c r="E1524">
        <v>631.8768</v>
      </c>
      <c r="F1524">
        <v>5.2</v>
      </c>
      <c r="G1524">
        <v>0</v>
      </c>
      <c r="H1524" t="s">
        <v>186</v>
      </c>
      <c r="I1524">
        <v>0</v>
      </c>
      <c r="J1524">
        <f t="shared" si="662"/>
        <v>1</v>
      </c>
      <c r="K1524">
        <f t="shared" si="663"/>
        <v>51</v>
      </c>
      <c r="L1524">
        <f t="shared" ca="1" si="664"/>
        <v>51797.843837663619</v>
      </c>
      <c r="M1524">
        <f t="shared" ca="1" si="641"/>
        <v>269348.78795585083</v>
      </c>
      <c r="N1524">
        <f t="shared" ca="1" si="642"/>
        <v>2.5998694991876676</v>
      </c>
      <c r="O1524">
        <f t="shared" ca="1" si="643"/>
        <v>1.8934557080078435E-4</v>
      </c>
      <c r="P1524">
        <f t="shared" ca="1" si="644"/>
        <v>52429.720637663617</v>
      </c>
      <c r="Q1524">
        <f t="shared" ca="1" si="645"/>
        <v>52429.720637665443</v>
      </c>
      <c r="R1524">
        <f t="shared" ca="1" si="646"/>
        <v>2.2564415439646509E-12</v>
      </c>
      <c r="S1524">
        <f t="shared" ca="1" si="665"/>
        <v>2.0000000222353265E-4</v>
      </c>
      <c r="T1524">
        <f t="shared" ca="1" si="666"/>
        <v>1</v>
      </c>
      <c r="U1524">
        <f t="shared" ca="1" si="647"/>
        <v>51800.26683766341</v>
      </c>
      <c r="V1524">
        <f t="shared" ca="1" si="648"/>
        <v>269361.38755584974</v>
      </c>
      <c r="W1524">
        <f t="shared" ca="1" si="649"/>
        <v>2.5998695052916441</v>
      </c>
      <c r="X1524">
        <f t="shared" ca="1" si="650"/>
        <v>1.8933671400629237E-4</v>
      </c>
      <c r="Y1524">
        <f t="shared" ca="1" si="651"/>
        <v>52432.143637663408</v>
      </c>
      <c r="Z1524">
        <f t="shared" ca="1" si="652"/>
        <v>52432.143637665235</v>
      </c>
      <c r="AA1524">
        <f t="shared" ca="1" si="653"/>
        <v>2.2562304480281055E-12</v>
      </c>
      <c r="AB1524">
        <f t="shared" ca="1" si="654"/>
        <v>-1.9999999494757503E-4</v>
      </c>
      <c r="AC1524">
        <f t="shared" ca="1" si="655"/>
        <v>1</v>
      </c>
      <c r="AD1524">
        <f ca="1">IF(V32="Supercritical",L1524,IF(V32="Subcritical",U1524,IF(AND(T1524=1,AC1524=1),IF((((F1524)*(L1524)^2)/2+(G1524)*(L1524)^3/3+(ABS(K1524)^2)/($I$5*MAX(((F1524)+(G1524)*(L1524))*(L1524),0.000001)))&gt;=(((F1524)*(U1524)^2)/2+(G1524)*(U1524)^3/3+(ABS(K1524)^2)/($I$5*MAX(((F1524)+(G1524)*(U1524))*(U1524),0.000001))),L1524,U1524),IF(T1524=1,L1524,IF(AC1524=1,U1524,MAX($D$16,POWER((ABS(K1524)^2)/($I$5*MAX(F1524,0.1)^2),1/3)))))))</f>
        <v>51800.26683766341</v>
      </c>
      <c r="AE1524">
        <f t="shared" ca="1" si="656"/>
        <v>52432.143637663408</v>
      </c>
      <c r="AF1524">
        <f t="shared" ca="1" si="657"/>
        <v>52432.143637665235</v>
      </c>
      <c r="AI1524">
        <v>0</v>
      </c>
      <c r="AJ1524">
        <v>0</v>
      </c>
      <c r="AK1524">
        <f t="shared" si="658"/>
        <v>0</v>
      </c>
      <c r="AL1524">
        <f t="shared" si="667"/>
        <v>0</v>
      </c>
      <c r="AM1524">
        <f t="shared" ca="1" si="659"/>
        <v>2.6560383008097266E-7</v>
      </c>
      <c r="AN1524" t="str">
        <f t="shared" ca="1" si="660"/>
        <v>Subcritical</v>
      </c>
      <c r="AO1524">
        <f t="shared" ca="1" si="661"/>
        <v>2.2562304480281055E-12</v>
      </c>
    </row>
    <row r="1525" spans="1:41" x14ac:dyDescent="0.35">
      <c r="A1525">
        <v>1376</v>
      </c>
      <c r="B1525">
        <v>1374.8889999999999</v>
      </c>
      <c r="C1525">
        <v>616065.71699999995</v>
      </c>
      <c r="D1525">
        <v>3096629.3769999999</v>
      </c>
      <c r="E1525">
        <v>631.87660000000005</v>
      </c>
      <c r="F1525">
        <v>5.2</v>
      </c>
      <c r="G1525">
        <v>0</v>
      </c>
      <c r="H1525" t="s">
        <v>186</v>
      </c>
      <c r="I1525">
        <v>0</v>
      </c>
      <c r="J1525">
        <f t="shared" si="662"/>
        <v>1</v>
      </c>
      <c r="K1525">
        <f t="shared" si="663"/>
        <v>51</v>
      </c>
      <c r="L1525">
        <f t="shared" ca="1" si="664"/>
        <v>51797.843837663619</v>
      </c>
      <c r="M1525">
        <f t="shared" ca="1" si="641"/>
        <v>269348.78795585083</v>
      </c>
      <c r="N1525">
        <f t="shared" ca="1" si="642"/>
        <v>2.5998694991876676</v>
      </c>
      <c r="O1525">
        <f t="shared" ca="1" si="643"/>
        <v>1.8934557080078435E-4</v>
      </c>
      <c r="P1525">
        <f t="shared" ca="1" si="644"/>
        <v>52429.720437663622</v>
      </c>
      <c r="Q1525">
        <f t="shared" ca="1" si="645"/>
        <v>52429.720437665448</v>
      </c>
      <c r="R1525">
        <f t="shared" ca="1" si="646"/>
        <v>2.2564415439646509E-12</v>
      </c>
      <c r="S1525">
        <f t="shared" ca="1" si="665"/>
        <v>1.9999999494757503E-4</v>
      </c>
      <c r="T1525">
        <f t="shared" ca="1" si="666"/>
        <v>1</v>
      </c>
      <c r="U1525">
        <f t="shared" ca="1" si="647"/>
        <v>51800.26683766341</v>
      </c>
      <c r="V1525">
        <f t="shared" ca="1" si="648"/>
        <v>269361.38755584974</v>
      </c>
      <c r="W1525">
        <f t="shared" ca="1" si="649"/>
        <v>2.5998695052916441</v>
      </c>
      <c r="X1525">
        <f t="shared" ca="1" si="650"/>
        <v>1.8933671400629237E-4</v>
      </c>
      <c r="Y1525">
        <f t="shared" ca="1" si="651"/>
        <v>52432.143437663413</v>
      </c>
      <c r="Z1525">
        <f t="shared" ca="1" si="652"/>
        <v>52432.14343766524</v>
      </c>
      <c r="AA1525">
        <f t="shared" ca="1" si="653"/>
        <v>2.2562304480281055E-12</v>
      </c>
      <c r="AB1525">
        <f t="shared" ca="1" si="654"/>
        <v>-2.0000000222353265E-4</v>
      </c>
      <c r="AC1525">
        <f t="shared" ca="1" si="655"/>
        <v>1</v>
      </c>
      <c r="AD1525">
        <f ca="1">IF(V32="Supercritical",L1525,IF(V32="Subcritical",U1525,IF(AND(T1525=1,AC1525=1),IF((((F1525)*(L1525)^2)/2+(G1525)*(L1525)^3/3+(ABS(K1525)^2)/($I$5*MAX(((F1525)+(G1525)*(L1525))*(L1525),0.000001)))&gt;=(((F1525)*(U1525)^2)/2+(G1525)*(U1525)^3/3+(ABS(K1525)^2)/($I$5*MAX(((F1525)+(G1525)*(U1525))*(U1525),0.000001))),L1525,U1525),IF(T1525=1,L1525,IF(AC1525=1,U1525,MAX($D$16,POWER((ABS(K1525)^2)/($I$5*MAX(F1525,0.1)^2),1/3)))))))</f>
        <v>51800.26683766341</v>
      </c>
      <c r="AE1525">
        <f t="shared" ca="1" si="656"/>
        <v>52432.143437663413</v>
      </c>
      <c r="AF1525">
        <f t="shared" ca="1" si="657"/>
        <v>52432.14343766524</v>
      </c>
      <c r="AI1525">
        <v>0</v>
      </c>
      <c r="AJ1525">
        <v>0</v>
      </c>
      <c r="AK1525">
        <f t="shared" si="658"/>
        <v>0</v>
      </c>
      <c r="AL1525">
        <f t="shared" si="667"/>
        <v>0</v>
      </c>
      <c r="AM1525">
        <f t="shared" ca="1" si="659"/>
        <v>2.6560383008097266E-7</v>
      </c>
      <c r="AN1525" t="str">
        <f t="shared" ca="1" si="660"/>
        <v>Subcritical</v>
      </c>
      <c r="AO1525">
        <f t="shared" ca="1" si="661"/>
        <v>2.2562304480281055E-12</v>
      </c>
    </row>
    <row r="1526" spans="1:41" x14ac:dyDescent="0.35">
      <c r="A1526">
        <v>1377</v>
      </c>
      <c r="B1526">
        <v>1375.8889999999999</v>
      </c>
      <c r="C1526">
        <v>616065.723</v>
      </c>
      <c r="D1526">
        <v>3096628.3769999999</v>
      </c>
      <c r="E1526">
        <v>631.87639999999999</v>
      </c>
      <c r="F1526">
        <v>5.2</v>
      </c>
      <c r="G1526">
        <v>0</v>
      </c>
      <c r="H1526" t="s">
        <v>186</v>
      </c>
      <c r="I1526">
        <v>5.7000000000000002E-2</v>
      </c>
      <c r="J1526">
        <f t="shared" si="662"/>
        <v>1</v>
      </c>
      <c r="K1526">
        <f t="shared" si="663"/>
        <v>51</v>
      </c>
      <c r="L1526">
        <f t="shared" ca="1" si="664"/>
        <v>51797.843837663619</v>
      </c>
      <c r="M1526">
        <f t="shared" ca="1" si="641"/>
        <v>269348.78795585083</v>
      </c>
      <c r="N1526">
        <f t="shared" ca="1" si="642"/>
        <v>2.5998694991876676</v>
      </c>
      <c r="O1526">
        <f t="shared" ca="1" si="643"/>
        <v>1.8934557080078435E-4</v>
      </c>
      <c r="P1526">
        <f t="shared" ca="1" si="644"/>
        <v>52429.72023766362</v>
      </c>
      <c r="Q1526">
        <f t="shared" ca="1" si="645"/>
        <v>52429.720237665446</v>
      </c>
      <c r="R1526">
        <f t="shared" ca="1" si="646"/>
        <v>2.2564415439646509E-12</v>
      </c>
      <c r="S1526">
        <f t="shared" ca="1" si="665"/>
        <v>2.0000000222353265E-4</v>
      </c>
      <c r="T1526">
        <f t="shared" ca="1" si="666"/>
        <v>1</v>
      </c>
      <c r="U1526">
        <f t="shared" ca="1" si="647"/>
        <v>51800.26683766341</v>
      </c>
      <c r="V1526">
        <f t="shared" ca="1" si="648"/>
        <v>269361.38755584974</v>
      </c>
      <c r="W1526">
        <f t="shared" ca="1" si="649"/>
        <v>2.5998695052916441</v>
      </c>
      <c r="X1526">
        <f t="shared" ca="1" si="650"/>
        <v>1.8933671400629237E-4</v>
      </c>
      <c r="Y1526">
        <f t="shared" ca="1" si="651"/>
        <v>52432.143237663411</v>
      </c>
      <c r="Z1526">
        <f t="shared" ca="1" si="652"/>
        <v>52432.143237665237</v>
      </c>
      <c r="AA1526">
        <f t="shared" ca="1" si="653"/>
        <v>2.2562304480281055E-12</v>
      </c>
      <c r="AB1526">
        <f t="shared" ca="1" si="654"/>
        <v>-2.0000000222353265E-4</v>
      </c>
      <c r="AC1526">
        <f t="shared" ca="1" si="655"/>
        <v>1</v>
      </c>
      <c r="AD1526">
        <f ca="1">IF(V32="Supercritical",L1526,IF(V32="Subcritical",U1526,IF(AND(T1526=1,AC1526=1),IF((((F1526)*(L1526)^2)/2+(G1526)*(L1526)^3/3+(ABS(K1526)^2)/($I$5*MAX(((F1526)+(G1526)*(L1526))*(L1526),0.000001)))&gt;=(((F1526)*(U1526)^2)/2+(G1526)*(U1526)^3/3+(ABS(K1526)^2)/($I$5*MAX(((F1526)+(G1526)*(U1526))*(U1526),0.000001))),L1526,U1526),IF(T1526=1,L1526,IF(AC1526=1,U1526,MAX($D$16,POWER((ABS(K1526)^2)/($I$5*MAX(F1526,0.1)^2),1/3)))))))</f>
        <v>51800.26683766341</v>
      </c>
      <c r="AE1526">
        <f t="shared" ca="1" si="656"/>
        <v>52432.143237663411</v>
      </c>
      <c r="AF1526">
        <f t="shared" ca="1" si="657"/>
        <v>52432.143237665237</v>
      </c>
      <c r="AI1526">
        <v>0</v>
      </c>
      <c r="AJ1526">
        <v>0</v>
      </c>
      <c r="AK1526">
        <f t="shared" si="658"/>
        <v>0</v>
      </c>
      <c r="AL1526">
        <f t="shared" si="667"/>
        <v>0</v>
      </c>
      <c r="AM1526">
        <f t="shared" ca="1" si="659"/>
        <v>2.6560383008097266E-7</v>
      </c>
      <c r="AN1526" t="str">
        <f t="shared" ca="1" si="660"/>
        <v>Subcritical</v>
      </c>
      <c r="AO1526">
        <f t="shared" ca="1" si="661"/>
        <v>2.2562304480281055E-12</v>
      </c>
    </row>
    <row r="1527" spans="1:41" x14ac:dyDescent="0.35">
      <c r="A1527">
        <v>1378</v>
      </c>
      <c r="B1527">
        <v>1376.8889999999999</v>
      </c>
      <c r="C1527">
        <v>616065.73</v>
      </c>
      <c r="D1527">
        <v>3096627.3769999999</v>
      </c>
      <c r="E1527">
        <v>631.87620000000004</v>
      </c>
      <c r="F1527">
        <v>5.2</v>
      </c>
      <c r="G1527">
        <v>0</v>
      </c>
      <c r="H1527" t="s">
        <v>186</v>
      </c>
      <c r="I1527">
        <v>0.40100000000000002</v>
      </c>
      <c r="J1527">
        <f t="shared" si="662"/>
        <v>1</v>
      </c>
      <c r="K1527">
        <f t="shared" si="663"/>
        <v>51</v>
      </c>
      <c r="L1527">
        <f t="shared" ca="1" si="664"/>
        <v>51797.843837663619</v>
      </c>
      <c r="M1527">
        <f t="shared" ca="1" si="641"/>
        <v>269348.78795585083</v>
      </c>
      <c r="N1527">
        <f t="shared" ca="1" si="642"/>
        <v>2.5998694991876676</v>
      </c>
      <c r="O1527">
        <f t="shared" ca="1" si="643"/>
        <v>1.8934557080078435E-4</v>
      </c>
      <c r="P1527">
        <f t="shared" ca="1" si="644"/>
        <v>52429.720037663617</v>
      </c>
      <c r="Q1527">
        <f t="shared" ca="1" si="645"/>
        <v>52429.720037665444</v>
      </c>
      <c r="R1527">
        <f t="shared" ca="1" si="646"/>
        <v>2.2564415439646509E-12</v>
      </c>
      <c r="S1527">
        <f t="shared" ca="1" si="665"/>
        <v>2.0000000222353265E-4</v>
      </c>
      <c r="T1527">
        <f t="shared" ca="1" si="666"/>
        <v>1</v>
      </c>
      <c r="U1527">
        <f t="shared" ca="1" si="647"/>
        <v>51800.26683766341</v>
      </c>
      <c r="V1527">
        <f t="shared" ca="1" si="648"/>
        <v>269361.38755584974</v>
      </c>
      <c r="W1527">
        <f t="shared" ca="1" si="649"/>
        <v>2.5998695052916441</v>
      </c>
      <c r="X1527">
        <f t="shared" ca="1" si="650"/>
        <v>1.8933671400629237E-4</v>
      </c>
      <c r="Y1527">
        <f t="shared" ca="1" si="651"/>
        <v>52432.143037663409</v>
      </c>
      <c r="Z1527">
        <f t="shared" ca="1" si="652"/>
        <v>52432.143037665235</v>
      </c>
      <c r="AA1527">
        <f t="shared" ca="1" si="653"/>
        <v>2.2562304480281055E-12</v>
      </c>
      <c r="AB1527">
        <f t="shared" ca="1" si="654"/>
        <v>-2.0000000222353265E-4</v>
      </c>
      <c r="AC1527">
        <f t="shared" ca="1" si="655"/>
        <v>1</v>
      </c>
      <c r="AD1527">
        <f ca="1">IF(V32="Supercritical",L1527,IF(V32="Subcritical",U1527,IF(AND(T1527=1,AC1527=1),IF((((F1527)*(L1527)^2)/2+(G1527)*(L1527)^3/3+(ABS(K1527)^2)/($I$5*MAX(((F1527)+(G1527)*(L1527))*(L1527),0.000001)))&gt;=(((F1527)*(U1527)^2)/2+(G1527)*(U1527)^3/3+(ABS(K1527)^2)/($I$5*MAX(((F1527)+(G1527)*(U1527))*(U1527),0.000001))),L1527,U1527),IF(T1527=1,L1527,IF(AC1527=1,U1527,MAX($D$16,POWER((ABS(K1527)^2)/($I$5*MAX(F1527,0.1)^2),1/3)))))))</f>
        <v>51800.26683766341</v>
      </c>
      <c r="AE1527">
        <f t="shared" ca="1" si="656"/>
        <v>52432.143037663409</v>
      </c>
      <c r="AF1527">
        <f t="shared" ca="1" si="657"/>
        <v>52432.143037665235</v>
      </c>
      <c r="AI1527">
        <v>0</v>
      </c>
      <c r="AJ1527">
        <v>0</v>
      </c>
      <c r="AK1527">
        <f t="shared" si="658"/>
        <v>0</v>
      </c>
      <c r="AL1527">
        <f t="shared" si="667"/>
        <v>0</v>
      </c>
      <c r="AM1527">
        <f t="shared" ca="1" si="659"/>
        <v>2.6560383008097266E-7</v>
      </c>
      <c r="AN1527" t="str">
        <f t="shared" ca="1" si="660"/>
        <v>Subcritical</v>
      </c>
      <c r="AO1527">
        <f t="shared" ca="1" si="661"/>
        <v>2.2562304480281055E-12</v>
      </c>
    </row>
    <row r="1528" spans="1:41" x14ac:dyDescent="0.35">
      <c r="A1528">
        <v>1379</v>
      </c>
      <c r="B1528">
        <v>1377.8889999999999</v>
      </c>
      <c r="C1528">
        <v>616065.73</v>
      </c>
      <c r="D1528">
        <v>3096626.3769999999</v>
      </c>
      <c r="E1528">
        <v>631.87599999999998</v>
      </c>
      <c r="F1528">
        <v>5.2</v>
      </c>
      <c r="G1528">
        <v>0</v>
      </c>
      <c r="H1528" t="s">
        <v>186</v>
      </c>
      <c r="I1528">
        <v>0</v>
      </c>
      <c r="J1528">
        <f t="shared" si="662"/>
        <v>1</v>
      </c>
      <c r="K1528">
        <f t="shared" si="663"/>
        <v>51</v>
      </c>
      <c r="L1528">
        <f t="shared" ca="1" si="664"/>
        <v>51797.843837663619</v>
      </c>
      <c r="M1528">
        <f t="shared" ca="1" si="641"/>
        <v>269348.78795585083</v>
      </c>
      <c r="N1528">
        <f t="shared" ca="1" si="642"/>
        <v>2.5998694991876676</v>
      </c>
      <c r="O1528">
        <f t="shared" ca="1" si="643"/>
        <v>1.8934557080078435E-4</v>
      </c>
      <c r="P1528">
        <f t="shared" ca="1" si="644"/>
        <v>52429.719837663615</v>
      </c>
      <c r="Q1528">
        <f t="shared" ca="1" si="645"/>
        <v>52429.719837665441</v>
      </c>
      <c r="R1528">
        <f t="shared" ca="1" si="646"/>
        <v>2.2564415439646509E-12</v>
      </c>
      <c r="S1528">
        <f t="shared" ca="1" si="665"/>
        <v>2.0000000222353265E-4</v>
      </c>
      <c r="T1528">
        <f t="shared" ca="1" si="666"/>
        <v>1</v>
      </c>
      <c r="U1528">
        <f t="shared" ca="1" si="647"/>
        <v>51800.26683766341</v>
      </c>
      <c r="V1528">
        <f t="shared" ca="1" si="648"/>
        <v>269361.38755584974</v>
      </c>
      <c r="W1528">
        <f t="shared" ca="1" si="649"/>
        <v>2.5998695052916441</v>
      </c>
      <c r="X1528">
        <f t="shared" ca="1" si="650"/>
        <v>1.8933671400629237E-4</v>
      </c>
      <c r="Y1528">
        <f t="shared" ca="1" si="651"/>
        <v>52432.142837663407</v>
      </c>
      <c r="Z1528">
        <f t="shared" ca="1" si="652"/>
        <v>52432.142837665233</v>
      </c>
      <c r="AA1528">
        <f t="shared" ca="1" si="653"/>
        <v>2.2562304480281055E-12</v>
      </c>
      <c r="AB1528">
        <f t="shared" ca="1" si="654"/>
        <v>-1.9999999494757503E-4</v>
      </c>
      <c r="AC1528">
        <f t="shared" ca="1" si="655"/>
        <v>1</v>
      </c>
      <c r="AD1528">
        <f ca="1">IF(V32="Supercritical",L1528,IF(V32="Subcritical",U1528,IF(AND(T1528=1,AC1528=1),IF((((F1528)*(L1528)^2)/2+(G1528)*(L1528)^3/3+(ABS(K1528)^2)/($I$5*MAX(((F1528)+(G1528)*(L1528))*(L1528),0.000001)))&gt;=(((F1528)*(U1528)^2)/2+(G1528)*(U1528)^3/3+(ABS(K1528)^2)/($I$5*MAX(((F1528)+(G1528)*(U1528))*(U1528),0.000001))),L1528,U1528),IF(T1528=1,L1528,IF(AC1528=1,U1528,MAX($D$16,POWER((ABS(K1528)^2)/($I$5*MAX(F1528,0.1)^2),1/3)))))))</f>
        <v>51800.26683766341</v>
      </c>
      <c r="AE1528">
        <f t="shared" ca="1" si="656"/>
        <v>52432.142837663407</v>
      </c>
      <c r="AF1528">
        <f t="shared" ca="1" si="657"/>
        <v>52432.142837665233</v>
      </c>
      <c r="AI1528">
        <v>0</v>
      </c>
      <c r="AJ1528">
        <v>0</v>
      </c>
      <c r="AK1528">
        <f t="shared" si="658"/>
        <v>0</v>
      </c>
      <c r="AL1528">
        <f t="shared" si="667"/>
        <v>0</v>
      </c>
      <c r="AM1528">
        <f t="shared" ca="1" si="659"/>
        <v>2.6560383008097266E-7</v>
      </c>
      <c r="AN1528" t="str">
        <f t="shared" ca="1" si="660"/>
        <v>Subcritical</v>
      </c>
      <c r="AO1528">
        <f t="shared" ca="1" si="661"/>
        <v>2.2562304480281055E-12</v>
      </c>
    </row>
    <row r="1529" spans="1:41" x14ac:dyDescent="0.35">
      <c r="A1529">
        <v>1380</v>
      </c>
      <c r="B1529">
        <v>1378.8889999999999</v>
      </c>
      <c r="C1529">
        <v>616065.73</v>
      </c>
      <c r="D1529">
        <v>3096625.3769999999</v>
      </c>
      <c r="E1529">
        <v>631.87580000000003</v>
      </c>
      <c r="F1529">
        <v>5.2</v>
      </c>
      <c r="G1529">
        <v>0</v>
      </c>
      <c r="H1529" t="s">
        <v>186</v>
      </c>
      <c r="I1529">
        <v>0</v>
      </c>
      <c r="J1529">
        <f t="shared" si="662"/>
        <v>1</v>
      </c>
      <c r="K1529">
        <f t="shared" si="663"/>
        <v>51</v>
      </c>
      <c r="L1529">
        <f t="shared" ca="1" si="664"/>
        <v>51797.843837663619</v>
      </c>
      <c r="M1529">
        <f t="shared" ca="1" si="641"/>
        <v>269348.78795585083</v>
      </c>
      <c r="N1529">
        <f t="shared" ca="1" si="642"/>
        <v>2.5998694991876676</v>
      </c>
      <c r="O1529">
        <f t="shared" ca="1" si="643"/>
        <v>1.8934557080078435E-4</v>
      </c>
      <c r="P1529">
        <f t="shared" ca="1" si="644"/>
        <v>52429.71963766362</v>
      </c>
      <c r="Q1529">
        <f t="shared" ca="1" si="645"/>
        <v>52429.719637665446</v>
      </c>
      <c r="R1529">
        <f t="shared" ca="1" si="646"/>
        <v>2.2564415439646509E-12</v>
      </c>
      <c r="S1529">
        <f t="shared" ca="1" si="665"/>
        <v>1.9999999494757503E-4</v>
      </c>
      <c r="T1529">
        <f t="shared" ca="1" si="666"/>
        <v>1</v>
      </c>
      <c r="U1529">
        <f t="shared" ca="1" si="647"/>
        <v>51800.26683766341</v>
      </c>
      <c r="V1529">
        <f t="shared" ca="1" si="648"/>
        <v>269361.38755584974</v>
      </c>
      <c r="W1529">
        <f t="shared" ca="1" si="649"/>
        <v>2.5998695052916441</v>
      </c>
      <c r="X1529">
        <f t="shared" ca="1" si="650"/>
        <v>1.8933671400629237E-4</v>
      </c>
      <c r="Y1529">
        <f t="shared" ca="1" si="651"/>
        <v>52432.142637663412</v>
      </c>
      <c r="Z1529">
        <f t="shared" ca="1" si="652"/>
        <v>52432.142637665238</v>
      </c>
      <c r="AA1529">
        <f t="shared" ca="1" si="653"/>
        <v>2.2562304480281055E-12</v>
      </c>
      <c r="AB1529">
        <f t="shared" ca="1" si="654"/>
        <v>-2.0000065705971792E-4</v>
      </c>
      <c r="AC1529">
        <f t="shared" ca="1" si="655"/>
        <v>1</v>
      </c>
      <c r="AD1529">
        <f ca="1">IF(V32="Supercritical",L1529,IF(V32="Subcritical",U1529,IF(AND(T1529=1,AC1529=1),IF((((F1529)*(L1529)^2)/2+(G1529)*(L1529)^3/3+(ABS(K1529)^2)/($I$5*MAX(((F1529)+(G1529)*(L1529))*(L1529),0.000001)))&gt;=(((F1529)*(U1529)^2)/2+(G1529)*(U1529)^3/3+(ABS(K1529)^2)/($I$5*MAX(((F1529)+(G1529)*(U1529))*(U1529),0.000001))),L1529,U1529),IF(T1529=1,L1529,IF(AC1529=1,U1529,MAX($D$16,POWER((ABS(K1529)^2)/($I$5*MAX(F1529,0.1)^2),1/3)))))))</f>
        <v>51800.26683766341</v>
      </c>
      <c r="AE1529">
        <f t="shared" ca="1" si="656"/>
        <v>52432.142637663412</v>
      </c>
      <c r="AF1529">
        <f t="shared" ca="1" si="657"/>
        <v>52432.142637665238</v>
      </c>
      <c r="AI1529">
        <v>0</v>
      </c>
      <c r="AJ1529">
        <v>0</v>
      </c>
      <c r="AK1529">
        <f t="shared" si="658"/>
        <v>0</v>
      </c>
      <c r="AL1529">
        <f t="shared" si="667"/>
        <v>0</v>
      </c>
      <c r="AM1529">
        <f t="shared" ca="1" si="659"/>
        <v>2.6560383008097266E-7</v>
      </c>
      <c r="AN1529" t="str">
        <f t="shared" ca="1" si="660"/>
        <v>Subcritical</v>
      </c>
      <c r="AO1529">
        <f t="shared" ca="1" si="661"/>
        <v>2.2562304480281055E-12</v>
      </c>
    </row>
    <row r="1530" spans="1:41" x14ac:dyDescent="0.35">
      <c r="A1530">
        <v>1381</v>
      </c>
      <c r="B1530">
        <v>1379.8889999999999</v>
      </c>
      <c r="C1530">
        <v>616065.73</v>
      </c>
      <c r="D1530">
        <v>3096624.3769999999</v>
      </c>
      <c r="E1530">
        <v>631.87559999999996</v>
      </c>
      <c r="F1530">
        <v>7.42</v>
      </c>
      <c r="G1530">
        <v>0</v>
      </c>
      <c r="H1530" t="s">
        <v>186</v>
      </c>
      <c r="I1530">
        <v>0</v>
      </c>
      <c r="J1530">
        <f t="shared" si="662"/>
        <v>1</v>
      </c>
      <c r="K1530">
        <f t="shared" si="663"/>
        <v>51</v>
      </c>
      <c r="L1530">
        <f t="shared" ca="1" si="664"/>
        <v>51797.843837663619</v>
      </c>
      <c r="M1530">
        <f t="shared" ca="1" si="641"/>
        <v>384340.00127546402</v>
      </c>
      <c r="N1530">
        <f t="shared" ca="1" si="642"/>
        <v>3.7097342917541982</v>
      </c>
      <c r="O1530">
        <f t="shared" ca="1" si="643"/>
        <v>1.3269500918653351E-4</v>
      </c>
      <c r="P1530">
        <f t="shared" ca="1" si="644"/>
        <v>52429.719437663618</v>
      </c>
      <c r="Q1530">
        <f t="shared" ca="1" si="645"/>
        <v>52429.719437664513</v>
      </c>
      <c r="R1530">
        <f t="shared" ca="1" si="646"/>
        <v>6.8987110713013441E-13</v>
      </c>
      <c r="S1530">
        <f t="shared" ca="1" si="665"/>
        <v>2.0000065705971792E-4</v>
      </c>
      <c r="T1530">
        <f t="shared" ca="1" si="666"/>
        <v>1</v>
      </c>
      <c r="U1530">
        <f t="shared" ca="1" si="647"/>
        <v>51800.26683766341</v>
      </c>
      <c r="V1530">
        <f t="shared" ca="1" si="648"/>
        <v>384357.97993546253</v>
      </c>
      <c r="W1530">
        <f t="shared" ca="1" si="649"/>
        <v>3.7097343041820299</v>
      </c>
      <c r="X1530">
        <f t="shared" ca="1" si="650"/>
        <v>1.3268880226856067E-4</v>
      </c>
      <c r="Y1530">
        <f t="shared" ca="1" si="651"/>
        <v>52432.14243766341</v>
      </c>
      <c r="Z1530">
        <f t="shared" ca="1" si="652"/>
        <v>52432.142437664304</v>
      </c>
      <c r="AA1530">
        <f t="shared" ca="1" si="653"/>
        <v>6.8980656698377997E-13</v>
      </c>
      <c r="AB1530">
        <f t="shared" ca="1" si="654"/>
        <v>-2.0000027143396437E-4</v>
      </c>
      <c r="AC1530">
        <f t="shared" ca="1" si="655"/>
        <v>1</v>
      </c>
      <c r="AD1530">
        <f ca="1">IF(V32="Supercritical",L1530,IF(V32="Subcritical",U1530,IF(AND(T1530=1,AC1530=1),IF((((F1530)*(L1530)^2)/2+(G1530)*(L1530)^3/3+(ABS(K1530)^2)/($I$5*MAX(((F1530)+(G1530)*(L1530))*(L1530),0.000001)))&gt;=(((F1530)*(U1530)^2)/2+(G1530)*(U1530)^3/3+(ABS(K1530)^2)/($I$5*MAX(((F1530)+(G1530)*(U1530))*(U1530),0.000001))),L1530,U1530),IF(T1530=1,L1530,IF(AC1530=1,U1530,MAX($D$16,POWER((ABS(K1530)^2)/($I$5*MAX(F1530,0.1)^2),1/3)))))))</f>
        <v>51800.26683766341</v>
      </c>
      <c r="AE1530">
        <f t="shared" ca="1" si="656"/>
        <v>52432.14243766341</v>
      </c>
      <c r="AF1530">
        <f t="shared" ca="1" si="657"/>
        <v>52432.142437664304</v>
      </c>
      <c r="AI1530">
        <v>0</v>
      </c>
      <c r="AJ1530">
        <v>0</v>
      </c>
      <c r="AK1530">
        <f t="shared" si="658"/>
        <v>0</v>
      </c>
      <c r="AL1530">
        <f t="shared" si="667"/>
        <v>0</v>
      </c>
      <c r="AM1530">
        <f t="shared" ca="1" si="659"/>
        <v>1.861374550432692E-7</v>
      </c>
      <c r="AN1530" t="str">
        <f t="shared" ca="1" si="660"/>
        <v>Subcritical</v>
      </c>
      <c r="AO1530">
        <f t="shared" ca="1" si="661"/>
        <v>6.8980656698377997E-13</v>
      </c>
    </row>
    <row r="1531" spans="1:41" x14ac:dyDescent="0.35">
      <c r="A1531">
        <v>1382</v>
      </c>
      <c r="B1531">
        <v>1380.8889999999999</v>
      </c>
      <c r="C1531">
        <v>616065.73</v>
      </c>
      <c r="D1531">
        <v>3096623.3769999999</v>
      </c>
      <c r="E1531">
        <v>631.87540000000001</v>
      </c>
      <c r="F1531">
        <v>9.8469999999999995</v>
      </c>
      <c r="G1531">
        <v>0</v>
      </c>
      <c r="H1531" t="s">
        <v>186</v>
      </c>
      <c r="I1531">
        <v>0</v>
      </c>
      <c r="J1531">
        <f t="shared" si="662"/>
        <v>1</v>
      </c>
      <c r="K1531">
        <f t="shared" si="663"/>
        <v>51</v>
      </c>
      <c r="L1531">
        <f t="shared" ca="1" si="664"/>
        <v>51797.843837663619</v>
      </c>
      <c r="M1531">
        <f t="shared" ca="1" si="641"/>
        <v>510053.36826947361</v>
      </c>
      <c r="N1531">
        <f t="shared" ca="1" si="642"/>
        <v>4.9230320548786128</v>
      </c>
      <c r="O1531">
        <f t="shared" ca="1" si="643"/>
        <v>9.9989536728351645E-5</v>
      </c>
      <c r="P1531">
        <f t="shared" ca="1" si="644"/>
        <v>52429.719237663616</v>
      </c>
      <c r="Q1531">
        <f t="shared" ca="1" si="645"/>
        <v>52429.719237664125</v>
      </c>
      <c r="R1531">
        <f t="shared" ca="1" si="646"/>
        <v>2.6860540394322261E-13</v>
      </c>
      <c r="S1531">
        <f t="shared" ca="1" si="665"/>
        <v>2.0000027143396437E-4</v>
      </c>
      <c r="T1531">
        <f t="shared" ca="1" si="666"/>
        <v>1</v>
      </c>
      <c r="U1531">
        <f t="shared" ca="1" si="647"/>
        <v>51800.26683766341</v>
      </c>
      <c r="V1531">
        <f t="shared" ca="1" si="648"/>
        <v>510077.22755047155</v>
      </c>
      <c r="W1531">
        <f t="shared" ca="1" si="649"/>
        <v>4.9230320767650495</v>
      </c>
      <c r="X1531">
        <f t="shared" ca="1" si="650"/>
        <v>9.998485963569822E-5</v>
      </c>
      <c r="Y1531">
        <f t="shared" ca="1" si="651"/>
        <v>52432.142237663407</v>
      </c>
      <c r="Z1531">
        <f t="shared" ca="1" si="652"/>
        <v>52432.142237663917</v>
      </c>
      <c r="AA1531">
        <f t="shared" ca="1" si="653"/>
        <v>2.6858027446239077E-13</v>
      </c>
      <c r="AB1531">
        <f t="shared" ca="1" si="654"/>
        <v>-2.0000000949949026E-4</v>
      </c>
      <c r="AC1531">
        <f t="shared" ca="1" si="655"/>
        <v>1</v>
      </c>
      <c r="AD1531">
        <f ca="1">IF(V32="Supercritical",L1531,IF(V32="Subcritical",U1531,IF(AND(T1531=1,AC1531=1),IF((((F1531)*(L1531)^2)/2+(G1531)*(L1531)^3/3+(ABS(K1531)^2)/($I$5*MAX(((F1531)+(G1531)*(L1531))*(L1531),0.000001)))&gt;=(((F1531)*(U1531)^2)/2+(G1531)*(U1531)^3/3+(ABS(K1531)^2)/($I$5*MAX(((F1531)+(G1531)*(U1531))*(U1531),0.000001))),L1531,U1531),IF(T1531=1,L1531,IF(AC1531=1,U1531,MAX($D$16,POWER((ABS(K1531)^2)/($I$5*MAX(F1531,0.1)^2),1/3)))))))</f>
        <v>51800.26683766341</v>
      </c>
      <c r="AE1531">
        <f t="shared" ca="1" si="656"/>
        <v>52432.142237663407</v>
      </c>
      <c r="AF1531">
        <f t="shared" ca="1" si="657"/>
        <v>52432.142237663917</v>
      </c>
      <c r="AI1531">
        <v>0</v>
      </c>
      <c r="AJ1531">
        <v>0</v>
      </c>
      <c r="AK1531">
        <f t="shared" si="658"/>
        <v>0</v>
      </c>
      <c r="AL1531">
        <f t="shared" si="667"/>
        <v>0</v>
      </c>
      <c r="AM1531">
        <f t="shared" ca="1" si="659"/>
        <v>1.4025996917041314E-7</v>
      </c>
      <c r="AN1531" t="str">
        <f t="shared" ca="1" si="660"/>
        <v>Subcritical</v>
      </c>
      <c r="AO1531">
        <f t="shared" ca="1" si="661"/>
        <v>2.6858027446239077E-13</v>
      </c>
    </row>
    <row r="1532" spans="1:41" x14ac:dyDescent="0.35">
      <c r="A1532">
        <v>1383</v>
      </c>
      <c r="B1532">
        <v>1381.8889999999999</v>
      </c>
      <c r="C1532">
        <v>616065.73</v>
      </c>
      <c r="D1532">
        <v>3096622.3769999999</v>
      </c>
      <c r="E1532">
        <v>631.87519999999995</v>
      </c>
      <c r="F1532">
        <v>10.1</v>
      </c>
      <c r="G1532">
        <v>0</v>
      </c>
      <c r="H1532" t="s">
        <v>186</v>
      </c>
      <c r="I1532">
        <v>0</v>
      </c>
      <c r="J1532">
        <f t="shared" si="662"/>
        <v>1</v>
      </c>
      <c r="K1532">
        <f t="shared" si="663"/>
        <v>51</v>
      </c>
      <c r="L1532">
        <f t="shared" ca="1" si="664"/>
        <v>51797.843837663619</v>
      </c>
      <c r="M1532">
        <f t="shared" ca="1" si="641"/>
        <v>523158.22276040254</v>
      </c>
      <c r="N1532">
        <f t="shared" ca="1" si="642"/>
        <v>5.0495077012477347</v>
      </c>
      <c r="O1532">
        <f t="shared" ca="1" si="643"/>
        <v>9.7484848333077089E-5</v>
      </c>
      <c r="P1532">
        <f t="shared" ca="1" si="644"/>
        <v>52429.719037663621</v>
      </c>
      <c r="Q1532">
        <f t="shared" ca="1" si="645"/>
        <v>52429.719037664108</v>
      </c>
      <c r="R1532">
        <f t="shared" ca="1" si="646"/>
        <v>2.4682626620997596E-13</v>
      </c>
      <c r="S1532">
        <f t="shared" ca="1" si="665"/>
        <v>2.0000000949949026E-4</v>
      </c>
      <c r="T1532">
        <f t="shared" ca="1" si="666"/>
        <v>1</v>
      </c>
      <c r="U1532">
        <f t="shared" ca="1" si="647"/>
        <v>51800.26683766341</v>
      </c>
      <c r="V1532">
        <f t="shared" ca="1" si="648"/>
        <v>523182.69506040041</v>
      </c>
      <c r="W1532">
        <f t="shared" ca="1" si="649"/>
        <v>5.0495077242731679</v>
      </c>
      <c r="X1532">
        <f t="shared" ca="1" si="650"/>
        <v>9.7480288399279239E-5</v>
      </c>
      <c r="Y1532">
        <f t="shared" ca="1" si="651"/>
        <v>52432.142037663412</v>
      </c>
      <c r="Z1532">
        <f t="shared" ca="1" si="652"/>
        <v>52432.1420376639</v>
      </c>
      <c r="AA1532">
        <f t="shared" ca="1" si="653"/>
        <v>2.4680317424708236E-13</v>
      </c>
      <c r="AB1532">
        <f t="shared" ca="1" si="654"/>
        <v>-2.0000001677544788E-4</v>
      </c>
      <c r="AC1532">
        <f t="shared" ca="1" si="655"/>
        <v>1</v>
      </c>
      <c r="AD1532">
        <f ca="1">IF(V32="Supercritical",L1532,IF(V32="Subcritical",U1532,IF(AND(T1532=1,AC1532=1),IF((((F1532)*(L1532)^2)/2+(G1532)*(L1532)^3/3+(ABS(K1532)^2)/($I$5*MAX(((F1532)+(G1532)*(L1532))*(L1532),0.000001)))&gt;=(((F1532)*(U1532)^2)/2+(G1532)*(U1532)^3/3+(ABS(K1532)^2)/($I$5*MAX(((F1532)+(G1532)*(U1532))*(U1532),0.000001))),L1532,U1532),IF(T1532=1,L1532,IF(AC1532=1,U1532,MAX($D$16,POWER((ABS(K1532)^2)/($I$5*MAX(F1532,0.1)^2),1/3)))))))</f>
        <v>51800.26683766341</v>
      </c>
      <c r="AE1532">
        <f t="shared" ca="1" si="656"/>
        <v>52432.142037663412</v>
      </c>
      <c r="AF1532">
        <f t="shared" ca="1" si="657"/>
        <v>52432.1420376639</v>
      </c>
      <c r="AI1532">
        <v>0</v>
      </c>
      <c r="AJ1532">
        <v>0</v>
      </c>
      <c r="AK1532">
        <f t="shared" si="658"/>
        <v>0</v>
      </c>
      <c r="AL1532">
        <f t="shared" si="667"/>
        <v>0</v>
      </c>
      <c r="AM1532">
        <f t="shared" ca="1" si="659"/>
        <v>1.3674652637832258E-7</v>
      </c>
      <c r="AN1532" t="str">
        <f t="shared" ca="1" si="660"/>
        <v>Subcritical</v>
      </c>
      <c r="AO1532">
        <f t="shared" ca="1" si="661"/>
        <v>2.4680317424708236E-13</v>
      </c>
    </row>
    <row r="1533" spans="1:41" x14ac:dyDescent="0.35">
      <c r="A1533">
        <v>1384</v>
      </c>
      <c r="B1533">
        <v>1382.3979999999999</v>
      </c>
      <c r="C1533">
        <v>616065.73</v>
      </c>
      <c r="D1533">
        <v>3096621.8679999998</v>
      </c>
      <c r="E1533">
        <v>631.875</v>
      </c>
      <c r="F1533">
        <v>10.206</v>
      </c>
      <c r="G1533">
        <v>0</v>
      </c>
      <c r="H1533" t="s">
        <v>187</v>
      </c>
      <c r="I1533">
        <v>0</v>
      </c>
      <c r="J1533">
        <f t="shared" si="662"/>
        <v>0.50900000000001455</v>
      </c>
      <c r="K1533">
        <f t="shared" si="663"/>
        <v>51</v>
      </c>
      <c r="L1533">
        <f t="shared" ca="1" si="664"/>
        <v>51797.843837663619</v>
      </c>
      <c r="M1533">
        <f t="shared" ca="1" si="641"/>
        <v>528648.79420719482</v>
      </c>
      <c r="N1533">
        <f t="shared" ca="1" si="642"/>
        <v>5.1024973141377137</v>
      </c>
      <c r="O1533">
        <f t="shared" ca="1" si="643"/>
        <v>9.6472366075257571E-5</v>
      </c>
      <c r="P1533">
        <f t="shared" ca="1" si="644"/>
        <v>52429.718837663619</v>
      </c>
      <c r="Q1533">
        <f t="shared" ca="1" si="645"/>
        <v>52429.718837664092</v>
      </c>
      <c r="R1533">
        <f t="shared" ca="1" si="646"/>
        <v>2.3838449173728919E-13</v>
      </c>
      <c r="S1533">
        <f t="shared" ca="1" si="665"/>
        <v>2.0000001677544788E-4</v>
      </c>
      <c r="T1533">
        <f t="shared" ca="1" si="666"/>
        <v>1</v>
      </c>
      <c r="U1533">
        <f>MAX($D$16,($I$14)-E1533)</f>
        <v>51800.26683766341</v>
      </c>
      <c r="V1533">
        <f t="shared" si="648"/>
        <v>528673.52334519278</v>
      </c>
      <c r="W1533">
        <f t="shared" si="649"/>
        <v>5.1024973376489422</v>
      </c>
      <c r="X1533">
        <f t="shared" si="650"/>
        <v>9.6467853501148375E-5</v>
      </c>
      <c r="Y1533">
        <f t="shared" si="651"/>
        <v>52432.14183766341</v>
      </c>
      <c r="Z1533">
        <f t="shared" si="652"/>
        <v>52432.141837663883</v>
      </c>
      <c r="AA1533">
        <f t="shared" si="653"/>
        <v>2.3836218953389774E-13</v>
      </c>
      <c r="AB1533">
        <v>0</v>
      </c>
      <c r="AC1533">
        <v>1</v>
      </c>
      <c r="AD1533">
        <f ca="1">IF(V32="Supercritical",L1533,IF(V32="Subcritical",U1533,IF(AND(T1533=1,AC1533=1),IF((((F1533)*(L1533)^2)/2+(G1533)*(L1533)^3/3+(ABS(K1533)^2)/($I$5*MAX(((F1533)+(G1533)*(L1533))*(L1533),0.000001)))&gt;=(((F1533)*(U1533)^2)/2+(G1533)*(U1533)^3/3+(ABS(K1533)^2)/($I$5*MAX(((F1533)+(G1533)*(U1533))*(U1533),0.000001))),L1533,U1533),IF(T1533=1,L1533,IF(AC1533=1,U1533,MAX($D$16,POWER((ABS(K1533)^2)/($I$5*MAX(F1533,0.1)^2),1/3)))))))</f>
        <v>51800.26683766341</v>
      </c>
      <c r="AE1533">
        <f t="shared" ca="1" si="656"/>
        <v>52432.14183766341</v>
      </c>
      <c r="AF1533">
        <f t="shared" ca="1" si="657"/>
        <v>52432.141837663883</v>
      </c>
      <c r="AI1533">
        <v>0</v>
      </c>
      <c r="AJ1533">
        <v>0</v>
      </c>
      <c r="AK1533">
        <f t="shared" si="658"/>
        <v>0</v>
      </c>
      <c r="AL1533">
        <f t="shared" si="667"/>
        <v>0</v>
      </c>
      <c r="AM1533">
        <f t="shared" ca="1" si="659"/>
        <v>1.3532627047041521E-7</v>
      </c>
      <c r="AN1533" t="str">
        <f t="shared" ca="1" si="660"/>
        <v>Subcritical</v>
      </c>
      <c r="AO1533">
        <f t="shared" ca="1" si="661"/>
        <v>2.3836218953389774E-13</v>
      </c>
    </row>
    <row r="1536" spans="1:41" x14ac:dyDescent="0.35">
      <c r="A1536" t="s">
        <v>189</v>
      </c>
      <c r="E1536">
        <f>E33</f>
        <v>17.254999999999999</v>
      </c>
      <c r="F1536" t="s">
        <v>141</v>
      </c>
      <c r="H1536">
        <f>N33</f>
        <v>0</v>
      </c>
      <c r="I1536" t="s">
        <v>13</v>
      </c>
      <c r="K1536" t="str">
        <f>V33</f>
        <v>Mixed</v>
      </c>
      <c r="L1536" t="s">
        <v>142</v>
      </c>
    </row>
    <row r="1537" spans="1:41" x14ac:dyDescent="0.35">
      <c r="A1537" t="s">
        <v>143</v>
      </c>
      <c r="B1537" t="s">
        <v>144</v>
      </c>
      <c r="C1537" t="s">
        <v>145</v>
      </c>
      <c r="D1537" t="s">
        <v>146</v>
      </c>
      <c r="E1537" t="s">
        <v>147</v>
      </c>
      <c r="F1537" t="s">
        <v>148</v>
      </c>
      <c r="G1537" t="s">
        <v>149</v>
      </c>
      <c r="H1537" t="s">
        <v>9</v>
      </c>
      <c r="I1537" t="s">
        <v>150</v>
      </c>
      <c r="J1537" t="s">
        <v>151</v>
      </c>
      <c r="K1537" t="s">
        <v>152</v>
      </c>
      <c r="L1537" t="s">
        <v>153</v>
      </c>
      <c r="M1537" t="s">
        <v>154</v>
      </c>
      <c r="N1537" t="s">
        <v>155</v>
      </c>
      <c r="O1537" t="s">
        <v>156</v>
      </c>
      <c r="P1537" t="s">
        <v>157</v>
      </c>
      <c r="Q1537" t="s">
        <v>158</v>
      </c>
      <c r="R1537" t="s">
        <v>159</v>
      </c>
      <c r="S1537" t="s">
        <v>160</v>
      </c>
      <c r="T1537" t="s">
        <v>161</v>
      </c>
      <c r="U1537" t="s">
        <v>162</v>
      </c>
      <c r="V1537" t="s">
        <v>163</v>
      </c>
      <c r="W1537" t="s">
        <v>164</v>
      </c>
      <c r="X1537" t="s">
        <v>165</v>
      </c>
      <c r="Y1537" t="s">
        <v>166</v>
      </c>
      <c r="Z1537" t="s">
        <v>167</v>
      </c>
      <c r="AA1537" t="s">
        <v>168</v>
      </c>
      <c r="AB1537" t="s">
        <v>169</v>
      </c>
      <c r="AC1537" t="s">
        <v>170</v>
      </c>
      <c r="AD1537" t="s">
        <v>171</v>
      </c>
      <c r="AE1537" t="s">
        <v>172</v>
      </c>
      <c r="AF1537" t="s">
        <v>173</v>
      </c>
      <c r="AG1537" t="s">
        <v>174</v>
      </c>
      <c r="AH1537" t="s">
        <v>175</v>
      </c>
      <c r="AI1537" t="s">
        <v>176</v>
      </c>
      <c r="AJ1537" t="s">
        <v>177</v>
      </c>
      <c r="AK1537" t="s">
        <v>178</v>
      </c>
      <c r="AL1537" t="s">
        <v>179</v>
      </c>
      <c r="AM1537" t="s">
        <v>180</v>
      </c>
      <c r="AN1537" t="s">
        <v>181</v>
      </c>
      <c r="AO1537" t="s">
        <v>182</v>
      </c>
    </row>
    <row r="1538" spans="1:41" x14ac:dyDescent="0.35">
      <c r="A1538" t="s">
        <v>22</v>
      </c>
      <c r="B1538" t="s">
        <v>52</v>
      </c>
      <c r="C1538" t="s">
        <v>52</v>
      </c>
      <c r="D1538" t="s">
        <v>52</v>
      </c>
      <c r="E1538" t="s">
        <v>52</v>
      </c>
      <c r="F1538" t="s">
        <v>52</v>
      </c>
      <c r="G1538" t="s">
        <v>22</v>
      </c>
      <c r="H1538" t="s">
        <v>22</v>
      </c>
      <c r="I1538" t="s">
        <v>183</v>
      </c>
      <c r="J1538" t="s">
        <v>52</v>
      </c>
      <c r="K1538" t="s">
        <v>13</v>
      </c>
      <c r="L1538" t="s">
        <v>52</v>
      </c>
      <c r="M1538" t="s">
        <v>184</v>
      </c>
      <c r="N1538" t="s">
        <v>52</v>
      </c>
      <c r="O1538" t="s">
        <v>185</v>
      </c>
      <c r="P1538" t="s">
        <v>52</v>
      </c>
      <c r="Q1538" t="s">
        <v>52</v>
      </c>
      <c r="R1538" t="s">
        <v>22</v>
      </c>
      <c r="S1538" t="s">
        <v>52</v>
      </c>
      <c r="T1538" t="s">
        <v>22</v>
      </c>
      <c r="U1538" t="s">
        <v>52</v>
      </c>
      <c r="V1538" t="s">
        <v>184</v>
      </c>
      <c r="W1538" t="s">
        <v>52</v>
      </c>
      <c r="X1538" t="s">
        <v>185</v>
      </c>
      <c r="Y1538" t="s">
        <v>52</v>
      </c>
      <c r="Z1538" t="s">
        <v>52</v>
      </c>
      <c r="AA1538" t="s">
        <v>22</v>
      </c>
      <c r="AB1538" t="s">
        <v>52</v>
      </c>
      <c r="AC1538" t="s">
        <v>22</v>
      </c>
      <c r="AD1538" t="s">
        <v>52</v>
      </c>
      <c r="AE1538" t="s">
        <v>52</v>
      </c>
      <c r="AF1538" t="s">
        <v>52</v>
      </c>
      <c r="AG1538" t="s">
        <v>52</v>
      </c>
      <c r="AH1538" t="s">
        <v>52</v>
      </c>
      <c r="AI1538" t="s">
        <v>13</v>
      </c>
      <c r="AJ1538" t="s">
        <v>13</v>
      </c>
      <c r="AK1538" t="s">
        <v>13</v>
      </c>
      <c r="AL1538" t="s">
        <v>13</v>
      </c>
      <c r="AM1538" t="s">
        <v>22</v>
      </c>
      <c r="AN1538" t="s">
        <v>22</v>
      </c>
      <c r="AO1538" t="s">
        <v>22</v>
      </c>
    </row>
    <row r="1539" spans="1:41" x14ac:dyDescent="0.35">
      <c r="A1539">
        <v>1</v>
      </c>
      <c r="B1539">
        <v>0</v>
      </c>
      <c r="C1539">
        <v>616556.01300000004</v>
      </c>
      <c r="D1539">
        <v>3097760.4479999999</v>
      </c>
      <c r="E1539">
        <v>634.298</v>
      </c>
      <c r="F1539">
        <v>6.5579999999999998</v>
      </c>
      <c r="G1539">
        <v>0</v>
      </c>
      <c r="H1539" t="s">
        <v>187</v>
      </c>
      <c r="I1539">
        <v>0</v>
      </c>
      <c r="J1539">
        <v>0</v>
      </c>
      <c r="K1539">
        <f>N33</f>
        <v>0</v>
      </c>
      <c r="L1539">
        <f>MAX($D$16,($I$13)-E1539)</f>
        <v>51797.843837663619</v>
      </c>
      <c r="M1539">
        <f t="shared" ref="M1539:M1557" si="668">((F1539)+(G1539)*(L1539))*(L1539)</f>
        <v>339690.25988739799</v>
      </c>
      <c r="N1539">
        <f t="shared" ref="N1539:N1557" si="669">(((F1539)+(G1539)*(L1539))*(L1539))/MAX((F1539)+2*(L1539)*SQRT(1+(G1539)^2),0.000001)</f>
        <v>3.2787924400010842</v>
      </c>
      <c r="O1539">
        <f t="shared" ref="O1539:O1557" si="670">ABS(K1539)/MAX(((F1539)+(G1539)*(L1539))*(L1539),0.000001)</f>
        <v>0</v>
      </c>
      <c r="P1539">
        <f t="shared" ref="P1539:P1557" si="671">E1539+L1539</f>
        <v>52432.141837663621</v>
      </c>
      <c r="Q1539">
        <f t="shared" ref="Q1539:Q1557" si="672">P1539+((ABS(K1539)/MAX(((F1539)+(G1539)*(L1539))*(L1539),0.000001))^2)/(2*$I$5)</f>
        <v>52432.141837663621</v>
      </c>
      <c r="R1539">
        <f t="shared" ref="R1539:R1557" si="673">((ABS(K1539)*$D$6)/(MAX(((F1539)+(G1539)*(L1539))*(L1539),0.000001)*MAX(((((F1539)+(G1539)*(L1539))*(L1539))/MAX((F1539)+2*(L1539)*SQRT(1+(G1539)^2),0.000001))^(2/3),0.000001)))^2</f>
        <v>0</v>
      </c>
      <c r="S1539">
        <v>0</v>
      </c>
      <c r="T1539">
        <v>1</v>
      </c>
      <c r="U1539">
        <f t="shared" ref="U1539:U1556" ca="1" si="674">IF($D$20=0,U1540,IF(AC1540=0,U1540,IF(U1539=0,U1540,IF(ABS(AB1539)&gt;$D$19,MAX($D$16,U1539+((AB1539)*$D$18*IF((ABS(ABS(K1539)/MAX(((F1539)+(G1539)*(U1539))*(U1539),0.000001))/SQRT($I$5*MAX((((F1539)+(G1539)*(U1539))*(U1539))/MAX((F1539)+2*(G1539)*(U1539),0.000001),0.000001)))&lt;1,1,-1))),U1539))))</f>
        <v>0.05</v>
      </c>
      <c r="V1539">
        <f t="shared" ref="V1539:V1557" ca="1" si="675">((F1539)+(G1539)*(U1539))*(U1539)</f>
        <v>0.32790000000000002</v>
      </c>
      <c r="W1539">
        <f t="shared" ref="W1539:W1557" ca="1" si="676">(((F1539)+(G1539)*(U1539))*(U1539))/MAX((F1539)+2*(U1539)*SQRT(1+(G1539)^2),0.000001)</f>
        <v>4.9249023730850112E-2</v>
      </c>
      <c r="X1539">
        <f t="shared" ref="X1539:X1557" ca="1" si="677">ABS(K1539)/MAX(((F1539)+(G1539)*(U1539))*(U1539),0.000001)</f>
        <v>0</v>
      </c>
      <c r="Y1539">
        <f t="shared" ref="Y1539:Y1557" ca="1" si="678">E1539+U1539</f>
        <v>634.34799999999996</v>
      </c>
      <c r="Z1539">
        <f t="shared" ref="Z1539:Z1557" ca="1" si="679">Y1539+((ABS(K1539)/MAX(((F1539)+(G1539)*(U1539))*(U1539),0.000001))^2)/(2*$I$5)</f>
        <v>634.34799999999996</v>
      </c>
      <c r="AA1539">
        <f t="shared" ref="AA1539:AA1557" ca="1" si="680">((ABS(K1539)*$D$6)/(MAX(((F1539)+(G1539)*(U1539))*(U1539),0.000001)*MAX(((((F1539)+(G1539)*(U1539))*(U1539))/MAX((F1539)+2*(U1539)*SQRT(1+(G1539)^2),0.000001))^(2/3),0.000001)))^2</f>
        <v>0</v>
      </c>
      <c r="AB1539">
        <f t="shared" ref="AB1539:AB1556" ca="1" si="681">Z1540+(((AA1539+AA1540)/2)*J1540)+(IF(X1539&gt;X1540,$D$8*((X1539^2-X1540^2)/(2*$I$5)),$D$9*((X1540^2-X1539^2)/(2*$I$5)))+($D$10*(ABS(I1540)/90)*(MAX(X1539^2,X1540^2)/(2*$I$5))))-Z1539</f>
        <v>-1.9999999999527063E-3</v>
      </c>
      <c r="AC1539">
        <f t="shared" ref="AC1539:AC1556" ca="1" si="682">IF(ABS(AB1539)&lt;$D$19,1,0)</f>
        <v>0</v>
      </c>
      <c r="AD1539">
        <f ca="1">IF(V33="Supercritical",L1539,IF(V33="Subcritical",U1539,IF(AND(T1539=1,AC1539=1),IF((((F1539)*(L1539)^2)/2+(G1539)*(L1539)^3/3+(ABS(K1539)^2)/($I$5*MAX(((F1539)+(G1539)*(L1539))*(L1539),0.000001)))&gt;=(((F1539)*(U1539)^2)/2+(G1539)*(U1539)^3/3+(ABS(K1539)^2)/($I$5*MAX(((F1539)+(G1539)*(U1539))*(U1539),0.000001))),L1539,U1539),IF(T1539=1,L1539,IF(AC1539=1,U1539,MAX($D$16,POWER((ABS(K1539)^2)/($I$5*MAX(F1539,0.1)^2),1/3)))))))</f>
        <v>51797.843837663619</v>
      </c>
      <c r="AE1539">
        <f t="shared" ref="AE1539:AE1557" ca="1" si="683">E1539+AD1539</f>
        <v>52432.141837663621</v>
      </c>
      <c r="AF1539">
        <f t="shared" ref="AF1539:AF1557" ca="1" si="684">AE1539+((ABS(K1539)/MAX(((F1539)+(G1539)*(AD1539))*(AD1539),0.000001))^2)/(2*$I$5)</f>
        <v>52432.141837663621</v>
      </c>
      <c r="AI1539">
        <v>0</v>
      </c>
      <c r="AJ1539">
        <v>0</v>
      </c>
      <c r="AK1539">
        <f t="shared" ref="AK1539:AK1557" si="685">AI1539+AJ1539</f>
        <v>0</v>
      </c>
      <c r="AL1539">
        <f>AK1539</f>
        <v>0</v>
      </c>
      <c r="AM1539">
        <f t="shared" ref="AM1539:AM1557" ca="1" si="686">ABS(ABS(K1539)/MAX(((F1539)+(G1539)*(AD1539))*(AD1539),0.000001))/SQRT($I$5*MAX((((F1539)+(G1539)*(AD1539))*(AD1539))/MAX((F1539)+2*(G1539)*(AD1539),0.000001),0.000001))</f>
        <v>0</v>
      </c>
      <c r="AN1539" t="str">
        <f t="shared" ref="AN1539:AN1557" ca="1" si="687">IF(AM1539&lt;1,"Subcritical","Supercritical")</f>
        <v>Subcritical</v>
      </c>
      <c r="AO1539">
        <f t="shared" ref="AO1539:AO1557" ca="1" si="688">((ABS(K1539)*$D$6)/(MAX(((F1539)+(G1539)*(AD1539))*(AD1539),0.000001)*MAX(((((F1539)+(G1539)*(AD1539))*(AD1539))/MAX((F1539)+2*(AD1539)*SQRT(1+(G1539)^2),0.000001))^(2/3),0.000001)))^2</f>
        <v>0</v>
      </c>
    </row>
    <row r="1540" spans="1:41" x14ac:dyDescent="0.35">
      <c r="A1540">
        <v>2</v>
      </c>
      <c r="B1540">
        <v>1</v>
      </c>
      <c r="C1540">
        <v>616555.54299999995</v>
      </c>
      <c r="D1540">
        <v>3097759.5649999999</v>
      </c>
      <c r="E1540">
        <v>634.29600000000005</v>
      </c>
      <c r="F1540">
        <v>7.1909999999999998</v>
      </c>
      <c r="G1540">
        <v>0</v>
      </c>
      <c r="H1540" t="s">
        <v>187</v>
      </c>
      <c r="I1540">
        <v>2.7E-2</v>
      </c>
      <c r="J1540">
        <f t="shared" ref="J1540:J1557" si="689">B1540-B1539</f>
        <v>1</v>
      </c>
      <c r="K1540">
        <f t="shared" ref="K1540:K1557" si="690">MAX(0,K1539-AK1539)</f>
        <v>0</v>
      </c>
      <c r="L1540">
        <f t="shared" ref="L1540:L1557" ca="1" si="691">IF($D$20=0,L1539,IF(T1539=0,L1539,IF(L1540=0,L1539,IF(ABS(S1540)&gt;$D$19,MAX($D$16,L1540+((S1540)*$D$18*IF((ABS(ABS(K1540)/MAX(((F1540)+(G1540)*(L1540))*(L1540),0.000001))/SQRT($I$5*MAX((((F1540)+(G1540)*(L1540))*(L1540))/MAX((F1540)+2*(G1540)*(L1540),0.000001),0.000001)))&lt;1,1,-1))),L1540))))</f>
        <v>51797.844950252991</v>
      </c>
      <c r="M1540">
        <f t="shared" ca="1" si="668"/>
        <v>372478.30303726927</v>
      </c>
      <c r="N1540">
        <f t="shared" ca="1" si="669"/>
        <v>3.5952504389812785</v>
      </c>
      <c r="O1540">
        <f t="shared" ca="1" si="670"/>
        <v>0</v>
      </c>
      <c r="P1540">
        <f t="shared" ca="1" si="671"/>
        <v>52432.140950252993</v>
      </c>
      <c r="Q1540">
        <f t="shared" ca="1" si="672"/>
        <v>52432.140950252993</v>
      </c>
      <c r="R1540">
        <f t="shared" ca="1" si="673"/>
        <v>0</v>
      </c>
      <c r="S1540">
        <f t="shared" ref="S1540:S1557" ca="1" si="692">Q1539-(((R1539+R1540)/2)*J1540)-(IF(O1539&gt;O1540,$D$8*((O1539^2-O1540^2)/(2*$I$5)),$D$9*((O1540^2-O1539^2)/(2*$I$5)))+($D$10*(ABS(I1540)/90)*(MAX(O1539^2,O1540^2)/(2*$I$5))))-Q1540</f>
        <v>8.8741062791086733E-4</v>
      </c>
      <c r="T1540">
        <f t="shared" ref="T1540:T1557" ca="1" si="693">IF(ABS(S1540)&lt;$D$19,1,0)</f>
        <v>1</v>
      </c>
      <c r="U1540">
        <f t="shared" ca="1" si="674"/>
        <v>0.05</v>
      </c>
      <c r="V1540">
        <f t="shared" ca="1" si="675"/>
        <v>0.35955000000000004</v>
      </c>
      <c r="W1540">
        <f t="shared" ca="1" si="676"/>
        <v>4.9314223014675633E-2</v>
      </c>
      <c r="X1540">
        <f t="shared" ca="1" si="677"/>
        <v>0</v>
      </c>
      <c r="Y1540">
        <f t="shared" ca="1" si="678"/>
        <v>634.346</v>
      </c>
      <c r="Z1540">
        <f t="shared" ca="1" si="679"/>
        <v>634.346</v>
      </c>
      <c r="AA1540">
        <f t="shared" ca="1" si="680"/>
        <v>0</v>
      </c>
      <c r="AB1540">
        <f t="shared" ca="1" si="681"/>
        <v>-2.0000000000663931E-3</v>
      </c>
      <c r="AC1540">
        <f t="shared" ca="1" si="682"/>
        <v>0</v>
      </c>
      <c r="AD1540">
        <f ca="1">IF(V33="Supercritical",L1540,IF(V33="Subcritical",U1540,IF(AND(T1540=1,AC1540=1),IF((((F1540)*(L1540)^2)/2+(G1540)*(L1540)^3/3+(ABS(K1540)^2)/($I$5*MAX(((F1540)+(G1540)*(L1540))*(L1540),0.000001)))&gt;=(((F1540)*(U1540)^2)/2+(G1540)*(U1540)^3/3+(ABS(K1540)^2)/($I$5*MAX(((F1540)+(G1540)*(U1540))*(U1540),0.000001))),L1540,U1540),IF(T1540=1,L1540,IF(AC1540=1,U1540,MAX($D$16,POWER((ABS(K1540)^2)/($I$5*MAX(F1540,0.1)^2),1/3)))))))</f>
        <v>51797.844950252991</v>
      </c>
      <c r="AE1540">
        <f t="shared" ca="1" si="683"/>
        <v>52432.140950252993</v>
      </c>
      <c r="AF1540">
        <f t="shared" ca="1" si="684"/>
        <v>52432.140950252993</v>
      </c>
      <c r="AI1540">
        <v>0</v>
      </c>
      <c r="AJ1540">
        <v>0</v>
      </c>
      <c r="AK1540">
        <f t="shared" si="685"/>
        <v>0</v>
      </c>
      <c r="AL1540">
        <f t="shared" ref="AL1540:AL1557" si="694">AL1539+AK1540</f>
        <v>0</v>
      </c>
      <c r="AM1540">
        <f t="shared" ca="1" si="686"/>
        <v>0</v>
      </c>
      <c r="AN1540" t="str">
        <f t="shared" ca="1" si="687"/>
        <v>Subcritical</v>
      </c>
      <c r="AO1540">
        <f t="shared" ca="1" si="688"/>
        <v>0</v>
      </c>
    </row>
    <row r="1541" spans="1:41" x14ac:dyDescent="0.35">
      <c r="A1541">
        <v>3</v>
      </c>
      <c r="B1541">
        <v>2</v>
      </c>
      <c r="C1541">
        <v>616555.07299999997</v>
      </c>
      <c r="D1541">
        <v>3097758.6830000002</v>
      </c>
      <c r="E1541">
        <v>634.29399999999998</v>
      </c>
      <c r="F1541">
        <v>7.9269999999999996</v>
      </c>
      <c r="G1541">
        <v>0</v>
      </c>
      <c r="H1541" t="s">
        <v>187</v>
      </c>
      <c r="I1541">
        <v>2.7E-2</v>
      </c>
      <c r="J1541">
        <f t="shared" si="689"/>
        <v>1</v>
      </c>
      <c r="K1541">
        <f t="shared" si="690"/>
        <v>0</v>
      </c>
      <c r="L1541">
        <f t="shared" ca="1" si="691"/>
        <v>51797.845981095212</v>
      </c>
      <c r="M1541">
        <f t="shared" ca="1" si="668"/>
        <v>410601.5250921417</v>
      </c>
      <c r="N1541">
        <f t="shared" ca="1" si="669"/>
        <v>3.9631967416310863</v>
      </c>
      <c r="O1541">
        <f t="shared" ca="1" si="670"/>
        <v>0</v>
      </c>
      <c r="P1541">
        <f t="shared" ca="1" si="671"/>
        <v>52432.139981095213</v>
      </c>
      <c r="Q1541">
        <f t="shared" ca="1" si="672"/>
        <v>52432.139981095213</v>
      </c>
      <c r="R1541">
        <f t="shared" ca="1" si="673"/>
        <v>0</v>
      </c>
      <c r="S1541">
        <f t="shared" ca="1" si="692"/>
        <v>9.6915777976391837E-4</v>
      </c>
      <c r="T1541">
        <f t="shared" ca="1" si="693"/>
        <v>1</v>
      </c>
      <c r="U1541">
        <f t="shared" ca="1" si="674"/>
        <v>0.05</v>
      </c>
      <c r="V1541">
        <f t="shared" ca="1" si="675"/>
        <v>0.39634999999999998</v>
      </c>
      <c r="W1541">
        <f t="shared" ca="1" si="676"/>
        <v>4.9377102279805657E-2</v>
      </c>
      <c r="X1541">
        <f t="shared" ca="1" si="677"/>
        <v>0</v>
      </c>
      <c r="Y1541">
        <f t="shared" ca="1" si="678"/>
        <v>634.34399999999994</v>
      </c>
      <c r="Z1541">
        <f t="shared" ca="1" si="679"/>
        <v>634.34399999999994</v>
      </c>
      <c r="AA1541">
        <f t="shared" ca="1" si="680"/>
        <v>0</v>
      </c>
      <c r="AB1541">
        <f t="shared" ca="1" si="681"/>
        <v>-1.9999999999527063E-3</v>
      </c>
      <c r="AC1541">
        <f t="shared" ca="1" si="682"/>
        <v>0</v>
      </c>
      <c r="AD1541">
        <f ca="1">IF(V33="Supercritical",L1541,IF(V33="Subcritical",U1541,IF(AND(T1541=1,AC1541=1),IF((((F1541)*(L1541)^2)/2+(G1541)*(L1541)^3/3+(ABS(K1541)^2)/($I$5*MAX(((F1541)+(G1541)*(L1541))*(L1541),0.000001)))&gt;=(((F1541)*(U1541)^2)/2+(G1541)*(U1541)^3/3+(ABS(K1541)^2)/($I$5*MAX(((F1541)+(G1541)*(U1541))*(U1541),0.000001))),L1541,U1541),IF(T1541=1,L1541,IF(AC1541=1,U1541,MAX($D$16,POWER((ABS(K1541)^2)/($I$5*MAX(F1541,0.1)^2),1/3)))))))</f>
        <v>51797.845981095212</v>
      </c>
      <c r="AE1541">
        <f t="shared" ca="1" si="683"/>
        <v>52432.139981095213</v>
      </c>
      <c r="AF1541">
        <f t="shared" ca="1" si="684"/>
        <v>52432.139981095213</v>
      </c>
      <c r="AI1541">
        <v>0</v>
      </c>
      <c r="AJ1541">
        <v>0</v>
      </c>
      <c r="AK1541">
        <f t="shared" si="685"/>
        <v>0</v>
      </c>
      <c r="AL1541">
        <f t="shared" si="694"/>
        <v>0</v>
      </c>
      <c r="AM1541">
        <f t="shared" ca="1" si="686"/>
        <v>0</v>
      </c>
      <c r="AN1541" t="str">
        <f t="shared" ca="1" si="687"/>
        <v>Subcritical</v>
      </c>
      <c r="AO1541">
        <f t="shared" ca="1" si="688"/>
        <v>0</v>
      </c>
    </row>
    <row r="1542" spans="1:41" x14ac:dyDescent="0.35">
      <c r="A1542">
        <v>4</v>
      </c>
      <c r="B1542">
        <v>3</v>
      </c>
      <c r="C1542">
        <v>616554.603</v>
      </c>
      <c r="D1542">
        <v>3097757.8</v>
      </c>
      <c r="E1542">
        <v>634.29200000000003</v>
      </c>
      <c r="F1542">
        <v>8.6639999999999997</v>
      </c>
      <c r="G1542">
        <v>0</v>
      </c>
      <c r="H1542" t="s">
        <v>187</v>
      </c>
      <c r="I1542">
        <v>0</v>
      </c>
      <c r="J1542">
        <f t="shared" si="689"/>
        <v>1</v>
      </c>
      <c r="K1542">
        <f t="shared" si="690"/>
        <v>0</v>
      </c>
      <c r="L1542">
        <f t="shared" ca="1" si="691"/>
        <v>51797.847004406984</v>
      </c>
      <c r="M1542">
        <f t="shared" ca="1" si="668"/>
        <v>448776.54644618207</v>
      </c>
      <c r="N1542">
        <f t="shared" ca="1" si="669"/>
        <v>4.3316377329224229</v>
      </c>
      <c r="O1542">
        <f t="shared" ca="1" si="670"/>
        <v>0</v>
      </c>
      <c r="P1542">
        <f t="shared" ca="1" si="671"/>
        <v>52432.139004406985</v>
      </c>
      <c r="Q1542">
        <f t="shared" ca="1" si="672"/>
        <v>52432.139004406985</v>
      </c>
      <c r="R1542">
        <f t="shared" ca="1" si="673"/>
        <v>0</v>
      </c>
      <c r="S1542">
        <f t="shared" ca="1" si="692"/>
        <v>9.7668822854757309E-4</v>
      </c>
      <c r="T1542">
        <f t="shared" ca="1" si="693"/>
        <v>1</v>
      </c>
      <c r="U1542">
        <f t="shared" ca="1" si="674"/>
        <v>0.05</v>
      </c>
      <c r="V1542">
        <f t="shared" ca="1" si="675"/>
        <v>0.43320000000000003</v>
      </c>
      <c r="W1542">
        <f t="shared" ca="1" si="676"/>
        <v>4.9429484253765414E-2</v>
      </c>
      <c r="X1542">
        <f t="shared" ca="1" si="677"/>
        <v>0</v>
      </c>
      <c r="Y1542">
        <f t="shared" ca="1" si="678"/>
        <v>634.34199999999998</v>
      </c>
      <c r="Z1542">
        <f t="shared" ca="1" si="679"/>
        <v>634.34199999999998</v>
      </c>
      <c r="AA1542">
        <f t="shared" ca="1" si="680"/>
        <v>0</v>
      </c>
      <c r="AB1542">
        <f t="shared" ca="1" si="681"/>
        <v>-2.0000000000663931E-3</v>
      </c>
      <c r="AC1542">
        <f t="shared" ca="1" si="682"/>
        <v>0</v>
      </c>
      <c r="AD1542">
        <f ca="1">IF(V33="Supercritical",L1542,IF(V33="Subcritical",U1542,IF(AND(T1542=1,AC1542=1),IF((((F1542)*(L1542)^2)/2+(G1542)*(L1542)^3/3+(ABS(K1542)^2)/($I$5*MAX(((F1542)+(G1542)*(L1542))*(L1542),0.000001)))&gt;=(((F1542)*(U1542)^2)/2+(G1542)*(U1542)^3/3+(ABS(K1542)^2)/($I$5*MAX(((F1542)+(G1542)*(U1542))*(U1542),0.000001))),L1542,U1542),IF(T1542=1,L1542,IF(AC1542=1,U1542,MAX($D$16,POWER((ABS(K1542)^2)/($I$5*MAX(F1542,0.1)^2),1/3)))))))</f>
        <v>51797.847004406984</v>
      </c>
      <c r="AE1542">
        <f t="shared" ca="1" si="683"/>
        <v>52432.139004406985</v>
      </c>
      <c r="AF1542">
        <f t="shared" ca="1" si="684"/>
        <v>52432.139004406985</v>
      </c>
      <c r="AI1542">
        <v>0</v>
      </c>
      <c r="AJ1542">
        <v>0</v>
      </c>
      <c r="AK1542">
        <f t="shared" si="685"/>
        <v>0</v>
      </c>
      <c r="AL1542">
        <f t="shared" si="694"/>
        <v>0</v>
      </c>
      <c r="AM1542">
        <f t="shared" ca="1" si="686"/>
        <v>0</v>
      </c>
      <c r="AN1542" t="str">
        <f t="shared" ca="1" si="687"/>
        <v>Subcritical</v>
      </c>
      <c r="AO1542">
        <f t="shared" ca="1" si="688"/>
        <v>0</v>
      </c>
    </row>
    <row r="1543" spans="1:41" x14ac:dyDescent="0.35">
      <c r="A1543">
        <v>5</v>
      </c>
      <c r="B1543">
        <v>4</v>
      </c>
      <c r="C1543">
        <v>616554.13300000003</v>
      </c>
      <c r="D1543">
        <v>3097756.9169999999</v>
      </c>
      <c r="E1543">
        <v>634.29</v>
      </c>
      <c r="F1543">
        <v>9.4009999999999998</v>
      </c>
      <c r="G1543">
        <v>0</v>
      </c>
      <c r="H1543" t="s">
        <v>187</v>
      </c>
      <c r="I1543">
        <v>0</v>
      </c>
      <c r="J1543">
        <f t="shared" si="689"/>
        <v>1</v>
      </c>
      <c r="K1543">
        <f t="shared" si="690"/>
        <v>0</v>
      </c>
      <c r="L1543">
        <f t="shared" ca="1" si="691"/>
        <v>51797.848027025066</v>
      </c>
      <c r="M1543">
        <f t="shared" ca="1" si="668"/>
        <v>486951.56930206262</v>
      </c>
      <c r="N1543">
        <f t="shared" ca="1" si="669"/>
        <v>4.7000734823695307</v>
      </c>
      <c r="O1543">
        <f t="shared" ca="1" si="670"/>
        <v>0</v>
      </c>
      <c r="P1543">
        <f t="shared" ca="1" si="671"/>
        <v>52432.138027025067</v>
      </c>
      <c r="Q1543">
        <f t="shared" ca="1" si="672"/>
        <v>52432.138027025067</v>
      </c>
      <c r="R1543">
        <f t="shared" ca="1" si="673"/>
        <v>0</v>
      </c>
      <c r="S1543">
        <f t="shared" ca="1" si="692"/>
        <v>9.7738191834650934E-4</v>
      </c>
      <c r="T1543">
        <f t="shared" ca="1" si="693"/>
        <v>1</v>
      </c>
      <c r="U1543">
        <f t="shared" ca="1" si="674"/>
        <v>0.05</v>
      </c>
      <c r="V1543">
        <f t="shared" ca="1" si="675"/>
        <v>0.47005000000000002</v>
      </c>
      <c r="W1543">
        <f t="shared" ca="1" si="676"/>
        <v>4.9473739606357231E-2</v>
      </c>
      <c r="X1543">
        <f t="shared" ca="1" si="677"/>
        <v>0</v>
      </c>
      <c r="Y1543">
        <f t="shared" ca="1" si="678"/>
        <v>634.33999999999992</v>
      </c>
      <c r="Z1543">
        <f t="shared" ca="1" si="679"/>
        <v>634.33999999999992</v>
      </c>
      <c r="AA1543">
        <f t="shared" ca="1" si="680"/>
        <v>0</v>
      </c>
      <c r="AB1543">
        <f t="shared" ca="1" si="681"/>
        <v>-1.9999999999527063E-3</v>
      </c>
      <c r="AC1543">
        <f t="shared" ca="1" si="682"/>
        <v>0</v>
      </c>
      <c r="AD1543">
        <f ca="1">IF(V33="Supercritical",L1543,IF(V33="Subcritical",U1543,IF(AND(T1543=1,AC1543=1),IF((((F1543)*(L1543)^2)/2+(G1543)*(L1543)^3/3+(ABS(K1543)^2)/($I$5*MAX(((F1543)+(G1543)*(L1543))*(L1543),0.000001)))&gt;=(((F1543)*(U1543)^2)/2+(G1543)*(U1543)^3/3+(ABS(K1543)^2)/($I$5*MAX(((F1543)+(G1543)*(U1543))*(U1543),0.000001))),L1543,U1543),IF(T1543=1,L1543,IF(AC1543=1,U1543,MAX($D$16,POWER((ABS(K1543)^2)/($I$5*MAX(F1543,0.1)^2),1/3)))))))</f>
        <v>51797.848027025066</v>
      </c>
      <c r="AE1543">
        <f t="shared" ca="1" si="683"/>
        <v>52432.138027025067</v>
      </c>
      <c r="AF1543">
        <f t="shared" ca="1" si="684"/>
        <v>52432.138027025067</v>
      </c>
      <c r="AI1543">
        <v>0</v>
      </c>
      <c r="AJ1543">
        <v>0</v>
      </c>
      <c r="AK1543">
        <f t="shared" si="685"/>
        <v>0</v>
      </c>
      <c r="AL1543">
        <f t="shared" si="694"/>
        <v>0</v>
      </c>
      <c r="AM1543">
        <f t="shared" ca="1" si="686"/>
        <v>0</v>
      </c>
      <c r="AN1543" t="str">
        <f t="shared" ca="1" si="687"/>
        <v>Subcritical</v>
      </c>
      <c r="AO1543">
        <f t="shared" ca="1" si="688"/>
        <v>0</v>
      </c>
    </row>
    <row r="1544" spans="1:41" x14ac:dyDescent="0.35">
      <c r="A1544">
        <v>6</v>
      </c>
      <c r="B1544">
        <v>5.0010000000000003</v>
      </c>
      <c r="C1544">
        <v>616553.66299999994</v>
      </c>
      <c r="D1544">
        <v>3097756.034</v>
      </c>
      <c r="E1544">
        <v>634.28800000000001</v>
      </c>
      <c r="F1544">
        <v>10.138</v>
      </c>
      <c r="G1544">
        <v>0</v>
      </c>
      <c r="H1544" t="s">
        <v>187</v>
      </c>
      <c r="I1544">
        <v>2.7E-2</v>
      </c>
      <c r="J1544">
        <f t="shared" si="689"/>
        <v>1.0010000000000003</v>
      </c>
      <c r="K1544">
        <f t="shared" si="690"/>
        <v>0</v>
      </c>
      <c r="L1544">
        <f t="shared" ca="1" si="691"/>
        <v>51797.849049579243</v>
      </c>
      <c r="M1544">
        <f t="shared" ca="1" si="668"/>
        <v>525126.59366463439</v>
      </c>
      <c r="N1544">
        <f t="shared" ca="1" si="669"/>
        <v>5.0685039900845856</v>
      </c>
      <c r="O1544">
        <f t="shared" ca="1" si="670"/>
        <v>0</v>
      </c>
      <c r="P1544">
        <f t="shared" ca="1" si="671"/>
        <v>52432.137049579243</v>
      </c>
      <c r="Q1544">
        <f t="shared" ca="1" si="672"/>
        <v>52432.137049579243</v>
      </c>
      <c r="R1544">
        <f t="shared" ca="1" si="673"/>
        <v>0</v>
      </c>
      <c r="S1544">
        <f t="shared" ca="1" si="692"/>
        <v>9.7744582308223471E-4</v>
      </c>
      <c r="T1544">
        <f t="shared" ca="1" si="693"/>
        <v>1</v>
      </c>
      <c r="U1544">
        <f t="shared" ca="1" si="674"/>
        <v>0.05</v>
      </c>
      <c r="V1544">
        <f t="shared" ca="1" si="675"/>
        <v>0.50690000000000002</v>
      </c>
      <c r="W1544">
        <f t="shared" ca="1" si="676"/>
        <v>4.9511623363938273E-2</v>
      </c>
      <c r="X1544">
        <f t="shared" ca="1" si="677"/>
        <v>0</v>
      </c>
      <c r="Y1544">
        <f t="shared" ca="1" si="678"/>
        <v>634.33799999999997</v>
      </c>
      <c r="Z1544">
        <f t="shared" ca="1" si="679"/>
        <v>634.33799999999997</v>
      </c>
      <c r="AA1544">
        <f t="shared" ca="1" si="680"/>
        <v>0</v>
      </c>
      <c r="AB1544">
        <f t="shared" ca="1" si="681"/>
        <v>-2.0000000000663931E-3</v>
      </c>
      <c r="AC1544">
        <f t="shared" ca="1" si="682"/>
        <v>0</v>
      </c>
      <c r="AD1544">
        <f ca="1">IF(V33="Supercritical",L1544,IF(V33="Subcritical",U1544,IF(AND(T1544=1,AC1544=1),IF((((F1544)*(L1544)^2)/2+(G1544)*(L1544)^3/3+(ABS(K1544)^2)/($I$5*MAX(((F1544)+(G1544)*(L1544))*(L1544),0.000001)))&gt;=(((F1544)*(U1544)^2)/2+(G1544)*(U1544)^3/3+(ABS(K1544)^2)/($I$5*MAX(((F1544)+(G1544)*(U1544))*(U1544),0.000001))),L1544,U1544),IF(T1544=1,L1544,IF(AC1544=1,U1544,MAX($D$16,POWER((ABS(K1544)^2)/($I$5*MAX(F1544,0.1)^2),1/3)))))))</f>
        <v>51797.849049579243</v>
      </c>
      <c r="AE1544">
        <f t="shared" ca="1" si="683"/>
        <v>52432.137049579243</v>
      </c>
      <c r="AF1544">
        <f t="shared" ca="1" si="684"/>
        <v>52432.137049579243</v>
      </c>
      <c r="AI1544">
        <v>0</v>
      </c>
      <c r="AJ1544">
        <v>0</v>
      </c>
      <c r="AK1544">
        <f t="shared" si="685"/>
        <v>0</v>
      </c>
      <c r="AL1544">
        <f t="shared" si="694"/>
        <v>0</v>
      </c>
      <c r="AM1544">
        <f t="shared" ca="1" si="686"/>
        <v>0</v>
      </c>
      <c r="AN1544" t="str">
        <f t="shared" ca="1" si="687"/>
        <v>Subcritical</v>
      </c>
      <c r="AO1544">
        <f t="shared" ca="1" si="688"/>
        <v>0</v>
      </c>
    </row>
    <row r="1545" spans="1:41" x14ac:dyDescent="0.35">
      <c r="A1545">
        <v>7</v>
      </c>
      <c r="B1545">
        <v>6</v>
      </c>
      <c r="C1545">
        <v>616553.19299999997</v>
      </c>
      <c r="D1545">
        <v>3097755.1519999998</v>
      </c>
      <c r="E1545">
        <v>634.28599999999994</v>
      </c>
      <c r="F1545">
        <v>10.874000000000001</v>
      </c>
      <c r="G1545">
        <v>0</v>
      </c>
      <c r="H1545" t="s">
        <v>187</v>
      </c>
      <c r="I1545">
        <v>2.7E-2</v>
      </c>
      <c r="J1545">
        <f t="shared" si="689"/>
        <v>0.99899999999999967</v>
      </c>
      <c r="K1545">
        <f t="shared" si="690"/>
        <v>0</v>
      </c>
      <c r="L1545">
        <f t="shared" ca="1" si="691"/>
        <v>51797.850072127527</v>
      </c>
      <c r="M1545">
        <f t="shared" ca="1" si="668"/>
        <v>563249.82168431475</v>
      </c>
      <c r="N1545">
        <f t="shared" ca="1" si="669"/>
        <v>5.4364293611338059</v>
      </c>
      <c r="O1545">
        <f t="shared" ca="1" si="670"/>
        <v>0</v>
      </c>
      <c r="P1545">
        <f t="shared" ca="1" si="671"/>
        <v>52432.136072127527</v>
      </c>
      <c r="Q1545">
        <f t="shared" ca="1" si="672"/>
        <v>52432.136072127527</v>
      </c>
      <c r="R1545">
        <f t="shared" ca="1" si="673"/>
        <v>0</v>
      </c>
      <c r="S1545">
        <f t="shared" ca="1" si="692"/>
        <v>9.774517166079022E-4</v>
      </c>
      <c r="T1545">
        <f t="shared" ca="1" si="693"/>
        <v>1</v>
      </c>
      <c r="U1545">
        <f t="shared" ca="1" si="674"/>
        <v>0.05</v>
      </c>
      <c r="V1545">
        <f t="shared" ca="1" si="675"/>
        <v>0.54370000000000007</v>
      </c>
      <c r="W1545">
        <f t="shared" ca="1" si="676"/>
        <v>4.9544377619828689E-2</v>
      </c>
      <c r="X1545">
        <f t="shared" ca="1" si="677"/>
        <v>0</v>
      </c>
      <c r="Y1545">
        <f t="shared" ca="1" si="678"/>
        <v>634.3359999999999</v>
      </c>
      <c r="Z1545">
        <f t="shared" ca="1" si="679"/>
        <v>634.3359999999999</v>
      </c>
      <c r="AA1545">
        <f t="shared" ca="1" si="680"/>
        <v>0</v>
      </c>
      <c r="AB1545">
        <f t="shared" ca="1" si="681"/>
        <v>-1.9999999999527063E-3</v>
      </c>
      <c r="AC1545">
        <f t="shared" ca="1" si="682"/>
        <v>0</v>
      </c>
      <c r="AD1545">
        <f ca="1">IF(V33="Supercritical",L1545,IF(V33="Subcritical",U1545,IF(AND(T1545=1,AC1545=1),IF((((F1545)*(L1545)^2)/2+(G1545)*(L1545)^3/3+(ABS(K1545)^2)/($I$5*MAX(((F1545)+(G1545)*(L1545))*(L1545),0.000001)))&gt;=(((F1545)*(U1545)^2)/2+(G1545)*(U1545)^3/3+(ABS(K1545)^2)/($I$5*MAX(((F1545)+(G1545)*(U1545))*(U1545),0.000001))),L1545,U1545),IF(T1545=1,L1545,IF(AC1545=1,U1545,MAX($D$16,POWER((ABS(K1545)^2)/($I$5*MAX(F1545,0.1)^2),1/3)))))))</f>
        <v>51797.850072127527</v>
      </c>
      <c r="AE1545">
        <f t="shared" ca="1" si="683"/>
        <v>52432.136072127527</v>
      </c>
      <c r="AF1545">
        <f t="shared" ca="1" si="684"/>
        <v>52432.136072127527</v>
      </c>
      <c r="AI1545">
        <v>0</v>
      </c>
      <c r="AJ1545">
        <v>0</v>
      </c>
      <c r="AK1545">
        <f t="shared" si="685"/>
        <v>0</v>
      </c>
      <c r="AL1545">
        <f t="shared" si="694"/>
        <v>0</v>
      </c>
      <c r="AM1545">
        <f t="shared" ca="1" si="686"/>
        <v>0</v>
      </c>
      <c r="AN1545" t="str">
        <f t="shared" ca="1" si="687"/>
        <v>Subcritical</v>
      </c>
      <c r="AO1545">
        <f t="shared" ca="1" si="688"/>
        <v>0</v>
      </c>
    </row>
    <row r="1546" spans="1:41" x14ac:dyDescent="0.35">
      <c r="A1546">
        <v>8</v>
      </c>
      <c r="B1546">
        <v>7</v>
      </c>
      <c r="C1546">
        <v>616552.723</v>
      </c>
      <c r="D1546">
        <v>3097754.2689999999</v>
      </c>
      <c r="E1546">
        <v>634.28399999999999</v>
      </c>
      <c r="F1546">
        <v>11.611000000000001</v>
      </c>
      <c r="G1546">
        <v>0</v>
      </c>
      <c r="H1546" t="s">
        <v>187</v>
      </c>
      <c r="I1546">
        <v>0</v>
      </c>
      <c r="J1546">
        <f t="shared" si="689"/>
        <v>1</v>
      </c>
      <c r="K1546">
        <f t="shared" si="690"/>
        <v>0</v>
      </c>
      <c r="L1546">
        <f t="shared" ca="1" si="691"/>
        <v>51797.851094675272</v>
      </c>
      <c r="M1546">
        <f t="shared" ca="1" si="668"/>
        <v>601424.84906027466</v>
      </c>
      <c r="N1546">
        <f t="shared" ca="1" si="669"/>
        <v>5.8048493928331411</v>
      </c>
      <c r="O1546">
        <f t="shared" ca="1" si="670"/>
        <v>0</v>
      </c>
      <c r="P1546">
        <f t="shared" ca="1" si="671"/>
        <v>52432.135094675272</v>
      </c>
      <c r="Q1546">
        <f t="shared" ca="1" si="672"/>
        <v>52432.135094675272</v>
      </c>
      <c r="R1546">
        <f t="shared" ca="1" si="673"/>
        <v>0</v>
      </c>
      <c r="S1546">
        <f t="shared" ca="1" si="692"/>
        <v>9.7745225502876565E-4</v>
      </c>
      <c r="T1546">
        <f t="shared" ca="1" si="693"/>
        <v>1</v>
      </c>
      <c r="U1546">
        <f t="shared" ca="1" si="674"/>
        <v>0.05</v>
      </c>
      <c r="V1546">
        <f t="shared" ca="1" si="675"/>
        <v>0.58055000000000001</v>
      </c>
      <c r="W1546">
        <f t="shared" ca="1" si="676"/>
        <v>4.9573050977713258E-2</v>
      </c>
      <c r="X1546">
        <f t="shared" ca="1" si="677"/>
        <v>0</v>
      </c>
      <c r="Y1546">
        <f t="shared" ca="1" si="678"/>
        <v>634.33399999999995</v>
      </c>
      <c r="Z1546">
        <f t="shared" ca="1" si="679"/>
        <v>634.33399999999995</v>
      </c>
      <c r="AA1546">
        <f t="shared" ca="1" si="680"/>
        <v>0</v>
      </c>
      <c r="AB1546">
        <f t="shared" ca="1" si="681"/>
        <v>-1.9999999999527063E-3</v>
      </c>
      <c r="AC1546">
        <f t="shared" ca="1" si="682"/>
        <v>0</v>
      </c>
      <c r="AD1546">
        <f ca="1">IF(V33="Supercritical",L1546,IF(V33="Subcritical",U1546,IF(AND(T1546=1,AC1546=1),IF((((F1546)*(L1546)^2)/2+(G1546)*(L1546)^3/3+(ABS(K1546)^2)/($I$5*MAX(((F1546)+(G1546)*(L1546))*(L1546),0.000001)))&gt;=(((F1546)*(U1546)^2)/2+(G1546)*(U1546)^3/3+(ABS(K1546)^2)/($I$5*MAX(((F1546)+(G1546)*(U1546))*(U1546),0.000001))),L1546,U1546),IF(T1546=1,L1546,IF(AC1546=1,U1546,MAX($D$16,POWER((ABS(K1546)^2)/($I$5*MAX(F1546,0.1)^2),1/3)))))))</f>
        <v>51797.851094675272</v>
      </c>
      <c r="AE1546">
        <f t="shared" ca="1" si="683"/>
        <v>52432.135094675272</v>
      </c>
      <c r="AF1546">
        <f t="shared" ca="1" si="684"/>
        <v>52432.135094675272</v>
      </c>
      <c r="AI1546">
        <v>0</v>
      </c>
      <c r="AJ1546">
        <v>0</v>
      </c>
      <c r="AK1546">
        <f t="shared" si="685"/>
        <v>0</v>
      </c>
      <c r="AL1546">
        <f t="shared" si="694"/>
        <v>0</v>
      </c>
      <c r="AM1546">
        <f t="shared" ca="1" si="686"/>
        <v>0</v>
      </c>
      <c r="AN1546" t="str">
        <f t="shared" ca="1" si="687"/>
        <v>Subcritical</v>
      </c>
      <c r="AO1546">
        <f t="shared" ca="1" si="688"/>
        <v>0</v>
      </c>
    </row>
    <row r="1547" spans="1:41" x14ac:dyDescent="0.35">
      <c r="A1547">
        <v>9</v>
      </c>
      <c r="B1547">
        <v>8.0009999999999994</v>
      </c>
      <c r="C1547">
        <v>616552.25300000003</v>
      </c>
      <c r="D1547">
        <v>3097753.3859999999</v>
      </c>
      <c r="E1547">
        <v>634.28200000000004</v>
      </c>
      <c r="F1547">
        <v>12.348000000000001</v>
      </c>
      <c r="G1547">
        <v>0</v>
      </c>
      <c r="H1547" t="s">
        <v>187</v>
      </c>
      <c r="I1547">
        <v>2.7E-2</v>
      </c>
      <c r="J1547">
        <f t="shared" si="689"/>
        <v>1.0009999999999994</v>
      </c>
      <c r="K1547">
        <f t="shared" si="690"/>
        <v>0</v>
      </c>
      <c r="L1547">
        <f t="shared" ca="1" si="691"/>
        <v>51797.852117222974</v>
      </c>
      <c r="M1547">
        <f t="shared" ca="1" si="668"/>
        <v>639599.87794346933</v>
      </c>
      <c r="N1547">
        <f t="shared" ca="1" si="669"/>
        <v>6.1732641831367756</v>
      </c>
      <c r="O1547">
        <f t="shared" ca="1" si="670"/>
        <v>0</v>
      </c>
      <c r="P1547">
        <f t="shared" ca="1" si="671"/>
        <v>52432.134117222973</v>
      </c>
      <c r="Q1547">
        <f t="shared" ca="1" si="672"/>
        <v>52432.134117222973</v>
      </c>
      <c r="R1547">
        <f t="shared" ca="1" si="673"/>
        <v>0</v>
      </c>
      <c r="S1547">
        <f t="shared" ca="1" si="692"/>
        <v>9.7745229868451133E-4</v>
      </c>
      <c r="T1547">
        <f t="shared" ca="1" si="693"/>
        <v>1</v>
      </c>
      <c r="U1547">
        <f t="shared" ca="1" si="674"/>
        <v>0.05</v>
      </c>
      <c r="V1547">
        <f t="shared" ca="1" si="675"/>
        <v>0.61740000000000006</v>
      </c>
      <c r="W1547">
        <f t="shared" ca="1" si="676"/>
        <v>4.959832904884319E-2</v>
      </c>
      <c r="X1547">
        <f t="shared" ca="1" si="677"/>
        <v>0</v>
      </c>
      <c r="Y1547">
        <f t="shared" ca="1" si="678"/>
        <v>634.33199999999999</v>
      </c>
      <c r="Z1547">
        <f t="shared" ca="1" si="679"/>
        <v>634.33199999999999</v>
      </c>
      <c r="AA1547">
        <f t="shared" ca="1" si="680"/>
        <v>0</v>
      </c>
      <c r="AB1547">
        <f t="shared" ca="1" si="681"/>
        <v>-2.0000000000663931E-3</v>
      </c>
      <c r="AC1547">
        <f t="shared" ca="1" si="682"/>
        <v>0</v>
      </c>
      <c r="AD1547">
        <f ca="1">IF(V33="Supercritical",L1547,IF(V33="Subcritical",U1547,IF(AND(T1547=1,AC1547=1),IF((((F1547)*(L1547)^2)/2+(G1547)*(L1547)^3/3+(ABS(K1547)^2)/($I$5*MAX(((F1547)+(G1547)*(L1547))*(L1547),0.000001)))&gt;=(((F1547)*(U1547)^2)/2+(G1547)*(U1547)^3/3+(ABS(K1547)^2)/($I$5*MAX(((F1547)+(G1547)*(U1547))*(U1547),0.000001))),L1547,U1547),IF(T1547=1,L1547,IF(AC1547=1,U1547,MAX($D$16,POWER((ABS(K1547)^2)/($I$5*MAX(F1547,0.1)^2),1/3)))))))</f>
        <v>51797.852117222974</v>
      </c>
      <c r="AE1547">
        <f t="shared" ca="1" si="683"/>
        <v>52432.134117222973</v>
      </c>
      <c r="AF1547">
        <f t="shared" ca="1" si="684"/>
        <v>52432.134117222973</v>
      </c>
      <c r="AI1547">
        <v>0</v>
      </c>
      <c r="AJ1547">
        <v>0</v>
      </c>
      <c r="AK1547">
        <f t="shared" si="685"/>
        <v>0</v>
      </c>
      <c r="AL1547">
        <f t="shared" si="694"/>
        <v>0</v>
      </c>
      <c r="AM1547">
        <f t="shared" ca="1" si="686"/>
        <v>0</v>
      </c>
      <c r="AN1547" t="str">
        <f t="shared" ca="1" si="687"/>
        <v>Subcritical</v>
      </c>
      <c r="AO1547">
        <f t="shared" ca="1" si="688"/>
        <v>0</v>
      </c>
    </row>
    <row r="1548" spans="1:41" x14ac:dyDescent="0.35">
      <c r="A1548">
        <v>10</v>
      </c>
      <c r="B1548">
        <v>9</v>
      </c>
      <c r="C1548">
        <v>616551.78300000005</v>
      </c>
      <c r="D1548">
        <v>3097752.5040000002</v>
      </c>
      <c r="E1548">
        <v>634.28</v>
      </c>
      <c r="F1548">
        <v>6.2240000000000002</v>
      </c>
      <c r="G1548">
        <v>0</v>
      </c>
      <c r="H1548" t="s">
        <v>186</v>
      </c>
      <c r="I1548">
        <v>2.7E-2</v>
      </c>
      <c r="J1548">
        <f t="shared" si="689"/>
        <v>0.99900000000000055</v>
      </c>
      <c r="K1548">
        <f t="shared" si="690"/>
        <v>0</v>
      </c>
      <c r="L1548">
        <f t="shared" ca="1" si="691"/>
        <v>51797.853139770668</v>
      </c>
      <c r="M1548">
        <f t="shared" ca="1" si="668"/>
        <v>322389.83794193267</v>
      </c>
      <c r="N1548">
        <f t="shared" ca="1" si="669"/>
        <v>3.1118130431745072</v>
      </c>
      <c r="O1548">
        <f t="shared" ca="1" si="670"/>
        <v>0</v>
      </c>
      <c r="P1548">
        <f t="shared" ca="1" si="671"/>
        <v>52432.133139770667</v>
      </c>
      <c r="Q1548">
        <f t="shared" ca="1" si="672"/>
        <v>52432.133139770667</v>
      </c>
      <c r="R1548">
        <f t="shared" ca="1" si="673"/>
        <v>0</v>
      </c>
      <c r="S1548">
        <f t="shared" ca="1" si="692"/>
        <v>9.7745230596046895E-4</v>
      </c>
      <c r="T1548">
        <f t="shared" ca="1" si="693"/>
        <v>1</v>
      </c>
      <c r="U1548">
        <f t="shared" ca="1" si="674"/>
        <v>0.05</v>
      </c>
      <c r="V1548">
        <f t="shared" ca="1" si="675"/>
        <v>0.31120000000000003</v>
      </c>
      <c r="W1548">
        <f t="shared" ca="1" si="676"/>
        <v>4.9209361163820374E-2</v>
      </c>
      <c r="X1548">
        <f t="shared" ca="1" si="677"/>
        <v>0</v>
      </c>
      <c r="Y1548">
        <f t="shared" ca="1" si="678"/>
        <v>634.32999999999993</v>
      </c>
      <c r="Z1548">
        <f t="shared" ca="1" si="679"/>
        <v>634.32999999999993</v>
      </c>
      <c r="AA1548">
        <f t="shared" ca="1" si="680"/>
        <v>0</v>
      </c>
      <c r="AB1548">
        <f t="shared" ca="1" si="681"/>
        <v>-1.9999999999527063E-3</v>
      </c>
      <c r="AC1548">
        <f t="shared" ca="1" si="682"/>
        <v>0</v>
      </c>
      <c r="AD1548">
        <f ca="1">IF(V33="Supercritical",L1548,IF(V33="Subcritical",U1548,IF(AND(T1548=1,AC1548=1),IF((((F1548)*(L1548)^2)/2+(G1548)*(L1548)^3/3+(ABS(K1548)^2)/($I$5*MAX(((F1548)+(G1548)*(L1548))*(L1548),0.000001)))&gt;=(((F1548)*(U1548)^2)/2+(G1548)*(U1548)^3/3+(ABS(K1548)^2)/($I$5*MAX(((F1548)+(G1548)*(U1548))*(U1548),0.000001))),L1548,U1548),IF(T1548=1,L1548,IF(AC1548=1,U1548,MAX($D$16,POWER((ABS(K1548)^2)/($I$5*MAX(F1548,0.1)^2),1/3)))))))</f>
        <v>51797.853139770668</v>
      </c>
      <c r="AE1548">
        <f t="shared" ca="1" si="683"/>
        <v>52432.133139770667</v>
      </c>
      <c r="AF1548">
        <f t="shared" ca="1" si="684"/>
        <v>52432.133139770667</v>
      </c>
      <c r="AI1548">
        <v>0</v>
      </c>
      <c r="AJ1548">
        <v>0</v>
      </c>
      <c r="AK1548">
        <f t="shared" si="685"/>
        <v>0</v>
      </c>
      <c r="AL1548">
        <f t="shared" si="694"/>
        <v>0</v>
      </c>
      <c r="AM1548">
        <f t="shared" ca="1" si="686"/>
        <v>0</v>
      </c>
      <c r="AN1548" t="str">
        <f t="shared" ca="1" si="687"/>
        <v>Subcritical</v>
      </c>
      <c r="AO1548">
        <f t="shared" ca="1" si="688"/>
        <v>0</v>
      </c>
    </row>
    <row r="1549" spans="1:41" x14ac:dyDescent="0.35">
      <c r="A1549">
        <v>11</v>
      </c>
      <c r="B1549">
        <v>10</v>
      </c>
      <c r="C1549">
        <v>616551.31299999997</v>
      </c>
      <c r="D1549">
        <v>3097751.6209999998</v>
      </c>
      <c r="E1549">
        <v>634.27800000000002</v>
      </c>
      <c r="F1549">
        <v>6.2240000000000002</v>
      </c>
      <c r="G1549">
        <v>0</v>
      </c>
      <c r="H1549" t="s">
        <v>186</v>
      </c>
      <c r="I1549">
        <v>0</v>
      </c>
      <c r="J1549">
        <f t="shared" si="689"/>
        <v>1</v>
      </c>
      <c r="K1549">
        <f t="shared" si="690"/>
        <v>0</v>
      </c>
      <c r="L1549">
        <f t="shared" ca="1" si="691"/>
        <v>51797.854162318363</v>
      </c>
      <c r="M1549">
        <f t="shared" ca="1" si="668"/>
        <v>322389.84430626949</v>
      </c>
      <c r="N1549">
        <f t="shared" ca="1" si="669"/>
        <v>3.1118130431781976</v>
      </c>
      <c r="O1549">
        <f t="shared" ca="1" si="670"/>
        <v>0</v>
      </c>
      <c r="P1549">
        <f t="shared" ca="1" si="671"/>
        <v>52432.132162318361</v>
      </c>
      <c r="Q1549">
        <f t="shared" ca="1" si="672"/>
        <v>52432.132162318361</v>
      </c>
      <c r="R1549">
        <f t="shared" ca="1" si="673"/>
        <v>0</v>
      </c>
      <c r="S1549">
        <f t="shared" ca="1" si="692"/>
        <v>9.7745230596046895E-4</v>
      </c>
      <c r="T1549">
        <f t="shared" ca="1" si="693"/>
        <v>1</v>
      </c>
      <c r="U1549">
        <f t="shared" ca="1" si="674"/>
        <v>0.05</v>
      </c>
      <c r="V1549">
        <f t="shared" ca="1" si="675"/>
        <v>0.31120000000000003</v>
      </c>
      <c r="W1549">
        <f t="shared" ca="1" si="676"/>
        <v>4.9209361163820374E-2</v>
      </c>
      <c r="X1549">
        <f t="shared" ca="1" si="677"/>
        <v>0</v>
      </c>
      <c r="Y1549">
        <f t="shared" ca="1" si="678"/>
        <v>634.32799999999997</v>
      </c>
      <c r="Z1549">
        <f t="shared" ca="1" si="679"/>
        <v>634.32799999999997</v>
      </c>
      <c r="AA1549">
        <f t="shared" ca="1" si="680"/>
        <v>0</v>
      </c>
      <c r="AB1549">
        <f t="shared" ca="1" si="681"/>
        <v>-2.0000000000663931E-3</v>
      </c>
      <c r="AC1549">
        <f t="shared" ca="1" si="682"/>
        <v>0</v>
      </c>
      <c r="AD1549">
        <f ca="1">IF(V33="Supercritical",L1549,IF(V33="Subcritical",U1549,IF(AND(T1549=1,AC1549=1),IF((((F1549)*(L1549)^2)/2+(G1549)*(L1549)^3/3+(ABS(K1549)^2)/($I$5*MAX(((F1549)+(G1549)*(L1549))*(L1549),0.000001)))&gt;=(((F1549)*(U1549)^2)/2+(G1549)*(U1549)^3/3+(ABS(K1549)^2)/($I$5*MAX(((F1549)+(G1549)*(U1549))*(U1549),0.000001))),L1549,U1549),IF(T1549=1,L1549,IF(AC1549=1,U1549,MAX($D$16,POWER((ABS(K1549)^2)/($I$5*MAX(F1549,0.1)^2),1/3)))))))</f>
        <v>51797.854162318363</v>
      </c>
      <c r="AE1549">
        <f t="shared" ca="1" si="683"/>
        <v>52432.132162318361</v>
      </c>
      <c r="AF1549">
        <f t="shared" ca="1" si="684"/>
        <v>52432.132162318361</v>
      </c>
      <c r="AI1549">
        <v>0</v>
      </c>
      <c r="AJ1549">
        <v>0</v>
      </c>
      <c r="AK1549">
        <f t="shared" si="685"/>
        <v>0</v>
      </c>
      <c r="AL1549">
        <f t="shared" si="694"/>
        <v>0</v>
      </c>
      <c r="AM1549">
        <f t="shared" ca="1" si="686"/>
        <v>0</v>
      </c>
      <c r="AN1549" t="str">
        <f t="shared" ca="1" si="687"/>
        <v>Subcritical</v>
      </c>
      <c r="AO1549">
        <f t="shared" ca="1" si="688"/>
        <v>0</v>
      </c>
    </row>
    <row r="1550" spans="1:41" x14ac:dyDescent="0.35">
      <c r="A1550">
        <v>12</v>
      </c>
      <c r="B1550">
        <v>11.000999999999999</v>
      </c>
      <c r="C1550">
        <v>616550.84299999999</v>
      </c>
      <c r="D1550">
        <v>3097750.7379999999</v>
      </c>
      <c r="E1550">
        <v>634.27599999999995</v>
      </c>
      <c r="F1550">
        <v>5.9950000000000001</v>
      </c>
      <c r="G1550">
        <v>0</v>
      </c>
      <c r="H1550" t="s">
        <v>186</v>
      </c>
      <c r="I1550">
        <v>2.7E-2</v>
      </c>
      <c r="J1550">
        <f t="shared" si="689"/>
        <v>1.0009999999999994</v>
      </c>
      <c r="K1550">
        <f t="shared" si="690"/>
        <v>0</v>
      </c>
      <c r="L1550">
        <f t="shared" ca="1" si="691"/>
        <v>51797.855184866057</v>
      </c>
      <c r="M1550">
        <f t="shared" ca="1" si="668"/>
        <v>310528.14183327201</v>
      </c>
      <c r="N1550">
        <f t="shared" ca="1" si="669"/>
        <v>2.9973265471361126</v>
      </c>
      <c r="O1550">
        <f t="shared" ca="1" si="670"/>
        <v>0</v>
      </c>
      <c r="P1550">
        <f t="shared" ca="1" si="671"/>
        <v>52432.131184866055</v>
      </c>
      <c r="Q1550">
        <f t="shared" ca="1" si="672"/>
        <v>52432.131184866055</v>
      </c>
      <c r="R1550">
        <f t="shared" ca="1" si="673"/>
        <v>0</v>
      </c>
      <c r="S1550">
        <f t="shared" ca="1" si="692"/>
        <v>9.7745230596046895E-4</v>
      </c>
      <c r="T1550">
        <f t="shared" ca="1" si="693"/>
        <v>1</v>
      </c>
      <c r="U1550">
        <f t="shared" ca="1" si="674"/>
        <v>0.05</v>
      </c>
      <c r="V1550">
        <f t="shared" ca="1" si="675"/>
        <v>0.29975000000000002</v>
      </c>
      <c r="W1550">
        <f t="shared" ca="1" si="676"/>
        <v>4.9179655455291224E-2</v>
      </c>
      <c r="X1550">
        <f t="shared" ca="1" si="677"/>
        <v>0</v>
      </c>
      <c r="Y1550">
        <f t="shared" ca="1" si="678"/>
        <v>634.32599999999991</v>
      </c>
      <c r="Z1550">
        <f t="shared" ca="1" si="679"/>
        <v>634.32599999999991</v>
      </c>
      <c r="AA1550">
        <f t="shared" ca="1" si="680"/>
        <v>0</v>
      </c>
      <c r="AB1550">
        <f t="shared" ca="1" si="681"/>
        <v>-1.9999999999527063E-3</v>
      </c>
      <c r="AC1550">
        <f t="shared" ca="1" si="682"/>
        <v>0</v>
      </c>
      <c r="AD1550">
        <f ca="1">IF(V33="Supercritical",L1550,IF(V33="Subcritical",U1550,IF(AND(T1550=1,AC1550=1),IF((((F1550)*(L1550)^2)/2+(G1550)*(L1550)^3/3+(ABS(K1550)^2)/($I$5*MAX(((F1550)+(G1550)*(L1550))*(L1550),0.000001)))&gt;=(((F1550)*(U1550)^2)/2+(G1550)*(U1550)^3/3+(ABS(K1550)^2)/($I$5*MAX(((F1550)+(G1550)*(U1550))*(U1550),0.000001))),L1550,U1550),IF(T1550=1,L1550,IF(AC1550=1,U1550,MAX($D$16,POWER((ABS(K1550)^2)/($I$5*MAX(F1550,0.1)^2),1/3)))))))</f>
        <v>51797.855184866057</v>
      </c>
      <c r="AE1550">
        <f t="shared" ca="1" si="683"/>
        <v>52432.131184866055</v>
      </c>
      <c r="AF1550">
        <f t="shared" ca="1" si="684"/>
        <v>52432.131184866055</v>
      </c>
      <c r="AI1550">
        <v>0</v>
      </c>
      <c r="AJ1550">
        <v>0</v>
      </c>
      <c r="AK1550">
        <f t="shared" si="685"/>
        <v>0</v>
      </c>
      <c r="AL1550">
        <f t="shared" si="694"/>
        <v>0</v>
      </c>
      <c r="AM1550">
        <f t="shared" ca="1" si="686"/>
        <v>0</v>
      </c>
      <c r="AN1550" t="str">
        <f t="shared" ca="1" si="687"/>
        <v>Subcritical</v>
      </c>
      <c r="AO1550">
        <f t="shared" ca="1" si="688"/>
        <v>0</v>
      </c>
    </row>
    <row r="1551" spans="1:41" x14ac:dyDescent="0.35">
      <c r="A1551">
        <v>13</v>
      </c>
      <c r="B1551">
        <v>12</v>
      </c>
      <c r="C1551">
        <v>616550.37300000002</v>
      </c>
      <c r="D1551">
        <v>3097749.8560000001</v>
      </c>
      <c r="E1551">
        <v>634.274</v>
      </c>
      <c r="F1551">
        <v>5.9950000000000001</v>
      </c>
      <c r="G1551">
        <v>0</v>
      </c>
      <c r="H1551" t="s">
        <v>186</v>
      </c>
      <c r="I1551">
        <v>2.7E-2</v>
      </c>
      <c r="J1551">
        <f t="shared" si="689"/>
        <v>0.99900000000000055</v>
      </c>
      <c r="K1551">
        <f t="shared" si="690"/>
        <v>0</v>
      </c>
      <c r="L1551">
        <f t="shared" ca="1" si="691"/>
        <v>51797.856207413752</v>
      </c>
      <c r="M1551">
        <f t="shared" ca="1" si="668"/>
        <v>310528.14796344546</v>
      </c>
      <c r="N1551">
        <f t="shared" ca="1" si="669"/>
        <v>2.9973265471395369</v>
      </c>
      <c r="O1551">
        <f t="shared" ca="1" si="670"/>
        <v>0</v>
      </c>
      <c r="P1551">
        <f t="shared" ca="1" si="671"/>
        <v>52432.130207413749</v>
      </c>
      <c r="Q1551">
        <f t="shared" ca="1" si="672"/>
        <v>52432.130207413749</v>
      </c>
      <c r="R1551">
        <f t="shared" ca="1" si="673"/>
        <v>0</v>
      </c>
      <c r="S1551">
        <f t="shared" ca="1" si="692"/>
        <v>9.7745230596046895E-4</v>
      </c>
      <c r="T1551">
        <f t="shared" ca="1" si="693"/>
        <v>1</v>
      </c>
      <c r="U1551">
        <f t="shared" ca="1" si="674"/>
        <v>0.05</v>
      </c>
      <c r="V1551">
        <f t="shared" ca="1" si="675"/>
        <v>0.29975000000000002</v>
      </c>
      <c r="W1551">
        <f t="shared" ca="1" si="676"/>
        <v>4.9179655455291224E-2</v>
      </c>
      <c r="X1551">
        <f t="shared" ca="1" si="677"/>
        <v>0</v>
      </c>
      <c r="Y1551">
        <f t="shared" ca="1" si="678"/>
        <v>634.32399999999996</v>
      </c>
      <c r="Z1551">
        <f t="shared" ca="1" si="679"/>
        <v>634.32399999999996</v>
      </c>
      <c r="AA1551">
        <f t="shared" ca="1" si="680"/>
        <v>0</v>
      </c>
      <c r="AB1551">
        <f t="shared" ca="1" si="681"/>
        <v>-1.9999999999527063E-3</v>
      </c>
      <c r="AC1551">
        <f t="shared" ca="1" si="682"/>
        <v>0</v>
      </c>
      <c r="AD1551">
        <f ca="1">IF(V33="Supercritical",L1551,IF(V33="Subcritical",U1551,IF(AND(T1551=1,AC1551=1),IF((((F1551)*(L1551)^2)/2+(G1551)*(L1551)^3/3+(ABS(K1551)^2)/($I$5*MAX(((F1551)+(G1551)*(L1551))*(L1551),0.000001)))&gt;=(((F1551)*(U1551)^2)/2+(G1551)*(U1551)^3/3+(ABS(K1551)^2)/($I$5*MAX(((F1551)+(G1551)*(U1551))*(U1551),0.000001))),L1551,U1551),IF(T1551=1,L1551,IF(AC1551=1,U1551,MAX($D$16,POWER((ABS(K1551)^2)/($I$5*MAX(F1551,0.1)^2),1/3)))))))</f>
        <v>51797.856207413752</v>
      </c>
      <c r="AE1551">
        <f t="shared" ca="1" si="683"/>
        <v>52432.130207413749</v>
      </c>
      <c r="AF1551">
        <f t="shared" ca="1" si="684"/>
        <v>52432.130207413749</v>
      </c>
      <c r="AI1551">
        <v>0</v>
      </c>
      <c r="AJ1551">
        <v>0</v>
      </c>
      <c r="AK1551">
        <f t="shared" si="685"/>
        <v>0</v>
      </c>
      <c r="AL1551">
        <f t="shared" si="694"/>
        <v>0</v>
      </c>
      <c r="AM1551">
        <f t="shared" ca="1" si="686"/>
        <v>0</v>
      </c>
      <c r="AN1551" t="str">
        <f t="shared" ca="1" si="687"/>
        <v>Subcritical</v>
      </c>
      <c r="AO1551">
        <f t="shared" ca="1" si="688"/>
        <v>0</v>
      </c>
    </row>
    <row r="1552" spans="1:41" x14ac:dyDescent="0.35">
      <c r="A1552">
        <v>14</v>
      </c>
      <c r="B1552">
        <v>13</v>
      </c>
      <c r="C1552">
        <v>616549.90300000005</v>
      </c>
      <c r="D1552">
        <v>3097748.9730000002</v>
      </c>
      <c r="E1552">
        <v>634.27200000000005</v>
      </c>
      <c r="F1552">
        <v>5.9950000000000001</v>
      </c>
      <c r="G1552">
        <v>0</v>
      </c>
      <c r="H1552" t="s">
        <v>186</v>
      </c>
      <c r="I1552">
        <v>0</v>
      </c>
      <c r="J1552">
        <f t="shared" si="689"/>
        <v>1</v>
      </c>
      <c r="K1552">
        <f t="shared" si="690"/>
        <v>0</v>
      </c>
      <c r="L1552">
        <f t="shared" ca="1" si="691"/>
        <v>51797.857229961446</v>
      </c>
      <c r="M1552">
        <f t="shared" ca="1" si="668"/>
        <v>310528.15409361885</v>
      </c>
      <c r="N1552">
        <f t="shared" ca="1" si="669"/>
        <v>2.9973265471429604</v>
      </c>
      <c r="O1552">
        <f t="shared" ca="1" si="670"/>
        <v>0</v>
      </c>
      <c r="P1552">
        <f t="shared" ca="1" si="671"/>
        <v>52432.129229961443</v>
      </c>
      <c r="Q1552">
        <f t="shared" ca="1" si="672"/>
        <v>52432.129229961443</v>
      </c>
      <c r="R1552">
        <f t="shared" ca="1" si="673"/>
        <v>0</v>
      </c>
      <c r="S1552">
        <f t="shared" ca="1" si="692"/>
        <v>9.7745230596046895E-4</v>
      </c>
      <c r="T1552">
        <f t="shared" ca="1" si="693"/>
        <v>1</v>
      </c>
      <c r="U1552">
        <f t="shared" ca="1" si="674"/>
        <v>0.05</v>
      </c>
      <c r="V1552">
        <f t="shared" ca="1" si="675"/>
        <v>0.29975000000000002</v>
      </c>
      <c r="W1552">
        <f t="shared" ca="1" si="676"/>
        <v>4.9179655455291224E-2</v>
      </c>
      <c r="X1552">
        <f t="shared" ca="1" si="677"/>
        <v>0</v>
      </c>
      <c r="Y1552">
        <f t="shared" ca="1" si="678"/>
        <v>634.322</v>
      </c>
      <c r="Z1552">
        <f t="shared" ca="1" si="679"/>
        <v>634.322</v>
      </c>
      <c r="AA1552">
        <f t="shared" ca="1" si="680"/>
        <v>0</v>
      </c>
      <c r="AB1552">
        <f t="shared" ca="1" si="681"/>
        <v>-2.0000000000663931E-3</v>
      </c>
      <c r="AC1552">
        <f t="shared" ca="1" si="682"/>
        <v>0</v>
      </c>
      <c r="AD1552">
        <f ca="1">IF(V33="Supercritical",L1552,IF(V33="Subcritical",U1552,IF(AND(T1552=1,AC1552=1),IF((((F1552)*(L1552)^2)/2+(G1552)*(L1552)^3/3+(ABS(K1552)^2)/($I$5*MAX(((F1552)+(G1552)*(L1552))*(L1552),0.000001)))&gt;=(((F1552)*(U1552)^2)/2+(G1552)*(U1552)^3/3+(ABS(K1552)^2)/($I$5*MAX(((F1552)+(G1552)*(U1552))*(U1552),0.000001))),L1552,U1552),IF(T1552=1,L1552,IF(AC1552=1,U1552,MAX($D$16,POWER((ABS(K1552)^2)/($I$5*MAX(F1552,0.1)^2),1/3)))))))</f>
        <v>51797.857229961446</v>
      </c>
      <c r="AE1552">
        <f t="shared" ca="1" si="683"/>
        <v>52432.129229961443</v>
      </c>
      <c r="AF1552">
        <f t="shared" ca="1" si="684"/>
        <v>52432.129229961443</v>
      </c>
      <c r="AI1552">
        <v>0</v>
      </c>
      <c r="AJ1552">
        <v>0</v>
      </c>
      <c r="AK1552">
        <f t="shared" si="685"/>
        <v>0</v>
      </c>
      <c r="AL1552">
        <f t="shared" si="694"/>
        <v>0</v>
      </c>
      <c r="AM1552">
        <f t="shared" ca="1" si="686"/>
        <v>0</v>
      </c>
      <c r="AN1552" t="str">
        <f t="shared" ca="1" si="687"/>
        <v>Subcritical</v>
      </c>
      <c r="AO1552">
        <f t="shared" ca="1" si="688"/>
        <v>0</v>
      </c>
    </row>
    <row r="1553" spans="1:41" x14ac:dyDescent="0.35">
      <c r="A1553">
        <v>15</v>
      </c>
      <c r="B1553">
        <v>14.000999999999999</v>
      </c>
      <c r="C1553">
        <v>616549.43299999996</v>
      </c>
      <c r="D1553">
        <v>3097748.09</v>
      </c>
      <c r="E1553">
        <v>634.27</v>
      </c>
      <c r="F1553">
        <v>5.9939999999999998</v>
      </c>
      <c r="G1553">
        <v>0</v>
      </c>
      <c r="H1553" t="s">
        <v>186</v>
      </c>
      <c r="I1553">
        <v>2.7E-2</v>
      </c>
      <c r="J1553">
        <f t="shared" si="689"/>
        <v>1.0009999999999994</v>
      </c>
      <c r="K1553">
        <f t="shared" si="690"/>
        <v>0</v>
      </c>
      <c r="L1553">
        <f t="shared" ca="1" si="691"/>
        <v>51797.858252509141</v>
      </c>
      <c r="M1553">
        <f t="shared" ca="1" si="668"/>
        <v>310476.36236553977</v>
      </c>
      <c r="N1553">
        <f t="shared" ca="1" si="669"/>
        <v>2.9968266050057237</v>
      </c>
      <c r="O1553">
        <f t="shared" ca="1" si="670"/>
        <v>0</v>
      </c>
      <c r="P1553">
        <f t="shared" ca="1" si="671"/>
        <v>52432.128252509137</v>
      </c>
      <c r="Q1553">
        <f t="shared" ca="1" si="672"/>
        <v>52432.128252509137</v>
      </c>
      <c r="R1553">
        <f t="shared" ca="1" si="673"/>
        <v>0</v>
      </c>
      <c r="S1553">
        <f t="shared" ca="1" si="692"/>
        <v>9.7745230596046895E-4</v>
      </c>
      <c r="T1553">
        <f t="shared" ca="1" si="693"/>
        <v>1</v>
      </c>
      <c r="U1553">
        <f t="shared" ca="1" si="674"/>
        <v>0.05</v>
      </c>
      <c r="V1553">
        <f t="shared" ca="1" si="675"/>
        <v>0.29970000000000002</v>
      </c>
      <c r="W1553">
        <f t="shared" ca="1" si="676"/>
        <v>4.9179520840170667E-2</v>
      </c>
      <c r="X1553">
        <f t="shared" ca="1" si="677"/>
        <v>0</v>
      </c>
      <c r="Y1553">
        <f t="shared" ca="1" si="678"/>
        <v>634.31999999999994</v>
      </c>
      <c r="Z1553">
        <f t="shared" ca="1" si="679"/>
        <v>634.31999999999994</v>
      </c>
      <c r="AA1553">
        <f t="shared" ca="1" si="680"/>
        <v>0</v>
      </c>
      <c r="AB1553">
        <f t="shared" ca="1" si="681"/>
        <v>-1.9999999999527063E-3</v>
      </c>
      <c r="AC1553">
        <f t="shared" ca="1" si="682"/>
        <v>0</v>
      </c>
      <c r="AD1553">
        <f ca="1">IF(V33="Supercritical",L1553,IF(V33="Subcritical",U1553,IF(AND(T1553=1,AC1553=1),IF((((F1553)*(L1553)^2)/2+(G1553)*(L1553)^3/3+(ABS(K1553)^2)/($I$5*MAX(((F1553)+(G1553)*(L1553))*(L1553),0.000001)))&gt;=(((F1553)*(U1553)^2)/2+(G1553)*(U1553)^3/3+(ABS(K1553)^2)/($I$5*MAX(((F1553)+(G1553)*(U1553))*(U1553),0.000001))),L1553,U1553),IF(T1553=1,L1553,IF(AC1553=1,U1553,MAX($D$16,POWER((ABS(K1553)^2)/($I$5*MAX(F1553,0.1)^2),1/3)))))))</f>
        <v>51797.858252509141</v>
      </c>
      <c r="AE1553">
        <f t="shared" ca="1" si="683"/>
        <v>52432.128252509137</v>
      </c>
      <c r="AF1553">
        <f t="shared" ca="1" si="684"/>
        <v>52432.128252509137</v>
      </c>
      <c r="AI1553">
        <v>0</v>
      </c>
      <c r="AJ1553">
        <v>0</v>
      </c>
      <c r="AK1553">
        <f t="shared" si="685"/>
        <v>0</v>
      </c>
      <c r="AL1553">
        <f t="shared" si="694"/>
        <v>0</v>
      </c>
      <c r="AM1553">
        <f t="shared" ca="1" si="686"/>
        <v>0</v>
      </c>
      <c r="AN1553" t="str">
        <f t="shared" ca="1" si="687"/>
        <v>Subcritical</v>
      </c>
      <c r="AO1553">
        <f t="shared" ca="1" si="688"/>
        <v>0</v>
      </c>
    </row>
    <row r="1554" spans="1:41" x14ac:dyDescent="0.35">
      <c r="A1554">
        <v>16</v>
      </c>
      <c r="B1554">
        <v>15</v>
      </c>
      <c r="C1554">
        <v>616548.96299999999</v>
      </c>
      <c r="D1554">
        <v>3097747.2080000001</v>
      </c>
      <c r="E1554">
        <v>634.26800000000003</v>
      </c>
      <c r="F1554">
        <v>5.9939999999999998</v>
      </c>
      <c r="G1554">
        <v>0</v>
      </c>
      <c r="H1554" t="s">
        <v>186</v>
      </c>
      <c r="I1554">
        <v>2.7E-2</v>
      </c>
      <c r="J1554">
        <f t="shared" si="689"/>
        <v>0.99900000000000055</v>
      </c>
      <c r="K1554">
        <f t="shared" si="690"/>
        <v>0</v>
      </c>
      <c r="L1554">
        <f t="shared" ca="1" si="691"/>
        <v>51797.859275056828</v>
      </c>
      <c r="M1554">
        <f t="shared" ca="1" si="668"/>
        <v>310476.36849469063</v>
      </c>
      <c r="N1554">
        <f t="shared" ca="1" si="669"/>
        <v>2.9968266050091468</v>
      </c>
      <c r="O1554">
        <f t="shared" ca="1" si="670"/>
        <v>0</v>
      </c>
      <c r="P1554">
        <f t="shared" ca="1" si="671"/>
        <v>52432.127275056831</v>
      </c>
      <c r="Q1554">
        <f t="shared" ca="1" si="672"/>
        <v>52432.127275056831</v>
      </c>
      <c r="R1554">
        <f t="shared" ca="1" si="673"/>
        <v>0</v>
      </c>
      <c r="S1554">
        <f t="shared" ca="1" si="692"/>
        <v>9.7745230596046895E-4</v>
      </c>
      <c r="T1554">
        <f t="shared" ca="1" si="693"/>
        <v>1</v>
      </c>
      <c r="U1554">
        <f t="shared" ca="1" si="674"/>
        <v>0.05</v>
      </c>
      <c r="V1554">
        <f t="shared" ca="1" si="675"/>
        <v>0.29970000000000002</v>
      </c>
      <c r="W1554">
        <f t="shared" ca="1" si="676"/>
        <v>4.9179520840170667E-2</v>
      </c>
      <c r="X1554">
        <f t="shared" ca="1" si="677"/>
        <v>0</v>
      </c>
      <c r="Y1554">
        <f t="shared" ca="1" si="678"/>
        <v>634.31799999999998</v>
      </c>
      <c r="Z1554">
        <f t="shared" ca="1" si="679"/>
        <v>634.31799999999998</v>
      </c>
      <c r="AA1554">
        <f t="shared" ca="1" si="680"/>
        <v>0</v>
      </c>
      <c r="AB1554">
        <f t="shared" ca="1" si="681"/>
        <v>-2.0000000000663931E-3</v>
      </c>
      <c r="AC1554">
        <f t="shared" ca="1" si="682"/>
        <v>0</v>
      </c>
      <c r="AD1554">
        <f ca="1">IF(V33="Supercritical",L1554,IF(V33="Subcritical",U1554,IF(AND(T1554=1,AC1554=1),IF((((F1554)*(L1554)^2)/2+(G1554)*(L1554)^3/3+(ABS(K1554)^2)/($I$5*MAX(((F1554)+(G1554)*(L1554))*(L1554),0.000001)))&gt;=(((F1554)*(U1554)^2)/2+(G1554)*(U1554)^3/3+(ABS(K1554)^2)/($I$5*MAX(((F1554)+(G1554)*(U1554))*(U1554),0.000001))),L1554,U1554),IF(T1554=1,L1554,IF(AC1554=1,U1554,MAX($D$16,POWER((ABS(K1554)^2)/($I$5*MAX(F1554,0.1)^2),1/3)))))))</f>
        <v>51797.859275056828</v>
      </c>
      <c r="AE1554">
        <f t="shared" ca="1" si="683"/>
        <v>52432.127275056831</v>
      </c>
      <c r="AF1554">
        <f t="shared" ca="1" si="684"/>
        <v>52432.127275056831</v>
      </c>
      <c r="AI1554">
        <v>0</v>
      </c>
      <c r="AJ1554">
        <v>0</v>
      </c>
      <c r="AK1554">
        <f t="shared" si="685"/>
        <v>0</v>
      </c>
      <c r="AL1554">
        <f t="shared" si="694"/>
        <v>0</v>
      </c>
      <c r="AM1554">
        <f t="shared" ca="1" si="686"/>
        <v>0</v>
      </c>
      <c r="AN1554" t="str">
        <f t="shared" ca="1" si="687"/>
        <v>Subcritical</v>
      </c>
      <c r="AO1554">
        <f t="shared" ca="1" si="688"/>
        <v>0</v>
      </c>
    </row>
    <row r="1555" spans="1:41" x14ac:dyDescent="0.35">
      <c r="A1555">
        <v>17</v>
      </c>
      <c r="B1555">
        <v>16</v>
      </c>
      <c r="C1555">
        <v>616548.49300000002</v>
      </c>
      <c r="D1555">
        <v>3097746.3250000002</v>
      </c>
      <c r="E1555">
        <v>634.26599999999996</v>
      </c>
      <c r="F1555">
        <v>5.9939999999999998</v>
      </c>
      <c r="G1555">
        <v>0</v>
      </c>
      <c r="H1555" t="s">
        <v>186</v>
      </c>
      <c r="I1555">
        <v>0</v>
      </c>
      <c r="J1555">
        <f t="shared" si="689"/>
        <v>1</v>
      </c>
      <c r="K1555">
        <f t="shared" si="690"/>
        <v>0</v>
      </c>
      <c r="L1555">
        <f t="shared" ca="1" si="691"/>
        <v>51797.860297604522</v>
      </c>
      <c r="M1555">
        <f t="shared" ca="1" si="668"/>
        <v>310476.37462384149</v>
      </c>
      <c r="N1555">
        <f t="shared" ca="1" si="669"/>
        <v>2.9968266050125694</v>
      </c>
      <c r="O1555">
        <f t="shared" ca="1" si="670"/>
        <v>0</v>
      </c>
      <c r="P1555">
        <f t="shared" ca="1" si="671"/>
        <v>52432.126297604525</v>
      </c>
      <c r="Q1555">
        <f t="shared" ca="1" si="672"/>
        <v>52432.126297604525</v>
      </c>
      <c r="R1555">
        <f t="shared" ca="1" si="673"/>
        <v>0</v>
      </c>
      <c r="S1555">
        <f t="shared" ca="1" si="692"/>
        <v>9.7745230596046895E-4</v>
      </c>
      <c r="T1555">
        <f t="shared" ca="1" si="693"/>
        <v>1</v>
      </c>
      <c r="U1555">
        <f t="shared" ca="1" si="674"/>
        <v>0.05</v>
      </c>
      <c r="V1555">
        <f t="shared" ca="1" si="675"/>
        <v>0.29970000000000002</v>
      </c>
      <c r="W1555">
        <f t="shared" ca="1" si="676"/>
        <v>4.9179520840170667E-2</v>
      </c>
      <c r="X1555">
        <f t="shared" ca="1" si="677"/>
        <v>0</v>
      </c>
      <c r="Y1555">
        <f t="shared" ca="1" si="678"/>
        <v>634.31599999999992</v>
      </c>
      <c r="Z1555">
        <f t="shared" ca="1" si="679"/>
        <v>634.31599999999992</v>
      </c>
      <c r="AA1555">
        <f t="shared" ca="1" si="680"/>
        <v>0</v>
      </c>
      <c r="AB1555">
        <f t="shared" ca="1" si="681"/>
        <v>-1.9999999999527063E-3</v>
      </c>
      <c r="AC1555">
        <f t="shared" ca="1" si="682"/>
        <v>0</v>
      </c>
      <c r="AD1555">
        <f ca="1">IF(V33="Supercritical",L1555,IF(V33="Subcritical",U1555,IF(AND(T1555=1,AC1555=1),IF((((F1555)*(L1555)^2)/2+(G1555)*(L1555)^3/3+(ABS(K1555)^2)/($I$5*MAX(((F1555)+(G1555)*(L1555))*(L1555),0.000001)))&gt;=(((F1555)*(U1555)^2)/2+(G1555)*(U1555)^3/3+(ABS(K1555)^2)/($I$5*MAX(((F1555)+(G1555)*(U1555))*(U1555),0.000001))),L1555,U1555),IF(T1555=1,L1555,IF(AC1555=1,U1555,MAX($D$16,POWER((ABS(K1555)^2)/($I$5*MAX(F1555,0.1)^2),1/3)))))))</f>
        <v>51797.860297604522</v>
      </c>
      <c r="AE1555">
        <f t="shared" ca="1" si="683"/>
        <v>52432.126297604525</v>
      </c>
      <c r="AF1555">
        <f t="shared" ca="1" si="684"/>
        <v>52432.126297604525</v>
      </c>
      <c r="AI1555">
        <v>0</v>
      </c>
      <c r="AJ1555">
        <v>0</v>
      </c>
      <c r="AK1555">
        <f t="shared" si="685"/>
        <v>0</v>
      </c>
      <c r="AL1555">
        <f t="shared" si="694"/>
        <v>0</v>
      </c>
      <c r="AM1555">
        <f t="shared" ca="1" si="686"/>
        <v>0</v>
      </c>
      <c r="AN1555" t="str">
        <f t="shared" ca="1" si="687"/>
        <v>Subcritical</v>
      </c>
      <c r="AO1555">
        <f t="shared" ca="1" si="688"/>
        <v>0</v>
      </c>
    </row>
    <row r="1556" spans="1:41" x14ac:dyDescent="0.35">
      <c r="A1556">
        <v>18</v>
      </c>
      <c r="B1556">
        <v>17.001000000000001</v>
      </c>
      <c r="C1556">
        <v>616548.02300000004</v>
      </c>
      <c r="D1556">
        <v>3097745.4419999998</v>
      </c>
      <c r="E1556">
        <v>634.26400000000001</v>
      </c>
      <c r="F1556">
        <v>5.9939999999999998</v>
      </c>
      <c r="G1556">
        <v>0</v>
      </c>
      <c r="H1556" t="s">
        <v>186</v>
      </c>
      <c r="I1556">
        <v>0.151</v>
      </c>
      <c r="J1556">
        <f t="shared" si="689"/>
        <v>1.0010000000000012</v>
      </c>
      <c r="K1556">
        <f t="shared" si="690"/>
        <v>0</v>
      </c>
      <c r="L1556">
        <f t="shared" ca="1" si="691"/>
        <v>51797.861320152217</v>
      </c>
      <c r="M1556">
        <f t="shared" ca="1" si="668"/>
        <v>310476.38075299235</v>
      </c>
      <c r="N1556">
        <f t="shared" ca="1" si="669"/>
        <v>2.996826605015992</v>
      </c>
      <c r="O1556">
        <f t="shared" ca="1" si="670"/>
        <v>0</v>
      </c>
      <c r="P1556">
        <f t="shared" ca="1" si="671"/>
        <v>52432.12532015222</v>
      </c>
      <c r="Q1556">
        <f t="shared" ca="1" si="672"/>
        <v>52432.12532015222</v>
      </c>
      <c r="R1556">
        <f t="shared" ca="1" si="673"/>
        <v>0</v>
      </c>
      <c r="S1556">
        <f t="shared" ca="1" si="692"/>
        <v>9.7745230596046895E-4</v>
      </c>
      <c r="T1556">
        <f t="shared" ca="1" si="693"/>
        <v>1</v>
      </c>
      <c r="U1556">
        <f t="shared" ca="1" si="674"/>
        <v>0.05</v>
      </c>
      <c r="V1556">
        <f t="shared" ca="1" si="675"/>
        <v>0.29970000000000002</v>
      </c>
      <c r="W1556">
        <f t="shared" ca="1" si="676"/>
        <v>4.9179520840170667E-2</v>
      </c>
      <c r="X1556">
        <f t="shared" ca="1" si="677"/>
        <v>0</v>
      </c>
      <c r="Y1556">
        <f t="shared" ca="1" si="678"/>
        <v>634.31399999999996</v>
      </c>
      <c r="Z1556">
        <f t="shared" ca="1" si="679"/>
        <v>634.31399999999996</v>
      </c>
      <c r="AA1556">
        <f t="shared" ca="1" si="680"/>
        <v>0</v>
      </c>
      <c r="AB1556">
        <f t="shared" ca="1" si="681"/>
        <v>-2.0000000000663931E-3</v>
      </c>
      <c r="AC1556">
        <f t="shared" ca="1" si="682"/>
        <v>0</v>
      </c>
      <c r="AD1556">
        <f ca="1">IF(V33="Supercritical",L1556,IF(V33="Subcritical",U1556,IF(AND(T1556=1,AC1556=1),IF((((F1556)*(L1556)^2)/2+(G1556)*(L1556)^3/3+(ABS(K1556)^2)/($I$5*MAX(((F1556)+(G1556)*(L1556))*(L1556),0.000001)))&gt;=(((F1556)*(U1556)^2)/2+(G1556)*(U1556)^3/3+(ABS(K1556)^2)/($I$5*MAX(((F1556)+(G1556)*(U1556))*(U1556),0.000001))),L1556,U1556),IF(T1556=1,L1556,IF(AC1556=1,U1556,MAX($D$16,POWER((ABS(K1556)^2)/($I$5*MAX(F1556,0.1)^2),1/3)))))))</f>
        <v>51797.861320152217</v>
      </c>
      <c r="AE1556">
        <f t="shared" ca="1" si="683"/>
        <v>52432.12532015222</v>
      </c>
      <c r="AF1556">
        <f t="shared" ca="1" si="684"/>
        <v>52432.12532015222</v>
      </c>
      <c r="AI1556">
        <v>0</v>
      </c>
      <c r="AJ1556">
        <v>0</v>
      </c>
      <c r="AK1556">
        <f t="shared" si="685"/>
        <v>0</v>
      </c>
      <c r="AL1556">
        <f t="shared" si="694"/>
        <v>0</v>
      </c>
      <c r="AM1556">
        <f t="shared" ca="1" si="686"/>
        <v>0</v>
      </c>
      <c r="AN1556" t="str">
        <f t="shared" ca="1" si="687"/>
        <v>Subcritical</v>
      </c>
      <c r="AO1556">
        <f t="shared" ca="1" si="688"/>
        <v>0</v>
      </c>
    </row>
    <row r="1557" spans="1:41" x14ac:dyDescent="0.35">
      <c r="A1557">
        <v>19</v>
      </c>
      <c r="B1557">
        <v>17.254999999999999</v>
      </c>
      <c r="C1557">
        <v>616547.90399999998</v>
      </c>
      <c r="D1557">
        <v>3097745.2170000002</v>
      </c>
      <c r="E1557">
        <v>634.26199999999994</v>
      </c>
      <c r="F1557">
        <v>5.9939999999999998</v>
      </c>
      <c r="G1557">
        <v>0</v>
      </c>
      <c r="H1557" t="s">
        <v>186</v>
      </c>
      <c r="I1557">
        <v>0</v>
      </c>
      <c r="J1557">
        <f t="shared" si="689"/>
        <v>0.25399999999999778</v>
      </c>
      <c r="K1557">
        <f t="shared" si="690"/>
        <v>0</v>
      </c>
      <c r="L1557">
        <f t="shared" ca="1" si="691"/>
        <v>51797.862342699911</v>
      </c>
      <c r="M1557">
        <f t="shared" ca="1" si="668"/>
        <v>310476.38688214327</v>
      </c>
      <c r="N1557">
        <f t="shared" ca="1" si="669"/>
        <v>2.996826605019415</v>
      </c>
      <c r="O1557">
        <f t="shared" ca="1" si="670"/>
        <v>0</v>
      </c>
      <c r="P1557">
        <f t="shared" ca="1" si="671"/>
        <v>52432.124342699914</v>
      </c>
      <c r="Q1557">
        <f t="shared" ca="1" si="672"/>
        <v>52432.124342699914</v>
      </c>
      <c r="R1557">
        <f t="shared" ca="1" si="673"/>
        <v>0</v>
      </c>
      <c r="S1557">
        <f t="shared" ca="1" si="692"/>
        <v>9.7745230596046895E-4</v>
      </c>
      <c r="T1557">
        <f t="shared" ca="1" si="693"/>
        <v>1</v>
      </c>
      <c r="U1557">
        <f>MAX($D$16,(P6)-E1557)</f>
        <v>0.05</v>
      </c>
      <c r="V1557">
        <f t="shared" si="675"/>
        <v>0.29970000000000002</v>
      </c>
      <c r="W1557">
        <f t="shared" si="676"/>
        <v>4.9179520840170667E-2</v>
      </c>
      <c r="X1557">
        <f t="shared" si="677"/>
        <v>0</v>
      </c>
      <c r="Y1557">
        <f t="shared" si="678"/>
        <v>634.3119999999999</v>
      </c>
      <c r="Z1557">
        <f t="shared" si="679"/>
        <v>634.3119999999999</v>
      </c>
      <c r="AA1557">
        <f t="shared" si="680"/>
        <v>0</v>
      </c>
      <c r="AB1557">
        <v>0</v>
      </c>
      <c r="AC1557">
        <v>1</v>
      </c>
      <c r="AD1557">
        <f ca="1">IF(V33="Supercritical",L1557,IF(V33="Subcritical",U1557,IF(AND(T1557=1,AC1557=1),IF((((F1557)*(L1557)^2)/2+(G1557)*(L1557)^3/3+(ABS(K1557)^2)/($I$5*MAX(((F1557)+(G1557)*(L1557))*(L1557),0.000001)))&gt;=(((F1557)*(U1557)^2)/2+(G1557)*(U1557)^3/3+(ABS(K1557)^2)/($I$5*MAX(((F1557)+(G1557)*(U1557))*(U1557),0.000001))),L1557,U1557),IF(T1557=1,L1557,IF(AC1557=1,U1557,MAX($D$16,POWER((ABS(K1557)^2)/($I$5*MAX(F1557,0.1)^2),1/3)))))))</f>
        <v>51797.862342699911</v>
      </c>
      <c r="AE1557">
        <f t="shared" ca="1" si="683"/>
        <v>52432.124342699914</v>
      </c>
      <c r="AF1557">
        <f t="shared" ca="1" si="684"/>
        <v>52432.124342699914</v>
      </c>
      <c r="AI1557">
        <v>0</v>
      </c>
      <c r="AJ1557">
        <v>0</v>
      </c>
      <c r="AK1557">
        <f t="shared" si="685"/>
        <v>0</v>
      </c>
      <c r="AL1557">
        <f t="shared" si="694"/>
        <v>0</v>
      </c>
      <c r="AM1557">
        <f t="shared" ca="1" si="686"/>
        <v>0</v>
      </c>
      <c r="AN1557" t="str">
        <f t="shared" ca="1" si="687"/>
        <v>Subcritical</v>
      </c>
      <c r="AO1557">
        <f t="shared" ca="1" si="688"/>
        <v>0</v>
      </c>
    </row>
    <row r="1560" spans="1:41" x14ac:dyDescent="0.35">
      <c r="A1560" t="s">
        <v>190</v>
      </c>
      <c r="E1560">
        <f>E34</f>
        <v>38</v>
      </c>
      <c r="F1560" t="s">
        <v>141</v>
      </c>
      <c r="H1560">
        <f>N34</f>
        <v>0</v>
      </c>
      <c r="I1560" t="s">
        <v>13</v>
      </c>
      <c r="K1560" t="str">
        <f>V34</f>
        <v>Mixed</v>
      </c>
      <c r="L1560" t="s">
        <v>142</v>
      </c>
    </row>
    <row r="1561" spans="1:41" x14ac:dyDescent="0.35">
      <c r="A1561" t="s">
        <v>143</v>
      </c>
      <c r="B1561" t="s">
        <v>144</v>
      </c>
      <c r="C1561" t="s">
        <v>145</v>
      </c>
      <c r="D1561" t="s">
        <v>146</v>
      </c>
      <c r="E1561" t="s">
        <v>147</v>
      </c>
      <c r="F1561" t="s">
        <v>148</v>
      </c>
      <c r="G1561" t="s">
        <v>149</v>
      </c>
      <c r="H1561" t="s">
        <v>9</v>
      </c>
      <c r="I1561" t="s">
        <v>150</v>
      </c>
      <c r="J1561" t="s">
        <v>151</v>
      </c>
      <c r="K1561" t="s">
        <v>152</v>
      </c>
      <c r="L1561" t="s">
        <v>153</v>
      </c>
      <c r="M1561" t="s">
        <v>154</v>
      </c>
      <c r="N1561" t="s">
        <v>155</v>
      </c>
      <c r="O1561" t="s">
        <v>156</v>
      </c>
      <c r="P1561" t="s">
        <v>157</v>
      </c>
      <c r="Q1561" t="s">
        <v>158</v>
      </c>
      <c r="R1561" t="s">
        <v>159</v>
      </c>
      <c r="S1561" t="s">
        <v>160</v>
      </c>
      <c r="T1561" t="s">
        <v>161</v>
      </c>
      <c r="U1561" t="s">
        <v>162</v>
      </c>
      <c r="V1561" t="s">
        <v>163</v>
      </c>
      <c r="W1561" t="s">
        <v>164</v>
      </c>
      <c r="X1561" t="s">
        <v>165</v>
      </c>
      <c r="Y1561" t="s">
        <v>166</v>
      </c>
      <c r="Z1561" t="s">
        <v>167</v>
      </c>
      <c r="AA1561" t="s">
        <v>168</v>
      </c>
      <c r="AB1561" t="s">
        <v>169</v>
      </c>
      <c r="AC1561" t="s">
        <v>170</v>
      </c>
      <c r="AD1561" t="s">
        <v>171</v>
      </c>
      <c r="AE1561" t="s">
        <v>172</v>
      </c>
      <c r="AF1561" t="s">
        <v>173</v>
      </c>
      <c r="AG1561" t="s">
        <v>174</v>
      </c>
      <c r="AH1561" t="s">
        <v>175</v>
      </c>
      <c r="AI1561" t="s">
        <v>176</v>
      </c>
      <c r="AJ1561" t="s">
        <v>177</v>
      </c>
      <c r="AK1561" t="s">
        <v>178</v>
      </c>
      <c r="AL1561" t="s">
        <v>179</v>
      </c>
      <c r="AM1561" t="s">
        <v>180</v>
      </c>
      <c r="AN1561" t="s">
        <v>181</v>
      </c>
      <c r="AO1561" t="s">
        <v>182</v>
      </c>
    </row>
    <row r="1562" spans="1:41" x14ac:dyDescent="0.35">
      <c r="A1562" t="s">
        <v>22</v>
      </c>
      <c r="B1562" t="s">
        <v>52</v>
      </c>
      <c r="C1562" t="s">
        <v>52</v>
      </c>
      <c r="D1562" t="s">
        <v>52</v>
      </c>
      <c r="E1562" t="s">
        <v>52</v>
      </c>
      <c r="F1562" t="s">
        <v>52</v>
      </c>
      <c r="G1562" t="s">
        <v>22</v>
      </c>
      <c r="H1562" t="s">
        <v>22</v>
      </c>
      <c r="I1562" t="s">
        <v>183</v>
      </c>
      <c r="J1562" t="s">
        <v>52</v>
      </c>
      <c r="K1562" t="s">
        <v>13</v>
      </c>
      <c r="L1562" t="s">
        <v>52</v>
      </c>
      <c r="M1562" t="s">
        <v>184</v>
      </c>
      <c r="N1562" t="s">
        <v>52</v>
      </c>
      <c r="O1562" t="s">
        <v>185</v>
      </c>
      <c r="P1562" t="s">
        <v>52</v>
      </c>
      <c r="Q1562" t="s">
        <v>52</v>
      </c>
      <c r="R1562" t="s">
        <v>22</v>
      </c>
      <c r="S1562" t="s">
        <v>52</v>
      </c>
      <c r="T1562" t="s">
        <v>22</v>
      </c>
      <c r="U1562" t="s">
        <v>52</v>
      </c>
      <c r="V1562" t="s">
        <v>184</v>
      </c>
      <c r="W1562" t="s">
        <v>52</v>
      </c>
      <c r="X1562" t="s">
        <v>185</v>
      </c>
      <c r="Y1562" t="s">
        <v>52</v>
      </c>
      <c r="Z1562" t="s">
        <v>52</v>
      </c>
      <c r="AA1562" t="s">
        <v>22</v>
      </c>
      <c r="AB1562" t="s">
        <v>52</v>
      </c>
      <c r="AC1562" t="s">
        <v>22</v>
      </c>
      <c r="AD1562" t="s">
        <v>52</v>
      </c>
      <c r="AE1562" t="s">
        <v>52</v>
      </c>
      <c r="AF1562" t="s">
        <v>52</v>
      </c>
      <c r="AG1562" t="s">
        <v>52</v>
      </c>
      <c r="AH1562" t="s">
        <v>52</v>
      </c>
      <c r="AI1562" t="s">
        <v>13</v>
      </c>
      <c r="AJ1562" t="s">
        <v>13</v>
      </c>
      <c r="AK1562" t="s">
        <v>13</v>
      </c>
      <c r="AL1562" t="s">
        <v>13</v>
      </c>
      <c r="AM1562" t="s">
        <v>22</v>
      </c>
      <c r="AN1562" t="s">
        <v>22</v>
      </c>
      <c r="AO1562" t="s">
        <v>22</v>
      </c>
    </row>
    <row r="1563" spans="1:41" x14ac:dyDescent="0.35">
      <c r="A1563">
        <v>1</v>
      </c>
      <c r="B1563">
        <v>0</v>
      </c>
      <c r="C1563">
        <v>616065.73</v>
      </c>
      <c r="D1563">
        <v>3096621.8679999998</v>
      </c>
      <c r="E1563">
        <v>631.875</v>
      </c>
      <c r="F1563">
        <v>10.206</v>
      </c>
      <c r="G1563">
        <v>0</v>
      </c>
      <c r="H1563" t="s">
        <v>187</v>
      </c>
      <c r="I1563">
        <v>0</v>
      </c>
      <c r="J1563">
        <v>0</v>
      </c>
      <c r="K1563">
        <f>N34</f>
        <v>0</v>
      </c>
      <c r="L1563">
        <f>MAX($D$16,($I$14)-E1563)</f>
        <v>51800.26683766341</v>
      </c>
      <c r="M1563">
        <f t="shared" ref="M1563:M1601" si="695">((F1563)+(G1563)*(L1563))*(L1563)</f>
        <v>528673.52334519278</v>
      </c>
      <c r="N1563">
        <f t="shared" ref="N1563:N1601" si="696">(((F1563)+(G1563)*(L1563))*(L1563))/MAX((F1563)+2*(L1563)*SQRT(1+(G1563)^2),0.000001)</f>
        <v>5.1024973376489422</v>
      </c>
      <c r="O1563">
        <f t="shared" ref="O1563:O1601" si="697">ABS(K1563)/MAX(((F1563)+(G1563)*(L1563))*(L1563),0.000001)</f>
        <v>0</v>
      </c>
      <c r="P1563">
        <f t="shared" ref="P1563:P1601" si="698">E1563+L1563</f>
        <v>52432.14183766341</v>
      </c>
      <c r="Q1563">
        <f t="shared" ref="Q1563:Q1601" si="699">P1563+((ABS(K1563)/MAX(((F1563)+(G1563)*(L1563))*(L1563),0.000001))^2)/(2*$I$5)</f>
        <v>52432.14183766341</v>
      </c>
      <c r="R1563">
        <f t="shared" ref="R1563:R1601" si="700">((ABS(K1563)*$D$6)/(MAX(((F1563)+(G1563)*(L1563))*(L1563),0.000001)*MAX(((((F1563)+(G1563)*(L1563))*(L1563))/MAX((F1563)+2*(L1563)*SQRT(1+(G1563)^2),0.000001))^(2/3),0.000001)))^2</f>
        <v>0</v>
      </c>
      <c r="S1563">
        <v>0</v>
      </c>
      <c r="T1563">
        <v>1</v>
      </c>
      <c r="U1563" t="e">
        <f t="shared" ref="U1563:U1600" ca="1" si="701">IF($D$20=0,U1564,IF(AC1564=0,U1564,IF(U1563=0,U1564,IF(ABS(AB1563)&gt;$D$19,MAX($D$16,U1563+((AB1563)*$D$18*IF((ABS(ABS(K1563)/MAX(((F1563)+(G1563)*(U1563))*(U1563),0.000001))/SQRT($I$5*MAX((((F1563)+(G1563)*(U1563))*(U1563))/MAX((F1563)+2*(G1563)*(U1563),0.000001),0.000001)))&lt;1,1,-1))),U1563))))</f>
        <v>#VALUE!</v>
      </c>
      <c r="V1563" t="e">
        <f t="shared" ref="V1563:V1601" ca="1" si="702">((F1563)+(G1563)*(U1563))*(U1563)</f>
        <v>#VALUE!</v>
      </c>
      <c r="W1563" t="e">
        <f t="shared" ref="W1563:W1601" ca="1" si="703">(((F1563)+(G1563)*(U1563))*(U1563))/MAX((F1563)+2*(U1563)*SQRT(1+(G1563)^2),0.000001)</f>
        <v>#VALUE!</v>
      </c>
      <c r="X1563" t="e">
        <f t="shared" ref="X1563:X1601" ca="1" si="704">ABS(K1563)/MAX(((F1563)+(G1563)*(U1563))*(U1563),0.000001)</f>
        <v>#VALUE!</v>
      </c>
      <c r="Y1563" t="e">
        <f t="shared" ref="Y1563:Y1601" ca="1" si="705">E1563+U1563</f>
        <v>#VALUE!</v>
      </c>
      <c r="Z1563" t="e">
        <f t="shared" ref="Z1563:Z1601" ca="1" si="706">Y1563+((ABS(K1563)/MAX(((F1563)+(G1563)*(U1563))*(U1563),0.000001))^2)/(2*$I$5)</f>
        <v>#VALUE!</v>
      </c>
      <c r="AA1563" t="e">
        <f t="shared" ref="AA1563:AA1601" ca="1" si="707">((ABS(K1563)*$D$6)/(MAX(((F1563)+(G1563)*(U1563))*(U1563),0.000001)*MAX(((((F1563)+(G1563)*(U1563))*(U1563))/MAX((F1563)+2*(U1563)*SQRT(1+(G1563)^2),0.000001))^(2/3),0.000001)))^2</f>
        <v>#VALUE!</v>
      </c>
      <c r="AB1563" t="e">
        <f t="shared" ref="AB1563:AB1600" ca="1" si="708">Z1564+(((AA1563+AA1564)/2)*J1564)+(IF(X1563&gt;X1564,$D$8*((X1563^2-X1564^2)/(2*$I$5)),$D$9*((X1564^2-X1563^2)/(2*$I$5)))+($D$10*(ABS(I1564)/90)*(MAX(X1563^2,X1564^2)/(2*$I$5))))-Z1563</f>
        <v>#VALUE!</v>
      </c>
      <c r="AC1563" t="e">
        <f t="shared" ref="AC1563:AC1600" ca="1" si="709">IF(ABS(AB1563)&lt;$D$19,1,0)</f>
        <v>#VALUE!</v>
      </c>
      <c r="AD1563" t="e">
        <f ca="1">IF(V34="Supercritical",L1563,IF(V34="Subcritical",U1563,IF(AND(T1563=1,AC1563=1),IF((((F1563)*(L1563)^2)/2+(G1563)*(L1563)^3/3+(ABS(K1563)^2)/($I$5*MAX(((F1563)+(G1563)*(L1563))*(L1563),0.000001)))&gt;=(((F1563)*(U1563)^2)/2+(G1563)*(U1563)^3/3+(ABS(K1563)^2)/($I$5*MAX(((F1563)+(G1563)*(U1563))*(U1563),0.000001))),L1563,U1563),IF(T1563=1,L1563,IF(AC1563=1,U1563,MAX($D$16,POWER((ABS(K1563)^2)/($I$5*MAX(F1563,0.1)^2),1/3)))))))</f>
        <v>#VALUE!</v>
      </c>
      <c r="AE1563" t="e">
        <f t="shared" ref="AE1563:AE1601" ca="1" si="710">E1563+AD1563</f>
        <v>#VALUE!</v>
      </c>
      <c r="AF1563" t="e">
        <f t="shared" ref="AF1563:AF1601" ca="1" si="711">AE1563+((ABS(K1563)/MAX(((F1563)+(G1563)*(AD1563))*(AD1563),0.000001))^2)/(2*$I$5)</f>
        <v>#VALUE!</v>
      </c>
      <c r="AI1563">
        <v>0</v>
      </c>
      <c r="AJ1563">
        <v>0</v>
      </c>
      <c r="AK1563">
        <f t="shared" ref="AK1563:AK1601" si="712">AI1563+AJ1563</f>
        <v>0</v>
      </c>
      <c r="AL1563">
        <f>AK1563</f>
        <v>0</v>
      </c>
      <c r="AM1563" t="e">
        <f t="shared" ref="AM1563:AM1601" ca="1" si="713">ABS(ABS(K1563)/MAX(((F1563)+(G1563)*(AD1563))*(AD1563),0.000001))/SQRT($I$5*MAX((((F1563)+(G1563)*(AD1563))*(AD1563))/MAX((F1563)+2*(G1563)*(AD1563),0.000001),0.000001))</f>
        <v>#VALUE!</v>
      </c>
      <c r="AN1563" t="e">
        <f t="shared" ref="AN1563:AN1601" ca="1" si="714">IF(AM1563&lt;1,"Subcritical","Supercritical")</f>
        <v>#VALUE!</v>
      </c>
      <c r="AO1563" t="e">
        <f t="shared" ref="AO1563:AO1601" ca="1" si="715">((ABS(K1563)*$D$6)/(MAX(((F1563)+(G1563)*(AD1563))*(AD1563),0.000001)*MAX(((((F1563)+(G1563)*(AD1563))*(AD1563))/MAX((F1563)+2*(AD1563)*SQRT(1+(G1563)^2),0.000001))^(2/3),0.000001)))^2</f>
        <v>#VALUE!</v>
      </c>
    </row>
    <row r="1564" spans="1:41" x14ac:dyDescent="0.35">
      <c r="A1564">
        <v>2</v>
      </c>
      <c r="B1564">
        <v>1</v>
      </c>
      <c r="C1564">
        <v>616065.73</v>
      </c>
      <c r="D1564">
        <v>3096620.8679999998</v>
      </c>
      <c r="E1564">
        <v>631.65219999999999</v>
      </c>
      <c r="F1564">
        <v>12.125999999999999</v>
      </c>
      <c r="G1564">
        <v>0</v>
      </c>
      <c r="H1564" t="s">
        <v>187</v>
      </c>
      <c r="I1564">
        <v>0</v>
      </c>
      <c r="J1564">
        <f t="shared" ref="J1564:J1601" si="716">B1564-B1563</f>
        <v>1</v>
      </c>
      <c r="K1564">
        <f t="shared" ref="K1564:K1601" si="717">MAX(0,K1563-AK1563)</f>
        <v>0</v>
      </c>
      <c r="L1564">
        <f t="shared" ref="L1564:L1601" ca="1" si="718">IF($D$20=0,L1563,IF(T1563=0,L1563,IF(L1564=0,L1563,IF(ABS(S1564)&gt;$D$19,MAX($D$16,L1564+((S1564)*$D$18*IF((ABS(ABS(K1564)/MAX(((F1564)+(G1564)*(L1564))*(L1564),0.000001))/SQRT($I$5*MAX((((F1564)+(G1564)*(L1564))*(L1564))/MAX((F1564)+2*(G1564)*(L1564),0.000001),0.000001)))&lt;1,1,-1))),L1564))))</f>
        <v>51800.488750183242</v>
      </c>
      <c r="M1564">
        <f t="shared" ca="1" si="695"/>
        <v>628132.72658472194</v>
      </c>
      <c r="N1564">
        <f t="shared" ca="1" si="696"/>
        <v>6.0622904378354052</v>
      </c>
      <c r="O1564">
        <f t="shared" ca="1" si="697"/>
        <v>0</v>
      </c>
      <c r="P1564">
        <f t="shared" ca="1" si="698"/>
        <v>52432.140950183239</v>
      </c>
      <c r="Q1564">
        <f t="shared" ca="1" si="699"/>
        <v>52432.140950183239</v>
      </c>
      <c r="R1564">
        <f t="shared" ca="1" si="700"/>
        <v>0</v>
      </c>
      <c r="S1564">
        <f t="shared" ref="S1564:S1601" ca="1" si="719">Q1563-(((R1563+R1564)/2)*J1564)-(IF(O1563&gt;O1564,$D$8*((O1563^2-O1564^2)/(2*$I$5)),$D$9*((O1564^2-O1563^2)/(2*$I$5)))+($D$10*(ABS(I1564)/90)*(MAX(O1563^2,O1564^2)/(2*$I$5))))-Q1564</f>
        <v>8.874801715137437E-4</v>
      </c>
      <c r="T1564">
        <f t="shared" ref="T1564:T1601" ca="1" si="720">IF(ABS(S1564)&lt;$D$19,1,0)</f>
        <v>1</v>
      </c>
      <c r="U1564" t="e">
        <f t="shared" ca="1" si="701"/>
        <v>#VALUE!</v>
      </c>
      <c r="V1564" t="e">
        <f t="shared" ca="1" si="702"/>
        <v>#VALUE!</v>
      </c>
      <c r="W1564" t="e">
        <f t="shared" ca="1" si="703"/>
        <v>#VALUE!</v>
      </c>
      <c r="X1564" t="e">
        <f t="shared" ca="1" si="704"/>
        <v>#VALUE!</v>
      </c>
      <c r="Y1564" t="e">
        <f t="shared" ca="1" si="705"/>
        <v>#VALUE!</v>
      </c>
      <c r="Z1564" t="e">
        <f t="shared" ca="1" si="706"/>
        <v>#VALUE!</v>
      </c>
      <c r="AA1564" t="e">
        <f t="shared" ca="1" si="707"/>
        <v>#VALUE!</v>
      </c>
      <c r="AB1564" t="e">
        <f t="shared" ca="1" si="708"/>
        <v>#VALUE!</v>
      </c>
      <c r="AC1564" t="e">
        <f t="shared" ca="1" si="709"/>
        <v>#VALUE!</v>
      </c>
      <c r="AD1564" t="e">
        <f ca="1">IF(V34="Supercritical",L1564,IF(V34="Subcritical",U1564,IF(AND(T1564=1,AC1564=1),IF((((F1564)*(L1564)^2)/2+(G1564)*(L1564)^3/3+(ABS(K1564)^2)/($I$5*MAX(((F1564)+(G1564)*(L1564))*(L1564),0.000001)))&gt;=(((F1564)*(U1564)^2)/2+(G1564)*(U1564)^3/3+(ABS(K1564)^2)/($I$5*MAX(((F1564)+(G1564)*(U1564))*(U1564),0.000001))),L1564,U1564),IF(T1564=1,L1564,IF(AC1564=1,U1564,MAX($D$16,POWER((ABS(K1564)^2)/($I$5*MAX(F1564,0.1)^2),1/3)))))))</f>
        <v>#VALUE!</v>
      </c>
      <c r="AE1564" t="e">
        <f t="shared" ca="1" si="710"/>
        <v>#VALUE!</v>
      </c>
      <c r="AF1564" t="e">
        <f t="shared" ca="1" si="711"/>
        <v>#VALUE!</v>
      </c>
      <c r="AI1564">
        <v>0</v>
      </c>
      <c r="AJ1564">
        <v>0</v>
      </c>
      <c r="AK1564">
        <f t="shared" si="712"/>
        <v>0</v>
      </c>
      <c r="AL1564">
        <f t="shared" ref="AL1564:AL1601" si="721">AL1563+AK1564</f>
        <v>0</v>
      </c>
      <c r="AM1564" t="e">
        <f t="shared" ca="1" si="713"/>
        <v>#VALUE!</v>
      </c>
      <c r="AN1564" t="e">
        <f t="shared" ca="1" si="714"/>
        <v>#VALUE!</v>
      </c>
      <c r="AO1564" t="e">
        <f t="shared" ca="1" si="715"/>
        <v>#VALUE!</v>
      </c>
    </row>
    <row r="1565" spans="1:41" x14ac:dyDescent="0.35">
      <c r="A1565">
        <v>3</v>
      </c>
      <c r="B1565">
        <v>2</v>
      </c>
      <c r="C1565">
        <v>616065.73</v>
      </c>
      <c r="D1565">
        <v>3096619.8679999998</v>
      </c>
      <c r="E1565">
        <v>631.42930000000001</v>
      </c>
      <c r="F1565">
        <v>13.644</v>
      </c>
      <c r="G1565">
        <v>0</v>
      </c>
      <c r="H1565" t="s">
        <v>187</v>
      </c>
      <c r="I1565">
        <v>0</v>
      </c>
      <c r="J1565">
        <f t="shared" si="716"/>
        <v>1</v>
      </c>
      <c r="K1565">
        <f t="shared" si="717"/>
        <v>0</v>
      </c>
      <c r="L1565">
        <f t="shared" ca="1" si="718"/>
        <v>51800.710761570794</v>
      </c>
      <c r="M1565">
        <f t="shared" ca="1" si="695"/>
        <v>706768.89763087197</v>
      </c>
      <c r="N1565">
        <f t="shared" ca="1" si="696"/>
        <v>6.8211016811355574</v>
      </c>
      <c r="O1565">
        <f t="shared" ca="1" si="697"/>
        <v>0</v>
      </c>
      <c r="P1565">
        <f t="shared" ca="1" si="698"/>
        <v>52432.140061570797</v>
      </c>
      <c r="Q1565">
        <f t="shared" ca="1" si="699"/>
        <v>52432.140061570797</v>
      </c>
      <c r="R1565">
        <f t="shared" ca="1" si="700"/>
        <v>0</v>
      </c>
      <c r="S1565">
        <f t="shared" ca="1" si="719"/>
        <v>8.8861244148574769E-4</v>
      </c>
      <c r="T1565">
        <f t="shared" ca="1" si="720"/>
        <v>1</v>
      </c>
      <c r="U1565" t="e">
        <f t="shared" ca="1" si="701"/>
        <v>#VALUE!</v>
      </c>
      <c r="V1565" t="e">
        <f t="shared" ca="1" si="702"/>
        <v>#VALUE!</v>
      </c>
      <c r="W1565" t="e">
        <f t="shared" ca="1" si="703"/>
        <v>#VALUE!</v>
      </c>
      <c r="X1565" t="e">
        <f t="shared" ca="1" si="704"/>
        <v>#VALUE!</v>
      </c>
      <c r="Y1565" t="e">
        <f t="shared" ca="1" si="705"/>
        <v>#VALUE!</v>
      </c>
      <c r="Z1565" t="e">
        <f t="shared" ca="1" si="706"/>
        <v>#VALUE!</v>
      </c>
      <c r="AA1565" t="e">
        <f t="shared" ca="1" si="707"/>
        <v>#VALUE!</v>
      </c>
      <c r="AB1565" t="e">
        <f t="shared" ca="1" si="708"/>
        <v>#VALUE!</v>
      </c>
      <c r="AC1565" t="e">
        <f t="shared" ca="1" si="709"/>
        <v>#VALUE!</v>
      </c>
      <c r="AD1565" t="e">
        <f ca="1">IF(V34="Supercritical",L1565,IF(V34="Subcritical",U1565,IF(AND(T1565=1,AC1565=1),IF((((F1565)*(L1565)^2)/2+(G1565)*(L1565)^3/3+(ABS(K1565)^2)/($I$5*MAX(((F1565)+(G1565)*(L1565))*(L1565),0.000001)))&gt;=(((F1565)*(U1565)^2)/2+(G1565)*(U1565)^3/3+(ABS(K1565)^2)/($I$5*MAX(((F1565)+(G1565)*(U1565))*(U1565),0.000001))),L1565,U1565),IF(T1565=1,L1565,IF(AC1565=1,U1565,MAX($D$16,POWER((ABS(K1565)^2)/($I$5*MAX(F1565,0.1)^2),1/3)))))))</f>
        <v>#VALUE!</v>
      </c>
      <c r="AE1565" t="e">
        <f t="shared" ca="1" si="710"/>
        <v>#VALUE!</v>
      </c>
      <c r="AF1565" t="e">
        <f t="shared" ca="1" si="711"/>
        <v>#VALUE!</v>
      </c>
      <c r="AI1565">
        <v>0</v>
      </c>
      <c r="AJ1565">
        <v>0</v>
      </c>
      <c r="AK1565">
        <f t="shared" si="712"/>
        <v>0</v>
      </c>
      <c r="AL1565">
        <f t="shared" si="721"/>
        <v>0</v>
      </c>
      <c r="AM1565" t="e">
        <f t="shared" ca="1" si="713"/>
        <v>#VALUE!</v>
      </c>
      <c r="AN1565" t="e">
        <f t="shared" ca="1" si="714"/>
        <v>#VALUE!</v>
      </c>
      <c r="AO1565" t="e">
        <f t="shared" ca="1" si="715"/>
        <v>#VALUE!</v>
      </c>
    </row>
    <row r="1566" spans="1:41" x14ac:dyDescent="0.35">
      <c r="A1566">
        <v>4</v>
      </c>
      <c r="B1566">
        <v>3</v>
      </c>
      <c r="C1566">
        <v>616065.73</v>
      </c>
      <c r="D1566">
        <v>3096618.8679999998</v>
      </c>
      <c r="E1566">
        <v>631.20650000000001</v>
      </c>
      <c r="F1566">
        <v>15</v>
      </c>
      <c r="G1566">
        <v>0</v>
      </c>
      <c r="H1566" t="s">
        <v>187</v>
      </c>
      <c r="I1566">
        <v>0</v>
      </c>
      <c r="J1566">
        <f t="shared" si="716"/>
        <v>1</v>
      </c>
      <c r="K1566">
        <f t="shared" si="717"/>
        <v>0</v>
      </c>
      <c r="L1566">
        <f t="shared" ca="1" si="718"/>
        <v>51800.932673355754</v>
      </c>
      <c r="M1566">
        <f t="shared" ca="1" si="695"/>
        <v>777013.99010033626</v>
      </c>
      <c r="N1566">
        <f t="shared" ca="1" si="696"/>
        <v>7.4989142694133468</v>
      </c>
      <c r="O1566">
        <f t="shared" ca="1" si="697"/>
        <v>0</v>
      </c>
      <c r="P1566">
        <f t="shared" ca="1" si="698"/>
        <v>52432.139173355754</v>
      </c>
      <c r="Q1566">
        <f t="shared" ca="1" si="699"/>
        <v>52432.139173355754</v>
      </c>
      <c r="R1566">
        <f t="shared" ca="1" si="700"/>
        <v>0</v>
      </c>
      <c r="S1566">
        <f t="shared" ca="1" si="719"/>
        <v>8.8821504323277622E-4</v>
      </c>
      <c r="T1566">
        <f t="shared" ca="1" si="720"/>
        <v>1</v>
      </c>
      <c r="U1566" t="e">
        <f t="shared" ca="1" si="701"/>
        <v>#VALUE!</v>
      </c>
      <c r="V1566" t="e">
        <f t="shared" ca="1" si="702"/>
        <v>#VALUE!</v>
      </c>
      <c r="W1566" t="e">
        <f t="shared" ca="1" si="703"/>
        <v>#VALUE!</v>
      </c>
      <c r="X1566" t="e">
        <f t="shared" ca="1" si="704"/>
        <v>#VALUE!</v>
      </c>
      <c r="Y1566" t="e">
        <f t="shared" ca="1" si="705"/>
        <v>#VALUE!</v>
      </c>
      <c r="Z1566" t="e">
        <f t="shared" ca="1" si="706"/>
        <v>#VALUE!</v>
      </c>
      <c r="AA1566" t="e">
        <f t="shared" ca="1" si="707"/>
        <v>#VALUE!</v>
      </c>
      <c r="AB1566" t="e">
        <f t="shared" ca="1" si="708"/>
        <v>#VALUE!</v>
      </c>
      <c r="AC1566" t="e">
        <f t="shared" ca="1" si="709"/>
        <v>#VALUE!</v>
      </c>
      <c r="AD1566" t="e">
        <f ca="1">IF(V34="Supercritical",L1566,IF(V34="Subcritical",U1566,IF(AND(T1566=1,AC1566=1),IF((((F1566)*(L1566)^2)/2+(G1566)*(L1566)^3/3+(ABS(K1566)^2)/($I$5*MAX(((F1566)+(G1566)*(L1566))*(L1566),0.000001)))&gt;=(((F1566)*(U1566)^2)/2+(G1566)*(U1566)^3/3+(ABS(K1566)^2)/($I$5*MAX(((F1566)+(G1566)*(U1566))*(U1566),0.000001))),L1566,U1566),IF(T1566=1,L1566,IF(AC1566=1,U1566,MAX($D$16,POWER((ABS(K1566)^2)/($I$5*MAX(F1566,0.1)^2),1/3)))))))</f>
        <v>#VALUE!</v>
      </c>
      <c r="AE1566" t="e">
        <f t="shared" ca="1" si="710"/>
        <v>#VALUE!</v>
      </c>
      <c r="AF1566" t="e">
        <f t="shared" ca="1" si="711"/>
        <v>#VALUE!</v>
      </c>
      <c r="AI1566">
        <v>0</v>
      </c>
      <c r="AJ1566">
        <v>0</v>
      </c>
      <c r="AK1566">
        <f t="shared" si="712"/>
        <v>0</v>
      </c>
      <c r="AL1566">
        <f t="shared" si="721"/>
        <v>0</v>
      </c>
      <c r="AM1566" t="e">
        <f t="shared" ca="1" si="713"/>
        <v>#VALUE!</v>
      </c>
      <c r="AN1566" t="e">
        <f t="shared" ca="1" si="714"/>
        <v>#VALUE!</v>
      </c>
      <c r="AO1566" t="e">
        <f t="shared" ca="1" si="715"/>
        <v>#VALUE!</v>
      </c>
    </row>
    <row r="1567" spans="1:41" x14ac:dyDescent="0.35">
      <c r="A1567">
        <v>5</v>
      </c>
      <c r="B1567">
        <v>4</v>
      </c>
      <c r="C1567">
        <v>616065.73</v>
      </c>
      <c r="D1567">
        <v>3096617.8679999998</v>
      </c>
      <c r="E1567">
        <v>630.98360000000002</v>
      </c>
      <c r="F1567">
        <v>17</v>
      </c>
      <c r="G1567">
        <v>0</v>
      </c>
      <c r="H1567" t="s">
        <v>187</v>
      </c>
      <c r="I1567">
        <v>0</v>
      </c>
      <c r="J1567">
        <f t="shared" si="716"/>
        <v>1</v>
      </c>
      <c r="K1567">
        <f t="shared" si="717"/>
        <v>0</v>
      </c>
      <c r="L1567">
        <f t="shared" ca="1" si="718"/>
        <v>51801.154684742709</v>
      </c>
      <c r="M1567">
        <f t="shared" ca="1" si="695"/>
        <v>880619.62964062602</v>
      </c>
      <c r="N1567">
        <f t="shared" ca="1" si="696"/>
        <v>8.4986054722726934</v>
      </c>
      <c r="O1567">
        <f t="shared" ca="1" si="697"/>
        <v>0</v>
      </c>
      <c r="P1567">
        <f t="shared" ca="1" si="698"/>
        <v>52432.138284742708</v>
      </c>
      <c r="Q1567">
        <f t="shared" ca="1" si="699"/>
        <v>52432.138284742708</v>
      </c>
      <c r="R1567">
        <f t="shared" ca="1" si="700"/>
        <v>0</v>
      </c>
      <c r="S1567">
        <f t="shared" ca="1" si="719"/>
        <v>8.8861304539022967E-4</v>
      </c>
      <c r="T1567">
        <f t="shared" ca="1" si="720"/>
        <v>1</v>
      </c>
      <c r="U1567" t="e">
        <f t="shared" ca="1" si="701"/>
        <v>#VALUE!</v>
      </c>
      <c r="V1567" t="e">
        <f t="shared" ca="1" si="702"/>
        <v>#VALUE!</v>
      </c>
      <c r="W1567" t="e">
        <f t="shared" ca="1" si="703"/>
        <v>#VALUE!</v>
      </c>
      <c r="X1567" t="e">
        <f t="shared" ca="1" si="704"/>
        <v>#VALUE!</v>
      </c>
      <c r="Y1567" t="e">
        <f t="shared" ca="1" si="705"/>
        <v>#VALUE!</v>
      </c>
      <c r="Z1567" t="e">
        <f t="shared" ca="1" si="706"/>
        <v>#VALUE!</v>
      </c>
      <c r="AA1567" t="e">
        <f t="shared" ca="1" si="707"/>
        <v>#VALUE!</v>
      </c>
      <c r="AB1567" t="e">
        <f t="shared" ca="1" si="708"/>
        <v>#VALUE!</v>
      </c>
      <c r="AC1567" t="e">
        <f t="shared" ca="1" si="709"/>
        <v>#VALUE!</v>
      </c>
      <c r="AD1567" t="e">
        <f ca="1">IF(V34="Supercritical",L1567,IF(V34="Subcritical",U1567,IF(AND(T1567=1,AC1567=1),IF((((F1567)*(L1567)^2)/2+(G1567)*(L1567)^3/3+(ABS(K1567)^2)/($I$5*MAX(((F1567)+(G1567)*(L1567))*(L1567),0.000001)))&gt;=(((F1567)*(U1567)^2)/2+(G1567)*(U1567)^3/3+(ABS(K1567)^2)/($I$5*MAX(((F1567)+(G1567)*(U1567))*(U1567),0.000001))),L1567,U1567),IF(T1567=1,L1567,IF(AC1567=1,U1567,MAX($D$16,POWER((ABS(K1567)^2)/($I$5*MAX(F1567,0.1)^2),1/3)))))))</f>
        <v>#VALUE!</v>
      </c>
      <c r="AE1567" t="e">
        <f t="shared" ca="1" si="710"/>
        <v>#VALUE!</v>
      </c>
      <c r="AF1567" t="e">
        <f t="shared" ca="1" si="711"/>
        <v>#VALUE!</v>
      </c>
      <c r="AI1567">
        <v>0</v>
      </c>
      <c r="AJ1567">
        <v>0</v>
      </c>
      <c r="AK1567">
        <f t="shared" si="712"/>
        <v>0</v>
      </c>
      <c r="AL1567">
        <f t="shared" si="721"/>
        <v>0</v>
      </c>
      <c r="AM1567" t="e">
        <f t="shared" ca="1" si="713"/>
        <v>#VALUE!</v>
      </c>
      <c r="AN1567" t="e">
        <f t="shared" ca="1" si="714"/>
        <v>#VALUE!</v>
      </c>
      <c r="AO1567" t="e">
        <f t="shared" ca="1" si="715"/>
        <v>#VALUE!</v>
      </c>
    </row>
    <row r="1568" spans="1:41" x14ac:dyDescent="0.35">
      <c r="A1568">
        <v>6</v>
      </c>
      <c r="B1568">
        <v>5</v>
      </c>
      <c r="C1568">
        <v>616065.73</v>
      </c>
      <c r="D1568">
        <v>3096616.8679999998</v>
      </c>
      <c r="E1568">
        <v>630.76080000000002</v>
      </c>
      <c r="F1568">
        <v>19</v>
      </c>
      <c r="G1568">
        <v>0</v>
      </c>
      <c r="H1568" t="s">
        <v>187</v>
      </c>
      <c r="I1568">
        <v>0</v>
      </c>
      <c r="J1568">
        <f t="shared" si="716"/>
        <v>1</v>
      </c>
      <c r="K1568">
        <f t="shared" si="717"/>
        <v>0</v>
      </c>
      <c r="L1568">
        <f t="shared" ca="1" si="718"/>
        <v>51801.376596527669</v>
      </c>
      <c r="M1568">
        <f t="shared" ca="1" si="695"/>
        <v>984226.15533402574</v>
      </c>
      <c r="N1568">
        <f t="shared" ca="1" si="696"/>
        <v>9.4982580877620961</v>
      </c>
      <c r="O1568">
        <f t="shared" ca="1" si="697"/>
        <v>0</v>
      </c>
      <c r="P1568">
        <f t="shared" ca="1" si="698"/>
        <v>52432.137396527673</v>
      </c>
      <c r="Q1568">
        <f t="shared" ca="1" si="699"/>
        <v>52432.137396527673</v>
      </c>
      <c r="R1568">
        <f t="shared" ca="1" si="700"/>
        <v>0</v>
      </c>
      <c r="S1568">
        <f t="shared" ca="1" si="719"/>
        <v>8.8821503595681861E-4</v>
      </c>
      <c r="T1568">
        <f t="shared" ca="1" si="720"/>
        <v>1</v>
      </c>
      <c r="U1568" t="e">
        <f t="shared" ca="1" si="701"/>
        <v>#VALUE!</v>
      </c>
      <c r="V1568" t="e">
        <f t="shared" ca="1" si="702"/>
        <v>#VALUE!</v>
      </c>
      <c r="W1568" t="e">
        <f t="shared" ca="1" si="703"/>
        <v>#VALUE!</v>
      </c>
      <c r="X1568" t="e">
        <f t="shared" ca="1" si="704"/>
        <v>#VALUE!</v>
      </c>
      <c r="Y1568" t="e">
        <f t="shared" ca="1" si="705"/>
        <v>#VALUE!</v>
      </c>
      <c r="Z1568" t="e">
        <f t="shared" ca="1" si="706"/>
        <v>#VALUE!</v>
      </c>
      <c r="AA1568" t="e">
        <f t="shared" ca="1" si="707"/>
        <v>#VALUE!</v>
      </c>
      <c r="AB1568" t="e">
        <f t="shared" ca="1" si="708"/>
        <v>#VALUE!</v>
      </c>
      <c r="AC1568" t="e">
        <f t="shared" ca="1" si="709"/>
        <v>#VALUE!</v>
      </c>
      <c r="AD1568" t="e">
        <f ca="1">IF(V34="Supercritical",L1568,IF(V34="Subcritical",U1568,IF(AND(T1568=1,AC1568=1),IF((((F1568)*(L1568)^2)/2+(G1568)*(L1568)^3/3+(ABS(K1568)^2)/($I$5*MAX(((F1568)+(G1568)*(L1568))*(L1568),0.000001)))&gt;=(((F1568)*(U1568)^2)/2+(G1568)*(U1568)^3/3+(ABS(K1568)^2)/($I$5*MAX(((F1568)+(G1568)*(U1568))*(U1568),0.000001))),L1568,U1568),IF(T1568=1,L1568,IF(AC1568=1,U1568,MAX($D$16,POWER((ABS(K1568)^2)/($I$5*MAX(F1568,0.1)^2),1/3)))))))</f>
        <v>#VALUE!</v>
      </c>
      <c r="AE1568" t="e">
        <f t="shared" ca="1" si="710"/>
        <v>#VALUE!</v>
      </c>
      <c r="AF1568" t="e">
        <f t="shared" ca="1" si="711"/>
        <v>#VALUE!</v>
      </c>
      <c r="AI1568">
        <v>0</v>
      </c>
      <c r="AJ1568">
        <v>0</v>
      </c>
      <c r="AK1568">
        <f t="shared" si="712"/>
        <v>0</v>
      </c>
      <c r="AL1568">
        <f t="shared" si="721"/>
        <v>0</v>
      </c>
      <c r="AM1568" t="e">
        <f t="shared" ca="1" si="713"/>
        <v>#VALUE!</v>
      </c>
      <c r="AN1568" t="e">
        <f t="shared" ca="1" si="714"/>
        <v>#VALUE!</v>
      </c>
      <c r="AO1568" t="e">
        <f t="shared" ca="1" si="715"/>
        <v>#VALUE!</v>
      </c>
    </row>
    <row r="1569" spans="1:41" x14ac:dyDescent="0.35">
      <c r="A1569">
        <v>7</v>
      </c>
      <c r="B1569">
        <v>6</v>
      </c>
      <c r="C1569">
        <v>616065.73</v>
      </c>
      <c r="D1569">
        <v>3096615.8679999998</v>
      </c>
      <c r="E1569">
        <v>630.53790000000004</v>
      </c>
      <c r="F1569">
        <v>11.881</v>
      </c>
      <c r="G1569">
        <v>0</v>
      </c>
      <c r="H1569" t="s">
        <v>186</v>
      </c>
      <c r="I1569">
        <v>0</v>
      </c>
      <c r="J1569">
        <f t="shared" si="716"/>
        <v>1</v>
      </c>
      <c r="K1569">
        <f t="shared" si="717"/>
        <v>0</v>
      </c>
      <c r="L1569">
        <f t="shared" ca="1" si="718"/>
        <v>51801.598607914624</v>
      </c>
      <c r="M1569">
        <f t="shared" ca="1" si="695"/>
        <v>615454.7930606337</v>
      </c>
      <c r="N1569">
        <f t="shared" ca="1" si="696"/>
        <v>5.9398188338829137</v>
      </c>
      <c r="O1569">
        <f t="shared" ca="1" si="697"/>
        <v>0</v>
      </c>
      <c r="P1569">
        <f t="shared" ca="1" si="698"/>
        <v>52432.136507914627</v>
      </c>
      <c r="Q1569">
        <f t="shared" ca="1" si="699"/>
        <v>52432.136507914627</v>
      </c>
      <c r="R1569">
        <f t="shared" ca="1" si="700"/>
        <v>0</v>
      </c>
      <c r="S1569">
        <f t="shared" ca="1" si="719"/>
        <v>8.8861304539022967E-4</v>
      </c>
      <c r="T1569">
        <f t="shared" ca="1" si="720"/>
        <v>1</v>
      </c>
      <c r="U1569" t="e">
        <f t="shared" ca="1" si="701"/>
        <v>#VALUE!</v>
      </c>
      <c r="V1569" t="e">
        <f t="shared" ca="1" si="702"/>
        <v>#VALUE!</v>
      </c>
      <c r="W1569" t="e">
        <f t="shared" ca="1" si="703"/>
        <v>#VALUE!</v>
      </c>
      <c r="X1569" t="e">
        <f t="shared" ca="1" si="704"/>
        <v>#VALUE!</v>
      </c>
      <c r="Y1569" t="e">
        <f t="shared" ca="1" si="705"/>
        <v>#VALUE!</v>
      </c>
      <c r="Z1569" t="e">
        <f t="shared" ca="1" si="706"/>
        <v>#VALUE!</v>
      </c>
      <c r="AA1569" t="e">
        <f t="shared" ca="1" si="707"/>
        <v>#VALUE!</v>
      </c>
      <c r="AB1569" t="e">
        <f t="shared" ca="1" si="708"/>
        <v>#VALUE!</v>
      </c>
      <c r="AC1569" t="e">
        <f t="shared" ca="1" si="709"/>
        <v>#VALUE!</v>
      </c>
      <c r="AD1569" t="e">
        <f ca="1">IF(V34="Supercritical",L1569,IF(V34="Subcritical",U1569,IF(AND(T1569=1,AC1569=1),IF((((F1569)*(L1569)^2)/2+(G1569)*(L1569)^3/3+(ABS(K1569)^2)/($I$5*MAX(((F1569)+(G1569)*(L1569))*(L1569),0.000001)))&gt;=(((F1569)*(U1569)^2)/2+(G1569)*(U1569)^3/3+(ABS(K1569)^2)/($I$5*MAX(((F1569)+(G1569)*(U1569))*(U1569),0.000001))),L1569,U1569),IF(T1569=1,L1569,IF(AC1569=1,U1569,MAX($D$16,POWER((ABS(K1569)^2)/($I$5*MAX(F1569,0.1)^2),1/3)))))))</f>
        <v>#VALUE!</v>
      </c>
      <c r="AE1569" t="e">
        <f t="shared" ca="1" si="710"/>
        <v>#VALUE!</v>
      </c>
      <c r="AF1569" t="e">
        <f t="shared" ca="1" si="711"/>
        <v>#VALUE!</v>
      </c>
      <c r="AI1569">
        <v>0</v>
      </c>
      <c r="AJ1569">
        <v>0</v>
      </c>
      <c r="AK1569">
        <f t="shared" si="712"/>
        <v>0</v>
      </c>
      <c r="AL1569">
        <f t="shared" si="721"/>
        <v>0</v>
      </c>
      <c r="AM1569" t="e">
        <f t="shared" ca="1" si="713"/>
        <v>#VALUE!</v>
      </c>
      <c r="AN1569" t="e">
        <f t="shared" ca="1" si="714"/>
        <v>#VALUE!</v>
      </c>
      <c r="AO1569" t="e">
        <f t="shared" ca="1" si="715"/>
        <v>#VALUE!</v>
      </c>
    </row>
    <row r="1570" spans="1:41" x14ac:dyDescent="0.35">
      <c r="A1570">
        <v>8</v>
      </c>
      <c r="B1570">
        <v>7</v>
      </c>
      <c r="C1570">
        <v>616065.73</v>
      </c>
      <c r="D1570">
        <v>3096614.8679999998</v>
      </c>
      <c r="E1570">
        <v>630.31510000000003</v>
      </c>
      <c r="F1570">
        <v>12</v>
      </c>
      <c r="G1570">
        <v>0</v>
      </c>
      <c r="H1570" t="s">
        <v>186</v>
      </c>
      <c r="I1570">
        <v>0</v>
      </c>
      <c r="J1570">
        <f t="shared" si="716"/>
        <v>1</v>
      </c>
      <c r="K1570">
        <f t="shared" si="717"/>
        <v>0</v>
      </c>
      <c r="L1570">
        <f t="shared" ca="1" si="718"/>
        <v>51801.820519699584</v>
      </c>
      <c r="M1570">
        <f t="shared" ca="1" si="695"/>
        <v>621621.84623639495</v>
      </c>
      <c r="N1570">
        <f t="shared" ca="1" si="696"/>
        <v>5.9993051242140876</v>
      </c>
      <c r="O1570">
        <f t="shared" ca="1" si="697"/>
        <v>0</v>
      </c>
      <c r="P1570">
        <f t="shared" ca="1" si="698"/>
        <v>52432.135619699584</v>
      </c>
      <c r="Q1570">
        <f t="shared" ca="1" si="699"/>
        <v>52432.135619699584</v>
      </c>
      <c r="R1570">
        <f t="shared" ca="1" si="700"/>
        <v>0</v>
      </c>
      <c r="S1570">
        <f t="shared" ca="1" si="719"/>
        <v>8.8821504323277622E-4</v>
      </c>
      <c r="T1570">
        <f t="shared" ca="1" si="720"/>
        <v>1</v>
      </c>
      <c r="U1570" t="e">
        <f t="shared" ca="1" si="701"/>
        <v>#VALUE!</v>
      </c>
      <c r="V1570" t="e">
        <f t="shared" ca="1" si="702"/>
        <v>#VALUE!</v>
      </c>
      <c r="W1570" t="e">
        <f t="shared" ca="1" si="703"/>
        <v>#VALUE!</v>
      </c>
      <c r="X1570" t="e">
        <f t="shared" ca="1" si="704"/>
        <v>#VALUE!</v>
      </c>
      <c r="Y1570" t="e">
        <f t="shared" ca="1" si="705"/>
        <v>#VALUE!</v>
      </c>
      <c r="Z1570" t="e">
        <f t="shared" ca="1" si="706"/>
        <v>#VALUE!</v>
      </c>
      <c r="AA1570" t="e">
        <f t="shared" ca="1" si="707"/>
        <v>#VALUE!</v>
      </c>
      <c r="AB1570" t="e">
        <f t="shared" ca="1" si="708"/>
        <v>#VALUE!</v>
      </c>
      <c r="AC1570" t="e">
        <f t="shared" ca="1" si="709"/>
        <v>#VALUE!</v>
      </c>
      <c r="AD1570" t="e">
        <f ca="1">IF(V34="Supercritical",L1570,IF(V34="Subcritical",U1570,IF(AND(T1570=1,AC1570=1),IF((((F1570)*(L1570)^2)/2+(G1570)*(L1570)^3/3+(ABS(K1570)^2)/($I$5*MAX(((F1570)+(G1570)*(L1570))*(L1570),0.000001)))&gt;=(((F1570)*(U1570)^2)/2+(G1570)*(U1570)^3/3+(ABS(K1570)^2)/($I$5*MAX(((F1570)+(G1570)*(U1570))*(U1570),0.000001))),L1570,U1570),IF(T1570=1,L1570,IF(AC1570=1,U1570,MAX($D$16,POWER((ABS(K1570)^2)/($I$5*MAX(F1570,0.1)^2),1/3)))))))</f>
        <v>#VALUE!</v>
      </c>
      <c r="AE1570" t="e">
        <f t="shared" ca="1" si="710"/>
        <v>#VALUE!</v>
      </c>
      <c r="AF1570" t="e">
        <f t="shared" ca="1" si="711"/>
        <v>#VALUE!</v>
      </c>
      <c r="AG1570">
        <v>635.5</v>
      </c>
      <c r="AI1570" t="e">
        <f t="shared" ref="AI1570:AI1595" ca="1" si="722">$D$12*MAX(J1570,0.1)*POWER(MAX(0,AE1570-AG1570),1.5)</f>
        <v>#VALUE!</v>
      </c>
      <c r="AJ1570">
        <v>0</v>
      </c>
      <c r="AK1570" t="e">
        <f t="shared" ca="1" si="712"/>
        <v>#VALUE!</v>
      </c>
      <c r="AL1570" t="e">
        <f t="shared" ca="1" si="721"/>
        <v>#VALUE!</v>
      </c>
      <c r="AM1570" t="e">
        <f t="shared" ca="1" si="713"/>
        <v>#VALUE!</v>
      </c>
      <c r="AN1570" t="e">
        <f t="shared" ca="1" si="714"/>
        <v>#VALUE!</v>
      </c>
      <c r="AO1570" t="e">
        <f t="shared" ca="1" si="715"/>
        <v>#VALUE!</v>
      </c>
    </row>
    <row r="1571" spans="1:41" x14ac:dyDescent="0.35">
      <c r="A1571">
        <v>9</v>
      </c>
      <c r="B1571">
        <v>8</v>
      </c>
      <c r="C1571">
        <v>616065.73</v>
      </c>
      <c r="D1571">
        <v>3096613.8679999998</v>
      </c>
      <c r="E1571">
        <v>630.09220000000005</v>
      </c>
      <c r="F1571">
        <v>12.196999999999999</v>
      </c>
      <c r="G1571">
        <v>0</v>
      </c>
      <c r="H1571" t="s">
        <v>186</v>
      </c>
      <c r="I1571">
        <v>0</v>
      </c>
      <c r="J1571">
        <f t="shared" si="716"/>
        <v>1</v>
      </c>
      <c r="K1571" t="e">
        <f t="shared" ca="1" si="717"/>
        <v>#VALUE!</v>
      </c>
      <c r="L1571" t="e">
        <f t="shared" ca="1" si="718"/>
        <v>#VALUE!</v>
      </c>
      <c r="M1571" t="e">
        <f t="shared" ca="1" si="695"/>
        <v>#VALUE!</v>
      </c>
      <c r="N1571" t="e">
        <f t="shared" ca="1" si="696"/>
        <v>#VALUE!</v>
      </c>
      <c r="O1571" t="e">
        <f t="shared" ca="1" si="697"/>
        <v>#VALUE!</v>
      </c>
      <c r="P1571" t="e">
        <f t="shared" ca="1" si="698"/>
        <v>#VALUE!</v>
      </c>
      <c r="Q1571" t="e">
        <f t="shared" ca="1" si="699"/>
        <v>#VALUE!</v>
      </c>
      <c r="R1571" t="e">
        <f t="shared" ca="1" si="700"/>
        <v>#VALUE!</v>
      </c>
      <c r="S1571" t="e">
        <f t="shared" ca="1" si="719"/>
        <v>#VALUE!</v>
      </c>
      <c r="T1571" t="e">
        <f t="shared" ca="1" si="720"/>
        <v>#VALUE!</v>
      </c>
      <c r="U1571" t="e">
        <f t="shared" ca="1" si="701"/>
        <v>#VALUE!</v>
      </c>
      <c r="V1571" t="e">
        <f t="shared" ca="1" si="702"/>
        <v>#VALUE!</v>
      </c>
      <c r="W1571" t="e">
        <f t="shared" ca="1" si="703"/>
        <v>#VALUE!</v>
      </c>
      <c r="X1571" t="e">
        <f t="shared" ca="1" si="704"/>
        <v>#VALUE!</v>
      </c>
      <c r="Y1571" t="e">
        <f t="shared" ca="1" si="705"/>
        <v>#VALUE!</v>
      </c>
      <c r="Z1571" t="e">
        <f t="shared" ca="1" si="706"/>
        <v>#VALUE!</v>
      </c>
      <c r="AA1571" t="e">
        <f t="shared" ca="1" si="707"/>
        <v>#VALUE!</v>
      </c>
      <c r="AB1571" t="e">
        <f t="shared" ca="1" si="708"/>
        <v>#VALUE!</v>
      </c>
      <c r="AC1571" t="e">
        <f t="shared" ca="1" si="709"/>
        <v>#VALUE!</v>
      </c>
      <c r="AD1571" t="e">
        <f ca="1">IF(V34="Supercritical",L1571,IF(V34="Subcritical",U1571,IF(AND(T1571=1,AC1571=1),IF((((F1571)*(L1571)^2)/2+(G1571)*(L1571)^3/3+(ABS(K1571)^2)/($I$5*MAX(((F1571)+(G1571)*(L1571))*(L1571),0.000001)))&gt;=(((F1571)*(U1571)^2)/2+(G1571)*(U1571)^3/3+(ABS(K1571)^2)/($I$5*MAX(((F1571)+(G1571)*(U1571))*(U1571),0.000001))),L1571,U1571),IF(T1571=1,L1571,IF(AC1571=1,U1571,MAX($D$16,POWER((ABS(K1571)^2)/($I$5*MAX(F1571,0.1)^2),1/3)))))))</f>
        <v>#VALUE!</v>
      </c>
      <c r="AE1571" t="e">
        <f t="shared" ca="1" si="710"/>
        <v>#VALUE!</v>
      </c>
      <c r="AF1571" t="e">
        <f t="shared" ca="1" si="711"/>
        <v>#VALUE!</v>
      </c>
      <c r="AG1571">
        <v>635.5</v>
      </c>
      <c r="AI1571" t="e">
        <f t="shared" ca="1" si="722"/>
        <v>#VALUE!</v>
      </c>
      <c r="AJ1571">
        <v>0</v>
      </c>
      <c r="AK1571" t="e">
        <f t="shared" ca="1" si="712"/>
        <v>#VALUE!</v>
      </c>
      <c r="AL1571" t="e">
        <f t="shared" ca="1" si="721"/>
        <v>#VALUE!</v>
      </c>
      <c r="AM1571" t="e">
        <f t="shared" ca="1" si="713"/>
        <v>#VALUE!</v>
      </c>
      <c r="AN1571" t="e">
        <f t="shared" ca="1" si="714"/>
        <v>#VALUE!</v>
      </c>
      <c r="AO1571" t="e">
        <f t="shared" ca="1" si="715"/>
        <v>#VALUE!</v>
      </c>
    </row>
    <row r="1572" spans="1:41" x14ac:dyDescent="0.35">
      <c r="A1572">
        <v>10</v>
      </c>
      <c r="B1572">
        <v>9</v>
      </c>
      <c r="C1572">
        <v>616065.73</v>
      </c>
      <c r="D1572">
        <v>3096612.8679999998</v>
      </c>
      <c r="E1572">
        <v>629.86940000000004</v>
      </c>
      <c r="F1572">
        <v>12.81</v>
      </c>
      <c r="G1572">
        <v>0</v>
      </c>
      <c r="H1572" t="s">
        <v>186</v>
      </c>
      <c r="I1572">
        <v>0</v>
      </c>
      <c r="J1572">
        <f t="shared" si="716"/>
        <v>1</v>
      </c>
      <c r="K1572" t="e">
        <f t="shared" ca="1" si="717"/>
        <v>#VALUE!</v>
      </c>
      <c r="L1572" t="e">
        <f t="shared" ca="1" si="718"/>
        <v>#VALUE!</v>
      </c>
      <c r="M1572" t="e">
        <f t="shared" ca="1" si="695"/>
        <v>#VALUE!</v>
      </c>
      <c r="N1572" t="e">
        <f t="shared" ca="1" si="696"/>
        <v>#VALUE!</v>
      </c>
      <c r="O1572" t="e">
        <f t="shared" ca="1" si="697"/>
        <v>#VALUE!</v>
      </c>
      <c r="P1572" t="e">
        <f t="shared" ca="1" si="698"/>
        <v>#VALUE!</v>
      </c>
      <c r="Q1572" t="e">
        <f t="shared" ca="1" si="699"/>
        <v>#VALUE!</v>
      </c>
      <c r="R1572" t="e">
        <f t="shared" ca="1" si="700"/>
        <v>#VALUE!</v>
      </c>
      <c r="S1572" t="e">
        <f t="shared" ca="1" si="719"/>
        <v>#VALUE!</v>
      </c>
      <c r="T1572" t="e">
        <f t="shared" ca="1" si="720"/>
        <v>#VALUE!</v>
      </c>
      <c r="U1572" t="e">
        <f t="shared" ca="1" si="701"/>
        <v>#VALUE!</v>
      </c>
      <c r="V1572" t="e">
        <f t="shared" ca="1" si="702"/>
        <v>#VALUE!</v>
      </c>
      <c r="W1572" t="e">
        <f t="shared" ca="1" si="703"/>
        <v>#VALUE!</v>
      </c>
      <c r="X1572" t="e">
        <f t="shared" ca="1" si="704"/>
        <v>#VALUE!</v>
      </c>
      <c r="Y1572" t="e">
        <f t="shared" ca="1" si="705"/>
        <v>#VALUE!</v>
      </c>
      <c r="Z1572" t="e">
        <f t="shared" ca="1" si="706"/>
        <v>#VALUE!</v>
      </c>
      <c r="AA1572" t="e">
        <f t="shared" ca="1" si="707"/>
        <v>#VALUE!</v>
      </c>
      <c r="AB1572" t="e">
        <f t="shared" ca="1" si="708"/>
        <v>#VALUE!</v>
      </c>
      <c r="AC1572" t="e">
        <f t="shared" ca="1" si="709"/>
        <v>#VALUE!</v>
      </c>
      <c r="AD1572" t="e">
        <f ca="1">IF(V34="Supercritical",L1572,IF(V34="Subcritical",U1572,IF(AND(T1572=1,AC1572=1),IF((((F1572)*(L1572)^2)/2+(G1572)*(L1572)^3/3+(ABS(K1572)^2)/($I$5*MAX(((F1572)+(G1572)*(L1572))*(L1572),0.000001)))&gt;=(((F1572)*(U1572)^2)/2+(G1572)*(U1572)^3/3+(ABS(K1572)^2)/($I$5*MAX(((F1572)+(G1572)*(U1572))*(U1572),0.000001))),L1572,U1572),IF(T1572=1,L1572,IF(AC1572=1,U1572,MAX($D$16,POWER((ABS(K1572)^2)/($I$5*MAX(F1572,0.1)^2),1/3)))))))</f>
        <v>#VALUE!</v>
      </c>
      <c r="AE1572" t="e">
        <f t="shared" ca="1" si="710"/>
        <v>#VALUE!</v>
      </c>
      <c r="AF1572" t="e">
        <f t="shared" ca="1" si="711"/>
        <v>#VALUE!</v>
      </c>
      <c r="AG1572">
        <v>635.5</v>
      </c>
      <c r="AI1572" t="e">
        <f t="shared" ca="1" si="722"/>
        <v>#VALUE!</v>
      </c>
      <c r="AJ1572">
        <v>0</v>
      </c>
      <c r="AK1572" t="e">
        <f t="shared" ca="1" si="712"/>
        <v>#VALUE!</v>
      </c>
      <c r="AL1572" t="e">
        <f t="shared" ca="1" si="721"/>
        <v>#VALUE!</v>
      </c>
      <c r="AM1572" t="e">
        <f t="shared" ca="1" si="713"/>
        <v>#VALUE!</v>
      </c>
      <c r="AN1572" t="e">
        <f t="shared" ca="1" si="714"/>
        <v>#VALUE!</v>
      </c>
      <c r="AO1572" t="e">
        <f t="shared" ca="1" si="715"/>
        <v>#VALUE!</v>
      </c>
    </row>
    <row r="1573" spans="1:41" x14ac:dyDescent="0.35">
      <c r="A1573">
        <v>11</v>
      </c>
      <c r="B1573">
        <v>10</v>
      </c>
      <c r="C1573">
        <v>616065.73</v>
      </c>
      <c r="D1573">
        <v>3096611.8679999998</v>
      </c>
      <c r="E1573">
        <v>629.64649999999995</v>
      </c>
      <c r="F1573">
        <v>13.422000000000001</v>
      </c>
      <c r="G1573">
        <v>0</v>
      </c>
      <c r="H1573" t="s">
        <v>186</v>
      </c>
      <c r="I1573">
        <v>0</v>
      </c>
      <c r="J1573">
        <f t="shared" si="716"/>
        <v>1</v>
      </c>
      <c r="K1573" t="e">
        <f t="shared" ca="1" si="717"/>
        <v>#VALUE!</v>
      </c>
      <c r="L1573" t="e">
        <f t="shared" ca="1" si="718"/>
        <v>#VALUE!</v>
      </c>
      <c r="M1573" t="e">
        <f t="shared" ca="1" si="695"/>
        <v>#VALUE!</v>
      </c>
      <c r="N1573" t="e">
        <f t="shared" ca="1" si="696"/>
        <v>#VALUE!</v>
      </c>
      <c r="O1573" t="e">
        <f t="shared" ca="1" si="697"/>
        <v>#VALUE!</v>
      </c>
      <c r="P1573" t="e">
        <f t="shared" ca="1" si="698"/>
        <v>#VALUE!</v>
      </c>
      <c r="Q1573" t="e">
        <f t="shared" ca="1" si="699"/>
        <v>#VALUE!</v>
      </c>
      <c r="R1573" t="e">
        <f t="shared" ca="1" si="700"/>
        <v>#VALUE!</v>
      </c>
      <c r="S1573" t="e">
        <f t="shared" ca="1" si="719"/>
        <v>#VALUE!</v>
      </c>
      <c r="T1573" t="e">
        <f t="shared" ca="1" si="720"/>
        <v>#VALUE!</v>
      </c>
      <c r="U1573" t="e">
        <f t="shared" ca="1" si="701"/>
        <v>#VALUE!</v>
      </c>
      <c r="V1573" t="e">
        <f t="shared" ca="1" si="702"/>
        <v>#VALUE!</v>
      </c>
      <c r="W1573" t="e">
        <f t="shared" ca="1" si="703"/>
        <v>#VALUE!</v>
      </c>
      <c r="X1573" t="e">
        <f t="shared" ca="1" si="704"/>
        <v>#VALUE!</v>
      </c>
      <c r="Y1573" t="e">
        <f t="shared" ca="1" si="705"/>
        <v>#VALUE!</v>
      </c>
      <c r="Z1573" t="e">
        <f t="shared" ca="1" si="706"/>
        <v>#VALUE!</v>
      </c>
      <c r="AA1573" t="e">
        <f t="shared" ca="1" si="707"/>
        <v>#VALUE!</v>
      </c>
      <c r="AB1573" t="e">
        <f t="shared" ca="1" si="708"/>
        <v>#VALUE!</v>
      </c>
      <c r="AC1573" t="e">
        <f t="shared" ca="1" si="709"/>
        <v>#VALUE!</v>
      </c>
      <c r="AD1573" t="e">
        <f ca="1">IF(V34="Supercritical",L1573,IF(V34="Subcritical",U1573,IF(AND(T1573=1,AC1573=1),IF((((F1573)*(L1573)^2)/2+(G1573)*(L1573)^3/3+(ABS(K1573)^2)/($I$5*MAX(((F1573)+(G1573)*(L1573))*(L1573),0.000001)))&gt;=(((F1573)*(U1573)^2)/2+(G1573)*(U1573)^3/3+(ABS(K1573)^2)/($I$5*MAX(((F1573)+(G1573)*(U1573))*(U1573),0.000001))),L1573,U1573),IF(T1573=1,L1573,IF(AC1573=1,U1573,MAX($D$16,POWER((ABS(K1573)^2)/($I$5*MAX(F1573,0.1)^2),1/3)))))))</f>
        <v>#VALUE!</v>
      </c>
      <c r="AE1573" t="e">
        <f t="shared" ca="1" si="710"/>
        <v>#VALUE!</v>
      </c>
      <c r="AF1573" t="e">
        <f t="shared" ca="1" si="711"/>
        <v>#VALUE!</v>
      </c>
      <c r="AG1573">
        <v>635.5</v>
      </c>
      <c r="AI1573" t="e">
        <f t="shared" ca="1" si="722"/>
        <v>#VALUE!</v>
      </c>
      <c r="AJ1573">
        <v>0</v>
      </c>
      <c r="AK1573" t="e">
        <f t="shared" ca="1" si="712"/>
        <v>#VALUE!</v>
      </c>
      <c r="AL1573" t="e">
        <f t="shared" ca="1" si="721"/>
        <v>#VALUE!</v>
      </c>
      <c r="AM1573" t="e">
        <f t="shared" ca="1" si="713"/>
        <v>#VALUE!</v>
      </c>
      <c r="AN1573" t="e">
        <f t="shared" ca="1" si="714"/>
        <v>#VALUE!</v>
      </c>
      <c r="AO1573" t="e">
        <f t="shared" ca="1" si="715"/>
        <v>#VALUE!</v>
      </c>
    </row>
    <row r="1574" spans="1:41" x14ac:dyDescent="0.35">
      <c r="A1574">
        <v>12</v>
      </c>
      <c r="B1574">
        <v>11</v>
      </c>
      <c r="C1574">
        <v>616065.73</v>
      </c>
      <c r="D1574">
        <v>3096610.8679999998</v>
      </c>
      <c r="E1574">
        <v>629.42370000000005</v>
      </c>
      <c r="F1574">
        <v>14.035</v>
      </c>
      <c r="G1574">
        <v>0</v>
      </c>
      <c r="H1574" t="s">
        <v>186</v>
      </c>
      <c r="I1574">
        <v>0</v>
      </c>
      <c r="J1574">
        <f t="shared" si="716"/>
        <v>1</v>
      </c>
      <c r="K1574" t="e">
        <f t="shared" ca="1" si="717"/>
        <v>#VALUE!</v>
      </c>
      <c r="L1574" t="e">
        <f t="shared" ca="1" si="718"/>
        <v>#VALUE!</v>
      </c>
      <c r="M1574" t="e">
        <f t="shared" ca="1" si="695"/>
        <v>#VALUE!</v>
      </c>
      <c r="N1574" t="e">
        <f t="shared" ca="1" si="696"/>
        <v>#VALUE!</v>
      </c>
      <c r="O1574" t="e">
        <f t="shared" ca="1" si="697"/>
        <v>#VALUE!</v>
      </c>
      <c r="P1574" t="e">
        <f t="shared" ca="1" si="698"/>
        <v>#VALUE!</v>
      </c>
      <c r="Q1574" t="e">
        <f t="shared" ca="1" si="699"/>
        <v>#VALUE!</v>
      </c>
      <c r="R1574" t="e">
        <f t="shared" ca="1" si="700"/>
        <v>#VALUE!</v>
      </c>
      <c r="S1574" t="e">
        <f t="shared" ca="1" si="719"/>
        <v>#VALUE!</v>
      </c>
      <c r="T1574" t="e">
        <f t="shared" ca="1" si="720"/>
        <v>#VALUE!</v>
      </c>
      <c r="U1574" t="e">
        <f t="shared" ca="1" si="701"/>
        <v>#VALUE!</v>
      </c>
      <c r="V1574" t="e">
        <f t="shared" ca="1" si="702"/>
        <v>#VALUE!</v>
      </c>
      <c r="W1574" t="e">
        <f t="shared" ca="1" si="703"/>
        <v>#VALUE!</v>
      </c>
      <c r="X1574" t="e">
        <f t="shared" ca="1" si="704"/>
        <v>#VALUE!</v>
      </c>
      <c r="Y1574" t="e">
        <f t="shared" ca="1" si="705"/>
        <v>#VALUE!</v>
      </c>
      <c r="Z1574" t="e">
        <f t="shared" ca="1" si="706"/>
        <v>#VALUE!</v>
      </c>
      <c r="AA1574" t="e">
        <f t="shared" ca="1" si="707"/>
        <v>#VALUE!</v>
      </c>
      <c r="AB1574" t="e">
        <f t="shared" ca="1" si="708"/>
        <v>#VALUE!</v>
      </c>
      <c r="AC1574" t="e">
        <f t="shared" ca="1" si="709"/>
        <v>#VALUE!</v>
      </c>
      <c r="AD1574" t="e">
        <f ca="1">IF(V34="Supercritical",L1574,IF(V34="Subcritical",U1574,IF(AND(T1574=1,AC1574=1),IF((((F1574)*(L1574)^2)/2+(G1574)*(L1574)^3/3+(ABS(K1574)^2)/($I$5*MAX(((F1574)+(G1574)*(L1574))*(L1574),0.000001)))&gt;=(((F1574)*(U1574)^2)/2+(G1574)*(U1574)^3/3+(ABS(K1574)^2)/($I$5*MAX(((F1574)+(G1574)*(U1574))*(U1574),0.000001))),L1574,U1574),IF(T1574=1,L1574,IF(AC1574=1,U1574,MAX($D$16,POWER((ABS(K1574)^2)/($I$5*MAX(F1574,0.1)^2),1/3)))))))</f>
        <v>#VALUE!</v>
      </c>
      <c r="AE1574" t="e">
        <f t="shared" ca="1" si="710"/>
        <v>#VALUE!</v>
      </c>
      <c r="AF1574" t="e">
        <f t="shared" ca="1" si="711"/>
        <v>#VALUE!</v>
      </c>
      <c r="AG1574">
        <v>635.5</v>
      </c>
      <c r="AI1574" t="e">
        <f t="shared" ca="1" si="722"/>
        <v>#VALUE!</v>
      </c>
      <c r="AJ1574">
        <v>0</v>
      </c>
      <c r="AK1574" t="e">
        <f t="shared" ca="1" si="712"/>
        <v>#VALUE!</v>
      </c>
      <c r="AL1574" t="e">
        <f t="shared" ca="1" si="721"/>
        <v>#VALUE!</v>
      </c>
      <c r="AM1574" t="e">
        <f t="shared" ca="1" si="713"/>
        <v>#VALUE!</v>
      </c>
      <c r="AN1574" t="e">
        <f t="shared" ca="1" si="714"/>
        <v>#VALUE!</v>
      </c>
      <c r="AO1574" t="e">
        <f t="shared" ca="1" si="715"/>
        <v>#VALUE!</v>
      </c>
    </row>
    <row r="1575" spans="1:41" x14ac:dyDescent="0.35">
      <c r="A1575">
        <v>13</v>
      </c>
      <c r="B1575">
        <v>12</v>
      </c>
      <c r="C1575">
        <v>616065.73</v>
      </c>
      <c r="D1575">
        <v>3096609.8679999998</v>
      </c>
      <c r="E1575">
        <v>629.20079999999996</v>
      </c>
      <c r="F1575">
        <v>14.647</v>
      </c>
      <c r="G1575">
        <v>0</v>
      </c>
      <c r="H1575" t="s">
        <v>186</v>
      </c>
      <c r="I1575">
        <v>0</v>
      </c>
      <c r="J1575">
        <f t="shared" si="716"/>
        <v>1</v>
      </c>
      <c r="K1575" t="e">
        <f t="shared" ca="1" si="717"/>
        <v>#VALUE!</v>
      </c>
      <c r="L1575" t="e">
        <f t="shared" ca="1" si="718"/>
        <v>#VALUE!</v>
      </c>
      <c r="M1575" t="e">
        <f t="shared" ca="1" si="695"/>
        <v>#VALUE!</v>
      </c>
      <c r="N1575" t="e">
        <f t="shared" ca="1" si="696"/>
        <v>#VALUE!</v>
      </c>
      <c r="O1575" t="e">
        <f t="shared" ca="1" si="697"/>
        <v>#VALUE!</v>
      </c>
      <c r="P1575" t="e">
        <f t="shared" ca="1" si="698"/>
        <v>#VALUE!</v>
      </c>
      <c r="Q1575" t="e">
        <f t="shared" ca="1" si="699"/>
        <v>#VALUE!</v>
      </c>
      <c r="R1575" t="e">
        <f t="shared" ca="1" si="700"/>
        <v>#VALUE!</v>
      </c>
      <c r="S1575" t="e">
        <f t="shared" ca="1" si="719"/>
        <v>#VALUE!</v>
      </c>
      <c r="T1575" t="e">
        <f t="shared" ca="1" si="720"/>
        <v>#VALUE!</v>
      </c>
      <c r="U1575" t="e">
        <f t="shared" ca="1" si="701"/>
        <v>#VALUE!</v>
      </c>
      <c r="V1575" t="e">
        <f t="shared" ca="1" si="702"/>
        <v>#VALUE!</v>
      </c>
      <c r="W1575" t="e">
        <f t="shared" ca="1" si="703"/>
        <v>#VALUE!</v>
      </c>
      <c r="X1575" t="e">
        <f t="shared" ca="1" si="704"/>
        <v>#VALUE!</v>
      </c>
      <c r="Y1575" t="e">
        <f t="shared" ca="1" si="705"/>
        <v>#VALUE!</v>
      </c>
      <c r="Z1575" t="e">
        <f t="shared" ca="1" si="706"/>
        <v>#VALUE!</v>
      </c>
      <c r="AA1575" t="e">
        <f t="shared" ca="1" si="707"/>
        <v>#VALUE!</v>
      </c>
      <c r="AB1575" t="e">
        <f t="shared" ca="1" si="708"/>
        <v>#VALUE!</v>
      </c>
      <c r="AC1575" t="e">
        <f t="shared" ca="1" si="709"/>
        <v>#VALUE!</v>
      </c>
      <c r="AD1575" t="e">
        <f ca="1">IF(V34="Supercritical",L1575,IF(V34="Subcritical",U1575,IF(AND(T1575=1,AC1575=1),IF((((F1575)*(L1575)^2)/2+(G1575)*(L1575)^3/3+(ABS(K1575)^2)/($I$5*MAX(((F1575)+(G1575)*(L1575))*(L1575),0.000001)))&gt;=(((F1575)*(U1575)^2)/2+(G1575)*(U1575)^3/3+(ABS(K1575)^2)/($I$5*MAX(((F1575)+(G1575)*(U1575))*(U1575),0.000001))),L1575,U1575),IF(T1575=1,L1575,IF(AC1575=1,U1575,MAX($D$16,POWER((ABS(K1575)^2)/($I$5*MAX(F1575,0.1)^2),1/3)))))))</f>
        <v>#VALUE!</v>
      </c>
      <c r="AE1575" t="e">
        <f t="shared" ca="1" si="710"/>
        <v>#VALUE!</v>
      </c>
      <c r="AF1575" t="e">
        <f t="shared" ca="1" si="711"/>
        <v>#VALUE!</v>
      </c>
      <c r="AG1575">
        <v>635.5</v>
      </c>
      <c r="AI1575" t="e">
        <f t="shared" ca="1" si="722"/>
        <v>#VALUE!</v>
      </c>
      <c r="AJ1575">
        <v>0</v>
      </c>
      <c r="AK1575" t="e">
        <f t="shared" ca="1" si="712"/>
        <v>#VALUE!</v>
      </c>
      <c r="AL1575" t="e">
        <f t="shared" ca="1" si="721"/>
        <v>#VALUE!</v>
      </c>
      <c r="AM1575" t="e">
        <f t="shared" ca="1" si="713"/>
        <v>#VALUE!</v>
      </c>
      <c r="AN1575" t="e">
        <f t="shared" ca="1" si="714"/>
        <v>#VALUE!</v>
      </c>
      <c r="AO1575" t="e">
        <f t="shared" ca="1" si="715"/>
        <v>#VALUE!</v>
      </c>
    </row>
    <row r="1576" spans="1:41" x14ac:dyDescent="0.35">
      <c r="A1576">
        <v>14</v>
      </c>
      <c r="B1576">
        <v>13</v>
      </c>
      <c r="C1576">
        <v>616065.73</v>
      </c>
      <c r="D1576">
        <v>3096608.8679999998</v>
      </c>
      <c r="E1576">
        <v>628.97799999999995</v>
      </c>
      <c r="F1576">
        <v>15</v>
      </c>
      <c r="G1576">
        <v>0</v>
      </c>
      <c r="H1576" t="s">
        <v>186</v>
      </c>
      <c r="I1576">
        <v>0</v>
      </c>
      <c r="J1576">
        <f t="shared" si="716"/>
        <v>1</v>
      </c>
      <c r="K1576" t="e">
        <f t="shared" ca="1" si="717"/>
        <v>#VALUE!</v>
      </c>
      <c r="L1576" t="e">
        <f t="shared" ca="1" si="718"/>
        <v>#VALUE!</v>
      </c>
      <c r="M1576" t="e">
        <f t="shared" ca="1" si="695"/>
        <v>#VALUE!</v>
      </c>
      <c r="N1576" t="e">
        <f t="shared" ca="1" si="696"/>
        <v>#VALUE!</v>
      </c>
      <c r="O1576" t="e">
        <f t="shared" ca="1" si="697"/>
        <v>#VALUE!</v>
      </c>
      <c r="P1576" t="e">
        <f t="shared" ca="1" si="698"/>
        <v>#VALUE!</v>
      </c>
      <c r="Q1576" t="e">
        <f t="shared" ca="1" si="699"/>
        <v>#VALUE!</v>
      </c>
      <c r="R1576" t="e">
        <f t="shared" ca="1" si="700"/>
        <v>#VALUE!</v>
      </c>
      <c r="S1576" t="e">
        <f t="shared" ca="1" si="719"/>
        <v>#VALUE!</v>
      </c>
      <c r="T1576" t="e">
        <f t="shared" ca="1" si="720"/>
        <v>#VALUE!</v>
      </c>
      <c r="U1576" t="e">
        <f t="shared" ca="1" si="701"/>
        <v>#VALUE!</v>
      </c>
      <c r="V1576" t="e">
        <f t="shared" ca="1" si="702"/>
        <v>#VALUE!</v>
      </c>
      <c r="W1576" t="e">
        <f t="shared" ca="1" si="703"/>
        <v>#VALUE!</v>
      </c>
      <c r="X1576" t="e">
        <f t="shared" ca="1" si="704"/>
        <v>#VALUE!</v>
      </c>
      <c r="Y1576" t="e">
        <f t="shared" ca="1" si="705"/>
        <v>#VALUE!</v>
      </c>
      <c r="Z1576" t="e">
        <f t="shared" ca="1" si="706"/>
        <v>#VALUE!</v>
      </c>
      <c r="AA1576" t="e">
        <f t="shared" ca="1" si="707"/>
        <v>#VALUE!</v>
      </c>
      <c r="AB1576" t="e">
        <f t="shared" ca="1" si="708"/>
        <v>#VALUE!</v>
      </c>
      <c r="AC1576" t="e">
        <f t="shared" ca="1" si="709"/>
        <v>#VALUE!</v>
      </c>
      <c r="AD1576" t="e">
        <f ca="1">IF(V34="Supercritical",L1576,IF(V34="Subcritical",U1576,IF(AND(T1576=1,AC1576=1),IF((((F1576)*(L1576)^2)/2+(G1576)*(L1576)^3/3+(ABS(K1576)^2)/($I$5*MAX(((F1576)+(G1576)*(L1576))*(L1576),0.000001)))&gt;=(((F1576)*(U1576)^2)/2+(G1576)*(U1576)^3/3+(ABS(K1576)^2)/($I$5*MAX(((F1576)+(G1576)*(U1576))*(U1576),0.000001))),L1576,U1576),IF(T1576=1,L1576,IF(AC1576=1,U1576,MAX($D$16,POWER((ABS(K1576)^2)/($I$5*MAX(F1576,0.1)^2),1/3)))))))</f>
        <v>#VALUE!</v>
      </c>
      <c r="AE1576" t="e">
        <f t="shared" ca="1" si="710"/>
        <v>#VALUE!</v>
      </c>
      <c r="AF1576" t="e">
        <f t="shared" ca="1" si="711"/>
        <v>#VALUE!</v>
      </c>
      <c r="AG1576">
        <v>635.5</v>
      </c>
      <c r="AI1576" t="e">
        <f t="shared" ca="1" si="722"/>
        <v>#VALUE!</v>
      </c>
      <c r="AJ1576">
        <v>0</v>
      </c>
      <c r="AK1576" t="e">
        <f t="shared" ca="1" si="712"/>
        <v>#VALUE!</v>
      </c>
      <c r="AL1576" t="e">
        <f t="shared" ca="1" si="721"/>
        <v>#VALUE!</v>
      </c>
      <c r="AM1576" t="e">
        <f t="shared" ca="1" si="713"/>
        <v>#VALUE!</v>
      </c>
      <c r="AN1576" t="e">
        <f t="shared" ca="1" si="714"/>
        <v>#VALUE!</v>
      </c>
      <c r="AO1576" t="e">
        <f t="shared" ca="1" si="715"/>
        <v>#VALUE!</v>
      </c>
    </row>
    <row r="1577" spans="1:41" x14ac:dyDescent="0.35">
      <c r="A1577">
        <v>15</v>
      </c>
      <c r="B1577">
        <v>14</v>
      </c>
      <c r="C1577">
        <v>616065.73</v>
      </c>
      <c r="D1577">
        <v>3096607.8679999998</v>
      </c>
      <c r="E1577">
        <v>628.97799999999995</v>
      </c>
      <c r="F1577">
        <v>15</v>
      </c>
      <c r="G1577">
        <v>0</v>
      </c>
      <c r="H1577" t="s">
        <v>186</v>
      </c>
      <c r="I1577">
        <v>0</v>
      </c>
      <c r="J1577">
        <f t="shared" si="716"/>
        <v>1</v>
      </c>
      <c r="K1577" t="e">
        <f t="shared" ca="1" si="717"/>
        <v>#VALUE!</v>
      </c>
      <c r="L1577" t="e">
        <f t="shared" ca="1" si="718"/>
        <v>#VALUE!</v>
      </c>
      <c r="M1577" t="e">
        <f t="shared" ca="1" si="695"/>
        <v>#VALUE!</v>
      </c>
      <c r="N1577" t="e">
        <f t="shared" ca="1" si="696"/>
        <v>#VALUE!</v>
      </c>
      <c r="O1577" t="e">
        <f t="shared" ca="1" si="697"/>
        <v>#VALUE!</v>
      </c>
      <c r="P1577" t="e">
        <f t="shared" ca="1" si="698"/>
        <v>#VALUE!</v>
      </c>
      <c r="Q1577" t="e">
        <f t="shared" ca="1" si="699"/>
        <v>#VALUE!</v>
      </c>
      <c r="R1577" t="e">
        <f t="shared" ca="1" si="700"/>
        <v>#VALUE!</v>
      </c>
      <c r="S1577" t="e">
        <f t="shared" ca="1" si="719"/>
        <v>#VALUE!</v>
      </c>
      <c r="T1577" t="e">
        <f t="shared" ca="1" si="720"/>
        <v>#VALUE!</v>
      </c>
      <c r="U1577" t="e">
        <f t="shared" ca="1" si="701"/>
        <v>#VALUE!</v>
      </c>
      <c r="V1577" t="e">
        <f t="shared" ca="1" si="702"/>
        <v>#VALUE!</v>
      </c>
      <c r="W1577" t="e">
        <f t="shared" ca="1" si="703"/>
        <v>#VALUE!</v>
      </c>
      <c r="X1577" t="e">
        <f t="shared" ca="1" si="704"/>
        <v>#VALUE!</v>
      </c>
      <c r="Y1577" t="e">
        <f t="shared" ca="1" si="705"/>
        <v>#VALUE!</v>
      </c>
      <c r="Z1577" t="e">
        <f t="shared" ca="1" si="706"/>
        <v>#VALUE!</v>
      </c>
      <c r="AA1577" t="e">
        <f t="shared" ca="1" si="707"/>
        <v>#VALUE!</v>
      </c>
      <c r="AB1577" t="e">
        <f t="shared" ca="1" si="708"/>
        <v>#VALUE!</v>
      </c>
      <c r="AC1577" t="e">
        <f t="shared" ca="1" si="709"/>
        <v>#VALUE!</v>
      </c>
      <c r="AD1577" t="e">
        <f ca="1">IF(V34="Supercritical",L1577,IF(V34="Subcritical",U1577,IF(AND(T1577=1,AC1577=1),IF((((F1577)*(L1577)^2)/2+(G1577)*(L1577)^3/3+(ABS(K1577)^2)/($I$5*MAX(((F1577)+(G1577)*(L1577))*(L1577),0.000001)))&gt;=(((F1577)*(U1577)^2)/2+(G1577)*(U1577)^3/3+(ABS(K1577)^2)/($I$5*MAX(((F1577)+(G1577)*(U1577))*(U1577),0.000001))),L1577,U1577),IF(T1577=1,L1577,IF(AC1577=1,U1577,MAX($D$16,POWER((ABS(K1577)^2)/($I$5*MAX(F1577,0.1)^2),1/3)))))))</f>
        <v>#VALUE!</v>
      </c>
      <c r="AE1577" t="e">
        <f t="shared" ca="1" si="710"/>
        <v>#VALUE!</v>
      </c>
      <c r="AF1577" t="e">
        <f t="shared" ca="1" si="711"/>
        <v>#VALUE!</v>
      </c>
      <c r="AG1577">
        <v>635.5</v>
      </c>
      <c r="AI1577" t="e">
        <f t="shared" ca="1" si="722"/>
        <v>#VALUE!</v>
      </c>
      <c r="AJ1577">
        <v>0</v>
      </c>
      <c r="AK1577" t="e">
        <f t="shared" ca="1" si="712"/>
        <v>#VALUE!</v>
      </c>
      <c r="AL1577" t="e">
        <f t="shared" ca="1" si="721"/>
        <v>#VALUE!</v>
      </c>
      <c r="AM1577" t="e">
        <f t="shared" ca="1" si="713"/>
        <v>#VALUE!</v>
      </c>
      <c r="AN1577" t="e">
        <f t="shared" ca="1" si="714"/>
        <v>#VALUE!</v>
      </c>
      <c r="AO1577" t="e">
        <f t="shared" ca="1" si="715"/>
        <v>#VALUE!</v>
      </c>
    </row>
    <row r="1578" spans="1:41" x14ac:dyDescent="0.35">
      <c r="A1578">
        <v>16</v>
      </c>
      <c r="B1578">
        <v>15</v>
      </c>
      <c r="C1578">
        <v>616065.73</v>
      </c>
      <c r="D1578">
        <v>3096606.8679999998</v>
      </c>
      <c r="E1578">
        <v>628.97799999999995</v>
      </c>
      <c r="F1578">
        <v>15</v>
      </c>
      <c r="G1578">
        <v>0</v>
      </c>
      <c r="H1578" t="s">
        <v>186</v>
      </c>
      <c r="I1578">
        <v>0</v>
      </c>
      <c r="J1578">
        <f t="shared" si="716"/>
        <v>1</v>
      </c>
      <c r="K1578" t="e">
        <f t="shared" ca="1" si="717"/>
        <v>#VALUE!</v>
      </c>
      <c r="L1578" t="e">
        <f t="shared" ca="1" si="718"/>
        <v>#VALUE!</v>
      </c>
      <c r="M1578" t="e">
        <f t="shared" ca="1" si="695"/>
        <v>#VALUE!</v>
      </c>
      <c r="N1578" t="e">
        <f t="shared" ca="1" si="696"/>
        <v>#VALUE!</v>
      </c>
      <c r="O1578" t="e">
        <f t="shared" ca="1" si="697"/>
        <v>#VALUE!</v>
      </c>
      <c r="P1578" t="e">
        <f t="shared" ca="1" si="698"/>
        <v>#VALUE!</v>
      </c>
      <c r="Q1578" t="e">
        <f t="shared" ca="1" si="699"/>
        <v>#VALUE!</v>
      </c>
      <c r="R1578" t="e">
        <f t="shared" ca="1" si="700"/>
        <v>#VALUE!</v>
      </c>
      <c r="S1578" t="e">
        <f t="shared" ca="1" si="719"/>
        <v>#VALUE!</v>
      </c>
      <c r="T1578" t="e">
        <f t="shared" ca="1" si="720"/>
        <v>#VALUE!</v>
      </c>
      <c r="U1578" t="e">
        <f t="shared" ca="1" si="701"/>
        <v>#VALUE!</v>
      </c>
      <c r="V1578" t="e">
        <f t="shared" ca="1" si="702"/>
        <v>#VALUE!</v>
      </c>
      <c r="W1578" t="e">
        <f t="shared" ca="1" si="703"/>
        <v>#VALUE!</v>
      </c>
      <c r="X1578" t="e">
        <f t="shared" ca="1" si="704"/>
        <v>#VALUE!</v>
      </c>
      <c r="Y1578" t="e">
        <f t="shared" ca="1" si="705"/>
        <v>#VALUE!</v>
      </c>
      <c r="Z1578" t="e">
        <f t="shared" ca="1" si="706"/>
        <v>#VALUE!</v>
      </c>
      <c r="AA1578" t="e">
        <f t="shared" ca="1" si="707"/>
        <v>#VALUE!</v>
      </c>
      <c r="AB1578" t="e">
        <f t="shared" ca="1" si="708"/>
        <v>#VALUE!</v>
      </c>
      <c r="AC1578" t="e">
        <f t="shared" ca="1" si="709"/>
        <v>#VALUE!</v>
      </c>
      <c r="AD1578" t="e">
        <f ca="1">IF(V34="Supercritical",L1578,IF(V34="Subcritical",U1578,IF(AND(T1578=1,AC1578=1),IF((((F1578)*(L1578)^2)/2+(G1578)*(L1578)^3/3+(ABS(K1578)^2)/($I$5*MAX(((F1578)+(G1578)*(L1578))*(L1578),0.000001)))&gt;=(((F1578)*(U1578)^2)/2+(G1578)*(U1578)^3/3+(ABS(K1578)^2)/($I$5*MAX(((F1578)+(G1578)*(U1578))*(U1578),0.000001))),L1578,U1578),IF(T1578=1,L1578,IF(AC1578=1,U1578,MAX($D$16,POWER((ABS(K1578)^2)/($I$5*MAX(F1578,0.1)^2),1/3)))))))</f>
        <v>#VALUE!</v>
      </c>
      <c r="AE1578" t="e">
        <f t="shared" ca="1" si="710"/>
        <v>#VALUE!</v>
      </c>
      <c r="AF1578" t="e">
        <f t="shared" ca="1" si="711"/>
        <v>#VALUE!</v>
      </c>
      <c r="AG1578">
        <v>635.5</v>
      </c>
      <c r="AI1578" t="e">
        <f t="shared" ca="1" si="722"/>
        <v>#VALUE!</v>
      </c>
      <c r="AJ1578">
        <v>0</v>
      </c>
      <c r="AK1578" t="e">
        <f t="shared" ca="1" si="712"/>
        <v>#VALUE!</v>
      </c>
      <c r="AL1578" t="e">
        <f t="shared" ca="1" si="721"/>
        <v>#VALUE!</v>
      </c>
      <c r="AM1578" t="e">
        <f t="shared" ca="1" si="713"/>
        <v>#VALUE!</v>
      </c>
      <c r="AN1578" t="e">
        <f t="shared" ca="1" si="714"/>
        <v>#VALUE!</v>
      </c>
      <c r="AO1578" t="e">
        <f t="shared" ca="1" si="715"/>
        <v>#VALUE!</v>
      </c>
    </row>
    <row r="1579" spans="1:41" x14ac:dyDescent="0.35">
      <c r="A1579">
        <v>17</v>
      </c>
      <c r="B1579">
        <v>16</v>
      </c>
      <c r="C1579">
        <v>616065.73</v>
      </c>
      <c r="D1579">
        <v>3096605.8679999998</v>
      </c>
      <c r="E1579">
        <v>628.97799999999995</v>
      </c>
      <c r="F1579">
        <v>15</v>
      </c>
      <c r="G1579">
        <v>0</v>
      </c>
      <c r="H1579" t="s">
        <v>186</v>
      </c>
      <c r="I1579">
        <v>0</v>
      </c>
      <c r="J1579">
        <f t="shared" si="716"/>
        <v>1</v>
      </c>
      <c r="K1579" t="e">
        <f t="shared" ca="1" si="717"/>
        <v>#VALUE!</v>
      </c>
      <c r="L1579" t="e">
        <f t="shared" ca="1" si="718"/>
        <v>#VALUE!</v>
      </c>
      <c r="M1579" t="e">
        <f t="shared" ca="1" si="695"/>
        <v>#VALUE!</v>
      </c>
      <c r="N1579" t="e">
        <f t="shared" ca="1" si="696"/>
        <v>#VALUE!</v>
      </c>
      <c r="O1579" t="e">
        <f t="shared" ca="1" si="697"/>
        <v>#VALUE!</v>
      </c>
      <c r="P1579" t="e">
        <f t="shared" ca="1" si="698"/>
        <v>#VALUE!</v>
      </c>
      <c r="Q1579" t="e">
        <f t="shared" ca="1" si="699"/>
        <v>#VALUE!</v>
      </c>
      <c r="R1579" t="e">
        <f t="shared" ca="1" si="700"/>
        <v>#VALUE!</v>
      </c>
      <c r="S1579" t="e">
        <f t="shared" ca="1" si="719"/>
        <v>#VALUE!</v>
      </c>
      <c r="T1579" t="e">
        <f t="shared" ca="1" si="720"/>
        <v>#VALUE!</v>
      </c>
      <c r="U1579" t="e">
        <f t="shared" ca="1" si="701"/>
        <v>#VALUE!</v>
      </c>
      <c r="V1579" t="e">
        <f t="shared" ca="1" si="702"/>
        <v>#VALUE!</v>
      </c>
      <c r="W1579" t="e">
        <f t="shared" ca="1" si="703"/>
        <v>#VALUE!</v>
      </c>
      <c r="X1579" t="e">
        <f t="shared" ca="1" si="704"/>
        <v>#VALUE!</v>
      </c>
      <c r="Y1579" t="e">
        <f t="shared" ca="1" si="705"/>
        <v>#VALUE!</v>
      </c>
      <c r="Z1579" t="e">
        <f t="shared" ca="1" si="706"/>
        <v>#VALUE!</v>
      </c>
      <c r="AA1579" t="e">
        <f t="shared" ca="1" si="707"/>
        <v>#VALUE!</v>
      </c>
      <c r="AB1579" t="e">
        <f t="shared" ca="1" si="708"/>
        <v>#VALUE!</v>
      </c>
      <c r="AC1579" t="e">
        <f t="shared" ca="1" si="709"/>
        <v>#VALUE!</v>
      </c>
      <c r="AD1579" t="e">
        <f ca="1">IF(V34="Supercritical",L1579,IF(V34="Subcritical",U1579,IF(AND(T1579=1,AC1579=1),IF((((F1579)*(L1579)^2)/2+(G1579)*(L1579)^3/3+(ABS(K1579)^2)/($I$5*MAX(((F1579)+(G1579)*(L1579))*(L1579),0.000001)))&gt;=(((F1579)*(U1579)^2)/2+(G1579)*(U1579)^3/3+(ABS(K1579)^2)/($I$5*MAX(((F1579)+(G1579)*(U1579))*(U1579),0.000001))),L1579,U1579),IF(T1579=1,L1579,IF(AC1579=1,U1579,MAX($D$16,POWER((ABS(K1579)^2)/($I$5*MAX(F1579,0.1)^2),1/3)))))))</f>
        <v>#VALUE!</v>
      </c>
      <c r="AE1579" t="e">
        <f t="shared" ca="1" si="710"/>
        <v>#VALUE!</v>
      </c>
      <c r="AF1579" t="e">
        <f t="shared" ca="1" si="711"/>
        <v>#VALUE!</v>
      </c>
      <c r="AG1579">
        <v>635.5</v>
      </c>
      <c r="AI1579" t="e">
        <f t="shared" ca="1" si="722"/>
        <v>#VALUE!</v>
      </c>
      <c r="AJ1579">
        <v>0</v>
      </c>
      <c r="AK1579" t="e">
        <f t="shared" ca="1" si="712"/>
        <v>#VALUE!</v>
      </c>
      <c r="AL1579" t="e">
        <f t="shared" ca="1" si="721"/>
        <v>#VALUE!</v>
      </c>
      <c r="AM1579" t="e">
        <f t="shared" ca="1" si="713"/>
        <v>#VALUE!</v>
      </c>
      <c r="AN1579" t="e">
        <f t="shared" ca="1" si="714"/>
        <v>#VALUE!</v>
      </c>
      <c r="AO1579" t="e">
        <f t="shared" ca="1" si="715"/>
        <v>#VALUE!</v>
      </c>
    </row>
    <row r="1580" spans="1:41" x14ac:dyDescent="0.35">
      <c r="A1580">
        <v>18</v>
      </c>
      <c r="B1580">
        <v>17</v>
      </c>
      <c r="C1580">
        <v>616065.73</v>
      </c>
      <c r="D1580">
        <v>3096604.8679999998</v>
      </c>
      <c r="E1580">
        <v>628.97799999999995</v>
      </c>
      <c r="F1580">
        <v>15</v>
      </c>
      <c r="G1580">
        <v>0</v>
      </c>
      <c r="H1580" t="s">
        <v>186</v>
      </c>
      <c r="I1580">
        <v>0</v>
      </c>
      <c r="J1580">
        <f t="shared" si="716"/>
        <v>1</v>
      </c>
      <c r="K1580" t="e">
        <f t="shared" ca="1" si="717"/>
        <v>#VALUE!</v>
      </c>
      <c r="L1580" t="e">
        <f t="shared" ca="1" si="718"/>
        <v>#VALUE!</v>
      </c>
      <c r="M1580" t="e">
        <f t="shared" ca="1" si="695"/>
        <v>#VALUE!</v>
      </c>
      <c r="N1580" t="e">
        <f t="shared" ca="1" si="696"/>
        <v>#VALUE!</v>
      </c>
      <c r="O1580" t="e">
        <f t="shared" ca="1" si="697"/>
        <v>#VALUE!</v>
      </c>
      <c r="P1580" t="e">
        <f t="shared" ca="1" si="698"/>
        <v>#VALUE!</v>
      </c>
      <c r="Q1580" t="e">
        <f t="shared" ca="1" si="699"/>
        <v>#VALUE!</v>
      </c>
      <c r="R1580" t="e">
        <f t="shared" ca="1" si="700"/>
        <v>#VALUE!</v>
      </c>
      <c r="S1580" t="e">
        <f t="shared" ca="1" si="719"/>
        <v>#VALUE!</v>
      </c>
      <c r="T1580" t="e">
        <f t="shared" ca="1" si="720"/>
        <v>#VALUE!</v>
      </c>
      <c r="U1580" t="e">
        <f t="shared" ca="1" si="701"/>
        <v>#VALUE!</v>
      </c>
      <c r="V1580" t="e">
        <f t="shared" ca="1" si="702"/>
        <v>#VALUE!</v>
      </c>
      <c r="W1580" t="e">
        <f t="shared" ca="1" si="703"/>
        <v>#VALUE!</v>
      </c>
      <c r="X1580" t="e">
        <f t="shared" ca="1" si="704"/>
        <v>#VALUE!</v>
      </c>
      <c r="Y1580" t="e">
        <f t="shared" ca="1" si="705"/>
        <v>#VALUE!</v>
      </c>
      <c r="Z1580" t="e">
        <f t="shared" ca="1" si="706"/>
        <v>#VALUE!</v>
      </c>
      <c r="AA1580" t="e">
        <f t="shared" ca="1" si="707"/>
        <v>#VALUE!</v>
      </c>
      <c r="AB1580" t="e">
        <f t="shared" ca="1" si="708"/>
        <v>#VALUE!</v>
      </c>
      <c r="AC1580" t="e">
        <f t="shared" ca="1" si="709"/>
        <v>#VALUE!</v>
      </c>
      <c r="AD1580" t="e">
        <f ca="1">IF(V34="Supercritical",L1580,IF(V34="Subcritical",U1580,IF(AND(T1580=1,AC1580=1),IF((((F1580)*(L1580)^2)/2+(G1580)*(L1580)^3/3+(ABS(K1580)^2)/($I$5*MAX(((F1580)+(G1580)*(L1580))*(L1580),0.000001)))&gt;=(((F1580)*(U1580)^2)/2+(G1580)*(U1580)^3/3+(ABS(K1580)^2)/($I$5*MAX(((F1580)+(G1580)*(U1580))*(U1580),0.000001))),L1580,U1580),IF(T1580=1,L1580,IF(AC1580=1,U1580,MAX($D$16,POWER((ABS(K1580)^2)/($I$5*MAX(F1580,0.1)^2),1/3)))))))</f>
        <v>#VALUE!</v>
      </c>
      <c r="AE1580" t="e">
        <f t="shared" ca="1" si="710"/>
        <v>#VALUE!</v>
      </c>
      <c r="AF1580" t="e">
        <f t="shared" ca="1" si="711"/>
        <v>#VALUE!</v>
      </c>
      <c r="AG1580">
        <v>635.5</v>
      </c>
      <c r="AI1580" t="e">
        <f t="shared" ca="1" si="722"/>
        <v>#VALUE!</v>
      </c>
      <c r="AJ1580">
        <v>0</v>
      </c>
      <c r="AK1580" t="e">
        <f t="shared" ca="1" si="712"/>
        <v>#VALUE!</v>
      </c>
      <c r="AL1580" t="e">
        <f t="shared" ca="1" si="721"/>
        <v>#VALUE!</v>
      </c>
      <c r="AM1580" t="e">
        <f t="shared" ca="1" si="713"/>
        <v>#VALUE!</v>
      </c>
      <c r="AN1580" t="e">
        <f t="shared" ca="1" si="714"/>
        <v>#VALUE!</v>
      </c>
      <c r="AO1580" t="e">
        <f t="shared" ca="1" si="715"/>
        <v>#VALUE!</v>
      </c>
    </row>
    <row r="1581" spans="1:41" x14ac:dyDescent="0.35">
      <c r="A1581">
        <v>19</v>
      </c>
      <c r="B1581">
        <v>18</v>
      </c>
      <c r="C1581">
        <v>616065.73</v>
      </c>
      <c r="D1581">
        <v>3096603.8679999998</v>
      </c>
      <c r="E1581">
        <v>628.97799999999995</v>
      </c>
      <c r="F1581">
        <v>15</v>
      </c>
      <c r="G1581">
        <v>0</v>
      </c>
      <c r="H1581" t="s">
        <v>186</v>
      </c>
      <c r="I1581">
        <v>0</v>
      </c>
      <c r="J1581">
        <f t="shared" si="716"/>
        <v>1</v>
      </c>
      <c r="K1581" t="e">
        <f t="shared" ca="1" si="717"/>
        <v>#VALUE!</v>
      </c>
      <c r="L1581" t="e">
        <f t="shared" ca="1" si="718"/>
        <v>#VALUE!</v>
      </c>
      <c r="M1581" t="e">
        <f t="shared" ca="1" si="695"/>
        <v>#VALUE!</v>
      </c>
      <c r="N1581" t="e">
        <f t="shared" ca="1" si="696"/>
        <v>#VALUE!</v>
      </c>
      <c r="O1581" t="e">
        <f t="shared" ca="1" si="697"/>
        <v>#VALUE!</v>
      </c>
      <c r="P1581" t="e">
        <f t="shared" ca="1" si="698"/>
        <v>#VALUE!</v>
      </c>
      <c r="Q1581" t="e">
        <f t="shared" ca="1" si="699"/>
        <v>#VALUE!</v>
      </c>
      <c r="R1581" t="e">
        <f t="shared" ca="1" si="700"/>
        <v>#VALUE!</v>
      </c>
      <c r="S1581" t="e">
        <f t="shared" ca="1" si="719"/>
        <v>#VALUE!</v>
      </c>
      <c r="T1581" t="e">
        <f t="shared" ca="1" si="720"/>
        <v>#VALUE!</v>
      </c>
      <c r="U1581" t="e">
        <f t="shared" ca="1" si="701"/>
        <v>#VALUE!</v>
      </c>
      <c r="V1581" t="e">
        <f t="shared" ca="1" si="702"/>
        <v>#VALUE!</v>
      </c>
      <c r="W1581" t="e">
        <f t="shared" ca="1" si="703"/>
        <v>#VALUE!</v>
      </c>
      <c r="X1581" t="e">
        <f t="shared" ca="1" si="704"/>
        <v>#VALUE!</v>
      </c>
      <c r="Y1581" t="e">
        <f t="shared" ca="1" si="705"/>
        <v>#VALUE!</v>
      </c>
      <c r="Z1581" t="e">
        <f t="shared" ca="1" si="706"/>
        <v>#VALUE!</v>
      </c>
      <c r="AA1581" t="e">
        <f t="shared" ca="1" si="707"/>
        <v>#VALUE!</v>
      </c>
      <c r="AB1581" t="e">
        <f t="shared" ca="1" si="708"/>
        <v>#VALUE!</v>
      </c>
      <c r="AC1581" t="e">
        <f t="shared" ca="1" si="709"/>
        <v>#VALUE!</v>
      </c>
      <c r="AD1581" t="e">
        <f ca="1">IF(V34="Supercritical",L1581,IF(V34="Subcritical",U1581,IF(AND(T1581=1,AC1581=1),IF((((F1581)*(L1581)^2)/2+(G1581)*(L1581)^3/3+(ABS(K1581)^2)/($I$5*MAX(((F1581)+(G1581)*(L1581))*(L1581),0.000001)))&gt;=(((F1581)*(U1581)^2)/2+(G1581)*(U1581)^3/3+(ABS(K1581)^2)/($I$5*MAX(((F1581)+(G1581)*(U1581))*(U1581),0.000001))),L1581,U1581),IF(T1581=1,L1581,IF(AC1581=1,U1581,MAX($D$16,POWER((ABS(K1581)^2)/($I$5*MAX(F1581,0.1)^2),1/3)))))))</f>
        <v>#VALUE!</v>
      </c>
      <c r="AE1581" t="e">
        <f t="shared" ca="1" si="710"/>
        <v>#VALUE!</v>
      </c>
      <c r="AF1581" t="e">
        <f t="shared" ca="1" si="711"/>
        <v>#VALUE!</v>
      </c>
      <c r="AG1581">
        <v>635.5</v>
      </c>
      <c r="AI1581" t="e">
        <f t="shared" ca="1" si="722"/>
        <v>#VALUE!</v>
      </c>
      <c r="AJ1581">
        <v>0</v>
      </c>
      <c r="AK1581" t="e">
        <f t="shared" ca="1" si="712"/>
        <v>#VALUE!</v>
      </c>
      <c r="AL1581" t="e">
        <f t="shared" ca="1" si="721"/>
        <v>#VALUE!</v>
      </c>
      <c r="AM1581" t="e">
        <f t="shared" ca="1" si="713"/>
        <v>#VALUE!</v>
      </c>
      <c r="AN1581" t="e">
        <f t="shared" ca="1" si="714"/>
        <v>#VALUE!</v>
      </c>
      <c r="AO1581" t="e">
        <f t="shared" ca="1" si="715"/>
        <v>#VALUE!</v>
      </c>
    </row>
    <row r="1582" spans="1:41" x14ac:dyDescent="0.35">
      <c r="A1582">
        <v>20</v>
      </c>
      <c r="B1582">
        <v>19</v>
      </c>
      <c r="C1582">
        <v>616065.73</v>
      </c>
      <c r="D1582">
        <v>3096602.8679999998</v>
      </c>
      <c r="E1582">
        <v>628.97799999999995</v>
      </c>
      <c r="F1582">
        <v>15</v>
      </c>
      <c r="G1582">
        <v>0</v>
      </c>
      <c r="H1582" t="s">
        <v>186</v>
      </c>
      <c r="I1582">
        <v>0</v>
      </c>
      <c r="J1582">
        <f t="shared" si="716"/>
        <v>1</v>
      </c>
      <c r="K1582" t="e">
        <f t="shared" ca="1" si="717"/>
        <v>#VALUE!</v>
      </c>
      <c r="L1582" t="e">
        <f t="shared" ca="1" si="718"/>
        <v>#VALUE!</v>
      </c>
      <c r="M1582" t="e">
        <f t="shared" ca="1" si="695"/>
        <v>#VALUE!</v>
      </c>
      <c r="N1582" t="e">
        <f t="shared" ca="1" si="696"/>
        <v>#VALUE!</v>
      </c>
      <c r="O1582" t="e">
        <f t="shared" ca="1" si="697"/>
        <v>#VALUE!</v>
      </c>
      <c r="P1582" t="e">
        <f t="shared" ca="1" si="698"/>
        <v>#VALUE!</v>
      </c>
      <c r="Q1582" t="e">
        <f t="shared" ca="1" si="699"/>
        <v>#VALUE!</v>
      </c>
      <c r="R1582" t="e">
        <f t="shared" ca="1" si="700"/>
        <v>#VALUE!</v>
      </c>
      <c r="S1582" t="e">
        <f t="shared" ca="1" si="719"/>
        <v>#VALUE!</v>
      </c>
      <c r="T1582" t="e">
        <f t="shared" ca="1" si="720"/>
        <v>#VALUE!</v>
      </c>
      <c r="U1582" t="e">
        <f t="shared" ca="1" si="701"/>
        <v>#VALUE!</v>
      </c>
      <c r="V1582" t="e">
        <f t="shared" ca="1" si="702"/>
        <v>#VALUE!</v>
      </c>
      <c r="W1582" t="e">
        <f t="shared" ca="1" si="703"/>
        <v>#VALUE!</v>
      </c>
      <c r="X1582" t="e">
        <f t="shared" ca="1" si="704"/>
        <v>#VALUE!</v>
      </c>
      <c r="Y1582" t="e">
        <f t="shared" ca="1" si="705"/>
        <v>#VALUE!</v>
      </c>
      <c r="Z1582" t="e">
        <f t="shared" ca="1" si="706"/>
        <v>#VALUE!</v>
      </c>
      <c r="AA1582" t="e">
        <f t="shared" ca="1" si="707"/>
        <v>#VALUE!</v>
      </c>
      <c r="AB1582" t="e">
        <f t="shared" ca="1" si="708"/>
        <v>#VALUE!</v>
      </c>
      <c r="AC1582" t="e">
        <f t="shared" ca="1" si="709"/>
        <v>#VALUE!</v>
      </c>
      <c r="AD1582" t="e">
        <f ca="1">IF(V34="Supercritical",L1582,IF(V34="Subcritical",U1582,IF(AND(T1582=1,AC1582=1),IF((((F1582)*(L1582)^2)/2+(G1582)*(L1582)^3/3+(ABS(K1582)^2)/($I$5*MAX(((F1582)+(G1582)*(L1582))*(L1582),0.000001)))&gt;=(((F1582)*(U1582)^2)/2+(G1582)*(U1582)^3/3+(ABS(K1582)^2)/($I$5*MAX(((F1582)+(G1582)*(U1582))*(U1582),0.000001))),L1582,U1582),IF(T1582=1,L1582,IF(AC1582=1,U1582,MAX($D$16,POWER((ABS(K1582)^2)/($I$5*MAX(F1582,0.1)^2),1/3)))))))</f>
        <v>#VALUE!</v>
      </c>
      <c r="AE1582" t="e">
        <f t="shared" ca="1" si="710"/>
        <v>#VALUE!</v>
      </c>
      <c r="AF1582" t="e">
        <f t="shared" ca="1" si="711"/>
        <v>#VALUE!</v>
      </c>
      <c r="AG1582">
        <v>635.5</v>
      </c>
      <c r="AI1582" t="e">
        <f t="shared" ca="1" si="722"/>
        <v>#VALUE!</v>
      </c>
      <c r="AJ1582">
        <v>0</v>
      </c>
      <c r="AK1582" t="e">
        <f t="shared" ca="1" si="712"/>
        <v>#VALUE!</v>
      </c>
      <c r="AL1582" t="e">
        <f t="shared" ca="1" si="721"/>
        <v>#VALUE!</v>
      </c>
      <c r="AM1582" t="e">
        <f t="shared" ca="1" si="713"/>
        <v>#VALUE!</v>
      </c>
      <c r="AN1582" t="e">
        <f t="shared" ca="1" si="714"/>
        <v>#VALUE!</v>
      </c>
      <c r="AO1582" t="e">
        <f t="shared" ca="1" si="715"/>
        <v>#VALUE!</v>
      </c>
    </row>
    <row r="1583" spans="1:41" x14ac:dyDescent="0.35">
      <c r="A1583">
        <v>21</v>
      </c>
      <c r="B1583">
        <v>20</v>
      </c>
      <c r="C1583">
        <v>616065.73</v>
      </c>
      <c r="D1583">
        <v>3096601.8679999998</v>
      </c>
      <c r="E1583">
        <v>628.97799999999995</v>
      </c>
      <c r="F1583">
        <v>15</v>
      </c>
      <c r="G1583">
        <v>0</v>
      </c>
      <c r="H1583" t="s">
        <v>186</v>
      </c>
      <c r="I1583">
        <v>0</v>
      </c>
      <c r="J1583">
        <f t="shared" si="716"/>
        <v>1</v>
      </c>
      <c r="K1583" t="e">
        <f t="shared" ca="1" si="717"/>
        <v>#VALUE!</v>
      </c>
      <c r="L1583" t="e">
        <f t="shared" ca="1" si="718"/>
        <v>#VALUE!</v>
      </c>
      <c r="M1583" t="e">
        <f t="shared" ca="1" si="695"/>
        <v>#VALUE!</v>
      </c>
      <c r="N1583" t="e">
        <f t="shared" ca="1" si="696"/>
        <v>#VALUE!</v>
      </c>
      <c r="O1583" t="e">
        <f t="shared" ca="1" si="697"/>
        <v>#VALUE!</v>
      </c>
      <c r="P1583" t="e">
        <f t="shared" ca="1" si="698"/>
        <v>#VALUE!</v>
      </c>
      <c r="Q1583" t="e">
        <f t="shared" ca="1" si="699"/>
        <v>#VALUE!</v>
      </c>
      <c r="R1583" t="e">
        <f t="shared" ca="1" si="700"/>
        <v>#VALUE!</v>
      </c>
      <c r="S1583" t="e">
        <f t="shared" ca="1" si="719"/>
        <v>#VALUE!</v>
      </c>
      <c r="T1583" t="e">
        <f t="shared" ca="1" si="720"/>
        <v>#VALUE!</v>
      </c>
      <c r="U1583" t="e">
        <f t="shared" ca="1" si="701"/>
        <v>#VALUE!</v>
      </c>
      <c r="V1583" t="e">
        <f t="shared" ca="1" si="702"/>
        <v>#VALUE!</v>
      </c>
      <c r="W1583" t="e">
        <f t="shared" ca="1" si="703"/>
        <v>#VALUE!</v>
      </c>
      <c r="X1583" t="e">
        <f t="shared" ca="1" si="704"/>
        <v>#VALUE!</v>
      </c>
      <c r="Y1583" t="e">
        <f t="shared" ca="1" si="705"/>
        <v>#VALUE!</v>
      </c>
      <c r="Z1583" t="e">
        <f t="shared" ca="1" si="706"/>
        <v>#VALUE!</v>
      </c>
      <c r="AA1583" t="e">
        <f t="shared" ca="1" si="707"/>
        <v>#VALUE!</v>
      </c>
      <c r="AB1583" t="e">
        <f t="shared" ca="1" si="708"/>
        <v>#VALUE!</v>
      </c>
      <c r="AC1583" t="e">
        <f t="shared" ca="1" si="709"/>
        <v>#VALUE!</v>
      </c>
      <c r="AD1583" t="e">
        <f ca="1">IF(V34="Supercritical",L1583,IF(V34="Subcritical",U1583,IF(AND(T1583=1,AC1583=1),IF((((F1583)*(L1583)^2)/2+(G1583)*(L1583)^3/3+(ABS(K1583)^2)/($I$5*MAX(((F1583)+(G1583)*(L1583))*(L1583),0.000001)))&gt;=(((F1583)*(U1583)^2)/2+(G1583)*(U1583)^3/3+(ABS(K1583)^2)/($I$5*MAX(((F1583)+(G1583)*(U1583))*(U1583),0.000001))),L1583,U1583),IF(T1583=1,L1583,IF(AC1583=1,U1583,MAX($D$16,POWER((ABS(K1583)^2)/($I$5*MAX(F1583,0.1)^2),1/3)))))))</f>
        <v>#VALUE!</v>
      </c>
      <c r="AE1583" t="e">
        <f t="shared" ca="1" si="710"/>
        <v>#VALUE!</v>
      </c>
      <c r="AF1583" t="e">
        <f t="shared" ca="1" si="711"/>
        <v>#VALUE!</v>
      </c>
      <c r="AG1583">
        <v>635.5</v>
      </c>
      <c r="AI1583" t="e">
        <f t="shared" ca="1" si="722"/>
        <v>#VALUE!</v>
      </c>
      <c r="AJ1583">
        <v>0</v>
      </c>
      <c r="AK1583" t="e">
        <f t="shared" ca="1" si="712"/>
        <v>#VALUE!</v>
      </c>
      <c r="AL1583" t="e">
        <f t="shared" ca="1" si="721"/>
        <v>#VALUE!</v>
      </c>
      <c r="AM1583" t="e">
        <f t="shared" ca="1" si="713"/>
        <v>#VALUE!</v>
      </c>
      <c r="AN1583" t="e">
        <f t="shared" ca="1" si="714"/>
        <v>#VALUE!</v>
      </c>
      <c r="AO1583" t="e">
        <f t="shared" ca="1" si="715"/>
        <v>#VALUE!</v>
      </c>
    </row>
    <row r="1584" spans="1:41" x14ac:dyDescent="0.35">
      <c r="A1584">
        <v>22</v>
      </c>
      <c r="B1584">
        <v>21</v>
      </c>
      <c r="C1584">
        <v>616065.73</v>
      </c>
      <c r="D1584">
        <v>3096600.8679999998</v>
      </c>
      <c r="E1584">
        <v>628.97799999999995</v>
      </c>
      <c r="F1584">
        <v>15</v>
      </c>
      <c r="G1584">
        <v>0</v>
      </c>
      <c r="H1584" t="s">
        <v>186</v>
      </c>
      <c r="I1584">
        <v>0</v>
      </c>
      <c r="J1584">
        <f t="shared" si="716"/>
        <v>1</v>
      </c>
      <c r="K1584" t="e">
        <f t="shared" ca="1" si="717"/>
        <v>#VALUE!</v>
      </c>
      <c r="L1584" t="e">
        <f t="shared" ca="1" si="718"/>
        <v>#VALUE!</v>
      </c>
      <c r="M1584" t="e">
        <f t="shared" ca="1" si="695"/>
        <v>#VALUE!</v>
      </c>
      <c r="N1584" t="e">
        <f t="shared" ca="1" si="696"/>
        <v>#VALUE!</v>
      </c>
      <c r="O1584" t="e">
        <f t="shared" ca="1" si="697"/>
        <v>#VALUE!</v>
      </c>
      <c r="P1584" t="e">
        <f t="shared" ca="1" si="698"/>
        <v>#VALUE!</v>
      </c>
      <c r="Q1584" t="e">
        <f t="shared" ca="1" si="699"/>
        <v>#VALUE!</v>
      </c>
      <c r="R1584" t="e">
        <f t="shared" ca="1" si="700"/>
        <v>#VALUE!</v>
      </c>
      <c r="S1584" t="e">
        <f t="shared" ca="1" si="719"/>
        <v>#VALUE!</v>
      </c>
      <c r="T1584" t="e">
        <f t="shared" ca="1" si="720"/>
        <v>#VALUE!</v>
      </c>
      <c r="U1584" t="e">
        <f t="shared" ca="1" si="701"/>
        <v>#VALUE!</v>
      </c>
      <c r="V1584" t="e">
        <f t="shared" ca="1" si="702"/>
        <v>#VALUE!</v>
      </c>
      <c r="W1584" t="e">
        <f t="shared" ca="1" si="703"/>
        <v>#VALUE!</v>
      </c>
      <c r="X1584" t="e">
        <f t="shared" ca="1" si="704"/>
        <v>#VALUE!</v>
      </c>
      <c r="Y1584" t="e">
        <f t="shared" ca="1" si="705"/>
        <v>#VALUE!</v>
      </c>
      <c r="Z1584" t="e">
        <f t="shared" ca="1" si="706"/>
        <v>#VALUE!</v>
      </c>
      <c r="AA1584" t="e">
        <f t="shared" ca="1" si="707"/>
        <v>#VALUE!</v>
      </c>
      <c r="AB1584" t="e">
        <f t="shared" ca="1" si="708"/>
        <v>#VALUE!</v>
      </c>
      <c r="AC1584" t="e">
        <f t="shared" ca="1" si="709"/>
        <v>#VALUE!</v>
      </c>
      <c r="AD1584" t="e">
        <f ca="1">IF(V34="Supercritical",L1584,IF(V34="Subcritical",U1584,IF(AND(T1584=1,AC1584=1),IF((((F1584)*(L1584)^2)/2+(G1584)*(L1584)^3/3+(ABS(K1584)^2)/($I$5*MAX(((F1584)+(G1584)*(L1584))*(L1584),0.000001)))&gt;=(((F1584)*(U1584)^2)/2+(G1584)*(U1584)^3/3+(ABS(K1584)^2)/($I$5*MAX(((F1584)+(G1584)*(U1584))*(U1584),0.000001))),L1584,U1584),IF(T1584=1,L1584,IF(AC1584=1,U1584,MAX($D$16,POWER((ABS(K1584)^2)/($I$5*MAX(F1584,0.1)^2),1/3)))))))</f>
        <v>#VALUE!</v>
      </c>
      <c r="AE1584" t="e">
        <f t="shared" ca="1" si="710"/>
        <v>#VALUE!</v>
      </c>
      <c r="AF1584" t="e">
        <f t="shared" ca="1" si="711"/>
        <v>#VALUE!</v>
      </c>
      <c r="AG1584">
        <v>635.5</v>
      </c>
      <c r="AI1584" t="e">
        <f t="shared" ca="1" si="722"/>
        <v>#VALUE!</v>
      </c>
      <c r="AJ1584">
        <v>0</v>
      </c>
      <c r="AK1584" t="e">
        <f t="shared" ca="1" si="712"/>
        <v>#VALUE!</v>
      </c>
      <c r="AL1584" t="e">
        <f t="shared" ca="1" si="721"/>
        <v>#VALUE!</v>
      </c>
      <c r="AM1584" t="e">
        <f t="shared" ca="1" si="713"/>
        <v>#VALUE!</v>
      </c>
      <c r="AN1584" t="e">
        <f t="shared" ca="1" si="714"/>
        <v>#VALUE!</v>
      </c>
      <c r="AO1584" t="e">
        <f t="shared" ca="1" si="715"/>
        <v>#VALUE!</v>
      </c>
    </row>
    <row r="1585" spans="1:41" x14ac:dyDescent="0.35">
      <c r="A1585">
        <v>23</v>
      </c>
      <c r="B1585">
        <v>22</v>
      </c>
      <c r="C1585">
        <v>616065.73</v>
      </c>
      <c r="D1585">
        <v>3096599.8679999998</v>
      </c>
      <c r="E1585">
        <v>628.97799999999995</v>
      </c>
      <c r="F1585">
        <v>15</v>
      </c>
      <c r="G1585">
        <v>0</v>
      </c>
      <c r="H1585" t="s">
        <v>186</v>
      </c>
      <c r="I1585">
        <v>0</v>
      </c>
      <c r="J1585">
        <f t="shared" si="716"/>
        <v>1</v>
      </c>
      <c r="K1585" t="e">
        <f t="shared" ca="1" si="717"/>
        <v>#VALUE!</v>
      </c>
      <c r="L1585" t="e">
        <f t="shared" ca="1" si="718"/>
        <v>#VALUE!</v>
      </c>
      <c r="M1585" t="e">
        <f t="shared" ca="1" si="695"/>
        <v>#VALUE!</v>
      </c>
      <c r="N1585" t="e">
        <f t="shared" ca="1" si="696"/>
        <v>#VALUE!</v>
      </c>
      <c r="O1585" t="e">
        <f t="shared" ca="1" si="697"/>
        <v>#VALUE!</v>
      </c>
      <c r="P1585" t="e">
        <f t="shared" ca="1" si="698"/>
        <v>#VALUE!</v>
      </c>
      <c r="Q1585" t="e">
        <f t="shared" ca="1" si="699"/>
        <v>#VALUE!</v>
      </c>
      <c r="R1585" t="e">
        <f t="shared" ca="1" si="700"/>
        <v>#VALUE!</v>
      </c>
      <c r="S1585" t="e">
        <f t="shared" ca="1" si="719"/>
        <v>#VALUE!</v>
      </c>
      <c r="T1585" t="e">
        <f t="shared" ca="1" si="720"/>
        <v>#VALUE!</v>
      </c>
      <c r="U1585" t="e">
        <f t="shared" ca="1" si="701"/>
        <v>#VALUE!</v>
      </c>
      <c r="V1585" t="e">
        <f t="shared" ca="1" si="702"/>
        <v>#VALUE!</v>
      </c>
      <c r="W1585" t="e">
        <f t="shared" ca="1" si="703"/>
        <v>#VALUE!</v>
      </c>
      <c r="X1585" t="e">
        <f t="shared" ca="1" si="704"/>
        <v>#VALUE!</v>
      </c>
      <c r="Y1585" t="e">
        <f t="shared" ca="1" si="705"/>
        <v>#VALUE!</v>
      </c>
      <c r="Z1585" t="e">
        <f t="shared" ca="1" si="706"/>
        <v>#VALUE!</v>
      </c>
      <c r="AA1585" t="e">
        <f t="shared" ca="1" si="707"/>
        <v>#VALUE!</v>
      </c>
      <c r="AB1585" t="e">
        <f t="shared" ca="1" si="708"/>
        <v>#VALUE!</v>
      </c>
      <c r="AC1585" t="e">
        <f t="shared" ca="1" si="709"/>
        <v>#VALUE!</v>
      </c>
      <c r="AD1585" t="e">
        <f ca="1">IF(V34="Supercritical",L1585,IF(V34="Subcritical",U1585,IF(AND(T1585=1,AC1585=1),IF((((F1585)*(L1585)^2)/2+(G1585)*(L1585)^3/3+(ABS(K1585)^2)/($I$5*MAX(((F1585)+(G1585)*(L1585))*(L1585),0.000001)))&gt;=(((F1585)*(U1585)^2)/2+(G1585)*(U1585)^3/3+(ABS(K1585)^2)/($I$5*MAX(((F1585)+(G1585)*(U1585))*(U1585),0.000001))),L1585,U1585),IF(T1585=1,L1585,IF(AC1585=1,U1585,MAX($D$16,POWER((ABS(K1585)^2)/($I$5*MAX(F1585,0.1)^2),1/3)))))))</f>
        <v>#VALUE!</v>
      </c>
      <c r="AE1585" t="e">
        <f t="shared" ca="1" si="710"/>
        <v>#VALUE!</v>
      </c>
      <c r="AF1585" t="e">
        <f t="shared" ca="1" si="711"/>
        <v>#VALUE!</v>
      </c>
      <c r="AG1585">
        <v>635.5</v>
      </c>
      <c r="AI1585" t="e">
        <f t="shared" ca="1" si="722"/>
        <v>#VALUE!</v>
      </c>
      <c r="AJ1585">
        <v>0</v>
      </c>
      <c r="AK1585" t="e">
        <f t="shared" ca="1" si="712"/>
        <v>#VALUE!</v>
      </c>
      <c r="AL1585" t="e">
        <f t="shared" ca="1" si="721"/>
        <v>#VALUE!</v>
      </c>
      <c r="AM1585" t="e">
        <f t="shared" ca="1" si="713"/>
        <v>#VALUE!</v>
      </c>
      <c r="AN1585" t="e">
        <f t="shared" ca="1" si="714"/>
        <v>#VALUE!</v>
      </c>
      <c r="AO1585" t="e">
        <f t="shared" ca="1" si="715"/>
        <v>#VALUE!</v>
      </c>
    </row>
    <row r="1586" spans="1:41" x14ac:dyDescent="0.35">
      <c r="A1586">
        <v>24</v>
      </c>
      <c r="B1586">
        <v>23</v>
      </c>
      <c r="C1586">
        <v>616065.73</v>
      </c>
      <c r="D1586">
        <v>3096598.8679999998</v>
      </c>
      <c r="E1586">
        <v>628.97799999999995</v>
      </c>
      <c r="F1586">
        <v>15</v>
      </c>
      <c r="G1586">
        <v>0</v>
      </c>
      <c r="H1586" t="s">
        <v>186</v>
      </c>
      <c r="I1586">
        <v>0</v>
      </c>
      <c r="J1586">
        <f t="shared" si="716"/>
        <v>1</v>
      </c>
      <c r="K1586" t="e">
        <f t="shared" ca="1" si="717"/>
        <v>#VALUE!</v>
      </c>
      <c r="L1586" t="e">
        <f t="shared" ca="1" si="718"/>
        <v>#VALUE!</v>
      </c>
      <c r="M1586" t="e">
        <f t="shared" ca="1" si="695"/>
        <v>#VALUE!</v>
      </c>
      <c r="N1586" t="e">
        <f t="shared" ca="1" si="696"/>
        <v>#VALUE!</v>
      </c>
      <c r="O1586" t="e">
        <f t="shared" ca="1" si="697"/>
        <v>#VALUE!</v>
      </c>
      <c r="P1586" t="e">
        <f t="shared" ca="1" si="698"/>
        <v>#VALUE!</v>
      </c>
      <c r="Q1586" t="e">
        <f t="shared" ca="1" si="699"/>
        <v>#VALUE!</v>
      </c>
      <c r="R1586" t="e">
        <f t="shared" ca="1" si="700"/>
        <v>#VALUE!</v>
      </c>
      <c r="S1586" t="e">
        <f t="shared" ca="1" si="719"/>
        <v>#VALUE!</v>
      </c>
      <c r="T1586" t="e">
        <f t="shared" ca="1" si="720"/>
        <v>#VALUE!</v>
      </c>
      <c r="U1586" t="e">
        <f t="shared" ca="1" si="701"/>
        <v>#VALUE!</v>
      </c>
      <c r="V1586" t="e">
        <f t="shared" ca="1" si="702"/>
        <v>#VALUE!</v>
      </c>
      <c r="W1586" t="e">
        <f t="shared" ca="1" si="703"/>
        <v>#VALUE!</v>
      </c>
      <c r="X1586" t="e">
        <f t="shared" ca="1" si="704"/>
        <v>#VALUE!</v>
      </c>
      <c r="Y1586" t="e">
        <f t="shared" ca="1" si="705"/>
        <v>#VALUE!</v>
      </c>
      <c r="Z1586" t="e">
        <f t="shared" ca="1" si="706"/>
        <v>#VALUE!</v>
      </c>
      <c r="AA1586" t="e">
        <f t="shared" ca="1" si="707"/>
        <v>#VALUE!</v>
      </c>
      <c r="AB1586" t="e">
        <f t="shared" ca="1" si="708"/>
        <v>#VALUE!</v>
      </c>
      <c r="AC1586" t="e">
        <f t="shared" ca="1" si="709"/>
        <v>#VALUE!</v>
      </c>
      <c r="AD1586" t="e">
        <f ca="1">IF(V34="Supercritical",L1586,IF(V34="Subcritical",U1586,IF(AND(T1586=1,AC1586=1),IF((((F1586)*(L1586)^2)/2+(G1586)*(L1586)^3/3+(ABS(K1586)^2)/($I$5*MAX(((F1586)+(G1586)*(L1586))*(L1586),0.000001)))&gt;=(((F1586)*(U1586)^2)/2+(G1586)*(U1586)^3/3+(ABS(K1586)^2)/($I$5*MAX(((F1586)+(G1586)*(U1586))*(U1586),0.000001))),L1586,U1586),IF(T1586=1,L1586,IF(AC1586=1,U1586,MAX($D$16,POWER((ABS(K1586)^2)/($I$5*MAX(F1586,0.1)^2),1/3)))))))</f>
        <v>#VALUE!</v>
      </c>
      <c r="AE1586" t="e">
        <f t="shared" ca="1" si="710"/>
        <v>#VALUE!</v>
      </c>
      <c r="AF1586" t="e">
        <f t="shared" ca="1" si="711"/>
        <v>#VALUE!</v>
      </c>
      <c r="AG1586">
        <v>635.5</v>
      </c>
      <c r="AI1586" t="e">
        <f t="shared" ca="1" si="722"/>
        <v>#VALUE!</v>
      </c>
      <c r="AJ1586">
        <v>0</v>
      </c>
      <c r="AK1586" t="e">
        <f t="shared" ca="1" si="712"/>
        <v>#VALUE!</v>
      </c>
      <c r="AL1586" t="e">
        <f t="shared" ca="1" si="721"/>
        <v>#VALUE!</v>
      </c>
      <c r="AM1586" t="e">
        <f t="shared" ca="1" si="713"/>
        <v>#VALUE!</v>
      </c>
      <c r="AN1586" t="e">
        <f t="shared" ca="1" si="714"/>
        <v>#VALUE!</v>
      </c>
      <c r="AO1586" t="e">
        <f t="shared" ca="1" si="715"/>
        <v>#VALUE!</v>
      </c>
    </row>
    <row r="1587" spans="1:41" x14ac:dyDescent="0.35">
      <c r="A1587">
        <v>25</v>
      </c>
      <c r="B1587">
        <v>24</v>
      </c>
      <c r="C1587">
        <v>616065.73</v>
      </c>
      <c r="D1587">
        <v>3096597.8679999998</v>
      </c>
      <c r="E1587">
        <v>628.97799999999995</v>
      </c>
      <c r="F1587">
        <v>15</v>
      </c>
      <c r="G1587">
        <v>0</v>
      </c>
      <c r="H1587" t="s">
        <v>186</v>
      </c>
      <c r="I1587">
        <v>0</v>
      </c>
      <c r="J1587">
        <f t="shared" si="716"/>
        <v>1</v>
      </c>
      <c r="K1587" t="e">
        <f t="shared" ca="1" si="717"/>
        <v>#VALUE!</v>
      </c>
      <c r="L1587" t="e">
        <f t="shared" ca="1" si="718"/>
        <v>#VALUE!</v>
      </c>
      <c r="M1587" t="e">
        <f t="shared" ca="1" si="695"/>
        <v>#VALUE!</v>
      </c>
      <c r="N1587" t="e">
        <f t="shared" ca="1" si="696"/>
        <v>#VALUE!</v>
      </c>
      <c r="O1587" t="e">
        <f t="shared" ca="1" si="697"/>
        <v>#VALUE!</v>
      </c>
      <c r="P1587" t="e">
        <f t="shared" ca="1" si="698"/>
        <v>#VALUE!</v>
      </c>
      <c r="Q1587" t="e">
        <f t="shared" ca="1" si="699"/>
        <v>#VALUE!</v>
      </c>
      <c r="R1587" t="e">
        <f t="shared" ca="1" si="700"/>
        <v>#VALUE!</v>
      </c>
      <c r="S1587" t="e">
        <f t="shared" ca="1" si="719"/>
        <v>#VALUE!</v>
      </c>
      <c r="T1587" t="e">
        <f t="shared" ca="1" si="720"/>
        <v>#VALUE!</v>
      </c>
      <c r="U1587" t="e">
        <f t="shared" ca="1" si="701"/>
        <v>#VALUE!</v>
      </c>
      <c r="V1587" t="e">
        <f t="shared" ca="1" si="702"/>
        <v>#VALUE!</v>
      </c>
      <c r="W1587" t="e">
        <f t="shared" ca="1" si="703"/>
        <v>#VALUE!</v>
      </c>
      <c r="X1587" t="e">
        <f t="shared" ca="1" si="704"/>
        <v>#VALUE!</v>
      </c>
      <c r="Y1587" t="e">
        <f t="shared" ca="1" si="705"/>
        <v>#VALUE!</v>
      </c>
      <c r="Z1587" t="e">
        <f t="shared" ca="1" si="706"/>
        <v>#VALUE!</v>
      </c>
      <c r="AA1587" t="e">
        <f t="shared" ca="1" si="707"/>
        <v>#VALUE!</v>
      </c>
      <c r="AB1587" t="e">
        <f t="shared" ca="1" si="708"/>
        <v>#VALUE!</v>
      </c>
      <c r="AC1587" t="e">
        <f t="shared" ca="1" si="709"/>
        <v>#VALUE!</v>
      </c>
      <c r="AD1587" t="e">
        <f ca="1">IF(V34="Supercritical",L1587,IF(V34="Subcritical",U1587,IF(AND(T1587=1,AC1587=1),IF((((F1587)*(L1587)^2)/2+(G1587)*(L1587)^3/3+(ABS(K1587)^2)/($I$5*MAX(((F1587)+(G1587)*(L1587))*(L1587),0.000001)))&gt;=(((F1587)*(U1587)^2)/2+(G1587)*(U1587)^3/3+(ABS(K1587)^2)/($I$5*MAX(((F1587)+(G1587)*(U1587))*(U1587),0.000001))),L1587,U1587),IF(T1587=1,L1587,IF(AC1587=1,U1587,MAX($D$16,POWER((ABS(K1587)^2)/($I$5*MAX(F1587,0.1)^2),1/3)))))))</f>
        <v>#VALUE!</v>
      </c>
      <c r="AE1587" t="e">
        <f t="shared" ca="1" si="710"/>
        <v>#VALUE!</v>
      </c>
      <c r="AF1587" t="e">
        <f t="shared" ca="1" si="711"/>
        <v>#VALUE!</v>
      </c>
      <c r="AG1587">
        <v>635.5</v>
      </c>
      <c r="AI1587" t="e">
        <f t="shared" ca="1" si="722"/>
        <v>#VALUE!</v>
      </c>
      <c r="AJ1587">
        <v>0</v>
      </c>
      <c r="AK1587" t="e">
        <f t="shared" ca="1" si="712"/>
        <v>#VALUE!</v>
      </c>
      <c r="AL1587" t="e">
        <f t="shared" ca="1" si="721"/>
        <v>#VALUE!</v>
      </c>
      <c r="AM1587" t="e">
        <f t="shared" ca="1" si="713"/>
        <v>#VALUE!</v>
      </c>
      <c r="AN1587" t="e">
        <f t="shared" ca="1" si="714"/>
        <v>#VALUE!</v>
      </c>
      <c r="AO1587" t="e">
        <f t="shared" ca="1" si="715"/>
        <v>#VALUE!</v>
      </c>
    </row>
    <row r="1588" spans="1:41" x14ac:dyDescent="0.35">
      <c r="A1588">
        <v>26</v>
      </c>
      <c r="B1588">
        <v>25</v>
      </c>
      <c r="C1588">
        <v>616065.73</v>
      </c>
      <c r="D1588">
        <v>3096596.8679999998</v>
      </c>
      <c r="E1588">
        <v>628.97799999999995</v>
      </c>
      <c r="F1588">
        <v>15</v>
      </c>
      <c r="G1588">
        <v>0</v>
      </c>
      <c r="H1588" t="s">
        <v>186</v>
      </c>
      <c r="I1588">
        <v>0</v>
      </c>
      <c r="J1588">
        <f t="shared" si="716"/>
        <v>1</v>
      </c>
      <c r="K1588" t="e">
        <f t="shared" ca="1" si="717"/>
        <v>#VALUE!</v>
      </c>
      <c r="L1588" t="e">
        <f t="shared" ca="1" si="718"/>
        <v>#VALUE!</v>
      </c>
      <c r="M1588" t="e">
        <f t="shared" ca="1" si="695"/>
        <v>#VALUE!</v>
      </c>
      <c r="N1588" t="e">
        <f t="shared" ca="1" si="696"/>
        <v>#VALUE!</v>
      </c>
      <c r="O1588" t="e">
        <f t="shared" ca="1" si="697"/>
        <v>#VALUE!</v>
      </c>
      <c r="P1588" t="e">
        <f t="shared" ca="1" si="698"/>
        <v>#VALUE!</v>
      </c>
      <c r="Q1588" t="e">
        <f t="shared" ca="1" si="699"/>
        <v>#VALUE!</v>
      </c>
      <c r="R1588" t="e">
        <f t="shared" ca="1" si="700"/>
        <v>#VALUE!</v>
      </c>
      <c r="S1588" t="e">
        <f t="shared" ca="1" si="719"/>
        <v>#VALUE!</v>
      </c>
      <c r="T1588" t="e">
        <f t="shared" ca="1" si="720"/>
        <v>#VALUE!</v>
      </c>
      <c r="U1588" t="e">
        <f t="shared" ca="1" si="701"/>
        <v>#VALUE!</v>
      </c>
      <c r="V1588" t="e">
        <f t="shared" ca="1" si="702"/>
        <v>#VALUE!</v>
      </c>
      <c r="W1588" t="e">
        <f t="shared" ca="1" si="703"/>
        <v>#VALUE!</v>
      </c>
      <c r="X1588" t="e">
        <f t="shared" ca="1" si="704"/>
        <v>#VALUE!</v>
      </c>
      <c r="Y1588" t="e">
        <f t="shared" ca="1" si="705"/>
        <v>#VALUE!</v>
      </c>
      <c r="Z1588" t="e">
        <f t="shared" ca="1" si="706"/>
        <v>#VALUE!</v>
      </c>
      <c r="AA1588" t="e">
        <f t="shared" ca="1" si="707"/>
        <v>#VALUE!</v>
      </c>
      <c r="AB1588" t="e">
        <f t="shared" ca="1" si="708"/>
        <v>#VALUE!</v>
      </c>
      <c r="AC1588" t="e">
        <f t="shared" ca="1" si="709"/>
        <v>#VALUE!</v>
      </c>
      <c r="AD1588" t="e">
        <f ca="1">IF(V34="Supercritical",L1588,IF(V34="Subcritical",U1588,IF(AND(T1588=1,AC1588=1),IF((((F1588)*(L1588)^2)/2+(G1588)*(L1588)^3/3+(ABS(K1588)^2)/($I$5*MAX(((F1588)+(G1588)*(L1588))*(L1588),0.000001)))&gt;=(((F1588)*(U1588)^2)/2+(G1588)*(U1588)^3/3+(ABS(K1588)^2)/($I$5*MAX(((F1588)+(G1588)*(U1588))*(U1588),0.000001))),L1588,U1588),IF(T1588=1,L1588,IF(AC1588=1,U1588,MAX($D$16,POWER((ABS(K1588)^2)/($I$5*MAX(F1588,0.1)^2),1/3)))))))</f>
        <v>#VALUE!</v>
      </c>
      <c r="AE1588" t="e">
        <f t="shared" ca="1" si="710"/>
        <v>#VALUE!</v>
      </c>
      <c r="AF1588" t="e">
        <f t="shared" ca="1" si="711"/>
        <v>#VALUE!</v>
      </c>
      <c r="AG1588">
        <v>635.5</v>
      </c>
      <c r="AI1588" t="e">
        <f t="shared" ca="1" si="722"/>
        <v>#VALUE!</v>
      </c>
      <c r="AJ1588">
        <v>0</v>
      </c>
      <c r="AK1588" t="e">
        <f t="shared" ca="1" si="712"/>
        <v>#VALUE!</v>
      </c>
      <c r="AL1588" t="e">
        <f t="shared" ca="1" si="721"/>
        <v>#VALUE!</v>
      </c>
      <c r="AM1588" t="e">
        <f t="shared" ca="1" si="713"/>
        <v>#VALUE!</v>
      </c>
      <c r="AN1588" t="e">
        <f t="shared" ca="1" si="714"/>
        <v>#VALUE!</v>
      </c>
      <c r="AO1588" t="e">
        <f t="shared" ca="1" si="715"/>
        <v>#VALUE!</v>
      </c>
    </row>
    <row r="1589" spans="1:41" x14ac:dyDescent="0.35">
      <c r="A1589">
        <v>27</v>
      </c>
      <c r="B1589">
        <v>26</v>
      </c>
      <c r="C1589">
        <v>616065.73</v>
      </c>
      <c r="D1589">
        <v>3096595.8679999998</v>
      </c>
      <c r="E1589">
        <v>628.97799999999995</v>
      </c>
      <c r="F1589">
        <v>15</v>
      </c>
      <c r="G1589">
        <v>0</v>
      </c>
      <c r="H1589" t="s">
        <v>186</v>
      </c>
      <c r="I1589">
        <v>0</v>
      </c>
      <c r="J1589">
        <f t="shared" si="716"/>
        <v>1</v>
      </c>
      <c r="K1589" t="e">
        <f t="shared" ca="1" si="717"/>
        <v>#VALUE!</v>
      </c>
      <c r="L1589" t="e">
        <f t="shared" ca="1" si="718"/>
        <v>#VALUE!</v>
      </c>
      <c r="M1589" t="e">
        <f t="shared" ca="1" si="695"/>
        <v>#VALUE!</v>
      </c>
      <c r="N1589" t="e">
        <f t="shared" ca="1" si="696"/>
        <v>#VALUE!</v>
      </c>
      <c r="O1589" t="e">
        <f t="shared" ca="1" si="697"/>
        <v>#VALUE!</v>
      </c>
      <c r="P1589" t="e">
        <f t="shared" ca="1" si="698"/>
        <v>#VALUE!</v>
      </c>
      <c r="Q1589" t="e">
        <f t="shared" ca="1" si="699"/>
        <v>#VALUE!</v>
      </c>
      <c r="R1589" t="e">
        <f t="shared" ca="1" si="700"/>
        <v>#VALUE!</v>
      </c>
      <c r="S1589" t="e">
        <f t="shared" ca="1" si="719"/>
        <v>#VALUE!</v>
      </c>
      <c r="T1589" t="e">
        <f t="shared" ca="1" si="720"/>
        <v>#VALUE!</v>
      </c>
      <c r="U1589" t="e">
        <f t="shared" ca="1" si="701"/>
        <v>#VALUE!</v>
      </c>
      <c r="V1589" t="e">
        <f t="shared" ca="1" si="702"/>
        <v>#VALUE!</v>
      </c>
      <c r="W1589" t="e">
        <f t="shared" ca="1" si="703"/>
        <v>#VALUE!</v>
      </c>
      <c r="X1589" t="e">
        <f t="shared" ca="1" si="704"/>
        <v>#VALUE!</v>
      </c>
      <c r="Y1589" t="e">
        <f t="shared" ca="1" si="705"/>
        <v>#VALUE!</v>
      </c>
      <c r="Z1589" t="e">
        <f t="shared" ca="1" si="706"/>
        <v>#VALUE!</v>
      </c>
      <c r="AA1589" t="e">
        <f t="shared" ca="1" si="707"/>
        <v>#VALUE!</v>
      </c>
      <c r="AB1589" t="e">
        <f t="shared" ca="1" si="708"/>
        <v>#VALUE!</v>
      </c>
      <c r="AC1589" t="e">
        <f t="shared" ca="1" si="709"/>
        <v>#VALUE!</v>
      </c>
      <c r="AD1589" t="e">
        <f ca="1">IF(V34="Supercritical",L1589,IF(V34="Subcritical",U1589,IF(AND(T1589=1,AC1589=1),IF((((F1589)*(L1589)^2)/2+(G1589)*(L1589)^3/3+(ABS(K1589)^2)/($I$5*MAX(((F1589)+(G1589)*(L1589))*(L1589),0.000001)))&gt;=(((F1589)*(U1589)^2)/2+(G1589)*(U1589)^3/3+(ABS(K1589)^2)/($I$5*MAX(((F1589)+(G1589)*(U1589))*(U1589),0.000001))),L1589,U1589),IF(T1589=1,L1589,IF(AC1589=1,U1589,MAX($D$16,POWER((ABS(K1589)^2)/($I$5*MAX(F1589,0.1)^2),1/3)))))))</f>
        <v>#VALUE!</v>
      </c>
      <c r="AE1589" t="e">
        <f t="shared" ca="1" si="710"/>
        <v>#VALUE!</v>
      </c>
      <c r="AF1589" t="e">
        <f t="shared" ca="1" si="711"/>
        <v>#VALUE!</v>
      </c>
      <c r="AG1589">
        <v>635.5</v>
      </c>
      <c r="AI1589" t="e">
        <f t="shared" ca="1" si="722"/>
        <v>#VALUE!</v>
      </c>
      <c r="AJ1589">
        <v>0</v>
      </c>
      <c r="AK1589" t="e">
        <f t="shared" ca="1" si="712"/>
        <v>#VALUE!</v>
      </c>
      <c r="AL1589" t="e">
        <f t="shared" ca="1" si="721"/>
        <v>#VALUE!</v>
      </c>
      <c r="AM1589" t="e">
        <f t="shared" ca="1" si="713"/>
        <v>#VALUE!</v>
      </c>
      <c r="AN1589" t="e">
        <f t="shared" ca="1" si="714"/>
        <v>#VALUE!</v>
      </c>
      <c r="AO1589" t="e">
        <f t="shared" ca="1" si="715"/>
        <v>#VALUE!</v>
      </c>
    </row>
    <row r="1590" spans="1:41" x14ac:dyDescent="0.35">
      <c r="A1590">
        <v>28</v>
      </c>
      <c r="B1590">
        <v>27</v>
      </c>
      <c r="C1590">
        <v>616065.73</v>
      </c>
      <c r="D1590">
        <v>3096594.8679999998</v>
      </c>
      <c r="E1590">
        <v>628.39469999999994</v>
      </c>
      <c r="F1590">
        <v>14.576000000000001</v>
      </c>
      <c r="G1590">
        <v>0</v>
      </c>
      <c r="H1590" t="s">
        <v>186</v>
      </c>
      <c r="I1590">
        <v>0</v>
      </c>
      <c r="J1590">
        <f t="shared" si="716"/>
        <v>1</v>
      </c>
      <c r="K1590" t="e">
        <f t="shared" ca="1" si="717"/>
        <v>#VALUE!</v>
      </c>
      <c r="L1590" t="e">
        <f t="shared" ca="1" si="718"/>
        <v>#VALUE!</v>
      </c>
      <c r="M1590" t="e">
        <f t="shared" ca="1" si="695"/>
        <v>#VALUE!</v>
      </c>
      <c r="N1590" t="e">
        <f t="shared" ca="1" si="696"/>
        <v>#VALUE!</v>
      </c>
      <c r="O1590" t="e">
        <f t="shared" ca="1" si="697"/>
        <v>#VALUE!</v>
      </c>
      <c r="P1590" t="e">
        <f t="shared" ca="1" si="698"/>
        <v>#VALUE!</v>
      </c>
      <c r="Q1590" t="e">
        <f t="shared" ca="1" si="699"/>
        <v>#VALUE!</v>
      </c>
      <c r="R1590" t="e">
        <f t="shared" ca="1" si="700"/>
        <v>#VALUE!</v>
      </c>
      <c r="S1590" t="e">
        <f t="shared" ca="1" si="719"/>
        <v>#VALUE!</v>
      </c>
      <c r="T1590" t="e">
        <f t="shared" ca="1" si="720"/>
        <v>#VALUE!</v>
      </c>
      <c r="U1590" t="e">
        <f t="shared" ca="1" si="701"/>
        <v>#VALUE!</v>
      </c>
      <c r="V1590" t="e">
        <f t="shared" ca="1" si="702"/>
        <v>#VALUE!</v>
      </c>
      <c r="W1590" t="e">
        <f t="shared" ca="1" si="703"/>
        <v>#VALUE!</v>
      </c>
      <c r="X1590" t="e">
        <f t="shared" ca="1" si="704"/>
        <v>#VALUE!</v>
      </c>
      <c r="Y1590" t="e">
        <f t="shared" ca="1" si="705"/>
        <v>#VALUE!</v>
      </c>
      <c r="Z1590" t="e">
        <f t="shared" ca="1" si="706"/>
        <v>#VALUE!</v>
      </c>
      <c r="AA1590" t="e">
        <f t="shared" ca="1" si="707"/>
        <v>#VALUE!</v>
      </c>
      <c r="AB1590" t="e">
        <f t="shared" ca="1" si="708"/>
        <v>#VALUE!</v>
      </c>
      <c r="AC1590" t="e">
        <f t="shared" ca="1" si="709"/>
        <v>#VALUE!</v>
      </c>
      <c r="AD1590" t="e">
        <f ca="1">IF(V34="Supercritical",L1590,IF(V34="Subcritical",U1590,IF(AND(T1590=1,AC1590=1),IF((((F1590)*(L1590)^2)/2+(G1590)*(L1590)^3/3+(ABS(K1590)^2)/($I$5*MAX(((F1590)+(G1590)*(L1590))*(L1590),0.000001)))&gt;=(((F1590)*(U1590)^2)/2+(G1590)*(U1590)^3/3+(ABS(K1590)^2)/($I$5*MAX(((F1590)+(G1590)*(U1590))*(U1590),0.000001))),L1590,U1590),IF(T1590=1,L1590,IF(AC1590=1,U1590,MAX($D$16,POWER((ABS(K1590)^2)/($I$5*MAX(F1590,0.1)^2),1/3)))))))</f>
        <v>#VALUE!</v>
      </c>
      <c r="AE1590" t="e">
        <f t="shared" ca="1" si="710"/>
        <v>#VALUE!</v>
      </c>
      <c r="AF1590" t="e">
        <f t="shared" ca="1" si="711"/>
        <v>#VALUE!</v>
      </c>
      <c r="AG1590">
        <v>635.5</v>
      </c>
      <c r="AI1590" t="e">
        <f t="shared" ca="1" si="722"/>
        <v>#VALUE!</v>
      </c>
      <c r="AJ1590">
        <v>0</v>
      </c>
      <c r="AK1590" t="e">
        <f t="shared" ca="1" si="712"/>
        <v>#VALUE!</v>
      </c>
      <c r="AL1590" t="e">
        <f t="shared" ca="1" si="721"/>
        <v>#VALUE!</v>
      </c>
      <c r="AM1590" t="e">
        <f t="shared" ca="1" si="713"/>
        <v>#VALUE!</v>
      </c>
      <c r="AN1590" t="e">
        <f t="shared" ca="1" si="714"/>
        <v>#VALUE!</v>
      </c>
      <c r="AO1590" t="e">
        <f t="shared" ca="1" si="715"/>
        <v>#VALUE!</v>
      </c>
    </row>
    <row r="1591" spans="1:41" x14ac:dyDescent="0.35">
      <c r="A1591">
        <v>29</v>
      </c>
      <c r="B1591">
        <v>28</v>
      </c>
      <c r="C1591">
        <v>616065.73</v>
      </c>
      <c r="D1591">
        <v>3096593.8679999998</v>
      </c>
      <c r="E1591">
        <v>627.81129999999996</v>
      </c>
      <c r="F1591">
        <v>13.576000000000001</v>
      </c>
      <c r="G1591">
        <v>0</v>
      </c>
      <c r="H1591" t="s">
        <v>186</v>
      </c>
      <c r="I1591">
        <v>0</v>
      </c>
      <c r="J1591">
        <f t="shared" si="716"/>
        <v>1</v>
      </c>
      <c r="K1591" t="e">
        <f t="shared" ca="1" si="717"/>
        <v>#VALUE!</v>
      </c>
      <c r="L1591" t="e">
        <f t="shared" ca="1" si="718"/>
        <v>#VALUE!</v>
      </c>
      <c r="M1591" t="e">
        <f t="shared" ca="1" si="695"/>
        <v>#VALUE!</v>
      </c>
      <c r="N1591" t="e">
        <f t="shared" ca="1" si="696"/>
        <v>#VALUE!</v>
      </c>
      <c r="O1591" t="e">
        <f t="shared" ca="1" si="697"/>
        <v>#VALUE!</v>
      </c>
      <c r="P1591" t="e">
        <f t="shared" ca="1" si="698"/>
        <v>#VALUE!</v>
      </c>
      <c r="Q1591" t="e">
        <f t="shared" ca="1" si="699"/>
        <v>#VALUE!</v>
      </c>
      <c r="R1591" t="e">
        <f t="shared" ca="1" si="700"/>
        <v>#VALUE!</v>
      </c>
      <c r="S1591" t="e">
        <f t="shared" ca="1" si="719"/>
        <v>#VALUE!</v>
      </c>
      <c r="T1591" t="e">
        <f t="shared" ca="1" si="720"/>
        <v>#VALUE!</v>
      </c>
      <c r="U1591" t="e">
        <f t="shared" ca="1" si="701"/>
        <v>#VALUE!</v>
      </c>
      <c r="V1591" t="e">
        <f t="shared" ca="1" si="702"/>
        <v>#VALUE!</v>
      </c>
      <c r="W1591" t="e">
        <f t="shared" ca="1" si="703"/>
        <v>#VALUE!</v>
      </c>
      <c r="X1591" t="e">
        <f t="shared" ca="1" si="704"/>
        <v>#VALUE!</v>
      </c>
      <c r="Y1591" t="e">
        <f t="shared" ca="1" si="705"/>
        <v>#VALUE!</v>
      </c>
      <c r="Z1591" t="e">
        <f t="shared" ca="1" si="706"/>
        <v>#VALUE!</v>
      </c>
      <c r="AA1591" t="e">
        <f t="shared" ca="1" si="707"/>
        <v>#VALUE!</v>
      </c>
      <c r="AB1591" t="e">
        <f t="shared" ca="1" si="708"/>
        <v>#VALUE!</v>
      </c>
      <c r="AC1591" t="e">
        <f t="shared" ca="1" si="709"/>
        <v>#VALUE!</v>
      </c>
      <c r="AD1591" t="e">
        <f ca="1">IF(V34="Supercritical",L1591,IF(V34="Subcritical",U1591,IF(AND(T1591=1,AC1591=1),IF((((F1591)*(L1591)^2)/2+(G1591)*(L1591)^3/3+(ABS(K1591)^2)/($I$5*MAX(((F1591)+(G1591)*(L1591))*(L1591),0.000001)))&gt;=(((F1591)*(U1591)^2)/2+(G1591)*(U1591)^3/3+(ABS(K1591)^2)/($I$5*MAX(((F1591)+(G1591)*(U1591))*(U1591),0.000001))),L1591,U1591),IF(T1591=1,L1591,IF(AC1591=1,U1591,MAX($D$16,POWER((ABS(K1591)^2)/($I$5*MAX(F1591,0.1)^2),1/3)))))))</f>
        <v>#VALUE!</v>
      </c>
      <c r="AE1591" t="e">
        <f t="shared" ca="1" si="710"/>
        <v>#VALUE!</v>
      </c>
      <c r="AF1591" t="e">
        <f t="shared" ca="1" si="711"/>
        <v>#VALUE!</v>
      </c>
      <c r="AG1591">
        <v>635.5</v>
      </c>
      <c r="AI1591" t="e">
        <f t="shared" ca="1" si="722"/>
        <v>#VALUE!</v>
      </c>
      <c r="AJ1591">
        <v>0</v>
      </c>
      <c r="AK1591" t="e">
        <f t="shared" ca="1" si="712"/>
        <v>#VALUE!</v>
      </c>
      <c r="AL1591" t="e">
        <f t="shared" ca="1" si="721"/>
        <v>#VALUE!</v>
      </c>
      <c r="AM1591" t="e">
        <f t="shared" ca="1" si="713"/>
        <v>#VALUE!</v>
      </c>
      <c r="AN1591" t="e">
        <f t="shared" ca="1" si="714"/>
        <v>#VALUE!</v>
      </c>
      <c r="AO1591" t="e">
        <f t="shared" ca="1" si="715"/>
        <v>#VALUE!</v>
      </c>
    </row>
    <row r="1592" spans="1:41" x14ac:dyDescent="0.35">
      <c r="A1592">
        <v>30</v>
      </c>
      <c r="B1592">
        <v>29</v>
      </c>
      <c r="C1592">
        <v>616065.73</v>
      </c>
      <c r="D1592">
        <v>3096592.8679999998</v>
      </c>
      <c r="E1592">
        <v>627.22799999999995</v>
      </c>
      <c r="F1592">
        <v>12.576000000000001</v>
      </c>
      <c r="G1592">
        <v>0</v>
      </c>
      <c r="H1592" t="s">
        <v>186</v>
      </c>
      <c r="I1592">
        <v>0</v>
      </c>
      <c r="J1592">
        <f t="shared" si="716"/>
        <v>1</v>
      </c>
      <c r="K1592" t="e">
        <f t="shared" ca="1" si="717"/>
        <v>#VALUE!</v>
      </c>
      <c r="L1592" t="e">
        <f t="shared" ca="1" si="718"/>
        <v>#VALUE!</v>
      </c>
      <c r="M1592" t="e">
        <f t="shared" ca="1" si="695"/>
        <v>#VALUE!</v>
      </c>
      <c r="N1592" t="e">
        <f t="shared" ca="1" si="696"/>
        <v>#VALUE!</v>
      </c>
      <c r="O1592" t="e">
        <f t="shared" ca="1" si="697"/>
        <v>#VALUE!</v>
      </c>
      <c r="P1592" t="e">
        <f t="shared" ca="1" si="698"/>
        <v>#VALUE!</v>
      </c>
      <c r="Q1592" t="e">
        <f t="shared" ca="1" si="699"/>
        <v>#VALUE!</v>
      </c>
      <c r="R1592" t="e">
        <f t="shared" ca="1" si="700"/>
        <v>#VALUE!</v>
      </c>
      <c r="S1592" t="e">
        <f t="shared" ca="1" si="719"/>
        <v>#VALUE!</v>
      </c>
      <c r="T1592" t="e">
        <f t="shared" ca="1" si="720"/>
        <v>#VALUE!</v>
      </c>
      <c r="U1592" t="e">
        <f t="shared" ca="1" si="701"/>
        <v>#VALUE!</v>
      </c>
      <c r="V1592" t="e">
        <f t="shared" ca="1" si="702"/>
        <v>#VALUE!</v>
      </c>
      <c r="W1592" t="e">
        <f t="shared" ca="1" si="703"/>
        <v>#VALUE!</v>
      </c>
      <c r="X1592" t="e">
        <f t="shared" ca="1" si="704"/>
        <v>#VALUE!</v>
      </c>
      <c r="Y1592" t="e">
        <f t="shared" ca="1" si="705"/>
        <v>#VALUE!</v>
      </c>
      <c r="Z1592" t="e">
        <f t="shared" ca="1" si="706"/>
        <v>#VALUE!</v>
      </c>
      <c r="AA1592" t="e">
        <f t="shared" ca="1" si="707"/>
        <v>#VALUE!</v>
      </c>
      <c r="AB1592" t="e">
        <f t="shared" ca="1" si="708"/>
        <v>#VALUE!</v>
      </c>
      <c r="AC1592" t="e">
        <f t="shared" ca="1" si="709"/>
        <v>#VALUE!</v>
      </c>
      <c r="AD1592" t="e">
        <f ca="1">IF(V34="Supercritical",L1592,IF(V34="Subcritical",U1592,IF(AND(T1592=1,AC1592=1),IF((((F1592)*(L1592)^2)/2+(G1592)*(L1592)^3/3+(ABS(K1592)^2)/($I$5*MAX(((F1592)+(G1592)*(L1592))*(L1592),0.000001)))&gt;=(((F1592)*(U1592)^2)/2+(G1592)*(U1592)^3/3+(ABS(K1592)^2)/($I$5*MAX(((F1592)+(G1592)*(U1592))*(U1592),0.000001))),L1592,U1592),IF(T1592=1,L1592,IF(AC1592=1,U1592,MAX($D$16,POWER((ABS(K1592)^2)/($I$5*MAX(F1592,0.1)^2),1/3)))))))</f>
        <v>#VALUE!</v>
      </c>
      <c r="AE1592" t="e">
        <f t="shared" ca="1" si="710"/>
        <v>#VALUE!</v>
      </c>
      <c r="AF1592" t="e">
        <f t="shared" ca="1" si="711"/>
        <v>#VALUE!</v>
      </c>
      <c r="AG1592">
        <v>635.5</v>
      </c>
      <c r="AI1592" t="e">
        <f t="shared" ca="1" si="722"/>
        <v>#VALUE!</v>
      </c>
      <c r="AJ1592">
        <v>0</v>
      </c>
      <c r="AK1592" t="e">
        <f t="shared" ca="1" si="712"/>
        <v>#VALUE!</v>
      </c>
      <c r="AL1592" t="e">
        <f t="shared" ca="1" si="721"/>
        <v>#VALUE!</v>
      </c>
      <c r="AM1592" t="e">
        <f t="shared" ca="1" si="713"/>
        <v>#VALUE!</v>
      </c>
      <c r="AN1592" t="e">
        <f t="shared" ca="1" si="714"/>
        <v>#VALUE!</v>
      </c>
      <c r="AO1592" t="e">
        <f t="shared" ca="1" si="715"/>
        <v>#VALUE!</v>
      </c>
    </row>
    <row r="1593" spans="1:41" x14ac:dyDescent="0.35">
      <c r="A1593">
        <v>31</v>
      </c>
      <c r="B1593">
        <v>30</v>
      </c>
      <c r="C1593">
        <v>616065.73</v>
      </c>
      <c r="D1593">
        <v>3096591.8679999998</v>
      </c>
      <c r="E1593">
        <v>626.64469999999994</v>
      </c>
      <c r="F1593">
        <v>11.576000000000001</v>
      </c>
      <c r="G1593">
        <v>0</v>
      </c>
      <c r="H1593" t="s">
        <v>186</v>
      </c>
      <c r="I1593">
        <v>0</v>
      </c>
      <c r="J1593">
        <f t="shared" si="716"/>
        <v>1</v>
      </c>
      <c r="K1593" t="e">
        <f t="shared" ca="1" si="717"/>
        <v>#VALUE!</v>
      </c>
      <c r="L1593" t="e">
        <f t="shared" ca="1" si="718"/>
        <v>#VALUE!</v>
      </c>
      <c r="M1593" t="e">
        <f t="shared" ca="1" si="695"/>
        <v>#VALUE!</v>
      </c>
      <c r="N1593" t="e">
        <f t="shared" ca="1" si="696"/>
        <v>#VALUE!</v>
      </c>
      <c r="O1593" t="e">
        <f t="shared" ca="1" si="697"/>
        <v>#VALUE!</v>
      </c>
      <c r="P1593" t="e">
        <f t="shared" ca="1" si="698"/>
        <v>#VALUE!</v>
      </c>
      <c r="Q1593" t="e">
        <f t="shared" ca="1" si="699"/>
        <v>#VALUE!</v>
      </c>
      <c r="R1593" t="e">
        <f t="shared" ca="1" si="700"/>
        <v>#VALUE!</v>
      </c>
      <c r="S1593" t="e">
        <f t="shared" ca="1" si="719"/>
        <v>#VALUE!</v>
      </c>
      <c r="T1593" t="e">
        <f t="shared" ca="1" si="720"/>
        <v>#VALUE!</v>
      </c>
      <c r="U1593" t="e">
        <f t="shared" ca="1" si="701"/>
        <v>#VALUE!</v>
      </c>
      <c r="V1593" t="e">
        <f t="shared" ca="1" si="702"/>
        <v>#VALUE!</v>
      </c>
      <c r="W1593" t="e">
        <f t="shared" ca="1" si="703"/>
        <v>#VALUE!</v>
      </c>
      <c r="X1593" t="e">
        <f t="shared" ca="1" si="704"/>
        <v>#VALUE!</v>
      </c>
      <c r="Y1593" t="e">
        <f t="shared" ca="1" si="705"/>
        <v>#VALUE!</v>
      </c>
      <c r="Z1593" t="e">
        <f t="shared" ca="1" si="706"/>
        <v>#VALUE!</v>
      </c>
      <c r="AA1593" t="e">
        <f t="shared" ca="1" si="707"/>
        <v>#VALUE!</v>
      </c>
      <c r="AB1593" t="e">
        <f t="shared" ca="1" si="708"/>
        <v>#VALUE!</v>
      </c>
      <c r="AC1593" t="e">
        <f t="shared" ca="1" si="709"/>
        <v>#VALUE!</v>
      </c>
      <c r="AD1593" t="e">
        <f ca="1">IF(V34="Supercritical",L1593,IF(V34="Subcritical",U1593,IF(AND(T1593=1,AC1593=1),IF((((F1593)*(L1593)^2)/2+(G1593)*(L1593)^3/3+(ABS(K1593)^2)/($I$5*MAX(((F1593)+(G1593)*(L1593))*(L1593),0.000001)))&gt;=(((F1593)*(U1593)^2)/2+(G1593)*(U1593)^3/3+(ABS(K1593)^2)/($I$5*MAX(((F1593)+(G1593)*(U1593))*(U1593),0.000001))),L1593,U1593),IF(T1593=1,L1593,IF(AC1593=1,U1593,MAX($D$16,POWER((ABS(K1593)^2)/($I$5*MAX(F1593,0.1)^2),1/3)))))))</f>
        <v>#VALUE!</v>
      </c>
      <c r="AE1593" t="e">
        <f t="shared" ca="1" si="710"/>
        <v>#VALUE!</v>
      </c>
      <c r="AF1593" t="e">
        <f t="shared" ca="1" si="711"/>
        <v>#VALUE!</v>
      </c>
      <c r="AG1593">
        <v>635.5</v>
      </c>
      <c r="AI1593" t="e">
        <f t="shared" ca="1" si="722"/>
        <v>#VALUE!</v>
      </c>
      <c r="AJ1593">
        <v>0</v>
      </c>
      <c r="AK1593" t="e">
        <f t="shared" ca="1" si="712"/>
        <v>#VALUE!</v>
      </c>
      <c r="AL1593" t="e">
        <f t="shared" ca="1" si="721"/>
        <v>#VALUE!</v>
      </c>
      <c r="AM1593" t="e">
        <f t="shared" ca="1" si="713"/>
        <v>#VALUE!</v>
      </c>
      <c r="AN1593" t="e">
        <f t="shared" ca="1" si="714"/>
        <v>#VALUE!</v>
      </c>
      <c r="AO1593" t="e">
        <f t="shared" ca="1" si="715"/>
        <v>#VALUE!</v>
      </c>
    </row>
    <row r="1594" spans="1:41" x14ac:dyDescent="0.35">
      <c r="A1594">
        <v>32</v>
      </c>
      <c r="B1594">
        <v>31</v>
      </c>
      <c r="C1594">
        <v>616065.73</v>
      </c>
      <c r="D1594">
        <v>3096590.8679999998</v>
      </c>
      <c r="E1594">
        <v>626.06129999999996</v>
      </c>
      <c r="F1594">
        <v>10.576000000000001</v>
      </c>
      <c r="G1594">
        <v>0</v>
      </c>
      <c r="H1594" t="s">
        <v>186</v>
      </c>
      <c r="I1594">
        <v>0</v>
      </c>
      <c r="J1594">
        <f t="shared" si="716"/>
        <v>1</v>
      </c>
      <c r="K1594" t="e">
        <f t="shared" ca="1" si="717"/>
        <v>#VALUE!</v>
      </c>
      <c r="L1594" t="e">
        <f t="shared" ca="1" si="718"/>
        <v>#VALUE!</v>
      </c>
      <c r="M1594" t="e">
        <f t="shared" ca="1" si="695"/>
        <v>#VALUE!</v>
      </c>
      <c r="N1594" t="e">
        <f t="shared" ca="1" si="696"/>
        <v>#VALUE!</v>
      </c>
      <c r="O1594" t="e">
        <f t="shared" ca="1" si="697"/>
        <v>#VALUE!</v>
      </c>
      <c r="P1594" t="e">
        <f t="shared" ca="1" si="698"/>
        <v>#VALUE!</v>
      </c>
      <c r="Q1594" t="e">
        <f t="shared" ca="1" si="699"/>
        <v>#VALUE!</v>
      </c>
      <c r="R1594" t="e">
        <f t="shared" ca="1" si="700"/>
        <v>#VALUE!</v>
      </c>
      <c r="S1594" t="e">
        <f t="shared" ca="1" si="719"/>
        <v>#VALUE!</v>
      </c>
      <c r="T1594" t="e">
        <f t="shared" ca="1" si="720"/>
        <v>#VALUE!</v>
      </c>
      <c r="U1594" t="e">
        <f t="shared" ca="1" si="701"/>
        <v>#VALUE!</v>
      </c>
      <c r="V1594" t="e">
        <f t="shared" ca="1" si="702"/>
        <v>#VALUE!</v>
      </c>
      <c r="W1594" t="e">
        <f t="shared" ca="1" si="703"/>
        <v>#VALUE!</v>
      </c>
      <c r="X1594" t="e">
        <f t="shared" ca="1" si="704"/>
        <v>#VALUE!</v>
      </c>
      <c r="Y1594" t="e">
        <f t="shared" ca="1" si="705"/>
        <v>#VALUE!</v>
      </c>
      <c r="Z1594" t="e">
        <f t="shared" ca="1" si="706"/>
        <v>#VALUE!</v>
      </c>
      <c r="AA1594" t="e">
        <f t="shared" ca="1" si="707"/>
        <v>#VALUE!</v>
      </c>
      <c r="AB1594" t="e">
        <f t="shared" ca="1" si="708"/>
        <v>#VALUE!</v>
      </c>
      <c r="AC1594" t="e">
        <f t="shared" ca="1" si="709"/>
        <v>#VALUE!</v>
      </c>
      <c r="AD1594" t="e">
        <f ca="1">IF(V34="Supercritical",L1594,IF(V34="Subcritical",U1594,IF(AND(T1594=1,AC1594=1),IF((((F1594)*(L1594)^2)/2+(G1594)*(L1594)^3/3+(ABS(K1594)^2)/($I$5*MAX(((F1594)+(G1594)*(L1594))*(L1594),0.000001)))&gt;=(((F1594)*(U1594)^2)/2+(G1594)*(U1594)^3/3+(ABS(K1594)^2)/($I$5*MAX(((F1594)+(G1594)*(U1594))*(U1594),0.000001))),L1594,U1594),IF(T1594=1,L1594,IF(AC1594=1,U1594,MAX($D$16,POWER((ABS(K1594)^2)/($I$5*MAX(F1594,0.1)^2),1/3)))))))</f>
        <v>#VALUE!</v>
      </c>
      <c r="AE1594" t="e">
        <f t="shared" ca="1" si="710"/>
        <v>#VALUE!</v>
      </c>
      <c r="AF1594" t="e">
        <f t="shared" ca="1" si="711"/>
        <v>#VALUE!</v>
      </c>
      <c r="AG1594">
        <v>635.5</v>
      </c>
      <c r="AI1594" t="e">
        <f t="shared" ca="1" si="722"/>
        <v>#VALUE!</v>
      </c>
      <c r="AJ1594">
        <v>0</v>
      </c>
      <c r="AK1594" t="e">
        <f t="shared" ca="1" si="712"/>
        <v>#VALUE!</v>
      </c>
      <c r="AL1594" t="e">
        <f t="shared" ca="1" si="721"/>
        <v>#VALUE!</v>
      </c>
      <c r="AM1594" t="e">
        <f t="shared" ca="1" si="713"/>
        <v>#VALUE!</v>
      </c>
      <c r="AN1594" t="e">
        <f t="shared" ca="1" si="714"/>
        <v>#VALUE!</v>
      </c>
      <c r="AO1594" t="e">
        <f t="shared" ca="1" si="715"/>
        <v>#VALUE!</v>
      </c>
    </row>
    <row r="1595" spans="1:41" x14ac:dyDescent="0.35">
      <c r="A1595">
        <v>33</v>
      </c>
      <c r="B1595">
        <v>32</v>
      </c>
      <c r="C1595">
        <v>616065.73</v>
      </c>
      <c r="D1595">
        <v>3096589.8679999998</v>
      </c>
      <c r="E1595">
        <v>625.47799999999995</v>
      </c>
      <c r="F1595">
        <v>10.151999999999999</v>
      </c>
      <c r="G1595">
        <v>0</v>
      </c>
      <c r="H1595" t="s">
        <v>186</v>
      </c>
      <c r="I1595">
        <v>0</v>
      </c>
      <c r="J1595">
        <f t="shared" si="716"/>
        <v>1</v>
      </c>
      <c r="K1595" t="e">
        <f t="shared" ca="1" si="717"/>
        <v>#VALUE!</v>
      </c>
      <c r="L1595" t="e">
        <f t="shared" ca="1" si="718"/>
        <v>#VALUE!</v>
      </c>
      <c r="M1595" t="e">
        <f t="shared" ca="1" si="695"/>
        <v>#VALUE!</v>
      </c>
      <c r="N1595" t="e">
        <f t="shared" ca="1" si="696"/>
        <v>#VALUE!</v>
      </c>
      <c r="O1595" t="e">
        <f t="shared" ca="1" si="697"/>
        <v>#VALUE!</v>
      </c>
      <c r="P1595" t="e">
        <f t="shared" ca="1" si="698"/>
        <v>#VALUE!</v>
      </c>
      <c r="Q1595" t="e">
        <f t="shared" ca="1" si="699"/>
        <v>#VALUE!</v>
      </c>
      <c r="R1595" t="e">
        <f t="shared" ca="1" si="700"/>
        <v>#VALUE!</v>
      </c>
      <c r="S1595" t="e">
        <f t="shared" ca="1" si="719"/>
        <v>#VALUE!</v>
      </c>
      <c r="T1595" t="e">
        <f t="shared" ca="1" si="720"/>
        <v>#VALUE!</v>
      </c>
      <c r="U1595" t="e">
        <f t="shared" ca="1" si="701"/>
        <v>#VALUE!</v>
      </c>
      <c r="V1595" t="e">
        <f t="shared" ca="1" si="702"/>
        <v>#VALUE!</v>
      </c>
      <c r="W1595" t="e">
        <f t="shared" ca="1" si="703"/>
        <v>#VALUE!</v>
      </c>
      <c r="X1595" t="e">
        <f t="shared" ca="1" si="704"/>
        <v>#VALUE!</v>
      </c>
      <c r="Y1595" t="e">
        <f t="shared" ca="1" si="705"/>
        <v>#VALUE!</v>
      </c>
      <c r="Z1595" t="e">
        <f t="shared" ca="1" si="706"/>
        <v>#VALUE!</v>
      </c>
      <c r="AA1595" t="e">
        <f t="shared" ca="1" si="707"/>
        <v>#VALUE!</v>
      </c>
      <c r="AB1595" t="e">
        <f t="shared" ca="1" si="708"/>
        <v>#VALUE!</v>
      </c>
      <c r="AC1595" t="e">
        <f t="shared" ca="1" si="709"/>
        <v>#VALUE!</v>
      </c>
      <c r="AD1595" t="e">
        <f ca="1">IF(V34="Supercritical",L1595,IF(V34="Subcritical",U1595,IF(AND(T1595=1,AC1595=1),IF((((F1595)*(L1595)^2)/2+(G1595)*(L1595)^3/3+(ABS(K1595)^2)/($I$5*MAX(((F1595)+(G1595)*(L1595))*(L1595),0.000001)))&gt;=(((F1595)*(U1595)^2)/2+(G1595)*(U1595)^3/3+(ABS(K1595)^2)/($I$5*MAX(((F1595)+(G1595)*(U1595))*(U1595),0.000001))),L1595,U1595),IF(T1595=1,L1595,IF(AC1595=1,U1595,MAX($D$16,POWER((ABS(K1595)^2)/($I$5*MAX(F1595,0.1)^2),1/3)))))))</f>
        <v>#VALUE!</v>
      </c>
      <c r="AE1595" t="e">
        <f t="shared" ca="1" si="710"/>
        <v>#VALUE!</v>
      </c>
      <c r="AF1595" t="e">
        <f t="shared" ca="1" si="711"/>
        <v>#VALUE!</v>
      </c>
      <c r="AG1595">
        <v>635.5</v>
      </c>
      <c r="AI1595" t="e">
        <f t="shared" ca="1" si="722"/>
        <v>#VALUE!</v>
      </c>
      <c r="AJ1595">
        <v>0</v>
      </c>
      <c r="AK1595" t="e">
        <f t="shared" ca="1" si="712"/>
        <v>#VALUE!</v>
      </c>
      <c r="AL1595" t="e">
        <f t="shared" ca="1" si="721"/>
        <v>#VALUE!</v>
      </c>
      <c r="AM1595" t="e">
        <f t="shared" ca="1" si="713"/>
        <v>#VALUE!</v>
      </c>
      <c r="AN1595" t="e">
        <f t="shared" ca="1" si="714"/>
        <v>#VALUE!</v>
      </c>
      <c r="AO1595" t="e">
        <f t="shared" ca="1" si="715"/>
        <v>#VALUE!</v>
      </c>
    </row>
    <row r="1596" spans="1:41" x14ac:dyDescent="0.35">
      <c r="A1596">
        <v>34</v>
      </c>
      <c r="B1596">
        <v>33</v>
      </c>
      <c r="C1596">
        <v>616065.73</v>
      </c>
      <c r="D1596">
        <v>3096588.8679999998</v>
      </c>
      <c r="E1596">
        <v>624.89469999999994</v>
      </c>
      <c r="F1596">
        <v>9.0920000000000005</v>
      </c>
      <c r="G1596">
        <v>0</v>
      </c>
      <c r="H1596" t="s">
        <v>186</v>
      </c>
      <c r="I1596">
        <v>0</v>
      </c>
      <c r="J1596">
        <f t="shared" si="716"/>
        <v>1</v>
      </c>
      <c r="K1596" t="e">
        <f t="shared" ca="1" si="717"/>
        <v>#VALUE!</v>
      </c>
      <c r="L1596" t="e">
        <f t="shared" ca="1" si="718"/>
        <v>#VALUE!</v>
      </c>
      <c r="M1596" t="e">
        <f t="shared" ca="1" si="695"/>
        <v>#VALUE!</v>
      </c>
      <c r="N1596" t="e">
        <f t="shared" ca="1" si="696"/>
        <v>#VALUE!</v>
      </c>
      <c r="O1596" t="e">
        <f t="shared" ca="1" si="697"/>
        <v>#VALUE!</v>
      </c>
      <c r="P1596" t="e">
        <f t="shared" ca="1" si="698"/>
        <v>#VALUE!</v>
      </c>
      <c r="Q1596" t="e">
        <f t="shared" ca="1" si="699"/>
        <v>#VALUE!</v>
      </c>
      <c r="R1596" t="e">
        <f t="shared" ca="1" si="700"/>
        <v>#VALUE!</v>
      </c>
      <c r="S1596" t="e">
        <f t="shared" ca="1" si="719"/>
        <v>#VALUE!</v>
      </c>
      <c r="T1596" t="e">
        <f t="shared" ca="1" si="720"/>
        <v>#VALUE!</v>
      </c>
      <c r="U1596" t="e">
        <f t="shared" ca="1" si="701"/>
        <v>#VALUE!</v>
      </c>
      <c r="V1596" t="e">
        <f t="shared" ca="1" si="702"/>
        <v>#VALUE!</v>
      </c>
      <c r="W1596" t="e">
        <f t="shared" ca="1" si="703"/>
        <v>#VALUE!</v>
      </c>
      <c r="X1596" t="e">
        <f t="shared" ca="1" si="704"/>
        <v>#VALUE!</v>
      </c>
      <c r="Y1596" t="e">
        <f t="shared" ca="1" si="705"/>
        <v>#VALUE!</v>
      </c>
      <c r="Z1596" t="e">
        <f t="shared" ca="1" si="706"/>
        <v>#VALUE!</v>
      </c>
      <c r="AA1596" t="e">
        <f t="shared" ca="1" si="707"/>
        <v>#VALUE!</v>
      </c>
      <c r="AB1596" t="e">
        <f t="shared" ca="1" si="708"/>
        <v>#VALUE!</v>
      </c>
      <c r="AC1596" t="e">
        <f t="shared" ca="1" si="709"/>
        <v>#VALUE!</v>
      </c>
      <c r="AD1596" t="e">
        <f ca="1">IF(V34="Supercritical",L1596,IF(V34="Subcritical",U1596,IF(AND(T1596=1,AC1596=1),IF((((F1596)*(L1596)^2)/2+(G1596)*(L1596)^3/3+(ABS(K1596)^2)/($I$5*MAX(((F1596)+(G1596)*(L1596))*(L1596),0.000001)))&gt;=(((F1596)*(U1596)^2)/2+(G1596)*(U1596)^3/3+(ABS(K1596)^2)/($I$5*MAX(((F1596)+(G1596)*(U1596))*(U1596),0.000001))),L1596,U1596),IF(T1596=1,L1596,IF(AC1596=1,U1596,MAX($D$16,POWER((ABS(K1596)^2)/($I$5*MAX(F1596,0.1)^2),1/3)))))))</f>
        <v>#VALUE!</v>
      </c>
      <c r="AE1596" t="e">
        <f t="shared" ca="1" si="710"/>
        <v>#VALUE!</v>
      </c>
      <c r="AF1596" t="e">
        <f t="shared" ca="1" si="711"/>
        <v>#VALUE!</v>
      </c>
      <c r="AI1596">
        <v>0</v>
      </c>
      <c r="AJ1596">
        <v>0</v>
      </c>
      <c r="AK1596">
        <f t="shared" si="712"/>
        <v>0</v>
      </c>
      <c r="AL1596" t="e">
        <f t="shared" ca="1" si="721"/>
        <v>#VALUE!</v>
      </c>
      <c r="AM1596" t="e">
        <f t="shared" ca="1" si="713"/>
        <v>#VALUE!</v>
      </c>
      <c r="AN1596" t="e">
        <f t="shared" ca="1" si="714"/>
        <v>#VALUE!</v>
      </c>
      <c r="AO1596" t="e">
        <f t="shared" ca="1" si="715"/>
        <v>#VALUE!</v>
      </c>
    </row>
    <row r="1597" spans="1:41" x14ac:dyDescent="0.35">
      <c r="A1597">
        <v>35</v>
      </c>
      <c r="B1597">
        <v>34</v>
      </c>
      <c r="C1597">
        <v>616065.73</v>
      </c>
      <c r="D1597">
        <v>3096587.8679999998</v>
      </c>
      <c r="E1597">
        <v>624.31129999999996</v>
      </c>
      <c r="F1597">
        <v>7.8579999999999997</v>
      </c>
      <c r="G1597">
        <v>0</v>
      </c>
      <c r="H1597" t="s">
        <v>186</v>
      </c>
      <c r="I1597">
        <v>0</v>
      </c>
      <c r="J1597">
        <f t="shared" si="716"/>
        <v>1</v>
      </c>
      <c r="K1597" t="e">
        <f t="shared" ca="1" si="717"/>
        <v>#VALUE!</v>
      </c>
      <c r="L1597" t="e">
        <f t="shared" ca="1" si="718"/>
        <v>#VALUE!</v>
      </c>
      <c r="M1597" t="e">
        <f t="shared" ca="1" si="695"/>
        <v>#VALUE!</v>
      </c>
      <c r="N1597" t="e">
        <f t="shared" ca="1" si="696"/>
        <v>#VALUE!</v>
      </c>
      <c r="O1597" t="e">
        <f t="shared" ca="1" si="697"/>
        <v>#VALUE!</v>
      </c>
      <c r="P1597" t="e">
        <f t="shared" ca="1" si="698"/>
        <v>#VALUE!</v>
      </c>
      <c r="Q1597" t="e">
        <f t="shared" ca="1" si="699"/>
        <v>#VALUE!</v>
      </c>
      <c r="R1597" t="e">
        <f t="shared" ca="1" si="700"/>
        <v>#VALUE!</v>
      </c>
      <c r="S1597" t="e">
        <f t="shared" ca="1" si="719"/>
        <v>#VALUE!</v>
      </c>
      <c r="T1597" t="e">
        <f t="shared" ca="1" si="720"/>
        <v>#VALUE!</v>
      </c>
      <c r="U1597" t="e">
        <f t="shared" ca="1" si="701"/>
        <v>#VALUE!</v>
      </c>
      <c r="V1597" t="e">
        <f t="shared" ca="1" si="702"/>
        <v>#VALUE!</v>
      </c>
      <c r="W1597" t="e">
        <f t="shared" ca="1" si="703"/>
        <v>#VALUE!</v>
      </c>
      <c r="X1597" t="e">
        <f t="shared" ca="1" si="704"/>
        <v>#VALUE!</v>
      </c>
      <c r="Y1597" t="e">
        <f t="shared" ca="1" si="705"/>
        <v>#VALUE!</v>
      </c>
      <c r="Z1597" t="e">
        <f t="shared" ca="1" si="706"/>
        <v>#VALUE!</v>
      </c>
      <c r="AA1597" t="e">
        <f t="shared" ca="1" si="707"/>
        <v>#VALUE!</v>
      </c>
      <c r="AB1597" t="e">
        <f t="shared" ca="1" si="708"/>
        <v>#VALUE!</v>
      </c>
      <c r="AC1597" t="e">
        <f t="shared" ca="1" si="709"/>
        <v>#VALUE!</v>
      </c>
      <c r="AD1597" t="e">
        <f ca="1">IF(V34="Supercritical",L1597,IF(V34="Subcritical",U1597,IF(AND(T1597=1,AC1597=1),IF((((F1597)*(L1597)^2)/2+(G1597)*(L1597)^3/3+(ABS(K1597)^2)/($I$5*MAX(((F1597)+(G1597)*(L1597))*(L1597),0.000001)))&gt;=(((F1597)*(U1597)^2)/2+(G1597)*(U1597)^3/3+(ABS(K1597)^2)/($I$5*MAX(((F1597)+(G1597)*(U1597))*(U1597),0.000001))),L1597,U1597),IF(T1597=1,L1597,IF(AC1597=1,U1597,MAX($D$16,POWER((ABS(K1597)^2)/($I$5*MAX(F1597,0.1)^2),1/3)))))))</f>
        <v>#VALUE!</v>
      </c>
      <c r="AE1597" t="e">
        <f t="shared" ca="1" si="710"/>
        <v>#VALUE!</v>
      </c>
      <c r="AF1597" t="e">
        <f t="shared" ca="1" si="711"/>
        <v>#VALUE!</v>
      </c>
      <c r="AI1597">
        <v>0</v>
      </c>
      <c r="AJ1597">
        <v>0</v>
      </c>
      <c r="AK1597">
        <f t="shared" si="712"/>
        <v>0</v>
      </c>
      <c r="AL1597" t="e">
        <f t="shared" ca="1" si="721"/>
        <v>#VALUE!</v>
      </c>
      <c r="AM1597" t="e">
        <f t="shared" ca="1" si="713"/>
        <v>#VALUE!</v>
      </c>
      <c r="AN1597" t="e">
        <f t="shared" ca="1" si="714"/>
        <v>#VALUE!</v>
      </c>
      <c r="AO1597" t="e">
        <f t="shared" ca="1" si="715"/>
        <v>#VALUE!</v>
      </c>
    </row>
    <row r="1598" spans="1:41" x14ac:dyDescent="0.35">
      <c r="A1598">
        <v>36</v>
      </c>
      <c r="B1598">
        <v>35</v>
      </c>
      <c r="C1598">
        <v>616065.73</v>
      </c>
      <c r="D1598">
        <v>3096586.8679999998</v>
      </c>
      <c r="E1598">
        <v>623.72799999999995</v>
      </c>
      <c r="F1598">
        <v>6.8209999999999997</v>
      </c>
      <c r="G1598">
        <v>0</v>
      </c>
      <c r="H1598" t="s">
        <v>186</v>
      </c>
      <c r="I1598">
        <v>0</v>
      </c>
      <c r="J1598">
        <f t="shared" si="716"/>
        <v>1</v>
      </c>
      <c r="K1598" t="e">
        <f t="shared" ca="1" si="717"/>
        <v>#VALUE!</v>
      </c>
      <c r="L1598" t="e">
        <f t="shared" ca="1" si="718"/>
        <v>#VALUE!</v>
      </c>
      <c r="M1598" t="e">
        <f t="shared" ca="1" si="695"/>
        <v>#VALUE!</v>
      </c>
      <c r="N1598" t="e">
        <f t="shared" ca="1" si="696"/>
        <v>#VALUE!</v>
      </c>
      <c r="O1598" t="e">
        <f t="shared" ca="1" si="697"/>
        <v>#VALUE!</v>
      </c>
      <c r="P1598" t="e">
        <f t="shared" ca="1" si="698"/>
        <v>#VALUE!</v>
      </c>
      <c r="Q1598" t="e">
        <f t="shared" ca="1" si="699"/>
        <v>#VALUE!</v>
      </c>
      <c r="R1598" t="e">
        <f t="shared" ca="1" si="700"/>
        <v>#VALUE!</v>
      </c>
      <c r="S1598" t="e">
        <f t="shared" ca="1" si="719"/>
        <v>#VALUE!</v>
      </c>
      <c r="T1598" t="e">
        <f t="shared" ca="1" si="720"/>
        <v>#VALUE!</v>
      </c>
      <c r="U1598" t="e">
        <f t="shared" ca="1" si="701"/>
        <v>#VALUE!</v>
      </c>
      <c r="V1598" t="e">
        <f t="shared" ca="1" si="702"/>
        <v>#VALUE!</v>
      </c>
      <c r="W1598" t="e">
        <f t="shared" ca="1" si="703"/>
        <v>#VALUE!</v>
      </c>
      <c r="X1598" t="e">
        <f t="shared" ca="1" si="704"/>
        <v>#VALUE!</v>
      </c>
      <c r="Y1598" t="e">
        <f t="shared" ca="1" si="705"/>
        <v>#VALUE!</v>
      </c>
      <c r="Z1598" t="e">
        <f t="shared" ca="1" si="706"/>
        <v>#VALUE!</v>
      </c>
      <c r="AA1598" t="e">
        <f t="shared" ca="1" si="707"/>
        <v>#VALUE!</v>
      </c>
      <c r="AB1598" t="e">
        <f t="shared" ca="1" si="708"/>
        <v>#VALUE!</v>
      </c>
      <c r="AC1598" t="e">
        <f t="shared" ca="1" si="709"/>
        <v>#VALUE!</v>
      </c>
      <c r="AD1598" t="e">
        <f ca="1">IF(V34="Supercritical",L1598,IF(V34="Subcritical",U1598,IF(AND(T1598=1,AC1598=1),IF((((F1598)*(L1598)^2)/2+(G1598)*(L1598)^3/3+(ABS(K1598)^2)/($I$5*MAX(((F1598)+(G1598)*(L1598))*(L1598),0.000001)))&gt;=(((F1598)*(U1598)^2)/2+(G1598)*(U1598)^3/3+(ABS(K1598)^2)/($I$5*MAX(((F1598)+(G1598)*(U1598))*(U1598),0.000001))),L1598,U1598),IF(T1598=1,L1598,IF(AC1598=1,U1598,MAX($D$16,POWER((ABS(K1598)^2)/($I$5*MAX(F1598,0.1)^2),1/3)))))))</f>
        <v>#VALUE!</v>
      </c>
      <c r="AE1598" t="e">
        <f t="shared" ca="1" si="710"/>
        <v>#VALUE!</v>
      </c>
      <c r="AF1598" t="e">
        <f t="shared" ca="1" si="711"/>
        <v>#VALUE!</v>
      </c>
      <c r="AI1598">
        <v>0</v>
      </c>
      <c r="AJ1598">
        <v>0</v>
      </c>
      <c r="AK1598">
        <f t="shared" si="712"/>
        <v>0</v>
      </c>
      <c r="AL1598" t="e">
        <f t="shared" ca="1" si="721"/>
        <v>#VALUE!</v>
      </c>
      <c r="AM1598" t="e">
        <f t="shared" ca="1" si="713"/>
        <v>#VALUE!</v>
      </c>
      <c r="AN1598" t="e">
        <f t="shared" ca="1" si="714"/>
        <v>#VALUE!</v>
      </c>
      <c r="AO1598" t="e">
        <f t="shared" ca="1" si="715"/>
        <v>#VALUE!</v>
      </c>
    </row>
    <row r="1599" spans="1:41" x14ac:dyDescent="0.35">
      <c r="A1599">
        <v>37</v>
      </c>
      <c r="B1599">
        <v>36</v>
      </c>
      <c r="C1599">
        <v>616065.73</v>
      </c>
      <c r="D1599">
        <v>3096585.8679999998</v>
      </c>
      <c r="E1599">
        <v>623.14469999999994</v>
      </c>
      <c r="F1599">
        <v>5.7830000000000004</v>
      </c>
      <c r="G1599">
        <v>0</v>
      </c>
      <c r="H1599" t="s">
        <v>186</v>
      </c>
      <c r="I1599">
        <v>0</v>
      </c>
      <c r="J1599">
        <f t="shared" si="716"/>
        <v>1</v>
      </c>
      <c r="K1599" t="e">
        <f t="shared" ca="1" si="717"/>
        <v>#VALUE!</v>
      </c>
      <c r="L1599" t="e">
        <f t="shared" ca="1" si="718"/>
        <v>#VALUE!</v>
      </c>
      <c r="M1599" t="e">
        <f t="shared" ca="1" si="695"/>
        <v>#VALUE!</v>
      </c>
      <c r="N1599" t="e">
        <f t="shared" ca="1" si="696"/>
        <v>#VALUE!</v>
      </c>
      <c r="O1599" t="e">
        <f t="shared" ca="1" si="697"/>
        <v>#VALUE!</v>
      </c>
      <c r="P1599" t="e">
        <f t="shared" ca="1" si="698"/>
        <v>#VALUE!</v>
      </c>
      <c r="Q1599" t="e">
        <f t="shared" ca="1" si="699"/>
        <v>#VALUE!</v>
      </c>
      <c r="R1599" t="e">
        <f t="shared" ca="1" si="700"/>
        <v>#VALUE!</v>
      </c>
      <c r="S1599" t="e">
        <f t="shared" ca="1" si="719"/>
        <v>#VALUE!</v>
      </c>
      <c r="T1599" t="e">
        <f t="shared" ca="1" si="720"/>
        <v>#VALUE!</v>
      </c>
      <c r="U1599" t="e">
        <f t="shared" ca="1" si="701"/>
        <v>#VALUE!</v>
      </c>
      <c r="V1599" t="e">
        <f t="shared" ca="1" si="702"/>
        <v>#VALUE!</v>
      </c>
      <c r="W1599" t="e">
        <f t="shared" ca="1" si="703"/>
        <v>#VALUE!</v>
      </c>
      <c r="X1599" t="e">
        <f t="shared" ca="1" si="704"/>
        <v>#VALUE!</v>
      </c>
      <c r="Y1599" t="e">
        <f t="shared" ca="1" si="705"/>
        <v>#VALUE!</v>
      </c>
      <c r="Z1599" t="e">
        <f t="shared" ca="1" si="706"/>
        <v>#VALUE!</v>
      </c>
      <c r="AA1599" t="e">
        <f t="shared" ca="1" si="707"/>
        <v>#VALUE!</v>
      </c>
      <c r="AB1599" t="e">
        <f t="shared" ca="1" si="708"/>
        <v>#VALUE!</v>
      </c>
      <c r="AC1599" t="e">
        <f t="shared" ca="1" si="709"/>
        <v>#VALUE!</v>
      </c>
      <c r="AD1599" t="e">
        <f ca="1">IF(V34="Supercritical",L1599,IF(V34="Subcritical",U1599,IF(AND(T1599=1,AC1599=1),IF((((F1599)*(L1599)^2)/2+(G1599)*(L1599)^3/3+(ABS(K1599)^2)/($I$5*MAX(((F1599)+(G1599)*(L1599))*(L1599),0.000001)))&gt;=(((F1599)*(U1599)^2)/2+(G1599)*(U1599)^3/3+(ABS(K1599)^2)/($I$5*MAX(((F1599)+(G1599)*(U1599))*(U1599),0.000001))),L1599,U1599),IF(T1599=1,L1599,IF(AC1599=1,U1599,MAX($D$16,POWER((ABS(K1599)^2)/($I$5*MAX(F1599,0.1)^2),1/3)))))))</f>
        <v>#VALUE!</v>
      </c>
      <c r="AE1599" t="e">
        <f t="shared" ca="1" si="710"/>
        <v>#VALUE!</v>
      </c>
      <c r="AF1599" t="e">
        <f t="shared" ca="1" si="711"/>
        <v>#VALUE!</v>
      </c>
      <c r="AI1599">
        <v>0</v>
      </c>
      <c r="AJ1599">
        <v>0</v>
      </c>
      <c r="AK1599">
        <f t="shared" si="712"/>
        <v>0</v>
      </c>
      <c r="AL1599" t="e">
        <f t="shared" ca="1" si="721"/>
        <v>#VALUE!</v>
      </c>
      <c r="AM1599" t="e">
        <f t="shared" ca="1" si="713"/>
        <v>#VALUE!</v>
      </c>
      <c r="AN1599" t="e">
        <f t="shared" ca="1" si="714"/>
        <v>#VALUE!</v>
      </c>
      <c r="AO1599" t="e">
        <f t="shared" ca="1" si="715"/>
        <v>#VALUE!</v>
      </c>
    </row>
    <row r="1600" spans="1:41" x14ac:dyDescent="0.35">
      <c r="A1600">
        <v>38</v>
      </c>
      <c r="B1600">
        <v>37</v>
      </c>
      <c r="C1600">
        <v>616065.73</v>
      </c>
      <c r="D1600">
        <v>3096584.8679999998</v>
      </c>
      <c r="E1600">
        <v>622.56129999999996</v>
      </c>
      <c r="F1600">
        <v>5.0049999999999999</v>
      </c>
      <c r="G1600">
        <v>0</v>
      </c>
      <c r="H1600" t="s">
        <v>186</v>
      </c>
      <c r="I1600">
        <v>0</v>
      </c>
      <c r="J1600">
        <f t="shared" si="716"/>
        <v>1</v>
      </c>
      <c r="K1600" t="e">
        <f t="shared" ca="1" si="717"/>
        <v>#VALUE!</v>
      </c>
      <c r="L1600" t="e">
        <f t="shared" ca="1" si="718"/>
        <v>#VALUE!</v>
      </c>
      <c r="M1600" t="e">
        <f t="shared" ca="1" si="695"/>
        <v>#VALUE!</v>
      </c>
      <c r="N1600" t="e">
        <f t="shared" ca="1" si="696"/>
        <v>#VALUE!</v>
      </c>
      <c r="O1600" t="e">
        <f t="shared" ca="1" si="697"/>
        <v>#VALUE!</v>
      </c>
      <c r="P1600" t="e">
        <f t="shared" ca="1" si="698"/>
        <v>#VALUE!</v>
      </c>
      <c r="Q1600" t="e">
        <f t="shared" ca="1" si="699"/>
        <v>#VALUE!</v>
      </c>
      <c r="R1600" t="e">
        <f t="shared" ca="1" si="700"/>
        <v>#VALUE!</v>
      </c>
      <c r="S1600" t="e">
        <f t="shared" ca="1" si="719"/>
        <v>#VALUE!</v>
      </c>
      <c r="T1600" t="e">
        <f t="shared" ca="1" si="720"/>
        <v>#VALUE!</v>
      </c>
      <c r="U1600" t="e">
        <f t="shared" ca="1" si="701"/>
        <v>#VALUE!</v>
      </c>
      <c r="V1600" t="e">
        <f t="shared" ca="1" si="702"/>
        <v>#VALUE!</v>
      </c>
      <c r="W1600" t="e">
        <f t="shared" ca="1" si="703"/>
        <v>#VALUE!</v>
      </c>
      <c r="X1600" t="e">
        <f t="shared" ca="1" si="704"/>
        <v>#VALUE!</v>
      </c>
      <c r="Y1600" t="e">
        <f t="shared" ca="1" si="705"/>
        <v>#VALUE!</v>
      </c>
      <c r="Z1600" t="e">
        <f t="shared" ca="1" si="706"/>
        <v>#VALUE!</v>
      </c>
      <c r="AA1600" t="e">
        <f t="shared" ca="1" si="707"/>
        <v>#VALUE!</v>
      </c>
      <c r="AB1600" t="e">
        <f t="shared" ca="1" si="708"/>
        <v>#VALUE!</v>
      </c>
      <c r="AC1600" t="e">
        <f t="shared" ca="1" si="709"/>
        <v>#VALUE!</v>
      </c>
      <c r="AD1600" t="e">
        <f ca="1">IF(V34="Supercritical",L1600,IF(V34="Subcritical",U1600,IF(AND(T1600=1,AC1600=1),IF((((F1600)*(L1600)^2)/2+(G1600)*(L1600)^3/3+(ABS(K1600)^2)/($I$5*MAX(((F1600)+(G1600)*(L1600))*(L1600),0.000001)))&gt;=(((F1600)*(U1600)^2)/2+(G1600)*(U1600)^3/3+(ABS(K1600)^2)/($I$5*MAX(((F1600)+(G1600)*(U1600))*(U1600),0.000001))),L1600,U1600),IF(T1600=1,L1600,IF(AC1600=1,U1600,MAX($D$16,POWER((ABS(K1600)^2)/($I$5*MAX(F1600,0.1)^2),1/3)))))))</f>
        <v>#VALUE!</v>
      </c>
      <c r="AE1600" t="e">
        <f t="shared" ca="1" si="710"/>
        <v>#VALUE!</v>
      </c>
      <c r="AF1600" t="e">
        <f t="shared" ca="1" si="711"/>
        <v>#VALUE!</v>
      </c>
      <c r="AI1600">
        <v>0</v>
      </c>
      <c r="AJ1600">
        <v>0</v>
      </c>
      <c r="AK1600">
        <f t="shared" si="712"/>
        <v>0</v>
      </c>
      <c r="AL1600" t="e">
        <f t="shared" ca="1" si="721"/>
        <v>#VALUE!</v>
      </c>
      <c r="AM1600" t="e">
        <f t="shared" ca="1" si="713"/>
        <v>#VALUE!</v>
      </c>
      <c r="AN1600" t="e">
        <f t="shared" ca="1" si="714"/>
        <v>#VALUE!</v>
      </c>
      <c r="AO1600" t="e">
        <f t="shared" ca="1" si="715"/>
        <v>#VALUE!</v>
      </c>
    </row>
    <row r="1601" spans="1:41" x14ac:dyDescent="0.35">
      <c r="A1601">
        <v>39</v>
      </c>
      <c r="B1601">
        <v>38</v>
      </c>
      <c r="C1601">
        <v>616065.73</v>
      </c>
      <c r="D1601">
        <v>3096583.8679999998</v>
      </c>
      <c r="E1601">
        <v>621.97799999999995</v>
      </c>
      <c r="F1601">
        <v>5.0049999999999999</v>
      </c>
      <c r="G1601">
        <v>0</v>
      </c>
      <c r="H1601" t="s">
        <v>186</v>
      </c>
      <c r="I1601">
        <v>0</v>
      </c>
      <c r="J1601">
        <f t="shared" si="716"/>
        <v>1</v>
      </c>
      <c r="K1601" t="e">
        <f t="shared" ca="1" si="717"/>
        <v>#VALUE!</v>
      </c>
      <c r="L1601" t="e">
        <f t="shared" ca="1" si="718"/>
        <v>#VALUE!</v>
      </c>
      <c r="M1601" t="e">
        <f t="shared" ca="1" si="695"/>
        <v>#VALUE!</v>
      </c>
      <c r="N1601" t="e">
        <f t="shared" ca="1" si="696"/>
        <v>#VALUE!</v>
      </c>
      <c r="O1601" t="e">
        <f t="shared" ca="1" si="697"/>
        <v>#VALUE!</v>
      </c>
      <c r="P1601" t="e">
        <f t="shared" ca="1" si="698"/>
        <v>#VALUE!</v>
      </c>
      <c r="Q1601" t="e">
        <f t="shared" ca="1" si="699"/>
        <v>#VALUE!</v>
      </c>
      <c r="R1601" t="e">
        <f t="shared" ca="1" si="700"/>
        <v>#VALUE!</v>
      </c>
      <c r="S1601" t="e">
        <f t="shared" ca="1" si="719"/>
        <v>#VALUE!</v>
      </c>
      <c r="T1601" t="e">
        <f t="shared" ca="1" si="720"/>
        <v>#VALUE!</v>
      </c>
      <c r="U1601">
        <f>MAX($D$16,(P7)-E1601)</f>
        <v>13.522000000000048</v>
      </c>
      <c r="V1601">
        <f t="shared" si="702"/>
        <v>67.677610000000243</v>
      </c>
      <c r="W1601">
        <f t="shared" si="703"/>
        <v>2.1116917844550542</v>
      </c>
      <c r="X1601" t="e">
        <f t="shared" ca="1" si="704"/>
        <v>#VALUE!</v>
      </c>
      <c r="Y1601">
        <f t="shared" si="705"/>
        <v>635.5</v>
      </c>
      <c r="Z1601" t="e">
        <f t="shared" ca="1" si="706"/>
        <v>#VALUE!</v>
      </c>
      <c r="AA1601" t="e">
        <f t="shared" ca="1" si="707"/>
        <v>#VALUE!</v>
      </c>
      <c r="AB1601">
        <v>0</v>
      </c>
      <c r="AC1601">
        <v>1</v>
      </c>
      <c r="AD1601" t="e">
        <f ca="1">IF(V34="Supercritical",L1601,IF(V34="Subcritical",U1601,IF(AND(T1601=1,AC1601=1),IF((((F1601)*(L1601)^2)/2+(G1601)*(L1601)^3/3+(ABS(K1601)^2)/($I$5*MAX(((F1601)+(G1601)*(L1601))*(L1601),0.000001)))&gt;=(((F1601)*(U1601)^2)/2+(G1601)*(U1601)^3/3+(ABS(K1601)^2)/($I$5*MAX(((F1601)+(G1601)*(U1601))*(U1601),0.000001))),L1601,U1601),IF(T1601=1,L1601,IF(AC1601=1,U1601,MAX($D$16,POWER((ABS(K1601)^2)/($I$5*MAX(F1601,0.1)^2),1/3)))))))</f>
        <v>#VALUE!</v>
      </c>
      <c r="AE1601" t="e">
        <f t="shared" ca="1" si="710"/>
        <v>#VALUE!</v>
      </c>
      <c r="AF1601" t="e">
        <f t="shared" ca="1" si="711"/>
        <v>#VALUE!</v>
      </c>
      <c r="AI1601">
        <v>0</v>
      </c>
      <c r="AJ1601">
        <v>0</v>
      </c>
      <c r="AK1601">
        <f t="shared" si="712"/>
        <v>0</v>
      </c>
      <c r="AL1601" t="e">
        <f t="shared" ca="1" si="721"/>
        <v>#VALUE!</v>
      </c>
      <c r="AM1601" t="e">
        <f t="shared" ca="1" si="713"/>
        <v>#VALUE!</v>
      </c>
      <c r="AN1601" t="e">
        <f t="shared" ca="1" si="714"/>
        <v>#VALUE!</v>
      </c>
      <c r="AO1601" t="e">
        <f t="shared" ca="1" si="715"/>
        <v>#VALUE!</v>
      </c>
    </row>
    <row r="1604" spans="1:41" x14ac:dyDescent="0.35">
      <c r="A1604" t="s">
        <v>191</v>
      </c>
      <c r="E1604">
        <f>E35</f>
        <v>34.930999999999997</v>
      </c>
      <c r="F1604" t="s">
        <v>141</v>
      </c>
      <c r="H1604">
        <f>N35</f>
        <v>51</v>
      </c>
      <c r="I1604" t="s">
        <v>13</v>
      </c>
      <c r="K1604" t="str">
        <f>V35</f>
        <v>Mixed</v>
      </c>
      <c r="L1604" t="s">
        <v>142</v>
      </c>
    </row>
    <row r="1605" spans="1:41" x14ac:dyDescent="0.35">
      <c r="A1605" t="s">
        <v>143</v>
      </c>
      <c r="B1605" t="s">
        <v>144</v>
      </c>
      <c r="C1605" t="s">
        <v>145</v>
      </c>
      <c r="D1605" t="s">
        <v>146</v>
      </c>
      <c r="E1605" t="s">
        <v>147</v>
      </c>
      <c r="F1605" t="s">
        <v>148</v>
      </c>
      <c r="G1605" t="s">
        <v>149</v>
      </c>
      <c r="H1605" t="s">
        <v>9</v>
      </c>
      <c r="I1605" t="s">
        <v>150</v>
      </c>
      <c r="J1605" t="s">
        <v>151</v>
      </c>
      <c r="K1605" t="s">
        <v>152</v>
      </c>
      <c r="L1605" t="s">
        <v>153</v>
      </c>
      <c r="M1605" t="s">
        <v>154</v>
      </c>
      <c r="N1605" t="s">
        <v>155</v>
      </c>
      <c r="O1605" t="s">
        <v>156</v>
      </c>
      <c r="P1605" t="s">
        <v>157</v>
      </c>
      <c r="Q1605" t="s">
        <v>158</v>
      </c>
      <c r="R1605" t="s">
        <v>159</v>
      </c>
      <c r="S1605" t="s">
        <v>160</v>
      </c>
      <c r="T1605" t="s">
        <v>161</v>
      </c>
      <c r="U1605" t="s">
        <v>162</v>
      </c>
      <c r="V1605" t="s">
        <v>163</v>
      </c>
      <c r="W1605" t="s">
        <v>164</v>
      </c>
      <c r="X1605" t="s">
        <v>165</v>
      </c>
      <c r="Y1605" t="s">
        <v>166</v>
      </c>
      <c r="Z1605" t="s">
        <v>167</v>
      </c>
      <c r="AA1605" t="s">
        <v>168</v>
      </c>
      <c r="AB1605" t="s">
        <v>169</v>
      </c>
      <c r="AC1605" t="s">
        <v>170</v>
      </c>
      <c r="AD1605" t="s">
        <v>171</v>
      </c>
      <c r="AE1605" t="s">
        <v>172</v>
      </c>
      <c r="AF1605" t="s">
        <v>173</v>
      </c>
      <c r="AG1605" t="s">
        <v>174</v>
      </c>
      <c r="AH1605" t="s">
        <v>175</v>
      </c>
      <c r="AI1605" t="s">
        <v>176</v>
      </c>
      <c r="AJ1605" t="s">
        <v>177</v>
      </c>
      <c r="AK1605" t="s">
        <v>178</v>
      </c>
      <c r="AL1605" t="s">
        <v>179</v>
      </c>
      <c r="AM1605" t="s">
        <v>180</v>
      </c>
      <c r="AN1605" t="s">
        <v>181</v>
      </c>
      <c r="AO1605" t="s">
        <v>182</v>
      </c>
    </row>
    <row r="1606" spans="1:41" x14ac:dyDescent="0.35">
      <c r="A1606" t="s">
        <v>22</v>
      </c>
      <c r="B1606" t="s">
        <v>52</v>
      </c>
      <c r="C1606" t="s">
        <v>52</v>
      </c>
      <c r="D1606" t="s">
        <v>52</v>
      </c>
      <c r="E1606" t="s">
        <v>52</v>
      </c>
      <c r="F1606" t="s">
        <v>52</v>
      </c>
      <c r="G1606" t="s">
        <v>22</v>
      </c>
      <c r="H1606" t="s">
        <v>22</v>
      </c>
      <c r="I1606" t="s">
        <v>183</v>
      </c>
      <c r="J1606" t="s">
        <v>52</v>
      </c>
      <c r="K1606" t="s">
        <v>13</v>
      </c>
      <c r="L1606" t="s">
        <v>52</v>
      </c>
      <c r="M1606" t="s">
        <v>184</v>
      </c>
      <c r="N1606" t="s">
        <v>52</v>
      </c>
      <c r="O1606" t="s">
        <v>185</v>
      </c>
      <c r="P1606" t="s">
        <v>52</v>
      </c>
      <c r="Q1606" t="s">
        <v>52</v>
      </c>
      <c r="R1606" t="s">
        <v>22</v>
      </c>
      <c r="S1606" t="s">
        <v>52</v>
      </c>
      <c r="T1606" t="s">
        <v>22</v>
      </c>
      <c r="U1606" t="s">
        <v>52</v>
      </c>
      <c r="V1606" t="s">
        <v>184</v>
      </c>
      <c r="W1606" t="s">
        <v>52</v>
      </c>
      <c r="X1606" t="s">
        <v>185</v>
      </c>
      <c r="Y1606" t="s">
        <v>52</v>
      </c>
      <c r="Z1606" t="s">
        <v>52</v>
      </c>
      <c r="AA1606" t="s">
        <v>22</v>
      </c>
      <c r="AB1606" t="s">
        <v>52</v>
      </c>
      <c r="AC1606" t="s">
        <v>22</v>
      </c>
      <c r="AD1606" t="s">
        <v>52</v>
      </c>
      <c r="AE1606" t="s">
        <v>52</v>
      </c>
      <c r="AF1606" t="s">
        <v>52</v>
      </c>
      <c r="AG1606" t="s">
        <v>52</v>
      </c>
      <c r="AH1606" t="s">
        <v>52</v>
      </c>
      <c r="AI1606" t="s">
        <v>13</v>
      </c>
      <c r="AJ1606" t="s">
        <v>13</v>
      </c>
      <c r="AK1606" t="s">
        <v>13</v>
      </c>
      <c r="AL1606" t="s">
        <v>13</v>
      </c>
      <c r="AM1606" t="s">
        <v>22</v>
      </c>
      <c r="AN1606" t="s">
        <v>22</v>
      </c>
      <c r="AO1606" t="s">
        <v>22</v>
      </c>
    </row>
    <row r="1607" spans="1:41" x14ac:dyDescent="0.35">
      <c r="A1607">
        <v>1</v>
      </c>
      <c r="B1607">
        <v>0</v>
      </c>
      <c r="C1607">
        <v>616065.73</v>
      </c>
      <c r="D1607">
        <v>3096621.8679999998</v>
      </c>
      <c r="E1607">
        <v>631.5</v>
      </c>
      <c r="F1607">
        <v>10.206</v>
      </c>
      <c r="G1607">
        <v>0</v>
      </c>
      <c r="H1607" t="s">
        <v>187</v>
      </c>
      <c r="I1607">
        <v>0</v>
      </c>
      <c r="J1607">
        <v>0</v>
      </c>
      <c r="K1607">
        <f>N35</f>
        <v>51</v>
      </c>
      <c r="L1607">
        <f>MAX($D$16,($I$14)-E1607)</f>
        <v>51800.64183766341</v>
      </c>
      <c r="M1607">
        <f t="shared" ref="M1607:M1642" si="723">((F1607)+(G1607)*(L1607))*(L1607)</f>
        <v>528677.35059519275</v>
      </c>
      <c r="N1607">
        <f t="shared" ref="N1607:N1642" si="724">(((F1607)+(G1607)*(L1607))*(L1607))/MAX((F1607)+2*(L1607)*SQRT(1+(G1607)^2),0.000001)</f>
        <v>5.1024973412875037</v>
      </c>
      <c r="O1607">
        <f t="shared" ref="O1607:O1642" si="725">ABS(K1607)/MAX(((F1607)+(G1607)*(L1607))*(L1607),0.000001)</f>
        <v>9.6467155142136222E-5</v>
      </c>
      <c r="P1607">
        <f t="shared" ref="P1607:P1642" si="726">E1607+L1607</f>
        <v>52432.14183766341</v>
      </c>
      <c r="Q1607">
        <f t="shared" ref="Q1607:Q1642" si="727">P1607+((ABS(K1607)/MAX(((F1607)+(G1607)*(L1607))*(L1607),0.000001))^2)/(2*$I$5)</f>
        <v>52432.141837663883</v>
      </c>
      <c r="R1607">
        <f t="shared" ref="R1607:R1642" si="728">((ABS(K1607)*$D$6)/(MAX(((F1607)+(G1607)*(L1607))*(L1607),0.000001)*MAX(((((F1607)+(G1607)*(L1607))*(L1607))/MAX((F1607)+2*(L1607)*SQRT(1+(G1607)^2),0.000001))^(2/3),0.000001)))^2</f>
        <v>2.3835873817251918E-13</v>
      </c>
      <c r="S1607">
        <v>0</v>
      </c>
      <c r="T1607">
        <v>1</v>
      </c>
      <c r="U1607" t="e">
        <f t="shared" ref="U1607:U1641" ca="1" si="729">IF($D$20=0,U1608,IF(AC1608=0,U1608,IF(U1607=0,U1608,IF(ABS(AB1607)&gt;$D$19,MAX($D$16,U1607+((AB1607)*$D$18*IF((ABS(ABS(K1607)/MAX(((F1607)+(G1607)*(U1607))*(U1607),0.000001))/SQRT($I$5*MAX((((F1607)+(G1607)*(U1607))*(U1607))/MAX((F1607)+2*(G1607)*(U1607),0.000001),0.000001)))&lt;1,1,-1))),U1607))))</f>
        <v>#VALUE!</v>
      </c>
      <c r="V1607" t="e">
        <f t="shared" ref="V1607:V1642" ca="1" si="730">((F1607)+(G1607)*(U1607))*(U1607)</f>
        <v>#VALUE!</v>
      </c>
      <c r="W1607" t="e">
        <f t="shared" ref="W1607:W1642" ca="1" si="731">(((F1607)+(G1607)*(U1607))*(U1607))/MAX((F1607)+2*(U1607)*SQRT(1+(G1607)^2),0.000001)</f>
        <v>#VALUE!</v>
      </c>
      <c r="X1607" t="e">
        <f t="shared" ref="X1607:X1642" ca="1" si="732">ABS(K1607)/MAX(((F1607)+(G1607)*(U1607))*(U1607),0.000001)</f>
        <v>#VALUE!</v>
      </c>
      <c r="Y1607" t="e">
        <f t="shared" ref="Y1607:Y1642" ca="1" si="733">E1607+U1607</f>
        <v>#VALUE!</v>
      </c>
      <c r="Z1607" t="e">
        <f t="shared" ref="Z1607:Z1642" ca="1" si="734">Y1607+((ABS(K1607)/MAX(((F1607)+(G1607)*(U1607))*(U1607),0.000001))^2)/(2*$I$5)</f>
        <v>#VALUE!</v>
      </c>
      <c r="AA1607" t="e">
        <f t="shared" ref="AA1607:AA1642" ca="1" si="735">((ABS(K1607)*$D$6)/(MAX(((F1607)+(G1607)*(U1607))*(U1607),0.000001)*MAX(((((F1607)+(G1607)*(U1607))*(U1607))/MAX((F1607)+2*(U1607)*SQRT(1+(G1607)^2),0.000001))^(2/3),0.000001)))^2</f>
        <v>#VALUE!</v>
      </c>
      <c r="AB1607" t="e">
        <f t="shared" ref="AB1607:AB1641" ca="1" si="736">Z1608+(((AA1607+AA1608)/2)*J1608)+(IF(X1607&gt;X1608,$D$8*((X1607^2-X1608^2)/(2*$I$5)),$D$9*((X1608^2-X1607^2)/(2*$I$5)))+($D$10*(ABS(I1608)/90)*(MAX(X1607^2,X1608^2)/(2*$I$5))))-Z1607</f>
        <v>#VALUE!</v>
      </c>
      <c r="AC1607" t="e">
        <f t="shared" ref="AC1607:AC1641" ca="1" si="737">IF(ABS(AB1607)&lt;$D$19,1,0)</f>
        <v>#VALUE!</v>
      </c>
      <c r="AD1607" t="e">
        <f ca="1">IF(V35="Supercritical",L1607,IF(V35="Subcritical",U1607,IF(AND(T1607=1,AC1607=1),IF((((F1607)*(L1607)^2)/2+(G1607)*(L1607)^3/3+(ABS(K1607)^2)/($I$5*MAX(((F1607)+(G1607)*(L1607))*(L1607),0.000001)))&gt;=(((F1607)*(U1607)^2)/2+(G1607)*(U1607)^3/3+(ABS(K1607)^2)/($I$5*MAX(((F1607)+(G1607)*(U1607))*(U1607),0.000001))),L1607,U1607),IF(T1607=1,L1607,IF(AC1607=1,U1607,MAX($D$16,POWER((ABS(K1607)^2)/($I$5*MAX(F1607,0.1)^2),1/3)))))))</f>
        <v>#VALUE!</v>
      </c>
      <c r="AE1607" t="e">
        <f t="shared" ref="AE1607:AE1642" ca="1" si="738">E1607+AD1607</f>
        <v>#VALUE!</v>
      </c>
      <c r="AF1607" t="e">
        <f t="shared" ref="AF1607:AF1642" ca="1" si="739">AE1607+((ABS(K1607)/MAX(((F1607)+(G1607)*(AD1607))*(AD1607),0.000001))^2)/(2*$I$5)</f>
        <v>#VALUE!</v>
      </c>
      <c r="AI1607">
        <v>0</v>
      </c>
      <c r="AJ1607">
        <v>0</v>
      </c>
      <c r="AK1607">
        <f t="shared" ref="AK1607:AK1641" si="740">AI1607+AJ1607</f>
        <v>0</v>
      </c>
      <c r="AL1607">
        <f>AK1607</f>
        <v>0</v>
      </c>
      <c r="AM1607" t="e">
        <f t="shared" ref="AM1607:AM1642" ca="1" si="741">ABS(ABS(K1607)/MAX(((F1607)+(G1607)*(AD1607))*(AD1607),0.000001))/SQRT($I$5*MAX((((F1607)+(G1607)*(AD1607))*(AD1607))/MAX((F1607)+2*(G1607)*(AD1607),0.000001),0.000001))</f>
        <v>#VALUE!</v>
      </c>
      <c r="AN1607" t="e">
        <f t="shared" ref="AN1607:AN1642" ca="1" si="742">IF(AM1607&lt;1,"Subcritical","Supercritical")</f>
        <v>#VALUE!</v>
      </c>
      <c r="AO1607" t="e">
        <f t="shared" ref="AO1607:AO1642" ca="1" si="743">((ABS(K1607)*$D$6)/(MAX(((F1607)+(G1607)*(AD1607))*(AD1607),0.000001)*MAX(((((F1607)+(G1607)*(AD1607))*(AD1607))/MAX((F1607)+2*(AD1607)*SQRT(1+(G1607)^2),0.000001))^(2/3),0.000001)))^2</f>
        <v>#VALUE!</v>
      </c>
    </row>
    <row r="1608" spans="1:41" x14ac:dyDescent="0.35">
      <c r="A1608">
        <v>2</v>
      </c>
      <c r="B1608">
        <v>1</v>
      </c>
      <c r="C1608">
        <v>616066.68200000003</v>
      </c>
      <c r="D1608">
        <v>3096621.5619999999</v>
      </c>
      <c r="E1608">
        <v>631.5</v>
      </c>
      <c r="F1608">
        <v>12.125999999999999</v>
      </c>
      <c r="G1608">
        <v>0</v>
      </c>
      <c r="H1608" t="s">
        <v>187</v>
      </c>
      <c r="I1608">
        <v>7.1999999999999995E-2</v>
      </c>
      <c r="J1608">
        <f t="shared" ref="J1608:J1642" si="744">B1608-B1607</f>
        <v>1</v>
      </c>
      <c r="K1608">
        <f t="shared" ref="K1608:K1642" si="745">MAX(0,K1607-AK1607)</f>
        <v>51</v>
      </c>
      <c r="L1608">
        <f t="shared" ref="L1608:L1642" ca="1" si="746">IF($D$20=0,L1607,IF(T1607=0,L1607,IF(L1608=0,L1607,IF(ABS(S1608)&gt;$D$19,MAX($D$16,L1608+((S1608)*$D$18*IF((ABS(ABS(K1608)/MAX(((F1608)+(G1608)*(L1608))*(L1608),0.000001))/SQRT($I$5*MAX((((F1608)+(G1608)*(L1608))*(L1608))/MAX((F1608)+2*(G1608)*(L1608),0.000001),0.000001)))&lt;1,1,-1))),L1608))))</f>
        <v>51800.64183766341</v>
      </c>
      <c r="M1608">
        <f t="shared" ca="1" si="723"/>
        <v>628134.5829235065</v>
      </c>
      <c r="N1608">
        <f t="shared" ca="1" si="724"/>
        <v>6.062290439932144</v>
      </c>
      <c r="O1608">
        <f t="shared" ca="1" si="725"/>
        <v>8.1192791141402123E-5</v>
      </c>
      <c r="P1608">
        <f t="shared" ca="1" si="726"/>
        <v>52432.14183766341</v>
      </c>
      <c r="Q1608">
        <f t="shared" ca="1" si="727"/>
        <v>52432.141837663745</v>
      </c>
      <c r="R1608">
        <f t="shared" ca="1" si="728"/>
        <v>1.3418433194210462E-13</v>
      </c>
      <c r="S1608">
        <f t="shared" ref="S1608:S1642" ca="1" si="747">Q1607-(((R1607+R1608)/2)*J1608)-(IF(O1607&gt;O1608,$D$8*((O1607^2-O1608^2)/(2*$I$5)),$D$9*((O1608^2-O1607^2)/(2*$I$5)))+($D$10*(ABS(I1608)/90)*(MAX(O1607^2,O1608^2)/(2*$I$5))))-Q1608</f>
        <v>9.4587448984384537E-11</v>
      </c>
      <c r="T1608">
        <f t="shared" ref="T1608:T1642" ca="1" si="748">IF(ABS(S1608)&lt;$D$19,1,0)</f>
        <v>1</v>
      </c>
      <c r="U1608" t="e">
        <f t="shared" ca="1" si="729"/>
        <v>#VALUE!</v>
      </c>
      <c r="V1608" t="e">
        <f t="shared" ca="1" si="730"/>
        <v>#VALUE!</v>
      </c>
      <c r="W1608" t="e">
        <f t="shared" ca="1" si="731"/>
        <v>#VALUE!</v>
      </c>
      <c r="X1608" t="e">
        <f t="shared" ca="1" si="732"/>
        <v>#VALUE!</v>
      </c>
      <c r="Y1608" t="e">
        <f t="shared" ca="1" si="733"/>
        <v>#VALUE!</v>
      </c>
      <c r="Z1608" t="e">
        <f t="shared" ca="1" si="734"/>
        <v>#VALUE!</v>
      </c>
      <c r="AA1608" t="e">
        <f t="shared" ca="1" si="735"/>
        <v>#VALUE!</v>
      </c>
      <c r="AB1608" t="e">
        <f t="shared" ca="1" si="736"/>
        <v>#VALUE!</v>
      </c>
      <c r="AC1608" t="e">
        <f t="shared" ca="1" si="737"/>
        <v>#VALUE!</v>
      </c>
      <c r="AD1608" t="e">
        <f ca="1">IF(V35="Supercritical",L1608,IF(V35="Subcritical",U1608,IF(AND(T1608=1,AC1608=1),IF((((F1608)*(L1608)^2)/2+(G1608)*(L1608)^3/3+(ABS(K1608)^2)/($I$5*MAX(((F1608)+(G1608)*(L1608))*(L1608),0.000001)))&gt;=(((F1608)*(U1608)^2)/2+(G1608)*(U1608)^3/3+(ABS(K1608)^2)/($I$5*MAX(((F1608)+(G1608)*(U1608))*(U1608),0.000001))),L1608,U1608),IF(T1608=1,L1608,IF(AC1608=1,U1608,MAX($D$16,POWER((ABS(K1608)^2)/($I$5*MAX(F1608,0.1)^2),1/3)))))))</f>
        <v>#VALUE!</v>
      </c>
      <c r="AE1608" t="e">
        <f t="shared" ca="1" si="738"/>
        <v>#VALUE!</v>
      </c>
      <c r="AF1608" t="e">
        <f t="shared" ca="1" si="739"/>
        <v>#VALUE!</v>
      </c>
      <c r="AI1608">
        <v>0</v>
      </c>
      <c r="AJ1608">
        <v>0</v>
      </c>
      <c r="AK1608">
        <f t="shared" si="740"/>
        <v>0</v>
      </c>
      <c r="AL1608">
        <f t="shared" ref="AL1608:AL1642" si="749">AL1607+AK1608</f>
        <v>0</v>
      </c>
      <c r="AM1608" t="e">
        <f t="shared" ca="1" si="741"/>
        <v>#VALUE!</v>
      </c>
      <c r="AN1608" t="e">
        <f t="shared" ca="1" si="742"/>
        <v>#VALUE!</v>
      </c>
      <c r="AO1608" t="e">
        <f t="shared" ca="1" si="743"/>
        <v>#VALUE!</v>
      </c>
    </row>
    <row r="1609" spans="1:41" x14ac:dyDescent="0.35">
      <c r="A1609">
        <v>3</v>
      </c>
      <c r="B1609">
        <v>2.0009999999999999</v>
      </c>
      <c r="C1609">
        <v>616067.63500000001</v>
      </c>
      <c r="D1609">
        <v>3096621.2570000002</v>
      </c>
      <c r="E1609">
        <v>631.5</v>
      </c>
      <c r="F1609">
        <v>13.644</v>
      </c>
      <c r="G1609">
        <v>0</v>
      </c>
      <c r="H1609" t="s">
        <v>187</v>
      </c>
      <c r="I1609">
        <v>7.1999999999999995E-2</v>
      </c>
      <c r="J1609">
        <f t="shared" si="744"/>
        <v>1.0009999999999999</v>
      </c>
      <c r="K1609">
        <f t="shared" si="745"/>
        <v>51</v>
      </c>
      <c r="L1609">
        <f t="shared" ca="1" si="746"/>
        <v>51800.64183766341</v>
      </c>
      <c r="M1609">
        <f t="shared" ca="1" si="723"/>
        <v>706767.95723307959</v>
      </c>
      <c r="N1609">
        <f t="shared" ca="1" si="724"/>
        <v>6.8211016799404458</v>
      </c>
      <c r="O1609">
        <f t="shared" ca="1" si="725"/>
        <v>7.2159468292336723E-5</v>
      </c>
      <c r="P1609">
        <f t="shared" ca="1" si="726"/>
        <v>52432.14183766341</v>
      </c>
      <c r="Q1609">
        <f t="shared" ca="1" si="727"/>
        <v>52432.141837663672</v>
      </c>
      <c r="R1609">
        <f t="shared" ca="1" si="728"/>
        <v>9.0565572271117661E-14</v>
      </c>
      <c r="S1609">
        <f t="shared" ca="1" si="747"/>
        <v>0</v>
      </c>
      <c r="T1609">
        <f t="shared" ca="1" si="748"/>
        <v>1</v>
      </c>
      <c r="U1609" t="e">
        <f t="shared" ca="1" si="729"/>
        <v>#VALUE!</v>
      </c>
      <c r="V1609" t="e">
        <f t="shared" ca="1" si="730"/>
        <v>#VALUE!</v>
      </c>
      <c r="W1609" t="e">
        <f t="shared" ca="1" si="731"/>
        <v>#VALUE!</v>
      </c>
      <c r="X1609" t="e">
        <f t="shared" ca="1" si="732"/>
        <v>#VALUE!</v>
      </c>
      <c r="Y1609" t="e">
        <f t="shared" ca="1" si="733"/>
        <v>#VALUE!</v>
      </c>
      <c r="Z1609" t="e">
        <f t="shared" ca="1" si="734"/>
        <v>#VALUE!</v>
      </c>
      <c r="AA1609" t="e">
        <f t="shared" ca="1" si="735"/>
        <v>#VALUE!</v>
      </c>
      <c r="AB1609" t="e">
        <f t="shared" ca="1" si="736"/>
        <v>#VALUE!</v>
      </c>
      <c r="AC1609" t="e">
        <f t="shared" ca="1" si="737"/>
        <v>#VALUE!</v>
      </c>
      <c r="AD1609" t="e">
        <f ca="1">IF(V35="Supercritical",L1609,IF(V35="Subcritical",U1609,IF(AND(T1609=1,AC1609=1),IF((((F1609)*(L1609)^2)/2+(G1609)*(L1609)^3/3+(ABS(K1609)^2)/($I$5*MAX(((F1609)+(G1609)*(L1609))*(L1609),0.000001)))&gt;=(((F1609)*(U1609)^2)/2+(G1609)*(U1609)^3/3+(ABS(K1609)^2)/($I$5*MAX(((F1609)+(G1609)*(U1609))*(U1609),0.000001))),L1609,U1609),IF(T1609=1,L1609,IF(AC1609=1,U1609,MAX($D$16,POWER((ABS(K1609)^2)/($I$5*MAX(F1609,0.1)^2),1/3)))))))</f>
        <v>#VALUE!</v>
      </c>
      <c r="AE1609" t="e">
        <f t="shared" ca="1" si="738"/>
        <v>#VALUE!</v>
      </c>
      <c r="AF1609" t="e">
        <f t="shared" ca="1" si="739"/>
        <v>#VALUE!</v>
      </c>
      <c r="AI1609">
        <v>0</v>
      </c>
      <c r="AJ1609">
        <v>0</v>
      </c>
      <c r="AK1609">
        <f t="shared" si="740"/>
        <v>0</v>
      </c>
      <c r="AL1609">
        <f t="shared" si="749"/>
        <v>0</v>
      </c>
      <c r="AM1609" t="e">
        <f t="shared" ca="1" si="741"/>
        <v>#VALUE!</v>
      </c>
      <c r="AN1609" t="e">
        <f t="shared" ca="1" si="742"/>
        <v>#VALUE!</v>
      </c>
      <c r="AO1609" t="e">
        <f t="shared" ca="1" si="743"/>
        <v>#VALUE!</v>
      </c>
    </row>
    <row r="1610" spans="1:41" x14ac:dyDescent="0.35">
      <c r="A1610">
        <v>4</v>
      </c>
      <c r="B1610">
        <v>3.0009999999999999</v>
      </c>
      <c r="C1610">
        <v>616068.58700000006</v>
      </c>
      <c r="D1610">
        <v>3096620.9509999999</v>
      </c>
      <c r="E1610">
        <v>631.5</v>
      </c>
      <c r="F1610">
        <v>15</v>
      </c>
      <c r="G1610">
        <v>0</v>
      </c>
      <c r="H1610" t="s">
        <v>187</v>
      </c>
      <c r="I1610">
        <v>5.5E-2</v>
      </c>
      <c r="J1610">
        <f t="shared" si="744"/>
        <v>1</v>
      </c>
      <c r="K1610">
        <f t="shared" si="745"/>
        <v>51</v>
      </c>
      <c r="L1610">
        <f t="shared" ca="1" si="746"/>
        <v>51800.64183766341</v>
      </c>
      <c r="M1610">
        <f t="shared" ca="1" si="723"/>
        <v>777009.6275649512</v>
      </c>
      <c r="N1610">
        <f t="shared" ca="1" si="724"/>
        <v>7.4989142633183752</v>
      </c>
      <c r="O1610">
        <f t="shared" ca="1" si="725"/>
        <v>6.563625235870947E-5</v>
      </c>
      <c r="P1610">
        <f t="shared" ca="1" si="726"/>
        <v>52432.14183766341</v>
      </c>
      <c r="Q1610">
        <f t="shared" ca="1" si="727"/>
        <v>52432.141837663628</v>
      </c>
      <c r="R1610">
        <f t="shared" ca="1" si="728"/>
        <v>6.6039770097239456E-14</v>
      </c>
      <c r="S1610">
        <f t="shared" ca="1" si="747"/>
        <v>0</v>
      </c>
      <c r="T1610">
        <f t="shared" ca="1" si="748"/>
        <v>1</v>
      </c>
      <c r="U1610" t="e">
        <f t="shared" ca="1" si="729"/>
        <v>#VALUE!</v>
      </c>
      <c r="V1610" t="e">
        <f t="shared" ca="1" si="730"/>
        <v>#VALUE!</v>
      </c>
      <c r="W1610" t="e">
        <f t="shared" ca="1" si="731"/>
        <v>#VALUE!</v>
      </c>
      <c r="X1610" t="e">
        <f t="shared" ca="1" si="732"/>
        <v>#VALUE!</v>
      </c>
      <c r="Y1610" t="e">
        <f t="shared" ca="1" si="733"/>
        <v>#VALUE!</v>
      </c>
      <c r="Z1610" t="e">
        <f t="shared" ca="1" si="734"/>
        <v>#VALUE!</v>
      </c>
      <c r="AA1610" t="e">
        <f t="shared" ca="1" si="735"/>
        <v>#VALUE!</v>
      </c>
      <c r="AB1610" t="e">
        <f t="shared" ca="1" si="736"/>
        <v>#VALUE!</v>
      </c>
      <c r="AC1610" t="e">
        <f t="shared" ca="1" si="737"/>
        <v>#VALUE!</v>
      </c>
      <c r="AD1610" t="e">
        <f ca="1">IF(V35="Supercritical",L1610,IF(V35="Subcritical",U1610,IF(AND(T1610=1,AC1610=1),IF((((F1610)*(L1610)^2)/2+(G1610)*(L1610)^3/3+(ABS(K1610)^2)/($I$5*MAX(((F1610)+(G1610)*(L1610))*(L1610),0.000001)))&gt;=(((F1610)*(U1610)^2)/2+(G1610)*(U1610)^3/3+(ABS(K1610)^2)/($I$5*MAX(((F1610)+(G1610)*(U1610))*(U1610),0.000001))),L1610,U1610),IF(T1610=1,L1610,IF(AC1610=1,U1610,MAX($D$16,POWER((ABS(K1610)^2)/($I$5*MAX(F1610,0.1)^2),1/3)))))))</f>
        <v>#VALUE!</v>
      </c>
      <c r="AE1610" t="e">
        <f t="shared" ca="1" si="738"/>
        <v>#VALUE!</v>
      </c>
      <c r="AF1610" t="e">
        <f t="shared" ca="1" si="739"/>
        <v>#VALUE!</v>
      </c>
      <c r="AI1610">
        <v>0</v>
      </c>
      <c r="AJ1610">
        <v>0</v>
      </c>
      <c r="AK1610">
        <f t="shared" si="740"/>
        <v>0</v>
      </c>
      <c r="AL1610">
        <f t="shared" si="749"/>
        <v>0</v>
      </c>
      <c r="AM1610" t="e">
        <f t="shared" ca="1" si="741"/>
        <v>#VALUE!</v>
      </c>
      <c r="AN1610" t="e">
        <f t="shared" ca="1" si="742"/>
        <v>#VALUE!</v>
      </c>
      <c r="AO1610" t="e">
        <f t="shared" ca="1" si="743"/>
        <v>#VALUE!</v>
      </c>
    </row>
    <row r="1611" spans="1:41" x14ac:dyDescent="0.35">
      <c r="A1611">
        <v>5</v>
      </c>
      <c r="B1611">
        <v>4</v>
      </c>
      <c r="C1611">
        <v>616069.53899999999</v>
      </c>
      <c r="D1611">
        <v>3096620.6460000002</v>
      </c>
      <c r="E1611">
        <v>631.5</v>
      </c>
      <c r="F1611">
        <v>16</v>
      </c>
      <c r="G1611">
        <v>0</v>
      </c>
      <c r="H1611" t="s">
        <v>187</v>
      </c>
      <c r="I1611">
        <v>5.5E-2</v>
      </c>
      <c r="J1611">
        <f t="shared" si="744"/>
        <v>0.99900000000000011</v>
      </c>
      <c r="K1611">
        <f t="shared" si="745"/>
        <v>51</v>
      </c>
      <c r="L1611">
        <f t="shared" ca="1" si="746"/>
        <v>51800.64183766341</v>
      </c>
      <c r="M1611">
        <f t="shared" ca="1" si="723"/>
        <v>828810.26940261456</v>
      </c>
      <c r="N1611">
        <f t="shared" ca="1" si="724"/>
        <v>7.9987646848531462</v>
      </c>
      <c r="O1611">
        <f t="shared" ca="1" si="725"/>
        <v>6.1533986586290144E-5</v>
      </c>
      <c r="P1611">
        <f t="shared" ca="1" si="726"/>
        <v>52432.14183766341</v>
      </c>
      <c r="Q1611">
        <f t="shared" ca="1" si="727"/>
        <v>52432.141837663607</v>
      </c>
      <c r="R1611">
        <f t="shared" ca="1" si="728"/>
        <v>5.3257657758249913E-14</v>
      </c>
      <c r="S1611">
        <f t="shared" ca="1" si="747"/>
        <v>0</v>
      </c>
      <c r="T1611">
        <f t="shared" ca="1" si="748"/>
        <v>1</v>
      </c>
      <c r="U1611" t="e">
        <f t="shared" ca="1" si="729"/>
        <v>#VALUE!</v>
      </c>
      <c r="V1611" t="e">
        <f t="shared" ca="1" si="730"/>
        <v>#VALUE!</v>
      </c>
      <c r="W1611" t="e">
        <f t="shared" ca="1" si="731"/>
        <v>#VALUE!</v>
      </c>
      <c r="X1611" t="e">
        <f t="shared" ca="1" si="732"/>
        <v>#VALUE!</v>
      </c>
      <c r="Y1611" t="e">
        <f t="shared" ca="1" si="733"/>
        <v>#VALUE!</v>
      </c>
      <c r="Z1611" t="e">
        <f t="shared" ca="1" si="734"/>
        <v>#VALUE!</v>
      </c>
      <c r="AA1611" t="e">
        <f t="shared" ca="1" si="735"/>
        <v>#VALUE!</v>
      </c>
      <c r="AB1611" t="e">
        <f t="shared" ca="1" si="736"/>
        <v>#VALUE!</v>
      </c>
      <c r="AC1611" t="e">
        <f t="shared" ca="1" si="737"/>
        <v>#VALUE!</v>
      </c>
      <c r="AD1611" t="e">
        <f ca="1">IF(V35="Supercritical",L1611,IF(V35="Subcritical",U1611,IF(AND(T1611=1,AC1611=1),IF((((F1611)*(L1611)^2)/2+(G1611)*(L1611)^3/3+(ABS(K1611)^2)/($I$5*MAX(((F1611)+(G1611)*(L1611))*(L1611),0.000001)))&gt;=(((F1611)*(U1611)^2)/2+(G1611)*(U1611)^3/3+(ABS(K1611)^2)/($I$5*MAX(((F1611)+(G1611)*(U1611))*(U1611),0.000001))),L1611,U1611),IF(T1611=1,L1611,IF(AC1611=1,U1611,MAX($D$16,POWER((ABS(K1611)^2)/($I$5*MAX(F1611,0.1)^2),1/3)))))))</f>
        <v>#VALUE!</v>
      </c>
      <c r="AE1611" t="e">
        <f t="shared" ca="1" si="738"/>
        <v>#VALUE!</v>
      </c>
      <c r="AF1611" t="e">
        <f t="shared" ca="1" si="739"/>
        <v>#VALUE!</v>
      </c>
      <c r="AI1611">
        <v>0</v>
      </c>
      <c r="AJ1611">
        <v>0</v>
      </c>
      <c r="AK1611">
        <f t="shared" si="740"/>
        <v>0</v>
      </c>
      <c r="AL1611">
        <f t="shared" si="749"/>
        <v>0</v>
      </c>
      <c r="AM1611" t="e">
        <f t="shared" ca="1" si="741"/>
        <v>#VALUE!</v>
      </c>
      <c r="AN1611" t="e">
        <f t="shared" ca="1" si="742"/>
        <v>#VALUE!</v>
      </c>
      <c r="AO1611" t="e">
        <f t="shared" ca="1" si="743"/>
        <v>#VALUE!</v>
      </c>
    </row>
    <row r="1612" spans="1:41" x14ac:dyDescent="0.35">
      <c r="A1612">
        <v>6</v>
      </c>
      <c r="B1612">
        <v>5</v>
      </c>
      <c r="C1612">
        <v>616070.49100000004</v>
      </c>
      <c r="D1612">
        <v>3096620.34</v>
      </c>
      <c r="E1612">
        <v>631.5</v>
      </c>
      <c r="F1612">
        <v>17</v>
      </c>
      <c r="G1612">
        <v>0</v>
      </c>
      <c r="H1612" t="s">
        <v>187</v>
      </c>
      <c r="I1612">
        <v>5.5E-2</v>
      </c>
      <c r="J1612">
        <f t="shared" si="744"/>
        <v>1</v>
      </c>
      <c r="K1612">
        <f t="shared" si="745"/>
        <v>51</v>
      </c>
      <c r="L1612">
        <f t="shared" ca="1" si="746"/>
        <v>51800.64183766341</v>
      </c>
      <c r="M1612">
        <f t="shared" ca="1" si="723"/>
        <v>880610.91124027793</v>
      </c>
      <c r="N1612">
        <f t="shared" ca="1" si="724"/>
        <v>8.4986054584685764</v>
      </c>
      <c r="O1612">
        <f t="shared" ca="1" si="725"/>
        <v>5.7914340316508367E-5</v>
      </c>
      <c r="P1612">
        <f t="shared" ca="1" si="726"/>
        <v>52432.14183766341</v>
      </c>
      <c r="Q1612">
        <f t="shared" ca="1" si="727"/>
        <v>52432.141837663577</v>
      </c>
      <c r="R1612">
        <f t="shared" ca="1" si="728"/>
        <v>4.3513550572472516E-14</v>
      </c>
      <c r="S1612">
        <f t="shared" ca="1" si="747"/>
        <v>0</v>
      </c>
      <c r="T1612">
        <f t="shared" ca="1" si="748"/>
        <v>1</v>
      </c>
      <c r="U1612" t="e">
        <f t="shared" ca="1" si="729"/>
        <v>#VALUE!</v>
      </c>
      <c r="V1612" t="e">
        <f t="shared" ca="1" si="730"/>
        <v>#VALUE!</v>
      </c>
      <c r="W1612" t="e">
        <f t="shared" ca="1" si="731"/>
        <v>#VALUE!</v>
      </c>
      <c r="X1612" t="e">
        <f t="shared" ca="1" si="732"/>
        <v>#VALUE!</v>
      </c>
      <c r="Y1612" t="e">
        <f t="shared" ca="1" si="733"/>
        <v>#VALUE!</v>
      </c>
      <c r="Z1612" t="e">
        <f t="shared" ca="1" si="734"/>
        <v>#VALUE!</v>
      </c>
      <c r="AA1612" t="e">
        <f t="shared" ca="1" si="735"/>
        <v>#VALUE!</v>
      </c>
      <c r="AB1612" t="e">
        <f t="shared" ca="1" si="736"/>
        <v>#VALUE!</v>
      </c>
      <c r="AC1612" t="e">
        <f t="shared" ca="1" si="737"/>
        <v>#VALUE!</v>
      </c>
      <c r="AD1612" t="e">
        <f ca="1">IF(V35="Supercritical",L1612,IF(V35="Subcritical",U1612,IF(AND(T1612=1,AC1612=1),IF((((F1612)*(L1612)^2)/2+(G1612)*(L1612)^3/3+(ABS(K1612)^2)/($I$5*MAX(((F1612)+(G1612)*(L1612))*(L1612),0.000001)))&gt;=(((F1612)*(U1612)^2)/2+(G1612)*(U1612)^3/3+(ABS(K1612)^2)/($I$5*MAX(((F1612)+(G1612)*(U1612))*(U1612),0.000001))),L1612,U1612),IF(T1612=1,L1612,IF(AC1612=1,U1612,MAX($D$16,POWER((ABS(K1612)^2)/($I$5*MAX(F1612,0.1)^2),1/3)))))))</f>
        <v>#VALUE!</v>
      </c>
      <c r="AE1612" t="e">
        <f t="shared" ca="1" si="738"/>
        <v>#VALUE!</v>
      </c>
      <c r="AF1612" t="e">
        <f t="shared" ca="1" si="739"/>
        <v>#VALUE!</v>
      </c>
      <c r="AI1612">
        <v>0</v>
      </c>
      <c r="AJ1612">
        <v>0</v>
      </c>
      <c r="AK1612">
        <f t="shared" si="740"/>
        <v>0</v>
      </c>
      <c r="AL1612">
        <f t="shared" si="749"/>
        <v>0</v>
      </c>
      <c r="AM1612" t="e">
        <f t="shared" ca="1" si="741"/>
        <v>#VALUE!</v>
      </c>
      <c r="AN1612" t="e">
        <f t="shared" ca="1" si="742"/>
        <v>#VALUE!</v>
      </c>
      <c r="AO1612" t="e">
        <f t="shared" ca="1" si="743"/>
        <v>#VALUE!</v>
      </c>
    </row>
    <row r="1613" spans="1:41" x14ac:dyDescent="0.35">
      <c r="A1613">
        <v>7</v>
      </c>
      <c r="B1613">
        <v>6</v>
      </c>
      <c r="C1613">
        <v>616071.44299999997</v>
      </c>
      <c r="D1613">
        <v>3096620.0350000001</v>
      </c>
      <c r="E1613">
        <v>631.5</v>
      </c>
      <c r="F1613">
        <v>18</v>
      </c>
      <c r="G1613">
        <v>0</v>
      </c>
      <c r="H1613" t="s">
        <v>187</v>
      </c>
      <c r="I1613">
        <v>3.6999999999999998E-2</v>
      </c>
      <c r="J1613">
        <f t="shared" si="744"/>
        <v>1</v>
      </c>
      <c r="K1613">
        <f t="shared" si="745"/>
        <v>51</v>
      </c>
      <c r="L1613">
        <f t="shared" ca="1" si="746"/>
        <v>51800.64183766341</v>
      </c>
      <c r="M1613">
        <f t="shared" ca="1" si="723"/>
        <v>932411.55307794141</v>
      </c>
      <c r="N1613">
        <f t="shared" ca="1" si="724"/>
        <v>8.9984365844439971</v>
      </c>
      <c r="O1613">
        <f t="shared" ca="1" si="725"/>
        <v>5.469687696559123E-5</v>
      </c>
      <c r="P1613">
        <f t="shared" ca="1" si="726"/>
        <v>52432.14183766341</v>
      </c>
      <c r="Q1613">
        <f t="shared" ca="1" si="727"/>
        <v>52432.141837663563</v>
      </c>
      <c r="R1613">
        <f t="shared" ca="1" si="728"/>
        <v>3.5965394726197707E-14</v>
      </c>
      <c r="S1613">
        <f t="shared" ca="1" si="747"/>
        <v>0</v>
      </c>
      <c r="T1613">
        <f t="shared" ca="1" si="748"/>
        <v>1</v>
      </c>
      <c r="U1613" t="e">
        <f t="shared" ca="1" si="729"/>
        <v>#VALUE!</v>
      </c>
      <c r="V1613" t="e">
        <f t="shared" ca="1" si="730"/>
        <v>#VALUE!</v>
      </c>
      <c r="W1613" t="e">
        <f t="shared" ca="1" si="731"/>
        <v>#VALUE!</v>
      </c>
      <c r="X1613" t="e">
        <f t="shared" ca="1" si="732"/>
        <v>#VALUE!</v>
      </c>
      <c r="Y1613" t="e">
        <f t="shared" ca="1" si="733"/>
        <v>#VALUE!</v>
      </c>
      <c r="Z1613" t="e">
        <f t="shared" ca="1" si="734"/>
        <v>#VALUE!</v>
      </c>
      <c r="AA1613" t="e">
        <f t="shared" ca="1" si="735"/>
        <v>#VALUE!</v>
      </c>
      <c r="AB1613" t="e">
        <f t="shared" ca="1" si="736"/>
        <v>#VALUE!</v>
      </c>
      <c r="AC1613" t="e">
        <f t="shared" ca="1" si="737"/>
        <v>#VALUE!</v>
      </c>
      <c r="AD1613" t="e">
        <f ca="1">IF(V35="Supercritical",L1613,IF(V35="Subcritical",U1613,IF(AND(T1613=1,AC1613=1),IF((((F1613)*(L1613)^2)/2+(G1613)*(L1613)^3/3+(ABS(K1613)^2)/($I$5*MAX(((F1613)+(G1613)*(L1613))*(L1613),0.000001)))&gt;=(((F1613)*(U1613)^2)/2+(G1613)*(U1613)^3/3+(ABS(K1613)^2)/($I$5*MAX(((F1613)+(G1613)*(U1613))*(U1613),0.000001))),L1613,U1613),IF(T1613=1,L1613,IF(AC1613=1,U1613,MAX($D$16,POWER((ABS(K1613)^2)/($I$5*MAX(F1613,0.1)^2),1/3)))))))</f>
        <v>#VALUE!</v>
      </c>
      <c r="AE1613" t="e">
        <f t="shared" ca="1" si="738"/>
        <v>#VALUE!</v>
      </c>
      <c r="AF1613" t="e">
        <f t="shared" ca="1" si="739"/>
        <v>#VALUE!</v>
      </c>
      <c r="AI1613">
        <v>0</v>
      </c>
      <c r="AJ1613">
        <v>0</v>
      </c>
      <c r="AK1613">
        <f t="shared" si="740"/>
        <v>0</v>
      </c>
      <c r="AL1613">
        <f t="shared" si="749"/>
        <v>0</v>
      </c>
      <c r="AM1613" t="e">
        <f t="shared" ca="1" si="741"/>
        <v>#VALUE!</v>
      </c>
      <c r="AN1613" t="e">
        <f t="shared" ca="1" si="742"/>
        <v>#VALUE!</v>
      </c>
      <c r="AO1613" t="e">
        <f t="shared" ca="1" si="743"/>
        <v>#VALUE!</v>
      </c>
    </row>
    <row r="1614" spans="1:41" x14ac:dyDescent="0.35">
      <c r="A1614">
        <v>8</v>
      </c>
      <c r="B1614">
        <v>7.0010000000000003</v>
      </c>
      <c r="C1614">
        <v>616072.39599999995</v>
      </c>
      <c r="D1614">
        <v>3096619.7289999998</v>
      </c>
      <c r="E1614">
        <v>631.5</v>
      </c>
      <c r="F1614">
        <v>19</v>
      </c>
      <c r="G1614">
        <v>0</v>
      </c>
      <c r="H1614" t="s">
        <v>187</v>
      </c>
      <c r="I1614">
        <v>3.6999999999999998E-2</v>
      </c>
      <c r="J1614">
        <f t="shared" si="744"/>
        <v>1.0010000000000003</v>
      </c>
      <c r="K1614">
        <f t="shared" si="745"/>
        <v>51</v>
      </c>
      <c r="L1614">
        <f t="shared" ca="1" si="746"/>
        <v>51800.64183766341</v>
      </c>
      <c r="M1614">
        <f t="shared" ca="1" si="723"/>
        <v>984212.19491560478</v>
      </c>
      <c r="N1614">
        <f t="shared" ca="1" si="724"/>
        <v>9.498258063058719</v>
      </c>
      <c r="O1614">
        <f t="shared" ca="1" si="725"/>
        <v>5.1818093967402223E-5</v>
      </c>
      <c r="P1614">
        <f t="shared" ca="1" si="726"/>
        <v>52432.14183766341</v>
      </c>
      <c r="Q1614">
        <f t="shared" ca="1" si="727"/>
        <v>52432.141837663548</v>
      </c>
      <c r="R1614">
        <f t="shared" ca="1" si="728"/>
        <v>3.0034478804125365E-14</v>
      </c>
      <c r="S1614">
        <f t="shared" ca="1" si="747"/>
        <v>0</v>
      </c>
      <c r="T1614">
        <f t="shared" ca="1" si="748"/>
        <v>1</v>
      </c>
      <c r="U1614" t="e">
        <f t="shared" ca="1" si="729"/>
        <v>#VALUE!</v>
      </c>
      <c r="V1614" t="e">
        <f t="shared" ca="1" si="730"/>
        <v>#VALUE!</v>
      </c>
      <c r="W1614" t="e">
        <f t="shared" ca="1" si="731"/>
        <v>#VALUE!</v>
      </c>
      <c r="X1614" t="e">
        <f t="shared" ca="1" si="732"/>
        <v>#VALUE!</v>
      </c>
      <c r="Y1614" t="e">
        <f t="shared" ca="1" si="733"/>
        <v>#VALUE!</v>
      </c>
      <c r="Z1614" t="e">
        <f t="shared" ca="1" si="734"/>
        <v>#VALUE!</v>
      </c>
      <c r="AA1614" t="e">
        <f t="shared" ca="1" si="735"/>
        <v>#VALUE!</v>
      </c>
      <c r="AB1614" t="e">
        <f t="shared" ca="1" si="736"/>
        <v>#VALUE!</v>
      </c>
      <c r="AC1614" t="e">
        <f t="shared" ca="1" si="737"/>
        <v>#VALUE!</v>
      </c>
      <c r="AD1614" t="e">
        <f ca="1">IF(V35="Supercritical",L1614,IF(V35="Subcritical",U1614,IF(AND(T1614=1,AC1614=1),IF((((F1614)*(L1614)^2)/2+(G1614)*(L1614)^3/3+(ABS(K1614)^2)/($I$5*MAX(((F1614)+(G1614)*(L1614))*(L1614),0.000001)))&gt;=(((F1614)*(U1614)^2)/2+(G1614)*(U1614)^3/3+(ABS(K1614)^2)/($I$5*MAX(((F1614)+(G1614)*(U1614))*(U1614),0.000001))),L1614,U1614),IF(T1614=1,L1614,IF(AC1614=1,U1614,MAX($D$16,POWER((ABS(K1614)^2)/($I$5*MAX(F1614,0.1)^2),1/3)))))))</f>
        <v>#VALUE!</v>
      </c>
      <c r="AE1614" t="e">
        <f t="shared" ca="1" si="738"/>
        <v>#VALUE!</v>
      </c>
      <c r="AF1614" t="e">
        <f t="shared" ca="1" si="739"/>
        <v>#VALUE!</v>
      </c>
      <c r="AI1614">
        <v>0</v>
      </c>
      <c r="AJ1614">
        <v>0</v>
      </c>
      <c r="AK1614">
        <f t="shared" si="740"/>
        <v>0</v>
      </c>
      <c r="AL1614">
        <f t="shared" si="749"/>
        <v>0</v>
      </c>
      <c r="AM1614" t="e">
        <f t="shared" ca="1" si="741"/>
        <v>#VALUE!</v>
      </c>
      <c r="AN1614" t="e">
        <f t="shared" ca="1" si="742"/>
        <v>#VALUE!</v>
      </c>
      <c r="AO1614" t="e">
        <f t="shared" ca="1" si="743"/>
        <v>#VALUE!</v>
      </c>
    </row>
    <row r="1615" spans="1:41" x14ac:dyDescent="0.35">
      <c r="A1615">
        <v>9</v>
      </c>
      <c r="B1615">
        <v>8</v>
      </c>
      <c r="C1615">
        <v>616073.348</v>
      </c>
      <c r="D1615">
        <v>3096619.4240000001</v>
      </c>
      <c r="E1615">
        <v>631.5</v>
      </c>
      <c r="F1615">
        <v>6.7240000000000002</v>
      </c>
      <c r="G1615">
        <v>0</v>
      </c>
      <c r="H1615" t="s">
        <v>186</v>
      </c>
      <c r="I1615">
        <v>5.5E-2</v>
      </c>
      <c r="J1615">
        <f t="shared" si="744"/>
        <v>0.99899999999999967</v>
      </c>
      <c r="K1615">
        <f t="shared" si="745"/>
        <v>51</v>
      </c>
      <c r="L1615">
        <f t="shared" ca="1" si="746"/>
        <v>51800.64183766341</v>
      </c>
      <c r="M1615">
        <f t="shared" ca="1" si="723"/>
        <v>348307.51571644878</v>
      </c>
      <c r="N1615">
        <f t="shared" ca="1" si="724"/>
        <v>3.3617818113820812</v>
      </c>
      <c r="O1615">
        <f t="shared" ca="1" si="725"/>
        <v>1.4642233571990514E-4</v>
      </c>
      <c r="P1615">
        <f t="shared" ca="1" si="726"/>
        <v>52432.14183766341</v>
      </c>
      <c r="Q1615">
        <f t="shared" ca="1" si="727"/>
        <v>52432.141837664502</v>
      </c>
      <c r="R1615">
        <f t="shared" ca="1" si="728"/>
        <v>9.5786538994554878E-13</v>
      </c>
      <c r="S1615">
        <f t="shared" ca="1" si="747"/>
        <v>-1.0477378964424133E-9</v>
      </c>
      <c r="T1615">
        <f t="shared" ca="1" si="748"/>
        <v>1</v>
      </c>
      <c r="U1615" t="e">
        <f t="shared" ca="1" si="729"/>
        <v>#VALUE!</v>
      </c>
      <c r="V1615" t="e">
        <f t="shared" ca="1" si="730"/>
        <v>#VALUE!</v>
      </c>
      <c r="W1615" t="e">
        <f t="shared" ca="1" si="731"/>
        <v>#VALUE!</v>
      </c>
      <c r="X1615" t="e">
        <f t="shared" ca="1" si="732"/>
        <v>#VALUE!</v>
      </c>
      <c r="Y1615" t="e">
        <f t="shared" ca="1" si="733"/>
        <v>#VALUE!</v>
      </c>
      <c r="Z1615" t="e">
        <f t="shared" ca="1" si="734"/>
        <v>#VALUE!</v>
      </c>
      <c r="AA1615" t="e">
        <f t="shared" ca="1" si="735"/>
        <v>#VALUE!</v>
      </c>
      <c r="AB1615" t="e">
        <f t="shared" ca="1" si="736"/>
        <v>#VALUE!</v>
      </c>
      <c r="AC1615" t="e">
        <f t="shared" ca="1" si="737"/>
        <v>#VALUE!</v>
      </c>
      <c r="AD1615" t="e">
        <f ca="1">IF(V35="Supercritical",L1615,IF(V35="Subcritical",U1615,IF(AND(T1615=1,AC1615=1),IF((((F1615)*(L1615)^2)/2+(G1615)*(L1615)^3/3+(ABS(K1615)^2)/($I$5*MAX(((F1615)+(G1615)*(L1615))*(L1615),0.000001)))&gt;=(((F1615)*(U1615)^2)/2+(G1615)*(U1615)^3/3+(ABS(K1615)^2)/($I$5*MAX(((F1615)+(G1615)*(U1615))*(U1615),0.000001))),L1615,U1615),IF(T1615=1,L1615,IF(AC1615=1,U1615,MAX($D$16,POWER((ABS(K1615)^2)/($I$5*MAX(F1615,0.1)^2),1/3)))))))</f>
        <v>#VALUE!</v>
      </c>
      <c r="AE1615" t="e">
        <f t="shared" ca="1" si="738"/>
        <v>#VALUE!</v>
      </c>
      <c r="AF1615" t="e">
        <f t="shared" ca="1" si="739"/>
        <v>#VALUE!</v>
      </c>
      <c r="AI1615">
        <v>0</v>
      </c>
      <c r="AJ1615">
        <v>0</v>
      </c>
      <c r="AK1615">
        <f t="shared" si="740"/>
        <v>0</v>
      </c>
      <c r="AL1615">
        <f t="shared" si="749"/>
        <v>0</v>
      </c>
      <c r="AM1615" t="e">
        <f t="shared" ca="1" si="741"/>
        <v>#VALUE!</v>
      </c>
      <c r="AN1615" t="e">
        <f t="shared" ca="1" si="742"/>
        <v>#VALUE!</v>
      </c>
      <c r="AO1615" t="e">
        <f t="shared" ca="1" si="743"/>
        <v>#VALUE!</v>
      </c>
    </row>
    <row r="1616" spans="1:41" x14ac:dyDescent="0.35">
      <c r="A1616">
        <v>10</v>
      </c>
      <c r="B1616">
        <v>9</v>
      </c>
      <c r="C1616">
        <v>616074.30000000005</v>
      </c>
      <c r="D1616">
        <v>3096619.1179999998</v>
      </c>
      <c r="E1616">
        <v>631.5</v>
      </c>
      <c r="F1616">
        <v>6.032</v>
      </c>
      <c r="G1616">
        <v>0</v>
      </c>
      <c r="H1616" t="s">
        <v>186</v>
      </c>
      <c r="I1616">
        <v>5.5E-2</v>
      </c>
      <c r="J1616">
        <f t="shared" si="744"/>
        <v>1</v>
      </c>
      <c r="K1616">
        <f t="shared" si="745"/>
        <v>51</v>
      </c>
      <c r="L1616">
        <f t="shared" ca="1" si="746"/>
        <v>51800.64183766341</v>
      </c>
      <c r="M1616">
        <f t="shared" ca="1" si="723"/>
        <v>312461.47156478569</v>
      </c>
      <c r="N1616">
        <f t="shared" ca="1" si="724"/>
        <v>3.0158244090016093</v>
      </c>
      <c r="O1616">
        <f t="shared" ca="1" si="725"/>
        <v>1.6322012357106137E-4</v>
      </c>
      <c r="P1616">
        <f t="shared" ca="1" si="726"/>
        <v>52432.14183766341</v>
      </c>
      <c r="Q1616">
        <f t="shared" ca="1" si="727"/>
        <v>52432.141837664771</v>
      </c>
      <c r="R1616">
        <f t="shared" ca="1" si="728"/>
        <v>1.3756940329199875E-12</v>
      </c>
      <c r="S1616">
        <f t="shared" ca="1" si="747"/>
        <v>-2.9831426218152046E-10</v>
      </c>
      <c r="T1616">
        <f t="shared" ca="1" si="748"/>
        <v>1</v>
      </c>
      <c r="U1616" t="e">
        <f t="shared" ca="1" si="729"/>
        <v>#VALUE!</v>
      </c>
      <c r="V1616" t="e">
        <f t="shared" ca="1" si="730"/>
        <v>#VALUE!</v>
      </c>
      <c r="W1616" t="e">
        <f t="shared" ca="1" si="731"/>
        <v>#VALUE!</v>
      </c>
      <c r="X1616" t="e">
        <f t="shared" ca="1" si="732"/>
        <v>#VALUE!</v>
      </c>
      <c r="Y1616" t="e">
        <f t="shared" ca="1" si="733"/>
        <v>#VALUE!</v>
      </c>
      <c r="Z1616" t="e">
        <f t="shared" ca="1" si="734"/>
        <v>#VALUE!</v>
      </c>
      <c r="AA1616" t="e">
        <f t="shared" ca="1" si="735"/>
        <v>#VALUE!</v>
      </c>
      <c r="AB1616" t="e">
        <f t="shared" ca="1" si="736"/>
        <v>#VALUE!</v>
      </c>
      <c r="AC1616" t="e">
        <f t="shared" ca="1" si="737"/>
        <v>#VALUE!</v>
      </c>
      <c r="AD1616" t="e">
        <f ca="1">IF(V35="Supercritical",L1616,IF(V35="Subcritical",U1616,IF(AND(T1616=1,AC1616=1),IF((((F1616)*(L1616)^2)/2+(G1616)*(L1616)^3/3+(ABS(K1616)^2)/($I$5*MAX(((F1616)+(G1616)*(L1616))*(L1616),0.000001)))&gt;=(((F1616)*(U1616)^2)/2+(G1616)*(U1616)^3/3+(ABS(K1616)^2)/($I$5*MAX(((F1616)+(G1616)*(U1616))*(U1616),0.000001))),L1616,U1616),IF(T1616=1,L1616,IF(AC1616=1,U1616,MAX($D$16,POWER((ABS(K1616)^2)/($I$5*MAX(F1616,0.1)^2),1/3)))))))</f>
        <v>#VALUE!</v>
      </c>
      <c r="AE1616" t="e">
        <f t="shared" ca="1" si="738"/>
        <v>#VALUE!</v>
      </c>
      <c r="AF1616" t="e">
        <f t="shared" ca="1" si="739"/>
        <v>#VALUE!</v>
      </c>
      <c r="AH1616">
        <v>635.5</v>
      </c>
      <c r="AI1616">
        <v>0</v>
      </c>
      <c r="AJ1616" t="e">
        <f t="shared" ref="AJ1616:AJ1642" ca="1" si="750">$D$12*MAX(J1616,0.1)*POWER(MAX(0,AE1616-AH1616),1.5)</f>
        <v>#VALUE!</v>
      </c>
      <c r="AK1616" t="e">
        <f t="shared" ca="1" si="740"/>
        <v>#VALUE!</v>
      </c>
      <c r="AL1616" t="e">
        <f t="shared" ca="1" si="749"/>
        <v>#VALUE!</v>
      </c>
      <c r="AM1616" t="e">
        <f t="shared" ca="1" si="741"/>
        <v>#VALUE!</v>
      </c>
      <c r="AN1616" t="e">
        <f t="shared" ca="1" si="742"/>
        <v>#VALUE!</v>
      </c>
      <c r="AO1616" t="e">
        <f t="shared" ca="1" si="743"/>
        <v>#VALUE!</v>
      </c>
    </row>
    <row r="1617" spans="1:41" x14ac:dyDescent="0.35">
      <c r="A1617">
        <v>11</v>
      </c>
      <c r="B1617">
        <v>10</v>
      </c>
      <c r="C1617">
        <v>616075.25199999998</v>
      </c>
      <c r="D1617">
        <v>3096618.8130000001</v>
      </c>
      <c r="E1617">
        <v>631.5</v>
      </c>
      <c r="F1617">
        <v>6.391</v>
      </c>
      <c r="G1617">
        <v>0</v>
      </c>
      <c r="H1617" t="s">
        <v>186</v>
      </c>
      <c r="I1617">
        <v>12.169</v>
      </c>
      <c r="J1617">
        <f t="shared" si="744"/>
        <v>1</v>
      </c>
      <c r="K1617" t="e">
        <f t="shared" ca="1" si="745"/>
        <v>#VALUE!</v>
      </c>
      <c r="L1617" t="e">
        <f t="shared" ca="1" si="746"/>
        <v>#VALUE!</v>
      </c>
      <c r="M1617" t="e">
        <f t="shared" ca="1" si="723"/>
        <v>#VALUE!</v>
      </c>
      <c r="N1617" t="e">
        <f t="shared" ca="1" si="724"/>
        <v>#VALUE!</v>
      </c>
      <c r="O1617" t="e">
        <f t="shared" ca="1" si="725"/>
        <v>#VALUE!</v>
      </c>
      <c r="P1617" t="e">
        <f t="shared" ca="1" si="726"/>
        <v>#VALUE!</v>
      </c>
      <c r="Q1617" t="e">
        <f t="shared" ca="1" si="727"/>
        <v>#VALUE!</v>
      </c>
      <c r="R1617" t="e">
        <f t="shared" ca="1" si="728"/>
        <v>#VALUE!</v>
      </c>
      <c r="S1617" t="e">
        <f t="shared" ca="1" si="747"/>
        <v>#VALUE!</v>
      </c>
      <c r="T1617" t="e">
        <f t="shared" ca="1" si="748"/>
        <v>#VALUE!</v>
      </c>
      <c r="U1617" t="e">
        <f t="shared" ca="1" si="729"/>
        <v>#VALUE!</v>
      </c>
      <c r="V1617" t="e">
        <f t="shared" ca="1" si="730"/>
        <v>#VALUE!</v>
      </c>
      <c r="W1617" t="e">
        <f t="shared" ca="1" si="731"/>
        <v>#VALUE!</v>
      </c>
      <c r="X1617" t="e">
        <f t="shared" ca="1" si="732"/>
        <v>#VALUE!</v>
      </c>
      <c r="Y1617" t="e">
        <f t="shared" ca="1" si="733"/>
        <v>#VALUE!</v>
      </c>
      <c r="Z1617" t="e">
        <f t="shared" ca="1" si="734"/>
        <v>#VALUE!</v>
      </c>
      <c r="AA1617" t="e">
        <f t="shared" ca="1" si="735"/>
        <v>#VALUE!</v>
      </c>
      <c r="AB1617" t="e">
        <f t="shared" ca="1" si="736"/>
        <v>#VALUE!</v>
      </c>
      <c r="AC1617" t="e">
        <f t="shared" ca="1" si="737"/>
        <v>#VALUE!</v>
      </c>
      <c r="AD1617" t="e">
        <f ca="1">IF(V35="Supercritical",L1617,IF(V35="Subcritical",U1617,IF(AND(T1617=1,AC1617=1),IF((((F1617)*(L1617)^2)/2+(G1617)*(L1617)^3/3+(ABS(K1617)^2)/($I$5*MAX(((F1617)+(G1617)*(L1617))*(L1617),0.000001)))&gt;=(((F1617)*(U1617)^2)/2+(G1617)*(U1617)^3/3+(ABS(K1617)^2)/($I$5*MAX(((F1617)+(G1617)*(U1617))*(U1617),0.000001))),L1617,U1617),IF(T1617=1,L1617,IF(AC1617=1,U1617,MAX($D$16,POWER((ABS(K1617)^2)/($I$5*MAX(F1617,0.1)^2),1/3)))))))</f>
        <v>#VALUE!</v>
      </c>
      <c r="AE1617" t="e">
        <f t="shared" ca="1" si="738"/>
        <v>#VALUE!</v>
      </c>
      <c r="AF1617" t="e">
        <f t="shared" ca="1" si="739"/>
        <v>#VALUE!</v>
      </c>
      <c r="AH1617">
        <v>635.5</v>
      </c>
      <c r="AI1617">
        <v>0</v>
      </c>
      <c r="AJ1617" t="e">
        <f t="shared" ca="1" si="750"/>
        <v>#VALUE!</v>
      </c>
      <c r="AK1617" t="e">
        <f t="shared" ca="1" si="740"/>
        <v>#VALUE!</v>
      </c>
      <c r="AL1617" t="e">
        <f t="shared" ca="1" si="749"/>
        <v>#VALUE!</v>
      </c>
      <c r="AM1617" t="e">
        <f t="shared" ca="1" si="741"/>
        <v>#VALUE!</v>
      </c>
      <c r="AN1617" t="e">
        <f t="shared" ca="1" si="742"/>
        <v>#VALUE!</v>
      </c>
      <c r="AO1617" t="e">
        <f t="shared" ca="1" si="743"/>
        <v>#VALUE!</v>
      </c>
    </row>
    <row r="1618" spans="1:41" x14ac:dyDescent="0.35">
      <c r="A1618">
        <v>12</v>
      </c>
      <c r="B1618">
        <v>10.944000000000001</v>
      </c>
      <c r="C1618">
        <v>616076.06999999995</v>
      </c>
      <c r="D1618">
        <v>3096618.3420000002</v>
      </c>
      <c r="E1618">
        <v>631.5</v>
      </c>
      <c r="F1618">
        <v>5.8860000000000001</v>
      </c>
      <c r="G1618">
        <v>0</v>
      </c>
      <c r="H1618" t="s">
        <v>186</v>
      </c>
      <c r="I1618">
        <v>30.655999999999999</v>
      </c>
      <c r="J1618">
        <f t="shared" si="744"/>
        <v>0.94400000000000084</v>
      </c>
      <c r="K1618" t="e">
        <f t="shared" ca="1" si="745"/>
        <v>#VALUE!</v>
      </c>
      <c r="L1618" t="e">
        <f t="shared" ca="1" si="746"/>
        <v>#VALUE!</v>
      </c>
      <c r="M1618" t="e">
        <f t="shared" ca="1" si="723"/>
        <v>#VALUE!</v>
      </c>
      <c r="N1618" t="e">
        <f t="shared" ca="1" si="724"/>
        <v>#VALUE!</v>
      </c>
      <c r="O1618" t="e">
        <f t="shared" ca="1" si="725"/>
        <v>#VALUE!</v>
      </c>
      <c r="P1618" t="e">
        <f t="shared" ca="1" si="726"/>
        <v>#VALUE!</v>
      </c>
      <c r="Q1618" t="e">
        <f t="shared" ca="1" si="727"/>
        <v>#VALUE!</v>
      </c>
      <c r="R1618" t="e">
        <f t="shared" ca="1" si="728"/>
        <v>#VALUE!</v>
      </c>
      <c r="S1618" t="e">
        <f t="shared" ca="1" si="747"/>
        <v>#VALUE!</v>
      </c>
      <c r="T1618" t="e">
        <f t="shared" ca="1" si="748"/>
        <v>#VALUE!</v>
      </c>
      <c r="U1618" t="e">
        <f t="shared" ca="1" si="729"/>
        <v>#VALUE!</v>
      </c>
      <c r="V1618" t="e">
        <f t="shared" ca="1" si="730"/>
        <v>#VALUE!</v>
      </c>
      <c r="W1618" t="e">
        <f t="shared" ca="1" si="731"/>
        <v>#VALUE!</v>
      </c>
      <c r="X1618" t="e">
        <f t="shared" ca="1" si="732"/>
        <v>#VALUE!</v>
      </c>
      <c r="Y1618" t="e">
        <f t="shared" ca="1" si="733"/>
        <v>#VALUE!</v>
      </c>
      <c r="Z1618" t="e">
        <f t="shared" ca="1" si="734"/>
        <v>#VALUE!</v>
      </c>
      <c r="AA1618" t="e">
        <f t="shared" ca="1" si="735"/>
        <v>#VALUE!</v>
      </c>
      <c r="AB1618" t="e">
        <f t="shared" ca="1" si="736"/>
        <v>#VALUE!</v>
      </c>
      <c r="AC1618" t="e">
        <f t="shared" ca="1" si="737"/>
        <v>#VALUE!</v>
      </c>
      <c r="AD1618" t="e">
        <f ca="1">IF(V35="Supercritical",L1618,IF(V35="Subcritical",U1618,IF(AND(T1618=1,AC1618=1),IF((((F1618)*(L1618)^2)/2+(G1618)*(L1618)^3/3+(ABS(K1618)^2)/($I$5*MAX(((F1618)+(G1618)*(L1618))*(L1618),0.000001)))&gt;=(((F1618)*(U1618)^2)/2+(G1618)*(U1618)^3/3+(ABS(K1618)^2)/($I$5*MAX(((F1618)+(G1618)*(U1618))*(U1618),0.000001))),L1618,U1618),IF(T1618=1,L1618,IF(AC1618=1,U1618,MAX($D$16,POWER((ABS(K1618)^2)/($I$5*MAX(F1618,0.1)^2),1/3)))))))</f>
        <v>#VALUE!</v>
      </c>
      <c r="AE1618" t="e">
        <f t="shared" ca="1" si="738"/>
        <v>#VALUE!</v>
      </c>
      <c r="AF1618" t="e">
        <f t="shared" ca="1" si="739"/>
        <v>#VALUE!</v>
      </c>
      <c r="AH1618">
        <v>635.5</v>
      </c>
      <c r="AI1618">
        <v>0</v>
      </c>
      <c r="AJ1618" t="e">
        <f t="shared" ca="1" si="750"/>
        <v>#VALUE!</v>
      </c>
      <c r="AK1618" t="e">
        <f t="shared" ca="1" si="740"/>
        <v>#VALUE!</v>
      </c>
      <c r="AL1618" t="e">
        <f t="shared" ca="1" si="749"/>
        <v>#VALUE!</v>
      </c>
      <c r="AM1618" t="e">
        <f t="shared" ca="1" si="741"/>
        <v>#VALUE!</v>
      </c>
      <c r="AN1618" t="e">
        <f t="shared" ca="1" si="742"/>
        <v>#VALUE!</v>
      </c>
      <c r="AO1618" t="e">
        <f t="shared" ca="1" si="743"/>
        <v>#VALUE!</v>
      </c>
    </row>
    <row r="1619" spans="1:41" x14ac:dyDescent="0.35">
      <c r="A1619">
        <v>13</v>
      </c>
      <c r="B1619">
        <v>11.944000000000001</v>
      </c>
      <c r="C1619">
        <v>616076.56099999999</v>
      </c>
      <c r="D1619">
        <v>3096617.4709999999</v>
      </c>
      <c r="E1619">
        <v>631.5</v>
      </c>
      <c r="F1619">
        <v>5.38</v>
      </c>
      <c r="G1619">
        <v>0</v>
      </c>
      <c r="H1619" t="s">
        <v>186</v>
      </c>
      <c r="I1619">
        <v>7.8E-2</v>
      </c>
      <c r="J1619">
        <f t="shared" si="744"/>
        <v>1</v>
      </c>
      <c r="K1619" t="e">
        <f t="shared" ca="1" si="745"/>
        <v>#VALUE!</v>
      </c>
      <c r="L1619" t="e">
        <f t="shared" ca="1" si="746"/>
        <v>#VALUE!</v>
      </c>
      <c r="M1619" t="e">
        <f t="shared" ca="1" si="723"/>
        <v>#VALUE!</v>
      </c>
      <c r="N1619" t="e">
        <f t="shared" ca="1" si="724"/>
        <v>#VALUE!</v>
      </c>
      <c r="O1619" t="e">
        <f t="shared" ca="1" si="725"/>
        <v>#VALUE!</v>
      </c>
      <c r="P1619" t="e">
        <f t="shared" ca="1" si="726"/>
        <v>#VALUE!</v>
      </c>
      <c r="Q1619" t="e">
        <f t="shared" ca="1" si="727"/>
        <v>#VALUE!</v>
      </c>
      <c r="R1619" t="e">
        <f t="shared" ca="1" si="728"/>
        <v>#VALUE!</v>
      </c>
      <c r="S1619" t="e">
        <f t="shared" ca="1" si="747"/>
        <v>#VALUE!</v>
      </c>
      <c r="T1619" t="e">
        <f t="shared" ca="1" si="748"/>
        <v>#VALUE!</v>
      </c>
      <c r="U1619" t="e">
        <f t="shared" ca="1" si="729"/>
        <v>#VALUE!</v>
      </c>
      <c r="V1619" t="e">
        <f t="shared" ca="1" si="730"/>
        <v>#VALUE!</v>
      </c>
      <c r="W1619" t="e">
        <f t="shared" ca="1" si="731"/>
        <v>#VALUE!</v>
      </c>
      <c r="X1619" t="e">
        <f t="shared" ca="1" si="732"/>
        <v>#VALUE!</v>
      </c>
      <c r="Y1619" t="e">
        <f t="shared" ca="1" si="733"/>
        <v>#VALUE!</v>
      </c>
      <c r="Z1619" t="e">
        <f t="shared" ca="1" si="734"/>
        <v>#VALUE!</v>
      </c>
      <c r="AA1619" t="e">
        <f t="shared" ca="1" si="735"/>
        <v>#VALUE!</v>
      </c>
      <c r="AB1619" t="e">
        <f t="shared" ca="1" si="736"/>
        <v>#VALUE!</v>
      </c>
      <c r="AC1619" t="e">
        <f t="shared" ca="1" si="737"/>
        <v>#VALUE!</v>
      </c>
      <c r="AD1619" t="e">
        <f ca="1">IF(V35="Supercritical",L1619,IF(V35="Subcritical",U1619,IF(AND(T1619=1,AC1619=1),IF((((F1619)*(L1619)^2)/2+(G1619)*(L1619)^3/3+(ABS(K1619)^2)/($I$5*MAX(((F1619)+(G1619)*(L1619))*(L1619),0.000001)))&gt;=(((F1619)*(U1619)^2)/2+(G1619)*(U1619)^3/3+(ABS(K1619)^2)/($I$5*MAX(((F1619)+(G1619)*(U1619))*(U1619),0.000001))),L1619,U1619),IF(T1619=1,L1619,IF(AC1619=1,U1619,MAX($D$16,POWER((ABS(K1619)^2)/($I$5*MAX(F1619,0.1)^2),1/3)))))))</f>
        <v>#VALUE!</v>
      </c>
      <c r="AE1619" t="e">
        <f t="shared" ca="1" si="738"/>
        <v>#VALUE!</v>
      </c>
      <c r="AF1619" t="e">
        <f t="shared" ca="1" si="739"/>
        <v>#VALUE!</v>
      </c>
      <c r="AH1619">
        <v>635.5</v>
      </c>
      <c r="AI1619">
        <v>0</v>
      </c>
      <c r="AJ1619" t="e">
        <f t="shared" ca="1" si="750"/>
        <v>#VALUE!</v>
      </c>
      <c r="AK1619" t="e">
        <f t="shared" ca="1" si="740"/>
        <v>#VALUE!</v>
      </c>
      <c r="AL1619" t="e">
        <f t="shared" ca="1" si="749"/>
        <v>#VALUE!</v>
      </c>
      <c r="AM1619" t="e">
        <f t="shared" ca="1" si="741"/>
        <v>#VALUE!</v>
      </c>
      <c r="AN1619" t="e">
        <f t="shared" ca="1" si="742"/>
        <v>#VALUE!</v>
      </c>
      <c r="AO1619" t="e">
        <f t="shared" ca="1" si="743"/>
        <v>#VALUE!</v>
      </c>
    </row>
    <row r="1620" spans="1:41" x14ac:dyDescent="0.35">
      <c r="A1620">
        <v>14</v>
      </c>
      <c r="B1620">
        <v>12.943</v>
      </c>
      <c r="C1620">
        <v>616077.05299999996</v>
      </c>
      <c r="D1620">
        <v>3096616.6009999998</v>
      </c>
      <c r="E1620">
        <v>631.5</v>
      </c>
      <c r="F1620">
        <v>5.2</v>
      </c>
      <c r="G1620">
        <v>0</v>
      </c>
      <c r="H1620" t="s">
        <v>186</v>
      </c>
      <c r="I1620">
        <v>2.8000000000000001E-2</v>
      </c>
      <c r="J1620">
        <f t="shared" si="744"/>
        <v>0.99899999999999878</v>
      </c>
      <c r="K1620" t="e">
        <f t="shared" ca="1" si="745"/>
        <v>#VALUE!</v>
      </c>
      <c r="L1620" t="e">
        <f t="shared" ca="1" si="746"/>
        <v>#VALUE!</v>
      </c>
      <c r="M1620" t="e">
        <f t="shared" ca="1" si="723"/>
        <v>#VALUE!</v>
      </c>
      <c r="N1620" t="e">
        <f t="shared" ca="1" si="724"/>
        <v>#VALUE!</v>
      </c>
      <c r="O1620" t="e">
        <f t="shared" ca="1" si="725"/>
        <v>#VALUE!</v>
      </c>
      <c r="P1620" t="e">
        <f t="shared" ca="1" si="726"/>
        <v>#VALUE!</v>
      </c>
      <c r="Q1620" t="e">
        <f t="shared" ca="1" si="727"/>
        <v>#VALUE!</v>
      </c>
      <c r="R1620" t="e">
        <f t="shared" ca="1" si="728"/>
        <v>#VALUE!</v>
      </c>
      <c r="S1620" t="e">
        <f t="shared" ca="1" si="747"/>
        <v>#VALUE!</v>
      </c>
      <c r="T1620" t="e">
        <f t="shared" ca="1" si="748"/>
        <v>#VALUE!</v>
      </c>
      <c r="U1620" t="e">
        <f t="shared" ca="1" si="729"/>
        <v>#VALUE!</v>
      </c>
      <c r="V1620" t="e">
        <f t="shared" ca="1" si="730"/>
        <v>#VALUE!</v>
      </c>
      <c r="W1620" t="e">
        <f t="shared" ca="1" si="731"/>
        <v>#VALUE!</v>
      </c>
      <c r="X1620" t="e">
        <f t="shared" ca="1" si="732"/>
        <v>#VALUE!</v>
      </c>
      <c r="Y1620" t="e">
        <f t="shared" ca="1" si="733"/>
        <v>#VALUE!</v>
      </c>
      <c r="Z1620" t="e">
        <f t="shared" ca="1" si="734"/>
        <v>#VALUE!</v>
      </c>
      <c r="AA1620" t="e">
        <f t="shared" ca="1" si="735"/>
        <v>#VALUE!</v>
      </c>
      <c r="AB1620" t="e">
        <f t="shared" ca="1" si="736"/>
        <v>#VALUE!</v>
      </c>
      <c r="AC1620" t="e">
        <f t="shared" ca="1" si="737"/>
        <v>#VALUE!</v>
      </c>
      <c r="AD1620" t="e">
        <f ca="1">IF(V35="Supercritical",L1620,IF(V35="Subcritical",U1620,IF(AND(T1620=1,AC1620=1),IF((((F1620)*(L1620)^2)/2+(G1620)*(L1620)^3/3+(ABS(K1620)^2)/($I$5*MAX(((F1620)+(G1620)*(L1620))*(L1620),0.000001)))&gt;=(((F1620)*(U1620)^2)/2+(G1620)*(U1620)^3/3+(ABS(K1620)^2)/($I$5*MAX(((F1620)+(G1620)*(U1620))*(U1620),0.000001))),L1620,U1620),IF(T1620=1,L1620,IF(AC1620=1,U1620,MAX($D$16,POWER((ABS(K1620)^2)/($I$5*MAX(F1620,0.1)^2),1/3)))))))</f>
        <v>#VALUE!</v>
      </c>
      <c r="AE1620" t="e">
        <f t="shared" ca="1" si="738"/>
        <v>#VALUE!</v>
      </c>
      <c r="AF1620" t="e">
        <f t="shared" ca="1" si="739"/>
        <v>#VALUE!</v>
      </c>
      <c r="AH1620">
        <v>635.5</v>
      </c>
      <c r="AI1620">
        <v>0</v>
      </c>
      <c r="AJ1620" t="e">
        <f t="shared" ca="1" si="750"/>
        <v>#VALUE!</v>
      </c>
      <c r="AK1620" t="e">
        <f t="shared" ca="1" si="740"/>
        <v>#VALUE!</v>
      </c>
      <c r="AL1620" t="e">
        <f t="shared" ca="1" si="749"/>
        <v>#VALUE!</v>
      </c>
      <c r="AM1620" t="e">
        <f t="shared" ca="1" si="741"/>
        <v>#VALUE!</v>
      </c>
      <c r="AN1620" t="e">
        <f t="shared" ca="1" si="742"/>
        <v>#VALUE!</v>
      </c>
      <c r="AO1620" t="e">
        <f t="shared" ca="1" si="743"/>
        <v>#VALUE!</v>
      </c>
    </row>
    <row r="1621" spans="1:41" x14ac:dyDescent="0.35">
      <c r="A1621">
        <v>15</v>
      </c>
      <c r="B1621">
        <v>13.944000000000001</v>
      </c>
      <c r="C1621">
        <v>616077.54500000004</v>
      </c>
      <c r="D1621">
        <v>3096615.73</v>
      </c>
      <c r="E1621">
        <v>631.5</v>
      </c>
      <c r="F1621">
        <v>5.125</v>
      </c>
      <c r="G1621">
        <v>0</v>
      </c>
      <c r="H1621" t="s">
        <v>186</v>
      </c>
      <c r="I1621">
        <v>0.05</v>
      </c>
      <c r="J1621">
        <f t="shared" si="744"/>
        <v>1.0010000000000012</v>
      </c>
      <c r="K1621" t="e">
        <f t="shared" ca="1" si="745"/>
        <v>#VALUE!</v>
      </c>
      <c r="L1621" t="e">
        <f t="shared" ca="1" si="746"/>
        <v>#VALUE!</v>
      </c>
      <c r="M1621" t="e">
        <f t="shared" ca="1" si="723"/>
        <v>#VALUE!</v>
      </c>
      <c r="N1621" t="e">
        <f t="shared" ca="1" si="724"/>
        <v>#VALUE!</v>
      </c>
      <c r="O1621" t="e">
        <f t="shared" ca="1" si="725"/>
        <v>#VALUE!</v>
      </c>
      <c r="P1621" t="e">
        <f t="shared" ca="1" si="726"/>
        <v>#VALUE!</v>
      </c>
      <c r="Q1621" t="e">
        <f t="shared" ca="1" si="727"/>
        <v>#VALUE!</v>
      </c>
      <c r="R1621" t="e">
        <f t="shared" ca="1" si="728"/>
        <v>#VALUE!</v>
      </c>
      <c r="S1621" t="e">
        <f t="shared" ca="1" si="747"/>
        <v>#VALUE!</v>
      </c>
      <c r="T1621" t="e">
        <f t="shared" ca="1" si="748"/>
        <v>#VALUE!</v>
      </c>
      <c r="U1621" t="e">
        <f t="shared" ca="1" si="729"/>
        <v>#VALUE!</v>
      </c>
      <c r="V1621" t="e">
        <f t="shared" ca="1" si="730"/>
        <v>#VALUE!</v>
      </c>
      <c r="W1621" t="e">
        <f t="shared" ca="1" si="731"/>
        <v>#VALUE!</v>
      </c>
      <c r="X1621" t="e">
        <f t="shared" ca="1" si="732"/>
        <v>#VALUE!</v>
      </c>
      <c r="Y1621" t="e">
        <f t="shared" ca="1" si="733"/>
        <v>#VALUE!</v>
      </c>
      <c r="Z1621" t="e">
        <f t="shared" ca="1" si="734"/>
        <v>#VALUE!</v>
      </c>
      <c r="AA1621" t="e">
        <f t="shared" ca="1" si="735"/>
        <v>#VALUE!</v>
      </c>
      <c r="AB1621" t="e">
        <f t="shared" ca="1" si="736"/>
        <v>#VALUE!</v>
      </c>
      <c r="AC1621" t="e">
        <f t="shared" ca="1" si="737"/>
        <v>#VALUE!</v>
      </c>
      <c r="AD1621" t="e">
        <f ca="1">IF(V35="Supercritical",L1621,IF(V35="Subcritical",U1621,IF(AND(T1621=1,AC1621=1),IF((((F1621)*(L1621)^2)/2+(G1621)*(L1621)^3/3+(ABS(K1621)^2)/($I$5*MAX(((F1621)+(G1621)*(L1621))*(L1621),0.000001)))&gt;=(((F1621)*(U1621)^2)/2+(G1621)*(U1621)^3/3+(ABS(K1621)^2)/($I$5*MAX(((F1621)+(G1621)*(U1621))*(U1621),0.000001))),L1621,U1621),IF(T1621=1,L1621,IF(AC1621=1,U1621,MAX($D$16,POWER((ABS(K1621)^2)/($I$5*MAX(F1621,0.1)^2),1/3)))))))</f>
        <v>#VALUE!</v>
      </c>
      <c r="AE1621" t="e">
        <f t="shared" ca="1" si="738"/>
        <v>#VALUE!</v>
      </c>
      <c r="AF1621" t="e">
        <f t="shared" ca="1" si="739"/>
        <v>#VALUE!</v>
      </c>
      <c r="AH1621">
        <v>635.5</v>
      </c>
      <c r="AI1621">
        <v>0</v>
      </c>
      <c r="AJ1621" t="e">
        <f t="shared" ca="1" si="750"/>
        <v>#VALUE!</v>
      </c>
      <c r="AK1621" t="e">
        <f t="shared" ca="1" si="740"/>
        <v>#VALUE!</v>
      </c>
      <c r="AL1621" t="e">
        <f t="shared" ca="1" si="749"/>
        <v>#VALUE!</v>
      </c>
      <c r="AM1621" t="e">
        <f t="shared" ca="1" si="741"/>
        <v>#VALUE!</v>
      </c>
      <c r="AN1621" t="e">
        <f t="shared" ca="1" si="742"/>
        <v>#VALUE!</v>
      </c>
      <c r="AO1621" t="e">
        <f t="shared" ca="1" si="743"/>
        <v>#VALUE!</v>
      </c>
    </row>
    <row r="1622" spans="1:41" x14ac:dyDescent="0.35">
      <c r="A1622">
        <v>16</v>
      </c>
      <c r="B1622">
        <v>14.944000000000001</v>
      </c>
      <c r="C1622">
        <v>616078.03599999996</v>
      </c>
      <c r="D1622">
        <v>3096614.8590000002</v>
      </c>
      <c r="E1622">
        <v>631.5</v>
      </c>
      <c r="F1622">
        <v>5.0510000000000002</v>
      </c>
      <c r="G1622">
        <v>0</v>
      </c>
      <c r="H1622" t="s">
        <v>186</v>
      </c>
      <c r="I1622">
        <v>0.05</v>
      </c>
      <c r="J1622">
        <f t="shared" si="744"/>
        <v>1</v>
      </c>
      <c r="K1622" t="e">
        <f t="shared" ca="1" si="745"/>
        <v>#VALUE!</v>
      </c>
      <c r="L1622" t="e">
        <f t="shared" ca="1" si="746"/>
        <v>#VALUE!</v>
      </c>
      <c r="M1622" t="e">
        <f t="shared" ca="1" si="723"/>
        <v>#VALUE!</v>
      </c>
      <c r="N1622" t="e">
        <f t="shared" ca="1" si="724"/>
        <v>#VALUE!</v>
      </c>
      <c r="O1622" t="e">
        <f t="shared" ca="1" si="725"/>
        <v>#VALUE!</v>
      </c>
      <c r="P1622" t="e">
        <f t="shared" ca="1" si="726"/>
        <v>#VALUE!</v>
      </c>
      <c r="Q1622" t="e">
        <f t="shared" ca="1" si="727"/>
        <v>#VALUE!</v>
      </c>
      <c r="R1622" t="e">
        <f t="shared" ca="1" si="728"/>
        <v>#VALUE!</v>
      </c>
      <c r="S1622" t="e">
        <f t="shared" ca="1" si="747"/>
        <v>#VALUE!</v>
      </c>
      <c r="T1622" t="e">
        <f t="shared" ca="1" si="748"/>
        <v>#VALUE!</v>
      </c>
      <c r="U1622" t="e">
        <f t="shared" ca="1" si="729"/>
        <v>#VALUE!</v>
      </c>
      <c r="V1622" t="e">
        <f t="shared" ca="1" si="730"/>
        <v>#VALUE!</v>
      </c>
      <c r="W1622" t="e">
        <f t="shared" ca="1" si="731"/>
        <v>#VALUE!</v>
      </c>
      <c r="X1622" t="e">
        <f t="shared" ca="1" si="732"/>
        <v>#VALUE!</v>
      </c>
      <c r="Y1622" t="e">
        <f t="shared" ca="1" si="733"/>
        <v>#VALUE!</v>
      </c>
      <c r="Z1622" t="e">
        <f t="shared" ca="1" si="734"/>
        <v>#VALUE!</v>
      </c>
      <c r="AA1622" t="e">
        <f t="shared" ca="1" si="735"/>
        <v>#VALUE!</v>
      </c>
      <c r="AB1622" t="e">
        <f t="shared" ca="1" si="736"/>
        <v>#VALUE!</v>
      </c>
      <c r="AC1622" t="e">
        <f t="shared" ca="1" si="737"/>
        <v>#VALUE!</v>
      </c>
      <c r="AD1622" t="e">
        <f ca="1">IF(V35="Supercritical",L1622,IF(V35="Subcritical",U1622,IF(AND(T1622=1,AC1622=1),IF((((F1622)*(L1622)^2)/2+(G1622)*(L1622)^3/3+(ABS(K1622)^2)/($I$5*MAX(((F1622)+(G1622)*(L1622))*(L1622),0.000001)))&gt;=(((F1622)*(U1622)^2)/2+(G1622)*(U1622)^3/3+(ABS(K1622)^2)/($I$5*MAX(((F1622)+(G1622)*(U1622))*(U1622),0.000001))),L1622,U1622),IF(T1622=1,L1622,IF(AC1622=1,U1622,MAX($D$16,POWER((ABS(K1622)^2)/($I$5*MAX(F1622,0.1)^2),1/3)))))))</f>
        <v>#VALUE!</v>
      </c>
      <c r="AE1622" t="e">
        <f t="shared" ca="1" si="738"/>
        <v>#VALUE!</v>
      </c>
      <c r="AF1622" t="e">
        <f t="shared" ca="1" si="739"/>
        <v>#VALUE!</v>
      </c>
      <c r="AH1622">
        <v>635.5</v>
      </c>
      <c r="AI1622">
        <v>0</v>
      </c>
      <c r="AJ1622" t="e">
        <f t="shared" ca="1" si="750"/>
        <v>#VALUE!</v>
      </c>
      <c r="AK1622" t="e">
        <f t="shared" ca="1" si="740"/>
        <v>#VALUE!</v>
      </c>
      <c r="AL1622" t="e">
        <f t="shared" ca="1" si="749"/>
        <v>#VALUE!</v>
      </c>
      <c r="AM1622" t="e">
        <f t="shared" ca="1" si="741"/>
        <v>#VALUE!</v>
      </c>
      <c r="AN1622" t="e">
        <f t="shared" ca="1" si="742"/>
        <v>#VALUE!</v>
      </c>
      <c r="AO1622" t="e">
        <f t="shared" ca="1" si="743"/>
        <v>#VALUE!</v>
      </c>
    </row>
    <row r="1623" spans="1:41" x14ac:dyDescent="0.35">
      <c r="A1623">
        <v>17</v>
      </c>
      <c r="B1623">
        <v>15.944000000000001</v>
      </c>
      <c r="C1623">
        <v>616078.52800000005</v>
      </c>
      <c r="D1623">
        <v>3096613.9879999999</v>
      </c>
      <c r="E1623">
        <v>631.5</v>
      </c>
      <c r="F1623">
        <v>4.976</v>
      </c>
      <c r="G1623">
        <v>0</v>
      </c>
      <c r="H1623" t="s">
        <v>186</v>
      </c>
      <c r="I1623">
        <v>0.05</v>
      </c>
      <c r="J1623">
        <f t="shared" si="744"/>
        <v>1</v>
      </c>
      <c r="K1623" t="e">
        <f t="shared" ca="1" si="745"/>
        <v>#VALUE!</v>
      </c>
      <c r="L1623" t="e">
        <f t="shared" ca="1" si="746"/>
        <v>#VALUE!</v>
      </c>
      <c r="M1623" t="e">
        <f t="shared" ca="1" si="723"/>
        <v>#VALUE!</v>
      </c>
      <c r="N1623" t="e">
        <f t="shared" ca="1" si="724"/>
        <v>#VALUE!</v>
      </c>
      <c r="O1623" t="e">
        <f t="shared" ca="1" si="725"/>
        <v>#VALUE!</v>
      </c>
      <c r="P1623" t="e">
        <f t="shared" ca="1" si="726"/>
        <v>#VALUE!</v>
      </c>
      <c r="Q1623" t="e">
        <f t="shared" ca="1" si="727"/>
        <v>#VALUE!</v>
      </c>
      <c r="R1623" t="e">
        <f t="shared" ca="1" si="728"/>
        <v>#VALUE!</v>
      </c>
      <c r="S1623" t="e">
        <f t="shared" ca="1" si="747"/>
        <v>#VALUE!</v>
      </c>
      <c r="T1623" t="e">
        <f t="shared" ca="1" si="748"/>
        <v>#VALUE!</v>
      </c>
      <c r="U1623" t="e">
        <f t="shared" ca="1" si="729"/>
        <v>#VALUE!</v>
      </c>
      <c r="V1623" t="e">
        <f t="shared" ca="1" si="730"/>
        <v>#VALUE!</v>
      </c>
      <c r="W1623" t="e">
        <f t="shared" ca="1" si="731"/>
        <v>#VALUE!</v>
      </c>
      <c r="X1623" t="e">
        <f t="shared" ca="1" si="732"/>
        <v>#VALUE!</v>
      </c>
      <c r="Y1623" t="e">
        <f t="shared" ca="1" si="733"/>
        <v>#VALUE!</v>
      </c>
      <c r="Z1623" t="e">
        <f t="shared" ca="1" si="734"/>
        <v>#VALUE!</v>
      </c>
      <c r="AA1623" t="e">
        <f t="shared" ca="1" si="735"/>
        <v>#VALUE!</v>
      </c>
      <c r="AB1623" t="e">
        <f t="shared" ca="1" si="736"/>
        <v>#VALUE!</v>
      </c>
      <c r="AC1623" t="e">
        <f t="shared" ca="1" si="737"/>
        <v>#VALUE!</v>
      </c>
      <c r="AD1623" t="e">
        <f ca="1">IF(V35="Supercritical",L1623,IF(V35="Subcritical",U1623,IF(AND(T1623=1,AC1623=1),IF((((F1623)*(L1623)^2)/2+(G1623)*(L1623)^3/3+(ABS(K1623)^2)/($I$5*MAX(((F1623)+(G1623)*(L1623))*(L1623),0.000001)))&gt;=(((F1623)*(U1623)^2)/2+(G1623)*(U1623)^3/3+(ABS(K1623)^2)/($I$5*MAX(((F1623)+(G1623)*(U1623))*(U1623),0.000001))),L1623,U1623),IF(T1623=1,L1623,IF(AC1623=1,U1623,MAX($D$16,POWER((ABS(K1623)^2)/($I$5*MAX(F1623,0.1)^2),1/3)))))))</f>
        <v>#VALUE!</v>
      </c>
      <c r="AE1623" t="e">
        <f t="shared" ca="1" si="738"/>
        <v>#VALUE!</v>
      </c>
      <c r="AF1623" t="e">
        <f t="shared" ca="1" si="739"/>
        <v>#VALUE!</v>
      </c>
      <c r="AH1623">
        <v>635.5</v>
      </c>
      <c r="AI1623">
        <v>0</v>
      </c>
      <c r="AJ1623" t="e">
        <f t="shared" ca="1" si="750"/>
        <v>#VALUE!</v>
      </c>
      <c r="AK1623" t="e">
        <f t="shared" ca="1" si="740"/>
        <v>#VALUE!</v>
      </c>
      <c r="AL1623" t="e">
        <f t="shared" ca="1" si="749"/>
        <v>#VALUE!</v>
      </c>
      <c r="AM1623" t="e">
        <f t="shared" ca="1" si="741"/>
        <v>#VALUE!</v>
      </c>
      <c r="AN1623" t="e">
        <f t="shared" ca="1" si="742"/>
        <v>#VALUE!</v>
      </c>
      <c r="AO1623" t="e">
        <f t="shared" ca="1" si="743"/>
        <v>#VALUE!</v>
      </c>
    </row>
    <row r="1624" spans="1:41" x14ac:dyDescent="0.35">
      <c r="A1624">
        <v>18</v>
      </c>
      <c r="B1624">
        <v>16.943999999999999</v>
      </c>
      <c r="C1624">
        <v>616079.01899999997</v>
      </c>
      <c r="D1624">
        <v>3096613.1170000001</v>
      </c>
      <c r="E1624">
        <v>631.5</v>
      </c>
      <c r="F1624">
        <v>4.9009999999999998</v>
      </c>
      <c r="G1624">
        <v>0</v>
      </c>
      <c r="H1624" t="s">
        <v>186</v>
      </c>
      <c r="I1624">
        <v>0.05</v>
      </c>
      <c r="J1624">
        <f t="shared" si="744"/>
        <v>0.99999999999999822</v>
      </c>
      <c r="K1624" t="e">
        <f t="shared" ca="1" si="745"/>
        <v>#VALUE!</v>
      </c>
      <c r="L1624" t="e">
        <f t="shared" ca="1" si="746"/>
        <v>#VALUE!</v>
      </c>
      <c r="M1624" t="e">
        <f t="shared" ca="1" si="723"/>
        <v>#VALUE!</v>
      </c>
      <c r="N1624" t="e">
        <f t="shared" ca="1" si="724"/>
        <v>#VALUE!</v>
      </c>
      <c r="O1624" t="e">
        <f t="shared" ca="1" si="725"/>
        <v>#VALUE!</v>
      </c>
      <c r="P1624" t="e">
        <f t="shared" ca="1" si="726"/>
        <v>#VALUE!</v>
      </c>
      <c r="Q1624" t="e">
        <f t="shared" ca="1" si="727"/>
        <v>#VALUE!</v>
      </c>
      <c r="R1624" t="e">
        <f t="shared" ca="1" si="728"/>
        <v>#VALUE!</v>
      </c>
      <c r="S1624" t="e">
        <f t="shared" ca="1" si="747"/>
        <v>#VALUE!</v>
      </c>
      <c r="T1624" t="e">
        <f t="shared" ca="1" si="748"/>
        <v>#VALUE!</v>
      </c>
      <c r="U1624" t="e">
        <f t="shared" ca="1" si="729"/>
        <v>#VALUE!</v>
      </c>
      <c r="V1624" t="e">
        <f t="shared" ca="1" si="730"/>
        <v>#VALUE!</v>
      </c>
      <c r="W1624" t="e">
        <f t="shared" ca="1" si="731"/>
        <v>#VALUE!</v>
      </c>
      <c r="X1624" t="e">
        <f t="shared" ca="1" si="732"/>
        <v>#VALUE!</v>
      </c>
      <c r="Y1624" t="e">
        <f t="shared" ca="1" si="733"/>
        <v>#VALUE!</v>
      </c>
      <c r="Z1624" t="e">
        <f t="shared" ca="1" si="734"/>
        <v>#VALUE!</v>
      </c>
      <c r="AA1624" t="e">
        <f t="shared" ca="1" si="735"/>
        <v>#VALUE!</v>
      </c>
      <c r="AB1624" t="e">
        <f t="shared" ca="1" si="736"/>
        <v>#VALUE!</v>
      </c>
      <c r="AC1624" t="e">
        <f t="shared" ca="1" si="737"/>
        <v>#VALUE!</v>
      </c>
      <c r="AD1624" t="e">
        <f ca="1">IF(V35="Supercritical",L1624,IF(V35="Subcritical",U1624,IF(AND(T1624=1,AC1624=1),IF((((F1624)*(L1624)^2)/2+(G1624)*(L1624)^3/3+(ABS(K1624)^2)/($I$5*MAX(((F1624)+(G1624)*(L1624))*(L1624),0.000001)))&gt;=(((F1624)*(U1624)^2)/2+(G1624)*(U1624)^3/3+(ABS(K1624)^2)/($I$5*MAX(((F1624)+(G1624)*(U1624))*(U1624),0.000001))),L1624,U1624),IF(T1624=1,L1624,IF(AC1624=1,U1624,MAX($D$16,POWER((ABS(K1624)^2)/($I$5*MAX(F1624,0.1)^2),1/3)))))))</f>
        <v>#VALUE!</v>
      </c>
      <c r="AE1624" t="e">
        <f t="shared" ca="1" si="738"/>
        <v>#VALUE!</v>
      </c>
      <c r="AF1624" t="e">
        <f t="shared" ca="1" si="739"/>
        <v>#VALUE!</v>
      </c>
      <c r="AH1624">
        <v>635.5</v>
      </c>
      <c r="AI1624">
        <v>0</v>
      </c>
      <c r="AJ1624" t="e">
        <f t="shared" ca="1" si="750"/>
        <v>#VALUE!</v>
      </c>
      <c r="AK1624" t="e">
        <f t="shared" ca="1" si="740"/>
        <v>#VALUE!</v>
      </c>
      <c r="AL1624" t="e">
        <f t="shared" ca="1" si="749"/>
        <v>#VALUE!</v>
      </c>
      <c r="AM1624" t="e">
        <f t="shared" ca="1" si="741"/>
        <v>#VALUE!</v>
      </c>
      <c r="AN1624" t="e">
        <f t="shared" ca="1" si="742"/>
        <v>#VALUE!</v>
      </c>
      <c r="AO1624" t="e">
        <f t="shared" ca="1" si="743"/>
        <v>#VALUE!</v>
      </c>
    </row>
    <row r="1625" spans="1:41" x14ac:dyDescent="0.35">
      <c r="A1625">
        <v>19</v>
      </c>
      <c r="B1625">
        <v>17.943999999999999</v>
      </c>
      <c r="C1625">
        <v>616079.51100000006</v>
      </c>
      <c r="D1625">
        <v>3096612.2459999998</v>
      </c>
      <c r="E1625">
        <v>631.5</v>
      </c>
      <c r="F1625">
        <v>4.8259999999999996</v>
      </c>
      <c r="G1625">
        <v>0</v>
      </c>
      <c r="H1625" t="s">
        <v>186</v>
      </c>
      <c r="I1625">
        <v>0.05</v>
      </c>
      <c r="J1625">
        <f t="shared" si="744"/>
        <v>1</v>
      </c>
      <c r="K1625" t="e">
        <f t="shared" ca="1" si="745"/>
        <v>#VALUE!</v>
      </c>
      <c r="L1625" t="e">
        <f t="shared" ca="1" si="746"/>
        <v>#VALUE!</v>
      </c>
      <c r="M1625" t="e">
        <f t="shared" ca="1" si="723"/>
        <v>#VALUE!</v>
      </c>
      <c r="N1625" t="e">
        <f t="shared" ca="1" si="724"/>
        <v>#VALUE!</v>
      </c>
      <c r="O1625" t="e">
        <f t="shared" ca="1" si="725"/>
        <v>#VALUE!</v>
      </c>
      <c r="P1625" t="e">
        <f t="shared" ca="1" si="726"/>
        <v>#VALUE!</v>
      </c>
      <c r="Q1625" t="e">
        <f t="shared" ca="1" si="727"/>
        <v>#VALUE!</v>
      </c>
      <c r="R1625" t="e">
        <f t="shared" ca="1" si="728"/>
        <v>#VALUE!</v>
      </c>
      <c r="S1625" t="e">
        <f t="shared" ca="1" si="747"/>
        <v>#VALUE!</v>
      </c>
      <c r="T1625" t="e">
        <f t="shared" ca="1" si="748"/>
        <v>#VALUE!</v>
      </c>
      <c r="U1625" t="e">
        <f t="shared" ca="1" si="729"/>
        <v>#VALUE!</v>
      </c>
      <c r="V1625" t="e">
        <f t="shared" ca="1" si="730"/>
        <v>#VALUE!</v>
      </c>
      <c r="W1625" t="e">
        <f t="shared" ca="1" si="731"/>
        <v>#VALUE!</v>
      </c>
      <c r="X1625" t="e">
        <f t="shared" ca="1" si="732"/>
        <v>#VALUE!</v>
      </c>
      <c r="Y1625" t="e">
        <f t="shared" ca="1" si="733"/>
        <v>#VALUE!</v>
      </c>
      <c r="Z1625" t="e">
        <f t="shared" ca="1" si="734"/>
        <v>#VALUE!</v>
      </c>
      <c r="AA1625" t="e">
        <f t="shared" ca="1" si="735"/>
        <v>#VALUE!</v>
      </c>
      <c r="AB1625" t="e">
        <f t="shared" ca="1" si="736"/>
        <v>#VALUE!</v>
      </c>
      <c r="AC1625" t="e">
        <f t="shared" ca="1" si="737"/>
        <v>#VALUE!</v>
      </c>
      <c r="AD1625" t="e">
        <f ca="1">IF(V35="Supercritical",L1625,IF(V35="Subcritical",U1625,IF(AND(T1625=1,AC1625=1),IF((((F1625)*(L1625)^2)/2+(G1625)*(L1625)^3/3+(ABS(K1625)^2)/($I$5*MAX(((F1625)+(G1625)*(L1625))*(L1625),0.000001)))&gt;=(((F1625)*(U1625)^2)/2+(G1625)*(U1625)^3/3+(ABS(K1625)^2)/($I$5*MAX(((F1625)+(G1625)*(U1625))*(U1625),0.000001))),L1625,U1625),IF(T1625=1,L1625,IF(AC1625=1,U1625,MAX($D$16,POWER((ABS(K1625)^2)/($I$5*MAX(F1625,0.1)^2),1/3)))))))</f>
        <v>#VALUE!</v>
      </c>
      <c r="AE1625" t="e">
        <f t="shared" ca="1" si="738"/>
        <v>#VALUE!</v>
      </c>
      <c r="AF1625" t="e">
        <f t="shared" ca="1" si="739"/>
        <v>#VALUE!</v>
      </c>
      <c r="AH1625">
        <v>635.5</v>
      </c>
      <c r="AI1625">
        <v>0</v>
      </c>
      <c r="AJ1625" t="e">
        <f t="shared" ca="1" si="750"/>
        <v>#VALUE!</v>
      </c>
      <c r="AK1625" t="e">
        <f t="shared" ca="1" si="740"/>
        <v>#VALUE!</v>
      </c>
      <c r="AL1625" t="e">
        <f t="shared" ca="1" si="749"/>
        <v>#VALUE!</v>
      </c>
      <c r="AM1625" t="e">
        <f t="shared" ca="1" si="741"/>
        <v>#VALUE!</v>
      </c>
      <c r="AN1625" t="e">
        <f t="shared" ca="1" si="742"/>
        <v>#VALUE!</v>
      </c>
      <c r="AO1625" t="e">
        <f t="shared" ca="1" si="743"/>
        <v>#VALUE!</v>
      </c>
    </row>
    <row r="1626" spans="1:41" x14ac:dyDescent="0.35">
      <c r="A1626">
        <v>20</v>
      </c>
      <c r="B1626">
        <v>18.943999999999999</v>
      </c>
      <c r="C1626">
        <v>616080.00199999998</v>
      </c>
      <c r="D1626">
        <v>3096611.375</v>
      </c>
      <c r="E1626">
        <v>631.5</v>
      </c>
      <c r="F1626">
        <v>4.7519999999999998</v>
      </c>
      <c r="G1626">
        <v>0</v>
      </c>
      <c r="H1626" t="s">
        <v>186</v>
      </c>
      <c r="I1626">
        <v>7.8E-2</v>
      </c>
      <c r="J1626">
        <f t="shared" si="744"/>
        <v>1</v>
      </c>
      <c r="K1626" t="e">
        <f t="shared" ca="1" si="745"/>
        <v>#VALUE!</v>
      </c>
      <c r="L1626" t="e">
        <f t="shared" ca="1" si="746"/>
        <v>#VALUE!</v>
      </c>
      <c r="M1626" t="e">
        <f t="shared" ca="1" si="723"/>
        <v>#VALUE!</v>
      </c>
      <c r="N1626" t="e">
        <f t="shared" ca="1" si="724"/>
        <v>#VALUE!</v>
      </c>
      <c r="O1626" t="e">
        <f t="shared" ca="1" si="725"/>
        <v>#VALUE!</v>
      </c>
      <c r="P1626" t="e">
        <f t="shared" ca="1" si="726"/>
        <v>#VALUE!</v>
      </c>
      <c r="Q1626" t="e">
        <f t="shared" ca="1" si="727"/>
        <v>#VALUE!</v>
      </c>
      <c r="R1626" t="e">
        <f t="shared" ca="1" si="728"/>
        <v>#VALUE!</v>
      </c>
      <c r="S1626" t="e">
        <f t="shared" ca="1" si="747"/>
        <v>#VALUE!</v>
      </c>
      <c r="T1626" t="e">
        <f t="shared" ca="1" si="748"/>
        <v>#VALUE!</v>
      </c>
      <c r="U1626" t="e">
        <f t="shared" ca="1" si="729"/>
        <v>#VALUE!</v>
      </c>
      <c r="V1626" t="e">
        <f t="shared" ca="1" si="730"/>
        <v>#VALUE!</v>
      </c>
      <c r="W1626" t="e">
        <f t="shared" ca="1" si="731"/>
        <v>#VALUE!</v>
      </c>
      <c r="X1626" t="e">
        <f t="shared" ca="1" si="732"/>
        <v>#VALUE!</v>
      </c>
      <c r="Y1626" t="e">
        <f t="shared" ca="1" si="733"/>
        <v>#VALUE!</v>
      </c>
      <c r="Z1626" t="e">
        <f t="shared" ca="1" si="734"/>
        <v>#VALUE!</v>
      </c>
      <c r="AA1626" t="e">
        <f t="shared" ca="1" si="735"/>
        <v>#VALUE!</v>
      </c>
      <c r="AB1626" t="e">
        <f t="shared" ca="1" si="736"/>
        <v>#VALUE!</v>
      </c>
      <c r="AC1626" t="e">
        <f t="shared" ca="1" si="737"/>
        <v>#VALUE!</v>
      </c>
      <c r="AD1626" t="e">
        <f ca="1">IF(V35="Supercritical",L1626,IF(V35="Subcritical",U1626,IF(AND(T1626=1,AC1626=1),IF((((F1626)*(L1626)^2)/2+(G1626)*(L1626)^3/3+(ABS(K1626)^2)/($I$5*MAX(((F1626)+(G1626)*(L1626))*(L1626),0.000001)))&gt;=(((F1626)*(U1626)^2)/2+(G1626)*(U1626)^3/3+(ABS(K1626)^2)/($I$5*MAX(((F1626)+(G1626)*(U1626))*(U1626),0.000001))),L1626,U1626),IF(T1626=1,L1626,IF(AC1626=1,U1626,MAX($D$16,POWER((ABS(K1626)^2)/($I$5*MAX(F1626,0.1)^2),1/3)))))))</f>
        <v>#VALUE!</v>
      </c>
      <c r="AE1626" t="e">
        <f t="shared" ca="1" si="738"/>
        <v>#VALUE!</v>
      </c>
      <c r="AF1626" t="e">
        <f t="shared" ca="1" si="739"/>
        <v>#VALUE!</v>
      </c>
      <c r="AH1626">
        <v>635.5</v>
      </c>
      <c r="AI1626">
        <v>0</v>
      </c>
      <c r="AJ1626" t="e">
        <f t="shared" ca="1" si="750"/>
        <v>#VALUE!</v>
      </c>
      <c r="AK1626" t="e">
        <f t="shared" ca="1" si="740"/>
        <v>#VALUE!</v>
      </c>
      <c r="AL1626" t="e">
        <f t="shared" ca="1" si="749"/>
        <v>#VALUE!</v>
      </c>
      <c r="AM1626" t="e">
        <f t="shared" ca="1" si="741"/>
        <v>#VALUE!</v>
      </c>
      <c r="AN1626" t="e">
        <f t="shared" ca="1" si="742"/>
        <v>#VALUE!</v>
      </c>
      <c r="AO1626" t="e">
        <f t="shared" ca="1" si="743"/>
        <v>#VALUE!</v>
      </c>
    </row>
    <row r="1627" spans="1:41" x14ac:dyDescent="0.35">
      <c r="A1627">
        <v>21</v>
      </c>
      <c r="B1627">
        <v>19.943000000000001</v>
      </c>
      <c r="C1627">
        <v>616080.49399999995</v>
      </c>
      <c r="D1627">
        <v>3096610.5049999999</v>
      </c>
      <c r="E1627">
        <v>631.5</v>
      </c>
      <c r="F1627">
        <v>4.9290000000000003</v>
      </c>
      <c r="G1627">
        <v>0</v>
      </c>
      <c r="H1627" t="s">
        <v>186</v>
      </c>
      <c r="I1627">
        <v>7.8E-2</v>
      </c>
      <c r="J1627">
        <f t="shared" si="744"/>
        <v>0.99900000000000233</v>
      </c>
      <c r="K1627" t="e">
        <f t="shared" ca="1" si="745"/>
        <v>#VALUE!</v>
      </c>
      <c r="L1627" t="e">
        <f t="shared" ca="1" si="746"/>
        <v>#VALUE!</v>
      </c>
      <c r="M1627" t="e">
        <f t="shared" ca="1" si="723"/>
        <v>#VALUE!</v>
      </c>
      <c r="N1627" t="e">
        <f t="shared" ca="1" si="724"/>
        <v>#VALUE!</v>
      </c>
      <c r="O1627" t="e">
        <f t="shared" ca="1" si="725"/>
        <v>#VALUE!</v>
      </c>
      <c r="P1627" t="e">
        <f t="shared" ca="1" si="726"/>
        <v>#VALUE!</v>
      </c>
      <c r="Q1627" t="e">
        <f t="shared" ca="1" si="727"/>
        <v>#VALUE!</v>
      </c>
      <c r="R1627" t="e">
        <f t="shared" ca="1" si="728"/>
        <v>#VALUE!</v>
      </c>
      <c r="S1627" t="e">
        <f t="shared" ca="1" si="747"/>
        <v>#VALUE!</v>
      </c>
      <c r="T1627" t="e">
        <f t="shared" ca="1" si="748"/>
        <v>#VALUE!</v>
      </c>
      <c r="U1627" t="e">
        <f t="shared" ca="1" si="729"/>
        <v>#VALUE!</v>
      </c>
      <c r="V1627" t="e">
        <f t="shared" ca="1" si="730"/>
        <v>#VALUE!</v>
      </c>
      <c r="W1627" t="e">
        <f t="shared" ca="1" si="731"/>
        <v>#VALUE!</v>
      </c>
      <c r="X1627" t="e">
        <f t="shared" ca="1" si="732"/>
        <v>#VALUE!</v>
      </c>
      <c r="Y1627" t="e">
        <f t="shared" ca="1" si="733"/>
        <v>#VALUE!</v>
      </c>
      <c r="Z1627" t="e">
        <f t="shared" ca="1" si="734"/>
        <v>#VALUE!</v>
      </c>
      <c r="AA1627" t="e">
        <f t="shared" ca="1" si="735"/>
        <v>#VALUE!</v>
      </c>
      <c r="AB1627" t="e">
        <f t="shared" ca="1" si="736"/>
        <v>#VALUE!</v>
      </c>
      <c r="AC1627" t="e">
        <f t="shared" ca="1" si="737"/>
        <v>#VALUE!</v>
      </c>
      <c r="AD1627" t="e">
        <f ca="1">IF(V35="Supercritical",L1627,IF(V35="Subcritical",U1627,IF(AND(T1627=1,AC1627=1),IF((((F1627)*(L1627)^2)/2+(G1627)*(L1627)^3/3+(ABS(K1627)^2)/($I$5*MAX(((F1627)+(G1627)*(L1627))*(L1627),0.000001)))&gt;=(((F1627)*(U1627)^2)/2+(G1627)*(U1627)^3/3+(ABS(K1627)^2)/($I$5*MAX(((F1627)+(G1627)*(U1627))*(U1627),0.000001))),L1627,U1627),IF(T1627=1,L1627,IF(AC1627=1,U1627,MAX($D$16,POWER((ABS(K1627)^2)/($I$5*MAX(F1627,0.1)^2),1/3)))))))</f>
        <v>#VALUE!</v>
      </c>
      <c r="AE1627" t="e">
        <f t="shared" ca="1" si="738"/>
        <v>#VALUE!</v>
      </c>
      <c r="AF1627" t="e">
        <f t="shared" ca="1" si="739"/>
        <v>#VALUE!</v>
      </c>
      <c r="AH1627">
        <v>635.5</v>
      </c>
      <c r="AI1627">
        <v>0</v>
      </c>
      <c r="AJ1627" t="e">
        <f t="shared" ca="1" si="750"/>
        <v>#VALUE!</v>
      </c>
      <c r="AK1627" t="e">
        <f t="shared" ca="1" si="740"/>
        <v>#VALUE!</v>
      </c>
      <c r="AL1627" t="e">
        <f t="shared" ca="1" si="749"/>
        <v>#VALUE!</v>
      </c>
      <c r="AM1627" t="e">
        <f t="shared" ca="1" si="741"/>
        <v>#VALUE!</v>
      </c>
      <c r="AN1627" t="e">
        <f t="shared" ca="1" si="742"/>
        <v>#VALUE!</v>
      </c>
      <c r="AO1627" t="e">
        <f t="shared" ca="1" si="743"/>
        <v>#VALUE!</v>
      </c>
    </row>
    <row r="1628" spans="1:41" x14ac:dyDescent="0.35">
      <c r="A1628">
        <v>22</v>
      </c>
      <c r="B1628">
        <v>20.943000000000001</v>
      </c>
      <c r="C1628">
        <v>616080.98499999999</v>
      </c>
      <c r="D1628">
        <v>3096609.6340000001</v>
      </c>
      <c r="E1628">
        <v>631.5</v>
      </c>
      <c r="F1628">
        <v>5.0880000000000001</v>
      </c>
      <c r="G1628">
        <v>0</v>
      </c>
      <c r="H1628" t="s">
        <v>186</v>
      </c>
      <c r="I1628">
        <v>4.04</v>
      </c>
      <c r="J1628">
        <f t="shared" si="744"/>
        <v>1</v>
      </c>
      <c r="K1628" t="e">
        <f t="shared" ca="1" si="745"/>
        <v>#VALUE!</v>
      </c>
      <c r="L1628" t="e">
        <f t="shared" ca="1" si="746"/>
        <v>#VALUE!</v>
      </c>
      <c r="M1628" t="e">
        <f t="shared" ca="1" si="723"/>
        <v>#VALUE!</v>
      </c>
      <c r="N1628" t="e">
        <f t="shared" ca="1" si="724"/>
        <v>#VALUE!</v>
      </c>
      <c r="O1628" t="e">
        <f t="shared" ca="1" si="725"/>
        <v>#VALUE!</v>
      </c>
      <c r="P1628" t="e">
        <f t="shared" ca="1" si="726"/>
        <v>#VALUE!</v>
      </c>
      <c r="Q1628" t="e">
        <f t="shared" ca="1" si="727"/>
        <v>#VALUE!</v>
      </c>
      <c r="R1628" t="e">
        <f t="shared" ca="1" si="728"/>
        <v>#VALUE!</v>
      </c>
      <c r="S1628" t="e">
        <f t="shared" ca="1" si="747"/>
        <v>#VALUE!</v>
      </c>
      <c r="T1628" t="e">
        <f t="shared" ca="1" si="748"/>
        <v>#VALUE!</v>
      </c>
      <c r="U1628" t="e">
        <f t="shared" ca="1" si="729"/>
        <v>#VALUE!</v>
      </c>
      <c r="V1628" t="e">
        <f t="shared" ca="1" si="730"/>
        <v>#VALUE!</v>
      </c>
      <c r="W1628" t="e">
        <f t="shared" ca="1" si="731"/>
        <v>#VALUE!</v>
      </c>
      <c r="X1628" t="e">
        <f t="shared" ca="1" si="732"/>
        <v>#VALUE!</v>
      </c>
      <c r="Y1628" t="e">
        <f t="shared" ca="1" si="733"/>
        <v>#VALUE!</v>
      </c>
      <c r="Z1628" t="e">
        <f t="shared" ca="1" si="734"/>
        <v>#VALUE!</v>
      </c>
      <c r="AA1628" t="e">
        <f t="shared" ca="1" si="735"/>
        <v>#VALUE!</v>
      </c>
      <c r="AB1628" t="e">
        <f t="shared" ca="1" si="736"/>
        <v>#VALUE!</v>
      </c>
      <c r="AC1628" t="e">
        <f t="shared" ca="1" si="737"/>
        <v>#VALUE!</v>
      </c>
      <c r="AD1628" t="e">
        <f ca="1">IF(V35="Supercritical",L1628,IF(V35="Subcritical",U1628,IF(AND(T1628=1,AC1628=1),IF((((F1628)*(L1628)^2)/2+(G1628)*(L1628)^3/3+(ABS(K1628)^2)/($I$5*MAX(((F1628)+(G1628)*(L1628))*(L1628),0.000001)))&gt;=(((F1628)*(U1628)^2)/2+(G1628)*(U1628)^3/3+(ABS(K1628)^2)/($I$5*MAX(((F1628)+(G1628)*(U1628))*(U1628),0.000001))),L1628,U1628),IF(T1628=1,L1628,IF(AC1628=1,U1628,MAX($D$16,POWER((ABS(K1628)^2)/($I$5*MAX(F1628,0.1)^2),1/3)))))))</f>
        <v>#VALUE!</v>
      </c>
      <c r="AE1628" t="e">
        <f t="shared" ca="1" si="738"/>
        <v>#VALUE!</v>
      </c>
      <c r="AF1628" t="e">
        <f t="shared" ca="1" si="739"/>
        <v>#VALUE!</v>
      </c>
      <c r="AH1628">
        <v>635.5</v>
      </c>
      <c r="AI1628">
        <v>0</v>
      </c>
      <c r="AJ1628" t="e">
        <f t="shared" ca="1" si="750"/>
        <v>#VALUE!</v>
      </c>
      <c r="AK1628" t="e">
        <f t="shared" ca="1" si="740"/>
        <v>#VALUE!</v>
      </c>
      <c r="AL1628" t="e">
        <f t="shared" ca="1" si="749"/>
        <v>#VALUE!</v>
      </c>
      <c r="AM1628" t="e">
        <f t="shared" ca="1" si="741"/>
        <v>#VALUE!</v>
      </c>
      <c r="AN1628" t="e">
        <f t="shared" ca="1" si="742"/>
        <v>#VALUE!</v>
      </c>
      <c r="AO1628" t="e">
        <f t="shared" ca="1" si="743"/>
        <v>#VALUE!</v>
      </c>
    </row>
    <row r="1629" spans="1:41" x14ac:dyDescent="0.35">
      <c r="A1629">
        <v>23</v>
      </c>
      <c r="B1629">
        <v>21.931000000000001</v>
      </c>
      <c r="C1629">
        <v>616081.40800000005</v>
      </c>
      <c r="D1629">
        <v>3096608.7420000001</v>
      </c>
      <c r="E1629">
        <v>631.5</v>
      </c>
      <c r="F1629">
        <v>5.36</v>
      </c>
      <c r="G1629">
        <v>0</v>
      </c>
      <c r="H1629" t="s">
        <v>186</v>
      </c>
      <c r="I1629">
        <v>21.068999999999999</v>
      </c>
      <c r="J1629">
        <f t="shared" si="744"/>
        <v>0.98799999999999955</v>
      </c>
      <c r="K1629" t="e">
        <f t="shared" ca="1" si="745"/>
        <v>#VALUE!</v>
      </c>
      <c r="L1629" t="e">
        <f t="shared" ca="1" si="746"/>
        <v>#VALUE!</v>
      </c>
      <c r="M1629" t="e">
        <f t="shared" ca="1" si="723"/>
        <v>#VALUE!</v>
      </c>
      <c r="N1629" t="e">
        <f t="shared" ca="1" si="724"/>
        <v>#VALUE!</v>
      </c>
      <c r="O1629" t="e">
        <f t="shared" ca="1" si="725"/>
        <v>#VALUE!</v>
      </c>
      <c r="P1629" t="e">
        <f t="shared" ca="1" si="726"/>
        <v>#VALUE!</v>
      </c>
      <c r="Q1629" t="e">
        <f t="shared" ca="1" si="727"/>
        <v>#VALUE!</v>
      </c>
      <c r="R1629" t="e">
        <f t="shared" ca="1" si="728"/>
        <v>#VALUE!</v>
      </c>
      <c r="S1629" t="e">
        <f t="shared" ca="1" si="747"/>
        <v>#VALUE!</v>
      </c>
      <c r="T1629" t="e">
        <f t="shared" ca="1" si="748"/>
        <v>#VALUE!</v>
      </c>
      <c r="U1629" t="e">
        <f t="shared" ca="1" si="729"/>
        <v>#VALUE!</v>
      </c>
      <c r="V1629" t="e">
        <f t="shared" ca="1" si="730"/>
        <v>#VALUE!</v>
      </c>
      <c r="W1629" t="e">
        <f t="shared" ca="1" si="731"/>
        <v>#VALUE!</v>
      </c>
      <c r="X1629" t="e">
        <f t="shared" ca="1" si="732"/>
        <v>#VALUE!</v>
      </c>
      <c r="Y1629" t="e">
        <f t="shared" ca="1" si="733"/>
        <v>#VALUE!</v>
      </c>
      <c r="Z1629" t="e">
        <f t="shared" ca="1" si="734"/>
        <v>#VALUE!</v>
      </c>
      <c r="AA1629" t="e">
        <f t="shared" ca="1" si="735"/>
        <v>#VALUE!</v>
      </c>
      <c r="AB1629" t="e">
        <f t="shared" ca="1" si="736"/>
        <v>#VALUE!</v>
      </c>
      <c r="AC1629" t="e">
        <f t="shared" ca="1" si="737"/>
        <v>#VALUE!</v>
      </c>
      <c r="AD1629" t="e">
        <f ca="1">IF(V35="Supercritical",L1629,IF(V35="Subcritical",U1629,IF(AND(T1629=1,AC1629=1),IF((((F1629)*(L1629)^2)/2+(G1629)*(L1629)^3/3+(ABS(K1629)^2)/($I$5*MAX(((F1629)+(G1629)*(L1629))*(L1629),0.000001)))&gt;=(((F1629)*(U1629)^2)/2+(G1629)*(U1629)^3/3+(ABS(K1629)^2)/($I$5*MAX(((F1629)+(G1629)*(U1629))*(U1629),0.000001))),L1629,U1629),IF(T1629=1,L1629,IF(AC1629=1,U1629,MAX($D$16,POWER((ABS(K1629)^2)/($I$5*MAX(F1629,0.1)^2),1/3)))))))</f>
        <v>#VALUE!</v>
      </c>
      <c r="AE1629" t="e">
        <f t="shared" ca="1" si="738"/>
        <v>#VALUE!</v>
      </c>
      <c r="AF1629" t="e">
        <f t="shared" ca="1" si="739"/>
        <v>#VALUE!</v>
      </c>
      <c r="AH1629">
        <v>635.5</v>
      </c>
      <c r="AI1629">
        <v>0</v>
      </c>
      <c r="AJ1629" t="e">
        <f t="shared" ca="1" si="750"/>
        <v>#VALUE!</v>
      </c>
      <c r="AK1629" t="e">
        <f t="shared" ca="1" si="740"/>
        <v>#VALUE!</v>
      </c>
      <c r="AL1629" t="e">
        <f t="shared" ca="1" si="749"/>
        <v>#VALUE!</v>
      </c>
      <c r="AM1629" t="e">
        <f t="shared" ca="1" si="741"/>
        <v>#VALUE!</v>
      </c>
      <c r="AN1629" t="e">
        <f t="shared" ca="1" si="742"/>
        <v>#VALUE!</v>
      </c>
      <c r="AO1629" t="e">
        <f t="shared" ca="1" si="743"/>
        <v>#VALUE!</v>
      </c>
    </row>
    <row r="1630" spans="1:41" x14ac:dyDescent="0.35">
      <c r="A1630">
        <v>24</v>
      </c>
      <c r="B1630">
        <v>22.93</v>
      </c>
      <c r="C1630">
        <v>616081.48300000001</v>
      </c>
      <c r="D1630">
        <v>3096607.7450000001</v>
      </c>
      <c r="E1630">
        <v>631.5</v>
      </c>
      <c r="F1630">
        <v>5.13</v>
      </c>
      <c r="G1630">
        <v>0</v>
      </c>
      <c r="H1630" t="s">
        <v>186</v>
      </c>
      <c r="I1630">
        <v>5.7000000000000002E-2</v>
      </c>
      <c r="J1630">
        <f t="shared" si="744"/>
        <v>0.99899999999999878</v>
      </c>
      <c r="K1630" t="e">
        <f t="shared" ca="1" si="745"/>
        <v>#VALUE!</v>
      </c>
      <c r="L1630" t="e">
        <f t="shared" ca="1" si="746"/>
        <v>#VALUE!</v>
      </c>
      <c r="M1630" t="e">
        <f t="shared" ca="1" si="723"/>
        <v>#VALUE!</v>
      </c>
      <c r="N1630" t="e">
        <f t="shared" ca="1" si="724"/>
        <v>#VALUE!</v>
      </c>
      <c r="O1630" t="e">
        <f t="shared" ca="1" si="725"/>
        <v>#VALUE!</v>
      </c>
      <c r="P1630" t="e">
        <f t="shared" ca="1" si="726"/>
        <v>#VALUE!</v>
      </c>
      <c r="Q1630" t="e">
        <f t="shared" ca="1" si="727"/>
        <v>#VALUE!</v>
      </c>
      <c r="R1630" t="e">
        <f t="shared" ca="1" si="728"/>
        <v>#VALUE!</v>
      </c>
      <c r="S1630" t="e">
        <f t="shared" ca="1" si="747"/>
        <v>#VALUE!</v>
      </c>
      <c r="T1630" t="e">
        <f t="shared" ca="1" si="748"/>
        <v>#VALUE!</v>
      </c>
      <c r="U1630" t="e">
        <f t="shared" ca="1" si="729"/>
        <v>#VALUE!</v>
      </c>
      <c r="V1630" t="e">
        <f t="shared" ca="1" si="730"/>
        <v>#VALUE!</v>
      </c>
      <c r="W1630" t="e">
        <f t="shared" ca="1" si="731"/>
        <v>#VALUE!</v>
      </c>
      <c r="X1630" t="e">
        <f t="shared" ca="1" si="732"/>
        <v>#VALUE!</v>
      </c>
      <c r="Y1630" t="e">
        <f t="shared" ca="1" si="733"/>
        <v>#VALUE!</v>
      </c>
      <c r="Z1630" t="e">
        <f t="shared" ca="1" si="734"/>
        <v>#VALUE!</v>
      </c>
      <c r="AA1630" t="e">
        <f t="shared" ca="1" si="735"/>
        <v>#VALUE!</v>
      </c>
      <c r="AB1630" t="e">
        <f t="shared" ca="1" si="736"/>
        <v>#VALUE!</v>
      </c>
      <c r="AC1630" t="e">
        <f t="shared" ca="1" si="737"/>
        <v>#VALUE!</v>
      </c>
      <c r="AD1630" t="e">
        <f ca="1">IF(V35="Supercritical",L1630,IF(V35="Subcritical",U1630,IF(AND(T1630=1,AC1630=1),IF((((F1630)*(L1630)^2)/2+(G1630)*(L1630)^3/3+(ABS(K1630)^2)/($I$5*MAX(((F1630)+(G1630)*(L1630))*(L1630),0.000001)))&gt;=(((F1630)*(U1630)^2)/2+(G1630)*(U1630)^3/3+(ABS(K1630)^2)/($I$5*MAX(((F1630)+(G1630)*(U1630))*(U1630),0.000001))),L1630,U1630),IF(T1630=1,L1630,IF(AC1630=1,U1630,MAX($D$16,POWER((ABS(K1630)^2)/($I$5*MAX(F1630,0.1)^2),1/3)))))))</f>
        <v>#VALUE!</v>
      </c>
      <c r="AE1630" t="e">
        <f t="shared" ca="1" si="738"/>
        <v>#VALUE!</v>
      </c>
      <c r="AF1630" t="e">
        <f t="shared" ca="1" si="739"/>
        <v>#VALUE!</v>
      </c>
      <c r="AH1630">
        <v>635.5</v>
      </c>
      <c r="AI1630">
        <v>0</v>
      </c>
      <c r="AJ1630" t="e">
        <f t="shared" ca="1" si="750"/>
        <v>#VALUE!</v>
      </c>
      <c r="AK1630" t="e">
        <f t="shared" ca="1" si="740"/>
        <v>#VALUE!</v>
      </c>
      <c r="AL1630" t="e">
        <f t="shared" ca="1" si="749"/>
        <v>#VALUE!</v>
      </c>
      <c r="AM1630" t="e">
        <f t="shared" ca="1" si="741"/>
        <v>#VALUE!</v>
      </c>
      <c r="AN1630" t="e">
        <f t="shared" ca="1" si="742"/>
        <v>#VALUE!</v>
      </c>
      <c r="AO1630" t="e">
        <f t="shared" ca="1" si="743"/>
        <v>#VALUE!</v>
      </c>
    </row>
    <row r="1631" spans="1:41" x14ac:dyDescent="0.35">
      <c r="A1631">
        <v>25</v>
      </c>
      <c r="B1631">
        <v>23.93</v>
      </c>
      <c r="C1631">
        <v>616081.55700000003</v>
      </c>
      <c r="D1631">
        <v>3096606.7480000001</v>
      </c>
      <c r="E1631">
        <v>631.5</v>
      </c>
      <c r="F1631">
        <v>5.0209999999999999</v>
      </c>
      <c r="G1631">
        <v>0</v>
      </c>
      <c r="H1631" t="s">
        <v>186</v>
      </c>
      <c r="I1631">
        <v>5.2999999999999999E-2</v>
      </c>
      <c r="J1631">
        <f t="shared" si="744"/>
        <v>1</v>
      </c>
      <c r="K1631" t="e">
        <f t="shared" ca="1" si="745"/>
        <v>#VALUE!</v>
      </c>
      <c r="L1631" t="e">
        <f t="shared" ca="1" si="746"/>
        <v>#VALUE!</v>
      </c>
      <c r="M1631" t="e">
        <f t="shared" ca="1" si="723"/>
        <v>#VALUE!</v>
      </c>
      <c r="N1631" t="e">
        <f t="shared" ca="1" si="724"/>
        <v>#VALUE!</v>
      </c>
      <c r="O1631" t="e">
        <f t="shared" ca="1" si="725"/>
        <v>#VALUE!</v>
      </c>
      <c r="P1631" t="e">
        <f t="shared" ca="1" si="726"/>
        <v>#VALUE!</v>
      </c>
      <c r="Q1631" t="e">
        <f t="shared" ca="1" si="727"/>
        <v>#VALUE!</v>
      </c>
      <c r="R1631" t="e">
        <f t="shared" ca="1" si="728"/>
        <v>#VALUE!</v>
      </c>
      <c r="S1631" t="e">
        <f t="shared" ca="1" si="747"/>
        <v>#VALUE!</v>
      </c>
      <c r="T1631" t="e">
        <f t="shared" ca="1" si="748"/>
        <v>#VALUE!</v>
      </c>
      <c r="U1631" t="e">
        <f t="shared" ca="1" si="729"/>
        <v>#VALUE!</v>
      </c>
      <c r="V1631" t="e">
        <f t="shared" ca="1" si="730"/>
        <v>#VALUE!</v>
      </c>
      <c r="W1631" t="e">
        <f t="shared" ca="1" si="731"/>
        <v>#VALUE!</v>
      </c>
      <c r="X1631" t="e">
        <f t="shared" ca="1" si="732"/>
        <v>#VALUE!</v>
      </c>
      <c r="Y1631" t="e">
        <f t="shared" ca="1" si="733"/>
        <v>#VALUE!</v>
      </c>
      <c r="Z1631" t="e">
        <f t="shared" ca="1" si="734"/>
        <v>#VALUE!</v>
      </c>
      <c r="AA1631" t="e">
        <f t="shared" ca="1" si="735"/>
        <v>#VALUE!</v>
      </c>
      <c r="AB1631" t="e">
        <f t="shared" ca="1" si="736"/>
        <v>#VALUE!</v>
      </c>
      <c r="AC1631" t="e">
        <f t="shared" ca="1" si="737"/>
        <v>#VALUE!</v>
      </c>
      <c r="AD1631" t="e">
        <f ca="1">IF(V35="Supercritical",L1631,IF(V35="Subcritical",U1631,IF(AND(T1631=1,AC1631=1),IF((((F1631)*(L1631)^2)/2+(G1631)*(L1631)^3/3+(ABS(K1631)^2)/($I$5*MAX(((F1631)+(G1631)*(L1631))*(L1631),0.000001)))&gt;=(((F1631)*(U1631)^2)/2+(G1631)*(U1631)^3/3+(ABS(K1631)^2)/($I$5*MAX(((F1631)+(G1631)*(U1631))*(U1631),0.000001))),L1631,U1631),IF(T1631=1,L1631,IF(AC1631=1,U1631,MAX($D$16,POWER((ABS(K1631)^2)/($I$5*MAX(F1631,0.1)^2),1/3)))))))</f>
        <v>#VALUE!</v>
      </c>
      <c r="AE1631" t="e">
        <f t="shared" ca="1" si="738"/>
        <v>#VALUE!</v>
      </c>
      <c r="AF1631" t="e">
        <f t="shared" ca="1" si="739"/>
        <v>#VALUE!</v>
      </c>
      <c r="AH1631">
        <v>635.5</v>
      </c>
      <c r="AI1631">
        <v>0</v>
      </c>
      <c r="AJ1631" t="e">
        <f t="shared" ca="1" si="750"/>
        <v>#VALUE!</v>
      </c>
      <c r="AK1631" t="e">
        <f t="shared" ca="1" si="740"/>
        <v>#VALUE!</v>
      </c>
      <c r="AL1631" t="e">
        <f t="shared" ca="1" si="749"/>
        <v>#VALUE!</v>
      </c>
      <c r="AM1631" t="e">
        <f t="shared" ca="1" si="741"/>
        <v>#VALUE!</v>
      </c>
      <c r="AN1631" t="e">
        <f t="shared" ca="1" si="742"/>
        <v>#VALUE!</v>
      </c>
      <c r="AO1631" t="e">
        <f t="shared" ca="1" si="743"/>
        <v>#VALUE!</v>
      </c>
    </row>
    <row r="1632" spans="1:41" x14ac:dyDescent="0.35">
      <c r="A1632">
        <v>26</v>
      </c>
      <c r="B1632">
        <v>24.931000000000001</v>
      </c>
      <c r="C1632">
        <v>616081.63199999998</v>
      </c>
      <c r="D1632">
        <v>3096605.75</v>
      </c>
      <c r="E1632">
        <v>631.5</v>
      </c>
      <c r="F1632">
        <v>4.9119999999999999</v>
      </c>
      <c r="G1632">
        <v>0</v>
      </c>
      <c r="H1632" t="s">
        <v>186</v>
      </c>
      <c r="I1632">
        <v>5.2999999999999999E-2</v>
      </c>
      <c r="J1632">
        <f t="shared" si="744"/>
        <v>1.0010000000000012</v>
      </c>
      <c r="K1632" t="e">
        <f t="shared" ca="1" si="745"/>
        <v>#VALUE!</v>
      </c>
      <c r="L1632" t="e">
        <f t="shared" ca="1" si="746"/>
        <v>#VALUE!</v>
      </c>
      <c r="M1632" t="e">
        <f t="shared" ca="1" si="723"/>
        <v>#VALUE!</v>
      </c>
      <c r="N1632" t="e">
        <f t="shared" ca="1" si="724"/>
        <v>#VALUE!</v>
      </c>
      <c r="O1632" t="e">
        <f t="shared" ca="1" si="725"/>
        <v>#VALUE!</v>
      </c>
      <c r="P1632" t="e">
        <f t="shared" ca="1" si="726"/>
        <v>#VALUE!</v>
      </c>
      <c r="Q1632" t="e">
        <f t="shared" ca="1" si="727"/>
        <v>#VALUE!</v>
      </c>
      <c r="R1632" t="e">
        <f t="shared" ca="1" si="728"/>
        <v>#VALUE!</v>
      </c>
      <c r="S1632" t="e">
        <f t="shared" ca="1" si="747"/>
        <v>#VALUE!</v>
      </c>
      <c r="T1632" t="e">
        <f t="shared" ca="1" si="748"/>
        <v>#VALUE!</v>
      </c>
      <c r="U1632" t="e">
        <f t="shared" ca="1" si="729"/>
        <v>#VALUE!</v>
      </c>
      <c r="V1632" t="e">
        <f t="shared" ca="1" si="730"/>
        <v>#VALUE!</v>
      </c>
      <c r="W1632" t="e">
        <f t="shared" ca="1" si="731"/>
        <v>#VALUE!</v>
      </c>
      <c r="X1632" t="e">
        <f t="shared" ca="1" si="732"/>
        <v>#VALUE!</v>
      </c>
      <c r="Y1632" t="e">
        <f t="shared" ca="1" si="733"/>
        <v>#VALUE!</v>
      </c>
      <c r="Z1632" t="e">
        <f t="shared" ca="1" si="734"/>
        <v>#VALUE!</v>
      </c>
      <c r="AA1632" t="e">
        <f t="shared" ca="1" si="735"/>
        <v>#VALUE!</v>
      </c>
      <c r="AB1632" t="e">
        <f t="shared" ca="1" si="736"/>
        <v>#VALUE!</v>
      </c>
      <c r="AC1632" t="e">
        <f t="shared" ca="1" si="737"/>
        <v>#VALUE!</v>
      </c>
      <c r="AD1632" t="e">
        <f ca="1">IF(V35="Supercritical",L1632,IF(V35="Subcritical",U1632,IF(AND(T1632=1,AC1632=1),IF((((F1632)*(L1632)^2)/2+(G1632)*(L1632)^3/3+(ABS(K1632)^2)/($I$5*MAX(((F1632)+(G1632)*(L1632))*(L1632),0.000001)))&gt;=(((F1632)*(U1632)^2)/2+(G1632)*(U1632)^3/3+(ABS(K1632)^2)/($I$5*MAX(((F1632)+(G1632)*(U1632))*(U1632),0.000001))),L1632,U1632),IF(T1632=1,L1632,IF(AC1632=1,U1632,MAX($D$16,POWER((ABS(K1632)^2)/($I$5*MAX(F1632,0.1)^2),1/3)))))))</f>
        <v>#VALUE!</v>
      </c>
      <c r="AE1632" t="e">
        <f t="shared" ca="1" si="738"/>
        <v>#VALUE!</v>
      </c>
      <c r="AF1632" t="e">
        <f t="shared" ca="1" si="739"/>
        <v>#VALUE!</v>
      </c>
      <c r="AH1632">
        <v>635.5</v>
      </c>
      <c r="AI1632">
        <v>0</v>
      </c>
      <c r="AJ1632" t="e">
        <f t="shared" ca="1" si="750"/>
        <v>#VALUE!</v>
      </c>
      <c r="AK1632" t="e">
        <f t="shared" ca="1" si="740"/>
        <v>#VALUE!</v>
      </c>
      <c r="AL1632" t="e">
        <f t="shared" ca="1" si="749"/>
        <v>#VALUE!</v>
      </c>
      <c r="AM1632" t="e">
        <f t="shared" ca="1" si="741"/>
        <v>#VALUE!</v>
      </c>
      <c r="AN1632" t="e">
        <f t="shared" ca="1" si="742"/>
        <v>#VALUE!</v>
      </c>
      <c r="AO1632" t="e">
        <f t="shared" ca="1" si="743"/>
        <v>#VALUE!</v>
      </c>
    </row>
    <row r="1633" spans="1:41" x14ac:dyDescent="0.35">
      <c r="A1633">
        <v>27</v>
      </c>
      <c r="B1633">
        <v>25.931000000000001</v>
      </c>
      <c r="C1633">
        <v>616081.70600000001</v>
      </c>
      <c r="D1633">
        <v>3096604.753</v>
      </c>
      <c r="E1633">
        <v>631.5</v>
      </c>
      <c r="F1633">
        <v>4.8019999999999996</v>
      </c>
      <c r="G1633">
        <v>0</v>
      </c>
      <c r="H1633" t="s">
        <v>186</v>
      </c>
      <c r="I1633">
        <v>0</v>
      </c>
      <c r="J1633">
        <f t="shared" si="744"/>
        <v>1</v>
      </c>
      <c r="K1633" t="e">
        <f t="shared" ca="1" si="745"/>
        <v>#VALUE!</v>
      </c>
      <c r="L1633" t="e">
        <f t="shared" ca="1" si="746"/>
        <v>#VALUE!</v>
      </c>
      <c r="M1633" t="e">
        <f t="shared" ca="1" si="723"/>
        <v>#VALUE!</v>
      </c>
      <c r="N1633" t="e">
        <f t="shared" ca="1" si="724"/>
        <v>#VALUE!</v>
      </c>
      <c r="O1633" t="e">
        <f t="shared" ca="1" si="725"/>
        <v>#VALUE!</v>
      </c>
      <c r="P1633" t="e">
        <f t="shared" ca="1" si="726"/>
        <v>#VALUE!</v>
      </c>
      <c r="Q1633" t="e">
        <f t="shared" ca="1" si="727"/>
        <v>#VALUE!</v>
      </c>
      <c r="R1633" t="e">
        <f t="shared" ca="1" si="728"/>
        <v>#VALUE!</v>
      </c>
      <c r="S1633" t="e">
        <f t="shared" ca="1" si="747"/>
        <v>#VALUE!</v>
      </c>
      <c r="T1633" t="e">
        <f t="shared" ca="1" si="748"/>
        <v>#VALUE!</v>
      </c>
      <c r="U1633" t="e">
        <f t="shared" ca="1" si="729"/>
        <v>#VALUE!</v>
      </c>
      <c r="V1633" t="e">
        <f t="shared" ca="1" si="730"/>
        <v>#VALUE!</v>
      </c>
      <c r="W1633" t="e">
        <f t="shared" ca="1" si="731"/>
        <v>#VALUE!</v>
      </c>
      <c r="X1633" t="e">
        <f t="shared" ca="1" si="732"/>
        <v>#VALUE!</v>
      </c>
      <c r="Y1633" t="e">
        <f t="shared" ca="1" si="733"/>
        <v>#VALUE!</v>
      </c>
      <c r="Z1633" t="e">
        <f t="shared" ca="1" si="734"/>
        <v>#VALUE!</v>
      </c>
      <c r="AA1633" t="e">
        <f t="shared" ca="1" si="735"/>
        <v>#VALUE!</v>
      </c>
      <c r="AB1633" t="e">
        <f t="shared" ca="1" si="736"/>
        <v>#VALUE!</v>
      </c>
      <c r="AC1633" t="e">
        <f t="shared" ca="1" si="737"/>
        <v>#VALUE!</v>
      </c>
      <c r="AD1633" t="e">
        <f ca="1">IF(V35="Supercritical",L1633,IF(V35="Subcritical",U1633,IF(AND(T1633=1,AC1633=1),IF((((F1633)*(L1633)^2)/2+(G1633)*(L1633)^3/3+(ABS(K1633)^2)/($I$5*MAX(((F1633)+(G1633)*(L1633))*(L1633),0.000001)))&gt;=(((F1633)*(U1633)^2)/2+(G1633)*(U1633)^3/3+(ABS(K1633)^2)/($I$5*MAX(((F1633)+(G1633)*(U1633))*(U1633),0.000001))),L1633,U1633),IF(T1633=1,L1633,IF(AC1633=1,U1633,MAX($D$16,POWER((ABS(K1633)^2)/($I$5*MAX(F1633,0.1)^2),1/3)))))))</f>
        <v>#VALUE!</v>
      </c>
      <c r="AE1633" t="e">
        <f t="shared" ca="1" si="738"/>
        <v>#VALUE!</v>
      </c>
      <c r="AF1633" t="e">
        <f t="shared" ca="1" si="739"/>
        <v>#VALUE!</v>
      </c>
      <c r="AH1633">
        <v>635.5</v>
      </c>
      <c r="AI1633">
        <v>0</v>
      </c>
      <c r="AJ1633" t="e">
        <f t="shared" ca="1" si="750"/>
        <v>#VALUE!</v>
      </c>
      <c r="AK1633" t="e">
        <f t="shared" ca="1" si="740"/>
        <v>#VALUE!</v>
      </c>
      <c r="AL1633" t="e">
        <f t="shared" ca="1" si="749"/>
        <v>#VALUE!</v>
      </c>
      <c r="AM1633" t="e">
        <f t="shared" ca="1" si="741"/>
        <v>#VALUE!</v>
      </c>
      <c r="AN1633" t="e">
        <f t="shared" ca="1" si="742"/>
        <v>#VALUE!</v>
      </c>
      <c r="AO1633" t="e">
        <f t="shared" ca="1" si="743"/>
        <v>#VALUE!</v>
      </c>
    </row>
    <row r="1634" spans="1:41" x14ac:dyDescent="0.35">
      <c r="A1634">
        <v>28</v>
      </c>
      <c r="B1634">
        <v>26.93</v>
      </c>
      <c r="C1634">
        <v>616081.78</v>
      </c>
      <c r="D1634">
        <v>3096603.7560000001</v>
      </c>
      <c r="E1634">
        <v>631.5</v>
      </c>
      <c r="F1634">
        <v>4.6929999999999996</v>
      </c>
      <c r="G1634">
        <v>0</v>
      </c>
      <c r="H1634" t="s">
        <v>186</v>
      </c>
      <c r="I1634">
        <v>5.7000000000000002E-2</v>
      </c>
      <c r="J1634">
        <f t="shared" si="744"/>
        <v>0.99899999999999878</v>
      </c>
      <c r="K1634" t="e">
        <f t="shared" ca="1" si="745"/>
        <v>#VALUE!</v>
      </c>
      <c r="L1634" t="e">
        <f t="shared" ca="1" si="746"/>
        <v>#VALUE!</v>
      </c>
      <c r="M1634" t="e">
        <f t="shared" ca="1" si="723"/>
        <v>#VALUE!</v>
      </c>
      <c r="N1634" t="e">
        <f t="shared" ca="1" si="724"/>
        <v>#VALUE!</v>
      </c>
      <c r="O1634" t="e">
        <f t="shared" ca="1" si="725"/>
        <v>#VALUE!</v>
      </c>
      <c r="P1634" t="e">
        <f t="shared" ca="1" si="726"/>
        <v>#VALUE!</v>
      </c>
      <c r="Q1634" t="e">
        <f t="shared" ca="1" si="727"/>
        <v>#VALUE!</v>
      </c>
      <c r="R1634" t="e">
        <f t="shared" ca="1" si="728"/>
        <v>#VALUE!</v>
      </c>
      <c r="S1634" t="e">
        <f t="shared" ca="1" si="747"/>
        <v>#VALUE!</v>
      </c>
      <c r="T1634" t="e">
        <f t="shared" ca="1" si="748"/>
        <v>#VALUE!</v>
      </c>
      <c r="U1634" t="e">
        <f t="shared" ca="1" si="729"/>
        <v>#VALUE!</v>
      </c>
      <c r="V1634" t="e">
        <f t="shared" ca="1" si="730"/>
        <v>#VALUE!</v>
      </c>
      <c r="W1634" t="e">
        <f t="shared" ca="1" si="731"/>
        <v>#VALUE!</v>
      </c>
      <c r="X1634" t="e">
        <f t="shared" ca="1" si="732"/>
        <v>#VALUE!</v>
      </c>
      <c r="Y1634" t="e">
        <f t="shared" ca="1" si="733"/>
        <v>#VALUE!</v>
      </c>
      <c r="Z1634" t="e">
        <f t="shared" ca="1" si="734"/>
        <v>#VALUE!</v>
      </c>
      <c r="AA1634" t="e">
        <f t="shared" ca="1" si="735"/>
        <v>#VALUE!</v>
      </c>
      <c r="AB1634" t="e">
        <f t="shared" ca="1" si="736"/>
        <v>#VALUE!</v>
      </c>
      <c r="AC1634" t="e">
        <f t="shared" ca="1" si="737"/>
        <v>#VALUE!</v>
      </c>
      <c r="AD1634" t="e">
        <f ca="1">IF(V35="Supercritical",L1634,IF(V35="Subcritical",U1634,IF(AND(T1634=1,AC1634=1),IF((((F1634)*(L1634)^2)/2+(G1634)*(L1634)^3/3+(ABS(K1634)^2)/($I$5*MAX(((F1634)+(G1634)*(L1634))*(L1634),0.000001)))&gt;=(((F1634)*(U1634)^2)/2+(G1634)*(U1634)^3/3+(ABS(K1634)^2)/($I$5*MAX(((F1634)+(G1634)*(U1634))*(U1634),0.000001))),L1634,U1634),IF(T1634=1,L1634,IF(AC1634=1,U1634,MAX($D$16,POWER((ABS(K1634)^2)/($I$5*MAX(F1634,0.1)^2),1/3)))))))</f>
        <v>#VALUE!</v>
      </c>
      <c r="AE1634" t="e">
        <f t="shared" ca="1" si="738"/>
        <v>#VALUE!</v>
      </c>
      <c r="AF1634" t="e">
        <f t="shared" ca="1" si="739"/>
        <v>#VALUE!</v>
      </c>
      <c r="AH1634">
        <v>635.5</v>
      </c>
      <c r="AI1634">
        <v>0</v>
      </c>
      <c r="AJ1634" t="e">
        <f t="shared" ca="1" si="750"/>
        <v>#VALUE!</v>
      </c>
      <c r="AK1634" t="e">
        <f t="shared" ca="1" si="740"/>
        <v>#VALUE!</v>
      </c>
      <c r="AL1634" t="e">
        <f t="shared" ca="1" si="749"/>
        <v>#VALUE!</v>
      </c>
      <c r="AM1634" t="e">
        <f t="shared" ca="1" si="741"/>
        <v>#VALUE!</v>
      </c>
      <c r="AN1634" t="e">
        <f t="shared" ca="1" si="742"/>
        <v>#VALUE!</v>
      </c>
      <c r="AO1634" t="e">
        <f t="shared" ca="1" si="743"/>
        <v>#VALUE!</v>
      </c>
    </row>
    <row r="1635" spans="1:41" x14ac:dyDescent="0.35">
      <c r="A1635">
        <v>29</v>
      </c>
      <c r="B1635">
        <v>27.93</v>
      </c>
      <c r="C1635">
        <v>616081.85499999998</v>
      </c>
      <c r="D1635">
        <v>3096602.7590000001</v>
      </c>
      <c r="E1635">
        <v>631.5</v>
      </c>
      <c r="F1635">
        <v>4.5839999999999996</v>
      </c>
      <c r="G1635">
        <v>0</v>
      </c>
      <c r="H1635" t="s">
        <v>186</v>
      </c>
      <c r="I1635">
        <v>5.7000000000000002E-2</v>
      </c>
      <c r="J1635">
        <f t="shared" si="744"/>
        <v>1</v>
      </c>
      <c r="K1635" t="e">
        <f t="shared" ca="1" si="745"/>
        <v>#VALUE!</v>
      </c>
      <c r="L1635" t="e">
        <f t="shared" ca="1" si="746"/>
        <v>#VALUE!</v>
      </c>
      <c r="M1635" t="e">
        <f t="shared" ca="1" si="723"/>
        <v>#VALUE!</v>
      </c>
      <c r="N1635" t="e">
        <f t="shared" ca="1" si="724"/>
        <v>#VALUE!</v>
      </c>
      <c r="O1635" t="e">
        <f t="shared" ca="1" si="725"/>
        <v>#VALUE!</v>
      </c>
      <c r="P1635" t="e">
        <f t="shared" ca="1" si="726"/>
        <v>#VALUE!</v>
      </c>
      <c r="Q1635" t="e">
        <f t="shared" ca="1" si="727"/>
        <v>#VALUE!</v>
      </c>
      <c r="R1635" t="e">
        <f t="shared" ca="1" si="728"/>
        <v>#VALUE!</v>
      </c>
      <c r="S1635" t="e">
        <f t="shared" ca="1" si="747"/>
        <v>#VALUE!</v>
      </c>
      <c r="T1635" t="e">
        <f t="shared" ca="1" si="748"/>
        <v>#VALUE!</v>
      </c>
      <c r="U1635" t="e">
        <f t="shared" ca="1" si="729"/>
        <v>#VALUE!</v>
      </c>
      <c r="V1635" t="e">
        <f t="shared" ca="1" si="730"/>
        <v>#VALUE!</v>
      </c>
      <c r="W1635" t="e">
        <f t="shared" ca="1" si="731"/>
        <v>#VALUE!</v>
      </c>
      <c r="X1635" t="e">
        <f t="shared" ca="1" si="732"/>
        <v>#VALUE!</v>
      </c>
      <c r="Y1635" t="e">
        <f t="shared" ca="1" si="733"/>
        <v>#VALUE!</v>
      </c>
      <c r="Z1635" t="e">
        <f t="shared" ca="1" si="734"/>
        <v>#VALUE!</v>
      </c>
      <c r="AA1635" t="e">
        <f t="shared" ca="1" si="735"/>
        <v>#VALUE!</v>
      </c>
      <c r="AB1635" t="e">
        <f t="shared" ca="1" si="736"/>
        <v>#VALUE!</v>
      </c>
      <c r="AC1635" t="e">
        <f t="shared" ca="1" si="737"/>
        <v>#VALUE!</v>
      </c>
      <c r="AD1635" t="e">
        <f ca="1">IF(V35="Supercritical",L1635,IF(V35="Subcritical",U1635,IF(AND(T1635=1,AC1635=1),IF((((F1635)*(L1635)^2)/2+(G1635)*(L1635)^3/3+(ABS(K1635)^2)/($I$5*MAX(((F1635)+(G1635)*(L1635))*(L1635),0.000001)))&gt;=(((F1635)*(U1635)^2)/2+(G1635)*(U1635)^3/3+(ABS(K1635)^2)/($I$5*MAX(((F1635)+(G1635)*(U1635))*(U1635),0.000001))),L1635,U1635),IF(T1635=1,L1635,IF(AC1635=1,U1635,MAX($D$16,POWER((ABS(K1635)^2)/($I$5*MAX(F1635,0.1)^2),1/3)))))))</f>
        <v>#VALUE!</v>
      </c>
      <c r="AE1635" t="e">
        <f t="shared" ca="1" si="738"/>
        <v>#VALUE!</v>
      </c>
      <c r="AF1635" t="e">
        <f t="shared" ca="1" si="739"/>
        <v>#VALUE!</v>
      </c>
      <c r="AH1635">
        <v>635.5</v>
      </c>
      <c r="AI1635">
        <v>0</v>
      </c>
      <c r="AJ1635" t="e">
        <f t="shared" ca="1" si="750"/>
        <v>#VALUE!</v>
      </c>
      <c r="AK1635" t="e">
        <f t="shared" ca="1" si="740"/>
        <v>#VALUE!</v>
      </c>
      <c r="AL1635" t="e">
        <f t="shared" ca="1" si="749"/>
        <v>#VALUE!</v>
      </c>
      <c r="AM1635" t="e">
        <f t="shared" ca="1" si="741"/>
        <v>#VALUE!</v>
      </c>
      <c r="AN1635" t="e">
        <f t="shared" ca="1" si="742"/>
        <v>#VALUE!</v>
      </c>
      <c r="AO1635" t="e">
        <f t="shared" ca="1" si="743"/>
        <v>#VALUE!</v>
      </c>
    </row>
    <row r="1636" spans="1:41" x14ac:dyDescent="0.35">
      <c r="A1636">
        <v>30</v>
      </c>
      <c r="B1636">
        <v>28.93</v>
      </c>
      <c r="C1636">
        <v>616081.929</v>
      </c>
      <c r="D1636">
        <v>3096601.7620000001</v>
      </c>
      <c r="E1636">
        <v>631.5</v>
      </c>
      <c r="F1636">
        <v>4.4749999999999996</v>
      </c>
      <c r="G1636">
        <v>0</v>
      </c>
      <c r="H1636" t="s">
        <v>186</v>
      </c>
      <c r="I1636">
        <v>5.2999999999999999E-2</v>
      </c>
      <c r="J1636">
        <f t="shared" si="744"/>
        <v>1</v>
      </c>
      <c r="K1636" t="e">
        <f t="shared" ca="1" si="745"/>
        <v>#VALUE!</v>
      </c>
      <c r="L1636" t="e">
        <f t="shared" ca="1" si="746"/>
        <v>#VALUE!</v>
      </c>
      <c r="M1636" t="e">
        <f t="shared" ca="1" si="723"/>
        <v>#VALUE!</v>
      </c>
      <c r="N1636" t="e">
        <f t="shared" ca="1" si="724"/>
        <v>#VALUE!</v>
      </c>
      <c r="O1636" t="e">
        <f t="shared" ca="1" si="725"/>
        <v>#VALUE!</v>
      </c>
      <c r="P1636" t="e">
        <f t="shared" ca="1" si="726"/>
        <v>#VALUE!</v>
      </c>
      <c r="Q1636" t="e">
        <f t="shared" ca="1" si="727"/>
        <v>#VALUE!</v>
      </c>
      <c r="R1636" t="e">
        <f t="shared" ca="1" si="728"/>
        <v>#VALUE!</v>
      </c>
      <c r="S1636" t="e">
        <f t="shared" ca="1" si="747"/>
        <v>#VALUE!</v>
      </c>
      <c r="T1636" t="e">
        <f t="shared" ca="1" si="748"/>
        <v>#VALUE!</v>
      </c>
      <c r="U1636" t="e">
        <f t="shared" ca="1" si="729"/>
        <v>#VALUE!</v>
      </c>
      <c r="V1636" t="e">
        <f t="shared" ca="1" si="730"/>
        <v>#VALUE!</v>
      </c>
      <c r="W1636" t="e">
        <f t="shared" ca="1" si="731"/>
        <v>#VALUE!</v>
      </c>
      <c r="X1636" t="e">
        <f t="shared" ca="1" si="732"/>
        <v>#VALUE!</v>
      </c>
      <c r="Y1636" t="e">
        <f t="shared" ca="1" si="733"/>
        <v>#VALUE!</v>
      </c>
      <c r="Z1636" t="e">
        <f t="shared" ca="1" si="734"/>
        <v>#VALUE!</v>
      </c>
      <c r="AA1636" t="e">
        <f t="shared" ca="1" si="735"/>
        <v>#VALUE!</v>
      </c>
      <c r="AB1636" t="e">
        <f t="shared" ca="1" si="736"/>
        <v>#VALUE!</v>
      </c>
      <c r="AC1636" t="e">
        <f t="shared" ca="1" si="737"/>
        <v>#VALUE!</v>
      </c>
      <c r="AD1636" t="e">
        <f ca="1">IF(V35="Supercritical",L1636,IF(V35="Subcritical",U1636,IF(AND(T1636=1,AC1636=1),IF((((F1636)*(L1636)^2)/2+(G1636)*(L1636)^3/3+(ABS(K1636)^2)/($I$5*MAX(((F1636)+(G1636)*(L1636))*(L1636),0.000001)))&gt;=(((F1636)*(U1636)^2)/2+(G1636)*(U1636)^3/3+(ABS(K1636)^2)/($I$5*MAX(((F1636)+(G1636)*(U1636))*(U1636),0.000001))),L1636,U1636),IF(T1636=1,L1636,IF(AC1636=1,U1636,MAX($D$16,POWER((ABS(K1636)^2)/($I$5*MAX(F1636,0.1)^2),1/3)))))))</f>
        <v>#VALUE!</v>
      </c>
      <c r="AE1636" t="e">
        <f t="shared" ca="1" si="738"/>
        <v>#VALUE!</v>
      </c>
      <c r="AF1636" t="e">
        <f t="shared" ca="1" si="739"/>
        <v>#VALUE!</v>
      </c>
      <c r="AH1636">
        <v>635.5</v>
      </c>
      <c r="AI1636">
        <v>0</v>
      </c>
      <c r="AJ1636" t="e">
        <f t="shared" ca="1" si="750"/>
        <v>#VALUE!</v>
      </c>
      <c r="AK1636" t="e">
        <f t="shared" ca="1" si="740"/>
        <v>#VALUE!</v>
      </c>
      <c r="AL1636" t="e">
        <f t="shared" ca="1" si="749"/>
        <v>#VALUE!</v>
      </c>
      <c r="AM1636" t="e">
        <f t="shared" ca="1" si="741"/>
        <v>#VALUE!</v>
      </c>
      <c r="AN1636" t="e">
        <f t="shared" ca="1" si="742"/>
        <v>#VALUE!</v>
      </c>
      <c r="AO1636" t="e">
        <f t="shared" ca="1" si="743"/>
        <v>#VALUE!</v>
      </c>
    </row>
    <row r="1637" spans="1:41" x14ac:dyDescent="0.35">
      <c r="A1637">
        <v>31</v>
      </c>
      <c r="B1637">
        <v>29.931000000000001</v>
      </c>
      <c r="C1637">
        <v>616082.00399999996</v>
      </c>
      <c r="D1637">
        <v>3096600.764</v>
      </c>
      <c r="E1637">
        <v>631.5</v>
      </c>
      <c r="F1637">
        <v>4.3659999999999997</v>
      </c>
      <c r="G1637">
        <v>0</v>
      </c>
      <c r="H1637" t="s">
        <v>186</v>
      </c>
      <c r="I1637">
        <v>5.2999999999999999E-2</v>
      </c>
      <c r="J1637">
        <f t="shared" si="744"/>
        <v>1.0010000000000012</v>
      </c>
      <c r="K1637" t="e">
        <f t="shared" ca="1" si="745"/>
        <v>#VALUE!</v>
      </c>
      <c r="L1637" t="e">
        <f t="shared" ca="1" si="746"/>
        <v>#VALUE!</v>
      </c>
      <c r="M1637" t="e">
        <f t="shared" ca="1" si="723"/>
        <v>#VALUE!</v>
      </c>
      <c r="N1637" t="e">
        <f t="shared" ca="1" si="724"/>
        <v>#VALUE!</v>
      </c>
      <c r="O1637" t="e">
        <f t="shared" ca="1" si="725"/>
        <v>#VALUE!</v>
      </c>
      <c r="P1637" t="e">
        <f t="shared" ca="1" si="726"/>
        <v>#VALUE!</v>
      </c>
      <c r="Q1637" t="e">
        <f t="shared" ca="1" si="727"/>
        <v>#VALUE!</v>
      </c>
      <c r="R1637" t="e">
        <f t="shared" ca="1" si="728"/>
        <v>#VALUE!</v>
      </c>
      <c r="S1637" t="e">
        <f t="shared" ca="1" si="747"/>
        <v>#VALUE!</v>
      </c>
      <c r="T1637" t="e">
        <f t="shared" ca="1" si="748"/>
        <v>#VALUE!</v>
      </c>
      <c r="U1637" t="e">
        <f t="shared" ca="1" si="729"/>
        <v>#VALUE!</v>
      </c>
      <c r="V1637" t="e">
        <f t="shared" ca="1" si="730"/>
        <v>#VALUE!</v>
      </c>
      <c r="W1637" t="e">
        <f t="shared" ca="1" si="731"/>
        <v>#VALUE!</v>
      </c>
      <c r="X1637" t="e">
        <f t="shared" ca="1" si="732"/>
        <v>#VALUE!</v>
      </c>
      <c r="Y1637" t="e">
        <f t="shared" ca="1" si="733"/>
        <v>#VALUE!</v>
      </c>
      <c r="Z1637" t="e">
        <f t="shared" ca="1" si="734"/>
        <v>#VALUE!</v>
      </c>
      <c r="AA1637" t="e">
        <f t="shared" ca="1" si="735"/>
        <v>#VALUE!</v>
      </c>
      <c r="AB1637" t="e">
        <f t="shared" ca="1" si="736"/>
        <v>#VALUE!</v>
      </c>
      <c r="AC1637" t="e">
        <f t="shared" ca="1" si="737"/>
        <v>#VALUE!</v>
      </c>
      <c r="AD1637" t="e">
        <f ca="1">IF(V35="Supercritical",L1637,IF(V35="Subcritical",U1637,IF(AND(T1637=1,AC1637=1),IF((((F1637)*(L1637)^2)/2+(G1637)*(L1637)^3/3+(ABS(K1637)^2)/($I$5*MAX(((F1637)+(G1637)*(L1637))*(L1637),0.000001)))&gt;=(((F1637)*(U1637)^2)/2+(G1637)*(U1637)^3/3+(ABS(K1637)^2)/($I$5*MAX(((F1637)+(G1637)*(U1637))*(U1637),0.000001))),L1637,U1637),IF(T1637=1,L1637,IF(AC1637=1,U1637,MAX($D$16,POWER((ABS(K1637)^2)/($I$5*MAX(F1637,0.1)^2),1/3)))))))</f>
        <v>#VALUE!</v>
      </c>
      <c r="AE1637" t="e">
        <f t="shared" ca="1" si="738"/>
        <v>#VALUE!</v>
      </c>
      <c r="AF1637" t="e">
        <f t="shared" ca="1" si="739"/>
        <v>#VALUE!</v>
      </c>
      <c r="AH1637">
        <v>635.5</v>
      </c>
      <c r="AI1637">
        <v>0</v>
      </c>
      <c r="AJ1637" t="e">
        <f t="shared" ca="1" si="750"/>
        <v>#VALUE!</v>
      </c>
      <c r="AK1637" t="e">
        <f t="shared" ca="1" si="740"/>
        <v>#VALUE!</v>
      </c>
      <c r="AL1637" t="e">
        <f t="shared" ca="1" si="749"/>
        <v>#VALUE!</v>
      </c>
      <c r="AM1637" t="e">
        <f t="shared" ca="1" si="741"/>
        <v>#VALUE!</v>
      </c>
      <c r="AN1637" t="e">
        <f t="shared" ca="1" si="742"/>
        <v>#VALUE!</v>
      </c>
      <c r="AO1637" t="e">
        <f t="shared" ca="1" si="743"/>
        <v>#VALUE!</v>
      </c>
    </row>
    <row r="1638" spans="1:41" x14ac:dyDescent="0.35">
      <c r="A1638">
        <v>32</v>
      </c>
      <c r="B1638">
        <v>30.931000000000001</v>
      </c>
      <c r="C1638">
        <v>616082.07799999998</v>
      </c>
      <c r="D1638">
        <v>3096599.767</v>
      </c>
      <c r="E1638">
        <v>631.5</v>
      </c>
      <c r="F1638">
        <v>4.2569999999999997</v>
      </c>
      <c r="G1638">
        <v>0</v>
      </c>
      <c r="H1638" t="s">
        <v>186</v>
      </c>
      <c r="I1638">
        <v>5.7000000000000002E-2</v>
      </c>
      <c r="J1638">
        <f t="shared" si="744"/>
        <v>1</v>
      </c>
      <c r="K1638" t="e">
        <f t="shared" ca="1" si="745"/>
        <v>#VALUE!</v>
      </c>
      <c r="L1638" t="e">
        <f t="shared" ca="1" si="746"/>
        <v>#VALUE!</v>
      </c>
      <c r="M1638" t="e">
        <f t="shared" ca="1" si="723"/>
        <v>#VALUE!</v>
      </c>
      <c r="N1638" t="e">
        <f t="shared" ca="1" si="724"/>
        <v>#VALUE!</v>
      </c>
      <c r="O1638" t="e">
        <f t="shared" ca="1" si="725"/>
        <v>#VALUE!</v>
      </c>
      <c r="P1638" t="e">
        <f t="shared" ca="1" si="726"/>
        <v>#VALUE!</v>
      </c>
      <c r="Q1638" t="e">
        <f t="shared" ca="1" si="727"/>
        <v>#VALUE!</v>
      </c>
      <c r="R1638" t="e">
        <f t="shared" ca="1" si="728"/>
        <v>#VALUE!</v>
      </c>
      <c r="S1638" t="e">
        <f t="shared" ca="1" si="747"/>
        <v>#VALUE!</v>
      </c>
      <c r="T1638" t="e">
        <f t="shared" ca="1" si="748"/>
        <v>#VALUE!</v>
      </c>
      <c r="U1638" t="e">
        <f t="shared" ca="1" si="729"/>
        <v>#VALUE!</v>
      </c>
      <c r="V1638" t="e">
        <f t="shared" ca="1" si="730"/>
        <v>#VALUE!</v>
      </c>
      <c r="W1638" t="e">
        <f t="shared" ca="1" si="731"/>
        <v>#VALUE!</v>
      </c>
      <c r="X1638" t="e">
        <f t="shared" ca="1" si="732"/>
        <v>#VALUE!</v>
      </c>
      <c r="Y1638" t="e">
        <f t="shared" ca="1" si="733"/>
        <v>#VALUE!</v>
      </c>
      <c r="Z1638" t="e">
        <f t="shared" ca="1" si="734"/>
        <v>#VALUE!</v>
      </c>
      <c r="AA1638" t="e">
        <f t="shared" ca="1" si="735"/>
        <v>#VALUE!</v>
      </c>
      <c r="AB1638" t="e">
        <f t="shared" ca="1" si="736"/>
        <v>#VALUE!</v>
      </c>
      <c r="AC1638" t="e">
        <f t="shared" ca="1" si="737"/>
        <v>#VALUE!</v>
      </c>
      <c r="AD1638" t="e">
        <f ca="1">IF(V35="Supercritical",L1638,IF(V35="Subcritical",U1638,IF(AND(T1638=1,AC1638=1),IF((((F1638)*(L1638)^2)/2+(G1638)*(L1638)^3/3+(ABS(K1638)^2)/($I$5*MAX(((F1638)+(G1638)*(L1638))*(L1638),0.000001)))&gt;=(((F1638)*(U1638)^2)/2+(G1638)*(U1638)^3/3+(ABS(K1638)^2)/($I$5*MAX(((F1638)+(G1638)*(U1638))*(U1638),0.000001))),L1638,U1638),IF(T1638=1,L1638,IF(AC1638=1,U1638,MAX($D$16,POWER((ABS(K1638)^2)/($I$5*MAX(F1638,0.1)^2),1/3)))))))</f>
        <v>#VALUE!</v>
      </c>
      <c r="AE1638" t="e">
        <f t="shared" ca="1" si="738"/>
        <v>#VALUE!</v>
      </c>
      <c r="AF1638" t="e">
        <f t="shared" ca="1" si="739"/>
        <v>#VALUE!</v>
      </c>
      <c r="AH1638">
        <v>635.5</v>
      </c>
      <c r="AI1638">
        <v>0</v>
      </c>
      <c r="AJ1638" t="e">
        <f t="shared" ca="1" si="750"/>
        <v>#VALUE!</v>
      </c>
      <c r="AK1638" t="e">
        <f t="shared" ca="1" si="740"/>
        <v>#VALUE!</v>
      </c>
      <c r="AL1638" t="e">
        <f t="shared" ca="1" si="749"/>
        <v>#VALUE!</v>
      </c>
      <c r="AM1638" t="e">
        <f t="shared" ca="1" si="741"/>
        <v>#VALUE!</v>
      </c>
      <c r="AN1638" t="e">
        <f t="shared" ca="1" si="742"/>
        <v>#VALUE!</v>
      </c>
      <c r="AO1638" t="e">
        <f t="shared" ca="1" si="743"/>
        <v>#VALUE!</v>
      </c>
    </row>
    <row r="1639" spans="1:41" x14ac:dyDescent="0.35">
      <c r="A1639">
        <v>33</v>
      </c>
      <c r="B1639">
        <v>31.93</v>
      </c>
      <c r="C1639">
        <v>616082.15300000005</v>
      </c>
      <c r="D1639">
        <v>3096598.77</v>
      </c>
      <c r="E1639">
        <v>631.5</v>
      </c>
      <c r="F1639">
        <v>4.1479999999999997</v>
      </c>
      <c r="G1639">
        <v>0</v>
      </c>
      <c r="H1639" t="s">
        <v>186</v>
      </c>
      <c r="I1639">
        <v>5.7000000000000002E-2</v>
      </c>
      <c r="J1639">
        <f t="shared" si="744"/>
        <v>0.99899999999999878</v>
      </c>
      <c r="K1639" t="e">
        <f t="shared" ca="1" si="745"/>
        <v>#VALUE!</v>
      </c>
      <c r="L1639" t="e">
        <f t="shared" ca="1" si="746"/>
        <v>#VALUE!</v>
      </c>
      <c r="M1639" t="e">
        <f t="shared" ca="1" si="723"/>
        <v>#VALUE!</v>
      </c>
      <c r="N1639" t="e">
        <f t="shared" ca="1" si="724"/>
        <v>#VALUE!</v>
      </c>
      <c r="O1639" t="e">
        <f t="shared" ca="1" si="725"/>
        <v>#VALUE!</v>
      </c>
      <c r="P1639" t="e">
        <f t="shared" ca="1" si="726"/>
        <v>#VALUE!</v>
      </c>
      <c r="Q1639" t="e">
        <f t="shared" ca="1" si="727"/>
        <v>#VALUE!</v>
      </c>
      <c r="R1639" t="e">
        <f t="shared" ca="1" si="728"/>
        <v>#VALUE!</v>
      </c>
      <c r="S1639" t="e">
        <f t="shared" ca="1" si="747"/>
        <v>#VALUE!</v>
      </c>
      <c r="T1639" t="e">
        <f t="shared" ca="1" si="748"/>
        <v>#VALUE!</v>
      </c>
      <c r="U1639" t="e">
        <f t="shared" ca="1" si="729"/>
        <v>#VALUE!</v>
      </c>
      <c r="V1639" t="e">
        <f t="shared" ca="1" si="730"/>
        <v>#VALUE!</v>
      </c>
      <c r="W1639" t="e">
        <f t="shared" ca="1" si="731"/>
        <v>#VALUE!</v>
      </c>
      <c r="X1639" t="e">
        <f t="shared" ca="1" si="732"/>
        <v>#VALUE!</v>
      </c>
      <c r="Y1639" t="e">
        <f t="shared" ca="1" si="733"/>
        <v>#VALUE!</v>
      </c>
      <c r="Z1639" t="e">
        <f t="shared" ca="1" si="734"/>
        <v>#VALUE!</v>
      </c>
      <c r="AA1639" t="e">
        <f t="shared" ca="1" si="735"/>
        <v>#VALUE!</v>
      </c>
      <c r="AB1639" t="e">
        <f t="shared" ca="1" si="736"/>
        <v>#VALUE!</v>
      </c>
      <c r="AC1639" t="e">
        <f t="shared" ca="1" si="737"/>
        <v>#VALUE!</v>
      </c>
      <c r="AD1639" t="e">
        <f ca="1">IF(V35="Supercritical",L1639,IF(V35="Subcritical",U1639,IF(AND(T1639=1,AC1639=1),IF((((F1639)*(L1639)^2)/2+(G1639)*(L1639)^3/3+(ABS(K1639)^2)/($I$5*MAX(((F1639)+(G1639)*(L1639))*(L1639),0.000001)))&gt;=(((F1639)*(U1639)^2)/2+(G1639)*(U1639)^3/3+(ABS(K1639)^2)/($I$5*MAX(((F1639)+(G1639)*(U1639))*(U1639),0.000001))),L1639,U1639),IF(T1639=1,L1639,IF(AC1639=1,U1639,MAX($D$16,POWER((ABS(K1639)^2)/($I$5*MAX(F1639,0.1)^2),1/3)))))))</f>
        <v>#VALUE!</v>
      </c>
      <c r="AE1639" t="e">
        <f t="shared" ca="1" si="738"/>
        <v>#VALUE!</v>
      </c>
      <c r="AF1639" t="e">
        <f t="shared" ca="1" si="739"/>
        <v>#VALUE!</v>
      </c>
      <c r="AH1639">
        <v>635.5</v>
      </c>
      <c r="AI1639">
        <v>0</v>
      </c>
      <c r="AJ1639" t="e">
        <f t="shared" ca="1" si="750"/>
        <v>#VALUE!</v>
      </c>
      <c r="AK1639" t="e">
        <f t="shared" ca="1" si="740"/>
        <v>#VALUE!</v>
      </c>
      <c r="AL1639" t="e">
        <f t="shared" ca="1" si="749"/>
        <v>#VALUE!</v>
      </c>
      <c r="AM1639" t="e">
        <f t="shared" ca="1" si="741"/>
        <v>#VALUE!</v>
      </c>
      <c r="AN1639" t="e">
        <f t="shared" ca="1" si="742"/>
        <v>#VALUE!</v>
      </c>
      <c r="AO1639" t="e">
        <f t="shared" ca="1" si="743"/>
        <v>#VALUE!</v>
      </c>
    </row>
    <row r="1640" spans="1:41" x14ac:dyDescent="0.35">
      <c r="A1640">
        <v>34</v>
      </c>
      <c r="B1640">
        <v>32.93</v>
      </c>
      <c r="C1640">
        <v>616082.22699999996</v>
      </c>
      <c r="D1640">
        <v>3096597.773</v>
      </c>
      <c r="E1640">
        <v>631.5</v>
      </c>
      <c r="F1640">
        <v>4.0380000000000003</v>
      </c>
      <c r="G1640">
        <v>0</v>
      </c>
      <c r="H1640" t="s">
        <v>186</v>
      </c>
      <c r="I1640">
        <v>5.2999999999999999E-2</v>
      </c>
      <c r="J1640">
        <f t="shared" si="744"/>
        <v>1</v>
      </c>
      <c r="K1640" t="e">
        <f t="shared" ca="1" si="745"/>
        <v>#VALUE!</v>
      </c>
      <c r="L1640" t="e">
        <f t="shared" ca="1" si="746"/>
        <v>#VALUE!</v>
      </c>
      <c r="M1640" t="e">
        <f t="shared" ca="1" si="723"/>
        <v>#VALUE!</v>
      </c>
      <c r="N1640" t="e">
        <f t="shared" ca="1" si="724"/>
        <v>#VALUE!</v>
      </c>
      <c r="O1640" t="e">
        <f t="shared" ca="1" si="725"/>
        <v>#VALUE!</v>
      </c>
      <c r="P1640" t="e">
        <f t="shared" ca="1" si="726"/>
        <v>#VALUE!</v>
      </c>
      <c r="Q1640" t="e">
        <f t="shared" ca="1" si="727"/>
        <v>#VALUE!</v>
      </c>
      <c r="R1640" t="e">
        <f t="shared" ca="1" si="728"/>
        <v>#VALUE!</v>
      </c>
      <c r="S1640" t="e">
        <f t="shared" ca="1" si="747"/>
        <v>#VALUE!</v>
      </c>
      <c r="T1640" t="e">
        <f t="shared" ca="1" si="748"/>
        <v>#VALUE!</v>
      </c>
      <c r="U1640" t="e">
        <f t="shared" ca="1" si="729"/>
        <v>#VALUE!</v>
      </c>
      <c r="V1640" t="e">
        <f t="shared" ca="1" si="730"/>
        <v>#VALUE!</v>
      </c>
      <c r="W1640" t="e">
        <f t="shared" ca="1" si="731"/>
        <v>#VALUE!</v>
      </c>
      <c r="X1640" t="e">
        <f t="shared" ca="1" si="732"/>
        <v>#VALUE!</v>
      </c>
      <c r="Y1640" t="e">
        <f t="shared" ca="1" si="733"/>
        <v>#VALUE!</v>
      </c>
      <c r="Z1640" t="e">
        <f t="shared" ca="1" si="734"/>
        <v>#VALUE!</v>
      </c>
      <c r="AA1640" t="e">
        <f t="shared" ca="1" si="735"/>
        <v>#VALUE!</v>
      </c>
      <c r="AB1640" t="e">
        <f t="shared" ca="1" si="736"/>
        <v>#VALUE!</v>
      </c>
      <c r="AC1640" t="e">
        <f t="shared" ca="1" si="737"/>
        <v>#VALUE!</v>
      </c>
      <c r="AD1640" t="e">
        <f ca="1">IF(V35="Supercritical",L1640,IF(V35="Subcritical",U1640,IF(AND(T1640=1,AC1640=1),IF((((F1640)*(L1640)^2)/2+(G1640)*(L1640)^3/3+(ABS(K1640)^2)/($I$5*MAX(((F1640)+(G1640)*(L1640))*(L1640),0.000001)))&gt;=(((F1640)*(U1640)^2)/2+(G1640)*(U1640)^3/3+(ABS(K1640)^2)/($I$5*MAX(((F1640)+(G1640)*(U1640))*(U1640),0.000001))),L1640,U1640),IF(T1640=1,L1640,IF(AC1640=1,U1640,MAX($D$16,POWER((ABS(K1640)^2)/($I$5*MAX(F1640,0.1)^2),1/3)))))))</f>
        <v>#VALUE!</v>
      </c>
      <c r="AE1640" t="e">
        <f t="shared" ca="1" si="738"/>
        <v>#VALUE!</v>
      </c>
      <c r="AF1640" t="e">
        <f t="shared" ca="1" si="739"/>
        <v>#VALUE!</v>
      </c>
      <c r="AH1640">
        <v>635.5</v>
      </c>
      <c r="AI1640">
        <v>0</v>
      </c>
      <c r="AJ1640" t="e">
        <f t="shared" ca="1" si="750"/>
        <v>#VALUE!</v>
      </c>
      <c r="AK1640" t="e">
        <f t="shared" ca="1" si="740"/>
        <v>#VALUE!</v>
      </c>
      <c r="AL1640" t="e">
        <f t="shared" ca="1" si="749"/>
        <v>#VALUE!</v>
      </c>
      <c r="AM1640" t="e">
        <f t="shared" ca="1" si="741"/>
        <v>#VALUE!</v>
      </c>
      <c r="AN1640" t="e">
        <f t="shared" ca="1" si="742"/>
        <v>#VALUE!</v>
      </c>
      <c r="AO1640" t="e">
        <f t="shared" ca="1" si="743"/>
        <v>#VALUE!</v>
      </c>
    </row>
    <row r="1641" spans="1:41" x14ac:dyDescent="0.35">
      <c r="A1641">
        <v>35</v>
      </c>
      <c r="B1641">
        <v>33.930999999999997</v>
      </c>
      <c r="C1641">
        <v>616082.30200000003</v>
      </c>
      <c r="D1641">
        <v>3096596.7749999999</v>
      </c>
      <c r="E1641">
        <v>631.5</v>
      </c>
      <c r="F1641">
        <v>3.9289999999999998</v>
      </c>
      <c r="G1641">
        <v>0</v>
      </c>
      <c r="H1641" t="s">
        <v>186</v>
      </c>
      <c r="I1641">
        <v>5.2999999999999999E-2</v>
      </c>
      <c r="J1641">
        <f t="shared" si="744"/>
        <v>1.0009999999999977</v>
      </c>
      <c r="K1641" t="e">
        <f t="shared" ca="1" si="745"/>
        <v>#VALUE!</v>
      </c>
      <c r="L1641" t="e">
        <f t="shared" ca="1" si="746"/>
        <v>#VALUE!</v>
      </c>
      <c r="M1641" t="e">
        <f t="shared" ca="1" si="723"/>
        <v>#VALUE!</v>
      </c>
      <c r="N1641" t="e">
        <f t="shared" ca="1" si="724"/>
        <v>#VALUE!</v>
      </c>
      <c r="O1641" t="e">
        <f t="shared" ca="1" si="725"/>
        <v>#VALUE!</v>
      </c>
      <c r="P1641" t="e">
        <f t="shared" ca="1" si="726"/>
        <v>#VALUE!</v>
      </c>
      <c r="Q1641" t="e">
        <f t="shared" ca="1" si="727"/>
        <v>#VALUE!</v>
      </c>
      <c r="R1641" t="e">
        <f t="shared" ca="1" si="728"/>
        <v>#VALUE!</v>
      </c>
      <c r="S1641" t="e">
        <f t="shared" ca="1" si="747"/>
        <v>#VALUE!</v>
      </c>
      <c r="T1641" t="e">
        <f t="shared" ca="1" si="748"/>
        <v>#VALUE!</v>
      </c>
      <c r="U1641" t="e">
        <f t="shared" ca="1" si="729"/>
        <v>#VALUE!</v>
      </c>
      <c r="V1641" t="e">
        <f t="shared" ca="1" si="730"/>
        <v>#VALUE!</v>
      </c>
      <c r="W1641" t="e">
        <f t="shared" ca="1" si="731"/>
        <v>#VALUE!</v>
      </c>
      <c r="X1641" t="e">
        <f t="shared" ca="1" si="732"/>
        <v>#VALUE!</v>
      </c>
      <c r="Y1641" t="e">
        <f t="shared" ca="1" si="733"/>
        <v>#VALUE!</v>
      </c>
      <c r="Z1641" t="e">
        <f t="shared" ca="1" si="734"/>
        <v>#VALUE!</v>
      </c>
      <c r="AA1641" t="e">
        <f t="shared" ca="1" si="735"/>
        <v>#VALUE!</v>
      </c>
      <c r="AB1641" t="e">
        <f t="shared" ca="1" si="736"/>
        <v>#VALUE!</v>
      </c>
      <c r="AC1641" t="e">
        <f t="shared" ca="1" si="737"/>
        <v>#VALUE!</v>
      </c>
      <c r="AD1641" t="e">
        <f ca="1">IF(V35="Supercritical",L1641,IF(V35="Subcritical",U1641,IF(AND(T1641=1,AC1641=1),IF((((F1641)*(L1641)^2)/2+(G1641)*(L1641)^3/3+(ABS(K1641)^2)/($I$5*MAX(((F1641)+(G1641)*(L1641))*(L1641),0.000001)))&gt;=(((F1641)*(U1641)^2)/2+(G1641)*(U1641)^3/3+(ABS(K1641)^2)/($I$5*MAX(((F1641)+(G1641)*(U1641))*(U1641),0.000001))),L1641,U1641),IF(T1641=1,L1641,IF(AC1641=1,U1641,MAX($D$16,POWER((ABS(K1641)^2)/($I$5*MAX(F1641,0.1)^2),1/3)))))))</f>
        <v>#VALUE!</v>
      </c>
      <c r="AE1641" t="e">
        <f t="shared" ca="1" si="738"/>
        <v>#VALUE!</v>
      </c>
      <c r="AF1641" t="e">
        <f t="shared" ca="1" si="739"/>
        <v>#VALUE!</v>
      </c>
      <c r="AH1641">
        <v>635.5</v>
      </c>
      <c r="AI1641">
        <v>0</v>
      </c>
      <c r="AJ1641" t="e">
        <f t="shared" ca="1" si="750"/>
        <v>#VALUE!</v>
      </c>
      <c r="AK1641" t="e">
        <f t="shared" ca="1" si="740"/>
        <v>#VALUE!</v>
      </c>
      <c r="AL1641" t="e">
        <f t="shared" ca="1" si="749"/>
        <v>#VALUE!</v>
      </c>
      <c r="AM1641" t="e">
        <f t="shared" ca="1" si="741"/>
        <v>#VALUE!</v>
      </c>
      <c r="AN1641" t="e">
        <f t="shared" ca="1" si="742"/>
        <v>#VALUE!</v>
      </c>
      <c r="AO1641" t="e">
        <f t="shared" ca="1" si="743"/>
        <v>#VALUE!</v>
      </c>
    </row>
    <row r="1642" spans="1:41" x14ac:dyDescent="0.35">
      <c r="A1642">
        <v>36</v>
      </c>
      <c r="B1642">
        <v>34.930999999999997</v>
      </c>
      <c r="C1642">
        <v>616082.37600000005</v>
      </c>
      <c r="D1642">
        <v>3096595.7779999999</v>
      </c>
      <c r="E1642">
        <v>631.5</v>
      </c>
      <c r="F1642">
        <v>3.82</v>
      </c>
      <c r="G1642">
        <v>0</v>
      </c>
      <c r="H1642" t="s">
        <v>186</v>
      </c>
      <c r="I1642">
        <v>0</v>
      </c>
      <c r="J1642">
        <f t="shared" si="744"/>
        <v>1</v>
      </c>
      <c r="K1642" t="e">
        <f t="shared" ca="1" si="745"/>
        <v>#VALUE!</v>
      </c>
      <c r="L1642" t="e">
        <f t="shared" ca="1" si="746"/>
        <v>#VALUE!</v>
      </c>
      <c r="M1642" t="e">
        <f t="shared" ca="1" si="723"/>
        <v>#VALUE!</v>
      </c>
      <c r="N1642" t="e">
        <f t="shared" ca="1" si="724"/>
        <v>#VALUE!</v>
      </c>
      <c r="O1642" t="e">
        <f t="shared" ca="1" si="725"/>
        <v>#VALUE!</v>
      </c>
      <c r="P1642" t="e">
        <f t="shared" ca="1" si="726"/>
        <v>#VALUE!</v>
      </c>
      <c r="Q1642" t="e">
        <f t="shared" ca="1" si="727"/>
        <v>#VALUE!</v>
      </c>
      <c r="R1642" t="e">
        <f t="shared" ca="1" si="728"/>
        <v>#VALUE!</v>
      </c>
      <c r="S1642" t="e">
        <f t="shared" ca="1" si="747"/>
        <v>#VALUE!</v>
      </c>
      <c r="T1642" t="e">
        <f t="shared" ca="1" si="748"/>
        <v>#VALUE!</v>
      </c>
      <c r="U1642">
        <f>MAX($D$16,(P8)-E1642)</f>
        <v>0.05</v>
      </c>
      <c r="V1642">
        <f t="shared" si="730"/>
        <v>0.191</v>
      </c>
      <c r="W1642">
        <f t="shared" si="731"/>
        <v>4.8724489795918369E-2</v>
      </c>
      <c r="X1642" t="e">
        <f t="shared" ca="1" si="732"/>
        <v>#VALUE!</v>
      </c>
      <c r="Y1642">
        <f t="shared" si="733"/>
        <v>631.54999999999995</v>
      </c>
      <c r="Z1642" t="e">
        <f t="shared" ca="1" si="734"/>
        <v>#VALUE!</v>
      </c>
      <c r="AA1642" t="e">
        <f t="shared" ca="1" si="735"/>
        <v>#VALUE!</v>
      </c>
      <c r="AB1642">
        <v>0</v>
      </c>
      <c r="AC1642">
        <v>1</v>
      </c>
      <c r="AD1642" t="e">
        <f ca="1">IF(V35="Supercritical",L1642,IF(V35="Subcritical",U1642,IF(AND(T1642=1,AC1642=1),IF((((F1642)*(L1642)^2)/2+(G1642)*(L1642)^3/3+(ABS(K1642)^2)/($I$5*MAX(((F1642)+(G1642)*(L1642))*(L1642),0.000001)))&gt;=(((F1642)*(U1642)^2)/2+(G1642)*(U1642)^3/3+(ABS(K1642)^2)/($I$5*MAX(((F1642)+(G1642)*(U1642))*(U1642),0.000001))),L1642,U1642),IF(T1642=1,L1642,IF(AC1642=1,U1642,MAX($D$16,POWER((ABS(K1642)^2)/($I$5*MAX(F1642,0.1)^2),1/3)))))))</f>
        <v>#VALUE!</v>
      </c>
      <c r="AE1642" t="e">
        <f t="shared" ca="1" si="738"/>
        <v>#VALUE!</v>
      </c>
      <c r="AF1642" t="e">
        <f t="shared" ca="1" si="739"/>
        <v>#VALUE!</v>
      </c>
      <c r="AH1642">
        <v>635.5</v>
      </c>
      <c r="AI1642">
        <v>0</v>
      </c>
      <c r="AJ1642" t="e">
        <f t="shared" ca="1" si="750"/>
        <v>#VALUE!</v>
      </c>
      <c r="AK1642" t="e">
        <f ca="1">AI1642+AJ1642+MAX(0,K1642-(AI1642+AJ1642))</f>
        <v>#VALUE!</v>
      </c>
      <c r="AL1642" t="e">
        <f t="shared" ca="1" si="749"/>
        <v>#VALUE!</v>
      </c>
      <c r="AM1642" t="e">
        <f t="shared" ca="1" si="741"/>
        <v>#VALUE!</v>
      </c>
      <c r="AN1642" t="e">
        <f t="shared" ca="1" si="742"/>
        <v>#VALUE!</v>
      </c>
      <c r="AO1642" t="e">
        <f t="shared" ca="1" si="743"/>
        <v>#VALUE!</v>
      </c>
    </row>
    <row r="1645" spans="1:41" x14ac:dyDescent="0.35">
      <c r="A1645" t="s">
        <v>192</v>
      </c>
      <c r="E1645">
        <f>E36</f>
        <v>45.363</v>
      </c>
      <c r="F1645" t="s">
        <v>141</v>
      </c>
      <c r="H1645" t="e">
        <f ca="1">N36</f>
        <v>#VALUE!</v>
      </c>
      <c r="I1645" t="s">
        <v>13</v>
      </c>
      <c r="K1645" t="str">
        <f>V36</f>
        <v>Mixed</v>
      </c>
      <c r="L1645" t="s">
        <v>142</v>
      </c>
    </row>
    <row r="1646" spans="1:41" x14ac:dyDescent="0.35">
      <c r="A1646" t="s">
        <v>143</v>
      </c>
      <c r="B1646" t="s">
        <v>144</v>
      </c>
      <c r="C1646" t="s">
        <v>145</v>
      </c>
      <c r="D1646" t="s">
        <v>146</v>
      </c>
      <c r="E1646" t="s">
        <v>147</v>
      </c>
      <c r="F1646" t="s">
        <v>148</v>
      </c>
      <c r="G1646" t="s">
        <v>149</v>
      </c>
      <c r="H1646" t="s">
        <v>9</v>
      </c>
      <c r="I1646" t="s">
        <v>150</v>
      </c>
      <c r="J1646" t="s">
        <v>151</v>
      </c>
      <c r="K1646" t="s">
        <v>152</v>
      </c>
      <c r="L1646" t="s">
        <v>153</v>
      </c>
      <c r="M1646" t="s">
        <v>154</v>
      </c>
      <c r="N1646" t="s">
        <v>155</v>
      </c>
      <c r="O1646" t="s">
        <v>156</v>
      </c>
      <c r="P1646" t="s">
        <v>157</v>
      </c>
      <c r="Q1646" t="s">
        <v>158</v>
      </c>
      <c r="R1646" t="s">
        <v>159</v>
      </c>
      <c r="S1646" t="s">
        <v>160</v>
      </c>
      <c r="T1646" t="s">
        <v>161</v>
      </c>
      <c r="U1646" t="s">
        <v>162</v>
      </c>
      <c r="V1646" t="s">
        <v>163</v>
      </c>
      <c r="W1646" t="s">
        <v>164</v>
      </c>
      <c r="X1646" t="s">
        <v>165</v>
      </c>
      <c r="Y1646" t="s">
        <v>166</v>
      </c>
      <c r="Z1646" t="s">
        <v>167</v>
      </c>
      <c r="AA1646" t="s">
        <v>168</v>
      </c>
      <c r="AB1646" t="s">
        <v>169</v>
      </c>
      <c r="AC1646" t="s">
        <v>170</v>
      </c>
      <c r="AD1646" t="s">
        <v>171</v>
      </c>
      <c r="AE1646" t="s">
        <v>172</v>
      </c>
      <c r="AF1646" t="s">
        <v>173</v>
      </c>
      <c r="AG1646" t="s">
        <v>174</v>
      </c>
      <c r="AH1646" t="s">
        <v>175</v>
      </c>
      <c r="AI1646" t="s">
        <v>176</v>
      </c>
      <c r="AJ1646" t="s">
        <v>177</v>
      </c>
      <c r="AK1646" t="s">
        <v>178</v>
      </c>
      <c r="AL1646" t="s">
        <v>179</v>
      </c>
      <c r="AM1646" t="s">
        <v>180</v>
      </c>
      <c r="AN1646" t="s">
        <v>181</v>
      </c>
      <c r="AO1646" t="s">
        <v>182</v>
      </c>
    </row>
    <row r="1647" spans="1:41" x14ac:dyDescent="0.35">
      <c r="A1647" t="s">
        <v>22</v>
      </c>
      <c r="B1647" t="s">
        <v>52</v>
      </c>
      <c r="C1647" t="s">
        <v>52</v>
      </c>
      <c r="D1647" t="s">
        <v>52</v>
      </c>
      <c r="E1647" t="s">
        <v>52</v>
      </c>
      <c r="F1647" t="s">
        <v>52</v>
      </c>
      <c r="G1647" t="s">
        <v>22</v>
      </c>
      <c r="H1647" t="s">
        <v>22</v>
      </c>
      <c r="I1647" t="s">
        <v>183</v>
      </c>
      <c r="J1647" t="s">
        <v>52</v>
      </c>
      <c r="K1647" t="s">
        <v>13</v>
      </c>
      <c r="L1647" t="s">
        <v>52</v>
      </c>
      <c r="M1647" t="s">
        <v>184</v>
      </c>
      <c r="N1647" t="s">
        <v>52</v>
      </c>
      <c r="O1647" t="s">
        <v>185</v>
      </c>
      <c r="P1647" t="s">
        <v>52</v>
      </c>
      <c r="Q1647" t="s">
        <v>52</v>
      </c>
      <c r="R1647" t="s">
        <v>22</v>
      </c>
      <c r="S1647" t="s">
        <v>52</v>
      </c>
      <c r="T1647" t="s">
        <v>22</v>
      </c>
      <c r="U1647" t="s">
        <v>52</v>
      </c>
      <c r="V1647" t="s">
        <v>184</v>
      </c>
      <c r="W1647" t="s">
        <v>52</v>
      </c>
      <c r="X1647" t="s">
        <v>185</v>
      </c>
      <c r="Y1647" t="s">
        <v>52</v>
      </c>
      <c r="Z1647" t="s">
        <v>52</v>
      </c>
      <c r="AA1647" t="s">
        <v>22</v>
      </c>
      <c r="AB1647" t="s">
        <v>52</v>
      </c>
      <c r="AC1647" t="s">
        <v>22</v>
      </c>
      <c r="AD1647" t="s">
        <v>52</v>
      </c>
      <c r="AE1647" t="s">
        <v>52</v>
      </c>
      <c r="AF1647" t="s">
        <v>52</v>
      </c>
      <c r="AG1647" t="s">
        <v>52</v>
      </c>
      <c r="AH1647" t="s">
        <v>52</v>
      </c>
      <c r="AI1647" t="s">
        <v>13</v>
      </c>
      <c r="AJ1647" t="s">
        <v>13</v>
      </c>
      <c r="AK1647" t="s">
        <v>13</v>
      </c>
      <c r="AL1647" t="s">
        <v>13</v>
      </c>
      <c r="AM1647" t="s">
        <v>22</v>
      </c>
      <c r="AN1647" t="s">
        <v>22</v>
      </c>
      <c r="AO1647" t="s">
        <v>22</v>
      </c>
    </row>
    <row r="1648" spans="1:41" x14ac:dyDescent="0.35">
      <c r="A1648">
        <v>1</v>
      </c>
      <c r="B1648">
        <v>0</v>
      </c>
      <c r="C1648">
        <v>616073.13500000001</v>
      </c>
      <c r="D1648">
        <v>3096615.2420000001</v>
      </c>
      <c r="E1648">
        <v>631.5</v>
      </c>
      <c r="F1648">
        <v>2.0499999999999998</v>
      </c>
      <c r="G1648">
        <v>0</v>
      </c>
      <c r="H1648" t="s">
        <v>186</v>
      </c>
      <c r="I1648">
        <v>0</v>
      </c>
      <c r="J1648">
        <v>0</v>
      </c>
      <c r="K1648">
        <v>0</v>
      </c>
      <c r="L1648">
        <f>MAX($D$16,(P9)-E1648)</f>
        <v>0.05</v>
      </c>
      <c r="M1648">
        <f t="shared" ref="M1648:M1694" si="751">((F1648)+(G1648)*(L1648))*(L1648)</f>
        <v>0.10249999999999999</v>
      </c>
      <c r="N1648">
        <f t="shared" ref="N1648:N1694" si="752">(((F1648)+(G1648)*(L1648))*(L1648))/MAX((F1648)+2*(L1648)*SQRT(1+(G1648)^2),0.000001)</f>
        <v>4.7674418604651159E-2</v>
      </c>
      <c r="O1648">
        <f t="shared" ref="O1648:O1694" si="753">ABS(K1648)/MAX(((F1648)+(G1648)*(L1648))*(L1648),0.000001)</f>
        <v>0</v>
      </c>
      <c r="P1648">
        <f t="shared" ref="P1648:P1694" si="754">E1648+L1648</f>
        <v>631.54999999999995</v>
      </c>
      <c r="Q1648">
        <f t="shared" ref="Q1648:Q1694" si="755">P1648+((ABS(K1648)/MAX(((F1648)+(G1648)*(L1648))*(L1648),0.000001))^2)/(2*$I$5)</f>
        <v>631.54999999999995</v>
      </c>
      <c r="R1648">
        <f t="shared" ref="R1648:R1694" si="756">((ABS(K1648)*$D$6)/(MAX(((F1648)+(G1648)*(L1648))*(L1648),0.000001)*MAX(((((F1648)+(G1648)*(L1648))*(L1648))/MAX((F1648)+2*(L1648)*SQRT(1+(G1648)^2),0.000001))^(2/3),0.000001)))^2</f>
        <v>0</v>
      </c>
      <c r="S1648">
        <v>0</v>
      </c>
      <c r="T1648">
        <v>1</v>
      </c>
      <c r="U1648" t="e">
        <f t="shared" ref="U1648:U1693" ca="1" si="757">IF($D$20=0,U1649,IF(AC1649=0,U1649,IF(U1648=0,U1649,IF(ABS(AB1648)&gt;$D$19,MAX($D$16,U1648+((AB1648)*$D$18*IF((ABS(ABS(K1648)/MAX(((F1648)+(G1648)*(U1648))*(U1648),0.000001))/SQRT($I$5*MAX((((F1648)+(G1648)*(U1648))*(U1648))/MAX((F1648)+2*(G1648)*(U1648),0.000001),0.000001)))&lt;1,1,-1))),U1648))))</f>
        <v>#VALUE!</v>
      </c>
      <c r="V1648" t="e">
        <f t="shared" ref="V1648:V1694" ca="1" si="758">((F1648)+(G1648)*(U1648))*(U1648)</f>
        <v>#VALUE!</v>
      </c>
      <c r="W1648" t="e">
        <f t="shared" ref="W1648:W1694" ca="1" si="759">(((F1648)+(G1648)*(U1648))*(U1648))/MAX((F1648)+2*(U1648)*SQRT(1+(G1648)^2),0.000001)</f>
        <v>#VALUE!</v>
      </c>
      <c r="X1648" t="e">
        <f t="shared" ref="X1648:X1694" ca="1" si="760">ABS(K1648)/MAX(((F1648)+(G1648)*(U1648))*(U1648),0.000001)</f>
        <v>#VALUE!</v>
      </c>
      <c r="Y1648" t="e">
        <f t="shared" ref="Y1648:Y1694" ca="1" si="761">E1648+U1648</f>
        <v>#VALUE!</v>
      </c>
      <c r="Z1648" t="e">
        <f t="shared" ref="Z1648:Z1694" ca="1" si="762">Y1648+((ABS(K1648)/MAX(((F1648)+(G1648)*(U1648))*(U1648),0.000001))^2)/(2*$I$5)</f>
        <v>#VALUE!</v>
      </c>
      <c r="AA1648" t="e">
        <f t="shared" ref="AA1648:AA1694" ca="1" si="763">((ABS(K1648)*$D$6)/(MAX(((F1648)+(G1648)*(U1648))*(U1648),0.000001)*MAX(((((F1648)+(G1648)*(U1648))*(U1648))/MAX((F1648)+2*(U1648)*SQRT(1+(G1648)^2),0.000001))^(2/3),0.000001)))^2</f>
        <v>#VALUE!</v>
      </c>
      <c r="AB1648" t="e">
        <f t="shared" ref="AB1648:AB1693" ca="1" si="764">Z1649+(((AA1648+AA1649)/2)*J1649)+(IF(X1648&gt;X1649,$D$8*((X1648^2-X1649^2)/(2*$I$5)),$D$9*((X1649^2-X1648^2)/(2*$I$5)))+($D$10*(ABS(I1649)/90)*(MAX(X1648^2,X1649^2)/(2*$I$5))))-Z1648</f>
        <v>#VALUE!</v>
      </c>
      <c r="AC1648" t="e">
        <f t="shared" ref="AC1648:AC1693" ca="1" si="765">IF(ABS(AB1648)&lt;$D$19,1,0)</f>
        <v>#VALUE!</v>
      </c>
      <c r="AD1648" t="e">
        <f ca="1">IF(V36="Supercritical",L1648,IF(V36="Subcritical",U1648,IF(AND(T1648=1,AC1648=1),IF((((F1648)*(L1648)^2)/2+(G1648)*(L1648)^3/3+(ABS(K1648)^2)/($I$5*MAX(((F1648)+(G1648)*(L1648))*(L1648),0.000001)))&gt;=(((F1648)*(U1648)^2)/2+(G1648)*(U1648)^3/3+(ABS(K1648)^2)/($I$5*MAX(((F1648)+(G1648)*(U1648))*(U1648),0.000001))),L1648,U1648),IF(T1648=1,L1648,IF(AC1648=1,U1648,MAX($D$16,POWER((ABS(K1648)^2)/($I$5*MAX(F1648,0.1)^2),1/3)))))))</f>
        <v>#VALUE!</v>
      </c>
      <c r="AE1648" t="e">
        <f t="shared" ref="AE1648:AE1694" ca="1" si="766">E1648+AD1648</f>
        <v>#VALUE!</v>
      </c>
      <c r="AF1648" t="e">
        <f t="shared" ref="AF1648:AF1694" ca="1" si="767">AE1648+((ABS(K1648)/MAX(((F1648)+(G1648)*(AD1648))*(AD1648),0.000001))^2)/(2*$I$5)</f>
        <v>#VALUE!</v>
      </c>
      <c r="AI1648">
        <v>0</v>
      </c>
      <c r="AJ1648">
        <v>0</v>
      </c>
      <c r="AK1648">
        <f t="shared" ref="AK1648:AK1694" si="768">AI1648+AJ1648</f>
        <v>0</v>
      </c>
      <c r="AL1648">
        <f>AK1648</f>
        <v>0</v>
      </c>
      <c r="AM1648" t="e">
        <f t="shared" ref="AM1648:AM1694" ca="1" si="769">ABS(ABS(K1648)/MAX(((F1648)+(G1648)*(AD1648))*(AD1648),0.000001))/SQRT($I$5*MAX((((F1648)+(G1648)*(AD1648))*(AD1648))/MAX((F1648)+2*(G1648)*(AD1648),0.000001),0.000001))</f>
        <v>#VALUE!</v>
      </c>
      <c r="AN1648" t="e">
        <f t="shared" ref="AN1648:AN1694" ca="1" si="770">IF(AM1648&lt;1,"Subcritical","Supercritical")</f>
        <v>#VALUE!</v>
      </c>
      <c r="AO1648" t="e">
        <f t="shared" ref="AO1648:AO1694" ca="1" si="771">((ABS(K1648)*$D$6)/(MAX(((F1648)+(G1648)*(AD1648))*(AD1648),0.000001)*MAX(((((F1648)+(G1648)*(AD1648))*(AD1648))/MAX((F1648)+2*(AD1648)*SQRT(1+(G1648)^2),0.000001))^(2/3),0.000001)))^2</f>
        <v>#VALUE!</v>
      </c>
    </row>
    <row r="1649" spans="1:41" x14ac:dyDescent="0.35">
      <c r="A1649">
        <v>2</v>
      </c>
      <c r="B1649">
        <v>1</v>
      </c>
      <c r="C1649">
        <v>616073.55599999998</v>
      </c>
      <c r="D1649">
        <v>3096614.335</v>
      </c>
      <c r="E1649">
        <v>631.5</v>
      </c>
      <c r="F1649">
        <v>2.3319999999999999</v>
      </c>
      <c r="G1649">
        <v>0</v>
      </c>
      <c r="H1649" t="s">
        <v>186</v>
      </c>
      <c r="I1649">
        <v>0</v>
      </c>
      <c r="J1649">
        <f t="shared" ref="J1649:J1694" si="772">B1649-B1648</f>
        <v>1</v>
      </c>
      <c r="K1649">
        <v>0</v>
      </c>
      <c r="L1649">
        <f t="shared" ref="L1649:L1694" ca="1" si="773">IF($D$20=0,L1648,IF(T1648=0,L1648,IF(L1649=0,L1648,IF(ABS(S1649)&gt;$D$19,MAX($D$16,L1649+((S1649)*$D$18*IF((ABS(ABS(K1649)/MAX(((F1649)+(G1649)*(L1649))*(L1649),0.000001))/SQRT($I$5*MAX((((F1649)+(G1649)*(L1649))*(L1649))/MAX((F1649)+2*(G1649)*(L1649),0.000001),0.000001)))&lt;1,1,-1))),L1649))))</f>
        <v>0.05</v>
      </c>
      <c r="M1649">
        <f t="shared" ca="1" si="751"/>
        <v>0.1166</v>
      </c>
      <c r="N1649">
        <f t="shared" ca="1" si="752"/>
        <v>4.7944078947368421E-2</v>
      </c>
      <c r="O1649">
        <f t="shared" ca="1" si="753"/>
        <v>0</v>
      </c>
      <c r="P1649">
        <f t="shared" ca="1" si="754"/>
        <v>631.54999999999995</v>
      </c>
      <c r="Q1649">
        <f t="shared" ca="1" si="755"/>
        <v>631.54999999999995</v>
      </c>
      <c r="R1649">
        <f t="shared" ca="1" si="756"/>
        <v>0</v>
      </c>
      <c r="S1649">
        <f t="shared" ref="S1649:S1694" ca="1" si="774">Q1648-(((R1648+R1649)/2)*J1649)-(IF(O1648&gt;O1649,$D$8*((O1648^2-O1649^2)/(2*$I$5)),$D$9*((O1649^2-O1648^2)/(2*$I$5)))+($D$10*(ABS(I1649)/90)*(MAX(O1648^2,O1649^2)/(2*$I$5))))-Q1649</f>
        <v>0</v>
      </c>
      <c r="T1649">
        <f t="shared" ref="T1649:T1694" ca="1" si="775">IF(ABS(S1649)&lt;$D$19,1,0)</f>
        <v>1</v>
      </c>
      <c r="U1649" t="e">
        <f t="shared" ca="1" si="757"/>
        <v>#VALUE!</v>
      </c>
      <c r="V1649" t="e">
        <f t="shared" ca="1" si="758"/>
        <v>#VALUE!</v>
      </c>
      <c r="W1649" t="e">
        <f t="shared" ca="1" si="759"/>
        <v>#VALUE!</v>
      </c>
      <c r="X1649" t="e">
        <f t="shared" ca="1" si="760"/>
        <v>#VALUE!</v>
      </c>
      <c r="Y1649" t="e">
        <f t="shared" ca="1" si="761"/>
        <v>#VALUE!</v>
      </c>
      <c r="Z1649" t="e">
        <f t="shared" ca="1" si="762"/>
        <v>#VALUE!</v>
      </c>
      <c r="AA1649" t="e">
        <f t="shared" ca="1" si="763"/>
        <v>#VALUE!</v>
      </c>
      <c r="AB1649" t="e">
        <f t="shared" ca="1" si="764"/>
        <v>#VALUE!</v>
      </c>
      <c r="AC1649" t="e">
        <f t="shared" ca="1" si="765"/>
        <v>#VALUE!</v>
      </c>
      <c r="AD1649" t="e">
        <f ca="1">IF(V36="Supercritical",L1649,IF(V36="Subcritical",U1649,IF(AND(T1649=1,AC1649=1),IF((((F1649)*(L1649)^2)/2+(G1649)*(L1649)^3/3+(ABS(K1649)^2)/($I$5*MAX(((F1649)+(G1649)*(L1649))*(L1649),0.000001)))&gt;=(((F1649)*(U1649)^2)/2+(G1649)*(U1649)^3/3+(ABS(K1649)^2)/($I$5*MAX(((F1649)+(G1649)*(U1649))*(U1649),0.000001))),L1649,U1649),IF(T1649=1,L1649,IF(AC1649=1,U1649,MAX($D$16,POWER((ABS(K1649)^2)/($I$5*MAX(F1649,0.1)^2),1/3)))))))</f>
        <v>#VALUE!</v>
      </c>
      <c r="AE1649" t="e">
        <f t="shared" ca="1" si="766"/>
        <v>#VALUE!</v>
      </c>
      <c r="AF1649" t="e">
        <f t="shared" ca="1" si="767"/>
        <v>#VALUE!</v>
      </c>
      <c r="AI1649">
        <v>0</v>
      </c>
      <c r="AJ1649">
        <v>0</v>
      </c>
      <c r="AK1649">
        <f t="shared" si="768"/>
        <v>0</v>
      </c>
      <c r="AL1649">
        <f t="shared" ref="AL1649:AL1694" si="776">AL1648+AK1649</f>
        <v>0</v>
      </c>
      <c r="AM1649" t="e">
        <f t="shared" ca="1" si="769"/>
        <v>#VALUE!</v>
      </c>
      <c r="AN1649" t="e">
        <f t="shared" ca="1" si="770"/>
        <v>#VALUE!</v>
      </c>
      <c r="AO1649" t="e">
        <f t="shared" ca="1" si="771"/>
        <v>#VALUE!</v>
      </c>
    </row>
    <row r="1650" spans="1:41" x14ac:dyDescent="0.35">
      <c r="A1650">
        <v>3</v>
      </c>
      <c r="B1650">
        <v>2</v>
      </c>
      <c r="C1650">
        <v>616073.97699999996</v>
      </c>
      <c r="D1650">
        <v>3096613.4279999998</v>
      </c>
      <c r="E1650">
        <v>631.5</v>
      </c>
      <c r="F1650">
        <v>2.6139999999999999</v>
      </c>
      <c r="G1650">
        <v>0</v>
      </c>
      <c r="H1650" t="s">
        <v>186</v>
      </c>
      <c r="I1650">
        <v>5.1999999999999998E-2</v>
      </c>
      <c r="J1650">
        <f t="shared" si="772"/>
        <v>1</v>
      </c>
      <c r="K1650" t="e">
        <f t="shared" ref="K1650:K1675" ca="1" si="777">K1649+(AK1570 + AK1616)</f>
        <v>#VALUE!</v>
      </c>
      <c r="L1650" t="e">
        <f t="shared" ca="1" si="773"/>
        <v>#VALUE!</v>
      </c>
      <c r="M1650" t="e">
        <f t="shared" ca="1" si="751"/>
        <v>#VALUE!</v>
      </c>
      <c r="N1650" t="e">
        <f t="shared" ca="1" si="752"/>
        <v>#VALUE!</v>
      </c>
      <c r="O1650" t="e">
        <f t="shared" ca="1" si="753"/>
        <v>#VALUE!</v>
      </c>
      <c r="P1650" t="e">
        <f t="shared" ca="1" si="754"/>
        <v>#VALUE!</v>
      </c>
      <c r="Q1650" t="e">
        <f t="shared" ca="1" si="755"/>
        <v>#VALUE!</v>
      </c>
      <c r="R1650" t="e">
        <f t="shared" ca="1" si="756"/>
        <v>#VALUE!</v>
      </c>
      <c r="S1650" t="e">
        <f t="shared" ca="1" si="774"/>
        <v>#VALUE!</v>
      </c>
      <c r="T1650" t="e">
        <f t="shared" ca="1" si="775"/>
        <v>#VALUE!</v>
      </c>
      <c r="U1650" t="e">
        <f t="shared" ca="1" si="757"/>
        <v>#VALUE!</v>
      </c>
      <c r="V1650" t="e">
        <f t="shared" ca="1" si="758"/>
        <v>#VALUE!</v>
      </c>
      <c r="W1650" t="e">
        <f t="shared" ca="1" si="759"/>
        <v>#VALUE!</v>
      </c>
      <c r="X1650" t="e">
        <f t="shared" ca="1" si="760"/>
        <v>#VALUE!</v>
      </c>
      <c r="Y1650" t="e">
        <f t="shared" ca="1" si="761"/>
        <v>#VALUE!</v>
      </c>
      <c r="Z1650" t="e">
        <f t="shared" ca="1" si="762"/>
        <v>#VALUE!</v>
      </c>
      <c r="AA1650" t="e">
        <f t="shared" ca="1" si="763"/>
        <v>#VALUE!</v>
      </c>
      <c r="AB1650" t="e">
        <f t="shared" ca="1" si="764"/>
        <v>#VALUE!</v>
      </c>
      <c r="AC1650" t="e">
        <f t="shared" ca="1" si="765"/>
        <v>#VALUE!</v>
      </c>
      <c r="AD1650" t="e">
        <f ca="1">IF(V36="Supercritical",L1650,IF(V36="Subcritical",U1650,IF(AND(T1650=1,AC1650=1),IF((((F1650)*(L1650)^2)/2+(G1650)*(L1650)^3/3+(ABS(K1650)^2)/($I$5*MAX(((F1650)+(G1650)*(L1650))*(L1650),0.000001)))&gt;=(((F1650)*(U1650)^2)/2+(G1650)*(U1650)^3/3+(ABS(K1650)^2)/($I$5*MAX(((F1650)+(G1650)*(U1650))*(U1650),0.000001))),L1650,U1650),IF(T1650=1,L1650,IF(AC1650=1,U1650,MAX($D$16,POWER((ABS(K1650)^2)/($I$5*MAX(F1650,0.1)^2),1/3)))))))</f>
        <v>#VALUE!</v>
      </c>
      <c r="AE1650" t="e">
        <f t="shared" ca="1" si="766"/>
        <v>#VALUE!</v>
      </c>
      <c r="AF1650" t="e">
        <f t="shared" ca="1" si="767"/>
        <v>#VALUE!</v>
      </c>
      <c r="AI1650">
        <v>0</v>
      </c>
      <c r="AJ1650">
        <v>0</v>
      </c>
      <c r="AK1650">
        <f t="shared" si="768"/>
        <v>0</v>
      </c>
      <c r="AL1650">
        <f t="shared" si="776"/>
        <v>0</v>
      </c>
      <c r="AM1650" t="e">
        <f t="shared" ca="1" si="769"/>
        <v>#VALUE!</v>
      </c>
      <c r="AN1650" t="e">
        <f t="shared" ca="1" si="770"/>
        <v>#VALUE!</v>
      </c>
      <c r="AO1650" t="e">
        <f t="shared" ca="1" si="771"/>
        <v>#VALUE!</v>
      </c>
    </row>
    <row r="1651" spans="1:41" x14ac:dyDescent="0.35">
      <c r="A1651">
        <v>4</v>
      </c>
      <c r="B1651">
        <v>3</v>
      </c>
      <c r="C1651">
        <v>616074.39899999998</v>
      </c>
      <c r="D1651">
        <v>3096612.5210000002</v>
      </c>
      <c r="E1651">
        <v>631.5</v>
      </c>
      <c r="F1651">
        <v>2.8969999999999998</v>
      </c>
      <c r="G1651">
        <v>0</v>
      </c>
      <c r="H1651" t="s">
        <v>186</v>
      </c>
      <c r="I1651">
        <v>5.1999999999999998E-2</v>
      </c>
      <c r="J1651">
        <f t="shared" si="772"/>
        <v>1</v>
      </c>
      <c r="K1651" t="e">
        <f t="shared" ca="1" si="777"/>
        <v>#VALUE!</v>
      </c>
      <c r="L1651" t="e">
        <f t="shared" ca="1" si="773"/>
        <v>#VALUE!</v>
      </c>
      <c r="M1651" t="e">
        <f t="shared" ca="1" si="751"/>
        <v>#VALUE!</v>
      </c>
      <c r="N1651" t="e">
        <f t="shared" ca="1" si="752"/>
        <v>#VALUE!</v>
      </c>
      <c r="O1651" t="e">
        <f t="shared" ca="1" si="753"/>
        <v>#VALUE!</v>
      </c>
      <c r="P1651" t="e">
        <f t="shared" ca="1" si="754"/>
        <v>#VALUE!</v>
      </c>
      <c r="Q1651" t="e">
        <f t="shared" ca="1" si="755"/>
        <v>#VALUE!</v>
      </c>
      <c r="R1651" t="e">
        <f t="shared" ca="1" si="756"/>
        <v>#VALUE!</v>
      </c>
      <c r="S1651" t="e">
        <f t="shared" ca="1" si="774"/>
        <v>#VALUE!</v>
      </c>
      <c r="T1651" t="e">
        <f t="shared" ca="1" si="775"/>
        <v>#VALUE!</v>
      </c>
      <c r="U1651" t="e">
        <f t="shared" ca="1" si="757"/>
        <v>#VALUE!</v>
      </c>
      <c r="V1651" t="e">
        <f t="shared" ca="1" si="758"/>
        <v>#VALUE!</v>
      </c>
      <c r="W1651" t="e">
        <f t="shared" ca="1" si="759"/>
        <v>#VALUE!</v>
      </c>
      <c r="X1651" t="e">
        <f t="shared" ca="1" si="760"/>
        <v>#VALUE!</v>
      </c>
      <c r="Y1651" t="e">
        <f t="shared" ca="1" si="761"/>
        <v>#VALUE!</v>
      </c>
      <c r="Z1651" t="e">
        <f t="shared" ca="1" si="762"/>
        <v>#VALUE!</v>
      </c>
      <c r="AA1651" t="e">
        <f t="shared" ca="1" si="763"/>
        <v>#VALUE!</v>
      </c>
      <c r="AB1651" t="e">
        <f t="shared" ca="1" si="764"/>
        <v>#VALUE!</v>
      </c>
      <c r="AC1651" t="e">
        <f t="shared" ca="1" si="765"/>
        <v>#VALUE!</v>
      </c>
      <c r="AD1651" t="e">
        <f ca="1">IF(V36="Supercritical",L1651,IF(V36="Subcritical",U1651,IF(AND(T1651=1,AC1651=1),IF((((F1651)*(L1651)^2)/2+(G1651)*(L1651)^3/3+(ABS(K1651)^2)/($I$5*MAX(((F1651)+(G1651)*(L1651))*(L1651),0.000001)))&gt;=(((F1651)*(U1651)^2)/2+(G1651)*(U1651)^3/3+(ABS(K1651)^2)/($I$5*MAX(((F1651)+(G1651)*(U1651))*(U1651),0.000001))),L1651,U1651),IF(T1651=1,L1651,IF(AC1651=1,U1651,MAX($D$16,POWER((ABS(K1651)^2)/($I$5*MAX(F1651,0.1)^2),1/3)))))))</f>
        <v>#VALUE!</v>
      </c>
      <c r="AE1651" t="e">
        <f t="shared" ca="1" si="766"/>
        <v>#VALUE!</v>
      </c>
      <c r="AF1651" t="e">
        <f t="shared" ca="1" si="767"/>
        <v>#VALUE!</v>
      </c>
      <c r="AI1651">
        <v>0</v>
      </c>
      <c r="AJ1651">
        <v>0</v>
      </c>
      <c r="AK1651">
        <f t="shared" si="768"/>
        <v>0</v>
      </c>
      <c r="AL1651">
        <f t="shared" si="776"/>
        <v>0</v>
      </c>
      <c r="AM1651" t="e">
        <f t="shared" ca="1" si="769"/>
        <v>#VALUE!</v>
      </c>
      <c r="AN1651" t="e">
        <f t="shared" ca="1" si="770"/>
        <v>#VALUE!</v>
      </c>
      <c r="AO1651" t="e">
        <f t="shared" ca="1" si="771"/>
        <v>#VALUE!</v>
      </c>
    </row>
    <row r="1652" spans="1:41" x14ac:dyDescent="0.35">
      <c r="A1652">
        <v>5</v>
      </c>
      <c r="B1652">
        <v>4</v>
      </c>
      <c r="C1652">
        <v>616074.81999999995</v>
      </c>
      <c r="D1652">
        <v>3096611.6140000001</v>
      </c>
      <c r="E1652">
        <v>631.5</v>
      </c>
      <c r="F1652">
        <v>3.1789999999999998</v>
      </c>
      <c r="G1652">
        <v>0</v>
      </c>
      <c r="H1652" t="s">
        <v>186</v>
      </c>
      <c r="I1652">
        <v>0</v>
      </c>
      <c r="J1652">
        <f t="shared" si="772"/>
        <v>1</v>
      </c>
      <c r="K1652" t="e">
        <f t="shared" ca="1" si="777"/>
        <v>#VALUE!</v>
      </c>
      <c r="L1652" t="e">
        <f t="shared" ca="1" si="773"/>
        <v>#VALUE!</v>
      </c>
      <c r="M1652" t="e">
        <f t="shared" ca="1" si="751"/>
        <v>#VALUE!</v>
      </c>
      <c r="N1652" t="e">
        <f t="shared" ca="1" si="752"/>
        <v>#VALUE!</v>
      </c>
      <c r="O1652" t="e">
        <f t="shared" ca="1" si="753"/>
        <v>#VALUE!</v>
      </c>
      <c r="P1652" t="e">
        <f t="shared" ca="1" si="754"/>
        <v>#VALUE!</v>
      </c>
      <c r="Q1652" t="e">
        <f t="shared" ca="1" si="755"/>
        <v>#VALUE!</v>
      </c>
      <c r="R1652" t="e">
        <f t="shared" ca="1" si="756"/>
        <v>#VALUE!</v>
      </c>
      <c r="S1652" t="e">
        <f t="shared" ca="1" si="774"/>
        <v>#VALUE!</v>
      </c>
      <c r="T1652" t="e">
        <f t="shared" ca="1" si="775"/>
        <v>#VALUE!</v>
      </c>
      <c r="U1652" t="e">
        <f t="shared" ca="1" si="757"/>
        <v>#VALUE!</v>
      </c>
      <c r="V1652" t="e">
        <f t="shared" ca="1" si="758"/>
        <v>#VALUE!</v>
      </c>
      <c r="W1652" t="e">
        <f t="shared" ca="1" si="759"/>
        <v>#VALUE!</v>
      </c>
      <c r="X1652" t="e">
        <f t="shared" ca="1" si="760"/>
        <v>#VALUE!</v>
      </c>
      <c r="Y1652" t="e">
        <f t="shared" ca="1" si="761"/>
        <v>#VALUE!</v>
      </c>
      <c r="Z1652" t="e">
        <f t="shared" ca="1" si="762"/>
        <v>#VALUE!</v>
      </c>
      <c r="AA1652" t="e">
        <f t="shared" ca="1" si="763"/>
        <v>#VALUE!</v>
      </c>
      <c r="AB1652" t="e">
        <f t="shared" ca="1" si="764"/>
        <v>#VALUE!</v>
      </c>
      <c r="AC1652" t="e">
        <f t="shared" ca="1" si="765"/>
        <v>#VALUE!</v>
      </c>
      <c r="AD1652" t="e">
        <f ca="1">IF(V36="Supercritical",L1652,IF(V36="Subcritical",U1652,IF(AND(T1652=1,AC1652=1),IF((((F1652)*(L1652)^2)/2+(G1652)*(L1652)^3/3+(ABS(K1652)^2)/($I$5*MAX(((F1652)+(G1652)*(L1652))*(L1652),0.000001)))&gt;=(((F1652)*(U1652)^2)/2+(G1652)*(U1652)^3/3+(ABS(K1652)^2)/($I$5*MAX(((F1652)+(G1652)*(U1652))*(U1652),0.000001))),L1652,U1652),IF(T1652=1,L1652,IF(AC1652=1,U1652,MAX($D$16,POWER((ABS(K1652)^2)/($I$5*MAX(F1652,0.1)^2),1/3)))))))</f>
        <v>#VALUE!</v>
      </c>
      <c r="AE1652" t="e">
        <f t="shared" ca="1" si="766"/>
        <v>#VALUE!</v>
      </c>
      <c r="AF1652" t="e">
        <f t="shared" ca="1" si="767"/>
        <v>#VALUE!</v>
      </c>
      <c r="AI1652">
        <v>0</v>
      </c>
      <c r="AJ1652">
        <v>0</v>
      </c>
      <c r="AK1652">
        <f t="shared" si="768"/>
        <v>0</v>
      </c>
      <c r="AL1652">
        <f t="shared" si="776"/>
        <v>0</v>
      </c>
      <c r="AM1652" t="e">
        <f t="shared" ca="1" si="769"/>
        <v>#VALUE!</v>
      </c>
      <c r="AN1652" t="e">
        <f t="shared" ca="1" si="770"/>
        <v>#VALUE!</v>
      </c>
      <c r="AO1652" t="e">
        <f t="shared" ca="1" si="771"/>
        <v>#VALUE!</v>
      </c>
    </row>
    <row r="1653" spans="1:41" x14ac:dyDescent="0.35">
      <c r="A1653">
        <v>6</v>
      </c>
      <c r="B1653">
        <v>5</v>
      </c>
      <c r="C1653">
        <v>616075.24100000004</v>
      </c>
      <c r="D1653">
        <v>3096610.7069999999</v>
      </c>
      <c r="E1653">
        <v>631.5</v>
      </c>
      <c r="F1653">
        <v>3.4609999999999999</v>
      </c>
      <c r="G1653">
        <v>0</v>
      </c>
      <c r="H1653" t="s">
        <v>186</v>
      </c>
      <c r="I1653">
        <v>5.1999999999999998E-2</v>
      </c>
      <c r="J1653">
        <f t="shared" si="772"/>
        <v>1</v>
      </c>
      <c r="K1653" t="e">
        <f t="shared" ca="1" si="777"/>
        <v>#VALUE!</v>
      </c>
      <c r="L1653" t="e">
        <f t="shared" ca="1" si="773"/>
        <v>#VALUE!</v>
      </c>
      <c r="M1653" t="e">
        <f t="shared" ca="1" si="751"/>
        <v>#VALUE!</v>
      </c>
      <c r="N1653" t="e">
        <f t="shared" ca="1" si="752"/>
        <v>#VALUE!</v>
      </c>
      <c r="O1653" t="e">
        <f t="shared" ca="1" si="753"/>
        <v>#VALUE!</v>
      </c>
      <c r="P1653" t="e">
        <f t="shared" ca="1" si="754"/>
        <v>#VALUE!</v>
      </c>
      <c r="Q1653" t="e">
        <f t="shared" ca="1" si="755"/>
        <v>#VALUE!</v>
      </c>
      <c r="R1653" t="e">
        <f t="shared" ca="1" si="756"/>
        <v>#VALUE!</v>
      </c>
      <c r="S1653" t="e">
        <f t="shared" ca="1" si="774"/>
        <v>#VALUE!</v>
      </c>
      <c r="T1653" t="e">
        <f t="shared" ca="1" si="775"/>
        <v>#VALUE!</v>
      </c>
      <c r="U1653" t="e">
        <f t="shared" ca="1" si="757"/>
        <v>#VALUE!</v>
      </c>
      <c r="V1653" t="e">
        <f t="shared" ca="1" si="758"/>
        <v>#VALUE!</v>
      </c>
      <c r="W1653" t="e">
        <f t="shared" ca="1" si="759"/>
        <v>#VALUE!</v>
      </c>
      <c r="X1653" t="e">
        <f t="shared" ca="1" si="760"/>
        <v>#VALUE!</v>
      </c>
      <c r="Y1653" t="e">
        <f t="shared" ca="1" si="761"/>
        <v>#VALUE!</v>
      </c>
      <c r="Z1653" t="e">
        <f t="shared" ca="1" si="762"/>
        <v>#VALUE!</v>
      </c>
      <c r="AA1653" t="e">
        <f t="shared" ca="1" si="763"/>
        <v>#VALUE!</v>
      </c>
      <c r="AB1653" t="e">
        <f t="shared" ca="1" si="764"/>
        <v>#VALUE!</v>
      </c>
      <c r="AC1653" t="e">
        <f t="shared" ca="1" si="765"/>
        <v>#VALUE!</v>
      </c>
      <c r="AD1653" t="e">
        <f ca="1">IF(V36="Supercritical",L1653,IF(V36="Subcritical",U1653,IF(AND(T1653=1,AC1653=1),IF((((F1653)*(L1653)^2)/2+(G1653)*(L1653)^3/3+(ABS(K1653)^2)/($I$5*MAX(((F1653)+(G1653)*(L1653))*(L1653),0.000001)))&gt;=(((F1653)*(U1653)^2)/2+(G1653)*(U1653)^3/3+(ABS(K1653)^2)/($I$5*MAX(((F1653)+(G1653)*(U1653))*(U1653),0.000001))),L1653,U1653),IF(T1653=1,L1653,IF(AC1653=1,U1653,MAX($D$16,POWER((ABS(K1653)^2)/($I$5*MAX(F1653,0.1)^2),1/3)))))))</f>
        <v>#VALUE!</v>
      </c>
      <c r="AE1653" t="e">
        <f t="shared" ca="1" si="766"/>
        <v>#VALUE!</v>
      </c>
      <c r="AF1653" t="e">
        <f t="shared" ca="1" si="767"/>
        <v>#VALUE!</v>
      </c>
      <c r="AI1653">
        <v>0</v>
      </c>
      <c r="AJ1653">
        <v>0</v>
      </c>
      <c r="AK1653">
        <f t="shared" si="768"/>
        <v>0</v>
      </c>
      <c r="AL1653">
        <f t="shared" si="776"/>
        <v>0</v>
      </c>
      <c r="AM1653" t="e">
        <f t="shared" ca="1" si="769"/>
        <v>#VALUE!</v>
      </c>
      <c r="AN1653" t="e">
        <f t="shared" ca="1" si="770"/>
        <v>#VALUE!</v>
      </c>
      <c r="AO1653" t="e">
        <f t="shared" ca="1" si="771"/>
        <v>#VALUE!</v>
      </c>
    </row>
    <row r="1654" spans="1:41" x14ac:dyDescent="0.35">
      <c r="A1654">
        <v>7</v>
      </c>
      <c r="B1654">
        <v>6.0010000000000003</v>
      </c>
      <c r="C1654">
        <v>616075.66299999994</v>
      </c>
      <c r="D1654">
        <v>3096609.8</v>
      </c>
      <c r="E1654">
        <v>631.5</v>
      </c>
      <c r="F1654">
        <v>3.8980000000000001</v>
      </c>
      <c r="G1654">
        <v>0</v>
      </c>
      <c r="H1654" t="s">
        <v>186</v>
      </c>
      <c r="I1654">
        <v>5.266</v>
      </c>
      <c r="J1654">
        <f t="shared" si="772"/>
        <v>1.0010000000000003</v>
      </c>
      <c r="K1654" t="e">
        <f t="shared" ca="1" si="777"/>
        <v>#VALUE!</v>
      </c>
      <c r="L1654" t="e">
        <f t="shared" ca="1" si="773"/>
        <v>#VALUE!</v>
      </c>
      <c r="M1654" t="e">
        <f t="shared" ca="1" si="751"/>
        <v>#VALUE!</v>
      </c>
      <c r="N1654" t="e">
        <f t="shared" ca="1" si="752"/>
        <v>#VALUE!</v>
      </c>
      <c r="O1654" t="e">
        <f t="shared" ca="1" si="753"/>
        <v>#VALUE!</v>
      </c>
      <c r="P1654" t="e">
        <f t="shared" ca="1" si="754"/>
        <v>#VALUE!</v>
      </c>
      <c r="Q1654" t="e">
        <f t="shared" ca="1" si="755"/>
        <v>#VALUE!</v>
      </c>
      <c r="R1654" t="e">
        <f t="shared" ca="1" si="756"/>
        <v>#VALUE!</v>
      </c>
      <c r="S1654" t="e">
        <f t="shared" ca="1" si="774"/>
        <v>#VALUE!</v>
      </c>
      <c r="T1654" t="e">
        <f t="shared" ca="1" si="775"/>
        <v>#VALUE!</v>
      </c>
      <c r="U1654" t="e">
        <f t="shared" ca="1" si="757"/>
        <v>#VALUE!</v>
      </c>
      <c r="V1654" t="e">
        <f t="shared" ca="1" si="758"/>
        <v>#VALUE!</v>
      </c>
      <c r="W1654" t="e">
        <f t="shared" ca="1" si="759"/>
        <v>#VALUE!</v>
      </c>
      <c r="X1654" t="e">
        <f t="shared" ca="1" si="760"/>
        <v>#VALUE!</v>
      </c>
      <c r="Y1654" t="e">
        <f t="shared" ca="1" si="761"/>
        <v>#VALUE!</v>
      </c>
      <c r="Z1654" t="e">
        <f t="shared" ca="1" si="762"/>
        <v>#VALUE!</v>
      </c>
      <c r="AA1654" t="e">
        <f t="shared" ca="1" si="763"/>
        <v>#VALUE!</v>
      </c>
      <c r="AB1654" t="e">
        <f t="shared" ca="1" si="764"/>
        <v>#VALUE!</v>
      </c>
      <c r="AC1654" t="e">
        <f t="shared" ca="1" si="765"/>
        <v>#VALUE!</v>
      </c>
      <c r="AD1654" t="e">
        <f ca="1">IF(V36="Supercritical",L1654,IF(V36="Subcritical",U1654,IF(AND(T1654=1,AC1654=1),IF((((F1654)*(L1654)^2)/2+(G1654)*(L1654)^3/3+(ABS(K1654)^2)/($I$5*MAX(((F1654)+(G1654)*(L1654))*(L1654),0.000001)))&gt;=(((F1654)*(U1654)^2)/2+(G1654)*(U1654)^3/3+(ABS(K1654)^2)/($I$5*MAX(((F1654)+(G1654)*(U1654))*(U1654),0.000001))),L1654,U1654),IF(T1654=1,L1654,IF(AC1654=1,U1654,MAX($D$16,POWER((ABS(K1654)^2)/($I$5*MAX(F1654,0.1)^2),1/3)))))))</f>
        <v>#VALUE!</v>
      </c>
      <c r="AE1654" t="e">
        <f t="shared" ca="1" si="766"/>
        <v>#VALUE!</v>
      </c>
      <c r="AF1654" t="e">
        <f t="shared" ca="1" si="767"/>
        <v>#VALUE!</v>
      </c>
      <c r="AI1654">
        <v>0</v>
      </c>
      <c r="AJ1654">
        <v>0</v>
      </c>
      <c r="AK1654">
        <f t="shared" si="768"/>
        <v>0</v>
      </c>
      <c r="AL1654">
        <f t="shared" si="776"/>
        <v>0</v>
      </c>
      <c r="AM1654" t="e">
        <f t="shared" ca="1" si="769"/>
        <v>#VALUE!</v>
      </c>
      <c r="AN1654" t="e">
        <f t="shared" ca="1" si="770"/>
        <v>#VALUE!</v>
      </c>
      <c r="AO1654" t="e">
        <f t="shared" ca="1" si="771"/>
        <v>#VALUE!</v>
      </c>
    </row>
    <row r="1655" spans="1:41" x14ac:dyDescent="0.35">
      <c r="A1655">
        <v>8</v>
      </c>
      <c r="B1655">
        <v>6.9859999999999998</v>
      </c>
      <c r="C1655">
        <v>616075.995</v>
      </c>
      <c r="D1655">
        <v>3096608.872</v>
      </c>
      <c r="E1655">
        <v>631.5</v>
      </c>
      <c r="F1655">
        <v>4.2640000000000002</v>
      </c>
      <c r="G1655">
        <v>0</v>
      </c>
      <c r="H1655" t="s">
        <v>186</v>
      </c>
      <c r="I1655">
        <v>17.565999999999999</v>
      </c>
      <c r="J1655">
        <f t="shared" si="772"/>
        <v>0.98499999999999943</v>
      </c>
      <c r="K1655" t="e">
        <f t="shared" ca="1" si="777"/>
        <v>#VALUE!</v>
      </c>
      <c r="L1655" t="e">
        <f t="shared" ca="1" si="773"/>
        <v>#VALUE!</v>
      </c>
      <c r="M1655" t="e">
        <f t="shared" ca="1" si="751"/>
        <v>#VALUE!</v>
      </c>
      <c r="N1655" t="e">
        <f t="shared" ca="1" si="752"/>
        <v>#VALUE!</v>
      </c>
      <c r="O1655" t="e">
        <f t="shared" ca="1" si="753"/>
        <v>#VALUE!</v>
      </c>
      <c r="P1655" t="e">
        <f t="shared" ca="1" si="754"/>
        <v>#VALUE!</v>
      </c>
      <c r="Q1655" t="e">
        <f t="shared" ca="1" si="755"/>
        <v>#VALUE!</v>
      </c>
      <c r="R1655" t="e">
        <f t="shared" ca="1" si="756"/>
        <v>#VALUE!</v>
      </c>
      <c r="S1655" t="e">
        <f t="shared" ca="1" si="774"/>
        <v>#VALUE!</v>
      </c>
      <c r="T1655" t="e">
        <f t="shared" ca="1" si="775"/>
        <v>#VALUE!</v>
      </c>
      <c r="U1655" t="e">
        <f t="shared" ca="1" si="757"/>
        <v>#VALUE!</v>
      </c>
      <c r="V1655" t="e">
        <f t="shared" ca="1" si="758"/>
        <v>#VALUE!</v>
      </c>
      <c r="W1655" t="e">
        <f t="shared" ca="1" si="759"/>
        <v>#VALUE!</v>
      </c>
      <c r="X1655" t="e">
        <f t="shared" ca="1" si="760"/>
        <v>#VALUE!</v>
      </c>
      <c r="Y1655" t="e">
        <f t="shared" ca="1" si="761"/>
        <v>#VALUE!</v>
      </c>
      <c r="Z1655" t="e">
        <f t="shared" ca="1" si="762"/>
        <v>#VALUE!</v>
      </c>
      <c r="AA1655" t="e">
        <f t="shared" ca="1" si="763"/>
        <v>#VALUE!</v>
      </c>
      <c r="AB1655" t="e">
        <f t="shared" ca="1" si="764"/>
        <v>#VALUE!</v>
      </c>
      <c r="AC1655" t="e">
        <f t="shared" ca="1" si="765"/>
        <v>#VALUE!</v>
      </c>
      <c r="AD1655" t="e">
        <f ca="1">IF(V36="Supercritical",L1655,IF(V36="Subcritical",U1655,IF(AND(T1655=1,AC1655=1),IF((((F1655)*(L1655)^2)/2+(G1655)*(L1655)^3/3+(ABS(K1655)^2)/($I$5*MAX(((F1655)+(G1655)*(L1655))*(L1655),0.000001)))&gt;=(((F1655)*(U1655)^2)/2+(G1655)*(U1655)^3/3+(ABS(K1655)^2)/($I$5*MAX(((F1655)+(G1655)*(U1655))*(U1655),0.000001))),L1655,U1655),IF(T1655=1,L1655,IF(AC1655=1,U1655,MAX($D$16,POWER((ABS(K1655)^2)/($I$5*MAX(F1655,0.1)^2),1/3)))))))</f>
        <v>#VALUE!</v>
      </c>
      <c r="AE1655" t="e">
        <f t="shared" ca="1" si="766"/>
        <v>#VALUE!</v>
      </c>
      <c r="AF1655" t="e">
        <f t="shared" ca="1" si="767"/>
        <v>#VALUE!</v>
      </c>
      <c r="AI1655">
        <v>0</v>
      </c>
      <c r="AJ1655">
        <v>0</v>
      </c>
      <c r="AK1655">
        <f t="shared" si="768"/>
        <v>0</v>
      </c>
      <c r="AL1655">
        <f t="shared" si="776"/>
        <v>0</v>
      </c>
      <c r="AM1655" t="e">
        <f t="shared" ca="1" si="769"/>
        <v>#VALUE!</v>
      </c>
      <c r="AN1655" t="e">
        <f t="shared" ca="1" si="770"/>
        <v>#VALUE!</v>
      </c>
      <c r="AO1655" t="e">
        <f t="shared" ca="1" si="771"/>
        <v>#VALUE!</v>
      </c>
    </row>
    <row r="1656" spans="1:41" x14ac:dyDescent="0.35">
      <c r="A1656">
        <v>9</v>
      </c>
      <c r="B1656">
        <v>7.9870000000000001</v>
      </c>
      <c r="C1656">
        <v>616076.03200000001</v>
      </c>
      <c r="D1656">
        <v>3096607.872</v>
      </c>
      <c r="E1656">
        <v>631.5</v>
      </c>
      <c r="F1656">
        <v>4.6059999999999999</v>
      </c>
      <c r="G1656">
        <v>0</v>
      </c>
      <c r="H1656" t="s">
        <v>186</v>
      </c>
      <c r="I1656">
        <v>5.8999999999999997E-2</v>
      </c>
      <c r="J1656">
        <f t="shared" si="772"/>
        <v>1.0010000000000003</v>
      </c>
      <c r="K1656" t="e">
        <f t="shared" ca="1" si="777"/>
        <v>#VALUE!</v>
      </c>
      <c r="L1656" t="e">
        <f t="shared" ca="1" si="773"/>
        <v>#VALUE!</v>
      </c>
      <c r="M1656" t="e">
        <f t="shared" ca="1" si="751"/>
        <v>#VALUE!</v>
      </c>
      <c r="N1656" t="e">
        <f t="shared" ca="1" si="752"/>
        <v>#VALUE!</v>
      </c>
      <c r="O1656" t="e">
        <f t="shared" ca="1" si="753"/>
        <v>#VALUE!</v>
      </c>
      <c r="P1656" t="e">
        <f t="shared" ca="1" si="754"/>
        <v>#VALUE!</v>
      </c>
      <c r="Q1656" t="e">
        <f t="shared" ca="1" si="755"/>
        <v>#VALUE!</v>
      </c>
      <c r="R1656" t="e">
        <f t="shared" ca="1" si="756"/>
        <v>#VALUE!</v>
      </c>
      <c r="S1656" t="e">
        <f t="shared" ca="1" si="774"/>
        <v>#VALUE!</v>
      </c>
      <c r="T1656" t="e">
        <f t="shared" ca="1" si="775"/>
        <v>#VALUE!</v>
      </c>
      <c r="U1656" t="e">
        <f t="shared" ca="1" si="757"/>
        <v>#VALUE!</v>
      </c>
      <c r="V1656" t="e">
        <f t="shared" ca="1" si="758"/>
        <v>#VALUE!</v>
      </c>
      <c r="W1656" t="e">
        <f t="shared" ca="1" si="759"/>
        <v>#VALUE!</v>
      </c>
      <c r="X1656" t="e">
        <f t="shared" ca="1" si="760"/>
        <v>#VALUE!</v>
      </c>
      <c r="Y1656" t="e">
        <f t="shared" ca="1" si="761"/>
        <v>#VALUE!</v>
      </c>
      <c r="Z1656" t="e">
        <f t="shared" ca="1" si="762"/>
        <v>#VALUE!</v>
      </c>
      <c r="AA1656" t="e">
        <f t="shared" ca="1" si="763"/>
        <v>#VALUE!</v>
      </c>
      <c r="AB1656" t="e">
        <f t="shared" ca="1" si="764"/>
        <v>#VALUE!</v>
      </c>
      <c r="AC1656" t="e">
        <f t="shared" ca="1" si="765"/>
        <v>#VALUE!</v>
      </c>
      <c r="AD1656" t="e">
        <f ca="1">IF(V36="Supercritical",L1656,IF(V36="Subcritical",U1656,IF(AND(T1656=1,AC1656=1),IF((((F1656)*(L1656)^2)/2+(G1656)*(L1656)^3/3+(ABS(K1656)^2)/($I$5*MAX(((F1656)+(G1656)*(L1656))*(L1656),0.000001)))&gt;=(((F1656)*(U1656)^2)/2+(G1656)*(U1656)^3/3+(ABS(K1656)^2)/($I$5*MAX(((F1656)+(G1656)*(U1656))*(U1656),0.000001))),L1656,U1656),IF(T1656=1,L1656,IF(AC1656=1,U1656,MAX($D$16,POWER((ABS(K1656)^2)/($I$5*MAX(F1656,0.1)^2),1/3)))))))</f>
        <v>#VALUE!</v>
      </c>
      <c r="AE1656" t="e">
        <f t="shared" ca="1" si="766"/>
        <v>#VALUE!</v>
      </c>
      <c r="AF1656" t="e">
        <f t="shared" ca="1" si="767"/>
        <v>#VALUE!</v>
      </c>
      <c r="AI1656">
        <v>0</v>
      </c>
      <c r="AJ1656">
        <v>0</v>
      </c>
      <c r="AK1656">
        <f t="shared" si="768"/>
        <v>0</v>
      </c>
      <c r="AL1656">
        <f t="shared" si="776"/>
        <v>0</v>
      </c>
      <c r="AM1656" t="e">
        <f t="shared" ca="1" si="769"/>
        <v>#VALUE!</v>
      </c>
      <c r="AN1656" t="e">
        <f t="shared" ca="1" si="770"/>
        <v>#VALUE!</v>
      </c>
      <c r="AO1656" t="e">
        <f t="shared" ca="1" si="771"/>
        <v>#VALUE!</v>
      </c>
    </row>
    <row r="1657" spans="1:41" x14ac:dyDescent="0.35">
      <c r="A1657">
        <v>10</v>
      </c>
      <c r="B1657">
        <v>8.9870000000000001</v>
      </c>
      <c r="C1657">
        <v>616076.06999999995</v>
      </c>
      <c r="D1657">
        <v>3096606.8730000001</v>
      </c>
      <c r="E1657">
        <v>631.5</v>
      </c>
      <c r="F1657">
        <v>4.7160000000000002</v>
      </c>
      <c r="G1657">
        <v>0</v>
      </c>
      <c r="H1657" t="s">
        <v>186</v>
      </c>
      <c r="I1657">
        <v>0</v>
      </c>
      <c r="J1657">
        <f t="shared" si="772"/>
        <v>1</v>
      </c>
      <c r="K1657" t="e">
        <f t="shared" ca="1" si="777"/>
        <v>#VALUE!</v>
      </c>
      <c r="L1657" t="e">
        <f t="shared" ca="1" si="773"/>
        <v>#VALUE!</v>
      </c>
      <c r="M1657" t="e">
        <f t="shared" ca="1" si="751"/>
        <v>#VALUE!</v>
      </c>
      <c r="N1657" t="e">
        <f t="shared" ca="1" si="752"/>
        <v>#VALUE!</v>
      </c>
      <c r="O1657" t="e">
        <f t="shared" ca="1" si="753"/>
        <v>#VALUE!</v>
      </c>
      <c r="P1657" t="e">
        <f t="shared" ca="1" si="754"/>
        <v>#VALUE!</v>
      </c>
      <c r="Q1657" t="e">
        <f t="shared" ca="1" si="755"/>
        <v>#VALUE!</v>
      </c>
      <c r="R1657" t="e">
        <f t="shared" ca="1" si="756"/>
        <v>#VALUE!</v>
      </c>
      <c r="S1657" t="e">
        <f t="shared" ca="1" si="774"/>
        <v>#VALUE!</v>
      </c>
      <c r="T1657" t="e">
        <f t="shared" ca="1" si="775"/>
        <v>#VALUE!</v>
      </c>
      <c r="U1657" t="e">
        <f t="shared" ca="1" si="757"/>
        <v>#VALUE!</v>
      </c>
      <c r="V1657" t="e">
        <f t="shared" ca="1" si="758"/>
        <v>#VALUE!</v>
      </c>
      <c r="W1657" t="e">
        <f t="shared" ca="1" si="759"/>
        <v>#VALUE!</v>
      </c>
      <c r="X1657" t="e">
        <f t="shared" ca="1" si="760"/>
        <v>#VALUE!</v>
      </c>
      <c r="Y1657" t="e">
        <f t="shared" ca="1" si="761"/>
        <v>#VALUE!</v>
      </c>
      <c r="Z1657" t="e">
        <f t="shared" ca="1" si="762"/>
        <v>#VALUE!</v>
      </c>
      <c r="AA1657" t="e">
        <f t="shared" ca="1" si="763"/>
        <v>#VALUE!</v>
      </c>
      <c r="AB1657" t="e">
        <f t="shared" ca="1" si="764"/>
        <v>#VALUE!</v>
      </c>
      <c r="AC1657" t="e">
        <f t="shared" ca="1" si="765"/>
        <v>#VALUE!</v>
      </c>
      <c r="AD1657" t="e">
        <f ca="1">IF(V36="Supercritical",L1657,IF(V36="Subcritical",U1657,IF(AND(T1657=1,AC1657=1),IF((((F1657)*(L1657)^2)/2+(G1657)*(L1657)^3/3+(ABS(K1657)^2)/($I$5*MAX(((F1657)+(G1657)*(L1657))*(L1657),0.000001)))&gt;=(((F1657)*(U1657)^2)/2+(G1657)*(U1657)^3/3+(ABS(K1657)^2)/($I$5*MAX(((F1657)+(G1657)*(U1657))*(U1657),0.000001))),L1657,U1657),IF(T1657=1,L1657,IF(AC1657=1,U1657,MAX($D$16,POWER((ABS(K1657)^2)/($I$5*MAX(F1657,0.1)^2),1/3)))))))</f>
        <v>#VALUE!</v>
      </c>
      <c r="AE1657" t="e">
        <f t="shared" ca="1" si="766"/>
        <v>#VALUE!</v>
      </c>
      <c r="AF1657" t="e">
        <f t="shared" ca="1" si="767"/>
        <v>#VALUE!</v>
      </c>
      <c r="AI1657">
        <v>0</v>
      </c>
      <c r="AJ1657">
        <v>0</v>
      </c>
      <c r="AK1657">
        <f t="shared" si="768"/>
        <v>0</v>
      </c>
      <c r="AL1657">
        <f t="shared" si="776"/>
        <v>0</v>
      </c>
      <c r="AM1657" t="e">
        <f t="shared" ca="1" si="769"/>
        <v>#VALUE!</v>
      </c>
      <c r="AN1657" t="e">
        <f t="shared" ca="1" si="770"/>
        <v>#VALUE!</v>
      </c>
      <c r="AO1657" t="e">
        <f t="shared" ca="1" si="771"/>
        <v>#VALUE!</v>
      </c>
    </row>
    <row r="1658" spans="1:41" x14ac:dyDescent="0.35">
      <c r="A1658">
        <v>11</v>
      </c>
      <c r="B1658">
        <v>9.9860000000000007</v>
      </c>
      <c r="C1658">
        <v>616076.10800000001</v>
      </c>
      <c r="D1658">
        <v>3096605.8739999998</v>
      </c>
      <c r="E1658">
        <v>631.5</v>
      </c>
      <c r="F1658">
        <v>4.8250000000000002</v>
      </c>
      <c r="G1658">
        <v>0</v>
      </c>
      <c r="H1658" t="s">
        <v>186</v>
      </c>
      <c r="I1658">
        <v>5.7000000000000002E-2</v>
      </c>
      <c r="J1658">
        <f t="shared" si="772"/>
        <v>0.99900000000000055</v>
      </c>
      <c r="K1658" t="e">
        <f t="shared" ca="1" si="777"/>
        <v>#VALUE!</v>
      </c>
      <c r="L1658" t="e">
        <f t="shared" ca="1" si="773"/>
        <v>#VALUE!</v>
      </c>
      <c r="M1658" t="e">
        <f t="shared" ca="1" si="751"/>
        <v>#VALUE!</v>
      </c>
      <c r="N1658" t="e">
        <f t="shared" ca="1" si="752"/>
        <v>#VALUE!</v>
      </c>
      <c r="O1658" t="e">
        <f t="shared" ca="1" si="753"/>
        <v>#VALUE!</v>
      </c>
      <c r="P1658" t="e">
        <f t="shared" ca="1" si="754"/>
        <v>#VALUE!</v>
      </c>
      <c r="Q1658" t="e">
        <f t="shared" ca="1" si="755"/>
        <v>#VALUE!</v>
      </c>
      <c r="R1658" t="e">
        <f t="shared" ca="1" si="756"/>
        <v>#VALUE!</v>
      </c>
      <c r="S1658" t="e">
        <f t="shared" ca="1" si="774"/>
        <v>#VALUE!</v>
      </c>
      <c r="T1658" t="e">
        <f t="shared" ca="1" si="775"/>
        <v>#VALUE!</v>
      </c>
      <c r="U1658" t="e">
        <f t="shared" ca="1" si="757"/>
        <v>#VALUE!</v>
      </c>
      <c r="V1658" t="e">
        <f t="shared" ca="1" si="758"/>
        <v>#VALUE!</v>
      </c>
      <c r="W1658" t="e">
        <f t="shared" ca="1" si="759"/>
        <v>#VALUE!</v>
      </c>
      <c r="X1658" t="e">
        <f t="shared" ca="1" si="760"/>
        <v>#VALUE!</v>
      </c>
      <c r="Y1658" t="e">
        <f t="shared" ca="1" si="761"/>
        <v>#VALUE!</v>
      </c>
      <c r="Z1658" t="e">
        <f t="shared" ca="1" si="762"/>
        <v>#VALUE!</v>
      </c>
      <c r="AA1658" t="e">
        <f t="shared" ca="1" si="763"/>
        <v>#VALUE!</v>
      </c>
      <c r="AB1658" t="e">
        <f t="shared" ca="1" si="764"/>
        <v>#VALUE!</v>
      </c>
      <c r="AC1658" t="e">
        <f t="shared" ca="1" si="765"/>
        <v>#VALUE!</v>
      </c>
      <c r="AD1658" t="e">
        <f ca="1">IF(V36="Supercritical",L1658,IF(V36="Subcritical",U1658,IF(AND(T1658=1,AC1658=1),IF((((F1658)*(L1658)^2)/2+(G1658)*(L1658)^3/3+(ABS(K1658)^2)/($I$5*MAX(((F1658)+(G1658)*(L1658))*(L1658),0.000001)))&gt;=(((F1658)*(U1658)^2)/2+(G1658)*(U1658)^3/3+(ABS(K1658)^2)/($I$5*MAX(((F1658)+(G1658)*(U1658))*(U1658),0.000001))),L1658,U1658),IF(T1658=1,L1658,IF(AC1658=1,U1658,MAX($D$16,POWER((ABS(K1658)^2)/($I$5*MAX(F1658,0.1)^2),1/3)))))))</f>
        <v>#VALUE!</v>
      </c>
      <c r="AE1658" t="e">
        <f t="shared" ca="1" si="766"/>
        <v>#VALUE!</v>
      </c>
      <c r="AF1658" t="e">
        <f t="shared" ca="1" si="767"/>
        <v>#VALUE!</v>
      </c>
      <c r="AI1658">
        <v>0</v>
      </c>
      <c r="AJ1658">
        <v>0</v>
      </c>
      <c r="AK1658">
        <f t="shared" si="768"/>
        <v>0</v>
      </c>
      <c r="AL1658">
        <f t="shared" si="776"/>
        <v>0</v>
      </c>
      <c r="AM1658" t="e">
        <f t="shared" ca="1" si="769"/>
        <v>#VALUE!</v>
      </c>
      <c r="AN1658" t="e">
        <f t="shared" ca="1" si="770"/>
        <v>#VALUE!</v>
      </c>
      <c r="AO1658" t="e">
        <f t="shared" ca="1" si="771"/>
        <v>#VALUE!</v>
      </c>
    </row>
    <row r="1659" spans="1:41" x14ac:dyDescent="0.35">
      <c r="A1659">
        <v>12</v>
      </c>
      <c r="B1659">
        <v>10.986000000000001</v>
      </c>
      <c r="C1659">
        <v>616076.14500000002</v>
      </c>
      <c r="D1659">
        <v>3096604.875</v>
      </c>
      <c r="E1659">
        <v>631.5</v>
      </c>
      <c r="F1659">
        <v>4.9340000000000002</v>
      </c>
      <c r="G1659">
        <v>0</v>
      </c>
      <c r="H1659" t="s">
        <v>186</v>
      </c>
      <c r="I1659">
        <v>5.5E-2</v>
      </c>
      <c r="J1659">
        <f t="shared" si="772"/>
        <v>1</v>
      </c>
      <c r="K1659" t="e">
        <f t="shared" ca="1" si="777"/>
        <v>#VALUE!</v>
      </c>
      <c r="L1659" t="e">
        <f t="shared" ca="1" si="773"/>
        <v>#VALUE!</v>
      </c>
      <c r="M1659" t="e">
        <f t="shared" ca="1" si="751"/>
        <v>#VALUE!</v>
      </c>
      <c r="N1659" t="e">
        <f t="shared" ca="1" si="752"/>
        <v>#VALUE!</v>
      </c>
      <c r="O1659" t="e">
        <f t="shared" ca="1" si="753"/>
        <v>#VALUE!</v>
      </c>
      <c r="P1659" t="e">
        <f t="shared" ca="1" si="754"/>
        <v>#VALUE!</v>
      </c>
      <c r="Q1659" t="e">
        <f t="shared" ca="1" si="755"/>
        <v>#VALUE!</v>
      </c>
      <c r="R1659" t="e">
        <f t="shared" ca="1" si="756"/>
        <v>#VALUE!</v>
      </c>
      <c r="S1659" t="e">
        <f t="shared" ca="1" si="774"/>
        <v>#VALUE!</v>
      </c>
      <c r="T1659" t="e">
        <f t="shared" ca="1" si="775"/>
        <v>#VALUE!</v>
      </c>
      <c r="U1659" t="e">
        <f t="shared" ca="1" si="757"/>
        <v>#VALUE!</v>
      </c>
      <c r="V1659" t="e">
        <f t="shared" ca="1" si="758"/>
        <v>#VALUE!</v>
      </c>
      <c r="W1659" t="e">
        <f t="shared" ca="1" si="759"/>
        <v>#VALUE!</v>
      </c>
      <c r="X1659" t="e">
        <f t="shared" ca="1" si="760"/>
        <v>#VALUE!</v>
      </c>
      <c r="Y1659" t="e">
        <f t="shared" ca="1" si="761"/>
        <v>#VALUE!</v>
      </c>
      <c r="Z1659" t="e">
        <f t="shared" ca="1" si="762"/>
        <v>#VALUE!</v>
      </c>
      <c r="AA1659" t="e">
        <f t="shared" ca="1" si="763"/>
        <v>#VALUE!</v>
      </c>
      <c r="AB1659" t="e">
        <f t="shared" ca="1" si="764"/>
        <v>#VALUE!</v>
      </c>
      <c r="AC1659" t="e">
        <f t="shared" ca="1" si="765"/>
        <v>#VALUE!</v>
      </c>
      <c r="AD1659" t="e">
        <f ca="1">IF(V36="Supercritical",L1659,IF(V36="Subcritical",U1659,IF(AND(T1659=1,AC1659=1),IF((((F1659)*(L1659)^2)/2+(G1659)*(L1659)^3/3+(ABS(K1659)^2)/($I$5*MAX(((F1659)+(G1659)*(L1659))*(L1659),0.000001)))&gt;=(((F1659)*(U1659)^2)/2+(G1659)*(U1659)^3/3+(ABS(K1659)^2)/($I$5*MAX(((F1659)+(G1659)*(U1659))*(U1659),0.000001))),L1659,U1659),IF(T1659=1,L1659,IF(AC1659=1,U1659,MAX($D$16,POWER((ABS(K1659)^2)/($I$5*MAX(F1659,0.1)^2),1/3)))))))</f>
        <v>#VALUE!</v>
      </c>
      <c r="AE1659" t="e">
        <f t="shared" ca="1" si="766"/>
        <v>#VALUE!</v>
      </c>
      <c r="AF1659" t="e">
        <f t="shared" ca="1" si="767"/>
        <v>#VALUE!</v>
      </c>
      <c r="AI1659">
        <v>0</v>
      </c>
      <c r="AJ1659">
        <v>0</v>
      </c>
      <c r="AK1659">
        <f t="shared" si="768"/>
        <v>0</v>
      </c>
      <c r="AL1659">
        <f t="shared" si="776"/>
        <v>0</v>
      </c>
      <c r="AM1659" t="e">
        <f t="shared" ca="1" si="769"/>
        <v>#VALUE!</v>
      </c>
      <c r="AN1659" t="e">
        <f t="shared" ca="1" si="770"/>
        <v>#VALUE!</v>
      </c>
      <c r="AO1659" t="e">
        <f t="shared" ca="1" si="771"/>
        <v>#VALUE!</v>
      </c>
    </row>
    <row r="1660" spans="1:41" x14ac:dyDescent="0.35">
      <c r="A1660">
        <v>13</v>
      </c>
      <c r="B1660">
        <v>11.987</v>
      </c>
      <c r="C1660">
        <v>616076.18299999996</v>
      </c>
      <c r="D1660">
        <v>3096603.875</v>
      </c>
      <c r="E1660">
        <v>631.5</v>
      </c>
      <c r="F1660">
        <v>5.0430000000000001</v>
      </c>
      <c r="G1660">
        <v>0</v>
      </c>
      <c r="H1660" t="s">
        <v>186</v>
      </c>
      <c r="I1660">
        <v>2E-3</v>
      </c>
      <c r="J1660">
        <f t="shared" si="772"/>
        <v>1.0009999999999994</v>
      </c>
      <c r="K1660" t="e">
        <f t="shared" ca="1" si="777"/>
        <v>#VALUE!</v>
      </c>
      <c r="L1660" t="e">
        <f t="shared" ca="1" si="773"/>
        <v>#VALUE!</v>
      </c>
      <c r="M1660" t="e">
        <f t="shared" ca="1" si="751"/>
        <v>#VALUE!</v>
      </c>
      <c r="N1660" t="e">
        <f t="shared" ca="1" si="752"/>
        <v>#VALUE!</v>
      </c>
      <c r="O1660" t="e">
        <f t="shared" ca="1" si="753"/>
        <v>#VALUE!</v>
      </c>
      <c r="P1660" t="e">
        <f t="shared" ca="1" si="754"/>
        <v>#VALUE!</v>
      </c>
      <c r="Q1660" t="e">
        <f t="shared" ca="1" si="755"/>
        <v>#VALUE!</v>
      </c>
      <c r="R1660" t="e">
        <f t="shared" ca="1" si="756"/>
        <v>#VALUE!</v>
      </c>
      <c r="S1660" t="e">
        <f t="shared" ca="1" si="774"/>
        <v>#VALUE!</v>
      </c>
      <c r="T1660" t="e">
        <f t="shared" ca="1" si="775"/>
        <v>#VALUE!</v>
      </c>
      <c r="U1660" t="e">
        <f t="shared" ca="1" si="757"/>
        <v>#VALUE!</v>
      </c>
      <c r="V1660" t="e">
        <f t="shared" ca="1" si="758"/>
        <v>#VALUE!</v>
      </c>
      <c r="W1660" t="e">
        <f t="shared" ca="1" si="759"/>
        <v>#VALUE!</v>
      </c>
      <c r="X1660" t="e">
        <f t="shared" ca="1" si="760"/>
        <v>#VALUE!</v>
      </c>
      <c r="Y1660" t="e">
        <f t="shared" ca="1" si="761"/>
        <v>#VALUE!</v>
      </c>
      <c r="Z1660" t="e">
        <f t="shared" ca="1" si="762"/>
        <v>#VALUE!</v>
      </c>
      <c r="AA1660" t="e">
        <f t="shared" ca="1" si="763"/>
        <v>#VALUE!</v>
      </c>
      <c r="AB1660" t="e">
        <f t="shared" ca="1" si="764"/>
        <v>#VALUE!</v>
      </c>
      <c r="AC1660" t="e">
        <f t="shared" ca="1" si="765"/>
        <v>#VALUE!</v>
      </c>
      <c r="AD1660" t="e">
        <f ca="1">IF(V36="Supercritical",L1660,IF(V36="Subcritical",U1660,IF(AND(T1660=1,AC1660=1),IF((((F1660)*(L1660)^2)/2+(G1660)*(L1660)^3/3+(ABS(K1660)^2)/($I$5*MAX(((F1660)+(G1660)*(L1660))*(L1660),0.000001)))&gt;=(((F1660)*(U1660)^2)/2+(G1660)*(U1660)^3/3+(ABS(K1660)^2)/($I$5*MAX(((F1660)+(G1660)*(U1660))*(U1660),0.000001))),L1660,U1660),IF(T1660=1,L1660,IF(AC1660=1,U1660,MAX($D$16,POWER((ABS(K1660)^2)/($I$5*MAX(F1660,0.1)^2),1/3)))))))</f>
        <v>#VALUE!</v>
      </c>
      <c r="AE1660" t="e">
        <f t="shared" ca="1" si="766"/>
        <v>#VALUE!</v>
      </c>
      <c r="AF1660" t="e">
        <f t="shared" ca="1" si="767"/>
        <v>#VALUE!</v>
      </c>
      <c r="AI1660">
        <v>0</v>
      </c>
      <c r="AJ1660">
        <v>0</v>
      </c>
      <c r="AK1660">
        <f t="shared" si="768"/>
        <v>0</v>
      </c>
      <c r="AL1660">
        <f t="shared" si="776"/>
        <v>0</v>
      </c>
      <c r="AM1660" t="e">
        <f t="shared" ca="1" si="769"/>
        <v>#VALUE!</v>
      </c>
      <c r="AN1660" t="e">
        <f t="shared" ca="1" si="770"/>
        <v>#VALUE!</v>
      </c>
      <c r="AO1660" t="e">
        <f t="shared" ca="1" si="771"/>
        <v>#VALUE!</v>
      </c>
    </row>
    <row r="1661" spans="1:41" x14ac:dyDescent="0.35">
      <c r="A1661">
        <v>14</v>
      </c>
      <c r="B1661">
        <v>12.986000000000001</v>
      </c>
      <c r="C1661">
        <v>616076.22100000002</v>
      </c>
      <c r="D1661">
        <v>3096602.8760000002</v>
      </c>
      <c r="E1661">
        <v>631.5</v>
      </c>
      <c r="F1661">
        <v>5.1520000000000001</v>
      </c>
      <c r="G1661">
        <v>0</v>
      </c>
      <c r="H1661" t="s">
        <v>186</v>
      </c>
      <c r="I1661">
        <v>5.7000000000000002E-2</v>
      </c>
      <c r="J1661">
        <f t="shared" si="772"/>
        <v>0.99900000000000055</v>
      </c>
      <c r="K1661" t="e">
        <f t="shared" ca="1" si="777"/>
        <v>#VALUE!</v>
      </c>
      <c r="L1661" t="e">
        <f t="shared" ca="1" si="773"/>
        <v>#VALUE!</v>
      </c>
      <c r="M1661" t="e">
        <f t="shared" ca="1" si="751"/>
        <v>#VALUE!</v>
      </c>
      <c r="N1661" t="e">
        <f t="shared" ca="1" si="752"/>
        <v>#VALUE!</v>
      </c>
      <c r="O1661" t="e">
        <f t="shared" ca="1" si="753"/>
        <v>#VALUE!</v>
      </c>
      <c r="P1661" t="e">
        <f t="shared" ca="1" si="754"/>
        <v>#VALUE!</v>
      </c>
      <c r="Q1661" t="e">
        <f t="shared" ca="1" si="755"/>
        <v>#VALUE!</v>
      </c>
      <c r="R1661" t="e">
        <f t="shared" ca="1" si="756"/>
        <v>#VALUE!</v>
      </c>
      <c r="S1661" t="e">
        <f t="shared" ca="1" si="774"/>
        <v>#VALUE!</v>
      </c>
      <c r="T1661" t="e">
        <f t="shared" ca="1" si="775"/>
        <v>#VALUE!</v>
      </c>
      <c r="U1661" t="e">
        <f t="shared" ca="1" si="757"/>
        <v>#VALUE!</v>
      </c>
      <c r="V1661" t="e">
        <f t="shared" ca="1" si="758"/>
        <v>#VALUE!</v>
      </c>
      <c r="W1661" t="e">
        <f t="shared" ca="1" si="759"/>
        <v>#VALUE!</v>
      </c>
      <c r="X1661" t="e">
        <f t="shared" ca="1" si="760"/>
        <v>#VALUE!</v>
      </c>
      <c r="Y1661" t="e">
        <f t="shared" ca="1" si="761"/>
        <v>#VALUE!</v>
      </c>
      <c r="Z1661" t="e">
        <f t="shared" ca="1" si="762"/>
        <v>#VALUE!</v>
      </c>
      <c r="AA1661" t="e">
        <f t="shared" ca="1" si="763"/>
        <v>#VALUE!</v>
      </c>
      <c r="AB1661" t="e">
        <f t="shared" ca="1" si="764"/>
        <v>#VALUE!</v>
      </c>
      <c r="AC1661" t="e">
        <f t="shared" ca="1" si="765"/>
        <v>#VALUE!</v>
      </c>
      <c r="AD1661" t="e">
        <f ca="1">IF(V36="Supercritical",L1661,IF(V36="Subcritical",U1661,IF(AND(T1661=1,AC1661=1),IF((((F1661)*(L1661)^2)/2+(G1661)*(L1661)^3/3+(ABS(K1661)^2)/($I$5*MAX(((F1661)+(G1661)*(L1661))*(L1661),0.000001)))&gt;=(((F1661)*(U1661)^2)/2+(G1661)*(U1661)^3/3+(ABS(K1661)^2)/($I$5*MAX(((F1661)+(G1661)*(U1661))*(U1661),0.000001))),L1661,U1661),IF(T1661=1,L1661,IF(AC1661=1,U1661,MAX($D$16,POWER((ABS(K1661)^2)/($I$5*MAX(F1661,0.1)^2),1/3)))))))</f>
        <v>#VALUE!</v>
      </c>
      <c r="AE1661" t="e">
        <f t="shared" ca="1" si="766"/>
        <v>#VALUE!</v>
      </c>
      <c r="AF1661" t="e">
        <f t="shared" ca="1" si="767"/>
        <v>#VALUE!</v>
      </c>
      <c r="AI1661">
        <v>0</v>
      </c>
      <c r="AJ1661">
        <v>0</v>
      </c>
      <c r="AK1661">
        <f t="shared" si="768"/>
        <v>0</v>
      </c>
      <c r="AL1661">
        <f t="shared" si="776"/>
        <v>0</v>
      </c>
      <c r="AM1661" t="e">
        <f t="shared" ca="1" si="769"/>
        <v>#VALUE!</v>
      </c>
      <c r="AN1661" t="e">
        <f t="shared" ca="1" si="770"/>
        <v>#VALUE!</v>
      </c>
      <c r="AO1661" t="e">
        <f t="shared" ca="1" si="771"/>
        <v>#VALUE!</v>
      </c>
    </row>
    <row r="1662" spans="1:41" x14ac:dyDescent="0.35">
      <c r="A1662">
        <v>15</v>
      </c>
      <c r="B1662">
        <v>13.986000000000001</v>
      </c>
      <c r="C1662">
        <v>616076.25800000003</v>
      </c>
      <c r="D1662">
        <v>3096601.8769999999</v>
      </c>
      <c r="E1662">
        <v>631.5</v>
      </c>
      <c r="F1662">
        <v>5.2610000000000001</v>
      </c>
      <c r="G1662">
        <v>0</v>
      </c>
      <c r="H1662" t="s">
        <v>186</v>
      </c>
      <c r="I1662">
        <v>5.5E-2</v>
      </c>
      <c r="J1662">
        <f t="shared" si="772"/>
        <v>1</v>
      </c>
      <c r="K1662" t="e">
        <f t="shared" ca="1" si="777"/>
        <v>#VALUE!</v>
      </c>
      <c r="L1662" t="e">
        <f t="shared" ca="1" si="773"/>
        <v>#VALUE!</v>
      </c>
      <c r="M1662" t="e">
        <f t="shared" ca="1" si="751"/>
        <v>#VALUE!</v>
      </c>
      <c r="N1662" t="e">
        <f t="shared" ca="1" si="752"/>
        <v>#VALUE!</v>
      </c>
      <c r="O1662" t="e">
        <f t="shared" ca="1" si="753"/>
        <v>#VALUE!</v>
      </c>
      <c r="P1662" t="e">
        <f t="shared" ca="1" si="754"/>
        <v>#VALUE!</v>
      </c>
      <c r="Q1662" t="e">
        <f t="shared" ca="1" si="755"/>
        <v>#VALUE!</v>
      </c>
      <c r="R1662" t="e">
        <f t="shared" ca="1" si="756"/>
        <v>#VALUE!</v>
      </c>
      <c r="S1662" t="e">
        <f t="shared" ca="1" si="774"/>
        <v>#VALUE!</v>
      </c>
      <c r="T1662" t="e">
        <f t="shared" ca="1" si="775"/>
        <v>#VALUE!</v>
      </c>
      <c r="U1662" t="e">
        <f t="shared" ca="1" si="757"/>
        <v>#VALUE!</v>
      </c>
      <c r="V1662" t="e">
        <f t="shared" ca="1" si="758"/>
        <v>#VALUE!</v>
      </c>
      <c r="W1662" t="e">
        <f t="shared" ca="1" si="759"/>
        <v>#VALUE!</v>
      </c>
      <c r="X1662" t="e">
        <f t="shared" ca="1" si="760"/>
        <v>#VALUE!</v>
      </c>
      <c r="Y1662" t="e">
        <f t="shared" ca="1" si="761"/>
        <v>#VALUE!</v>
      </c>
      <c r="Z1662" t="e">
        <f t="shared" ca="1" si="762"/>
        <v>#VALUE!</v>
      </c>
      <c r="AA1662" t="e">
        <f t="shared" ca="1" si="763"/>
        <v>#VALUE!</v>
      </c>
      <c r="AB1662" t="e">
        <f t="shared" ca="1" si="764"/>
        <v>#VALUE!</v>
      </c>
      <c r="AC1662" t="e">
        <f t="shared" ca="1" si="765"/>
        <v>#VALUE!</v>
      </c>
      <c r="AD1662" t="e">
        <f ca="1">IF(V36="Supercritical",L1662,IF(V36="Subcritical",U1662,IF(AND(T1662=1,AC1662=1),IF((((F1662)*(L1662)^2)/2+(G1662)*(L1662)^3/3+(ABS(K1662)^2)/($I$5*MAX(((F1662)+(G1662)*(L1662))*(L1662),0.000001)))&gt;=(((F1662)*(U1662)^2)/2+(G1662)*(U1662)^3/3+(ABS(K1662)^2)/($I$5*MAX(((F1662)+(G1662)*(U1662))*(U1662),0.000001))),L1662,U1662),IF(T1662=1,L1662,IF(AC1662=1,U1662,MAX($D$16,POWER((ABS(K1662)^2)/($I$5*MAX(F1662,0.1)^2),1/3)))))))</f>
        <v>#VALUE!</v>
      </c>
      <c r="AE1662" t="e">
        <f t="shared" ca="1" si="766"/>
        <v>#VALUE!</v>
      </c>
      <c r="AF1662" t="e">
        <f t="shared" ca="1" si="767"/>
        <v>#VALUE!</v>
      </c>
      <c r="AI1662">
        <v>0</v>
      </c>
      <c r="AJ1662">
        <v>0</v>
      </c>
      <c r="AK1662">
        <f t="shared" si="768"/>
        <v>0</v>
      </c>
      <c r="AL1662">
        <f t="shared" si="776"/>
        <v>0</v>
      </c>
      <c r="AM1662" t="e">
        <f t="shared" ca="1" si="769"/>
        <v>#VALUE!</v>
      </c>
      <c r="AN1662" t="e">
        <f t="shared" ca="1" si="770"/>
        <v>#VALUE!</v>
      </c>
      <c r="AO1662" t="e">
        <f t="shared" ca="1" si="771"/>
        <v>#VALUE!</v>
      </c>
    </row>
    <row r="1663" spans="1:41" x14ac:dyDescent="0.35">
      <c r="A1663">
        <v>16</v>
      </c>
      <c r="B1663">
        <v>14.987</v>
      </c>
      <c r="C1663">
        <v>616076.29599999997</v>
      </c>
      <c r="D1663">
        <v>3096600.8769999999</v>
      </c>
      <c r="E1663">
        <v>631.5</v>
      </c>
      <c r="F1663">
        <v>5.37</v>
      </c>
      <c r="G1663">
        <v>0</v>
      </c>
      <c r="H1663" t="s">
        <v>186</v>
      </c>
      <c r="I1663">
        <v>2E-3</v>
      </c>
      <c r="J1663">
        <f t="shared" si="772"/>
        <v>1.0009999999999994</v>
      </c>
      <c r="K1663" t="e">
        <f t="shared" ca="1" si="777"/>
        <v>#VALUE!</v>
      </c>
      <c r="L1663" t="e">
        <f t="shared" ca="1" si="773"/>
        <v>#VALUE!</v>
      </c>
      <c r="M1663" t="e">
        <f t="shared" ca="1" si="751"/>
        <v>#VALUE!</v>
      </c>
      <c r="N1663" t="e">
        <f t="shared" ca="1" si="752"/>
        <v>#VALUE!</v>
      </c>
      <c r="O1663" t="e">
        <f t="shared" ca="1" si="753"/>
        <v>#VALUE!</v>
      </c>
      <c r="P1663" t="e">
        <f t="shared" ca="1" si="754"/>
        <v>#VALUE!</v>
      </c>
      <c r="Q1663" t="e">
        <f t="shared" ca="1" si="755"/>
        <v>#VALUE!</v>
      </c>
      <c r="R1663" t="e">
        <f t="shared" ca="1" si="756"/>
        <v>#VALUE!</v>
      </c>
      <c r="S1663" t="e">
        <f t="shared" ca="1" si="774"/>
        <v>#VALUE!</v>
      </c>
      <c r="T1663" t="e">
        <f t="shared" ca="1" si="775"/>
        <v>#VALUE!</v>
      </c>
      <c r="U1663" t="e">
        <f t="shared" ca="1" si="757"/>
        <v>#VALUE!</v>
      </c>
      <c r="V1663" t="e">
        <f t="shared" ca="1" si="758"/>
        <v>#VALUE!</v>
      </c>
      <c r="W1663" t="e">
        <f t="shared" ca="1" si="759"/>
        <v>#VALUE!</v>
      </c>
      <c r="X1663" t="e">
        <f t="shared" ca="1" si="760"/>
        <v>#VALUE!</v>
      </c>
      <c r="Y1663" t="e">
        <f t="shared" ca="1" si="761"/>
        <v>#VALUE!</v>
      </c>
      <c r="Z1663" t="e">
        <f t="shared" ca="1" si="762"/>
        <v>#VALUE!</v>
      </c>
      <c r="AA1663" t="e">
        <f t="shared" ca="1" si="763"/>
        <v>#VALUE!</v>
      </c>
      <c r="AB1663" t="e">
        <f t="shared" ca="1" si="764"/>
        <v>#VALUE!</v>
      </c>
      <c r="AC1663" t="e">
        <f t="shared" ca="1" si="765"/>
        <v>#VALUE!</v>
      </c>
      <c r="AD1663" t="e">
        <f ca="1">IF(V36="Supercritical",L1663,IF(V36="Subcritical",U1663,IF(AND(T1663=1,AC1663=1),IF((((F1663)*(L1663)^2)/2+(G1663)*(L1663)^3/3+(ABS(K1663)^2)/($I$5*MAX(((F1663)+(G1663)*(L1663))*(L1663),0.000001)))&gt;=(((F1663)*(U1663)^2)/2+(G1663)*(U1663)^3/3+(ABS(K1663)^2)/($I$5*MAX(((F1663)+(G1663)*(U1663))*(U1663),0.000001))),L1663,U1663),IF(T1663=1,L1663,IF(AC1663=1,U1663,MAX($D$16,POWER((ABS(K1663)^2)/($I$5*MAX(F1663,0.1)^2),1/3)))))))</f>
        <v>#VALUE!</v>
      </c>
      <c r="AE1663" t="e">
        <f t="shared" ca="1" si="766"/>
        <v>#VALUE!</v>
      </c>
      <c r="AF1663" t="e">
        <f t="shared" ca="1" si="767"/>
        <v>#VALUE!</v>
      </c>
      <c r="AI1663">
        <v>0</v>
      </c>
      <c r="AJ1663">
        <v>0</v>
      </c>
      <c r="AK1663">
        <f t="shared" si="768"/>
        <v>0</v>
      </c>
      <c r="AL1663">
        <f t="shared" si="776"/>
        <v>0</v>
      </c>
      <c r="AM1663" t="e">
        <f t="shared" ca="1" si="769"/>
        <v>#VALUE!</v>
      </c>
      <c r="AN1663" t="e">
        <f t="shared" ca="1" si="770"/>
        <v>#VALUE!</v>
      </c>
      <c r="AO1663" t="e">
        <f t="shared" ca="1" si="771"/>
        <v>#VALUE!</v>
      </c>
    </row>
    <row r="1664" spans="1:41" x14ac:dyDescent="0.35">
      <c r="A1664">
        <v>17</v>
      </c>
      <c r="B1664">
        <v>15.987</v>
      </c>
      <c r="C1664">
        <v>616076.33400000003</v>
      </c>
      <c r="D1664">
        <v>3096599.878</v>
      </c>
      <c r="E1664">
        <v>631.5</v>
      </c>
      <c r="F1664">
        <v>5.48</v>
      </c>
      <c r="G1664">
        <v>0</v>
      </c>
      <c r="H1664" t="s">
        <v>186</v>
      </c>
      <c r="I1664">
        <v>5.7000000000000002E-2</v>
      </c>
      <c r="J1664">
        <f t="shared" si="772"/>
        <v>1</v>
      </c>
      <c r="K1664" t="e">
        <f t="shared" ca="1" si="777"/>
        <v>#VALUE!</v>
      </c>
      <c r="L1664" t="e">
        <f t="shared" ca="1" si="773"/>
        <v>#VALUE!</v>
      </c>
      <c r="M1664" t="e">
        <f t="shared" ca="1" si="751"/>
        <v>#VALUE!</v>
      </c>
      <c r="N1664" t="e">
        <f t="shared" ca="1" si="752"/>
        <v>#VALUE!</v>
      </c>
      <c r="O1664" t="e">
        <f t="shared" ca="1" si="753"/>
        <v>#VALUE!</v>
      </c>
      <c r="P1664" t="e">
        <f t="shared" ca="1" si="754"/>
        <v>#VALUE!</v>
      </c>
      <c r="Q1664" t="e">
        <f t="shared" ca="1" si="755"/>
        <v>#VALUE!</v>
      </c>
      <c r="R1664" t="e">
        <f t="shared" ca="1" si="756"/>
        <v>#VALUE!</v>
      </c>
      <c r="S1664" t="e">
        <f t="shared" ca="1" si="774"/>
        <v>#VALUE!</v>
      </c>
      <c r="T1664" t="e">
        <f t="shared" ca="1" si="775"/>
        <v>#VALUE!</v>
      </c>
      <c r="U1664" t="e">
        <f t="shared" ca="1" si="757"/>
        <v>#VALUE!</v>
      </c>
      <c r="V1664" t="e">
        <f t="shared" ca="1" si="758"/>
        <v>#VALUE!</v>
      </c>
      <c r="W1664" t="e">
        <f t="shared" ca="1" si="759"/>
        <v>#VALUE!</v>
      </c>
      <c r="X1664" t="e">
        <f t="shared" ca="1" si="760"/>
        <v>#VALUE!</v>
      </c>
      <c r="Y1664" t="e">
        <f t="shared" ca="1" si="761"/>
        <v>#VALUE!</v>
      </c>
      <c r="Z1664" t="e">
        <f t="shared" ca="1" si="762"/>
        <v>#VALUE!</v>
      </c>
      <c r="AA1664" t="e">
        <f t="shared" ca="1" si="763"/>
        <v>#VALUE!</v>
      </c>
      <c r="AB1664" t="e">
        <f t="shared" ca="1" si="764"/>
        <v>#VALUE!</v>
      </c>
      <c r="AC1664" t="e">
        <f t="shared" ca="1" si="765"/>
        <v>#VALUE!</v>
      </c>
      <c r="AD1664" t="e">
        <f ca="1">IF(V36="Supercritical",L1664,IF(V36="Subcritical",U1664,IF(AND(T1664=1,AC1664=1),IF((((F1664)*(L1664)^2)/2+(G1664)*(L1664)^3/3+(ABS(K1664)^2)/($I$5*MAX(((F1664)+(G1664)*(L1664))*(L1664),0.000001)))&gt;=(((F1664)*(U1664)^2)/2+(G1664)*(U1664)^3/3+(ABS(K1664)^2)/($I$5*MAX(((F1664)+(G1664)*(U1664))*(U1664),0.000001))),L1664,U1664),IF(T1664=1,L1664,IF(AC1664=1,U1664,MAX($D$16,POWER((ABS(K1664)^2)/($I$5*MAX(F1664,0.1)^2),1/3)))))))</f>
        <v>#VALUE!</v>
      </c>
      <c r="AE1664" t="e">
        <f t="shared" ca="1" si="766"/>
        <v>#VALUE!</v>
      </c>
      <c r="AF1664" t="e">
        <f t="shared" ca="1" si="767"/>
        <v>#VALUE!</v>
      </c>
      <c r="AI1664">
        <v>0</v>
      </c>
      <c r="AJ1664">
        <v>0</v>
      </c>
      <c r="AK1664">
        <f t="shared" si="768"/>
        <v>0</v>
      </c>
      <c r="AL1664">
        <f t="shared" si="776"/>
        <v>0</v>
      </c>
      <c r="AM1664" t="e">
        <f t="shared" ca="1" si="769"/>
        <v>#VALUE!</v>
      </c>
      <c r="AN1664" t="e">
        <f t="shared" ca="1" si="770"/>
        <v>#VALUE!</v>
      </c>
      <c r="AO1664" t="e">
        <f t="shared" ca="1" si="771"/>
        <v>#VALUE!</v>
      </c>
    </row>
    <row r="1665" spans="1:41" x14ac:dyDescent="0.35">
      <c r="A1665">
        <v>18</v>
      </c>
      <c r="B1665">
        <v>16.986000000000001</v>
      </c>
      <c r="C1665">
        <v>616076.37100000004</v>
      </c>
      <c r="D1665">
        <v>3096598.8790000002</v>
      </c>
      <c r="E1665">
        <v>631.5</v>
      </c>
      <c r="F1665">
        <v>5.5890000000000004</v>
      </c>
      <c r="G1665">
        <v>0</v>
      </c>
      <c r="H1665" t="s">
        <v>186</v>
      </c>
      <c r="I1665">
        <v>5.7000000000000002E-2</v>
      </c>
      <c r="J1665">
        <f t="shared" si="772"/>
        <v>0.99900000000000055</v>
      </c>
      <c r="K1665" t="e">
        <f t="shared" ca="1" si="777"/>
        <v>#VALUE!</v>
      </c>
      <c r="L1665" t="e">
        <f t="shared" ca="1" si="773"/>
        <v>#VALUE!</v>
      </c>
      <c r="M1665" t="e">
        <f t="shared" ca="1" si="751"/>
        <v>#VALUE!</v>
      </c>
      <c r="N1665" t="e">
        <f t="shared" ca="1" si="752"/>
        <v>#VALUE!</v>
      </c>
      <c r="O1665" t="e">
        <f t="shared" ca="1" si="753"/>
        <v>#VALUE!</v>
      </c>
      <c r="P1665" t="e">
        <f t="shared" ca="1" si="754"/>
        <v>#VALUE!</v>
      </c>
      <c r="Q1665" t="e">
        <f t="shared" ca="1" si="755"/>
        <v>#VALUE!</v>
      </c>
      <c r="R1665" t="e">
        <f t="shared" ca="1" si="756"/>
        <v>#VALUE!</v>
      </c>
      <c r="S1665" t="e">
        <f t="shared" ca="1" si="774"/>
        <v>#VALUE!</v>
      </c>
      <c r="T1665" t="e">
        <f t="shared" ca="1" si="775"/>
        <v>#VALUE!</v>
      </c>
      <c r="U1665" t="e">
        <f t="shared" ca="1" si="757"/>
        <v>#VALUE!</v>
      </c>
      <c r="V1665" t="e">
        <f t="shared" ca="1" si="758"/>
        <v>#VALUE!</v>
      </c>
      <c r="W1665" t="e">
        <f t="shared" ca="1" si="759"/>
        <v>#VALUE!</v>
      </c>
      <c r="X1665" t="e">
        <f t="shared" ca="1" si="760"/>
        <v>#VALUE!</v>
      </c>
      <c r="Y1665" t="e">
        <f t="shared" ca="1" si="761"/>
        <v>#VALUE!</v>
      </c>
      <c r="Z1665" t="e">
        <f t="shared" ca="1" si="762"/>
        <v>#VALUE!</v>
      </c>
      <c r="AA1665" t="e">
        <f t="shared" ca="1" si="763"/>
        <v>#VALUE!</v>
      </c>
      <c r="AB1665" t="e">
        <f t="shared" ca="1" si="764"/>
        <v>#VALUE!</v>
      </c>
      <c r="AC1665" t="e">
        <f t="shared" ca="1" si="765"/>
        <v>#VALUE!</v>
      </c>
      <c r="AD1665" t="e">
        <f ca="1">IF(V36="Supercritical",L1665,IF(V36="Subcritical",U1665,IF(AND(T1665=1,AC1665=1),IF((((F1665)*(L1665)^2)/2+(G1665)*(L1665)^3/3+(ABS(K1665)^2)/($I$5*MAX(((F1665)+(G1665)*(L1665))*(L1665),0.000001)))&gt;=(((F1665)*(U1665)^2)/2+(G1665)*(U1665)^3/3+(ABS(K1665)^2)/($I$5*MAX(((F1665)+(G1665)*(U1665))*(U1665),0.000001))),L1665,U1665),IF(T1665=1,L1665,IF(AC1665=1,U1665,MAX($D$16,POWER((ABS(K1665)^2)/($I$5*MAX(F1665,0.1)^2),1/3)))))))</f>
        <v>#VALUE!</v>
      </c>
      <c r="AE1665" t="e">
        <f t="shared" ca="1" si="766"/>
        <v>#VALUE!</v>
      </c>
      <c r="AF1665" t="e">
        <f t="shared" ca="1" si="767"/>
        <v>#VALUE!</v>
      </c>
      <c r="AI1665">
        <v>0</v>
      </c>
      <c r="AJ1665">
        <v>0</v>
      </c>
      <c r="AK1665">
        <f t="shared" si="768"/>
        <v>0</v>
      </c>
      <c r="AL1665">
        <f t="shared" si="776"/>
        <v>0</v>
      </c>
      <c r="AM1665" t="e">
        <f t="shared" ca="1" si="769"/>
        <v>#VALUE!</v>
      </c>
      <c r="AN1665" t="e">
        <f t="shared" ca="1" si="770"/>
        <v>#VALUE!</v>
      </c>
      <c r="AO1665" t="e">
        <f t="shared" ca="1" si="771"/>
        <v>#VALUE!</v>
      </c>
    </row>
    <row r="1666" spans="1:41" x14ac:dyDescent="0.35">
      <c r="A1666">
        <v>19</v>
      </c>
      <c r="B1666">
        <v>17.986000000000001</v>
      </c>
      <c r="C1666">
        <v>616076.40899999999</v>
      </c>
      <c r="D1666">
        <v>3096597.88</v>
      </c>
      <c r="E1666">
        <v>631.5</v>
      </c>
      <c r="F1666">
        <v>5.6980000000000004</v>
      </c>
      <c r="G1666">
        <v>0</v>
      </c>
      <c r="H1666" t="s">
        <v>186</v>
      </c>
      <c r="I1666">
        <v>2E-3</v>
      </c>
      <c r="J1666">
        <f t="shared" si="772"/>
        <v>1</v>
      </c>
      <c r="K1666" t="e">
        <f t="shared" ca="1" si="777"/>
        <v>#VALUE!</v>
      </c>
      <c r="L1666" t="e">
        <f t="shared" ca="1" si="773"/>
        <v>#VALUE!</v>
      </c>
      <c r="M1666" t="e">
        <f t="shared" ca="1" si="751"/>
        <v>#VALUE!</v>
      </c>
      <c r="N1666" t="e">
        <f t="shared" ca="1" si="752"/>
        <v>#VALUE!</v>
      </c>
      <c r="O1666" t="e">
        <f t="shared" ca="1" si="753"/>
        <v>#VALUE!</v>
      </c>
      <c r="P1666" t="e">
        <f t="shared" ca="1" si="754"/>
        <v>#VALUE!</v>
      </c>
      <c r="Q1666" t="e">
        <f t="shared" ca="1" si="755"/>
        <v>#VALUE!</v>
      </c>
      <c r="R1666" t="e">
        <f t="shared" ca="1" si="756"/>
        <v>#VALUE!</v>
      </c>
      <c r="S1666" t="e">
        <f t="shared" ca="1" si="774"/>
        <v>#VALUE!</v>
      </c>
      <c r="T1666" t="e">
        <f t="shared" ca="1" si="775"/>
        <v>#VALUE!</v>
      </c>
      <c r="U1666" t="e">
        <f t="shared" ca="1" si="757"/>
        <v>#VALUE!</v>
      </c>
      <c r="V1666" t="e">
        <f t="shared" ca="1" si="758"/>
        <v>#VALUE!</v>
      </c>
      <c r="W1666" t="e">
        <f t="shared" ca="1" si="759"/>
        <v>#VALUE!</v>
      </c>
      <c r="X1666" t="e">
        <f t="shared" ca="1" si="760"/>
        <v>#VALUE!</v>
      </c>
      <c r="Y1666" t="e">
        <f t="shared" ca="1" si="761"/>
        <v>#VALUE!</v>
      </c>
      <c r="Z1666" t="e">
        <f t="shared" ca="1" si="762"/>
        <v>#VALUE!</v>
      </c>
      <c r="AA1666" t="e">
        <f t="shared" ca="1" si="763"/>
        <v>#VALUE!</v>
      </c>
      <c r="AB1666" t="e">
        <f t="shared" ca="1" si="764"/>
        <v>#VALUE!</v>
      </c>
      <c r="AC1666" t="e">
        <f t="shared" ca="1" si="765"/>
        <v>#VALUE!</v>
      </c>
      <c r="AD1666" t="e">
        <f ca="1">IF(V36="Supercritical",L1666,IF(V36="Subcritical",U1666,IF(AND(T1666=1,AC1666=1),IF((((F1666)*(L1666)^2)/2+(G1666)*(L1666)^3/3+(ABS(K1666)^2)/($I$5*MAX(((F1666)+(G1666)*(L1666))*(L1666),0.000001)))&gt;=(((F1666)*(U1666)^2)/2+(G1666)*(U1666)^3/3+(ABS(K1666)^2)/($I$5*MAX(((F1666)+(G1666)*(U1666))*(U1666),0.000001))),L1666,U1666),IF(T1666=1,L1666,IF(AC1666=1,U1666,MAX($D$16,POWER((ABS(K1666)^2)/($I$5*MAX(F1666,0.1)^2),1/3)))))))</f>
        <v>#VALUE!</v>
      </c>
      <c r="AE1666" t="e">
        <f t="shared" ca="1" si="766"/>
        <v>#VALUE!</v>
      </c>
      <c r="AF1666" t="e">
        <f t="shared" ca="1" si="767"/>
        <v>#VALUE!</v>
      </c>
      <c r="AI1666">
        <v>0</v>
      </c>
      <c r="AJ1666">
        <v>0</v>
      </c>
      <c r="AK1666">
        <f t="shared" si="768"/>
        <v>0</v>
      </c>
      <c r="AL1666">
        <f t="shared" si="776"/>
        <v>0</v>
      </c>
      <c r="AM1666" t="e">
        <f t="shared" ca="1" si="769"/>
        <v>#VALUE!</v>
      </c>
      <c r="AN1666" t="e">
        <f t="shared" ca="1" si="770"/>
        <v>#VALUE!</v>
      </c>
      <c r="AO1666" t="e">
        <f t="shared" ca="1" si="771"/>
        <v>#VALUE!</v>
      </c>
    </row>
    <row r="1667" spans="1:41" x14ac:dyDescent="0.35">
      <c r="A1667">
        <v>20</v>
      </c>
      <c r="B1667">
        <v>18.986999999999998</v>
      </c>
      <c r="C1667">
        <v>616076.44700000004</v>
      </c>
      <c r="D1667">
        <v>3096596.88</v>
      </c>
      <c r="E1667">
        <v>631.5</v>
      </c>
      <c r="F1667">
        <v>5.8070000000000004</v>
      </c>
      <c r="G1667">
        <v>0</v>
      </c>
      <c r="H1667" t="s">
        <v>186</v>
      </c>
      <c r="I1667">
        <v>5.5E-2</v>
      </c>
      <c r="J1667">
        <f t="shared" si="772"/>
        <v>1.0009999999999977</v>
      </c>
      <c r="K1667" t="e">
        <f t="shared" ca="1" si="777"/>
        <v>#VALUE!</v>
      </c>
      <c r="L1667" t="e">
        <f t="shared" ca="1" si="773"/>
        <v>#VALUE!</v>
      </c>
      <c r="M1667" t="e">
        <f t="shared" ca="1" si="751"/>
        <v>#VALUE!</v>
      </c>
      <c r="N1667" t="e">
        <f t="shared" ca="1" si="752"/>
        <v>#VALUE!</v>
      </c>
      <c r="O1667" t="e">
        <f t="shared" ca="1" si="753"/>
        <v>#VALUE!</v>
      </c>
      <c r="P1667" t="e">
        <f t="shared" ca="1" si="754"/>
        <v>#VALUE!</v>
      </c>
      <c r="Q1667" t="e">
        <f t="shared" ca="1" si="755"/>
        <v>#VALUE!</v>
      </c>
      <c r="R1667" t="e">
        <f t="shared" ca="1" si="756"/>
        <v>#VALUE!</v>
      </c>
      <c r="S1667" t="e">
        <f t="shared" ca="1" si="774"/>
        <v>#VALUE!</v>
      </c>
      <c r="T1667" t="e">
        <f t="shared" ca="1" si="775"/>
        <v>#VALUE!</v>
      </c>
      <c r="U1667" t="e">
        <f t="shared" ca="1" si="757"/>
        <v>#VALUE!</v>
      </c>
      <c r="V1667" t="e">
        <f t="shared" ca="1" si="758"/>
        <v>#VALUE!</v>
      </c>
      <c r="W1667" t="e">
        <f t="shared" ca="1" si="759"/>
        <v>#VALUE!</v>
      </c>
      <c r="X1667" t="e">
        <f t="shared" ca="1" si="760"/>
        <v>#VALUE!</v>
      </c>
      <c r="Y1667" t="e">
        <f t="shared" ca="1" si="761"/>
        <v>#VALUE!</v>
      </c>
      <c r="Z1667" t="e">
        <f t="shared" ca="1" si="762"/>
        <v>#VALUE!</v>
      </c>
      <c r="AA1667" t="e">
        <f t="shared" ca="1" si="763"/>
        <v>#VALUE!</v>
      </c>
      <c r="AB1667" t="e">
        <f t="shared" ca="1" si="764"/>
        <v>#VALUE!</v>
      </c>
      <c r="AC1667" t="e">
        <f t="shared" ca="1" si="765"/>
        <v>#VALUE!</v>
      </c>
      <c r="AD1667" t="e">
        <f ca="1">IF(V36="Supercritical",L1667,IF(V36="Subcritical",U1667,IF(AND(T1667=1,AC1667=1),IF((((F1667)*(L1667)^2)/2+(G1667)*(L1667)^3/3+(ABS(K1667)^2)/($I$5*MAX(((F1667)+(G1667)*(L1667))*(L1667),0.000001)))&gt;=(((F1667)*(U1667)^2)/2+(G1667)*(U1667)^3/3+(ABS(K1667)^2)/($I$5*MAX(((F1667)+(G1667)*(U1667))*(U1667),0.000001))),L1667,U1667),IF(T1667=1,L1667,IF(AC1667=1,U1667,MAX($D$16,POWER((ABS(K1667)^2)/($I$5*MAX(F1667,0.1)^2),1/3)))))))</f>
        <v>#VALUE!</v>
      </c>
      <c r="AE1667" t="e">
        <f t="shared" ca="1" si="766"/>
        <v>#VALUE!</v>
      </c>
      <c r="AF1667" t="e">
        <f t="shared" ca="1" si="767"/>
        <v>#VALUE!</v>
      </c>
      <c r="AI1667">
        <v>0</v>
      </c>
      <c r="AJ1667">
        <v>0</v>
      </c>
      <c r="AK1667">
        <f t="shared" si="768"/>
        <v>0</v>
      </c>
      <c r="AL1667">
        <f t="shared" si="776"/>
        <v>0</v>
      </c>
      <c r="AM1667" t="e">
        <f t="shared" ca="1" si="769"/>
        <v>#VALUE!</v>
      </c>
      <c r="AN1667" t="e">
        <f t="shared" ca="1" si="770"/>
        <v>#VALUE!</v>
      </c>
      <c r="AO1667" t="e">
        <f t="shared" ca="1" si="771"/>
        <v>#VALUE!</v>
      </c>
    </row>
    <row r="1668" spans="1:41" x14ac:dyDescent="0.35">
      <c r="A1668">
        <v>21</v>
      </c>
      <c r="B1668">
        <v>19.986000000000001</v>
      </c>
      <c r="C1668">
        <v>616076.48400000005</v>
      </c>
      <c r="D1668">
        <v>3096595.8810000001</v>
      </c>
      <c r="E1668">
        <v>631.5</v>
      </c>
      <c r="F1668">
        <v>5.9160000000000004</v>
      </c>
      <c r="G1668">
        <v>0</v>
      </c>
      <c r="H1668" t="s">
        <v>186</v>
      </c>
      <c r="I1668">
        <v>9.3789999999999996</v>
      </c>
      <c r="J1668">
        <f t="shared" si="772"/>
        <v>0.99900000000000233</v>
      </c>
      <c r="K1668" t="e">
        <f t="shared" ca="1" si="777"/>
        <v>#VALUE!</v>
      </c>
      <c r="L1668" t="e">
        <f t="shared" ca="1" si="773"/>
        <v>#VALUE!</v>
      </c>
      <c r="M1668" t="e">
        <f t="shared" ca="1" si="751"/>
        <v>#VALUE!</v>
      </c>
      <c r="N1668" t="e">
        <f t="shared" ca="1" si="752"/>
        <v>#VALUE!</v>
      </c>
      <c r="O1668" t="e">
        <f t="shared" ca="1" si="753"/>
        <v>#VALUE!</v>
      </c>
      <c r="P1668" t="e">
        <f t="shared" ca="1" si="754"/>
        <v>#VALUE!</v>
      </c>
      <c r="Q1668" t="e">
        <f t="shared" ca="1" si="755"/>
        <v>#VALUE!</v>
      </c>
      <c r="R1668" t="e">
        <f t="shared" ca="1" si="756"/>
        <v>#VALUE!</v>
      </c>
      <c r="S1668" t="e">
        <f t="shared" ca="1" si="774"/>
        <v>#VALUE!</v>
      </c>
      <c r="T1668" t="e">
        <f t="shared" ca="1" si="775"/>
        <v>#VALUE!</v>
      </c>
      <c r="U1668" t="e">
        <f t="shared" ca="1" si="757"/>
        <v>#VALUE!</v>
      </c>
      <c r="V1668" t="e">
        <f t="shared" ca="1" si="758"/>
        <v>#VALUE!</v>
      </c>
      <c r="W1668" t="e">
        <f t="shared" ca="1" si="759"/>
        <v>#VALUE!</v>
      </c>
      <c r="X1668" t="e">
        <f t="shared" ca="1" si="760"/>
        <v>#VALUE!</v>
      </c>
      <c r="Y1668" t="e">
        <f t="shared" ca="1" si="761"/>
        <v>#VALUE!</v>
      </c>
      <c r="Z1668" t="e">
        <f t="shared" ca="1" si="762"/>
        <v>#VALUE!</v>
      </c>
      <c r="AA1668" t="e">
        <f t="shared" ca="1" si="763"/>
        <v>#VALUE!</v>
      </c>
      <c r="AB1668" t="e">
        <f t="shared" ca="1" si="764"/>
        <v>#VALUE!</v>
      </c>
      <c r="AC1668" t="e">
        <f t="shared" ca="1" si="765"/>
        <v>#VALUE!</v>
      </c>
      <c r="AD1668" t="e">
        <f ca="1">IF(V36="Supercritical",L1668,IF(V36="Subcritical",U1668,IF(AND(T1668=1,AC1668=1),IF((((F1668)*(L1668)^2)/2+(G1668)*(L1668)^3/3+(ABS(K1668)^2)/($I$5*MAX(((F1668)+(G1668)*(L1668))*(L1668),0.000001)))&gt;=(((F1668)*(U1668)^2)/2+(G1668)*(U1668)^3/3+(ABS(K1668)^2)/($I$5*MAX(((F1668)+(G1668)*(U1668))*(U1668),0.000001))),L1668,U1668),IF(T1668=1,L1668,IF(AC1668=1,U1668,MAX($D$16,POWER((ABS(K1668)^2)/($I$5*MAX(F1668,0.1)^2),1/3)))))))</f>
        <v>#VALUE!</v>
      </c>
      <c r="AE1668" t="e">
        <f t="shared" ca="1" si="766"/>
        <v>#VALUE!</v>
      </c>
      <c r="AF1668" t="e">
        <f t="shared" ca="1" si="767"/>
        <v>#VALUE!</v>
      </c>
      <c r="AI1668">
        <v>0</v>
      </c>
      <c r="AJ1668">
        <v>0</v>
      </c>
      <c r="AK1668">
        <f t="shared" si="768"/>
        <v>0</v>
      </c>
      <c r="AL1668">
        <f t="shared" si="776"/>
        <v>0</v>
      </c>
      <c r="AM1668" t="e">
        <f t="shared" ca="1" si="769"/>
        <v>#VALUE!</v>
      </c>
      <c r="AN1668" t="e">
        <f t="shared" ca="1" si="770"/>
        <v>#VALUE!</v>
      </c>
      <c r="AO1668" t="e">
        <f t="shared" ca="1" si="771"/>
        <v>#VALUE!</v>
      </c>
    </row>
    <row r="1669" spans="1:41" x14ac:dyDescent="0.35">
      <c r="A1669">
        <v>22</v>
      </c>
      <c r="B1669">
        <v>20.952000000000002</v>
      </c>
      <c r="C1669">
        <v>616076.36199999996</v>
      </c>
      <c r="D1669">
        <v>3096594.923</v>
      </c>
      <c r="E1669">
        <v>631.5</v>
      </c>
      <c r="F1669">
        <v>5.9080000000000004</v>
      </c>
      <c r="G1669">
        <v>0</v>
      </c>
      <c r="H1669" t="s">
        <v>186</v>
      </c>
      <c r="I1669">
        <v>24.236999999999998</v>
      </c>
      <c r="J1669">
        <f t="shared" si="772"/>
        <v>0.96600000000000108</v>
      </c>
      <c r="K1669" t="e">
        <f t="shared" ca="1" si="777"/>
        <v>#VALUE!</v>
      </c>
      <c r="L1669" t="e">
        <f t="shared" ca="1" si="773"/>
        <v>#VALUE!</v>
      </c>
      <c r="M1669" t="e">
        <f t="shared" ca="1" si="751"/>
        <v>#VALUE!</v>
      </c>
      <c r="N1669" t="e">
        <f t="shared" ca="1" si="752"/>
        <v>#VALUE!</v>
      </c>
      <c r="O1669" t="e">
        <f t="shared" ca="1" si="753"/>
        <v>#VALUE!</v>
      </c>
      <c r="P1669" t="e">
        <f t="shared" ca="1" si="754"/>
        <v>#VALUE!</v>
      </c>
      <c r="Q1669" t="e">
        <f t="shared" ca="1" si="755"/>
        <v>#VALUE!</v>
      </c>
      <c r="R1669" t="e">
        <f t="shared" ca="1" si="756"/>
        <v>#VALUE!</v>
      </c>
      <c r="S1669" t="e">
        <f t="shared" ca="1" si="774"/>
        <v>#VALUE!</v>
      </c>
      <c r="T1669" t="e">
        <f t="shared" ca="1" si="775"/>
        <v>#VALUE!</v>
      </c>
      <c r="U1669" t="e">
        <f t="shared" ca="1" si="757"/>
        <v>#VALUE!</v>
      </c>
      <c r="V1669" t="e">
        <f t="shared" ca="1" si="758"/>
        <v>#VALUE!</v>
      </c>
      <c r="W1669" t="e">
        <f t="shared" ca="1" si="759"/>
        <v>#VALUE!</v>
      </c>
      <c r="X1669" t="e">
        <f t="shared" ca="1" si="760"/>
        <v>#VALUE!</v>
      </c>
      <c r="Y1669" t="e">
        <f t="shared" ca="1" si="761"/>
        <v>#VALUE!</v>
      </c>
      <c r="Z1669" t="e">
        <f t="shared" ca="1" si="762"/>
        <v>#VALUE!</v>
      </c>
      <c r="AA1669" t="e">
        <f t="shared" ca="1" si="763"/>
        <v>#VALUE!</v>
      </c>
      <c r="AB1669" t="e">
        <f t="shared" ca="1" si="764"/>
        <v>#VALUE!</v>
      </c>
      <c r="AC1669" t="e">
        <f t="shared" ca="1" si="765"/>
        <v>#VALUE!</v>
      </c>
      <c r="AD1669" t="e">
        <f ca="1">IF(V36="Supercritical",L1669,IF(V36="Subcritical",U1669,IF(AND(T1669=1,AC1669=1),IF((((F1669)*(L1669)^2)/2+(G1669)*(L1669)^3/3+(ABS(K1669)^2)/($I$5*MAX(((F1669)+(G1669)*(L1669))*(L1669),0.000001)))&gt;=(((F1669)*(U1669)^2)/2+(G1669)*(U1669)^3/3+(ABS(K1669)^2)/($I$5*MAX(((F1669)+(G1669)*(U1669))*(U1669),0.000001))),L1669,U1669),IF(T1669=1,L1669,IF(AC1669=1,U1669,MAX($D$16,POWER((ABS(K1669)^2)/($I$5*MAX(F1669,0.1)^2),1/3)))))))</f>
        <v>#VALUE!</v>
      </c>
      <c r="AE1669" t="e">
        <f t="shared" ca="1" si="766"/>
        <v>#VALUE!</v>
      </c>
      <c r="AF1669" t="e">
        <f t="shared" ca="1" si="767"/>
        <v>#VALUE!</v>
      </c>
      <c r="AI1669">
        <v>0</v>
      </c>
      <c r="AJ1669">
        <v>0</v>
      </c>
      <c r="AK1669">
        <f t="shared" si="768"/>
        <v>0</v>
      </c>
      <c r="AL1669">
        <f t="shared" si="776"/>
        <v>0</v>
      </c>
      <c r="AM1669" t="e">
        <f t="shared" ca="1" si="769"/>
        <v>#VALUE!</v>
      </c>
      <c r="AN1669" t="e">
        <f t="shared" ca="1" si="770"/>
        <v>#VALUE!</v>
      </c>
      <c r="AO1669" t="e">
        <f t="shared" ca="1" si="771"/>
        <v>#VALUE!</v>
      </c>
    </row>
    <row r="1670" spans="1:41" x14ac:dyDescent="0.35">
      <c r="A1670">
        <v>23</v>
      </c>
      <c r="B1670">
        <v>21.951000000000001</v>
      </c>
      <c r="C1670">
        <v>616075.84</v>
      </c>
      <c r="D1670">
        <v>3096594.071</v>
      </c>
      <c r="E1670">
        <v>631.12</v>
      </c>
      <c r="F1670">
        <v>5.1589999999999998</v>
      </c>
      <c r="G1670">
        <v>0</v>
      </c>
      <c r="H1670" t="s">
        <v>186</v>
      </c>
      <c r="I1670">
        <v>1.9E-2</v>
      </c>
      <c r="J1670">
        <f t="shared" si="772"/>
        <v>0.99899999999999878</v>
      </c>
      <c r="K1670" t="e">
        <f t="shared" ca="1" si="777"/>
        <v>#VALUE!</v>
      </c>
      <c r="L1670" t="e">
        <f t="shared" ca="1" si="773"/>
        <v>#VALUE!</v>
      </c>
      <c r="M1670" t="e">
        <f t="shared" ca="1" si="751"/>
        <v>#VALUE!</v>
      </c>
      <c r="N1670" t="e">
        <f t="shared" ca="1" si="752"/>
        <v>#VALUE!</v>
      </c>
      <c r="O1670" t="e">
        <f t="shared" ca="1" si="753"/>
        <v>#VALUE!</v>
      </c>
      <c r="P1670" t="e">
        <f t="shared" ca="1" si="754"/>
        <v>#VALUE!</v>
      </c>
      <c r="Q1670" t="e">
        <f t="shared" ca="1" si="755"/>
        <v>#VALUE!</v>
      </c>
      <c r="R1670" t="e">
        <f t="shared" ca="1" si="756"/>
        <v>#VALUE!</v>
      </c>
      <c r="S1670" t="e">
        <f t="shared" ca="1" si="774"/>
        <v>#VALUE!</v>
      </c>
      <c r="T1670" t="e">
        <f t="shared" ca="1" si="775"/>
        <v>#VALUE!</v>
      </c>
      <c r="U1670" t="e">
        <f t="shared" ca="1" si="757"/>
        <v>#VALUE!</v>
      </c>
      <c r="V1670" t="e">
        <f t="shared" ca="1" si="758"/>
        <v>#VALUE!</v>
      </c>
      <c r="W1670" t="e">
        <f t="shared" ca="1" si="759"/>
        <v>#VALUE!</v>
      </c>
      <c r="X1670" t="e">
        <f t="shared" ca="1" si="760"/>
        <v>#VALUE!</v>
      </c>
      <c r="Y1670" t="e">
        <f t="shared" ca="1" si="761"/>
        <v>#VALUE!</v>
      </c>
      <c r="Z1670" t="e">
        <f t="shared" ca="1" si="762"/>
        <v>#VALUE!</v>
      </c>
      <c r="AA1670" t="e">
        <f t="shared" ca="1" si="763"/>
        <v>#VALUE!</v>
      </c>
      <c r="AB1670" t="e">
        <f t="shared" ca="1" si="764"/>
        <v>#VALUE!</v>
      </c>
      <c r="AC1670" t="e">
        <f t="shared" ca="1" si="765"/>
        <v>#VALUE!</v>
      </c>
      <c r="AD1670" t="e">
        <f ca="1">IF(V36="Supercritical",L1670,IF(V36="Subcritical",U1670,IF(AND(T1670=1,AC1670=1),IF((((F1670)*(L1670)^2)/2+(G1670)*(L1670)^3/3+(ABS(K1670)^2)/($I$5*MAX(((F1670)+(G1670)*(L1670))*(L1670),0.000001)))&gt;=(((F1670)*(U1670)^2)/2+(G1670)*(U1670)^3/3+(ABS(K1670)^2)/($I$5*MAX(((F1670)+(G1670)*(U1670))*(U1670),0.000001))),L1670,U1670),IF(T1670=1,L1670,IF(AC1670=1,U1670,MAX($D$16,POWER((ABS(K1670)^2)/($I$5*MAX(F1670,0.1)^2),1/3)))))))</f>
        <v>#VALUE!</v>
      </c>
      <c r="AE1670" t="e">
        <f t="shared" ca="1" si="766"/>
        <v>#VALUE!</v>
      </c>
      <c r="AF1670" t="e">
        <f t="shared" ca="1" si="767"/>
        <v>#VALUE!</v>
      </c>
      <c r="AI1670">
        <v>0</v>
      </c>
      <c r="AJ1670">
        <v>0</v>
      </c>
      <c r="AK1670">
        <f t="shared" si="768"/>
        <v>0</v>
      </c>
      <c r="AL1670">
        <f t="shared" si="776"/>
        <v>0</v>
      </c>
      <c r="AM1670" t="e">
        <f t="shared" ca="1" si="769"/>
        <v>#VALUE!</v>
      </c>
      <c r="AN1670" t="e">
        <f t="shared" ca="1" si="770"/>
        <v>#VALUE!</v>
      </c>
      <c r="AO1670" t="e">
        <f t="shared" ca="1" si="771"/>
        <v>#VALUE!</v>
      </c>
    </row>
    <row r="1671" spans="1:41" x14ac:dyDescent="0.35">
      <c r="A1671">
        <v>24</v>
      </c>
      <c r="B1671">
        <v>22.952000000000002</v>
      </c>
      <c r="C1671">
        <v>616075.31700000004</v>
      </c>
      <c r="D1671">
        <v>3096593.2179999999</v>
      </c>
      <c r="E1671">
        <v>630.74</v>
      </c>
      <c r="F1671">
        <v>4.8529999999999998</v>
      </c>
      <c r="G1671">
        <v>0</v>
      </c>
      <c r="H1671" t="s">
        <v>186</v>
      </c>
      <c r="I1671">
        <v>4.9000000000000002E-2</v>
      </c>
      <c r="J1671">
        <f t="shared" si="772"/>
        <v>1.0010000000000012</v>
      </c>
      <c r="K1671" t="e">
        <f t="shared" ca="1" si="777"/>
        <v>#VALUE!</v>
      </c>
      <c r="L1671" t="e">
        <f t="shared" ca="1" si="773"/>
        <v>#VALUE!</v>
      </c>
      <c r="M1671" t="e">
        <f t="shared" ca="1" si="751"/>
        <v>#VALUE!</v>
      </c>
      <c r="N1671" t="e">
        <f t="shared" ca="1" si="752"/>
        <v>#VALUE!</v>
      </c>
      <c r="O1671" t="e">
        <f t="shared" ca="1" si="753"/>
        <v>#VALUE!</v>
      </c>
      <c r="P1671" t="e">
        <f t="shared" ca="1" si="754"/>
        <v>#VALUE!</v>
      </c>
      <c r="Q1671" t="e">
        <f t="shared" ca="1" si="755"/>
        <v>#VALUE!</v>
      </c>
      <c r="R1671" t="e">
        <f t="shared" ca="1" si="756"/>
        <v>#VALUE!</v>
      </c>
      <c r="S1671" t="e">
        <f t="shared" ca="1" si="774"/>
        <v>#VALUE!</v>
      </c>
      <c r="T1671" t="e">
        <f t="shared" ca="1" si="775"/>
        <v>#VALUE!</v>
      </c>
      <c r="U1671" t="e">
        <f t="shared" ca="1" si="757"/>
        <v>#VALUE!</v>
      </c>
      <c r="V1671" t="e">
        <f t="shared" ca="1" si="758"/>
        <v>#VALUE!</v>
      </c>
      <c r="W1671" t="e">
        <f t="shared" ca="1" si="759"/>
        <v>#VALUE!</v>
      </c>
      <c r="X1671" t="e">
        <f t="shared" ca="1" si="760"/>
        <v>#VALUE!</v>
      </c>
      <c r="Y1671" t="e">
        <f t="shared" ca="1" si="761"/>
        <v>#VALUE!</v>
      </c>
      <c r="Z1671" t="e">
        <f t="shared" ca="1" si="762"/>
        <v>#VALUE!</v>
      </c>
      <c r="AA1671" t="e">
        <f t="shared" ca="1" si="763"/>
        <v>#VALUE!</v>
      </c>
      <c r="AB1671" t="e">
        <f t="shared" ca="1" si="764"/>
        <v>#VALUE!</v>
      </c>
      <c r="AC1671" t="e">
        <f t="shared" ca="1" si="765"/>
        <v>#VALUE!</v>
      </c>
      <c r="AD1671" t="e">
        <f ca="1">IF(V36="Supercritical",L1671,IF(V36="Subcritical",U1671,IF(AND(T1671=1,AC1671=1),IF((((F1671)*(L1671)^2)/2+(G1671)*(L1671)^3/3+(ABS(K1671)^2)/($I$5*MAX(((F1671)+(G1671)*(L1671))*(L1671),0.000001)))&gt;=(((F1671)*(U1671)^2)/2+(G1671)*(U1671)^3/3+(ABS(K1671)^2)/($I$5*MAX(((F1671)+(G1671)*(U1671))*(U1671),0.000001))),L1671,U1671),IF(T1671=1,L1671,IF(AC1671=1,U1671,MAX($D$16,POWER((ABS(K1671)^2)/($I$5*MAX(F1671,0.1)^2),1/3)))))))</f>
        <v>#VALUE!</v>
      </c>
      <c r="AE1671" t="e">
        <f t="shared" ca="1" si="766"/>
        <v>#VALUE!</v>
      </c>
      <c r="AF1671" t="e">
        <f t="shared" ca="1" si="767"/>
        <v>#VALUE!</v>
      </c>
      <c r="AI1671">
        <v>0</v>
      </c>
      <c r="AJ1671">
        <v>0</v>
      </c>
      <c r="AK1671">
        <f t="shared" si="768"/>
        <v>0</v>
      </c>
      <c r="AL1671">
        <f t="shared" si="776"/>
        <v>0</v>
      </c>
      <c r="AM1671" t="e">
        <f t="shared" ca="1" si="769"/>
        <v>#VALUE!</v>
      </c>
      <c r="AN1671" t="e">
        <f t="shared" ca="1" si="770"/>
        <v>#VALUE!</v>
      </c>
      <c r="AO1671" t="e">
        <f t="shared" ca="1" si="771"/>
        <v>#VALUE!</v>
      </c>
    </row>
    <row r="1672" spans="1:41" x14ac:dyDescent="0.35">
      <c r="A1672">
        <v>25</v>
      </c>
      <c r="B1672">
        <v>23.952000000000002</v>
      </c>
      <c r="C1672">
        <v>616074.79500000004</v>
      </c>
      <c r="D1672">
        <v>3096592.3650000002</v>
      </c>
      <c r="E1672">
        <v>630.36</v>
      </c>
      <c r="F1672">
        <v>4.6130000000000004</v>
      </c>
      <c r="G1672">
        <v>0</v>
      </c>
      <c r="H1672" t="s">
        <v>186</v>
      </c>
      <c r="I1672">
        <v>0.03</v>
      </c>
      <c r="J1672">
        <f t="shared" si="772"/>
        <v>1</v>
      </c>
      <c r="K1672" t="e">
        <f t="shared" ca="1" si="777"/>
        <v>#VALUE!</v>
      </c>
      <c r="L1672" t="e">
        <f t="shared" ca="1" si="773"/>
        <v>#VALUE!</v>
      </c>
      <c r="M1672" t="e">
        <f t="shared" ca="1" si="751"/>
        <v>#VALUE!</v>
      </c>
      <c r="N1672" t="e">
        <f t="shared" ca="1" si="752"/>
        <v>#VALUE!</v>
      </c>
      <c r="O1672" t="e">
        <f t="shared" ca="1" si="753"/>
        <v>#VALUE!</v>
      </c>
      <c r="P1672" t="e">
        <f t="shared" ca="1" si="754"/>
        <v>#VALUE!</v>
      </c>
      <c r="Q1672" t="e">
        <f t="shared" ca="1" si="755"/>
        <v>#VALUE!</v>
      </c>
      <c r="R1672" t="e">
        <f t="shared" ca="1" si="756"/>
        <v>#VALUE!</v>
      </c>
      <c r="S1672" t="e">
        <f t="shared" ca="1" si="774"/>
        <v>#VALUE!</v>
      </c>
      <c r="T1672" t="e">
        <f t="shared" ca="1" si="775"/>
        <v>#VALUE!</v>
      </c>
      <c r="U1672" t="e">
        <f t="shared" ca="1" si="757"/>
        <v>#VALUE!</v>
      </c>
      <c r="V1672" t="e">
        <f t="shared" ca="1" si="758"/>
        <v>#VALUE!</v>
      </c>
      <c r="W1672" t="e">
        <f t="shared" ca="1" si="759"/>
        <v>#VALUE!</v>
      </c>
      <c r="X1672" t="e">
        <f t="shared" ca="1" si="760"/>
        <v>#VALUE!</v>
      </c>
      <c r="Y1672" t="e">
        <f t="shared" ca="1" si="761"/>
        <v>#VALUE!</v>
      </c>
      <c r="Z1672" t="e">
        <f t="shared" ca="1" si="762"/>
        <v>#VALUE!</v>
      </c>
      <c r="AA1672" t="e">
        <f t="shared" ca="1" si="763"/>
        <v>#VALUE!</v>
      </c>
      <c r="AB1672" t="e">
        <f t="shared" ca="1" si="764"/>
        <v>#VALUE!</v>
      </c>
      <c r="AC1672" t="e">
        <f t="shared" ca="1" si="765"/>
        <v>#VALUE!</v>
      </c>
      <c r="AD1672" t="e">
        <f ca="1">IF(V36="Supercritical",L1672,IF(V36="Subcritical",U1672,IF(AND(T1672=1,AC1672=1),IF((((F1672)*(L1672)^2)/2+(G1672)*(L1672)^3/3+(ABS(K1672)^2)/($I$5*MAX(((F1672)+(G1672)*(L1672))*(L1672),0.000001)))&gt;=(((F1672)*(U1672)^2)/2+(G1672)*(U1672)^3/3+(ABS(K1672)^2)/($I$5*MAX(((F1672)+(G1672)*(U1672))*(U1672),0.000001))),L1672,U1672),IF(T1672=1,L1672,IF(AC1672=1,U1672,MAX($D$16,POWER((ABS(K1672)^2)/($I$5*MAX(F1672,0.1)^2),1/3)))))))</f>
        <v>#VALUE!</v>
      </c>
      <c r="AE1672" t="e">
        <f t="shared" ca="1" si="766"/>
        <v>#VALUE!</v>
      </c>
      <c r="AF1672" t="e">
        <f t="shared" ca="1" si="767"/>
        <v>#VALUE!</v>
      </c>
      <c r="AI1672">
        <v>0</v>
      </c>
      <c r="AJ1672">
        <v>0</v>
      </c>
      <c r="AK1672">
        <f t="shared" si="768"/>
        <v>0</v>
      </c>
      <c r="AL1672">
        <f t="shared" si="776"/>
        <v>0</v>
      </c>
      <c r="AM1672" t="e">
        <f t="shared" ca="1" si="769"/>
        <v>#VALUE!</v>
      </c>
      <c r="AN1672" t="e">
        <f t="shared" ca="1" si="770"/>
        <v>#VALUE!</v>
      </c>
      <c r="AO1672" t="e">
        <f t="shared" ca="1" si="771"/>
        <v>#VALUE!</v>
      </c>
    </row>
    <row r="1673" spans="1:41" x14ac:dyDescent="0.35">
      <c r="A1673">
        <v>26</v>
      </c>
      <c r="B1673">
        <v>24.951000000000001</v>
      </c>
      <c r="C1673">
        <v>616074.27300000004</v>
      </c>
      <c r="D1673">
        <v>3096591.5129999998</v>
      </c>
      <c r="E1673">
        <v>629.98</v>
      </c>
      <c r="F1673">
        <v>4.3739999999999997</v>
      </c>
      <c r="G1673">
        <v>0</v>
      </c>
      <c r="H1673" t="s">
        <v>186</v>
      </c>
      <c r="I1673">
        <v>1.9E-2</v>
      </c>
      <c r="J1673">
        <f t="shared" si="772"/>
        <v>0.99899999999999878</v>
      </c>
      <c r="K1673" t="e">
        <f t="shared" ca="1" si="777"/>
        <v>#VALUE!</v>
      </c>
      <c r="L1673" t="e">
        <f t="shared" ca="1" si="773"/>
        <v>#VALUE!</v>
      </c>
      <c r="M1673" t="e">
        <f t="shared" ca="1" si="751"/>
        <v>#VALUE!</v>
      </c>
      <c r="N1673" t="e">
        <f t="shared" ca="1" si="752"/>
        <v>#VALUE!</v>
      </c>
      <c r="O1673" t="e">
        <f t="shared" ca="1" si="753"/>
        <v>#VALUE!</v>
      </c>
      <c r="P1673" t="e">
        <f t="shared" ca="1" si="754"/>
        <v>#VALUE!</v>
      </c>
      <c r="Q1673" t="e">
        <f t="shared" ca="1" si="755"/>
        <v>#VALUE!</v>
      </c>
      <c r="R1673" t="e">
        <f t="shared" ca="1" si="756"/>
        <v>#VALUE!</v>
      </c>
      <c r="S1673" t="e">
        <f t="shared" ca="1" si="774"/>
        <v>#VALUE!</v>
      </c>
      <c r="T1673" t="e">
        <f t="shared" ca="1" si="775"/>
        <v>#VALUE!</v>
      </c>
      <c r="U1673" t="e">
        <f t="shared" ca="1" si="757"/>
        <v>#VALUE!</v>
      </c>
      <c r="V1673" t="e">
        <f t="shared" ca="1" si="758"/>
        <v>#VALUE!</v>
      </c>
      <c r="W1673" t="e">
        <f t="shared" ca="1" si="759"/>
        <v>#VALUE!</v>
      </c>
      <c r="X1673" t="e">
        <f t="shared" ca="1" si="760"/>
        <v>#VALUE!</v>
      </c>
      <c r="Y1673" t="e">
        <f t="shared" ca="1" si="761"/>
        <v>#VALUE!</v>
      </c>
      <c r="Z1673" t="e">
        <f t="shared" ca="1" si="762"/>
        <v>#VALUE!</v>
      </c>
      <c r="AA1673" t="e">
        <f t="shared" ca="1" si="763"/>
        <v>#VALUE!</v>
      </c>
      <c r="AB1673" t="e">
        <f t="shared" ca="1" si="764"/>
        <v>#VALUE!</v>
      </c>
      <c r="AC1673" t="e">
        <f t="shared" ca="1" si="765"/>
        <v>#VALUE!</v>
      </c>
      <c r="AD1673" t="e">
        <f ca="1">IF(V36="Supercritical",L1673,IF(V36="Subcritical",U1673,IF(AND(T1673=1,AC1673=1),IF((((F1673)*(L1673)^2)/2+(G1673)*(L1673)^3/3+(ABS(K1673)^2)/($I$5*MAX(((F1673)+(G1673)*(L1673))*(L1673),0.000001)))&gt;=(((F1673)*(U1673)^2)/2+(G1673)*(U1673)^3/3+(ABS(K1673)^2)/($I$5*MAX(((F1673)+(G1673)*(U1673))*(U1673),0.000001))),L1673,U1673),IF(T1673=1,L1673,IF(AC1673=1,U1673,MAX($D$16,POWER((ABS(K1673)^2)/($I$5*MAX(F1673,0.1)^2),1/3)))))))</f>
        <v>#VALUE!</v>
      </c>
      <c r="AE1673" t="e">
        <f t="shared" ca="1" si="766"/>
        <v>#VALUE!</v>
      </c>
      <c r="AF1673" t="e">
        <f t="shared" ca="1" si="767"/>
        <v>#VALUE!</v>
      </c>
      <c r="AI1673">
        <v>0</v>
      </c>
      <c r="AJ1673">
        <v>0</v>
      </c>
      <c r="AK1673">
        <f t="shared" si="768"/>
        <v>0</v>
      </c>
      <c r="AL1673">
        <f t="shared" si="776"/>
        <v>0</v>
      </c>
      <c r="AM1673" t="e">
        <f t="shared" ca="1" si="769"/>
        <v>#VALUE!</v>
      </c>
      <c r="AN1673" t="e">
        <f t="shared" ca="1" si="770"/>
        <v>#VALUE!</v>
      </c>
      <c r="AO1673" t="e">
        <f t="shared" ca="1" si="771"/>
        <v>#VALUE!</v>
      </c>
    </row>
    <row r="1674" spans="1:41" x14ac:dyDescent="0.35">
      <c r="A1674">
        <v>27</v>
      </c>
      <c r="B1674">
        <v>25.952000000000002</v>
      </c>
      <c r="C1674">
        <v>616073.75</v>
      </c>
      <c r="D1674">
        <v>3096590.66</v>
      </c>
      <c r="E1674">
        <v>629.6</v>
      </c>
      <c r="F1674">
        <v>4.1340000000000003</v>
      </c>
      <c r="G1674">
        <v>0</v>
      </c>
      <c r="H1674" t="s">
        <v>186</v>
      </c>
      <c r="I1674">
        <v>4.9000000000000002E-2</v>
      </c>
      <c r="J1674">
        <f t="shared" si="772"/>
        <v>1.0010000000000012</v>
      </c>
      <c r="K1674" t="e">
        <f t="shared" ca="1" si="777"/>
        <v>#VALUE!</v>
      </c>
      <c r="L1674" t="e">
        <f t="shared" ca="1" si="773"/>
        <v>#VALUE!</v>
      </c>
      <c r="M1674" t="e">
        <f t="shared" ca="1" si="751"/>
        <v>#VALUE!</v>
      </c>
      <c r="N1674" t="e">
        <f t="shared" ca="1" si="752"/>
        <v>#VALUE!</v>
      </c>
      <c r="O1674" t="e">
        <f t="shared" ca="1" si="753"/>
        <v>#VALUE!</v>
      </c>
      <c r="P1674" t="e">
        <f t="shared" ca="1" si="754"/>
        <v>#VALUE!</v>
      </c>
      <c r="Q1674" t="e">
        <f t="shared" ca="1" si="755"/>
        <v>#VALUE!</v>
      </c>
      <c r="R1674" t="e">
        <f t="shared" ca="1" si="756"/>
        <v>#VALUE!</v>
      </c>
      <c r="S1674" t="e">
        <f t="shared" ca="1" si="774"/>
        <v>#VALUE!</v>
      </c>
      <c r="T1674" t="e">
        <f t="shared" ca="1" si="775"/>
        <v>#VALUE!</v>
      </c>
      <c r="U1674" t="e">
        <f t="shared" ca="1" si="757"/>
        <v>#VALUE!</v>
      </c>
      <c r="V1674" t="e">
        <f t="shared" ca="1" si="758"/>
        <v>#VALUE!</v>
      </c>
      <c r="W1674" t="e">
        <f t="shared" ca="1" si="759"/>
        <v>#VALUE!</v>
      </c>
      <c r="X1674" t="e">
        <f t="shared" ca="1" si="760"/>
        <v>#VALUE!</v>
      </c>
      <c r="Y1674" t="e">
        <f t="shared" ca="1" si="761"/>
        <v>#VALUE!</v>
      </c>
      <c r="Z1674" t="e">
        <f t="shared" ca="1" si="762"/>
        <v>#VALUE!</v>
      </c>
      <c r="AA1674" t="e">
        <f t="shared" ca="1" si="763"/>
        <v>#VALUE!</v>
      </c>
      <c r="AB1674" t="e">
        <f t="shared" ca="1" si="764"/>
        <v>#VALUE!</v>
      </c>
      <c r="AC1674" t="e">
        <f t="shared" ca="1" si="765"/>
        <v>#VALUE!</v>
      </c>
      <c r="AD1674" t="e">
        <f ca="1">IF(V36="Supercritical",L1674,IF(V36="Subcritical",U1674,IF(AND(T1674=1,AC1674=1),IF((((F1674)*(L1674)^2)/2+(G1674)*(L1674)^3/3+(ABS(K1674)^2)/($I$5*MAX(((F1674)+(G1674)*(L1674))*(L1674),0.000001)))&gt;=(((F1674)*(U1674)^2)/2+(G1674)*(U1674)^3/3+(ABS(K1674)^2)/($I$5*MAX(((F1674)+(G1674)*(U1674))*(U1674),0.000001))),L1674,U1674),IF(T1674=1,L1674,IF(AC1674=1,U1674,MAX($D$16,POWER((ABS(K1674)^2)/($I$5*MAX(F1674,0.1)^2),1/3)))))))</f>
        <v>#VALUE!</v>
      </c>
      <c r="AE1674" t="e">
        <f t="shared" ca="1" si="766"/>
        <v>#VALUE!</v>
      </c>
      <c r="AF1674" t="e">
        <f t="shared" ca="1" si="767"/>
        <v>#VALUE!</v>
      </c>
      <c r="AI1674">
        <v>0</v>
      </c>
      <c r="AJ1674">
        <v>0</v>
      </c>
      <c r="AK1674">
        <f t="shared" si="768"/>
        <v>0</v>
      </c>
      <c r="AL1674">
        <f t="shared" si="776"/>
        <v>0</v>
      </c>
      <c r="AM1674" t="e">
        <f t="shared" ca="1" si="769"/>
        <v>#VALUE!</v>
      </c>
      <c r="AN1674" t="e">
        <f t="shared" ca="1" si="770"/>
        <v>#VALUE!</v>
      </c>
      <c r="AO1674" t="e">
        <f t="shared" ca="1" si="771"/>
        <v>#VALUE!</v>
      </c>
    </row>
    <row r="1675" spans="1:41" x14ac:dyDescent="0.35">
      <c r="A1675">
        <v>28</v>
      </c>
      <c r="B1675">
        <v>26.952000000000002</v>
      </c>
      <c r="C1675">
        <v>616073.228</v>
      </c>
      <c r="D1675">
        <v>3096589.807</v>
      </c>
      <c r="E1675">
        <v>629.22</v>
      </c>
      <c r="F1675">
        <v>3.8940000000000001</v>
      </c>
      <c r="G1675">
        <v>0</v>
      </c>
      <c r="H1675" t="s">
        <v>186</v>
      </c>
      <c r="I1675">
        <v>7.9000000000000001E-2</v>
      </c>
      <c r="J1675">
        <f t="shared" si="772"/>
        <v>1</v>
      </c>
      <c r="K1675" t="e">
        <f t="shared" ca="1" si="777"/>
        <v>#VALUE!</v>
      </c>
      <c r="L1675" t="e">
        <f t="shared" ca="1" si="773"/>
        <v>#VALUE!</v>
      </c>
      <c r="M1675" t="e">
        <f t="shared" ca="1" si="751"/>
        <v>#VALUE!</v>
      </c>
      <c r="N1675" t="e">
        <f t="shared" ca="1" si="752"/>
        <v>#VALUE!</v>
      </c>
      <c r="O1675" t="e">
        <f t="shared" ca="1" si="753"/>
        <v>#VALUE!</v>
      </c>
      <c r="P1675" t="e">
        <f t="shared" ca="1" si="754"/>
        <v>#VALUE!</v>
      </c>
      <c r="Q1675" t="e">
        <f t="shared" ca="1" si="755"/>
        <v>#VALUE!</v>
      </c>
      <c r="R1675" t="e">
        <f t="shared" ca="1" si="756"/>
        <v>#VALUE!</v>
      </c>
      <c r="S1675" t="e">
        <f t="shared" ca="1" si="774"/>
        <v>#VALUE!</v>
      </c>
      <c r="T1675" t="e">
        <f t="shared" ca="1" si="775"/>
        <v>#VALUE!</v>
      </c>
      <c r="U1675" t="e">
        <f t="shared" ca="1" si="757"/>
        <v>#VALUE!</v>
      </c>
      <c r="V1675" t="e">
        <f t="shared" ca="1" si="758"/>
        <v>#VALUE!</v>
      </c>
      <c r="W1675" t="e">
        <f t="shared" ca="1" si="759"/>
        <v>#VALUE!</v>
      </c>
      <c r="X1675" t="e">
        <f t="shared" ca="1" si="760"/>
        <v>#VALUE!</v>
      </c>
      <c r="Y1675" t="e">
        <f t="shared" ca="1" si="761"/>
        <v>#VALUE!</v>
      </c>
      <c r="Z1675" t="e">
        <f t="shared" ca="1" si="762"/>
        <v>#VALUE!</v>
      </c>
      <c r="AA1675" t="e">
        <f t="shared" ca="1" si="763"/>
        <v>#VALUE!</v>
      </c>
      <c r="AB1675" t="e">
        <f t="shared" ca="1" si="764"/>
        <v>#VALUE!</v>
      </c>
      <c r="AC1675" t="e">
        <f t="shared" ca="1" si="765"/>
        <v>#VALUE!</v>
      </c>
      <c r="AD1675" t="e">
        <f ca="1">IF(V36="Supercritical",L1675,IF(V36="Subcritical",U1675,IF(AND(T1675=1,AC1675=1),IF((((F1675)*(L1675)^2)/2+(G1675)*(L1675)^3/3+(ABS(K1675)^2)/($I$5*MAX(((F1675)+(G1675)*(L1675))*(L1675),0.000001)))&gt;=(((F1675)*(U1675)^2)/2+(G1675)*(U1675)^3/3+(ABS(K1675)^2)/($I$5*MAX(((F1675)+(G1675)*(U1675))*(U1675),0.000001))),L1675,U1675),IF(T1675=1,L1675,IF(AC1675=1,U1675,MAX($D$16,POWER((ABS(K1675)^2)/($I$5*MAX(F1675,0.1)^2),1/3)))))))</f>
        <v>#VALUE!</v>
      </c>
      <c r="AE1675" t="e">
        <f t="shared" ca="1" si="766"/>
        <v>#VALUE!</v>
      </c>
      <c r="AF1675" t="e">
        <f t="shared" ca="1" si="767"/>
        <v>#VALUE!</v>
      </c>
      <c r="AI1675">
        <v>0</v>
      </c>
      <c r="AJ1675">
        <v>0</v>
      </c>
      <c r="AK1675">
        <f t="shared" si="768"/>
        <v>0</v>
      </c>
      <c r="AL1675">
        <f t="shared" si="776"/>
        <v>0</v>
      </c>
      <c r="AM1675" t="e">
        <f t="shared" ca="1" si="769"/>
        <v>#VALUE!</v>
      </c>
      <c r="AN1675" t="e">
        <f t="shared" ca="1" si="770"/>
        <v>#VALUE!</v>
      </c>
      <c r="AO1675" t="e">
        <f t="shared" ca="1" si="771"/>
        <v>#VALUE!</v>
      </c>
    </row>
    <row r="1676" spans="1:41" x14ac:dyDescent="0.35">
      <c r="A1676">
        <v>29</v>
      </c>
      <c r="B1676">
        <v>27.951000000000001</v>
      </c>
      <c r="C1676">
        <v>616072.70499999996</v>
      </c>
      <c r="D1676">
        <v>3096588.9550000001</v>
      </c>
      <c r="E1676">
        <v>628.84</v>
      </c>
      <c r="F1676">
        <v>3.714</v>
      </c>
      <c r="G1676">
        <v>0</v>
      </c>
      <c r="H1676" t="s">
        <v>186</v>
      </c>
      <c r="I1676">
        <v>0.41299999999999998</v>
      </c>
      <c r="J1676">
        <f t="shared" si="772"/>
        <v>0.99899999999999878</v>
      </c>
      <c r="K1676" t="e">
        <f ca="1">K1675+(AK1642)</f>
        <v>#VALUE!</v>
      </c>
      <c r="L1676" t="e">
        <f t="shared" ca="1" si="773"/>
        <v>#VALUE!</v>
      </c>
      <c r="M1676" t="e">
        <f t="shared" ca="1" si="751"/>
        <v>#VALUE!</v>
      </c>
      <c r="N1676" t="e">
        <f t="shared" ca="1" si="752"/>
        <v>#VALUE!</v>
      </c>
      <c r="O1676" t="e">
        <f t="shared" ca="1" si="753"/>
        <v>#VALUE!</v>
      </c>
      <c r="P1676" t="e">
        <f t="shared" ca="1" si="754"/>
        <v>#VALUE!</v>
      </c>
      <c r="Q1676" t="e">
        <f t="shared" ca="1" si="755"/>
        <v>#VALUE!</v>
      </c>
      <c r="R1676" t="e">
        <f t="shared" ca="1" si="756"/>
        <v>#VALUE!</v>
      </c>
      <c r="S1676" t="e">
        <f t="shared" ca="1" si="774"/>
        <v>#VALUE!</v>
      </c>
      <c r="T1676" t="e">
        <f t="shared" ca="1" si="775"/>
        <v>#VALUE!</v>
      </c>
      <c r="U1676" t="e">
        <f t="shared" ca="1" si="757"/>
        <v>#VALUE!</v>
      </c>
      <c r="V1676" t="e">
        <f t="shared" ca="1" si="758"/>
        <v>#VALUE!</v>
      </c>
      <c r="W1676" t="e">
        <f t="shared" ca="1" si="759"/>
        <v>#VALUE!</v>
      </c>
      <c r="X1676" t="e">
        <f t="shared" ca="1" si="760"/>
        <v>#VALUE!</v>
      </c>
      <c r="Y1676" t="e">
        <f t="shared" ca="1" si="761"/>
        <v>#VALUE!</v>
      </c>
      <c r="Z1676" t="e">
        <f t="shared" ca="1" si="762"/>
        <v>#VALUE!</v>
      </c>
      <c r="AA1676" t="e">
        <f t="shared" ca="1" si="763"/>
        <v>#VALUE!</v>
      </c>
      <c r="AB1676" t="e">
        <f t="shared" ca="1" si="764"/>
        <v>#VALUE!</v>
      </c>
      <c r="AC1676" t="e">
        <f t="shared" ca="1" si="765"/>
        <v>#VALUE!</v>
      </c>
      <c r="AD1676" t="e">
        <f ca="1">IF(V36="Supercritical",L1676,IF(V36="Subcritical",U1676,IF(AND(T1676=1,AC1676=1),IF((((F1676)*(L1676)^2)/2+(G1676)*(L1676)^3/3+(ABS(K1676)^2)/($I$5*MAX(((F1676)+(G1676)*(L1676))*(L1676),0.000001)))&gt;=(((F1676)*(U1676)^2)/2+(G1676)*(U1676)^3/3+(ABS(K1676)^2)/($I$5*MAX(((F1676)+(G1676)*(U1676))*(U1676),0.000001))),L1676,U1676),IF(T1676=1,L1676,IF(AC1676=1,U1676,MAX($D$16,POWER((ABS(K1676)^2)/($I$5*MAX(F1676,0.1)^2),1/3)))))))</f>
        <v>#VALUE!</v>
      </c>
      <c r="AE1676" t="e">
        <f t="shared" ca="1" si="766"/>
        <v>#VALUE!</v>
      </c>
      <c r="AF1676" t="e">
        <f t="shared" ca="1" si="767"/>
        <v>#VALUE!</v>
      </c>
      <c r="AI1676">
        <v>0</v>
      </c>
      <c r="AJ1676">
        <v>0</v>
      </c>
      <c r="AK1676">
        <f t="shared" si="768"/>
        <v>0</v>
      </c>
      <c r="AL1676">
        <f t="shared" si="776"/>
        <v>0</v>
      </c>
      <c r="AM1676" t="e">
        <f t="shared" ca="1" si="769"/>
        <v>#VALUE!</v>
      </c>
      <c r="AN1676" t="e">
        <f t="shared" ca="1" si="770"/>
        <v>#VALUE!</v>
      </c>
      <c r="AO1676" t="e">
        <f t="shared" ca="1" si="771"/>
        <v>#VALUE!</v>
      </c>
    </row>
    <row r="1677" spans="1:41" x14ac:dyDescent="0.35">
      <c r="A1677">
        <v>30</v>
      </c>
      <c r="B1677">
        <v>28.951000000000001</v>
      </c>
      <c r="C1677">
        <v>616072.18799999997</v>
      </c>
      <c r="D1677">
        <v>3096588.0989999999</v>
      </c>
      <c r="E1677">
        <v>628.46</v>
      </c>
      <c r="F1677">
        <v>3.823</v>
      </c>
      <c r="G1677">
        <v>0</v>
      </c>
      <c r="H1677" t="s">
        <v>186</v>
      </c>
      <c r="I1677">
        <v>6.0519999999999996</v>
      </c>
      <c r="J1677">
        <f t="shared" si="772"/>
        <v>1</v>
      </c>
      <c r="K1677" t="e">
        <f t="shared" ref="K1677:K1694" ca="1" si="778">K1676+0</f>
        <v>#VALUE!</v>
      </c>
      <c r="L1677" t="e">
        <f t="shared" ca="1" si="773"/>
        <v>#VALUE!</v>
      </c>
      <c r="M1677" t="e">
        <f t="shared" ca="1" si="751"/>
        <v>#VALUE!</v>
      </c>
      <c r="N1677" t="e">
        <f t="shared" ca="1" si="752"/>
        <v>#VALUE!</v>
      </c>
      <c r="O1677" t="e">
        <f t="shared" ca="1" si="753"/>
        <v>#VALUE!</v>
      </c>
      <c r="P1677" t="e">
        <f t="shared" ca="1" si="754"/>
        <v>#VALUE!</v>
      </c>
      <c r="Q1677" t="e">
        <f t="shared" ca="1" si="755"/>
        <v>#VALUE!</v>
      </c>
      <c r="R1677" t="e">
        <f t="shared" ca="1" si="756"/>
        <v>#VALUE!</v>
      </c>
      <c r="S1677" t="e">
        <f t="shared" ca="1" si="774"/>
        <v>#VALUE!</v>
      </c>
      <c r="T1677" t="e">
        <f t="shared" ca="1" si="775"/>
        <v>#VALUE!</v>
      </c>
      <c r="U1677" t="e">
        <f t="shared" ca="1" si="757"/>
        <v>#VALUE!</v>
      </c>
      <c r="V1677" t="e">
        <f t="shared" ca="1" si="758"/>
        <v>#VALUE!</v>
      </c>
      <c r="W1677" t="e">
        <f t="shared" ca="1" si="759"/>
        <v>#VALUE!</v>
      </c>
      <c r="X1677" t="e">
        <f t="shared" ca="1" si="760"/>
        <v>#VALUE!</v>
      </c>
      <c r="Y1677" t="e">
        <f t="shared" ca="1" si="761"/>
        <v>#VALUE!</v>
      </c>
      <c r="Z1677" t="e">
        <f t="shared" ca="1" si="762"/>
        <v>#VALUE!</v>
      </c>
      <c r="AA1677" t="e">
        <f t="shared" ca="1" si="763"/>
        <v>#VALUE!</v>
      </c>
      <c r="AB1677" t="e">
        <f t="shared" ca="1" si="764"/>
        <v>#VALUE!</v>
      </c>
      <c r="AC1677" t="e">
        <f t="shared" ca="1" si="765"/>
        <v>#VALUE!</v>
      </c>
      <c r="AD1677" t="e">
        <f ca="1">IF(V36="Supercritical",L1677,IF(V36="Subcritical",U1677,IF(AND(T1677=1,AC1677=1),IF((((F1677)*(L1677)^2)/2+(G1677)*(L1677)^3/3+(ABS(K1677)^2)/($I$5*MAX(((F1677)+(G1677)*(L1677))*(L1677),0.000001)))&gt;=(((F1677)*(U1677)^2)/2+(G1677)*(U1677)^3/3+(ABS(K1677)^2)/($I$5*MAX(((F1677)+(G1677)*(U1677))*(U1677),0.000001))),L1677,U1677),IF(T1677=1,L1677,IF(AC1677=1,U1677,MAX($D$16,POWER((ABS(K1677)^2)/($I$5*MAX(F1677,0.1)^2),1/3)))))))</f>
        <v>#VALUE!</v>
      </c>
      <c r="AE1677" t="e">
        <f t="shared" ca="1" si="766"/>
        <v>#VALUE!</v>
      </c>
      <c r="AF1677" t="e">
        <f t="shared" ca="1" si="767"/>
        <v>#VALUE!</v>
      </c>
      <c r="AI1677">
        <v>0</v>
      </c>
      <c r="AJ1677">
        <v>0</v>
      </c>
      <c r="AK1677">
        <f t="shared" si="768"/>
        <v>0</v>
      </c>
      <c r="AL1677">
        <f t="shared" si="776"/>
        <v>0</v>
      </c>
      <c r="AM1677" t="e">
        <f t="shared" ca="1" si="769"/>
        <v>#VALUE!</v>
      </c>
      <c r="AN1677" t="e">
        <f t="shared" ca="1" si="770"/>
        <v>#VALUE!</v>
      </c>
      <c r="AO1677" t="e">
        <f t="shared" ca="1" si="771"/>
        <v>#VALUE!</v>
      </c>
    </row>
    <row r="1678" spans="1:41" x14ac:dyDescent="0.35">
      <c r="A1678">
        <v>31</v>
      </c>
      <c r="B1678">
        <v>29.952000000000002</v>
      </c>
      <c r="C1678">
        <v>616071.76399999997</v>
      </c>
      <c r="D1678">
        <v>3096587.193</v>
      </c>
      <c r="E1678">
        <v>628.08000000000004</v>
      </c>
      <c r="F1678">
        <v>3.927</v>
      </c>
      <c r="G1678">
        <v>0</v>
      </c>
      <c r="H1678" t="s">
        <v>186</v>
      </c>
      <c r="I1678">
        <v>5.1999999999999998E-2</v>
      </c>
      <c r="J1678">
        <f t="shared" si="772"/>
        <v>1.0010000000000012</v>
      </c>
      <c r="K1678" t="e">
        <f t="shared" ca="1" si="778"/>
        <v>#VALUE!</v>
      </c>
      <c r="L1678" t="e">
        <f t="shared" ca="1" si="773"/>
        <v>#VALUE!</v>
      </c>
      <c r="M1678" t="e">
        <f t="shared" ca="1" si="751"/>
        <v>#VALUE!</v>
      </c>
      <c r="N1678" t="e">
        <f t="shared" ca="1" si="752"/>
        <v>#VALUE!</v>
      </c>
      <c r="O1678" t="e">
        <f t="shared" ca="1" si="753"/>
        <v>#VALUE!</v>
      </c>
      <c r="P1678" t="e">
        <f t="shared" ca="1" si="754"/>
        <v>#VALUE!</v>
      </c>
      <c r="Q1678" t="e">
        <f t="shared" ca="1" si="755"/>
        <v>#VALUE!</v>
      </c>
      <c r="R1678" t="e">
        <f t="shared" ca="1" si="756"/>
        <v>#VALUE!</v>
      </c>
      <c r="S1678" t="e">
        <f t="shared" ca="1" si="774"/>
        <v>#VALUE!</v>
      </c>
      <c r="T1678" t="e">
        <f t="shared" ca="1" si="775"/>
        <v>#VALUE!</v>
      </c>
      <c r="U1678" t="e">
        <f t="shared" ca="1" si="757"/>
        <v>#VALUE!</v>
      </c>
      <c r="V1678" t="e">
        <f t="shared" ca="1" si="758"/>
        <v>#VALUE!</v>
      </c>
      <c r="W1678" t="e">
        <f t="shared" ca="1" si="759"/>
        <v>#VALUE!</v>
      </c>
      <c r="X1678" t="e">
        <f t="shared" ca="1" si="760"/>
        <v>#VALUE!</v>
      </c>
      <c r="Y1678" t="e">
        <f t="shared" ca="1" si="761"/>
        <v>#VALUE!</v>
      </c>
      <c r="Z1678" t="e">
        <f t="shared" ca="1" si="762"/>
        <v>#VALUE!</v>
      </c>
      <c r="AA1678" t="e">
        <f t="shared" ca="1" si="763"/>
        <v>#VALUE!</v>
      </c>
      <c r="AB1678" t="e">
        <f t="shared" ca="1" si="764"/>
        <v>#VALUE!</v>
      </c>
      <c r="AC1678" t="e">
        <f t="shared" ca="1" si="765"/>
        <v>#VALUE!</v>
      </c>
      <c r="AD1678" t="e">
        <f ca="1">IF(V36="Supercritical",L1678,IF(V36="Subcritical",U1678,IF(AND(T1678=1,AC1678=1),IF((((F1678)*(L1678)^2)/2+(G1678)*(L1678)^3/3+(ABS(K1678)^2)/($I$5*MAX(((F1678)+(G1678)*(L1678))*(L1678),0.000001)))&gt;=(((F1678)*(U1678)^2)/2+(G1678)*(U1678)^3/3+(ABS(K1678)^2)/($I$5*MAX(((F1678)+(G1678)*(U1678))*(U1678),0.000001))),L1678,U1678),IF(T1678=1,L1678,IF(AC1678=1,U1678,MAX($D$16,POWER((ABS(K1678)^2)/($I$5*MAX(F1678,0.1)^2),1/3)))))))</f>
        <v>#VALUE!</v>
      </c>
      <c r="AE1678" t="e">
        <f t="shared" ca="1" si="766"/>
        <v>#VALUE!</v>
      </c>
      <c r="AF1678" t="e">
        <f t="shared" ca="1" si="767"/>
        <v>#VALUE!</v>
      </c>
      <c r="AI1678">
        <v>0</v>
      </c>
      <c r="AJ1678">
        <v>0</v>
      </c>
      <c r="AK1678">
        <f t="shared" si="768"/>
        <v>0</v>
      </c>
      <c r="AL1678">
        <f t="shared" si="776"/>
        <v>0</v>
      </c>
      <c r="AM1678" t="e">
        <f t="shared" ca="1" si="769"/>
        <v>#VALUE!</v>
      </c>
      <c r="AN1678" t="e">
        <f t="shared" ca="1" si="770"/>
        <v>#VALUE!</v>
      </c>
      <c r="AO1678" t="e">
        <f t="shared" ca="1" si="771"/>
        <v>#VALUE!</v>
      </c>
    </row>
    <row r="1679" spans="1:41" x14ac:dyDescent="0.35">
      <c r="A1679">
        <v>32</v>
      </c>
      <c r="B1679">
        <v>30.952000000000002</v>
      </c>
      <c r="C1679">
        <v>616071.34100000001</v>
      </c>
      <c r="D1679">
        <v>3096586.287</v>
      </c>
      <c r="E1679">
        <v>627.70000000000005</v>
      </c>
      <c r="F1679">
        <v>4.0309999999999997</v>
      </c>
      <c r="G1679">
        <v>0</v>
      </c>
      <c r="H1679" t="s">
        <v>186</v>
      </c>
      <c r="I1679">
        <v>0</v>
      </c>
      <c r="J1679">
        <f t="shared" si="772"/>
        <v>1</v>
      </c>
      <c r="K1679" t="e">
        <f t="shared" ca="1" si="778"/>
        <v>#VALUE!</v>
      </c>
      <c r="L1679" t="e">
        <f t="shared" ca="1" si="773"/>
        <v>#VALUE!</v>
      </c>
      <c r="M1679" t="e">
        <f t="shared" ca="1" si="751"/>
        <v>#VALUE!</v>
      </c>
      <c r="N1679" t="e">
        <f t="shared" ca="1" si="752"/>
        <v>#VALUE!</v>
      </c>
      <c r="O1679" t="e">
        <f t="shared" ca="1" si="753"/>
        <v>#VALUE!</v>
      </c>
      <c r="P1679" t="e">
        <f t="shared" ca="1" si="754"/>
        <v>#VALUE!</v>
      </c>
      <c r="Q1679" t="e">
        <f t="shared" ca="1" si="755"/>
        <v>#VALUE!</v>
      </c>
      <c r="R1679" t="e">
        <f t="shared" ca="1" si="756"/>
        <v>#VALUE!</v>
      </c>
      <c r="S1679" t="e">
        <f t="shared" ca="1" si="774"/>
        <v>#VALUE!</v>
      </c>
      <c r="T1679" t="e">
        <f t="shared" ca="1" si="775"/>
        <v>#VALUE!</v>
      </c>
      <c r="U1679" t="e">
        <f t="shared" ca="1" si="757"/>
        <v>#VALUE!</v>
      </c>
      <c r="V1679" t="e">
        <f t="shared" ca="1" si="758"/>
        <v>#VALUE!</v>
      </c>
      <c r="W1679" t="e">
        <f t="shared" ca="1" si="759"/>
        <v>#VALUE!</v>
      </c>
      <c r="X1679" t="e">
        <f t="shared" ca="1" si="760"/>
        <v>#VALUE!</v>
      </c>
      <c r="Y1679" t="e">
        <f t="shared" ca="1" si="761"/>
        <v>#VALUE!</v>
      </c>
      <c r="Z1679" t="e">
        <f t="shared" ca="1" si="762"/>
        <v>#VALUE!</v>
      </c>
      <c r="AA1679" t="e">
        <f t="shared" ca="1" si="763"/>
        <v>#VALUE!</v>
      </c>
      <c r="AB1679" t="e">
        <f t="shared" ca="1" si="764"/>
        <v>#VALUE!</v>
      </c>
      <c r="AC1679" t="e">
        <f t="shared" ca="1" si="765"/>
        <v>#VALUE!</v>
      </c>
      <c r="AD1679" t="e">
        <f ca="1">IF(V36="Supercritical",L1679,IF(V36="Subcritical",U1679,IF(AND(T1679=1,AC1679=1),IF((((F1679)*(L1679)^2)/2+(G1679)*(L1679)^3/3+(ABS(K1679)^2)/($I$5*MAX(((F1679)+(G1679)*(L1679))*(L1679),0.000001)))&gt;=(((F1679)*(U1679)^2)/2+(G1679)*(U1679)^3/3+(ABS(K1679)^2)/($I$5*MAX(((F1679)+(G1679)*(U1679))*(U1679),0.000001))),L1679,U1679),IF(T1679=1,L1679,IF(AC1679=1,U1679,MAX($D$16,POWER((ABS(K1679)^2)/($I$5*MAX(F1679,0.1)^2),1/3)))))))</f>
        <v>#VALUE!</v>
      </c>
      <c r="AE1679" t="e">
        <f t="shared" ca="1" si="766"/>
        <v>#VALUE!</v>
      </c>
      <c r="AF1679" t="e">
        <f t="shared" ca="1" si="767"/>
        <v>#VALUE!</v>
      </c>
      <c r="AI1679">
        <v>0</v>
      </c>
      <c r="AJ1679">
        <v>0</v>
      </c>
      <c r="AK1679">
        <f t="shared" si="768"/>
        <v>0</v>
      </c>
      <c r="AL1679">
        <f t="shared" si="776"/>
        <v>0</v>
      </c>
      <c r="AM1679" t="e">
        <f t="shared" ca="1" si="769"/>
        <v>#VALUE!</v>
      </c>
      <c r="AN1679" t="e">
        <f t="shared" ca="1" si="770"/>
        <v>#VALUE!</v>
      </c>
      <c r="AO1679" t="e">
        <f t="shared" ca="1" si="771"/>
        <v>#VALUE!</v>
      </c>
    </row>
    <row r="1680" spans="1:41" x14ac:dyDescent="0.35">
      <c r="A1680">
        <v>33</v>
      </c>
      <c r="B1680">
        <v>31.951000000000001</v>
      </c>
      <c r="C1680">
        <v>616070.91799999995</v>
      </c>
      <c r="D1680">
        <v>3096585.3810000001</v>
      </c>
      <c r="E1680">
        <v>627.32000000000005</v>
      </c>
      <c r="F1680">
        <v>4.1349999999999998</v>
      </c>
      <c r="G1680">
        <v>0</v>
      </c>
      <c r="H1680" t="s">
        <v>186</v>
      </c>
      <c r="I1680">
        <v>14.763999999999999</v>
      </c>
      <c r="J1680">
        <f t="shared" si="772"/>
        <v>0.99899999999999878</v>
      </c>
      <c r="K1680" t="e">
        <f t="shared" ca="1" si="778"/>
        <v>#VALUE!</v>
      </c>
      <c r="L1680" t="e">
        <f t="shared" ca="1" si="773"/>
        <v>#VALUE!</v>
      </c>
      <c r="M1680" t="e">
        <f t="shared" ca="1" si="751"/>
        <v>#VALUE!</v>
      </c>
      <c r="N1680" t="e">
        <f t="shared" ca="1" si="752"/>
        <v>#VALUE!</v>
      </c>
      <c r="O1680" t="e">
        <f t="shared" ca="1" si="753"/>
        <v>#VALUE!</v>
      </c>
      <c r="P1680" t="e">
        <f t="shared" ca="1" si="754"/>
        <v>#VALUE!</v>
      </c>
      <c r="Q1680" t="e">
        <f t="shared" ca="1" si="755"/>
        <v>#VALUE!</v>
      </c>
      <c r="R1680" t="e">
        <f t="shared" ca="1" si="756"/>
        <v>#VALUE!</v>
      </c>
      <c r="S1680" t="e">
        <f t="shared" ca="1" si="774"/>
        <v>#VALUE!</v>
      </c>
      <c r="T1680" t="e">
        <f t="shared" ca="1" si="775"/>
        <v>#VALUE!</v>
      </c>
      <c r="U1680" t="e">
        <f t="shared" ca="1" si="757"/>
        <v>#VALUE!</v>
      </c>
      <c r="V1680" t="e">
        <f t="shared" ca="1" si="758"/>
        <v>#VALUE!</v>
      </c>
      <c r="W1680" t="e">
        <f t="shared" ca="1" si="759"/>
        <v>#VALUE!</v>
      </c>
      <c r="X1680" t="e">
        <f t="shared" ca="1" si="760"/>
        <v>#VALUE!</v>
      </c>
      <c r="Y1680" t="e">
        <f t="shared" ca="1" si="761"/>
        <v>#VALUE!</v>
      </c>
      <c r="Z1680" t="e">
        <f t="shared" ca="1" si="762"/>
        <v>#VALUE!</v>
      </c>
      <c r="AA1680" t="e">
        <f t="shared" ca="1" si="763"/>
        <v>#VALUE!</v>
      </c>
      <c r="AB1680" t="e">
        <f t="shared" ca="1" si="764"/>
        <v>#VALUE!</v>
      </c>
      <c r="AC1680" t="e">
        <f t="shared" ca="1" si="765"/>
        <v>#VALUE!</v>
      </c>
      <c r="AD1680" t="e">
        <f ca="1">IF(V36="Supercritical",L1680,IF(V36="Subcritical",U1680,IF(AND(T1680=1,AC1680=1),IF((((F1680)*(L1680)^2)/2+(G1680)*(L1680)^3/3+(ABS(K1680)^2)/($I$5*MAX(((F1680)+(G1680)*(L1680))*(L1680),0.000001)))&gt;=(((F1680)*(U1680)^2)/2+(G1680)*(U1680)^3/3+(ABS(K1680)^2)/($I$5*MAX(((F1680)+(G1680)*(U1680))*(U1680),0.000001))),L1680,U1680),IF(T1680=1,L1680,IF(AC1680=1,U1680,MAX($D$16,POWER((ABS(K1680)^2)/($I$5*MAX(F1680,0.1)^2),1/3)))))))</f>
        <v>#VALUE!</v>
      </c>
      <c r="AE1680" t="e">
        <f t="shared" ca="1" si="766"/>
        <v>#VALUE!</v>
      </c>
      <c r="AF1680" t="e">
        <f t="shared" ca="1" si="767"/>
        <v>#VALUE!</v>
      </c>
      <c r="AI1680">
        <v>0</v>
      </c>
      <c r="AJ1680">
        <v>0</v>
      </c>
      <c r="AK1680">
        <f t="shared" si="768"/>
        <v>0</v>
      </c>
      <c r="AL1680">
        <f t="shared" si="776"/>
        <v>0</v>
      </c>
      <c r="AM1680" t="e">
        <f t="shared" ca="1" si="769"/>
        <v>#VALUE!</v>
      </c>
      <c r="AN1680" t="e">
        <f t="shared" ca="1" si="770"/>
        <v>#VALUE!</v>
      </c>
      <c r="AO1680" t="e">
        <f t="shared" ca="1" si="771"/>
        <v>#VALUE!</v>
      </c>
    </row>
    <row r="1681" spans="1:41" x14ac:dyDescent="0.35">
      <c r="A1681">
        <v>34</v>
      </c>
      <c r="B1681">
        <v>32.939</v>
      </c>
      <c r="C1681">
        <v>616070.74199999997</v>
      </c>
      <c r="D1681">
        <v>3096584.409</v>
      </c>
      <c r="E1681">
        <v>626.94000000000005</v>
      </c>
      <c r="F1681">
        <v>4.1289999999999996</v>
      </c>
      <c r="G1681">
        <v>0</v>
      </c>
      <c r="H1681" t="s">
        <v>186</v>
      </c>
      <c r="I1681">
        <v>5.2140000000000004</v>
      </c>
      <c r="J1681">
        <f t="shared" si="772"/>
        <v>0.98799999999999955</v>
      </c>
      <c r="K1681" t="e">
        <f t="shared" ca="1" si="778"/>
        <v>#VALUE!</v>
      </c>
      <c r="L1681" t="e">
        <f t="shared" ca="1" si="773"/>
        <v>#VALUE!</v>
      </c>
      <c r="M1681" t="e">
        <f t="shared" ca="1" si="751"/>
        <v>#VALUE!</v>
      </c>
      <c r="N1681" t="e">
        <f t="shared" ca="1" si="752"/>
        <v>#VALUE!</v>
      </c>
      <c r="O1681" t="e">
        <f t="shared" ca="1" si="753"/>
        <v>#VALUE!</v>
      </c>
      <c r="P1681" t="e">
        <f t="shared" ca="1" si="754"/>
        <v>#VALUE!</v>
      </c>
      <c r="Q1681" t="e">
        <f t="shared" ca="1" si="755"/>
        <v>#VALUE!</v>
      </c>
      <c r="R1681" t="e">
        <f t="shared" ca="1" si="756"/>
        <v>#VALUE!</v>
      </c>
      <c r="S1681" t="e">
        <f t="shared" ca="1" si="774"/>
        <v>#VALUE!</v>
      </c>
      <c r="T1681" t="e">
        <f t="shared" ca="1" si="775"/>
        <v>#VALUE!</v>
      </c>
      <c r="U1681" t="e">
        <f t="shared" ca="1" si="757"/>
        <v>#VALUE!</v>
      </c>
      <c r="V1681" t="e">
        <f t="shared" ca="1" si="758"/>
        <v>#VALUE!</v>
      </c>
      <c r="W1681" t="e">
        <f t="shared" ca="1" si="759"/>
        <v>#VALUE!</v>
      </c>
      <c r="X1681" t="e">
        <f t="shared" ca="1" si="760"/>
        <v>#VALUE!</v>
      </c>
      <c r="Y1681" t="e">
        <f t="shared" ca="1" si="761"/>
        <v>#VALUE!</v>
      </c>
      <c r="Z1681" t="e">
        <f t="shared" ca="1" si="762"/>
        <v>#VALUE!</v>
      </c>
      <c r="AA1681" t="e">
        <f t="shared" ca="1" si="763"/>
        <v>#VALUE!</v>
      </c>
      <c r="AB1681" t="e">
        <f t="shared" ca="1" si="764"/>
        <v>#VALUE!</v>
      </c>
      <c r="AC1681" t="e">
        <f t="shared" ca="1" si="765"/>
        <v>#VALUE!</v>
      </c>
      <c r="AD1681" t="e">
        <f ca="1">IF(V36="Supercritical",L1681,IF(V36="Subcritical",U1681,IF(AND(T1681=1,AC1681=1),IF((((F1681)*(L1681)^2)/2+(G1681)*(L1681)^3/3+(ABS(K1681)^2)/($I$5*MAX(((F1681)+(G1681)*(L1681))*(L1681),0.000001)))&gt;=(((F1681)*(U1681)^2)/2+(G1681)*(U1681)^3/3+(ABS(K1681)^2)/($I$5*MAX(((F1681)+(G1681)*(U1681))*(U1681),0.000001))),L1681,U1681),IF(T1681=1,L1681,IF(AC1681=1,U1681,MAX($D$16,POWER((ABS(K1681)^2)/($I$5*MAX(F1681,0.1)^2),1/3)))))))</f>
        <v>#VALUE!</v>
      </c>
      <c r="AE1681" t="e">
        <f t="shared" ca="1" si="766"/>
        <v>#VALUE!</v>
      </c>
      <c r="AF1681" t="e">
        <f t="shared" ca="1" si="767"/>
        <v>#VALUE!</v>
      </c>
      <c r="AI1681">
        <v>0</v>
      </c>
      <c r="AJ1681">
        <v>0</v>
      </c>
      <c r="AK1681">
        <f t="shared" si="768"/>
        <v>0</v>
      </c>
      <c r="AL1681">
        <f t="shared" si="776"/>
        <v>0</v>
      </c>
      <c r="AM1681" t="e">
        <f t="shared" ca="1" si="769"/>
        <v>#VALUE!</v>
      </c>
      <c r="AN1681" t="e">
        <f t="shared" ca="1" si="770"/>
        <v>#VALUE!</v>
      </c>
      <c r="AO1681" t="e">
        <f t="shared" ca="1" si="771"/>
        <v>#VALUE!</v>
      </c>
    </row>
    <row r="1682" spans="1:41" x14ac:dyDescent="0.35">
      <c r="A1682">
        <v>35</v>
      </c>
      <c r="B1682">
        <v>33.939</v>
      </c>
      <c r="C1682">
        <v>616070.65399999998</v>
      </c>
      <c r="D1682">
        <v>3096583.4130000002</v>
      </c>
      <c r="E1682">
        <v>626.55999999999995</v>
      </c>
      <c r="F1682">
        <v>3.7759999999999998</v>
      </c>
      <c r="G1682">
        <v>0</v>
      </c>
      <c r="H1682" t="s">
        <v>186</v>
      </c>
      <c r="I1682">
        <v>4.6479999999999997</v>
      </c>
      <c r="J1682">
        <f t="shared" si="772"/>
        <v>1</v>
      </c>
      <c r="K1682" t="e">
        <f t="shared" ca="1" si="778"/>
        <v>#VALUE!</v>
      </c>
      <c r="L1682" t="e">
        <f t="shared" ca="1" si="773"/>
        <v>#VALUE!</v>
      </c>
      <c r="M1682" t="e">
        <f t="shared" ca="1" si="751"/>
        <v>#VALUE!</v>
      </c>
      <c r="N1682" t="e">
        <f t="shared" ca="1" si="752"/>
        <v>#VALUE!</v>
      </c>
      <c r="O1682" t="e">
        <f t="shared" ca="1" si="753"/>
        <v>#VALUE!</v>
      </c>
      <c r="P1682" t="e">
        <f t="shared" ca="1" si="754"/>
        <v>#VALUE!</v>
      </c>
      <c r="Q1682" t="e">
        <f t="shared" ca="1" si="755"/>
        <v>#VALUE!</v>
      </c>
      <c r="R1682" t="e">
        <f t="shared" ca="1" si="756"/>
        <v>#VALUE!</v>
      </c>
      <c r="S1682" t="e">
        <f t="shared" ca="1" si="774"/>
        <v>#VALUE!</v>
      </c>
      <c r="T1682" t="e">
        <f t="shared" ca="1" si="775"/>
        <v>#VALUE!</v>
      </c>
      <c r="U1682" t="e">
        <f t="shared" ca="1" si="757"/>
        <v>#VALUE!</v>
      </c>
      <c r="V1682" t="e">
        <f t="shared" ca="1" si="758"/>
        <v>#VALUE!</v>
      </c>
      <c r="W1682" t="e">
        <f t="shared" ca="1" si="759"/>
        <v>#VALUE!</v>
      </c>
      <c r="X1682" t="e">
        <f t="shared" ca="1" si="760"/>
        <v>#VALUE!</v>
      </c>
      <c r="Y1682" t="e">
        <f t="shared" ca="1" si="761"/>
        <v>#VALUE!</v>
      </c>
      <c r="Z1682" t="e">
        <f t="shared" ca="1" si="762"/>
        <v>#VALUE!</v>
      </c>
      <c r="AA1682" t="e">
        <f t="shared" ca="1" si="763"/>
        <v>#VALUE!</v>
      </c>
      <c r="AB1682" t="e">
        <f t="shared" ca="1" si="764"/>
        <v>#VALUE!</v>
      </c>
      <c r="AC1682" t="e">
        <f t="shared" ca="1" si="765"/>
        <v>#VALUE!</v>
      </c>
      <c r="AD1682" t="e">
        <f ca="1">IF(V36="Supercritical",L1682,IF(V36="Subcritical",U1682,IF(AND(T1682=1,AC1682=1),IF((((F1682)*(L1682)^2)/2+(G1682)*(L1682)^3/3+(ABS(K1682)^2)/($I$5*MAX(((F1682)+(G1682)*(L1682))*(L1682),0.000001)))&gt;=(((F1682)*(U1682)^2)/2+(G1682)*(U1682)^3/3+(ABS(K1682)^2)/($I$5*MAX(((F1682)+(G1682)*(U1682))*(U1682),0.000001))),L1682,U1682),IF(T1682=1,L1682,IF(AC1682=1,U1682,MAX($D$16,POWER((ABS(K1682)^2)/($I$5*MAX(F1682,0.1)^2),1/3)))))))</f>
        <v>#VALUE!</v>
      </c>
      <c r="AE1682" t="e">
        <f t="shared" ca="1" si="766"/>
        <v>#VALUE!</v>
      </c>
      <c r="AF1682" t="e">
        <f t="shared" ca="1" si="767"/>
        <v>#VALUE!</v>
      </c>
      <c r="AI1682">
        <v>0</v>
      </c>
      <c r="AJ1682">
        <v>0</v>
      </c>
      <c r="AK1682">
        <f t="shared" si="768"/>
        <v>0</v>
      </c>
      <c r="AL1682">
        <f t="shared" si="776"/>
        <v>0</v>
      </c>
      <c r="AM1682" t="e">
        <f t="shared" ca="1" si="769"/>
        <v>#VALUE!</v>
      </c>
      <c r="AN1682" t="e">
        <f t="shared" ca="1" si="770"/>
        <v>#VALUE!</v>
      </c>
      <c r="AO1682" t="e">
        <f t="shared" ca="1" si="771"/>
        <v>#VALUE!</v>
      </c>
    </row>
    <row r="1683" spans="1:41" x14ac:dyDescent="0.35">
      <c r="A1683">
        <v>36</v>
      </c>
      <c r="B1683">
        <v>34.939</v>
      </c>
      <c r="C1683">
        <v>616070.647</v>
      </c>
      <c r="D1683">
        <v>3096582.4130000002</v>
      </c>
      <c r="E1683">
        <v>626.17999999999995</v>
      </c>
      <c r="F1683">
        <v>3.4460000000000002</v>
      </c>
      <c r="G1683">
        <v>0</v>
      </c>
      <c r="H1683" t="s">
        <v>186</v>
      </c>
      <c r="I1683">
        <v>5.7000000000000002E-2</v>
      </c>
      <c r="J1683">
        <f t="shared" si="772"/>
        <v>1</v>
      </c>
      <c r="K1683" t="e">
        <f t="shared" ca="1" si="778"/>
        <v>#VALUE!</v>
      </c>
      <c r="L1683" t="e">
        <f t="shared" ca="1" si="773"/>
        <v>#VALUE!</v>
      </c>
      <c r="M1683" t="e">
        <f t="shared" ca="1" si="751"/>
        <v>#VALUE!</v>
      </c>
      <c r="N1683" t="e">
        <f t="shared" ca="1" si="752"/>
        <v>#VALUE!</v>
      </c>
      <c r="O1683" t="e">
        <f t="shared" ca="1" si="753"/>
        <v>#VALUE!</v>
      </c>
      <c r="P1683" t="e">
        <f t="shared" ca="1" si="754"/>
        <v>#VALUE!</v>
      </c>
      <c r="Q1683" t="e">
        <f t="shared" ca="1" si="755"/>
        <v>#VALUE!</v>
      </c>
      <c r="R1683" t="e">
        <f t="shared" ca="1" si="756"/>
        <v>#VALUE!</v>
      </c>
      <c r="S1683" t="e">
        <f t="shared" ca="1" si="774"/>
        <v>#VALUE!</v>
      </c>
      <c r="T1683" t="e">
        <f t="shared" ca="1" si="775"/>
        <v>#VALUE!</v>
      </c>
      <c r="U1683" t="e">
        <f t="shared" ca="1" si="757"/>
        <v>#VALUE!</v>
      </c>
      <c r="V1683" t="e">
        <f t="shared" ca="1" si="758"/>
        <v>#VALUE!</v>
      </c>
      <c r="W1683" t="e">
        <f t="shared" ca="1" si="759"/>
        <v>#VALUE!</v>
      </c>
      <c r="X1683" t="e">
        <f t="shared" ca="1" si="760"/>
        <v>#VALUE!</v>
      </c>
      <c r="Y1683" t="e">
        <f t="shared" ca="1" si="761"/>
        <v>#VALUE!</v>
      </c>
      <c r="Z1683" t="e">
        <f t="shared" ca="1" si="762"/>
        <v>#VALUE!</v>
      </c>
      <c r="AA1683" t="e">
        <f t="shared" ca="1" si="763"/>
        <v>#VALUE!</v>
      </c>
      <c r="AB1683" t="e">
        <f t="shared" ca="1" si="764"/>
        <v>#VALUE!</v>
      </c>
      <c r="AC1683" t="e">
        <f t="shared" ca="1" si="765"/>
        <v>#VALUE!</v>
      </c>
      <c r="AD1683" t="e">
        <f ca="1">IF(V36="Supercritical",L1683,IF(V36="Subcritical",U1683,IF(AND(T1683=1,AC1683=1),IF((((F1683)*(L1683)^2)/2+(G1683)*(L1683)^3/3+(ABS(K1683)^2)/($I$5*MAX(((F1683)+(G1683)*(L1683))*(L1683),0.000001)))&gt;=(((F1683)*(U1683)^2)/2+(G1683)*(U1683)^3/3+(ABS(K1683)^2)/($I$5*MAX(((F1683)+(G1683)*(U1683))*(U1683),0.000001))),L1683,U1683),IF(T1683=1,L1683,IF(AC1683=1,U1683,MAX($D$16,POWER((ABS(K1683)^2)/($I$5*MAX(F1683,0.1)^2),1/3)))))))</f>
        <v>#VALUE!</v>
      </c>
      <c r="AE1683" t="e">
        <f t="shared" ca="1" si="766"/>
        <v>#VALUE!</v>
      </c>
      <c r="AF1683" t="e">
        <f t="shared" ca="1" si="767"/>
        <v>#VALUE!</v>
      </c>
      <c r="AI1683">
        <v>0</v>
      </c>
      <c r="AJ1683">
        <v>0</v>
      </c>
      <c r="AK1683">
        <f t="shared" si="768"/>
        <v>0</v>
      </c>
      <c r="AL1683">
        <f t="shared" si="776"/>
        <v>0</v>
      </c>
      <c r="AM1683" t="e">
        <f t="shared" ca="1" si="769"/>
        <v>#VALUE!</v>
      </c>
      <c r="AN1683" t="e">
        <f t="shared" ca="1" si="770"/>
        <v>#VALUE!</v>
      </c>
      <c r="AO1683" t="e">
        <f t="shared" ca="1" si="771"/>
        <v>#VALUE!</v>
      </c>
    </row>
    <row r="1684" spans="1:41" x14ac:dyDescent="0.35">
      <c r="A1684">
        <v>37</v>
      </c>
      <c r="B1684">
        <v>35.939</v>
      </c>
      <c r="C1684">
        <v>616070.64099999995</v>
      </c>
      <c r="D1684">
        <v>3096581.4130000002</v>
      </c>
      <c r="E1684">
        <v>625.79999999999995</v>
      </c>
      <c r="F1684">
        <v>3.2</v>
      </c>
      <c r="G1684">
        <v>0</v>
      </c>
      <c r="H1684" t="s">
        <v>186</v>
      </c>
      <c r="I1684">
        <v>0</v>
      </c>
      <c r="J1684">
        <f t="shared" si="772"/>
        <v>1</v>
      </c>
      <c r="K1684" t="e">
        <f t="shared" ca="1" si="778"/>
        <v>#VALUE!</v>
      </c>
      <c r="L1684" t="e">
        <f t="shared" ca="1" si="773"/>
        <v>#VALUE!</v>
      </c>
      <c r="M1684" t="e">
        <f t="shared" ca="1" si="751"/>
        <v>#VALUE!</v>
      </c>
      <c r="N1684" t="e">
        <f t="shared" ca="1" si="752"/>
        <v>#VALUE!</v>
      </c>
      <c r="O1684" t="e">
        <f t="shared" ca="1" si="753"/>
        <v>#VALUE!</v>
      </c>
      <c r="P1684" t="e">
        <f t="shared" ca="1" si="754"/>
        <v>#VALUE!</v>
      </c>
      <c r="Q1684" t="e">
        <f t="shared" ca="1" si="755"/>
        <v>#VALUE!</v>
      </c>
      <c r="R1684" t="e">
        <f t="shared" ca="1" si="756"/>
        <v>#VALUE!</v>
      </c>
      <c r="S1684" t="e">
        <f t="shared" ca="1" si="774"/>
        <v>#VALUE!</v>
      </c>
      <c r="T1684" t="e">
        <f t="shared" ca="1" si="775"/>
        <v>#VALUE!</v>
      </c>
      <c r="U1684" t="e">
        <f t="shared" ca="1" si="757"/>
        <v>#VALUE!</v>
      </c>
      <c r="V1684" t="e">
        <f t="shared" ca="1" si="758"/>
        <v>#VALUE!</v>
      </c>
      <c r="W1684" t="e">
        <f t="shared" ca="1" si="759"/>
        <v>#VALUE!</v>
      </c>
      <c r="X1684" t="e">
        <f t="shared" ca="1" si="760"/>
        <v>#VALUE!</v>
      </c>
      <c r="Y1684" t="e">
        <f t="shared" ca="1" si="761"/>
        <v>#VALUE!</v>
      </c>
      <c r="Z1684" t="e">
        <f t="shared" ca="1" si="762"/>
        <v>#VALUE!</v>
      </c>
      <c r="AA1684" t="e">
        <f t="shared" ca="1" si="763"/>
        <v>#VALUE!</v>
      </c>
      <c r="AB1684" t="e">
        <f t="shared" ca="1" si="764"/>
        <v>#VALUE!</v>
      </c>
      <c r="AC1684" t="e">
        <f t="shared" ca="1" si="765"/>
        <v>#VALUE!</v>
      </c>
      <c r="AD1684" t="e">
        <f ca="1">IF(V36="Supercritical",L1684,IF(V36="Subcritical",U1684,IF(AND(T1684=1,AC1684=1),IF((((F1684)*(L1684)^2)/2+(G1684)*(L1684)^3/3+(ABS(K1684)^2)/($I$5*MAX(((F1684)+(G1684)*(L1684))*(L1684),0.000001)))&gt;=(((F1684)*(U1684)^2)/2+(G1684)*(U1684)^3/3+(ABS(K1684)^2)/($I$5*MAX(((F1684)+(G1684)*(U1684))*(U1684),0.000001))),L1684,U1684),IF(T1684=1,L1684,IF(AC1684=1,U1684,MAX($D$16,POWER((ABS(K1684)^2)/($I$5*MAX(F1684,0.1)^2),1/3)))))))</f>
        <v>#VALUE!</v>
      </c>
      <c r="AE1684" t="e">
        <f t="shared" ca="1" si="766"/>
        <v>#VALUE!</v>
      </c>
      <c r="AF1684" t="e">
        <f t="shared" ca="1" si="767"/>
        <v>#VALUE!</v>
      </c>
      <c r="AI1684">
        <v>0</v>
      </c>
      <c r="AJ1684">
        <v>0</v>
      </c>
      <c r="AK1684">
        <f t="shared" si="768"/>
        <v>0</v>
      </c>
      <c r="AL1684">
        <f t="shared" si="776"/>
        <v>0</v>
      </c>
      <c r="AM1684" t="e">
        <f t="shared" ca="1" si="769"/>
        <v>#VALUE!</v>
      </c>
      <c r="AN1684" t="e">
        <f t="shared" ca="1" si="770"/>
        <v>#VALUE!</v>
      </c>
      <c r="AO1684" t="e">
        <f t="shared" ca="1" si="771"/>
        <v>#VALUE!</v>
      </c>
    </row>
    <row r="1685" spans="1:41" x14ac:dyDescent="0.35">
      <c r="A1685">
        <v>38</v>
      </c>
      <c r="B1685">
        <v>36.939</v>
      </c>
      <c r="C1685">
        <v>616070.63500000001</v>
      </c>
      <c r="D1685">
        <v>3096580.4130000002</v>
      </c>
      <c r="E1685">
        <v>625.41999999999996</v>
      </c>
      <c r="F1685">
        <v>3.2</v>
      </c>
      <c r="G1685">
        <v>0</v>
      </c>
      <c r="H1685" t="s">
        <v>186</v>
      </c>
      <c r="I1685">
        <v>0</v>
      </c>
      <c r="J1685">
        <f t="shared" si="772"/>
        <v>1</v>
      </c>
      <c r="K1685" t="e">
        <f t="shared" ca="1" si="778"/>
        <v>#VALUE!</v>
      </c>
      <c r="L1685" t="e">
        <f t="shared" ca="1" si="773"/>
        <v>#VALUE!</v>
      </c>
      <c r="M1685" t="e">
        <f t="shared" ca="1" si="751"/>
        <v>#VALUE!</v>
      </c>
      <c r="N1685" t="e">
        <f t="shared" ca="1" si="752"/>
        <v>#VALUE!</v>
      </c>
      <c r="O1685" t="e">
        <f t="shared" ca="1" si="753"/>
        <v>#VALUE!</v>
      </c>
      <c r="P1685" t="e">
        <f t="shared" ca="1" si="754"/>
        <v>#VALUE!</v>
      </c>
      <c r="Q1685" t="e">
        <f t="shared" ca="1" si="755"/>
        <v>#VALUE!</v>
      </c>
      <c r="R1685" t="e">
        <f t="shared" ca="1" si="756"/>
        <v>#VALUE!</v>
      </c>
      <c r="S1685" t="e">
        <f t="shared" ca="1" si="774"/>
        <v>#VALUE!</v>
      </c>
      <c r="T1685" t="e">
        <f t="shared" ca="1" si="775"/>
        <v>#VALUE!</v>
      </c>
      <c r="U1685" t="e">
        <f t="shared" ca="1" si="757"/>
        <v>#VALUE!</v>
      </c>
      <c r="V1685" t="e">
        <f t="shared" ca="1" si="758"/>
        <v>#VALUE!</v>
      </c>
      <c r="W1685" t="e">
        <f t="shared" ca="1" si="759"/>
        <v>#VALUE!</v>
      </c>
      <c r="X1685" t="e">
        <f t="shared" ca="1" si="760"/>
        <v>#VALUE!</v>
      </c>
      <c r="Y1685" t="e">
        <f t="shared" ca="1" si="761"/>
        <v>#VALUE!</v>
      </c>
      <c r="Z1685" t="e">
        <f t="shared" ca="1" si="762"/>
        <v>#VALUE!</v>
      </c>
      <c r="AA1685" t="e">
        <f t="shared" ca="1" si="763"/>
        <v>#VALUE!</v>
      </c>
      <c r="AB1685" t="e">
        <f t="shared" ca="1" si="764"/>
        <v>#VALUE!</v>
      </c>
      <c r="AC1685" t="e">
        <f t="shared" ca="1" si="765"/>
        <v>#VALUE!</v>
      </c>
      <c r="AD1685" t="e">
        <f ca="1">IF(V36="Supercritical",L1685,IF(V36="Subcritical",U1685,IF(AND(T1685=1,AC1685=1),IF((((F1685)*(L1685)^2)/2+(G1685)*(L1685)^3/3+(ABS(K1685)^2)/($I$5*MAX(((F1685)+(G1685)*(L1685))*(L1685),0.000001)))&gt;=(((F1685)*(U1685)^2)/2+(G1685)*(U1685)^3/3+(ABS(K1685)^2)/($I$5*MAX(((F1685)+(G1685)*(U1685))*(U1685),0.000001))),L1685,U1685),IF(T1685=1,L1685,IF(AC1685=1,U1685,MAX($D$16,POWER((ABS(K1685)^2)/($I$5*MAX(F1685,0.1)^2),1/3)))))))</f>
        <v>#VALUE!</v>
      </c>
      <c r="AE1685" t="e">
        <f t="shared" ca="1" si="766"/>
        <v>#VALUE!</v>
      </c>
      <c r="AF1685" t="e">
        <f t="shared" ca="1" si="767"/>
        <v>#VALUE!</v>
      </c>
      <c r="AI1685">
        <v>0</v>
      </c>
      <c r="AJ1685">
        <v>0</v>
      </c>
      <c r="AK1685">
        <f t="shared" si="768"/>
        <v>0</v>
      </c>
      <c r="AL1685">
        <f t="shared" si="776"/>
        <v>0</v>
      </c>
      <c r="AM1685" t="e">
        <f t="shared" ca="1" si="769"/>
        <v>#VALUE!</v>
      </c>
      <c r="AN1685" t="e">
        <f t="shared" ca="1" si="770"/>
        <v>#VALUE!</v>
      </c>
      <c r="AO1685" t="e">
        <f t="shared" ca="1" si="771"/>
        <v>#VALUE!</v>
      </c>
    </row>
    <row r="1686" spans="1:41" x14ac:dyDescent="0.35">
      <c r="A1686">
        <v>39</v>
      </c>
      <c r="B1686">
        <v>37.939</v>
      </c>
      <c r="C1686">
        <v>616070.62899999996</v>
      </c>
      <c r="D1686">
        <v>3096579.4130000002</v>
      </c>
      <c r="E1686">
        <v>625.04</v>
      </c>
      <c r="F1686">
        <v>3.2</v>
      </c>
      <c r="G1686">
        <v>0</v>
      </c>
      <c r="H1686" t="s">
        <v>186</v>
      </c>
      <c r="I1686">
        <v>5.7000000000000002E-2</v>
      </c>
      <c r="J1686">
        <f t="shared" si="772"/>
        <v>1</v>
      </c>
      <c r="K1686" t="e">
        <f t="shared" ca="1" si="778"/>
        <v>#VALUE!</v>
      </c>
      <c r="L1686" t="e">
        <f t="shared" ca="1" si="773"/>
        <v>#VALUE!</v>
      </c>
      <c r="M1686" t="e">
        <f t="shared" ca="1" si="751"/>
        <v>#VALUE!</v>
      </c>
      <c r="N1686" t="e">
        <f t="shared" ca="1" si="752"/>
        <v>#VALUE!</v>
      </c>
      <c r="O1686" t="e">
        <f t="shared" ca="1" si="753"/>
        <v>#VALUE!</v>
      </c>
      <c r="P1686" t="e">
        <f t="shared" ca="1" si="754"/>
        <v>#VALUE!</v>
      </c>
      <c r="Q1686" t="e">
        <f t="shared" ca="1" si="755"/>
        <v>#VALUE!</v>
      </c>
      <c r="R1686" t="e">
        <f t="shared" ca="1" si="756"/>
        <v>#VALUE!</v>
      </c>
      <c r="S1686" t="e">
        <f t="shared" ca="1" si="774"/>
        <v>#VALUE!</v>
      </c>
      <c r="T1686" t="e">
        <f t="shared" ca="1" si="775"/>
        <v>#VALUE!</v>
      </c>
      <c r="U1686" t="e">
        <f t="shared" ca="1" si="757"/>
        <v>#VALUE!</v>
      </c>
      <c r="V1686" t="e">
        <f t="shared" ca="1" si="758"/>
        <v>#VALUE!</v>
      </c>
      <c r="W1686" t="e">
        <f t="shared" ca="1" si="759"/>
        <v>#VALUE!</v>
      </c>
      <c r="X1686" t="e">
        <f t="shared" ca="1" si="760"/>
        <v>#VALUE!</v>
      </c>
      <c r="Y1686" t="e">
        <f t="shared" ca="1" si="761"/>
        <v>#VALUE!</v>
      </c>
      <c r="Z1686" t="e">
        <f t="shared" ca="1" si="762"/>
        <v>#VALUE!</v>
      </c>
      <c r="AA1686" t="e">
        <f t="shared" ca="1" si="763"/>
        <v>#VALUE!</v>
      </c>
      <c r="AB1686" t="e">
        <f t="shared" ca="1" si="764"/>
        <v>#VALUE!</v>
      </c>
      <c r="AC1686" t="e">
        <f t="shared" ca="1" si="765"/>
        <v>#VALUE!</v>
      </c>
      <c r="AD1686" t="e">
        <f ca="1">IF(V36="Supercritical",L1686,IF(V36="Subcritical",U1686,IF(AND(T1686=1,AC1686=1),IF((((F1686)*(L1686)^2)/2+(G1686)*(L1686)^3/3+(ABS(K1686)^2)/($I$5*MAX(((F1686)+(G1686)*(L1686))*(L1686),0.000001)))&gt;=(((F1686)*(U1686)^2)/2+(G1686)*(U1686)^3/3+(ABS(K1686)^2)/($I$5*MAX(((F1686)+(G1686)*(U1686))*(U1686),0.000001))),L1686,U1686),IF(T1686=1,L1686,IF(AC1686=1,U1686,MAX($D$16,POWER((ABS(K1686)^2)/($I$5*MAX(F1686,0.1)^2),1/3)))))))</f>
        <v>#VALUE!</v>
      </c>
      <c r="AE1686" t="e">
        <f t="shared" ca="1" si="766"/>
        <v>#VALUE!</v>
      </c>
      <c r="AF1686" t="e">
        <f t="shared" ca="1" si="767"/>
        <v>#VALUE!</v>
      </c>
      <c r="AI1686">
        <v>0</v>
      </c>
      <c r="AJ1686">
        <v>0</v>
      </c>
      <c r="AK1686">
        <f t="shared" si="768"/>
        <v>0</v>
      </c>
      <c r="AL1686">
        <f t="shared" si="776"/>
        <v>0</v>
      </c>
      <c r="AM1686" t="e">
        <f t="shared" ca="1" si="769"/>
        <v>#VALUE!</v>
      </c>
      <c r="AN1686" t="e">
        <f t="shared" ca="1" si="770"/>
        <v>#VALUE!</v>
      </c>
      <c r="AO1686" t="e">
        <f t="shared" ca="1" si="771"/>
        <v>#VALUE!</v>
      </c>
    </row>
    <row r="1687" spans="1:41" x14ac:dyDescent="0.35">
      <c r="A1687">
        <v>40</v>
      </c>
      <c r="B1687">
        <v>38.939</v>
      </c>
      <c r="C1687">
        <v>616070.62199999997</v>
      </c>
      <c r="D1687">
        <v>3096578.4130000002</v>
      </c>
      <c r="E1687">
        <v>624.66</v>
      </c>
      <c r="F1687">
        <v>3.2</v>
      </c>
      <c r="G1687">
        <v>0</v>
      </c>
      <c r="H1687" t="s">
        <v>186</v>
      </c>
      <c r="I1687">
        <v>5.7000000000000002E-2</v>
      </c>
      <c r="J1687">
        <f t="shared" si="772"/>
        <v>1</v>
      </c>
      <c r="K1687" t="e">
        <f t="shared" ca="1" si="778"/>
        <v>#VALUE!</v>
      </c>
      <c r="L1687" t="e">
        <f t="shared" ca="1" si="773"/>
        <v>#VALUE!</v>
      </c>
      <c r="M1687" t="e">
        <f t="shared" ca="1" si="751"/>
        <v>#VALUE!</v>
      </c>
      <c r="N1687" t="e">
        <f t="shared" ca="1" si="752"/>
        <v>#VALUE!</v>
      </c>
      <c r="O1687" t="e">
        <f t="shared" ca="1" si="753"/>
        <v>#VALUE!</v>
      </c>
      <c r="P1687" t="e">
        <f t="shared" ca="1" si="754"/>
        <v>#VALUE!</v>
      </c>
      <c r="Q1687" t="e">
        <f t="shared" ca="1" si="755"/>
        <v>#VALUE!</v>
      </c>
      <c r="R1687" t="e">
        <f t="shared" ca="1" si="756"/>
        <v>#VALUE!</v>
      </c>
      <c r="S1687" t="e">
        <f t="shared" ca="1" si="774"/>
        <v>#VALUE!</v>
      </c>
      <c r="T1687" t="e">
        <f t="shared" ca="1" si="775"/>
        <v>#VALUE!</v>
      </c>
      <c r="U1687" t="e">
        <f t="shared" ca="1" si="757"/>
        <v>#VALUE!</v>
      </c>
      <c r="V1687" t="e">
        <f t="shared" ca="1" si="758"/>
        <v>#VALUE!</v>
      </c>
      <c r="W1687" t="e">
        <f t="shared" ca="1" si="759"/>
        <v>#VALUE!</v>
      </c>
      <c r="X1687" t="e">
        <f t="shared" ca="1" si="760"/>
        <v>#VALUE!</v>
      </c>
      <c r="Y1687" t="e">
        <f t="shared" ca="1" si="761"/>
        <v>#VALUE!</v>
      </c>
      <c r="Z1687" t="e">
        <f t="shared" ca="1" si="762"/>
        <v>#VALUE!</v>
      </c>
      <c r="AA1687" t="e">
        <f t="shared" ca="1" si="763"/>
        <v>#VALUE!</v>
      </c>
      <c r="AB1687" t="e">
        <f t="shared" ca="1" si="764"/>
        <v>#VALUE!</v>
      </c>
      <c r="AC1687" t="e">
        <f t="shared" ca="1" si="765"/>
        <v>#VALUE!</v>
      </c>
      <c r="AD1687" t="e">
        <f ca="1">IF(V36="Supercritical",L1687,IF(V36="Subcritical",U1687,IF(AND(T1687=1,AC1687=1),IF((((F1687)*(L1687)^2)/2+(G1687)*(L1687)^3/3+(ABS(K1687)^2)/($I$5*MAX(((F1687)+(G1687)*(L1687))*(L1687),0.000001)))&gt;=(((F1687)*(U1687)^2)/2+(G1687)*(U1687)^3/3+(ABS(K1687)^2)/($I$5*MAX(((F1687)+(G1687)*(U1687))*(U1687),0.000001))),L1687,U1687),IF(T1687=1,L1687,IF(AC1687=1,U1687,MAX($D$16,POWER((ABS(K1687)^2)/($I$5*MAX(F1687,0.1)^2),1/3)))))))</f>
        <v>#VALUE!</v>
      </c>
      <c r="AE1687" t="e">
        <f t="shared" ca="1" si="766"/>
        <v>#VALUE!</v>
      </c>
      <c r="AF1687" t="e">
        <f t="shared" ca="1" si="767"/>
        <v>#VALUE!</v>
      </c>
      <c r="AI1687">
        <v>0</v>
      </c>
      <c r="AJ1687">
        <v>0</v>
      </c>
      <c r="AK1687">
        <f t="shared" si="768"/>
        <v>0</v>
      </c>
      <c r="AL1687">
        <f t="shared" si="776"/>
        <v>0</v>
      </c>
      <c r="AM1687" t="e">
        <f t="shared" ca="1" si="769"/>
        <v>#VALUE!</v>
      </c>
      <c r="AN1687" t="e">
        <f t="shared" ca="1" si="770"/>
        <v>#VALUE!</v>
      </c>
      <c r="AO1687" t="e">
        <f t="shared" ca="1" si="771"/>
        <v>#VALUE!</v>
      </c>
    </row>
    <row r="1688" spans="1:41" x14ac:dyDescent="0.35">
      <c r="A1688">
        <v>41</v>
      </c>
      <c r="B1688">
        <v>39.939</v>
      </c>
      <c r="C1688">
        <v>616070.61600000004</v>
      </c>
      <c r="D1688">
        <v>3096577.4130000002</v>
      </c>
      <c r="E1688">
        <v>624.28</v>
      </c>
      <c r="F1688">
        <v>3.2</v>
      </c>
      <c r="G1688">
        <v>0</v>
      </c>
      <c r="H1688" t="s">
        <v>186</v>
      </c>
      <c r="I1688">
        <v>0</v>
      </c>
      <c r="J1688">
        <f t="shared" si="772"/>
        <v>1</v>
      </c>
      <c r="K1688" t="e">
        <f t="shared" ca="1" si="778"/>
        <v>#VALUE!</v>
      </c>
      <c r="L1688" t="e">
        <f t="shared" ca="1" si="773"/>
        <v>#VALUE!</v>
      </c>
      <c r="M1688" t="e">
        <f t="shared" ca="1" si="751"/>
        <v>#VALUE!</v>
      </c>
      <c r="N1688" t="e">
        <f t="shared" ca="1" si="752"/>
        <v>#VALUE!</v>
      </c>
      <c r="O1688" t="e">
        <f t="shared" ca="1" si="753"/>
        <v>#VALUE!</v>
      </c>
      <c r="P1688" t="e">
        <f t="shared" ca="1" si="754"/>
        <v>#VALUE!</v>
      </c>
      <c r="Q1688" t="e">
        <f t="shared" ca="1" si="755"/>
        <v>#VALUE!</v>
      </c>
      <c r="R1688" t="e">
        <f t="shared" ca="1" si="756"/>
        <v>#VALUE!</v>
      </c>
      <c r="S1688" t="e">
        <f t="shared" ca="1" si="774"/>
        <v>#VALUE!</v>
      </c>
      <c r="T1688" t="e">
        <f t="shared" ca="1" si="775"/>
        <v>#VALUE!</v>
      </c>
      <c r="U1688" t="e">
        <f t="shared" ca="1" si="757"/>
        <v>#VALUE!</v>
      </c>
      <c r="V1688" t="e">
        <f t="shared" ca="1" si="758"/>
        <v>#VALUE!</v>
      </c>
      <c r="W1688" t="e">
        <f t="shared" ca="1" si="759"/>
        <v>#VALUE!</v>
      </c>
      <c r="X1688" t="e">
        <f t="shared" ca="1" si="760"/>
        <v>#VALUE!</v>
      </c>
      <c r="Y1688" t="e">
        <f t="shared" ca="1" si="761"/>
        <v>#VALUE!</v>
      </c>
      <c r="Z1688" t="e">
        <f t="shared" ca="1" si="762"/>
        <v>#VALUE!</v>
      </c>
      <c r="AA1688" t="e">
        <f t="shared" ca="1" si="763"/>
        <v>#VALUE!</v>
      </c>
      <c r="AB1688" t="e">
        <f t="shared" ca="1" si="764"/>
        <v>#VALUE!</v>
      </c>
      <c r="AC1688" t="e">
        <f t="shared" ca="1" si="765"/>
        <v>#VALUE!</v>
      </c>
      <c r="AD1688" t="e">
        <f ca="1">IF(V36="Supercritical",L1688,IF(V36="Subcritical",U1688,IF(AND(T1688=1,AC1688=1),IF((((F1688)*(L1688)^2)/2+(G1688)*(L1688)^3/3+(ABS(K1688)^2)/($I$5*MAX(((F1688)+(G1688)*(L1688))*(L1688),0.000001)))&gt;=(((F1688)*(U1688)^2)/2+(G1688)*(U1688)^3/3+(ABS(K1688)^2)/($I$5*MAX(((F1688)+(G1688)*(U1688))*(U1688),0.000001))),L1688,U1688),IF(T1688=1,L1688,IF(AC1688=1,U1688,MAX($D$16,POWER((ABS(K1688)^2)/($I$5*MAX(F1688,0.1)^2),1/3)))))))</f>
        <v>#VALUE!</v>
      </c>
      <c r="AE1688" t="e">
        <f t="shared" ca="1" si="766"/>
        <v>#VALUE!</v>
      </c>
      <c r="AF1688" t="e">
        <f t="shared" ca="1" si="767"/>
        <v>#VALUE!</v>
      </c>
      <c r="AI1688">
        <v>0</v>
      </c>
      <c r="AJ1688">
        <v>0</v>
      </c>
      <c r="AK1688">
        <f t="shared" si="768"/>
        <v>0</v>
      </c>
      <c r="AL1688">
        <f t="shared" si="776"/>
        <v>0</v>
      </c>
      <c r="AM1688" t="e">
        <f t="shared" ca="1" si="769"/>
        <v>#VALUE!</v>
      </c>
      <c r="AN1688" t="e">
        <f t="shared" ca="1" si="770"/>
        <v>#VALUE!</v>
      </c>
      <c r="AO1688" t="e">
        <f t="shared" ca="1" si="771"/>
        <v>#VALUE!</v>
      </c>
    </row>
    <row r="1689" spans="1:41" x14ac:dyDescent="0.35">
      <c r="A1689">
        <v>42</v>
      </c>
      <c r="B1689">
        <v>40.939</v>
      </c>
      <c r="C1689">
        <v>616070.61</v>
      </c>
      <c r="D1689">
        <v>3096576.4130000002</v>
      </c>
      <c r="E1689">
        <v>623.9</v>
      </c>
      <c r="F1689">
        <v>3.2</v>
      </c>
      <c r="G1689">
        <v>0</v>
      </c>
      <c r="H1689" t="s">
        <v>186</v>
      </c>
      <c r="I1689">
        <v>0</v>
      </c>
      <c r="J1689">
        <f t="shared" si="772"/>
        <v>1</v>
      </c>
      <c r="K1689" t="e">
        <f t="shared" ca="1" si="778"/>
        <v>#VALUE!</v>
      </c>
      <c r="L1689" t="e">
        <f t="shared" ca="1" si="773"/>
        <v>#VALUE!</v>
      </c>
      <c r="M1689" t="e">
        <f t="shared" ca="1" si="751"/>
        <v>#VALUE!</v>
      </c>
      <c r="N1689" t="e">
        <f t="shared" ca="1" si="752"/>
        <v>#VALUE!</v>
      </c>
      <c r="O1689" t="e">
        <f t="shared" ca="1" si="753"/>
        <v>#VALUE!</v>
      </c>
      <c r="P1689" t="e">
        <f t="shared" ca="1" si="754"/>
        <v>#VALUE!</v>
      </c>
      <c r="Q1689" t="e">
        <f t="shared" ca="1" si="755"/>
        <v>#VALUE!</v>
      </c>
      <c r="R1689" t="e">
        <f t="shared" ca="1" si="756"/>
        <v>#VALUE!</v>
      </c>
      <c r="S1689" t="e">
        <f t="shared" ca="1" si="774"/>
        <v>#VALUE!</v>
      </c>
      <c r="T1689" t="e">
        <f t="shared" ca="1" si="775"/>
        <v>#VALUE!</v>
      </c>
      <c r="U1689" t="e">
        <f t="shared" ca="1" si="757"/>
        <v>#VALUE!</v>
      </c>
      <c r="V1689" t="e">
        <f t="shared" ca="1" si="758"/>
        <v>#VALUE!</v>
      </c>
      <c r="W1689" t="e">
        <f t="shared" ca="1" si="759"/>
        <v>#VALUE!</v>
      </c>
      <c r="X1689" t="e">
        <f t="shared" ca="1" si="760"/>
        <v>#VALUE!</v>
      </c>
      <c r="Y1689" t="e">
        <f t="shared" ca="1" si="761"/>
        <v>#VALUE!</v>
      </c>
      <c r="Z1689" t="e">
        <f t="shared" ca="1" si="762"/>
        <v>#VALUE!</v>
      </c>
      <c r="AA1689" t="e">
        <f t="shared" ca="1" si="763"/>
        <v>#VALUE!</v>
      </c>
      <c r="AB1689" t="e">
        <f t="shared" ca="1" si="764"/>
        <v>#VALUE!</v>
      </c>
      <c r="AC1689" t="e">
        <f t="shared" ca="1" si="765"/>
        <v>#VALUE!</v>
      </c>
      <c r="AD1689" t="e">
        <f ca="1">IF(V36="Supercritical",L1689,IF(V36="Subcritical",U1689,IF(AND(T1689=1,AC1689=1),IF((((F1689)*(L1689)^2)/2+(G1689)*(L1689)^3/3+(ABS(K1689)^2)/($I$5*MAX(((F1689)+(G1689)*(L1689))*(L1689),0.000001)))&gt;=(((F1689)*(U1689)^2)/2+(G1689)*(U1689)^3/3+(ABS(K1689)^2)/($I$5*MAX(((F1689)+(G1689)*(U1689))*(U1689),0.000001))),L1689,U1689),IF(T1689=1,L1689,IF(AC1689=1,U1689,MAX($D$16,POWER((ABS(K1689)^2)/($I$5*MAX(F1689,0.1)^2),1/3)))))))</f>
        <v>#VALUE!</v>
      </c>
      <c r="AE1689" t="e">
        <f t="shared" ca="1" si="766"/>
        <v>#VALUE!</v>
      </c>
      <c r="AF1689" t="e">
        <f t="shared" ca="1" si="767"/>
        <v>#VALUE!</v>
      </c>
      <c r="AI1689">
        <v>0</v>
      </c>
      <c r="AJ1689">
        <v>0</v>
      </c>
      <c r="AK1689">
        <f t="shared" si="768"/>
        <v>0</v>
      </c>
      <c r="AL1689">
        <f t="shared" si="776"/>
        <v>0</v>
      </c>
      <c r="AM1689" t="e">
        <f t="shared" ca="1" si="769"/>
        <v>#VALUE!</v>
      </c>
      <c r="AN1689" t="e">
        <f t="shared" ca="1" si="770"/>
        <v>#VALUE!</v>
      </c>
      <c r="AO1689" t="e">
        <f t="shared" ca="1" si="771"/>
        <v>#VALUE!</v>
      </c>
    </row>
    <row r="1690" spans="1:41" x14ac:dyDescent="0.35">
      <c r="A1690">
        <v>43</v>
      </c>
      <c r="B1690">
        <v>41.939</v>
      </c>
      <c r="C1690">
        <v>616070.60400000005</v>
      </c>
      <c r="D1690">
        <v>3096575.4130000002</v>
      </c>
      <c r="E1690">
        <v>623.52</v>
      </c>
      <c r="F1690">
        <v>3.2</v>
      </c>
      <c r="G1690">
        <v>0</v>
      </c>
      <c r="H1690" t="s">
        <v>186</v>
      </c>
      <c r="I1690">
        <v>5.7000000000000002E-2</v>
      </c>
      <c r="J1690">
        <f t="shared" si="772"/>
        <v>1</v>
      </c>
      <c r="K1690" t="e">
        <f t="shared" ca="1" si="778"/>
        <v>#VALUE!</v>
      </c>
      <c r="L1690" t="e">
        <f t="shared" ca="1" si="773"/>
        <v>#VALUE!</v>
      </c>
      <c r="M1690" t="e">
        <f t="shared" ca="1" si="751"/>
        <v>#VALUE!</v>
      </c>
      <c r="N1690" t="e">
        <f t="shared" ca="1" si="752"/>
        <v>#VALUE!</v>
      </c>
      <c r="O1690" t="e">
        <f t="shared" ca="1" si="753"/>
        <v>#VALUE!</v>
      </c>
      <c r="P1690" t="e">
        <f t="shared" ca="1" si="754"/>
        <v>#VALUE!</v>
      </c>
      <c r="Q1690" t="e">
        <f t="shared" ca="1" si="755"/>
        <v>#VALUE!</v>
      </c>
      <c r="R1690" t="e">
        <f t="shared" ca="1" si="756"/>
        <v>#VALUE!</v>
      </c>
      <c r="S1690" t="e">
        <f t="shared" ca="1" si="774"/>
        <v>#VALUE!</v>
      </c>
      <c r="T1690" t="e">
        <f t="shared" ca="1" si="775"/>
        <v>#VALUE!</v>
      </c>
      <c r="U1690" t="e">
        <f t="shared" ca="1" si="757"/>
        <v>#VALUE!</v>
      </c>
      <c r="V1690" t="e">
        <f t="shared" ca="1" si="758"/>
        <v>#VALUE!</v>
      </c>
      <c r="W1690" t="e">
        <f t="shared" ca="1" si="759"/>
        <v>#VALUE!</v>
      </c>
      <c r="X1690" t="e">
        <f t="shared" ca="1" si="760"/>
        <v>#VALUE!</v>
      </c>
      <c r="Y1690" t="e">
        <f t="shared" ca="1" si="761"/>
        <v>#VALUE!</v>
      </c>
      <c r="Z1690" t="e">
        <f t="shared" ca="1" si="762"/>
        <v>#VALUE!</v>
      </c>
      <c r="AA1690" t="e">
        <f t="shared" ca="1" si="763"/>
        <v>#VALUE!</v>
      </c>
      <c r="AB1690" t="e">
        <f t="shared" ca="1" si="764"/>
        <v>#VALUE!</v>
      </c>
      <c r="AC1690" t="e">
        <f t="shared" ca="1" si="765"/>
        <v>#VALUE!</v>
      </c>
      <c r="AD1690" t="e">
        <f ca="1">IF(V36="Supercritical",L1690,IF(V36="Subcritical",U1690,IF(AND(T1690=1,AC1690=1),IF((((F1690)*(L1690)^2)/2+(G1690)*(L1690)^3/3+(ABS(K1690)^2)/($I$5*MAX(((F1690)+(G1690)*(L1690))*(L1690),0.000001)))&gt;=(((F1690)*(U1690)^2)/2+(G1690)*(U1690)^3/3+(ABS(K1690)^2)/($I$5*MAX(((F1690)+(G1690)*(U1690))*(U1690),0.000001))),L1690,U1690),IF(T1690=1,L1690,IF(AC1690=1,U1690,MAX($D$16,POWER((ABS(K1690)^2)/($I$5*MAX(F1690,0.1)^2),1/3)))))))</f>
        <v>#VALUE!</v>
      </c>
      <c r="AE1690" t="e">
        <f t="shared" ca="1" si="766"/>
        <v>#VALUE!</v>
      </c>
      <c r="AF1690" t="e">
        <f t="shared" ca="1" si="767"/>
        <v>#VALUE!</v>
      </c>
      <c r="AI1690">
        <v>0</v>
      </c>
      <c r="AJ1690">
        <v>0</v>
      </c>
      <c r="AK1690">
        <f t="shared" si="768"/>
        <v>0</v>
      </c>
      <c r="AL1690">
        <f t="shared" si="776"/>
        <v>0</v>
      </c>
      <c r="AM1690" t="e">
        <f t="shared" ca="1" si="769"/>
        <v>#VALUE!</v>
      </c>
      <c r="AN1690" t="e">
        <f t="shared" ca="1" si="770"/>
        <v>#VALUE!</v>
      </c>
      <c r="AO1690" t="e">
        <f t="shared" ca="1" si="771"/>
        <v>#VALUE!</v>
      </c>
    </row>
    <row r="1691" spans="1:41" x14ac:dyDescent="0.35">
      <c r="A1691">
        <v>44</v>
      </c>
      <c r="B1691">
        <v>42.939</v>
      </c>
      <c r="C1691">
        <v>616070.59699999995</v>
      </c>
      <c r="D1691">
        <v>3096574.4130000002</v>
      </c>
      <c r="E1691">
        <v>623.14</v>
      </c>
      <c r="F1691">
        <v>3.2</v>
      </c>
      <c r="G1691">
        <v>0</v>
      </c>
      <c r="H1691" t="s">
        <v>186</v>
      </c>
      <c r="I1691">
        <v>5.7000000000000002E-2</v>
      </c>
      <c r="J1691">
        <f t="shared" si="772"/>
        <v>1</v>
      </c>
      <c r="K1691" t="e">
        <f t="shared" ca="1" si="778"/>
        <v>#VALUE!</v>
      </c>
      <c r="L1691" t="e">
        <f t="shared" ca="1" si="773"/>
        <v>#VALUE!</v>
      </c>
      <c r="M1691" t="e">
        <f t="shared" ca="1" si="751"/>
        <v>#VALUE!</v>
      </c>
      <c r="N1691" t="e">
        <f t="shared" ca="1" si="752"/>
        <v>#VALUE!</v>
      </c>
      <c r="O1691" t="e">
        <f t="shared" ca="1" si="753"/>
        <v>#VALUE!</v>
      </c>
      <c r="P1691" t="e">
        <f t="shared" ca="1" si="754"/>
        <v>#VALUE!</v>
      </c>
      <c r="Q1691" t="e">
        <f t="shared" ca="1" si="755"/>
        <v>#VALUE!</v>
      </c>
      <c r="R1691" t="e">
        <f t="shared" ca="1" si="756"/>
        <v>#VALUE!</v>
      </c>
      <c r="S1691" t="e">
        <f t="shared" ca="1" si="774"/>
        <v>#VALUE!</v>
      </c>
      <c r="T1691" t="e">
        <f t="shared" ca="1" si="775"/>
        <v>#VALUE!</v>
      </c>
      <c r="U1691" t="e">
        <f t="shared" ca="1" si="757"/>
        <v>#VALUE!</v>
      </c>
      <c r="V1691" t="e">
        <f t="shared" ca="1" si="758"/>
        <v>#VALUE!</v>
      </c>
      <c r="W1691" t="e">
        <f t="shared" ca="1" si="759"/>
        <v>#VALUE!</v>
      </c>
      <c r="X1691" t="e">
        <f t="shared" ca="1" si="760"/>
        <v>#VALUE!</v>
      </c>
      <c r="Y1691" t="e">
        <f t="shared" ca="1" si="761"/>
        <v>#VALUE!</v>
      </c>
      <c r="Z1691" t="e">
        <f t="shared" ca="1" si="762"/>
        <v>#VALUE!</v>
      </c>
      <c r="AA1691" t="e">
        <f t="shared" ca="1" si="763"/>
        <v>#VALUE!</v>
      </c>
      <c r="AB1691" t="e">
        <f t="shared" ca="1" si="764"/>
        <v>#VALUE!</v>
      </c>
      <c r="AC1691" t="e">
        <f t="shared" ca="1" si="765"/>
        <v>#VALUE!</v>
      </c>
      <c r="AD1691" t="e">
        <f ca="1">IF(V36="Supercritical",L1691,IF(V36="Subcritical",U1691,IF(AND(T1691=1,AC1691=1),IF((((F1691)*(L1691)^2)/2+(G1691)*(L1691)^3/3+(ABS(K1691)^2)/($I$5*MAX(((F1691)+(G1691)*(L1691))*(L1691),0.000001)))&gt;=(((F1691)*(U1691)^2)/2+(G1691)*(U1691)^3/3+(ABS(K1691)^2)/($I$5*MAX(((F1691)+(G1691)*(U1691))*(U1691),0.000001))),L1691,U1691),IF(T1691=1,L1691,IF(AC1691=1,U1691,MAX($D$16,POWER((ABS(K1691)^2)/($I$5*MAX(F1691,0.1)^2),1/3)))))))</f>
        <v>#VALUE!</v>
      </c>
      <c r="AE1691" t="e">
        <f t="shared" ca="1" si="766"/>
        <v>#VALUE!</v>
      </c>
      <c r="AF1691" t="e">
        <f t="shared" ca="1" si="767"/>
        <v>#VALUE!</v>
      </c>
      <c r="AI1691">
        <v>0</v>
      </c>
      <c r="AJ1691">
        <v>0</v>
      </c>
      <c r="AK1691">
        <f t="shared" si="768"/>
        <v>0</v>
      </c>
      <c r="AL1691">
        <f t="shared" si="776"/>
        <v>0</v>
      </c>
      <c r="AM1691" t="e">
        <f t="shared" ca="1" si="769"/>
        <v>#VALUE!</v>
      </c>
      <c r="AN1691" t="e">
        <f t="shared" ca="1" si="770"/>
        <v>#VALUE!</v>
      </c>
      <c r="AO1691" t="e">
        <f t="shared" ca="1" si="771"/>
        <v>#VALUE!</v>
      </c>
    </row>
    <row r="1692" spans="1:41" x14ac:dyDescent="0.35">
      <c r="A1692">
        <v>45</v>
      </c>
      <c r="B1692">
        <v>43.939</v>
      </c>
      <c r="C1692">
        <v>616070.59100000001</v>
      </c>
      <c r="D1692">
        <v>3096573.4130000002</v>
      </c>
      <c r="E1692">
        <v>622.76</v>
      </c>
      <c r="F1692">
        <v>3.2</v>
      </c>
      <c r="G1692">
        <v>0</v>
      </c>
      <c r="H1692" t="s">
        <v>186</v>
      </c>
      <c r="I1692">
        <v>0</v>
      </c>
      <c r="J1692">
        <f t="shared" si="772"/>
        <v>1</v>
      </c>
      <c r="K1692" t="e">
        <f t="shared" ca="1" si="778"/>
        <v>#VALUE!</v>
      </c>
      <c r="L1692" t="e">
        <f t="shared" ca="1" si="773"/>
        <v>#VALUE!</v>
      </c>
      <c r="M1692" t="e">
        <f t="shared" ca="1" si="751"/>
        <v>#VALUE!</v>
      </c>
      <c r="N1692" t="e">
        <f t="shared" ca="1" si="752"/>
        <v>#VALUE!</v>
      </c>
      <c r="O1692" t="e">
        <f t="shared" ca="1" si="753"/>
        <v>#VALUE!</v>
      </c>
      <c r="P1692" t="e">
        <f t="shared" ca="1" si="754"/>
        <v>#VALUE!</v>
      </c>
      <c r="Q1692" t="e">
        <f t="shared" ca="1" si="755"/>
        <v>#VALUE!</v>
      </c>
      <c r="R1692" t="e">
        <f t="shared" ca="1" si="756"/>
        <v>#VALUE!</v>
      </c>
      <c r="S1692" t="e">
        <f t="shared" ca="1" si="774"/>
        <v>#VALUE!</v>
      </c>
      <c r="T1692" t="e">
        <f t="shared" ca="1" si="775"/>
        <v>#VALUE!</v>
      </c>
      <c r="U1692" t="e">
        <f t="shared" ca="1" si="757"/>
        <v>#VALUE!</v>
      </c>
      <c r="V1692" t="e">
        <f t="shared" ca="1" si="758"/>
        <v>#VALUE!</v>
      </c>
      <c r="W1692" t="e">
        <f t="shared" ca="1" si="759"/>
        <v>#VALUE!</v>
      </c>
      <c r="X1692" t="e">
        <f t="shared" ca="1" si="760"/>
        <v>#VALUE!</v>
      </c>
      <c r="Y1692" t="e">
        <f t="shared" ca="1" si="761"/>
        <v>#VALUE!</v>
      </c>
      <c r="Z1692" t="e">
        <f t="shared" ca="1" si="762"/>
        <v>#VALUE!</v>
      </c>
      <c r="AA1692" t="e">
        <f t="shared" ca="1" si="763"/>
        <v>#VALUE!</v>
      </c>
      <c r="AB1692" t="e">
        <f t="shared" ca="1" si="764"/>
        <v>#VALUE!</v>
      </c>
      <c r="AC1692" t="e">
        <f t="shared" ca="1" si="765"/>
        <v>#VALUE!</v>
      </c>
      <c r="AD1692" t="e">
        <f ca="1">IF(V36="Supercritical",L1692,IF(V36="Subcritical",U1692,IF(AND(T1692=1,AC1692=1),IF((((F1692)*(L1692)^2)/2+(G1692)*(L1692)^3/3+(ABS(K1692)^2)/($I$5*MAX(((F1692)+(G1692)*(L1692))*(L1692),0.000001)))&gt;=(((F1692)*(U1692)^2)/2+(G1692)*(U1692)^3/3+(ABS(K1692)^2)/($I$5*MAX(((F1692)+(G1692)*(U1692))*(U1692),0.000001))),L1692,U1692),IF(T1692=1,L1692,IF(AC1692=1,U1692,MAX($D$16,POWER((ABS(K1692)^2)/($I$5*MAX(F1692,0.1)^2),1/3)))))))</f>
        <v>#VALUE!</v>
      </c>
      <c r="AE1692" t="e">
        <f t="shared" ca="1" si="766"/>
        <v>#VALUE!</v>
      </c>
      <c r="AF1692" t="e">
        <f t="shared" ca="1" si="767"/>
        <v>#VALUE!</v>
      </c>
      <c r="AI1692">
        <v>0</v>
      </c>
      <c r="AJ1692">
        <v>0</v>
      </c>
      <c r="AK1692">
        <f t="shared" si="768"/>
        <v>0</v>
      </c>
      <c r="AL1692">
        <f t="shared" si="776"/>
        <v>0</v>
      </c>
      <c r="AM1692" t="e">
        <f t="shared" ca="1" si="769"/>
        <v>#VALUE!</v>
      </c>
      <c r="AN1692" t="e">
        <f t="shared" ca="1" si="770"/>
        <v>#VALUE!</v>
      </c>
      <c r="AO1692" t="e">
        <f t="shared" ca="1" si="771"/>
        <v>#VALUE!</v>
      </c>
    </row>
    <row r="1693" spans="1:41" x14ac:dyDescent="0.35">
      <c r="A1693">
        <v>46</v>
      </c>
      <c r="B1693">
        <v>44.939</v>
      </c>
      <c r="C1693">
        <v>616070.58499999996</v>
      </c>
      <c r="D1693">
        <v>3096572.4130000002</v>
      </c>
      <c r="E1693">
        <v>622.38</v>
      </c>
      <c r="F1693">
        <v>3.2</v>
      </c>
      <c r="G1693">
        <v>0</v>
      </c>
      <c r="H1693" t="s">
        <v>186</v>
      </c>
      <c r="I1693">
        <v>6.2E-2</v>
      </c>
      <c r="J1693">
        <f t="shared" si="772"/>
        <v>1</v>
      </c>
      <c r="K1693" t="e">
        <f t="shared" ca="1" si="778"/>
        <v>#VALUE!</v>
      </c>
      <c r="L1693" t="e">
        <f t="shared" ca="1" si="773"/>
        <v>#VALUE!</v>
      </c>
      <c r="M1693" t="e">
        <f t="shared" ca="1" si="751"/>
        <v>#VALUE!</v>
      </c>
      <c r="N1693" t="e">
        <f t="shared" ca="1" si="752"/>
        <v>#VALUE!</v>
      </c>
      <c r="O1693" t="e">
        <f t="shared" ca="1" si="753"/>
        <v>#VALUE!</v>
      </c>
      <c r="P1693" t="e">
        <f t="shared" ca="1" si="754"/>
        <v>#VALUE!</v>
      </c>
      <c r="Q1693" t="e">
        <f t="shared" ca="1" si="755"/>
        <v>#VALUE!</v>
      </c>
      <c r="R1693" t="e">
        <f t="shared" ca="1" si="756"/>
        <v>#VALUE!</v>
      </c>
      <c r="S1693" t="e">
        <f t="shared" ca="1" si="774"/>
        <v>#VALUE!</v>
      </c>
      <c r="T1693" t="e">
        <f t="shared" ca="1" si="775"/>
        <v>#VALUE!</v>
      </c>
      <c r="U1693" t="e">
        <f t="shared" ca="1" si="757"/>
        <v>#VALUE!</v>
      </c>
      <c r="V1693" t="e">
        <f t="shared" ca="1" si="758"/>
        <v>#VALUE!</v>
      </c>
      <c r="W1693" t="e">
        <f t="shared" ca="1" si="759"/>
        <v>#VALUE!</v>
      </c>
      <c r="X1693" t="e">
        <f t="shared" ca="1" si="760"/>
        <v>#VALUE!</v>
      </c>
      <c r="Y1693" t="e">
        <f t="shared" ca="1" si="761"/>
        <v>#VALUE!</v>
      </c>
      <c r="Z1693" t="e">
        <f t="shared" ca="1" si="762"/>
        <v>#VALUE!</v>
      </c>
      <c r="AA1693" t="e">
        <f t="shared" ca="1" si="763"/>
        <v>#VALUE!</v>
      </c>
      <c r="AB1693" t="e">
        <f t="shared" ca="1" si="764"/>
        <v>#VALUE!</v>
      </c>
      <c r="AC1693" t="e">
        <f t="shared" ca="1" si="765"/>
        <v>#VALUE!</v>
      </c>
      <c r="AD1693" t="e">
        <f ca="1">IF(V36="Supercritical",L1693,IF(V36="Subcritical",U1693,IF(AND(T1693=1,AC1693=1),IF((((F1693)*(L1693)^2)/2+(G1693)*(L1693)^3/3+(ABS(K1693)^2)/($I$5*MAX(((F1693)+(G1693)*(L1693))*(L1693),0.000001)))&gt;=(((F1693)*(U1693)^2)/2+(G1693)*(U1693)^3/3+(ABS(K1693)^2)/($I$5*MAX(((F1693)+(G1693)*(U1693))*(U1693),0.000001))),L1693,U1693),IF(T1693=1,L1693,IF(AC1693=1,U1693,MAX($D$16,POWER((ABS(K1693)^2)/($I$5*MAX(F1693,0.1)^2),1/3)))))))</f>
        <v>#VALUE!</v>
      </c>
      <c r="AE1693" t="e">
        <f t="shared" ca="1" si="766"/>
        <v>#VALUE!</v>
      </c>
      <c r="AF1693" t="e">
        <f t="shared" ca="1" si="767"/>
        <v>#VALUE!</v>
      </c>
      <c r="AI1693">
        <v>0</v>
      </c>
      <c r="AJ1693">
        <v>0</v>
      </c>
      <c r="AK1693">
        <f t="shared" si="768"/>
        <v>0</v>
      </c>
      <c r="AL1693">
        <f t="shared" si="776"/>
        <v>0</v>
      </c>
      <c r="AM1693" t="e">
        <f t="shared" ca="1" si="769"/>
        <v>#VALUE!</v>
      </c>
      <c r="AN1693" t="e">
        <f t="shared" ca="1" si="770"/>
        <v>#VALUE!</v>
      </c>
      <c r="AO1693" t="e">
        <f t="shared" ca="1" si="771"/>
        <v>#VALUE!</v>
      </c>
    </row>
    <row r="1694" spans="1:41" x14ac:dyDescent="0.35">
      <c r="A1694">
        <v>47</v>
      </c>
      <c r="B1694">
        <v>45.363</v>
      </c>
      <c r="C1694">
        <v>616070.58200000005</v>
      </c>
      <c r="D1694">
        <v>3096571.9890000001</v>
      </c>
      <c r="E1694">
        <v>622</v>
      </c>
      <c r="F1694">
        <v>3.2</v>
      </c>
      <c r="G1694">
        <v>0</v>
      </c>
      <c r="H1694" t="s">
        <v>186</v>
      </c>
      <c r="I1694">
        <v>0</v>
      </c>
      <c r="J1694">
        <f t="shared" si="772"/>
        <v>0.42399999999999949</v>
      </c>
      <c r="K1694" t="e">
        <f t="shared" ca="1" si="778"/>
        <v>#VALUE!</v>
      </c>
      <c r="L1694" t="e">
        <f t="shared" ca="1" si="773"/>
        <v>#VALUE!</v>
      </c>
      <c r="M1694" t="e">
        <f t="shared" ca="1" si="751"/>
        <v>#VALUE!</v>
      </c>
      <c r="N1694" t="e">
        <f t="shared" ca="1" si="752"/>
        <v>#VALUE!</v>
      </c>
      <c r="O1694" t="e">
        <f t="shared" ca="1" si="753"/>
        <v>#VALUE!</v>
      </c>
      <c r="P1694" t="e">
        <f t="shared" ca="1" si="754"/>
        <v>#VALUE!</v>
      </c>
      <c r="Q1694" t="e">
        <f t="shared" ca="1" si="755"/>
        <v>#VALUE!</v>
      </c>
      <c r="R1694" t="e">
        <f t="shared" ca="1" si="756"/>
        <v>#VALUE!</v>
      </c>
      <c r="S1694" t="e">
        <f t="shared" ca="1" si="774"/>
        <v>#VALUE!</v>
      </c>
      <c r="T1694" t="e">
        <f t="shared" ca="1" si="775"/>
        <v>#VALUE!</v>
      </c>
      <c r="U1694">
        <f>MAX($D$16,(P10)-E1694)</f>
        <v>3</v>
      </c>
      <c r="V1694">
        <f t="shared" si="758"/>
        <v>9.6000000000000014</v>
      </c>
      <c r="W1694">
        <f t="shared" si="759"/>
        <v>1.0434782608695654</v>
      </c>
      <c r="X1694" t="e">
        <f t="shared" ca="1" si="760"/>
        <v>#VALUE!</v>
      </c>
      <c r="Y1694">
        <f t="shared" si="761"/>
        <v>625</v>
      </c>
      <c r="Z1694" t="e">
        <f t="shared" ca="1" si="762"/>
        <v>#VALUE!</v>
      </c>
      <c r="AA1694" t="e">
        <f t="shared" ca="1" si="763"/>
        <v>#VALUE!</v>
      </c>
      <c r="AB1694">
        <v>0</v>
      </c>
      <c r="AC1694">
        <v>1</v>
      </c>
      <c r="AD1694" t="e">
        <f ca="1">IF(V36="Supercritical",L1694,IF(V36="Subcritical",U1694,IF(AND(T1694=1,AC1694=1),IF((((F1694)*(L1694)^2)/2+(G1694)*(L1694)^3/3+(ABS(K1694)^2)/($I$5*MAX(((F1694)+(G1694)*(L1694))*(L1694),0.000001)))&gt;=(((F1694)*(U1694)^2)/2+(G1694)*(U1694)^3/3+(ABS(K1694)^2)/($I$5*MAX(((F1694)+(G1694)*(U1694))*(U1694),0.000001))),L1694,U1694),IF(T1694=1,L1694,IF(AC1694=1,U1694,MAX($D$16,POWER((ABS(K1694)^2)/($I$5*MAX(F1694,0.1)^2),1/3)))))))</f>
        <v>#VALUE!</v>
      </c>
      <c r="AE1694" t="e">
        <f t="shared" ca="1" si="766"/>
        <v>#VALUE!</v>
      </c>
      <c r="AF1694" t="e">
        <f t="shared" ca="1" si="767"/>
        <v>#VALUE!</v>
      </c>
      <c r="AI1694">
        <v>0</v>
      </c>
      <c r="AJ1694">
        <v>0</v>
      </c>
      <c r="AK1694">
        <f t="shared" si="768"/>
        <v>0</v>
      </c>
      <c r="AL1694">
        <f t="shared" si="776"/>
        <v>0</v>
      </c>
      <c r="AM1694" t="e">
        <f t="shared" ca="1" si="769"/>
        <v>#VALUE!</v>
      </c>
      <c r="AN1694" t="e">
        <f t="shared" ca="1" si="770"/>
        <v>#VALUE!</v>
      </c>
      <c r="AO1694" t="e">
        <f t="shared" ca="1" si="771"/>
        <v>#VALUE!</v>
      </c>
    </row>
  </sheetData>
  <autoFilter ref="A30:X36" xr:uid="{00000000-0009-0000-0000-000000000000}"/>
  <dataValidations count="1">
    <dataValidation type="list" allowBlank="1" errorTitle="Invalid Boundary Condition" error="Choose one of the allowed boundary-condition options." promptTitle="Boundary Condition" prompt="Select a boundary condition type." sqref="N5:N20" xr:uid="{00000000-0002-0000-0000-000000000000}">
      <formula1>"Known WSE,Known Depth,Normal Depth,Critical Depth,None,Spill End,Spill Zero"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Sanjeev Bashyal</cp:lastModifiedBy>
  <dcterms:created xsi:type="dcterms:W3CDTF">2026-04-19T07:20:45Z</dcterms:created>
  <dcterms:modified xsi:type="dcterms:W3CDTF">2026-04-19T07:39:44Z</dcterms:modified>
</cp:coreProperties>
</file>